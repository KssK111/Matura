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2022aR\Desktop\Matura\2025-11\"/>
    </mc:Choice>
  </mc:AlternateContent>
  <bookViews>
    <workbookView xWindow="0" yWindow="0" windowWidth="20490" windowHeight="7530" activeTab="1"/>
  </bookViews>
  <sheets>
    <sheet name="6.3" sheetId="2" r:id="rId1"/>
    <sheet name="Dane" sheetId="1" r:id="rId2"/>
  </sheets>
  <definedNames>
    <definedName name="gra" localSheetId="1">Dane!$A$1:$C$601</definedName>
    <definedName name="gra_1" localSheetId="1">Dane!$Q$1:$S$601</definedName>
  </definedNames>
  <calcPr calcId="162913"/>
  <pivotCaches>
    <pivotCache cacheId="2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2" i="1"/>
  <c r="F4" i="1"/>
  <c r="F5" i="1" s="1"/>
  <c r="F6" i="1" s="1"/>
  <c r="F7" i="1" s="1"/>
  <c r="F8" i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/>
  <c r="F22" i="1" s="1"/>
  <c r="F23" i="1" s="1"/>
  <c r="F24" i="1" s="1"/>
  <c r="F25" i="1"/>
  <c r="F26" i="1"/>
  <c r="F27" i="1" s="1"/>
  <c r="F28" i="1" s="1"/>
  <c r="F29" i="1" s="1"/>
  <c r="F30" i="1" s="1"/>
  <c r="F31" i="1"/>
  <c r="F32" i="1" s="1"/>
  <c r="F33" i="1" s="1"/>
  <c r="F34" i="1" s="1"/>
  <c r="F35" i="1" s="1"/>
  <c r="F36" i="1" s="1"/>
  <c r="F37" i="1" s="1"/>
  <c r="F38" i="1" s="1"/>
  <c r="F39" i="1"/>
  <c r="F40" i="1" s="1"/>
  <c r="F41" i="1"/>
  <c r="F42" i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/>
  <c r="F57" i="1" s="1"/>
  <c r="F58" i="1" s="1"/>
  <c r="F59" i="1" s="1"/>
  <c r="F60" i="1" s="1"/>
  <c r="F61" i="1"/>
  <c r="F62" i="1"/>
  <c r="F63" i="1" s="1"/>
  <c r="F64" i="1" s="1"/>
  <c r="F65" i="1"/>
  <c r="F66" i="1" s="1"/>
  <c r="F67" i="1" s="1"/>
  <c r="F68" i="1" s="1"/>
  <c r="F69" i="1" s="1"/>
  <c r="F70" i="1" s="1"/>
  <c r="F71" i="1"/>
  <c r="F72" i="1" s="1"/>
  <c r="F73" i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/>
  <c r="F85" i="1" s="1"/>
  <c r="F86" i="1"/>
  <c r="F87" i="1" s="1"/>
  <c r="F88" i="1" s="1"/>
  <c r="F89" i="1" s="1"/>
  <c r="F90" i="1"/>
  <c r="F91" i="1" s="1"/>
  <c r="F92" i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/>
  <c r="F106" i="1" s="1"/>
  <c r="F107" i="1" s="1"/>
  <c r="F108" i="1" s="1"/>
  <c r="F109" i="1" s="1"/>
  <c r="F110" i="1" s="1"/>
  <c r="F111" i="1" s="1"/>
  <c r="F112" i="1" s="1"/>
  <c r="F113" i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/>
  <c r="F131" i="1" s="1"/>
  <c r="F132" i="1" s="1"/>
  <c r="F133" i="1" s="1"/>
  <c r="F134" i="1" s="1"/>
  <c r="F135" i="1" s="1"/>
  <c r="F136" i="1" s="1"/>
  <c r="F137" i="1" s="1"/>
  <c r="F138" i="1" s="1"/>
  <c r="F139" i="1" s="1"/>
  <c r="F140" i="1"/>
  <c r="F141" i="1" s="1"/>
  <c r="F142" i="1" s="1"/>
  <c r="F143" i="1" s="1"/>
  <c r="F144" i="1"/>
  <c r="F145" i="1" s="1"/>
  <c r="F146" i="1"/>
  <c r="F147" i="1" s="1"/>
  <c r="F148" i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/>
  <c r="F178" i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/>
  <c r="F190" i="1" s="1"/>
  <c r="F191" i="1" s="1"/>
  <c r="F192" i="1" s="1"/>
  <c r="F193" i="1" s="1"/>
  <c r="F194" i="1" s="1"/>
  <c r="F195" i="1" s="1"/>
  <c r="F196" i="1" s="1"/>
  <c r="F197" i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/>
  <c r="F209" i="1" s="1"/>
  <c r="F210" i="1" s="1"/>
  <c r="F211" i="1" s="1"/>
  <c r="F212" i="1" s="1"/>
  <c r="F213" i="1" s="1"/>
  <c r="F214" i="1" s="1"/>
  <c r="F215" i="1" s="1"/>
  <c r="F216" i="1"/>
  <c r="F217" i="1" s="1"/>
  <c r="F218" i="1" s="1"/>
  <c r="F219" i="1" s="1"/>
  <c r="F220" i="1" s="1"/>
  <c r="F221" i="1" s="1"/>
  <c r="F222" i="1"/>
  <c r="F223" i="1" s="1"/>
  <c r="F224" i="1" s="1"/>
  <c r="F225" i="1" s="1"/>
  <c r="F226" i="1" s="1"/>
  <c r="F227" i="1" s="1"/>
  <c r="F228" i="1" s="1"/>
  <c r="F229" i="1" s="1"/>
  <c r="F230" i="1" s="1"/>
  <c r="F231" i="1" s="1"/>
  <c r="F232" i="1"/>
  <c r="F233" i="1" s="1"/>
  <c r="F234" i="1" s="1"/>
  <c r="F235" i="1" s="1"/>
  <c r="F236" i="1" s="1"/>
  <c r="F237" i="1"/>
  <c r="F238" i="1"/>
  <c r="F239" i="1" s="1"/>
  <c r="F240" i="1" s="1"/>
  <c r="F241" i="1" s="1"/>
  <c r="F242" i="1" s="1"/>
  <c r="F243" i="1" s="1"/>
  <c r="F244" i="1"/>
  <c r="F245" i="1" s="1"/>
  <c r="F246" i="1" s="1"/>
  <c r="F247" i="1" s="1"/>
  <c r="F248" i="1"/>
  <c r="F249" i="1" s="1"/>
  <c r="F250" i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/>
  <c r="F263" i="1" s="1"/>
  <c r="F264" i="1" s="1"/>
  <c r="F265" i="1" s="1"/>
  <c r="F266" i="1" s="1"/>
  <c r="F267" i="1" s="1"/>
  <c r="F268" i="1" s="1"/>
  <c r="F269" i="1" s="1"/>
  <c r="F270" i="1" s="1"/>
  <c r="F271" i="1"/>
  <c r="F272" i="1"/>
  <c r="F273" i="1" s="1"/>
  <c r="F274" i="1" s="1"/>
  <c r="F275" i="1" s="1"/>
  <c r="F276" i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/>
  <c r="F305" i="1" s="1"/>
  <c r="F306" i="1" s="1"/>
  <c r="F307" i="1" s="1"/>
  <c r="F308" i="1" s="1"/>
  <c r="F309" i="1" s="1"/>
  <c r="F310" i="1" s="1"/>
  <c r="F311" i="1"/>
  <c r="F312" i="1"/>
  <c r="F313" i="1" s="1"/>
  <c r="F314" i="1"/>
  <c r="F315" i="1" s="1"/>
  <c r="F316" i="1"/>
  <c r="F317" i="1" s="1"/>
  <c r="F318" i="1" s="1"/>
  <c r="F319" i="1" s="1"/>
  <c r="F320" i="1" s="1"/>
  <c r="F321" i="1" s="1"/>
  <c r="F322" i="1"/>
  <c r="F323" i="1" s="1"/>
  <c r="F324" i="1"/>
  <c r="F325" i="1" s="1"/>
  <c r="F326" i="1" s="1"/>
  <c r="F327" i="1" s="1"/>
  <c r="F328" i="1" s="1"/>
  <c r="F329" i="1"/>
  <c r="F330" i="1"/>
  <c r="F331" i="1" s="1"/>
  <c r="F332" i="1" s="1"/>
  <c r="F333" i="1" s="1"/>
  <c r="F334" i="1" s="1"/>
  <c r="F335" i="1" s="1"/>
  <c r="F336" i="1" s="1"/>
  <c r="F337" i="1"/>
  <c r="F338" i="1"/>
  <c r="F339" i="1" s="1"/>
  <c r="F340" i="1" s="1"/>
  <c r="F341" i="1" s="1"/>
  <c r="F342" i="1" s="1"/>
  <c r="F343" i="1" s="1"/>
  <c r="F344" i="1" s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/>
  <c r="F359" i="1" s="1"/>
  <c r="F360" i="1" s="1"/>
  <c r="F361" i="1"/>
  <c r="F362" i="1"/>
  <c r="F363" i="1" s="1"/>
  <c r="F364" i="1"/>
  <c r="F365" i="1"/>
  <c r="F366" i="1"/>
  <c r="F367" i="1" s="1"/>
  <c r="F368" i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/>
  <c r="F382" i="1" s="1"/>
  <c r="F383" i="1" s="1"/>
  <c r="F384" i="1" s="1"/>
  <c r="F385" i="1" s="1"/>
  <c r="F386" i="1" s="1"/>
  <c r="F387" i="1" s="1"/>
  <c r="F388" i="1" s="1"/>
  <c r="F389" i="1" s="1"/>
  <c r="F390" i="1" s="1"/>
  <c r="F391" i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/>
  <c r="F403" i="1" s="1"/>
  <c r="F404" i="1" s="1"/>
  <c r="F405" i="1" s="1"/>
  <c r="F406" i="1"/>
  <c r="F407" i="1" s="1"/>
  <c r="F408" i="1" s="1"/>
  <c r="F409" i="1" s="1"/>
  <c r="F410" i="1" s="1"/>
  <c r="F411" i="1" s="1"/>
  <c r="F412" i="1" s="1"/>
  <c r="F413" i="1"/>
  <c r="F414" i="1" s="1"/>
  <c r="F415" i="1" s="1"/>
  <c r="F416" i="1" s="1"/>
  <c r="F417" i="1" s="1"/>
  <c r="F418" i="1"/>
  <c r="F419" i="1"/>
  <c r="F420" i="1" s="1"/>
  <c r="F421" i="1" s="1"/>
  <c r="F422" i="1" s="1"/>
  <c r="F423" i="1" s="1"/>
  <c r="F424" i="1"/>
  <c r="F425" i="1" s="1"/>
  <c r="F426" i="1" s="1"/>
  <c r="F427" i="1" s="1"/>
  <c r="F428" i="1" s="1"/>
  <c r="F429" i="1" s="1"/>
  <c r="F430" i="1"/>
  <c r="F431" i="1" s="1"/>
  <c r="F432" i="1" s="1"/>
  <c r="F433" i="1" s="1"/>
  <c r="F434" i="1" s="1"/>
  <c r="F435" i="1" s="1"/>
  <c r="F436" i="1" s="1"/>
  <c r="F437" i="1" s="1"/>
  <c r="F438" i="1" s="1"/>
  <c r="F439" i="1" s="1"/>
  <c r="F440" i="1" s="1"/>
  <c r="F441" i="1"/>
  <c r="F442" i="1" s="1"/>
  <c r="F443" i="1" s="1"/>
  <c r="F444" i="1" s="1"/>
  <c r="F445" i="1"/>
  <c r="F446" i="1" s="1"/>
  <c r="F447" i="1" s="1"/>
  <c r="F448" i="1" s="1"/>
  <c r="F449" i="1" s="1"/>
  <c r="F450" i="1" s="1"/>
  <c r="F451" i="1" s="1"/>
  <c r="F452" i="1"/>
  <c r="F453" i="1" s="1"/>
  <c r="F454" i="1"/>
  <c r="F455" i="1" s="1"/>
  <c r="F456" i="1" s="1"/>
  <c r="F457" i="1"/>
  <c r="F458" i="1" s="1"/>
  <c r="F459" i="1" s="1"/>
  <c r="F460" i="1" s="1"/>
  <c r="F461" i="1" s="1"/>
  <c r="F462" i="1" s="1"/>
  <c r="F463" i="1" s="1"/>
  <c r="F464" i="1" s="1"/>
  <c r="F465" i="1" s="1"/>
  <c r="F466" i="1" s="1"/>
  <c r="F467" i="1" s="1"/>
  <c r="F468" i="1" s="1"/>
  <c r="F469" i="1" s="1"/>
  <c r="F470" i="1"/>
  <c r="F471" i="1" s="1"/>
  <c r="F472" i="1" s="1"/>
  <c r="F473" i="1" s="1"/>
  <c r="F474" i="1" s="1"/>
  <c r="F475" i="1" s="1"/>
  <c r="F476" i="1" s="1"/>
  <c r="F477" i="1" s="1"/>
  <c r="F478" i="1" s="1"/>
  <c r="F479" i="1" s="1"/>
  <c r="F480" i="1"/>
  <c r="F481" i="1"/>
  <c r="F482" i="1" s="1"/>
  <c r="F483" i="1" s="1"/>
  <c r="F484" i="1" s="1"/>
  <c r="F485" i="1" s="1"/>
  <c r="F486" i="1" s="1"/>
  <c r="F487" i="1" s="1"/>
  <c r="F488" i="1" s="1"/>
  <c r="F489" i="1"/>
  <c r="F490" i="1" s="1"/>
  <c r="F491" i="1" s="1"/>
  <c r="F492" i="1"/>
  <c r="F493" i="1" s="1"/>
  <c r="F494" i="1" s="1"/>
  <c r="F495" i="1" s="1"/>
  <c r="F496" i="1"/>
  <c r="F497" i="1" s="1"/>
  <c r="F498" i="1" s="1"/>
  <c r="F499" i="1" s="1"/>
  <c r="F500" i="1" s="1"/>
  <c r="F501" i="1" s="1"/>
  <c r="F502" i="1" s="1"/>
  <c r="F503" i="1"/>
  <c r="F504" i="1" s="1"/>
  <c r="F505" i="1" s="1"/>
  <c r="F506" i="1" s="1"/>
  <c r="F507" i="1" s="1"/>
  <c r="F508" i="1"/>
  <c r="F509" i="1" s="1"/>
  <c r="F510" i="1" s="1"/>
  <c r="F511" i="1" s="1"/>
  <c r="F512" i="1" s="1"/>
  <c r="F513" i="1" s="1"/>
  <c r="F514" i="1" s="1"/>
  <c r="F515" i="1" s="1"/>
  <c r="F516" i="1" s="1"/>
  <c r="F517" i="1" s="1"/>
  <c r="F518" i="1" s="1"/>
  <c r="F519" i="1" s="1"/>
  <c r="F520" i="1" s="1"/>
  <c r="F521" i="1" s="1"/>
  <c r="F522" i="1" s="1"/>
  <c r="F523" i="1" s="1"/>
  <c r="F524" i="1" s="1"/>
  <c r="F525" i="1" s="1"/>
  <c r="F526" i="1" s="1"/>
  <c r="F527" i="1" s="1"/>
  <c r="F528" i="1"/>
  <c r="F529" i="1" s="1"/>
  <c r="F530" i="1" s="1"/>
  <c r="F531" i="1"/>
  <c r="F532" i="1" s="1"/>
  <c r="F533" i="1" s="1"/>
  <c r="F534" i="1" s="1"/>
  <c r="F535" i="1" s="1"/>
  <c r="F536" i="1" s="1"/>
  <c r="F537" i="1" s="1"/>
  <c r="F538" i="1"/>
  <c r="F539" i="1" s="1"/>
  <c r="F540" i="1"/>
  <c r="F541" i="1" s="1"/>
  <c r="F542" i="1" s="1"/>
  <c r="F543" i="1" s="1"/>
  <c r="F544" i="1" s="1"/>
  <c r="F545" i="1" s="1"/>
  <c r="F546" i="1" s="1"/>
  <c r="F547" i="1" s="1"/>
  <c r="F548" i="1" s="1"/>
  <c r="F549" i="1" s="1"/>
  <c r="F550" i="1" s="1"/>
  <c r="F551" i="1" s="1"/>
  <c r="F552" i="1" s="1"/>
  <c r="F553" i="1" s="1"/>
  <c r="F554" i="1" s="1"/>
  <c r="F555" i="1" s="1"/>
  <c r="F556" i="1"/>
  <c r="F557" i="1"/>
  <c r="F558" i="1" s="1"/>
  <c r="F559" i="1" s="1"/>
  <c r="F560" i="1" s="1"/>
  <c r="F561" i="1" s="1"/>
  <c r="F562" i="1" s="1"/>
  <c r="F563" i="1" s="1"/>
  <c r="F564" i="1" s="1"/>
  <c r="F565" i="1" s="1"/>
  <c r="F566" i="1" s="1"/>
  <c r="F567" i="1" s="1"/>
  <c r="F568" i="1" s="1"/>
  <c r="F569" i="1" s="1"/>
  <c r="F570" i="1" s="1"/>
  <c r="F571" i="1" s="1"/>
  <c r="F572" i="1" s="1"/>
  <c r="F573" i="1" s="1"/>
  <c r="F574" i="1" s="1"/>
  <c r="F575" i="1" s="1"/>
  <c r="F576" i="1" s="1"/>
  <c r="F577" i="1" s="1"/>
  <c r="F578" i="1" s="1"/>
  <c r="F579" i="1" s="1"/>
  <c r="F580" i="1" s="1"/>
  <c r="F581" i="1" s="1"/>
  <c r="F582" i="1"/>
  <c r="F583" i="1" s="1"/>
  <c r="F584" i="1" s="1"/>
  <c r="F585" i="1" s="1"/>
  <c r="F586" i="1" s="1"/>
  <c r="F587" i="1" s="1"/>
  <c r="F588" i="1" s="1"/>
  <c r="F589" i="1" s="1"/>
  <c r="F590" i="1" s="1"/>
  <c r="F591" i="1" s="1"/>
  <c r="F592" i="1"/>
  <c r="F593" i="1"/>
  <c r="F594" i="1" s="1"/>
  <c r="F595" i="1" s="1"/>
  <c r="F596" i="1" s="1"/>
  <c r="F597" i="1" s="1"/>
  <c r="F598" i="1" s="1"/>
  <c r="F599" i="1" s="1"/>
  <c r="F600" i="1" s="1"/>
  <c r="F601" i="1" s="1"/>
  <c r="F2" i="1"/>
  <c r="F3" i="1" s="1"/>
  <c r="D414" i="1"/>
  <c r="D436" i="1"/>
  <c r="D442" i="1"/>
  <c r="D453" i="1"/>
  <c r="D454" i="1"/>
  <c r="D464" i="1"/>
  <c r="D465" i="1"/>
  <c r="D470" i="1"/>
  <c r="D473" i="1"/>
  <c r="D478" i="1"/>
  <c r="D480" i="1"/>
  <c r="D485" i="1"/>
  <c r="D486" i="1"/>
  <c r="D492" i="1"/>
  <c r="D494" i="1"/>
  <c r="D500" i="1"/>
  <c r="D501" i="1"/>
  <c r="D506" i="1"/>
  <c r="D508" i="1"/>
  <c r="D513" i="1"/>
  <c r="D516" i="1"/>
  <c r="D521" i="1"/>
  <c r="D522" i="1"/>
  <c r="D528" i="1"/>
  <c r="D529" i="1"/>
  <c r="D534" i="1"/>
  <c r="D537" i="1"/>
  <c r="D542" i="1"/>
  <c r="D544" i="1"/>
  <c r="D549" i="1"/>
  <c r="D550" i="1"/>
  <c r="D556" i="1"/>
  <c r="D558" i="1"/>
  <c r="D564" i="1"/>
  <c r="D565" i="1"/>
  <c r="D570" i="1"/>
  <c r="D572" i="1"/>
  <c r="D577" i="1"/>
  <c r="D580" i="1"/>
  <c r="D585" i="1"/>
  <c r="D586" i="1"/>
  <c r="D592" i="1"/>
  <c r="D593" i="1"/>
  <c r="D598" i="1"/>
  <c r="D601" i="1"/>
  <c r="N2" i="1"/>
  <c r="M2" i="1"/>
  <c r="E8" i="1" s="1"/>
  <c r="D5" i="1" l="1"/>
  <c r="D21" i="1"/>
  <c r="D29" i="1"/>
  <c r="D36" i="1"/>
  <c r="D43" i="1"/>
  <c r="D51" i="1"/>
  <c r="D57" i="1"/>
  <c r="D64" i="1"/>
  <c r="D72" i="1"/>
  <c r="D79" i="1"/>
  <c r="D85" i="1"/>
  <c r="D93" i="1"/>
  <c r="D100" i="1"/>
  <c r="D107" i="1"/>
  <c r="D115" i="1"/>
  <c r="D121" i="1"/>
  <c r="D128" i="1"/>
  <c r="D136" i="1"/>
  <c r="D143" i="1"/>
  <c r="D149" i="1"/>
  <c r="D156" i="1"/>
  <c r="D161" i="1"/>
  <c r="D166" i="1"/>
  <c r="D172" i="1"/>
  <c r="D177" i="1"/>
  <c r="D182" i="1"/>
  <c r="D188" i="1"/>
  <c r="D193" i="1"/>
  <c r="D198" i="1"/>
  <c r="D204" i="1"/>
  <c r="D209" i="1"/>
  <c r="D214" i="1"/>
  <c r="D220" i="1"/>
  <c r="D225" i="1"/>
  <c r="D230" i="1"/>
  <c r="D236" i="1"/>
  <c r="D241" i="1"/>
  <c r="D246" i="1"/>
  <c r="D252" i="1"/>
  <c r="D257" i="1"/>
  <c r="D262" i="1"/>
  <c r="D268" i="1"/>
  <c r="D273" i="1"/>
  <c r="D278" i="1"/>
  <c r="D284" i="1"/>
  <c r="D289" i="1"/>
  <c r="D294" i="1"/>
  <c r="D300" i="1"/>
  <c r="D305" i="1"/>
  <c r="D310" i="1"/>
  <c r="D316" i="1"/>
  <c r="D321" i="1"/>
  <c r="D326" i="1"/>
  <c r="D332" i="1"/>
  <c r="D337" i="1"/>
  <c r="D342" i="1"/>
  <c r="D348" i="1"/>
  <c r="D353" i="1"/>
  <c r="D358" i="1"/>
  <c r="D364" i="1"/>
  <c r="D369" i="1"/>
  <c r="D374" i="1"/>
  <c r="D380" i="1"/>
  <c r="D385" i="1"/>
  <c r="D390" i="1"/>
  <c r="D396" i="1"/>
  <c r="D401" i="1"/>
  <c r="D406" i="1"/>
  <c r="D412" i="1"/>
  <c r="D417" i="1"/>
  <c r="D422" i="1"/>
  <c r="D428" i="1"/>
  <c r="D433" i="1"/>
  <c r="D438" i="1"/>
  <c r="D444" i="1"/>
  <c r="D11" i="1"/>
  <c r="D24" i="1"/>
  <c r="D31" i="1"/>
  <c r="D37" i="1"/>
  <c r="D45" i="1"/>
  <c r="D52" i="1"/>
  <c r="D59" i="1"/>
  <c r="D67" i="1"/>
  <c r="D73" i="1"/>
  <c r="D80" i="1"/>
  <c r="D88" i="1"/>
  <c r="D95" i="1"/>
  <c r="D101" i="1"/>
  <c r="D109" i="1"/>
  <c r="D116" i="1"/>
  <c r="D123" i="1"/>
  <c r="D131" i="1"/>
  <c r="D16" i="1"/>
  <c r="D25" i="1"/>
  <c r="D32" i="1"/>
  <c r="D40" i="1"/>
  <c r="D47" i="1"/>
  <c r="D53" i="1"/>
  <c r="D61" i="1"/>
  <c r="D68" i="1"/>
  <c r="D75" i="1"/>
  <c r="D83" i="1"/>
  <c r="D89" i="1"/>
  <c r="D96" i="1"/>
  <c r="D104" i="1"/>
  <c r="D111" i="1"/>
  <c r="D117" i="1"/>
  <c r="D125" i="1"/>
  <c r="D132" i="1"/>
  <c r="D139" i="1"/>
  <c r="D147" i="1"/>
  <c r="D153" i="1"/>
  <c r="D158" i="1"/>
  <c r="D164" i="1"/>
  <c r="D169" i="1"/>
  <c r="D174" i="1"/>
  <c r="D180" i="1"/>
  <c r="D185" i="1"/>
  <c r="D190" i="1"/>
  <c r="D196" i="1"/>
  <c r="D201" i="1"/>
  <c r="D206" i="1"/>
  <c r="D212" i="1"/>
  <c r="D217" i="1"/>
  <c r="D222" i="1"/>
  <c r="D228" i="1"/>
  <c r="D233" i="1"/>
  <c r="D238" i="1"/>
  <c r="D244" i="1"/>
  <c r="D249" i="1"/>
  <c r="D254" i="1"/>
  <c r="D260" i="1"/>
  <c r="D265" i="1"/>
  <c r="D270" i="1"/>
  <c r="D276" i="1"/>
  <c r="D281" i="1"/>
  <c r="D286" i="1"/>
  <c r="D292" i="1"/>
  <c r="D297" i="1"/>
  <c r="D302" i="1"/>
  <c r="D308" i="1"/>
  <c r="D313" i="1"/>
  <c r="D318" i="1"/>
  <c r="D324" i="1"/>
  <c r="D329" i="1"/>
  <c r="D334" i="1"/>
  <c r="D340" i="1"/>
  <c r="D345" i="1"/>
  <c r="D350" i="1"/>
  <c r="D356" i="1"/>
  <c r="D361" i="1"/>
  <c r="D366" i="1"/>
  <c r="D372" i="1"/>
  <c r="D377" i="1"/>
  <c r="D382" i="1"/>
  <c r="D388" i="1"/>
  <c r="D35" i="1"/>
  <c r="D154" i="1"/>
  <c r="D176" i="1"/>
  <c r="D197" i="1"/>
  <c r="D218" i="1"/>
  <c r="D240" i="1"/>
  <c r="D250" i="1"/>
  <c r="D272" i="1"/>
  <c r="D293" i="1"/>
  <c r="D314" i="1"/>
  <c r="D336" i="1"/>
  <c r="D357" i="1"/>
  <c r="D378" i="1"/>
  <c r="D397" i="1"/>
  <c r="D410" i="1"/>
  <c r="D425" i="1"/>
  <c r="D440" i="1"/>
  <c r="D452" i="1"/>
  <c r="D462" i="1"/>
  <c r="D41" i="1"/>
  <c r="D69" i="1"/>
  <c r="D99" i="1"/>
  <c r="D127" i="1"/>
  <c r="D144" i="1"/>
  <c r="D157" i="1"/>
  <c r="D168" i="1"/>
  <c r="D178" i="1"/>
  <c r="D189" i="1"/>
  <c r="D200" i="1"/>
  <c r="D210" i="1"/>
  <c r="D221" i="1"/>
  <c r="D232" i="1"/>
  <c r="D242" i="1"/>
  <c r="D253" i="1"/>
  <c r="D264" i="1"/>
  <c r="D274" i="1"/>
  <c r="D285" i="1"/>
  <c r="D296" i="1"/>
  <c r="D306" i="1"/>
  <c r="D317" i="1"/>
  <c r="D328" i="1"/>
  <c r="D338" i="1"/>
  <c r="D349" i="1"/>
  <c r="D360" i="1"/>
  <c r="D370" i="1"/>
  <c r="D381" i="1"/>
  <c r="D392" i="1"/>
  <c r="D398" i="1"/>
  <c r="D405" i="1"/>
  <c r="D413" i="1"/>
  <c r="D420" i="1"/>
  <c r="D426" i="1"/>
  <c r="D434" i="1"/>
  <c r="D441" i="1"/>
  <c r="D20" i="1"/>
  <c r="D48" i="1"/>
  <c r="D77" i="1"/>
  <c r="D105" i="1"/>
  <c r="D133" i="1"/>
  <c r="D148" i="1"/>
  <c r="D160" i="1"/>
  <c r="D170" i="1"/>
  <c r="D181" i="1"/>
  <c r="D192" i="1"/>
  <c r="D202" i="1"/>
  <c r="D213" i="1"/>
  <c r="D224" i="1"/>
  <c r="D234" i="1"/>
  <c r="D245" i="1"/>
  <c r="D256" i="1"/>
  <c r="D266" i="1"/>
  <c r="D277" i="1"/>
  <c r="D288" i="1"/>
  <c r="D298" i="1"/>
  <c r="D309" i="1"/>
  <c r="D320" i="1"/>
  <c r="D330" i="1"/>
  <c r="D341" i="1"/>
  <c r="D352" i="1"/>
  <c r="D362" i="1"/>
  <c r="D373" i="1"/>
  <c r="D384" i="1"/>
  <c r="D393" i="1"/>
  <c r="D400" i="1"/>
  <c r="D408" i="1"/>
  <c r="D27" i="1"/>
  <c r="D56" i="1"/>
  <c r="D84" i="1"/>
  <c r="D112" i="1"/>
  <c r="D137" i="1"/>
  <c r="D152" i="1"/>
  <c r="D162" i="1"/>
  <c r="D173" i="1"/>
  <c r="D184" i="1"/>
  <c r="D194" i="1"/>
  <c r="D205" i="1"/>
  <c r="D216" i="1"/>
  <c r="D226" i="1"/>
  <c r="D237" i="1"/>
  <c r="D248" i="1"/>
  <c r="D258" i="1"/>
  <c r="D269" i="1"/>
  <c r="D280" i="1"/>
  <c r="D290" i="1"/>
  <c r="D301" i="1"/>
  <c r="D312" i="1"/>
  <c r="D322" i="1"/>
  <c r="D333" i="1"/>
  <c r="D344" i="1"/>
  <c r="D354" i="1"/>
  <c r="D365" i="1"/>
  <c r="D376" i="1"/>
  <c r="D386" i="1"/>
  <c r="D394" i="1"/>
  <c r="D402" i="1"/>
  <c r="D409" i="1"/>
  <c r="D416" i="1"/>
  <c r="D424" i="1"/>
  <c r="D430" i="1"/>
  <c r="D437" i="1"/>
  <c r="D445" i="1"/>
  <c r="D450" i="1"/>
  <c r="D456" i="1"/>
  <c r="D461" i="1"/>
  <c r="D466" i="1"/>
  <c r="D472" i="1"/>
  <c r="D477" i="1"/>
  <c r="D482" i="1"/>
  <c r="D488" i="1"/>
  <c r="D493" i="1"/>
  <c r="D498" i="1"/>
  <c r="D504" i="1"/>
  <c r="D509" i="1"/>
  <c r="D514" i="1"/>
  <c r="D520" i="1"/>
  <c r="D525" i="1"/>
  <c r="D530" i="1"/>
  <c r="D536" i="1"/>
  <c r="D541" i="1"/>
  <c r="D546" i="1"/>
  <c r="D552" i="1"/>
  <c r="D557" i="1"/>
  <c r="D562" i="1"/>
  <c r="D568" i="1"/>
  <c r="D573" i="1"/>
  <c r="D578" i="1"/>
  <c r="D584" i="1"/>
  <c r="D589" i="1"/>
  <c r="D594" i="1"/>
  <c r="D600" i="1"/>
  <c r="D63" i="1"/>
  <c r="D91" i="1"/>
  <c r="D120" i="1"/>
  <c r="D141" i="1"/>
  <c r="D165" i="1"/>
  <c r="D186" i="1"/>
  <c r="D208" i="1"/>
  <c r="D229" i="1"/>
  <c r="D261" i="1"/>
  <c r="D282" i="1"/>
  <c r="D304" i="1"/>
  <c r="D325" i="1"/>
  <c r="D346" i="1"/>
  <c r="D368" i="1"/>
  <c r="D389" i="1"/>
  <c r="D404" i="1"/>
  <c r="D418" i="1"/>
  <c r="D432" i="1"/>
  <c r="D446" i="1"/>
  <c r="D457" i="1"/>
  <c r="D597" i="1"/>
  <c r="D590" i="1"/>
  <c r="D582" i="1"/>
  <c r="D576" i="1"/>
  <c r="D569" i="1"/>
  <c r="D561" i="1"/>
  <c r="D554" i="1"/>
  <c r="D548" i="1"/>
  <c r="D540" i="1"/>
  <c r="D533" i="1"/>
  <c r="D526" i="1"/>
  <c r="D518" i="1"/>
  <c r="D512" i="1"/>
  <c r="D505" i="1"/>
  <c r="D497" i="1"/>
  <c r="D490" i="1"/>
  <c r="D484" i="1"/>
  <c r="D476" i="1"/>
  <c r="D469" i="1"/>
  <c r="D460" i="1"/>
  <c r="D449" i="1"/>
  <c r="D429" i="1"/>
  <c r="D2" i="1"/>
  <c r="D596" i="1"/>
  <c r="D588" i="1"/>
  <c r="D581" i="1"/>
  <c r="D574" i="1"/>
  <c r="D566" i="1"/>
  <c r="D560" i="1"/>
  <c r="D553" i="1"/>
  <c r="D545" i="1"/>
  <c r="D538" i="1"/>
  <c r="D532" i="1"/>
  <c r="D524" i="1"/>
  <c r="D517" i="1"/>
  <c r="D510" i="1"/>
  <c r="D502" i="1"/>
  <c r="D496" i="1"/>
  <c r="D489" i="1"/>
  <c r="D481" i="1"/>
  <c r="D474" i="1"/>
  <c r="D468" i="1"/>
  <c r="D458" i="1"/>
  <c r="D448" i="1"/>
  <c r="D421" i="1"/>
  <c r="E387" i="1"/>
  <c r="E584" i="1"/>
  <c r="E563" i="1"/>
  <c r="E541" i="1"/>
  <c r="E520" i="1"/>
  <c r="E499" i="1"/>
  <c r="E477" i="1"/>
  <c r="E456" i="1"/>
  <c r="E435" i="1"/>
  <c r="E413" i="1"/>
  <c r="E392" i="1"/>
  <c r="E371" i="1"/>
  <c r="E349" i="1"/>
  <c r="E328" i="1"/>
  <c r="E307" i="1"/>
  <c r="E283" i="1"/>
  <c r="E255" i="1"/>
  <c r="E227" i="1"/>
  <c r="E198" i="1"/>
  <c r="E136" i="1"/>
  <c r="E51" i="1"/>
  <c r="E600" i="1"/>
  <c r="E579" i="1"/>
  <c r="E557" i="1"/>
  <c r="E536" i="1"/>
  <c r="E515" i="1"/>
  <c r="E493" i="1"/>
  <c r="E472" i="1"/>
  <c r="E451" i="1"/>
  <c r="E429" i="1"/>
  <c r="E408" i="1"/>
  <c r="E365" i="1"/>
  <c r="E344" i="1"/>
  <c r="E323" i="1"/>
  <c r="E301" i="1"/>
  <c r="E276" i="1"/>
  <c r="E248" i="1"/>
  <c r="E219" i="1"/>
  <c r="E190" i="1"/>
  <c r="E115" i="1"/>
  <c r="E30" i="1"/>
  <c r="E595" i="1"/>
  <c r="E573" i="1"/>
  <c r="E552" i="1"/>
  <c r="E531" i="1"/>
  <c r="E509" i="1"/>
  <c r="E488" i="1"/>
  <c r="E467" i="1"/>
  <c r="E445" i="1"/>
  <c r="E424" i="1"/>
  <c r="E403" i="1"/>
  <c r="E381" i="1"/>
  <c r="E360" i="1"/>
  <c r="E339" i="1"/>
  <c r="E317" i="1"/>
  <c r="E296" i="1"/>
  <c r="E270" i="1"/>
  <c r="E240" i="1"/>
  <c r="E212" i="1"/>
  <c r="E179" i="1"/>
  <c r="E94" i="1"/>
  <c r="E5" i="1"/>
  <c r="E9" i="1"/>
  <c r="E13" i="1"/>
  <c r="E17" i="1"/>
  <c r="E21" i="1"/>
  <c r="E25" i="1"/>
  <c r="E29" i="1"/>
  <c r="E33" i="1"/>
  <c r="E37" i="1"/>
  <c r="E41" i="1"/>
  <c r="E45" i="1"/>
  <c r="E49" i="1"/>
  <c r="E53" i="1"/>
  <c r="E57" i="1"/>
  <c r="E61" i="1"/>
  <c r="E65" i="1"/>
  <c r="E69" i="1"/>
  <c r="E73" i="1"/>
  <c r="E77" i="1"/>
  <c r="E81" i="1"/>
  <c r="E85" i="1"/>
  <c r="E89" i="1"/>
  <c r="E93" i="1"/>
  <c r="E97" i="1"/>
  <c r="E101" i="1"/>
  <c r="E105" i="1"/>
  <c r="E109" i="1"/>
  <c r="E113" i="1"/>
  <c r="E117" i="1"/>
  <c r="E121" i="1"/>
  <c r="E125" i="1"/>
  <c r="E129" i="1"/>
  <c r="E133" i="1"/>
  <c r="E137" i="1"/>
  <c r="E141" i="1"/>
  <c r="E145" i="1"/>
  <c r="E149" i="1"/>
  <c r="E153" i="1"/>
  <c r="E157" i="1"/>
  <c r="E161" i="1"/>
  <c r="E165" i="1"/>
  <c r="E169" i="1"/>
  <c r="E173" i="1"/>
  <c r="E177" i="1"/>
  <c r="E181" i="1"/>
  <c r="E185" i="1"/>
  <c r="E189" i="1"/>
  <c r="E193" i="1"/>
  <c r="E197" i="1"/>
  <c r="E201" i="1"/>
  <c r="E205" i="1"/>
  <c r="E209" i="1"/>
  <c r="E213" i="1"/>
  <c r="E217" i="1"/>
  <c r="E221" i="1"/>
  <c r="E225" i="1"/>
  <c r="E229" i="1"/>
  <c r="E233" i="1"/>
  <c r="E237" i="1"/>
  <c r="E241" i="1"/>
  <c r="E245" i="1"/>
  <c r="E249" i="1"/>
  <c r="E253" i="1"/>
  <c r="E257" i="1"/>
  <c r="E261" i="1"/>
  <c r="E265" i="1"/>
  <c r="E269" i="1"/>
  <c r="E273" i="1"/>
  <c r="E277" i="1"/>
  <c r="E281" i="1"/>
  <c r="E285" i="1"/>
  <c r="E289" i="1"/>
  <c r="E4" i="1"/>
  <c r="E10" i="1"/>
  <c r="E15" i="1"/>
  <c r="E20" i="1"/>
  <c r="E26" i="1"/>
  <c r="E31" i="1"/>
  <c r="E36" i="1"/>
  <c r="E42" i="1"/>
  <c r="E47" i="1"/>
  <c r="E52" i="1"/>
  <c r="E58" i="1"/>
  <c r="E63" i="1"/>
  <c r="E68" i="1"/>
  <c r="E74" i="1"/>
  <c r="E79" i="1"/>
  <c r="E84" i="1"/>
  <c r="E90" i="1"/>
  <c r="E95" i="1"/>
  <c r="E100" i="1"/>
  <c r="E106" i="1"/>
  <c r="E111" i="1"/>
  <c r="E116" i="1"/>
  <c r="E122" i="1"/>
  <c r="E127" i="1"/>
  <c r="E132" i="1"/>
  <c r="E138" i="1"/>
  <c r="E143" i="1"/>
  <c r="E148" i="1"/>
  <c r="E154" i="1"/>
  <c r="E159" i="1"/>
  <c r="E164" i="1"/>
  <c r="E170" i="1"/>
  <c r="E175" i="1"/>
  <c r="E180" i="1"/>
  <c r="E186" i="1"/>
  <c r="E191" i="1"/>
  <c r="E6" i="1"/>
  <c r="E11" i="1"/>
  <c r="E16" i="1"/>
  <c r="E22" i="1"/>
  <c r="E27" i="1"/>
  <c r="E32" i="1"/>
  <c r="E38" i="1"/>
  <c r="E43" i="1"/>
  <c r="E48" i="1"/>
  <c r="E54" i="1"/>
  <c r="E59" i="1"/>
  <c r="E64" i="1"/>
  <c r="E70" i="1"/>
  <c r="E75" i="1"/>
  <c r="E80" i="1"/>
  <c r="E86" i="1"/>
  <c r="E91" i="1"/>
  <c r="E96" i="1"/>
  <c r="E102" i="1"/>
  <c r="E107" i="1"/>
  <c r="E112" i="1"/>
  <c r="E118" i="1"/>
  <c r="E123" i="1"/>
  <c r="E128" i="1"/>
  <c r="E134" i="1"/>
  <c r="E139" i="1"/>
  <c r="E144" i="1"/>
  <c r="E150" i="1"/>
  <c r="E155" i="1"/>
  <c r="E160" i="1"/>
  <c r="E166" i="1"/>
  <c r="E171" i="1"/>
  <c r="E176" i="1"/>
  <c r="E7" i="1"/>
  <c r="E12" i="1"/>
  <c r="E18" i="1"/>
  <c r="E23" i="1"/>
  <c r="E28" i="1"/>
  <c r="E34" i="1"/>
  <c r="E39" i="1"/>
  <c r="E44" i="1"/>
  <c r="E50" i="1"/>
  <c r="E55" i="1"/>
  <c r="E60" i="1"/>
  <c r="E66" i="1"/>
  <c r="E71" i="1"/>
  <c r="E76" i="1"/>
  <c r="E82" i="1"/>
  <c r="E87" i="1"/>
  <c r="E92" i="1"/>
  <c r="E98" i="1"/>
  <c r="E103" i="1"/>
  <c r="E108" i="1"/>
  <c r="E114" i="1"/>
  <c r="E119" i="1"/>
  <c r="E124" i="1"/>
  <c r="E130" i="1"/>
  <c r="E135" i="1"/>
  <c r="E140" i="1"/>
  <c r="E146" i="1"/>
  <c r="E151" i="1"/>
  <c r="E156" i="1"/>
  <c r="E162" i="1"/>
  <c r="E167" i="1"/>
  <c r="E172" i="1"/>
  <c r="E178" i="1"/>
  <c r="E183" i="1"/>
  <c r="E188" i="1"/>
  <c r="E194" i="1"/>
  <c r="E199" i="1"/>
  <c r="E204" i="1"/>
  <c r="E210" i="1"/>
  <c r="E215" i="1"/>
  <c r="E220" i="1"/>
  <c r="E226" i="1"/>
  <c r="E231" i="1"/>
  <c r="E236" i="1"/>
  <c r="E242" i="1"/>
  <c r="E247" i="1"/>
  <c r="E252" i="1"/>
  <c r="E258" i="1"/>
  <c r="E263" i="1"/>
  <c r="E268" i="1"/>
  <c r="E274" i="1"/>
  <c r="E279" i="1"/>
  <c r="E284" i="1"/>
  <c r="E290" i="1"/>
  <c r="E294" i="1"/>
  <c r="E298" i="1"/>
  <c r="E302" i="1"/>
  <c r="E306" i="1"/>
  <c r="E310" i="1"/>
  <c r="E314" i="1"/>
  <c r="E318" i="1"/>
  <c r="E322" i="1"/>
  <c r="E326" i="1"/>
  <c r="E330" i="1"/>
  <c r="E334" i="1"/>
  <c r="E338" i="1"/>
  <c r="E342" i="1"/>
  <c r="E346" i="1"/>
  <c r="E350" i="1"/>
  <c r="E354" i="1"/>
  <c r="E358" i="1"/>
  <c r="E362" i="1"/>
  <c r="E366" i="1"/>
  <c r="E370" i="1"/>
  <c r="E374" i="1"/>
  <c r="E378" i="1"/>
  <c r="E382" i="1"/>
  <c r="E386" i="1"/>
  <c r="E390" i="1"/>
  <c r="E394" i="1"/>
  <c r="E398" i="1"/>
  <c r="E402" i="1"/>
  <c r="E406" i="1"/>
  <c r="E410" i="1"/>
  <c r="E414" i="1"/>
  <c r="E418" i="1"/>
  <c r="E422" i="1"/>
  <c r="E426" i="1"/>
  <c r="E430" i="1"/>
  <c r="E434" i="1"/>
  <c r="E438" i="1"/>
  <c r="E442" i="1"/>
  <c r="E446" i="1"/>
  <c r="E450" i="1"/>
  <c r="E454" i="1"/>
  <c r="E458" i="1"/>
  <c r="E462" i="1"/>
  <c r="E466" i="1"/>
  <c r="E470" i="1"/>
  <c r="E474" i="1"/>
  <c r="E478" i="1"/>
  <c r="E482" i="1"/>
  <c r="E486" i="1"/>
  <c r="E490" i="1"/>
  <c r="E494" i="1"/>
  <c r="E498" i="1"/>
  <c r="E502" i="1"/>
  <c r="E506" i="1"/>
  <c r="E510" i="1"/>
  <c r="E514" i="1"/>
  <c r="E518" i="1"/>
  <c r="E522" i="1"/>
  <c r="E526" i="1"/>
  <c r="E530" i="1"/>
  <c r="E534" i="1"/>
  <c r="E538" i="1"/>
  <c r="E542" i="1"/>
  <c r="E546" i="1"/>
  <c r="E550" i="1"/>
  <c r="E554" i="1"/>
  <c r="E558" i="1"/>
  <c r="E562" i="1"/>
  <c r="E566" i="1"/>
  <c r="E570" i="1"/>
  <c r="E574" i="1"/>
  <c r="E578" i="1"/>
  <c r="E582" i="1"/>
  <c r="E586" i="1"/>
  <c r="E590" i="1"/>
  <c r="E594" i="1"/>
  <c r="E598" i="1"/>
  <c r="E2" i="1"/>
  <c r="E19" i="1"/>
  <c r="E40" i="1"/>
  <c r="E62" i="1"/>
  <c r="E83" i="1"/>
  <c r="E104" i="1"/>
  <c r="E126" i="1"/>
  <c r="E147" i="1"/>
  <c r="E168" i="1"/>
  <c r="E184" i="1"/>
  <c r="E195" i="1"/>
  <c r="E202" i="1"/>
  <c r="E208" i="1"/>
  <c r="E216" i="1"/>
  <c r="E223" i="1"/>
  <c r="E230" i="1"/>
  <c r="E238" i="1"/>
  <c r="E244" i="1"/>
  <c r="E251" i="1"/>
  <c r="E259" i="1"/>
  <c r="E266" i="1"/>
  <c r="E272" i="1"/>
  <c r="E280" i="1"/>
  <c r="E287" i="1"/>
  <c r="E293" i="1"/>
  <c r="E299" i="1"/>
  <c r="E304" i="1"/>
  <c r="E309" i="1"/>
  <c r="E315" i="1"/>
  <c r="E320" i="1"/>
  <c r="E325" i="1"/>
  <c r="E331" i="1"/>
  <c r="E336" i="1"/>
  <c r="E341" i="1"/>
  <c r="E347" i="1"/>
  <c r="E352" i="1"/>
  <c r="E357" i="1"/>
  <c r="E363" i="1"/>
  <c r="E368" i="1"/>
  <c r="E373" i="1"/>
  <c r="E379" i="1"/>
  <c r="E384" i="1"/>
  <c r="E389" i="1"/>
  <c r="E395" i="1"/>
  <c r="E400" i="1"/>
  <c r="E405" i="1"/>
  <c r="E411" i="1"/>
  <c r="E416" i="1"/>
  <c r="E421" i="1"/>
  <c r="E427" i="1"/>
  <c r="E432" i="1"/>
  <c r="E437" i="1"/>
  <c r="E443" i="1"/>
  <c r="E448" i="1"/>
  <c r="E453" i="1"/>
  <c r="E459" i="1"/>
  <c r="E464" i="1"/>
  <c r="E469" i="1"/>
  <c r="E475" i="1"/>
  <c r="E480" i="1"/>
  <c r="E485" i="1"/>
  <c r="E491" i="1"/>
  <c r="E496" i="1"/>
  <c r="E501" i="1"/>
  <c r="E507" i="1"/>
  <c r="E512" i="1"/>
  <c r="E517" i="1"/>
  <c r="E523" i="1"/>
  <c r="E528" i="1"/>
  <c r="E533" i="1"/>
  <c r="E539" i="1"/>
  <c r="E544" i="1"/>
  <c r="E549" i="1"/>
  <c r="E555" i="1"/>
  <c r="E560" i="1"/>
  <c r="E565" i="1"/>
  <c r="E571" i="1"/>
  <c r="E576" i="1"/>
  <c r="E581" i="1"/>
  <c r="E587" i="1"/>
  <c r="E592" i="1"/>
  <c r="E597" i="1"/>
  <c r="E3" i="1"/>
  <c r="E24" i="1"/>
  <c r="E46" i="1"/>
  <c r="E67" i="1"/>
  <c r="E88" i="1"/>
  <c r="E110" i="1"/>
  <c r="E131" i="1"/>
  <c r="E152" i="1"/>
  <c r="E174" i="1"/>
  <c r="E187" i="1"/>
  <c r="E196" i="1"/>
  <c r="E203" i="1"/>
  <c r="E211" i="1"/>
  <c r="E218" i="1"/>
  <c r="E224" i="1"/>
  <c r="E232" i="1"/>
  <c r="E239" i="1"/>
  <c r="E246" i="1"/>
  <c r="E254" i="1"/>
  <c r="E260" i="1"/>
  <c r="E267" i="1"/>
  <c r="E275" i="1"/>
  <c r="E282" i="1"/>
  <c r="E288" i="1"/>
  <c r="E295" i="1"/>
  <c r="E300" i="1"/>
  <c r="E305" i="1"/>
  <c r="E311" i="1"/>
  <c r="E316" i="1"/>
  <c r="E321" i="1"/>
  <c r="E327" i="1"/>
  <c r="E332" i="1"/>
  <c r="E337" i="1"/>
  <c r="E343" i="1"/>
  <c r="E348" i="1"/>
  <c r="E353" i="1"/>
  <c r="E359" i="1"/>
  <c r="E364" i="1"/>
  <c r="E369" i="1"/>
  <c r="E375" i="1"/>
  <c r="E380" i="1"/>
  <c r="E385" i="1"/>
  <c r="E391" i="1"/>
  <c r="E396" i="1"/>
  <c r="E401" i="1"/>
  <c r="E407" i="1"/>
  <c r="E412" i="1"/>
  <c r="E417" i="1"/>
  <c r="E423" i="1"/>
  <c r="E428" i="1"/>
  <c r="E433" i="1"/>
  <c r="E439" i="1"/>
  <c r="E444" i="1"/>
  <c r="E449" i="1"/>
  <c r="E455" i="1"/>
  <c r="E460" i="1"/>
  <c r="E465" i="1"/>
  <c r="E471" i="1"/>
  <c r="E476" i="1"/>
  <c r="E481" i="1"/>
  <c r="E487" i="1"/>
  <c r="E492" i="1"/>
  <c r="E497" i="1"/>
  <c r="E503" i="1"/>
  <c r="E508" i="1"/>
  <c r="E513" i="1"/>
  <c r="E519" i="1"/>
  <c r="E524" i="1"/>
  <c r="E529" i="1"/>
  <c r="E535" i="1"/>
  <c r="E540" i="1"/>
  <c r="E545" i="1"/>
  <c r="E551" i="1"/>
  <c r="E556" i="1"/>
  <c r="E561" i="1"/>
  <c r="E567" i="1"/>
  <c r="E572" i="1"/>
  <c r="E577" i="1"/>
  <c r="E583" i="1"/>
  <c r="E588" i="1"/>
  <c r="E593" i="1"/>
  <c r="E599" i="1"/>
  <c r="E14" i="1"/>
  <c r="E35" i="1"/>
  <c r="E56" i="1"/>
  <c r="E78" i="1"/>
  <c r="E99" i="1"/>
  <c r="E120" i="1"/>
  <c r="E142" i="1"/>
  <c r="E163" i="1"/>
  <c r="E182" i="1"/>
  <c r="E192" i="1"/>
  <c r="E200" i="1"/>
  <c r="E207" i="1"/>
  <c r="E214" i="1"/>
  <c r="E222" i="1"/>
  <c r="E228" i="1"/>
  <c r="E235" i="1"/>
  <c r="E243" i="1"/>
  <c r="E250" i="1"/>
  <c r="E256" i="1"/>
  <c r="E264" i="1"/>
  <c r="E271" i="1"/>
  <c r="E278" i="1"/>
  <c r="E286" i="1"/>
  <c r="E292" i="1"/>
  <c r="E297" i="1"/>
  <c r="E303" i="1"/>
  <c r="E308" i="1"/>
  <c r="E313" i="1"/>
  <c r="E319" i="1"/>
  <c r="E324" i="1"/>
  <c r="E329" i="1"/>
  <c r="E335" i="1"/>
  <c r="E340" i="1"/>
  <c r="E345" i="1"/>
  <c r="E351" i="1"/>
  <c r="E356" i="1"/>
  <c r="E361" i="1"/>
  <c r="E367" i="1"/>
  <c r="E372" i="1"/>
  <c r="E377" i="1"/>
  <c r="E383" i="1"/>
  <c r="E388" i="1"/>
  <c r="E393" i="1"/>
  <c r="E399" i="1"/>
  <c r="E404" i="1"/>
  <c r="E409" i="1"/>
  <c r="E415" i="1"/>
  <c r="E420" i="1"/>
  <c r="E425" i="1"/>
  <c r="E431" i="1"/>
  <c r="E436" i="1"/>
  <c r="E441" i="1"/>
  <c r="E447" i="1"/>
  <c r="E452" i="1"/>
  <c r="E457" i="1"/>
  <c r="E463" i="1"/>
  <c r="E468" i="1"/>
  <c r="E473" i="1"/>
  <c r="E479" i="1"/>
  <c r="E484" i="1"/>
  <c r="E489" i="1"/>
  <c r="E495" i="1"/>
  <c r="E500" i="1"/>
  <c r="E505" i="1"/>
  <c r="E511" i="1"/>
  <c r="E516" i="1"/>
  <c r="E521" i="1"/>
  <c r="E527" i="1"/>
  <c r="E532" i="1"/>
  <c r="E537" i="1"/>
  <c r="E543" i="1"/>
  <c r="E548" i="1"/>
  <c r="E553" i="1"/>
  <c r="E559" i="1"/>
  <c r="E564" i="1"/>
  <c r="E569" i="1"/>
  <c r="E575" i="1"/>
  <c r="E580" i="1"/>
  <c r="E585" i="1"/>
  <c r="E591" i="1"/>
  <c r="E596" i="1"/>
  <c r="E601" i="1"/>
  <c r="E589" i="1"/>
  <c r="E568" i="1"/>
  <c r="E547" i="1"/>
  <c r="E525" i="1"/>
  <c r="E504" i="1"/>
  <c r="E483" i="1"/>
  <c r="E461" i="1"/>
  <c r="E440" i="1"/>
  <c r="E419" i="1"/>
  <c r="E397" i="1"/>
  <c r="E376" i="1"/>
  <c r="E355" i="1"/>
  <c r="E333" i="1"/>
  <c r="E312" i="1"/>
  <c r="E291" i="1"/>
  <c r="E262" i="1"/>
  <c r="E234" i="1"/>
  <c r="E206" i="1"/>
  <c r="E158" i="1"/>
  <c r="E72" i="1"/>
  <c r="D6" i="1"/>
  <c r="D10" i="1"/>
  <c r="D14" i="1"/>
  <c r="D18" i="1"/>
  <c r="D22" i="1"/>
  <c r="D26" i="1"/>
  <c r="D30" i="1"/>
  <c r="D34" i="1"/>
  <c r="D38" i="1"/>
  <c r="D42" i="1"/>
  <c r="D46" i="1"/>
  <c r="D50" i="1"/>
  <c r="D54" i="1"/>
  <c r="D58" i="1"/>
  <c r="D62" i="1"/>
  <c r="D66" i="1"/>
  <c r="D70" i="1"/>
  <c r="D74" i="1"/>
  <c r="D78" i="1"/>
  <c r="D82" i="1"/>
  <c r="D86" i="1"/>
  <c r="D90" i="1"/>
  <c r="D94" i="1"/>
  <c r="D98" i="1"/>
  <c r="D102" i="1"/>
  <c r="D106" i="1"/>
  <c r="D110" i="1"/>
  <c r="D114" i="1"/>
  <c r="D118" i="1"/>
  <c r="D122" i="1"/>
  <c r="D126" i="1"/>
  <c r="D130" i="1"/>
  <c r="D134" i="1"/>
  <c r="D138" i="1"/>
  <c r="D142" i="1"/>
  <c r="D146" i="1"/>
  <c r="D150" i="1"/>
  <c r="D599" i="1"/>
  <c r="D595" i="1"/>
  <c r="D591" i="1"/>
  <c r="D587" i="1"/>
  <c r="D583" i="1"/>
  <c r="D579" i="1"/>
  <c r="D575" i="1"/>
  <c r="D571" i="1"/>
  <c r="D567" i="1"/>
  <c r="D563" i="1"/>
  <c r="D559" i="1"/>
  <c r="D555" i="1"/>
  <c r="D551" i="1"/>
  <c r="D547" i="1"/>
  <c r="D543" i="1"/>
  <c r="D539" i="1"/>
  <c r="D535" i="1"/>
  <c r="D531" i="1"/>
  <c r="D527" i="1"/>
  <c r="D523" i="1"/>
  <c r="D519" i="1"/>
  <c r="D515" i="1"/>
  <c r="D511" i="1"/>
  <c r="D507" i="1"/>
  <c r="D503" i="1"/>
  <c r="D499" i="1"/>
  <c r="D495" i="1"/>
  <c r="D491" i="1"/>
  <c r="D487" i="1"/>
  <c r="D483" i="1"/>
  <c r="D479" i="1"/>
  <c r="D475" i="1"/>
  <c r="D471" i="1"/>
  <c r="D467" i="1"/>
  <c r="D463" i="1"/>
  <c r="D459" i="1"/>
  <c r="D455" i="1"/>
  <c r="D451" i="1"/>
  <c r="D447" i="1"/>
  <c r="D443" i="1"/>
  <c r="D439" i="1"/>
  <c r="D435" i="1"/>
  <c r="D431" i="1"/>
  <c r="D427" i="1"/>
  <c r="D423" i="1"/>
  <c r="D419" i="1"/>
  <c r="D415" i="1"/>
  <c r="D411" i="1"/>
  <c r="D407" i="1"/>
  <c r="D403" i="1"/>
  <c r="D399" i="1"/>
  <c r="D395" i="1"/>
  <c r="D391" i="1"/>
  <c r="D387" i="1"/>
  <c r="D383" i="1"/>
  <c r="D379" i="1"/>
  <c r="D375" i="1"/>
  <c r="D371" i="1"/>
  <c r="D367" i="1"/>
  <c r="D363" i="1"/>
  <c r="D359" i="1"/>
  <c r="D355" i="1"/>
  <c r="D351" i="1"/>
  <c r="D347" i="1"/>
  <c r="D343" i="1"/>
  <c r="D339" i="1"/>
  <c r="D335" i="1"/>
  <c r="D331" i="1"/>
  <c r="D327" i="1"/>
  <c r="D323" i="1"/>
  <c r="D319" i="1"/>
  <c r="D315" i="1"/>
  <c r="D311" i="1"/>
  <c r="D307" i="1"/>
  <c r="D303" i="1"/>
  <c r="D299" i="1"/>
  <c r="D295" i="1"/>
  <c r="D291" i="1"/>
  <c r="D287" i="1"/>
  <c r="D283" i="1"/>
  <c r="D279" i="1"/>
  <c r="D275" i="1"/>
  <c r="D271" i="1"/>
  <c r="D267" i="1"/>
  <c r="D263" i="1"/>
  <c r="D259" i="1"/>
  <c r="D255" i="1"/>
  <c r="D251" i="1"/>
  <c r="D247" i="1"/>
  <c r="D243" i="1"/>
  <c r="D239" i="1"/>
  <c r="D235" i="1"/>
  <c r="D231" i="1"/>
  <c r="D227" i="1"/>
  <c r="D223" i="1"/>
  <c r="D219" i="1"/>
  <c r="D215" i="1"/>
  <c r="D211" i="1"/>
  <c r="D207" i="1"/>
  <c r="D203" i="1"/>
  <c r="D199" i="1"/>
  <c r="D195" i="1"/>
  <c r="D191" i="1"/>
  <c r="D187" i="1"/>
  <c r="D183" i="1"/>
  <c r="D179" i="1"/>
  <c r="D175" i="1"/>
  <c r="D171" i="1"/>
  <c r="D167" i="1"/>
  <c r="D163" i="1"/>
  <c r="D159" i="1"/>
  <c r="D155" i="1"/>
  <c r="D151" i="1"/>
  <c r="D145" i="1"/>
  <c r="D140" i="1"/>
  <c r="D135" i="1"/>
  <c r="D129" i="1"/>
  <c r="D124" i="1"/>
  <c r="D119" i="1"/>
  <c r="D113" i="1"/>
  <c r="D108" i="1"/>
  <c r="D103" i="1"/>
  <c r="D97" i="1"/>
  <c r="D92" i="1"/>
  <c r="D87" i="1"/>
  <c r="D81" i="1"/>
  <c r="D76" i="1"/>
  <c r="D71" i="1"/>
  <c r="D65" i="1"/>
  <c r="D60" i="1"/>
  <c r="D55" i="1"/>
  <c r="D49" i="1"/>
  <c r="D44" i="1"/>
  <c r="D39" i="1"/>
  <c r="D33" i="1"/>
  <c r="D28" i="1"/>
  <c r="D23" i="1"/>
  <c r="D17" i="1"/>
  <c r="D12" i="1"/>
  <c r="D7" i="1"/>
  <c r="D15" i="1"/>
  <c r="D9" i="1"/>
  <c r="D4" i="1"/>
  <c r="D19" i="1"/>
  <c r="D13" i="1"/>
  <c r="D8" i="1"/>
  <c r="D3" i="1"/>
  <c r="G2" i="1"/>
  <c r="N4" i="1" l="1"/>
  <c r="M4" i="1"/>
</calcChain>
</file>

<file path=xl/connections.xml><?xml version="1.0" encoding="utf-8"?>
<connections xmlns="http://schemas.openxmlformats.org/spreadsheetml/2006/main">
  <connection id="1" name="gra" type="6" refreshedVersion="6" background="1" saveData="1">
    <textPr codePage="852" sourceFile="C:\Users\2022aR\Desktop\Matura\2025-11\gra.txt" decimal="," thousands=" " tab="0" semicolon="1">
      <textFields count="3">
        <textField/>
        <textField/>
        <textField/>
      </textFields>
    </textPr>
  </connection>
  <connection id="2" name="gra1" type="6" refreshedVersion="6" background="1" saveData="1">
    <textPr codePage="852" sourceFile="C:\Users\2022aR\Desktop\Matura\2025-11\gra.txt" decimal="," thousands=" " tab="0" semicolon="1">
      <textFields count="3"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<sst xmlns="http://schemas.openxmlformats.org/spreadsheetml/2006/main" count="20" uniqueCount="17">
  <si>
    <t>Jedzenie</t>
  </si>
  <si>
    <t>Drewno</t>
  </si>
  <si>
    <t>Zloto</t>
  </si>
  <si>
    <t>Max</t>
  </si>
  <si>
    <t>Min</t>
  </si>
  <si>
    <t>Czy Min</t>
  </si>
  <si>
    <t>Czy Max</t>
  </si>
  <si>
    <t>Ile Max</t>
  </si>
  <si>
    <t>Ile Min</t>
  </si>
  <si>
    <t>Max Seria</t>
  </si>
  <si>
    <t>Godzina</t>
  </si>
  <si>
    <t>Godzina gry</t>
  </si>
  <si>
    <t>Suma z Jedzenie</t>
  </si>
  <si>
    <t>Suma z Drewno</t>
  </si>
  <si>
    <t>Suma z Zloto</t>
  </si>
  <si>
    <t>Etykiety wierszy</t>
  </si>
  <si>
    <t>Suma końcowa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</si>
</sst>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0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[Warownia.xlsx]6.3!Tabela przestawna1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'6.3'!$B$3</c:f>
              <c:strCache>
                <c:ptCount val="1"/>
                <c:pt idx="0">
                  <c:v>Suma z Jedzenie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'6.3'!$A$4:$A$7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'6.3'!$B$4:$B$7</c:f>
              <c:numCache>
                <c:formatCode>General</c:formatCode>
                <c:ptCount val="3"/>
                <c:pt idx="0">
                  <c:v>3212</c:v>
                </c:pt>
                <c:pt idx="1">
                  <c:v>3271</c:v>
                </c:pt>
                <c:pt idx="2">
                  <c:v>2905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21-49DA-B7B9-749767E2E421}"/>
            </c:ext>
          </c:extLst>
        </c:ser>
        <c:ser>
          <c:idx val="1"/>
          <c:order val="1"/>
          <c:tx>
            <c:strRef>
              <c:f>'6.3'!$C$3</c:f>
              <c:strCache>
                <c:ptCount val="1"/>
                <c:pt idx="0">
                  <c:v>Suma z Drewno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'6.3'!$A$4:$A$7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'6.3'!$C$4:$C$7</c:f>
              <c:numCache>
                <c:formatCode>General</c:formatCode>
                <c:ptCount val="3"/>
                <c:pt idx="0">
                  <c:v>1030</c:v>
                </c:pt>
                <c:pt idx="1">
                  <c:v>1163</c:v>
                </c:pt>
                <c:pt idx="2">
                  <c:v>1124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21-49DA-B7B9-749767E2E421}"/>
            </c:ext>
          </c:extLst>
        </c:ser>
        <c:ser>
          <c:idx val="2"/>
          <c:order val="2"/>
          <c:tx>
            <c:strRef>
              <c:f>'6.3'!$D$3</c:f>
              <c:strCache>
                <c:ptCount val="1"/>
                <c:pt idx="0">
                  <c:v>Suma z Zloto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'6.3'!$A$4:$A$7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'6.3'!$D$4:$D$7</c:f>
              <c:numCache>
                <c:formatCode>General</c:formatCode>
                <c:ptCount val="3"/>
                <c:pt idx="0">
                  <c:v>295</c:v>
                </c:pt>
                <c:pt idx="1">
                  <c:v>328</c:v>
                </c:pt>
                <c:pt idx="2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21-49DA-B7B9-749767E2E4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3678623"/>
        <c:axId val="503679039"/>
      </c:barChart>
      <c:catAx>
        <c:axId val="50367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03679039"/>
        <c:crosses val="autoZero"/>
        <c:auto val="1"/>
        <c:lblAlgn val="ctr"/>
        <c:lblOffset val="100"/>
        <c:noMultiLvlLbl val="0"/>
      </c:catAx>
      <c:valAx>
        <c:axId val="503679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03678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481012</xdr:colOff>
      <xdr:row>3</xdr:row>
      <xdr:rowOff>19050</xdr:rowOff>
    </xdr:from>
    <xdr:to>
      <xdr:col>12</xdr:col>
      <xdr:colOff>176212</xdr:colOff>
      <xdr:row>17</xdr:row>
      <xdr:rowOff>95250</xdr:rowOff>
    </xdr:to>
    <xdr:graphicFrame macro="">
      <xdr:nvGraphicFramePr>
        <xdr:cNvPr id="2" name="Wykres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2022aR" refreshedDate="45996.541872800924" createdVersion="6" refreshedVersion="6" minRefreshableVersion="3" recordCount="178">
  <cacheSource type="worksheet">
    <worksheetSource ref="P1:S179" sheet="Dane"/>
  </cacheSource>
  <cacheFields count="4">
    <cacheField name="Godzina gry" numFmtId="0">
      <sharedItems containsSemiMixedTypes="0" containsString="0" containsNumber="1" containsInteger="1" minValue="1" maxValue="3" count="3">
        <n v="1"/>
        <n v="2"/>
        <n v="3"/>
      </sharedItems>
    </cacheField>
    <cacheField name="Jedzenie" numFmtId="0">
      <sharedItems containsSemiMixedTypes="0" containsString="0" containsNumber="1" containsInteger="1" minValue="10" maxValue="100"/>
    </cacheField>
    <cacheField name="Drewno" numFmtId="0">
      <sharedItems containsSemiMixedTypes="0" containsString="0" containsNumber="1" containsInteger="1" minValue="5" maxValue="30"/>
    </cacheField>
    <cacheField name="Zloto" numFmtId="0">
      <sharedItems containsSemiMixedTypes="0" containsString="0" containsNumber="1" containsInteger="1" minValue="1" maxValue="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78">
  <r>
    <x v="0"/>
    <n v="40"/>
    <n v="28"/>
    <n v="10"/>
  </r>
  <r>
    <x v="0"/>
    <n v="74"/>
    <n v="14"/>
    <n v="1"/>
  </r>
  <r>
    <x v="0"/>
    <n v="11"/>
    <n v="26"/>
    <n v="8"/>
  </r>
  <r>
    <x v="0"/>
    <n v="74"/>
    <n v="29"/>
    <n v="3"/>
  </r>
  <r>
    <x v="0"/>
    <n v="39"/>
    <n v="15"/>
    <n v="3"/>
  </r>
  <r>
    <x v="0"/>
    <n v="36"/>
    <n v="26"/>
    <n v="5"/>
  </r>
  <r>
    <x v="0"/>
    <n v="12"/>
    <n v="21"/>
    <n v="4"/>
  </r>
  <r>
    <x v="0"/>
    <n v="19"/>
    <n v="13"/>
    <n v="7"/>
  </r>
  <r>
    <x v="0"/>
    <n v="90"/>
    <n v="10"/>
    <n v="4"/>
  </r>
  <r>
    <x v="0"/>
    <n v="46"/>
    <n v="26"/>
    <n v="4"/>
  </r>
  <r>
    <x v="0"/>
    <n v="90"/>
    <n v="7"/>
    <n v="3"/>
  </r>
  <r>
    <x v="0"/>
    <n v="44"/>
    <n v="19"/>
    <n v="10"/>
  </r>
  <r>
    <x v="0"/>
    <n v="98"/>
    <n v="27"/>
    <n v="1"/>
  </r>
  <r>
    <x v="0"/>
    <n v="93"/>
    <n v="22"/>
    <n v="3"/>
  </r>
  <r>
    <x v="0"/>
    <n v="22"/>
    <n v="11"/>
    <n v="1"/>
  </r>
  <r>
    <x v="0"/>
    <n v="30"/>
    <n v="7"/>
    <n v="4"/>
  </r>
  <r>
    <x v="0"/>
    <n v="93"/>
    <n v="19"/>
    <n v="9"/>
  </r>
  <r>
    <x v="0"/>
    <n v="32"/>
    <n v="11"/>
    <n v="7"/>
  </r>
  <r>
    <x v="0"/>
    <n v="67"/>
    <n v="11"/>
    <n v="9"/>
  </r>
  <r>
    <x v="0"/>
    <n v="12"/>
    <n v="23"/>
    <n v="7"/>
  </r>
  <r>
    <x v="0"/>
    <n v="82"/>
    <n v="23"/>
    <n v="7"/>
  </r>
  <r>
    <x v="0"/>
    <n v="23"/>
    <n v="7"/>
    <n v="5"/>
  </r>
  <r>
    <x v="0"/>
    <n v="27"/>
    <n v="22"/>
    <n v="2"/>
  </r>
  <r>
    <x v="0"/>
    <n v="38"/>
    <n v="6"/>
    <n v="10"/>
  </r>
  <r>
    <x v="0"/>
    <n v="74"/>
    <n v="7"/>
    <n v="2"/>
  </r>
  <r>
    <x v="0"/>
    <n v="31"/>
    <n v="14"/>
    <n v="2"/>
  </r>
  <r>
    <x v="0"/>
    <n v="73"/>
    <n v="11"/>
    <n v="5"/>
  </r>
  <r>
    <x v="0"/>
    <n v="42"/>
    <n v="21"/>
    <n v="5"/>
  </r>
  <r>
    <x v="0"/>
    <n v="57"/>
    <n v="27"/>
    <n v="10"/>
  </r>
  <r>
    <x v="0"/>
    <n v="17"/>
    <n v="20"/>
    <n v="6"/>
  </r>
  <r>
    <x v="0"/>
    <n v="30"/>
    <n v="8"/>
    <n v="4"/>
  </r>
  <r>
    <x v="0"/>
    <n v="76"/>
    <n v="15"/>
    <n v="9"/>
  </r>
  <r>
    <x v="0"/>
    <n v="57"/>
    <n v="9"/>
    <n v="1"/>
  </r>
  <r>
    <x v="0"/>
    <n v="57"/>
    <n v="16"/>
    <n v="8"/>
  </r>
  <r>
    <x v="0"/>
    <n v="55"/>
    <n v="22"/>
    <n v="4"/>
  </r>
  <r>
    <x v="0"/>
    <n v="56"/>
    <n v="30"/>
    <n v="3"/>
  </r>
  <r>
    <x v="0"/>
    <n v="78"/>
    <n v="27"/>
    <n v="8"/>
  </r>
  <r>
    <x v="0"/>
    <n v="99"/>
    <n v="5"/>
    <n v="8"/>
  </r>
  <r>
    <x v="0"/>
    <n v="73"/>
    <n v="25"/>
    <n v="6"/>
  </r>
  <r>
    <x v="0"/>
    <n v="14"/>
    <n v="25"/>
    <n v="7"/>
  </r>
  <r>
    <x v="0"/>
    <n v="18"/>
    <n v="24"/>
    <n v="2"/>
  </r>
  <r>
    <x v="0"/>
    <n v="32"/>
    <n v="18"/>
    <n v="3"/>
  </r>
  <r>
    <x v="0"/>
    <n v="73"/>
    <n v="14"/>
    <n v="2"/>
  </r>
  <r>
    <x v="0"/>
    <n v="71"/>
    <n v="17"/>
    <n v="10"/>
  </r>
  <r>
    <x v="0"/>
    <n v="97"/>
    <n v="28"/>
    <n v="1"/>
  </r>
  <r>
    <x v="0"/>
    <n v="77"/>
    <n v="19"/>
    <n v="7"/>
  </r>
  <r>
    <x v="0"/>
    <n v="22"/>
    <n v="8"/>
    <n v="7"/>
  </r>
  <r>
    <x v="0"/>
    <n v="65"/>
    <n v="22"/>
    <n v="1"/>
  </r>
  <r>
    <x v="0"/>
    <n v="20"/>
    <n v="11"/>
    <n v="10"/>
  </r>
  <r>
    <x v="0"/>
    <n v="36"/>
    <n v="25"/>
    <n v="6"/>
  </r>
  <r>
    <x v="0"/>
    <n v="89"/>
    <n v="29"/>
    <n v="1"/>
  </r>
  <r>
    <x v="0"/>
    <n v="84"/>
    <n v="19"/>
    <n v="7"/>
  </r>
  <r>
    <x v="0"/>
    <n v="93"/>
    <n v="17"/>
    <n v="1"/>
  </r>
  <r>
    <x v="0"/>
    <n v="78"/>
    <n v="19"/>
    <n v="7"/>
  </r>
  <r>
    <x v="0"/>
    <n v="14"/>
    <n v="20"/>
    <n v="1"/>
  </r>
  <r>
    <x v="0"/>
    <n v="97"/>
    <n v="8"/>
    <n v="3"/>
  </r>
  <r>
    <x v="0"/>
    <n v="51"/>
    <n v="9"/>
    <n v="5"/>
  </r>
  <r>
    <x v="0"/>
    <n v="54"/>
    <n v="12"/>
    <n v="2"/>
  </r>
  <r>
    <x v="0"/>
    <n v="60"/>
    <n v="6"/>
    <n v="4"/>
  </r>
  <r>
    <x v="1"/>
    <n v="10"/>
    <n v="23"/>
    <n v="4"/>
  </r>
  <r>
    <x v="1"/>
    <n v="17"/>
    <n v="26"/>
    <n v="4"/>
  </r>
  <r>
    <x v="1"/>
    <n v="52"/>
    <n v="10"/>
    <n v="5"/>
  </r>
  <r>
    <x v="1"/>
    <n v="47"/>
    <n v="28"/>
    <n v="7"/>
  </r>
  <r>
    <x v="1"/>
    <n v="14"/>
    <n v="23"/>
    <n v="4"/>
  </r>
  <r>
    <x v="1"/>
    <n v="94"/>
    <n v="16"/>
    <n v="3"/>
  </r>
  <r>
    <x v="1"/>
    <n v="67"/>
    <n v="11"/>
    <n v="5"/>
  </r>
  <r>
    <x v="1"/>
    <n v="61"/>
    <n v="20"/>
    <n v="3"/>
  </r>
  <r>
    <x v="1"/>
    <n v="72"/>
    <n v="7"/>
    <n v="4"/>
  </r>
  <r>
    <x v="1"/>
    <n v="88"/>
    <n v="25"/>
    <n v="9"/>
  </r>
  <r>
    <x v="1"/>
    <n v="29"/>
    <n v="29"/>
    <n v="7"/>
  </r>
  <r>
    <x v="1"/>
    <n v="52"/>
    <n v="30"/>
    <n v="2"/>
  </r>
  <r>
    <x v="1"/>
    <n v="55"/>
    <n v="8"/>
    <n v="10"/>
  </r>
  <r>
    <x v="1"/>
    <n v="98"/>
    <n v="21"/>
    <n v="10"/>
  </r>
  <r>
    <x v="1"/>
    <n v="55"/>
    <n v="28"/>
    <n v="8"/>
  </r>
  <r>
    <x v="1"/>
    <n v="83"/>
    <n v="28"/>
    <n v="2"/>
  </r>
  <r>
    <x v="1"/>
    <n v="59"/>
    <n v="26"/>
    <n v="1"/>
  </r>
  <r>
    <x v="1"/>
    <n v="68"/>
    <n v="24"/>
    <n v="9"/>
  </r>
  <r>
    <x v="1"/>
    <n v="33"/>
    <n v="21"/>
    <n v="7"/>
  </r>
  <r>
    <x v="1"/>
    <n v="58"/>
    <n v="6"/>
    <n v="4"/>
  </r>
  <r>
    <x v="1"/>
    <n v="73"/>
    <n v="8"/>
    <n v="5"/>
  </r>
  <r>
    <x v="1"/>
    <n v="83"/>
    <n v="28"/>
    <n v="6"/>
  </r>
  <r>
    <x v="1"/>
    <n v="48"/>
    <n v="28"/>
    <n v="4"/>
  </r>
  <r>
    <x v="1"/>
    <n v="96"/>
    <n v="5"/>
    <n v="9"/>
  </r>
  <r>
    <x v="1"/>
    <n v="64"/>
    <n v="15"/>
    <n v="6"/>
  </r>
  <r>
    <x v="1"/>
    <n v="12"/>
    <n v="27"/>
    <n v="5"/>
  </r>
  <r>
    <x v="1"/>
    <n v="89"/>
    <n v="8"/>
    <n v="4"/>
  </r>
  <r>
    <x v="1"/>
    <n v="49"/>
    <n v="25"/>
    <n v="10"/>
  </r>
  <r>
    <x v="1"/>
    <n v="57"/>
    <n v="14"/>
    <n v="10"/>
  </r>
  <r>
    <x v="1"/>
    <n v="10"/>
    <n v="22"/>
    <n v="9"/>
  </r>
  <r>
    <x v="1"/>
    <n v="22"/>
    <n v="16"/>
    <n v="6"/>
  </r>
  <r>
    <x v="1"/>
    <n v="20"/>
    <n v="21"/>
    <n v="8"/>
  </r>
  <r>
    <x v="1"/>
    <n v="85"/>
    <n v="28"/>
    <n v="3"/>
  </r>
  <r>
    <x v="1"/>
    <n v="71"/>
    <n v="13"/>
    <n v="5"/>
  </r>
  <r>
    <x v="1"/>
    <n v="67"/>
    <n v="10"/>
    <n v="1"/>
  </r>
  <r>
    <x v="1"/>
    <n v="39"/>
    <n v="27"/>
    <n v="10"/>
  </r>
  <r>
    <x v="1"/>
    <n v="29"/>
    <n v="28"/>
    <n v="2"/>
  </r>
  <r>
    <x v="1"/>
    <n v="68"/>
    <n v="30"/>
    <n v="6"/>
  </r>
  <r>
    <x v="1"/>
    <n v="57"/>
    <n v="14"/>
    <n v="1"/>
  </r>
  <r>
    <x v="1"/>
    <n v="62"/>
    <n v="19"/>
    <n v="6"/>
  </r>
  <r>
    <x v="1"/>
    <n v="16"/>
    <n v="14"/>
    <n v="10"/>
  </r>
  <r>
    <x v="1"/>
    <n v="51"/>
    <n v="25"/>
    <n v="6"/>
  </r>
  <r>
    <x v="1"/>
    <n v="61"/>
    <n v="21"/>
    <n v="4"/>
  </r>
  <r>
    <x v="1"/>
    <n v="25"/>
    <n v="9"/>
    <n v="6"/>
  </r>
  <r>
    <x v="1"/>
    <n v="23"/>
    <n v="29"/>
    <n v="10"/>
  </r>
  <r>
    <x v="1"/>
    <n v="87"/>
    <n v="18"/>
    <n v="6"/>
  </r>
  <r>
    <x v="1"/>
    <n v="65"/>
    <n v="18"/>
    <n v="1"/>
  </r>
  <r>
    <x v="1"/>
    <n v="90"/>
    <n v="20"/>
    <n v="7"/>
  </r>
  <r>
    <x v="1"/>
    <n v="100"/>
    <n v="11"/>
    <n v="2"/>
  </r>
  <r>
    <x v="1"/>
    <n v="28"/>
    <n v="22"/>
    <n v="3"/>
  </r>
  <r>
    <x v="1"/>
    <n v="50"/>
    <n v="22"/>
    <n v="4"/>
  </r>
  <r>
    <x v="1"/>
    <n v="87"/>
    <n v="19"/>
    <n v="9"/>
  </r>
  <r>
    <x v="1"/>
    <n v="16"/>
    <n v="16"/>
    <n v="10"/>
  </r>
  <r>
    <x v="1"/>
    <n v="48"/>
    <n v="8"/>
    <n v="5"/>
  </r>
  <r>
    <x v="1"/>
    <n v="32"/>
    <n v="22"/>
    <n v="1"/>
  </r>
  <r>
    <x v="1"/>
    <n v="18"/>
    <n v="12"/>
    <n v="3"/>
  </r>
  <r>
    <x v="1"/>
    <n v="51"/>
    <n v="11"/>
    <n v="1"/>
  </r>
  <r>
    <x v="1"/>
    <n v="78"/>
    <n v="28"/>
    <n v="3"/>
  </r>
  <r>
    <x v="1"/>
    <n v="53"/>
    <n v="29"/>
    <n v="4"/>
  </r>
  <r>
    <x v="1"/>
    <n v="79"/>
    <n v="13"/>
    <n v="9"/>
  </r>
  <r>
    <x v="2"/>
    <n v="17"/>
    <n v="13"/>
    <n v="3"/>
  </r>
  <r>
    <x v="2"/>
    <n v="85"/>
    <n v="18"/>
    <n v="4"/>
  </r>
  <r>
    <x v="2"/>
    <n v="95"/>
    <n v="12"/>
    <n v="9"/>
  </r>
  <r>
    <x v="2"/>
    <n v="44"/>
    <n v="29"/>
    <n v="8"/>
  </r>
  <r>
    <x v="2"/>
    <n v="88"/>
    <n v="25"/>
    <n v="2"/>
  </r>
  <r>
    <x v="2"/>
    <n v="59"/>
    <n v="17"/>
    <n v="9"/>
  </r>
  <r>
    <x v="2"/>
    <n v="47"/>
    <n v="15"/>
    <n v="1"/>
  </r>
  <r>
    <x v="2"/>
    <n v="40"/>
    <n v="26"/>
    <n v="5"/>
  </r>
  <r>
    <x v="2"/>
    <n v="48"/>
    <n v="18"/>
    <n v="1"/>
  </r>
  <r>
    <x v="2"/>
    <n v="17"/>
    <n v="20"/>
    <n v="9"/>
  </r>
  <r>
    <x v="2"/>
    <n v="70"/>
    <n v="12"/>
    <n v="6"/>
  </r>
  <r>
    <x v="2"/>
    <n v="23"/>
    <n v="19"/>
    <n v="9"/>
  </r>
  <r>
    <x v="2"/>
    <n v="51"/>
    <n v="22"/>
    <n v="1"/>
  </r>
  <r>
    <x v="2"/>
    <n v="39"/>
    <n v="21"/>
    <n v="2"/>
  </r>
  <r>
    <x v="2"/>
    <n v="95"/>
    <n v="7"/>
    <n v="6"/>
  </r>
  <r>
    <x v="2"/>
    <n v="42"/>
    <n v="25"/>
    <n v="9"/>
  </r>
  <r>
    <x v="2"/>
    <n v="31"/>
    <n v="16"/>
    <n v="5"/>
  </r>
  <r>
    <x v="2"/>
    <n v="85"/>
    <n v="28"/>
    <n v="9"/>
  </r>
  <r>
    <x v="2"/>
    <n v="27"/>
    <n v="24"/>
    <n v="1"/>
  </r>
  <r>
    <x v="2"/>
    <n v="23"/>
    <n v="25"/>
    <n v="9"/>
  </r>
  <r>
    <x v="2"/>
    <n v="46"/>
    <n v="7"/>
    <n v="1"/>
  </r>
  <r>
    <x v="2"/>
    <n v="29"/>
    <n v="6"/>
    <n v="2"/>
  </r>
  <r>
    <x v="2"/>
    <n v="39"/>
    <n v="30"/>
    <n v="3"/>
  </r>
  <r>
    <x v="2"/>
    <n v="18"/>
    <n v="20"/>
    <n v="5"/>
  </r>
  <r>
    <x v="2"/>
    <n v="77"/>
    <n v="20"/>
    <n v="1"/>
  </r>
  <r>
    <x v="2"/>
    <n v="21"/>
    <n v="26"/>
    <n v="6"/>
  </r>
  <r>
    <x v="2"/>
    <n v="15"/>
    <n v="10"/>
    <n v="4"/>
  </r>
  <r>
    <x v="2"/>
    <n v="12"/>
    <n v="18"/>
    <n v="6"/>
  </r>
  <r>
    <x v="2"/>
    <n v="98"/>
    <n v="8"/>
    <n v="1"/>
  </r>
  <r>
    <x v="2"/>
    <n v="35"/>
    <n v="22"/>
    <n v="5"/>
  </r>
  <r>
    <x v="2"/>
    <n v="72"/>
    <n v="29"/>
    <n v="10"/>
  </r>
  <r>
    <x v="2"/>
    <n v="98"/>
    <n v="20"/>
    <n v="3"/>
  </r>
  <r>
    <x v="2"/>
    <n v="42"/>
    <n v="7"/>
    <n v="6"/>
  </r>
  <r>
    <x v="2"/>
    <n v="30"/>
    <n v="21"/>
    <n v="1"/>
  </r>
  <r>
    <x v="2"/>
    <n v="42"/>
    <n v="29"/>
    <n v="7"/>
  </r>
  <r>
    <x v="2"/>
    <n v="35"/>
    <n v="14"/>
    <n v="9"/>
  </r>
  <r>
    <x v="2"/>
    <n v="54"/>
    <n v="23"/>
    <n v="4"/>
  </r>
  <r>
    <x v="2"/>
    <n v="28"/>
    <n v="9"/>
    <n v="8"/>
  </r>
  <r>
    <x v="2"/>
    <n v="22"/>
    <n v="13"/>
    <n v="4"/>
  </r>
  <r>
    <x v="2"/>
    <n v="26"/>
    <n v="25"/>
    <n v="5"/>
  </r>
  <r>
    <x v="2"/>
    <n v="76"/>
    <n v="15"/>
    <n v="4"/>
  </r>
  <r>
    <x v="2"/>
    <n v="55"/>
    <n v="16"/>
    <n v="3"/>
  </r>
  <r>
    <x v="2"/>
    <n v="55"/>
    <n v="9"/>
    <n v="1"/>
  </r>
  <r>
    <x v="2"/>
    <n v="16"/>
    <n v="23"/>
    <n v="2"/>
  </r>
  <r>
    <x v="2"/>
    <n v="41"/>
    <n v="15"/>
    <n v="6"/>
  </r>
  <r>
    <x v="2"/>
    <n v="82"/>
    <n v="10"/>
    <n v="2"/>
  </r>
  <r>
    <x v="2"/>
    <n v="48"/>
    <n v="19"/>
    <n v="2"/>
  </r>
  <r>
    <x v="2"/>
    <n v="100"/>
    <n v="29"/>
    <n v="9"/>
  </r>
  <r>
    <x v="2"/>
    <n v="46"/>
    <n v="20"/>
    <n v="2"/>
  </r>
  <r>
    <x v="2"/>
    <n v="67"/>
    <n v="19"/>
    <n v="4"/>
  </r>
  <r>
    <x v="2"/>
    <n v="64"/>
    <n v="21"/>
    <n v="9"/>
  </r>
  <r>
    <x v="2"/>
    <n v="46"/>
    <n v="28"/>
    <n v="8"/>
  </r>
  <r>
    <x v="2"/>
    <n v="57"/>
    <n v="14"/>
    <n v="8"/>
  </r>
  <r>
    <x v="2"/>
    <n v="56"/>
    <n v="11"/>
    <n v="9"/>
  </r>
  <r>
    <x v="2"/>
    <n v="77"/>
    <n v="22"/>
    <n v="10"/>
  </r>
  <r>
    <x v="2"/>
    <n v="36"/>
    <n v="27"/>
    <n v="4"/>
  </r>
  <r>
    <x v="2"/>
    <n v="20"/>
    <n v="27"/>
    <n v="1"/>
  </r>
  <r>
    <x v="2"/>
    <n v="21"/>
    <n v="25"/>
    <n v="9"/>
  </r>
  <r>
    <x v="2"/>
    <n v="77"/>
    <n v="25"/>
    <n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6" minRefreshableVersion="3" useAutoFormatting="1" itemPrintTitles="1" createdVersion="6" indent="0" outline="1" outlineData="1" multipleFieldFilters="0" chartFormat="1">
  <location ref="A3:D7" firstHeaderRow="0" firstDataRow="1" firstDataCol="1"/>
  <pivotFields count="4">
    <pivotField axis="axisRow" showAll="0">
      <items count="4">
        <item x="0"/>
        <item x="1"/>
        <item x="2"/>
        <item t="default"/>
      </items>
    </pivotField>
    <pivotField dataField="1" showAll="0"/>
    <pivotField dataField="1" showAll="0"/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z Jedzenie" fld="1" baseField="0" baseItem="0"/>
    <dataField name="Suma z Drewno" fld="2" baseField="0" baseItem="0"/>
    <dataField name="Suma z Zloto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queryTables/queryTable1.xml><?xml version="1.0" encoding="utf-8"?>
<queryTable xmlns="http://schemas.openxmlformats.org/spreadsheetml/2006/main" name="gra_1" connectionId="2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gra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7"/>
  <sheetViews>
    <sheetView workbookViewId="0">
      <selection activeCell="D15" sqref="D15"/>
    </sheetView>
  </sheetViews>
  <sheetFormatPr defaultRowHeight="15" x14ac:dyDescent="0.25"/>
  <cols>
    <col min="1" max="1" width="17.7109375" customWidth="1"/>
    <col min="2" max="2" width="15.5703125" bestFit="1" customWidth="1"/>
    <col min="3" max="3" width="14.7109375" bestFit="1" customWidth="1"/>
    <col min="4" max="4" width="12.140625" bestFit="1" customWidth="1"/>
  </cols>
  <sheetData>
    <row r="3" spans="1:4" x14ac:dyDescent="0.25">
      <c r="A3" s="3" t="s">
        <v>15</v>
      </c>
      <c r="B3" t="s">
        <v>12</v>
      </c>
      <c r="C3" t="s">
        <v>13</v>
      </c>
      <c r="D3" t="s">
        <v>14</v>
      </c>
    </row>
    <row r="4" spans="1:4" x14ac:dyDescent="0.25">
      <c r="A4" s="4">
        <v>1</v>
      </c>
      <c r="B4" s="2">
        <v>3212</v>
      </c>
      <c r="C4" s="2">
        <v>1030</v>
      </c>
      <c r="D4" s="2">
        <v>295</v>
      </c>
    </row>
    <row r="5" spans="1:4" x14ac:dyDescent="0.25">
      <c r="A5" s="4">
        <v>2</v>
      </c>
      <c r="B5" s="2">
        <v>3271</v>
      </c>
      <c r="C5" s="2">
        <v>1163</v>
      </c>
      <c r="D5" s="2">
        <v>328</v>
      </c>
    </row>
    <row r="6" spans="1:4" x14ac:dyDescent="0.25">
      <c r="A6" s="4">
        <v>3</v>
      </c>
      <c r="B6" s="2">
        <v>2905</v>
      </c>
      <c r="C6" s="2">
        <v>1124</v>
      </c>
      <c r="D6" s="2">
        <v>300</v>
      </c>
    </row>
    <row r="7" spans="1:4" x14ac:dyDescent="0.25">
      <c r="A7" s="4" t="s">
        <v>16</v>
      </c>
      <c r="B7" s="2">
        <v>9388</v>
      </c>
      <c r="C7" s="2">
        <v>3317</v>
      </c>
      <c r="D7" s="2">
        <v>923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01"/>
  <sheetViews>
    <sheetView tabSelected="1" topLeftCell="B1" workbookViewId="0">
      <selection activeCell="I1" sqref="I1"/>
    </sheetView>
  </sheetViews>
  <sheetFormatPr defaultRowHeight="15" x14ac:dyDescent="0.25"/>
  <cols>
    <col min="1" max="3" width="12.85546875" customWidth="1"/>
    <col min="7" max="7" width="12.28515625" customWidth="1"/>
    <col min="10" max="11" width="9.85546875" bestFit="1" customWidth="1"/>
    <col min="12" max="12" width="16.7109375" customWidth="1"/>
    <col min="16" max="16" width="12.42578125" customWidth="1"/>
    <col min="17" max="19" width="12.8554687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5</v>
      </c>
      <c r="E1" t="s">
        <v>6</v>
      </c>
      <c r="F1">
        <v>0</v>
      </c>
      <c r="G1" t="s">
        <v>9</v>
      </c>
      <c r="H1" t="s">
        <v>10</v>
      </c>
      <c r="M1" t="s">
        <v>3</v>
      </c>
      <c r="N1" t="s">
        <v>4</v>
      </c>
      <c r="P1" t="s">
        <v>11</v>
      </c>
      <c r="Q1" t="s">
        <v>0</v>
      </c>
      <c r="R1" t="s">
        <v>1</v>
      </c>
      <c r="S1" t="s">
        <v>2</v>
      </c>
    </row>
    <row r="2" spans="1:19" x14ac:dyDescent="0.25">
      <c r="A2">
        <v>40</v>
      </c>
      <c r="B2">
        <v>28</v>
      </c>
      <c r="C2">
        <v>10</v>
      </c>
      <c r="D2">
        <f>IF(A2=$N$2,1,0)</f>
        <v>0</v>
      </c>
      <c r="E2">
        <f>IF(A2=$M$2,1,0)</f>
        <v>0</v>
      </c>
      <c r="F2">
        <f>IF(AND(B2&gt;C2, A2 &gt; B2), F1 + 1, 0)</f>
        <v>1</v>
      </c>
      <c r="G2">
        <f>MAX(F:F)</f>
        <v>27</v>
      </c>
      <c r="H2" s="1">
        <v>0.41736111111111113</v>
      </c>
      <c r="M2">
        <f>MAX(A2:A601)</f>
        <v>100</v>
      </c>
      <c r="N2">
        <f>MIN(A2:A601)</f>
        <v>10</v>
      </c>
      <c r="O2">
        <v>1</v>
      </c>
      <c r="P2" s="2">
        <f>TRUNC(O2/60) + 1</f>
        <v>1</v>
      </c>
      <c r="Q2">
        <v>40</v>
      </c>
      <c r="R2">
        <v>28</v>
      </c>
      <c r="S2">
        <v>10</v>
      </c>
    </row>
    <row r="3" spans="1:19" x14ac:dyDescent="0.25">
      <c r="A3">
        <v>74</v>
      </c>
      <c r="B3">
        <v>14</v>
      </c>
      <c r="C3">
        <v>1</v>
      </c>
      <c r="D3">
        <f>IF(A3=$N$2,1,0)</f>
        <v>0</v>
      </c>
      <c r="E3">
        <f>IF(A3=$M$2,1,0)</f>
        <v>0</v>
      </c>
      <c r="F3">
        <f t="shared" ref="F3:F66" si="0">IF(AND(B3&gt;C3, A3 &gt; B3), F2 + 1, 0)</f>
        <v>2</v>
      </c>
      <c r="H3" s="1">
        <v>0.41805555555555557</v>
      </c>
      <c r="M3" t="s">
        <v>7</v>
      </c>
      <c r="N3" t="s">
        <v>8</v>
      </c>
      <c r="O3">
        <v>2</v>
      </c>
      <c r="P3" s="2">
        <f>TRUNC(O3/60) + 1</f>
        <v>1</v>
      </c>
      <c r="Q3">
        <v>74</v>
      </c>
      <c r="R3">
        <v>14</v>
      </c>
      <c r="S3">
        <v>1</v>
      </c>
    </row>
    <row r="4" spans="1:19" x14ac:dyDescent="0.25">
      <c r="A4">
        <v>11</v>
      </c>
      <c r="B4">
        <v>26</v>
      </c>
      <c r="C4">
        <v>8</v>
      </c>
      <c r="D4">
        <f>IF(A4=$N$2,1,0)</f>
        <v>0</v>
      </c>
      <c r="E4">
        <f>IF(A4=$M$2,1,0)</f>
        <v>0</v>
      </c>
      <c r="F4">
        <f t="shared" si="0"/>
        <v>0</v>
      </c>
      <c r="H4" s="1">
        <v>0.41875000000000001</v>
      </c>
      <c r="M4">
        <f>SUM(E2:E601)</f>
        <v>7</v>
      </c>
      <c r="N4">
        <f>SUM(D2:D601)</f>
        <v>6</v>
      </c>
      <c r="O4">
        <v>3</v>
      </c>
      <c r="P4" s="2">
        <f>TRUNC(O4/60) + 1</f>
        <v>1</v>
      </c>
      <c r="Q4">
        <v>11</v>
      </c>
      <c r="R4">
        <v>26</v>
      </c>
      <c r="S4">
        <v>8</v>
      </c>
    </row>
    <row r="5" spans="1:19" x14ac:dyDescent="0.25">
      <c r="A5">
        <v>74</v>
      </c>
      <c r="B5">
        <v>29</v>
      </c>
      <c r="C5">
        <v>3</v>
      </c>
      <c r="D5">
        <f>IF(A5=$N$2,1,0)</f>
        <v>0</v>
      </c>
      <c r="E5">
        <f>IF(A5=$M$2,1,0)</f>
        <v>0</v>
      </c>
      <c r="F5">
        <f t="shared" si="0"/>
        <v>1</v>
      </c>
      <c r="H5" s="1">
        <v>0.41944444444444401</v>
      </c>
      <c r="O5">
        <v>4</v>
      </c>
      <c r="P5" s="2">
        <f>TRUNC(O5/60) + 1</f>
        <v>1</v>
      </c>
      <c r="Q5">
        <v>74</v>
      </c>
      <c r="R5">
        <v>29</v>
      </c>
      <c r="S5">
        <v>3</v>
      </c>
    </row>
    <row r="6" spans="1:19" x14ac:dyDescent="0.25">
      <c r="A6">
        <v>39</v>
      </c>
      <c r="B6">
        <v>15</v>
      </c>
      <c r="C6">
        <v>3</v>
      </c>
      <c r="D6">
        <f>IF(A6=$N$2,1,0)</f>
        <v>0</v>
      </c>
      <c r="E6">
        <f>IF(A6=$M$2,1,0)</f>
        <v>0</v>
      </c>
      <c r="F6">
        <f t="shared" si="0"/>
        <v>2</v>
      </c>
      <c r="H6" s="1">
        <v>0.42013888888888901</v>
      </c>
      <c r="O6">
        <v>5</v>
      </c>
      <c r="P6" s="2">
        <f>TRUNC(O6/60) + 1</f>
        <v>1</v>
      </c>
      <c r="Q6">
        <v>39</v>
      </c>
      <c r="R6">
        <v>15</v>
      </c>
      <c r="S6">
        <v>3</v>
      </c>
    </row>
    <row r="7" spans="1:19" x14ac:dyDescent="0.25">
      <c r="A7">
        <v>36</v>
      </c>
      <c r="B7">
        <v>26</v>
      </c>
      <c r="C7">
        <v>5</v>
      </c>
      <c r="D7">
        <f>IF(A7=$N$2,1,0)</f>
        <v>0</v>
      </c>
      <c r="E7">
        <f>IF(A7=$M$2,1,0)</f>
        <v>0</v>
      </c>
      <c r="F7">
        <f t="shared" si="0"/>
        <v>3</v>
      </c>
      <c r="H7" s="1">
        <v>0.420833333333333</v>
      </c>
      <c r="O7">
        <v>6</v>
      </c>
      <c r="P7" s="2">
        <f>TRUNC(O7/60) + 1</f>
        <v>1</v>
      </c>
      <c r="Q7">
        <v>36</v>
      </c>
      <c r="R7">
        <v>26</v>
      </c>
      <c r="S7">
        <v>5</v>
      </c>
    </row>
    <row r="8" spans="1:19" x14ac:dyDescent="0.25">
      <c r="A8">
        <v>12</v>
      </c>
      <c r="B8">
        <v>21</v>
      </c>
      <c r="C8">
        <v>4</v>
      </c>
      <c r="D8">
        <f>IF(A8=$N$2,1,0)</f>
        <v>0</v>
      </c>
      <c r="E8">
        <f>IF(A8=$M$2,1,0)</f>
        <v>0</v>
      </c>
      <c r="F8">
        <f t="shared" si="0"/>
        <v>0</v>
      </c>
      <c r="H8" s="1">
        <v>0.421527777777778</v>
      </c>
      <c r="O8">
        <v>7</v>
      </c>
      <c r="P8" s="2">
        <f>TRUNC(O8/60) + 1</f>
        <v>1</v>
      </c>
      <c r="Q8">
        <v>12</v>
      </c>
      <c r="R8">
        <v>21</v>
      </c>
      <c r="S8">
        <v>4</v>
      </c>
    </row>
    <row r="9" spans="1:19" x14ac:dyDescent="0.25">
      <c r="A9">
        <v>19</v>
      </c>
      <c r="B9">
        <v>13</v>
      </c>
      <c r="C9">
        <v>7</v>
      </c>
      <c r="D9">
        <f>IF(A9=$N$2,1,0)</f>
        <v>0</v>
      </c>
      <c r="E9">
        <f>IF(A9=$M$2,1,0)</f>
        <v>0</v>
      </c>
      <c r="F9">
        <f t="shared" si="0"/>
        <v>1</v>
      </c>
      <c r="H9" s="1">
        <v>0.422222222222222</v>
      </c>
      <c r="O9">
        <v>8</v>
      </c>
      <c r="P9" s="2">
        <f>TRUNC(O9/60) + 1</f>
        <v>1</v>
      </c>
      <c r="Q9">
        <v>19</v>
      </c>
      <c r="R9">
        <v>13</v>
      </c>
      <c r="S9">
        <v>7</v>
      </c>
    </row>
    <row r="10" spans="1:19" x14ac:dyDescent="0.25">
      <c r="A10">
        <v>90</v>
      </c>
      <c r="B10">
        <v>10</v>
      </c>
      <c r="C10">
        <v>4</v>
      </c>
      <c r="D10">
        <f>IF(A10=$N$2,1,0)</f>
        <v>0</v>
      </c>
      <c r="E10">
        <f>IF(A10=$M$2,1,0)</f>
        <v>0</v>
      </c>
      <c r="F10">
        <f t="shared" si="0"/>
        <v>2</v>
      </c>
      <c r="H10" s="1">
        <v>0.422916666666667</v>
      </c>
      <c r="O10">
        <v>9</v>
      </c>
      <c r="P10" s="2">
        <f>TRUNC(O10/60) + 1</f>
        <v>1</v>
      </c>
      <c r="Q10">
        <v>90</v>
      </c>
      <c r="R10">
        <v>10</v>
      </c>
      <c r="S10">
        <v>4</v>
      </c>
    </row>
    <row r="11" spans="1:19" x14ac:dyDescent="0.25">
      <c r="A11">
        <v>46</v>
      </c>
      <c r="B11">
        <v>26</v>
      </c>
      <c r="C11">
        <v>4</v>
      </c>
      <c r="D11">
        <f>IF(A11=$N$2,1,0)</f>
        <v>0</v>
      </c>
      <c r="E11">
        <f>IF(A11=$M$2,1,0)</f>
        <v>0</v>
      </c>
      <c r="F11">
        <f t="shared" si="0"/>
        <v>3</v>
      </c>
      <c r="H11" s="1">
        <v>0.42361111111111099</v>
      </c>
      <c r="O11">
        <v>10</v>
      </c>
      <c r="P11" s="2">
        <f>TRUNC(O11/60) + 1</f>
        <v>1</v>
      </c>
      <c r="Q11">
        <v>46</v>
      </c>
      <c r="R11">
        <v>26</v>
      </c>
      <c r="S11">
        <v>4</v>
      </c>
    </row>
    <row r="12" spans="1:19" x14ac:dyDescent="0.25">
      <c r="A12">
        <v>90</v>
      </c>
      <c r="B12">
        <v>7</v>
      </c>
      <c r="C12">
        <v>3</v>
      </c>
      <c r="D12">
        <f>IF(A12=$N$2,1,0)</f>
        <v>0</v>
      </c>
      <c r="E12">
        <f>IF(A12=$M$2,1,0)</f>
        <v>0</v>
      </c>
      <c r="F12">
        <f t="shared" si="0"/>
        <v>4</v>
      </c>
      <c r="H12" s="1">
        <v>0.42430555555555599</v>
      </c>
      <c r="O12">
        <v>11</v>
      </c>
      <c r="P12" s="2">
        <f>TRUNC(O12/60) + 1</f>
        <v>1</v>
      </c>
      <c r="Q12">
        <v>90</v>
      </c>
      <c r="R12">
        <v>7</v>
      </c>
      <c r="S12">
        <v>3</v>
      </c>
    </row>
    <row r="13" spans="1:19" x14ac:dyDescent="0.25">
      <c r="A13">
        <v>44</v>
      </c>
      <c r="B13">
        <v>19</v>
      </c>
      <c r="C13">
        <v>10</v>
      </c>
      <c r="D13">
        <f>IF(A13=$N$2,1,0)</f>
        <v>0</v>
      </c>
      <c r="E13">
        <f>IF(A13=$M$2,1,0)</f>
        <v>0</v>
      </c>
      <c r="F13">
        <f t="shared" si="0"/>
        <v>5</v>
      </c>
      <c r="H13" s="1">
        <v>0.42499999999999999</v>
      </c>
      <c r="O13">
        <v>12</v>
      </c>
      <c r="P13" s="2">
        <f>TRUNC(O13/60) + 1</f>
        <v>1</v>
      </c>
      <c r="Q13">
        <v>44</v>
      </c>
      <c r="R13">
        <v>19</v>
      </c>
      <c r="S13">
        <v>10</v>
      </c>
    </row>
    <row r="14" spans="1:19" x14ac:dyDescent="0.25">
      <c r="A14">
        <v>98</v>
      </c>
      <c r="B14">
        <v>27</v>
      </c>
      <c r="C14">
        <v>1</v>
      </c>
      <c r="D14">
        <f>IF(A14=$N$2,1,0)</f>
        <v>0</v>
      </c>
      <c r="E14">
        <f>IF(A14=$M$2,1,0)</f>
        <v>0</v>
      </c>
      <c r="F14">
        <f t="shared" si="0"/>
        <v>6</v>
      </c>
      <c r="H14" s="1">
        <v>0.42569444444444399</v>
      </c>
      <c r="O14">
        <v>13</v>
      </c>
      <c r="P14" s="2">
        <f>TRUNC(O14/60) + 1</f>
        <v>1</v>
      </c>
      <c r="Q14">
        <v>98</v>
      </c>
      <c r="R14">
        <v>27</v>
      </c>
      <c r="S14">
        <v>1</v>
      </c>
    </row>
    <row r="15" spans="1:19" x14ac:dyDescent="0.25">
      <c r="A15">
        <v>93</v>
      </c>
      <c r="B15">
        <v>22</v>
      </c>
      <c r="C15">
        <v>3</v>
      </c>
      <c r="D15">
        <f>IF(A15=$N$2,1,0)</f>
        <v>0</v>
      </c>
      <c r="E15">
        <f>IF(A15=$M$2,1,0)</f>
        <v>0</v>
      </c>
      <c r="F15">
        <f t="shared" si="0"/>
        <v>7</v>
      </c>
      <c r="H15" s="1">
        <v>0.42638888888888898</v>
      </c>
      <c r="O15">
        <v>14</v>
      </c>
      <c r="P15" s="2">
        <f>TRUNC(O15/60) + 1</f>
        <v>1</v>
      </c>
      <c r="Q15">
        <v>93</v>
      </c>
      <c r="R15">
        <v>22</v>
      </c>
      <c r="S15">
        <v>3</v>
      </c>
    </row>
    <row r="16" spans="1:19" x14ac:dyDescent="0.25">
      <c r="A16">
        <v>22</v>
      </c>
      <c r="B16">
        <v>11</v>
      </c>
      <c r="C16">
        <v>1</v>
      </c>
      <c r="D16">
        <f>IF(A16=$N$2,1,0)</f>
        <v>0</v>
      </c>
      <c r="E16">
        <f>IF(A16=$M$2,1,0)</f>
        <v>0</v>
      </c>
      <c r="F16">
        <f t="shared" si="0"/>
        <v>8</v>
      </c>
      <c r="H16" s="1">
        <v>0.42708333333333298</v>
      </c>
      <c r="O16">
        <v>15</v>
      </c>
      <c r="P16" s="2">
        <f>TRUNC(O16/60) + 1</f>
        <v>1</v>
      </c>
      <c r="Q16">
        <v>22</v>
      </c>
      <c r="R16">
        <v>11</v>
      </c>
      <c r="S16">
        <v>1</v>
      </c>
    </row>
    <row r="17" spans="1:19" x14ac:dyDescent="0.25">
      <c r="A17">
        <v>30</v>
      </c>
      <c r="B17">
        <v>7</v>
      </c>
      <c r="C17">
        <v>4</v>
      </c>
      <c r="D17">
        <f>IF(A17=$N$2,1,0)</f>
        <v>0</v>
      </c>
      <c r="E17">
        <f>IF(A17=$M$2,1,0)</f>
        <v>0</v>
      </c>
      <c r="F17">
        <f t="shared" si="0"/>
        <v>9</v>
      </c>
      <c r="H17" s="1">
        <v>0.42777777777777798</v>
      </c>
      <c r="O17">
        <v>16</v>
      </c>
      <c r="P17" s="2">
        <f>TRUNC(O17/60) + 1</f>
        <v>1</v>
      </c>
      <c r="Q17">
        <v>30</v>
      </c>
      <c r="R17">
        <v>7</v>
      </c>
      <c r="S17">
        <v>4</v>
      </c>
    </row>
    <row r="18" spans="1:19" x14ac:dyDescent="0.25">
      <c r="A18">
        <v>93</v>
      </c>
      <c r="B18">
        <v>19</v>
      </c>
      <c r="C18">
        <v>9</v>
      </c>
      <c r="D18">
        <f>IF(A18=$N$2,1,0)</f>
        <v>0</v>
      </c>
      <c r="E18">
        <f>IF(A18=$M$2,1,0)</f>
        <v>0</v>
      </c>
      <c r="F18">
        <f t="shared" si="0"/>
        <v>10</v>
      </c>
      <c r="H18" s="1">
        <v>0.42847222222222198</v>
      </c>
      <c r="O18">
        <v>17</v>
      </c>
      <c r="P18" s="2">
        <f>TRUNC(O18/60) + 1</f>
        <v>1</v>
      </c>
      <c r="Q18">
        <v>93</v>
      </c>
      <c r="R18">
        <v>19</v>
      </c>
      <c r="S18">
        <v>9</v>
      </c>
    </row>
    <row r="19" spans="1:19" x14ac:dyDescent="0.25">
      <c r="A19">
        <v>32</v>
      </c>
      <c r="B19">
        <v>11</v>
      </c>
      <c r="C19">
        <v>7</v>
      </c>
      <c r="D19">
        <f>IF(A19=$N$2,1,0)</f>
        <v>0</v>
      </c>
      <c r="E19">
        <f>IF(A19=$M$2,1,0)</f>
        <v>0</v>
      </c>
      <c r="F19">
        <f t="shared" si="0"/>
        <v>11</v>
      </c>
      <c r="H19" s="1">
        <v>0.42916666666666697</v>
      </c>
      <c r="O19">
        <v>18</v>
      </c>
      <c r="P19" s="2">
        <f>TRUNC(O19/60) + 1</f>
        <v>1</v>
      </c>
      <c r="Q19">
        <v>32</v>
      </c>
      <c r="R19">
        <v>11</v>
      </c>
      <c r="S19">
        <v>7</v>
      </c>
    </row>
    <row r="20" spans="1:19" x14ac:dyDescent="0.25">
      <c r="A20">
        <v>67</v>
      </c>
      <c r="B20">
        <v>11</v>
      </c>
      <c r="C20">
        <v>9</v>
      </c>
      <c r="D20">
        <f>IF(A20=$N$2,1,0)</f>
        <v>0</v>
      </c>
      <c r="E20">
        <f>IF(A20=$M$2,1,0)</f>
        <v>0</v>
      </c>
      <c r="F20">
        <f t="shared" si="0"/>
        <v>12</v>
      </c>
      <c r="H20" s="1">
        <v>0.42986111111111103</v>
      </c>
      <c r="O20">
        <v>19</v>
      </c>
      <c r="P20" s="2">
        <f>TRUNC(O20/60) + 1</f>
        <v>1</v>
      </c>
      <c r="Q20">
        <v>67</v>
      </c>
      <c r="R20">
        <v>11</v>
      </c>
      <c r="S20">
        <v>9</v>
      </c>
    </row>
    <row r="21" spans="1:19" x14ac:dyDescent="0.25">
      <c r="A21">
        <v>12</v>
      </c>
      <c r="B21">
        <v>23</v>
      </c>
      <c r="C21">
        <v>7</v>
      </c>
      <c r="D21">
        <f>IF(A21=$N$2,1,0)</f>
        <v>0</v>
      </c>
      <c r="E21">
        <f>IF(A21=$M$2,1,0)</f>
        <v>0</v>
      </c>
      <c r="F21">
        <f t="shared" si="0"/>
        <v>0</v>
      </c>
      <c r="H21" s="1">
        <v>0.43055555555555602</v>
      </c>
      <c r="O21">
        <v>20</v>
      </c>
      <c r="P21" s="2">
        <f>TRUNC(O21/60) + 1</f>
        <v>1</v>
      </c>
      <c r="Q21">
        <v>12</v>
      </c>
      <c r="R21">
        <v>23</v>
      </c>
      <c r="S21">
        <v>7</v>
      </c>
    </row>
    <row r="22" spans="1:19" x14ac:dyDescent="0.25">
      <c r="A22">
        <v>82</v>
      </c>
      <c r="B22">
        <v>23</v>
      </c>
      <c r="C22">
        <v>7</v>
      </c>
      <c r="D22">
        <f>IF(A22=$N$2,1,0)</f>
        <v>0</v>
      </c>
      <c r="E22">
        <f>IF(A22=$M$2,1,0)</f>
        <v>0</v>
      </c>
      <c r="F22">
        <f t="shared" si="0"/>
        <v>1</v>
      </c>
      <c r="H22" s="1">
        <v>0.43125000000000002</v>
      </c>
      <c r="O22">
        <v>21</v>
      </c>
      <c r="P22" s="2">
        <f>TRUNC(O22/60) + 1</f>
        <v>1</v>
      </c>
      <c r="Q22">
        <v>82</v>
      </c>
      <c r="R22">
        <v>23</v>
      </c>
      <c r="S22">
        <v>7</v>
      </c>
    </row>
    <row r="23" spans="1:19" x14ac:dyDescent="0.25">
      <c r="A23">
        <v>23</v>
      </c>
      <c r="B23">
        <v>7</v>
      </c>
      <c r="C23">
        <v>5</v>
      </c>
      <c r="D23">
        <f>IF(A23=$N$2,1,0)</f>
        <v>0</v>
      </c>
      <c r="E23">
        <f>IF(A23=$M$2,1,0)</f>
        <v>0</v>
      </c>
      <c r="F23">
        <f t="shared" si="0"/>
        <v>2</v>
      </c>
      <c r="H23" s="1">
        <v>0.43194444444444402</v>
      </c>
      <c r="O23">
        <v>22</v>
      </c>
      <c r="P23" s="2">
        <f>TRUNC(O23/60) + 1</f>
        <v>1</v>
      </c>
      <c r="Q23">
        <v>23</v>
      </c>
      <c r="R23">
        <v>7</v>
      </c>
      <c r="S23">
        <v>5</v>
      </c>
    </row>
    <row r="24" spans="1:19" x14ac:dyDescent="0.25">
      <c r="A24">
        <v>27</v>
      </c>
      <c r="B24">
        <v>22</v>
      </c>
      <c r="C24">
        <v>2</v>
      </c>
      <c r="D24">
        <f>IF(A24=$N$2,1,0)</f>
        <v>0</v>
      </c>
      <c r="E24">
        <f>IF(A24=$M$2,1,0)</f>
        <v>0</v>
      </c>
      <c r="F24">
        <f t="shared" si="0"/>
        <v>3</v>
      </c>
      <c r="H24" s="1">
        <v>0.43263888888888902</v>
      </c>
      <c r="O24">
        <v>23</v>
      </c>
      <c r="P24" s="2">
        <f>TRUNC(O24/60) + 1</f>
        <v>1</v>
      </c>
      <c r="Q24">
        <v>27</v>
      </c>
      <c r="R24">
        <v>22</v>
      </c>
      <c r="S24">
        <v>2</v>
      </c>
    </row>
    <row r="25" spans="1:19" x14ac:dyDescent="0.25">
      <c r="A25">
        <v>38</v>
      </c>
      <c r="B25">
        <v>6</v>
      </c>
      <c r="C25">
        <v>10</v>
      </c>
      <c r="D25">
        <f>IF(A25=$N$2,1,0)</f>
        <v>0</v>
      </c>
      <c r="E25">
        <f>IF(A25=$M$2,1,0)</f>
        <v>0</v>
      </c>
      <c r="F25">
        <f t="shared" si="0"/>
        <v>0</v>
      </c>
      <c r="H25" s="1">
        <v>0.43333333333333302</v>
      </c>
      <c r="O25">
        <v>24</v>
      </c>
      <c r="P25" s="2">
        <f>TRUNC(O25/60) + 1</f>
        <v>1</v>
      </c>
      <c r="Q25">
        <v>38</v>
      </c>
      <c r="R25">
        <v>6</v>
      </c>
      <c r="S25">
        <v>10</v>
      </c>
    </row>
    <row r="26" spans="1:19" x14ac:dyDescent="0.25">
      <c r="A26">
        <v>74</v>
      </c>
      <c r="B26">
        <v>7</v>
      </c>
      <c r="C26">
        <v>2</v>
      </c>
      <c r="D26">
        <f>IF(A26=$N$2,1,0)</f>
        <v>0</v>
      </c>
      <c r="E26">
        <f>IF(A26=$M$2,1,0)</f>
        <v>0</v>
      </c>
      <c r="F26">
        <f t="shared" si="0"/>
        <v>1</v>
      </c>
      <c r="H26" s="1">
        <v>0.43402777777777801</v>
      </c>
      <c r="O26">
        <v>25</v>
      </c>
      <c r="P26" s="2">
        <f>TRUNC(O26/60) + 1</f>
        <v>1</v>
      </c>
      <c r="Q26">
        <v>74</v>
      </c>
      <c r="R26">
        <v>7</v>
      </c>
      <c r="S26">
        <v>2</v>
      </c>
    </row>
    <row r="27" spans="1:19" x14ac:dyDescent="0.25">
      <c r="A27">
        <v>31</v>
      </c>
      <c r="B27">
        <v>14</v>
      </c>
      <c r="C27">
        <v>2</v>
      </c>
      <c r="D27">
        <f>IF(A27=$N$2,1,0)</f>
        <v>0</v>
      </c>
      <c r="E27">
        <f>IF(A27=$M$2,1,0)</f>
        <v>0</v>
      </c>
      <c r="F27">
        <f t="shared" si="0"/>
        <v>2</v>
      </c>
      <c r="H27" s="1">
        <v>0.43472222222222201</v>
      </c>
      <c r="O27">
        <v>26</v>
      </c>
      <c r="P27" s="2">
        <f>TRUNC(O27/60) + 1</f>
        <v>1</v>
      </c>
      <c r="Q27">
        <v>31</v>
      </c>
      <c r="R27">
        <v>14</v>
      </c>
      <c r="S27">
        <v>2</v>
      </c>
    </row>
    <row r="28" spans="1:19" x14ac:dyDescent="0.25">
      <c r="A28">
        <v>73</v>
      </c>
      <c r="B28">
        <v>11</v>
      </c>
      <c r="C28">
        <v>5</v>
      </c>
      <c r="D28">
        <f>IF(A28=$N$2,1,0)</f>
        <v>0</v>
      </c>
      <c r="E28">
        <f>IF(A28=$M$2,1,0)</f>
        <v>0</v>
      </c>
      <c r="F28">
        <f t="shared" si="0"/>
        <v>3</v>
      </c>
      <c r="H28" s="1">
        <v>0.43541666666666701</v>
      </c>
      <c r="O28">
        <v>27</v>
      </c>
      <c r="P28" s="2">
        <f>TRUNC(O28/60) + 1</f>
        <v>1</v>
      </c>
      <c r="Q28">
        <v>73</v>
      </c>
      <c r="R28">
        <v>11</v>
      </c>
      <c r="S28">
        <v>5</v>
      </c>
    </row>
    <row r="29" spans="1:19" x14ac:dyDescent="0.25">
      <c r="A29">
        <v>42</v>
      </c>
      <c r="B29">
        <v>21</v>
      </c>
      <c r="C29">
        <v>5</v>
      </c>
      <c r="D29">
        <f>IF(A29=$N$2,1,0)</f>
        <v>0</v>
      </c>
      <c r="E29">
        <f>IF(A29=$M$2,1,0)</f>
        <v>0</v>
      </c>
      <c r="F29">
        <f t="shared" si="0"/>
        <v>4</v>
      </c>
      <c r="H29" s="1">
        <v>0.43611111111111101</v>
      </c>
      <c r="O29">
        <v>28</v>
      </c>
      <c r="P29" s="2">
        <f>TRUNC(O29/60) + 1</f>
        <v>1</v>
      </c>
      <c r="Q29">
        <v>42</v>
      </c>
      <c r="R29">
        <v>21</v>
      </c>
      <c r="S29">
        <v>5</v>
      </c>
    </row>
    <row r="30" spans="1:19" x14ac:dyDescent="0.25">
      <c r="A30">
        <v>57</v>
      </c>
      <c r="B30">
        <v>27</v>
      </c>
      <c r="C30">
        <v>10</v>
      </c>
      <c r="D30">
        <f>IF(A30=$N$2,1,0)</f>
        <v>0</v>
      </c>
      <c r="E30">
        <f>IF(A30=$M$2,1,0)</f>
        <v>0</v>
      </c>
      <c r="F30">
        <f t="shared" si="0"/>
        <v>5</v>
      </c>
      <c r="H30" s="1">
        <v>0.436805555555556</v>
      </c>
      <c r="O30">
        <v>29</v>
      </c>
      <c r="P30" s="2">
        <f>TRUNC(O30/60) + 1</f>
        <v>1</v>
      </c>
      <c r="Q30">
        <v>57</v>
      </c>
      <c r="R30">
        <v>27</v>
      </c>
      <c r="S30">
        <v>10</v>
      </c>
    </row>
    <row r="31" spans="1:19" x14ac:dyDescent="0.25">
      <c r="A31">
        <v>17</v>
      </c>
      <c r="B31">
        <v>20</v>
      </c>
      <c r="C31">
        <v>6</v>
      </c>
      <c r="D31">
        <f>IF(A31=$N$2,1,0)</f>
        <v>0</v>
      </c>
      <c r="E31">
        <f>IF(A31=$M$2,1,0)</f>
        <v>0</v>
      </c>
      <c r="F31">
        <f t="shared" si="0"/>
        <v>0</v>
      </c>
      <c r="H31" s="1">
        <v>0.4375</v>
      </c>
      <c r="O31">
        <v>30</v>
      </c>
      <c r="P31" s="2">
        <f>TRUNC(O31/60) + 1</f>
        <v>1</v>
      </c>
      <c r="Q31">
        <v>17</v>
      </c>
      <c r="R31">
        <v>20</v>
      </c>
      <c r="S31">
        <v>6</v>
      </c>
    </row>
    <row r="32" spans="1:19" x14ac:dyDescent="0.25">
      <c r="A32">
        <v>30</v>
      </c>
      <c r="B32">
        <v>8</v>
      </c>
      <c r="C32">
        <v>4</v>
      </c>
      <c r="D32">
        <f>IF(A32=$N$2,1,0)</f>
        <v>0</v>
      </c>
      <c r="E32">
        <f>IF(A32=$M$2,1,0)</f>
        <v>0</v>
      </c>
      <c r="F32">
        <f t="shared" si="0"/>
        <v>1</v>
      </c>
      <c r="H32" s="1">
        <v>0.438194444444444</v>
      </c>
      <c r="O32">
        <v>31</v>
      </c>
      <c r="P32" s="2">
        <f>TRUNC(O32/60) + 1</f>
        <v>1</v>
      </c>
      <c r="Q32">
        <v>30</v>
      </c>
      <c r="R32">
        <v>8</v>
      </c>
      <c r="S32">
        <v>4</v>
      </c>
    </row>
    <row r="33" spans="1:19" x14ac:dyDescent="0.25">
      <c r="A33">
        <v>76</v>
      </c>
      <c r="B33">
        <v>15</v>
      </c>
      <c r="C33">
        <v>9</v>
      </c>
      <c r="D33">
        <f>IF(A33=$N$2,1,0)</f>
        <v>0</v>
      </c>
      <c r="E33">
        <f>IF(A33=$M$2,1,0)</f>
        <v>0</v>
      </c>
      <c r="F33">
        <f t="shared" si="0"/>
        <v>2</v>
      </c>
      <c r="H33" s="1">
        <v>0.43888888888888899</v>
      </c>
      <c r="O33">
        <v>32</v>
      </c>
      <c r="P33" s="2">
        <f>TRUNC(O33/60) + 1</f>
        <v>1</v>
      </c>
      <c r="Q33">
        <v>76</v>
      </c>
      <c r="R33">
        <v>15</v>
      </c>
      <c r="S33">
        <v>9</v>
      </c>
    </row>
    <row r="34" spans="1:19" x14ac:dyDescent="0.25">
      <c r="A34">
        <v>57</v>
      </c>
      <c r="B34">
        <v>9</v>
      </c>
      <c r="C34">
        <v>1</v>
      </c>
      <c r="D34">
        <f>IF(A34=$N$2,1,0)</f>
        <v>0</v>
      </c>
      <c r="E34">
        <f>IF(A34=$M$2,1,0)</f>
        <v>0</v>
      </c>
      <c r="F34">
        <f t="shared" si="0"/>
        <v>3</v>
      </c>
      <c r="H34" s="1">
        <v>0.43958333333333299</v>
      </c>
      <c r="O34">
        <v>33</v>
      </c>
      <c r="P34" s="2">
        <f>TRUNC(O34/60) + 1</f>
        <v>1</v>
      </c>
      <c r="Q34">
        <v>57</v>
      </c>
      <c r="R34">
        <v>9</v>
      </c>
      <c r="S34">
        <v>1</v>
      </c>
    </row>
    <row r="35" spans="1:19" x14ac:dyDescent="0.25">
      <c r="A35">
        <v>57</v>
      </c>
      <c r="B35">
        <v>16</v>
      </c>
      <c r="C35">
        <v>8</v>
      </c>
      <c r="D35">
        <f>IF(A35=$N$2,1,0)</f>
        <v>0</v>
      </c>
      <c r="E35">
        <f>IF(A35=$M$2,1,0)</f>
        <v>0</v>
      </c>
      <c r="F35">
        <f t="shared" si="0"/>
        <v>4</v>
      </c>
      <c r="H35" s="1">
        <v>0.44027777777777799</v>
      </c>
      <c r="O35">
        <v>34</v>
      </c>
      <c r="P35" s="2">
        <f>TRUNC(O35/60) + 1</f>
        <v>1</v>
      </c>
      <c r="Q35">
        <v>57</v>
      </c>
      <c r="R35">
        <v>16</v>
      </c>
      <c r="S35">
        <v>8</v>
      </c>
    </row>
    <row r="36" spans="1:19" x14ac:dyDescent="0.25">
      <c r="A36">
        <v>55</v>
      </c>
      <c r="B36">
        <v>22</v>
      </c>
      <c r="C36">
        <v>4</v>
      </c>
      <c r="D36">
        <f>IF(A36=$N$2,1,0)</f>
        <v>0</v>
      </c>
      <c r="E36">
        <f>IF(A36=$M$2,1,0)</f>
        <v>0</v>
      </c>
      <c r="F36">
        <f t="shared" si="0"/>
        <v>5</v>
      </c>
      <c r="H36" s="1">
        <v>0.44097222222222199</v>
      </c>
      <c r="O36">
        <v>35</v>
      </c>
      <c r="P36" s="2">
        <f>TRUNC(O36/60) + 1</f>
        <v>1</v>
      </c>
      <c r="Q36">
        <v>55</v>
      </c>
      <c r="R36">
        <v>22</v>
      </c>
      <c r="S36">
        <v>4</v>
      </c>
    </row>
    <row r="37" spans="1:19" x14ac:dyDescent="0.25">
      <c r="A37">
        <v>56</v>
      </c>
      <c r="B37">
        <v>30</v>
      </c>
      <c r="C37">
        <v>3</v>
      </c>
      <c r="D37">
        <f>IF(A37=$N$2,1,0)</f>
        <v>0</v>
      </c>
      <c r="E37">
        <f>IF(A37=$M$2,1,0)</f>
        <v>0</v>
      </c>
      <c r="F37">
        <f t="shared" si="0"/>
        <v>6</v>
      </c>
      <c r="H37" s="1">
        <v>0.44166666666666698</v>
      </c>
      <c r="O37">
        <v>36</v>
      </c>
      <c r="P37" s="2">
        <f>TRUNC(O37/60) + 1</f>
        <v>1</v>
      </c>
      <c r="Q37">
        <v>56</v>
      </c>
      <c r="R37">
        <v>30</v>
      </c>
      <c r="S37">
        <v>3</v>
      </c>
    </row>
    <row r="38" spans="1:19" x14ac:dyDescent="0.25">
      <c r="A38">
        <v>78</v>
      </c>
      <c r="B38">
        <v>27</v>
      </c>
      <c r="C38">
        <v>8</v>
      </c>
      <c r="D38">
        <f>IF(A38=$N$2,1,0)</f>
        <v>0</v>
      </c>
      <c r="E38">
        <f>IF(A38=$M$2,1,0)</f>
        <v>0</v>
      </c>
      <c r="F38">
        <f t="shared" si="0"/>
        <v>7</v>
      </c>
      <c r="H38" s="1">
        <v>0.44236111111111098</v>
      </c>
      <c r="O38">
        <v>37</v>
      </c>
      <c r="P38" s="2">
        <f>TRUNC(O38/60) + 1</f>
        <v>1</v>
      </c>
      <c r="Q38">
        <v>78</v>
      </c>
      <c r="R38">
        <v>27</v>
      </c>
      <c r="S38">
        <v>8</v>
      </c>
    </row>
    <row r="39" spans="1:19" x14ac:dyDescent="0.25">
      <c r="A39">
        <v>99</v>
      </c>
      <c r="B39">
        <v>5</v>
      </c>
      <c r="C39">
        <v>8</v>
      </c>
      <c r="D39">
        <f>IF(A39=$N$2,1,0)</f>
        <v>0</v>
      </c>
      <c r="E39">
        <f>IF(A39=$M$2,1,0)</f>
        <v>0</v>
      </c>
      <c r="F39">
        <f t="shared" si="0"/>
        <v>0</v>
      </c>
      <c r="H39" s="1">
        <v>0.44305555555555598</v>
      </c>
      <c r="O39">
        <v>38</v>
      </c>
      <c r="P39" s="2">
        <f>TRUNC(O39/60) + 1</f>
        <v>1</v>
      </c>
      <c r="Q39">
        <v>99</v>
      </c>
      <c r="R39">
        <v>5</v>
      </c>
      <c r="S39">
        <v>8</v>
      </c>
    </row>
    <row r="40" spans="1:19" x14ac:dyDescent="0.25">
      <c r="A40">
        <v>73</v>
      </c>
      <c r="B40">
        <v>25</v>
      </c>
      <c r="C40">
        <v>6</v>
      </c>
      <c r="D40">
        <f>IF(A40=$N$2,1,0)</f>
        <v>0</v>
      </c>
      <c r="E40">
        <f>IF(A40=$M$2,1,0)</f>
        <v>0</v>
      </c>
      <c r="F40">
        <f t="shared" si="0"/>
        <v>1</v>
      </c>
      <c r="H40" s="1">
        <v>0.44374999999999998</v>
      </c>
      <c r="O40">
        <v>39</v>
      </c>
      <c r="P40" s="2">
        <f>TRUNC(O40/60) + 1</f>
        <v>1</v>
      </c>
      <c r="Q40">
        <v>73</v>
      </c>
      <c r="R40">
        <v>25</v>
      </c>
      <c r="S40">
        <v>6</v>
      </c>
    </row>
    <row r="41" spans="1:19" x14ac:dyDescent="0.25">
      <c r="A41">
        <v>14</v>
      </c>
      <c r="B41">
        <v>25</v>
      </c>
      <c r="C41">
        <v>7</v>
      </c>
      <c r="D41">
        <f>IF(A41=$N$2,1,0)</f>
        <v>0</v>
      </c>
      <c r="E41">
        <f>IF(A41=$M$2,1,0)</f>
        <v>0</v>
      </c>
      <c r="F41">
        <f t="shared" si="0"/>
        <v>0</v>
      </c>
      <c r="H41" s="1">
        <v>0.44444444444444398</v>
      </c>
      <c r="O41">
        <v>40</v>
      </c>
      <c r="P41" s="2">
        <f>TRUNC(O41/60) + 1</f>
        <v>1</v>
      </c>
      <c r="Q41">
        <v>14</v>
      </c>
      <c r="R41">
        <v>25</v>
      </c>
      <c r="S41">
        <v>7</v>
      </c>
    </row>
    <row r="42" spans="1:19" x14ac:dyDescent="0.25">
      <c r="A42">
        <v>18</v>
      </c>
      <c r="B42">
        <v>24</v>
      </c>
      <c r="C42">
        <v>2</v>
      </c>
      <c r="D42">
        <f>IF(A42=$N$2,1,0)</f>
        <v>0</v>
      </c>
      <c r="E42">
        <f>IF(A42=$M$2,1,0)</f>
        <v>0</v>
      </c>
      <c r="F42">
        <f t="shared" si="0"/>
        <v>0</v>
      </c>
      <c r="H42" s="1">
        <v>0.44513888888888897</v>
      </c>
      <c r="O42">
        <v>41</v>
      </c>
      <c r="P42" s="2">
        <f>TRUNC(O42/60) + 1</f>
        <v>1</v>
      </c>
      <c r="Q42">
        <v>18</v>
      </c>
      <c r="R42">
        <v>24</v>
      </c>
      <c r="S42">
        <v>2</v>
      </c>
    </row>
    <row r="43" spans="1:19" x14ac:dyDescent="0.25">
      <c r="A43">
        <v>32</v>
      </c>
      <c r="B43">
        <v>18</v>
      </c>
      <c r="C43">
        <v>3</v>
      </c>
      <c r="D43">
        <f>IF(A43=$N$2,1,0)</f>
        <v>0</v>
      </c>
      <c r="E43">
        <f>IF(A43=$M$2,1,0)</f>
        <v>0</v>
      </c>
      <c r="F43">
        <f t="shared" si="0"/>
        <v>1</v>
      </c>
      <c r="H43" s="1">
        <v>0.44583333333333303</v>
      </c>
      <c r="O43">
        <v>42</v>
      </c>
      <c r="P43" s="2">
        <f>TRUNC(O43/60) + 1</f>
        <v>1</v>
      </c>
      <c r="Q43">
        <v>32</v>
      </c>
      <c r="R43">
        <v>18</v>
      </c>
      <c r="S43">
        <v>3</v>
      </c>
    </row>
    <row r="44" spans="1:19" x14ac:dyDescent="0.25">
      <c r="A44">
        <v>73</v>
      </c>
      <c r="B44">
        <v>14</v>
      </c>
      <c r="C44">
        <v>2</v>
      </c>
      <c r="D44">
        <f>IF(A44=$N$2,1,0)</f>
        <v>0</v>
      </c>
      <c r="E44">
        <f>IF(A44=$M$2,1,0)</f>
        <v>0</v>
      </c>
      <c r="F44">
        <f t="shared" si="0"/>
        <v>2</v>
      </c>
      <c r="H44" s="1">
        <v>0.44652777777777802</v>
      </c>
      <c r="O44">
        <v>43</v>
      </c>
      <c r="P44" s="2">
        <f>TRUNC(O44/60) + 1</f>
        <v>1</v>
      </c>
      <c r="Q44">
        <v>73</v>
      </c>
      <c r="R44">
        <v>14</v>
      </c>
      <c r="S44">
        <v>2</v>
      </c>
    </row>
    <row r="45" spans="1:19" x14ac:dyDescent="0.25">
      <c r="A45">
        <v>71</v>
      </c>
      <c r="B45">
        <v>17</v>
      </c>
      <c r="C45">
        <v>10</v>
      </c>
      <c r="D45">
        <f>IF(A45=$N$2,1,0)</f>
        <v>0</v>
      </c>
      <c r="E45">
        <f>IF(A45=$M$2,1,0)</f>
        <v>0</v>
      </c>
      <c r="F45">
        <f t="shared" si="0"/>
        <v>3</v>
      </c>
      <c r="H45" s="1">
        <v>0.44722222222222202</v>
      </c>
      <c r="O45">
        <v>44</v>
      </c>
      <c r="P45" s="2">
        <f>TRUNC(O45/60) + 1</f>
        <v>1</v>
      </c>
      <c r="Q45">
        <v>71</v>
      </c>
      <c r="R45">
        <v>17</v>
      </c>
      <c r="S45">
        <v>10</v>
      </c>
    </row>
    <row r="46" spans="1:19" x14ac:dyDescent="0.25">
      <c r="A46">
        <v>97</v>
      </c>
      <c r="B46">
        <v>28</v>
      </c>
      <c r="C46">
        <v>1</v>
      </c>
      <c r="D46">
        <f>IF(A46=$N$2,1,0)</f>
        <v>0</v>
      </c>
      <c r="E46">
        <f>IF(A46=$M$2,1,0)</f>
        <v>0</v>
      </c>
      <c r="F46">
        <f t="shared" si="0"/>
        <v>4</v>
      </c>
      <c r="H46" s="1">
        <v>0.44791666666666702</v>
      </c>
      <c r="O46">
        <v>45</v>
      </c>
      <c r="P46" s="2">
        <f>TRUNC(O46/60) + 1</f>
        <v>1</v>
      </c>
      <c r="Q46">
        <v>97</v>
      </c>
      <c r="R46">
        <v>28</v>
      </c>
      <c r="S46">
        <v>1</v>
      </c>
    </row>
    <row r="47" spans="1:19" x14ac:dyDescent="0.25">
      <c r="A47">
        <v>77</v>
      </c>
      <c r="B47">
        <v>19</v>
      </c>
      <c r="C47">
        <v>7</v>
      </c>
      <c r="D47">
        <f>IF(A47=$N$2,1,0)</f>
        <v>0</v>
      </c>
      <c r="E47">
        <f>IF(A47=$M$2,1,0)</f>
        <v>0</v>
      </c>
      <c r="F47">
        <f t="shared" si="0"/>
        <v>5</v>
      </c>
      <c r="H47" s="1">
        <v>0.44861111111111102</v>
      </c>
      <c r="O47">
        <v>46</v>
      </c>
      <c r="P47" s="2">
        <f>TRUNC(O47/60) + 1</f>
        <v>1</v>
      </c>
      <c r="Q47">
        <v>77</v>
      </c>
      <c r="R47">
        <v>19</v>
      </c>
      <c r="S47">
        <v>7</v>
      </c>
    </row>
    <row r="48" spans="1:19" x14ac:dyDescent="0.25">
      <c r="A48">
        <v>22</v>
      </c>
      <c r="B48">
        <v>8</v>
      </c>
      <c r="C48">
        <v>7</v>
      </c>
      <c r="D48">
        <f>IF(A48=$N$2,1,0)</f>
        <v>0</v>
      </c>
      <c r="E48">
        <f>IF(A48=$M$2,1,0)</f>
        <v>0</v>
      </c>
      <c r="F48">
        <f t="shared" si="0"/>
        <v>6</v>
      </c>
      <c r="H48" s="1">
        <v>0.44930555555555501</v>
      </c>
      <c r="O48">
        <v>47</v>
      </c>
      <c r="P48" s="2">
        <f>TRUNC(O48/60) + 1</f>
        <v>1</v>
      </c>
      <c r="Q48">
        <v>22</v>
      </c>
      <c r="R48">
        <v>8</v>
      </c>
      <c r="S48">
        <v>7</v>
      </c>
    </row>
    <row r="49" spans="1:19" x14ac:dyDescent="0.25">
      <c r="A49">
        <v>65</v>
      </c>
      <c r="B49">
        <v>22</v>
      </c>
      <c r="C49">
        <v>1</v>
      </c>
      <c r="D49">
        <f>IF(A49=$N$2,1,0)</f>
        <v>0</v>
      </c>
      <c r="E49">
        <f>IF(A49=$M$2,1,0)</f>
        <v>0</v>
      </c>
      <c r="F49">
        <f t="shared" si="0"/>
        <v>7</v>
      </c>
      <c r="H49" s="1">
        <v>0.45</v>
      </c>
      <c r="O49">
        <v>48</v>
      </c>
      <c r="P49" s="2">
        <f>TRUNC(O49/60) + 1</f>
        <v>1</v>
      </c>
      <c r="Q49">
        <v>65</v>
      </c>
      <c r="R49">
        <v>22</v>
      </c>
      <c r="S49">
        <v>1</v>
      </c>
    </row>
    <row r="50" spans="1:19" x14ac:dyDescent="0.25">
      <c r="A50">
        <v>20</v>
      </c>
      <c r="B50">
        <v>11</v>
      </c>
      <c r="C50">
        <v>10</v>
      </c>
      <c r="D50">
        <f>IF(A50=$N$2,1,0)</f>
        <v>0</v>
      </c>
      <c r="E50">
        <f>IF(A50=$M$2,1,0)</f>
        <v>0</v>
      </c>
      <c r="F50">
        <f t="shared" si="0"/>
        <v>8</v>
      </c>
      <c r="H50" s="1">
        <v>0.45069444444444401</v>
      </c>
      <c r="O50">
        <v>49</v>
      </c>
      <c r="P50" s="2">
        <f>TRUNC(O50/60) + 1</f>
        <v>1</v>
      </c>
      <c r="Q50">
        <v>20</v>
      </c>
      <c r="R50">
        <v>11</v>
      </c>
      <c r="S50">
        <v>10</v>
      </c>
    </row>
    <row r="51" spans="1:19" x14ac:dyDescent="0.25">
      <c r="A51">
        <v>36</v>
      </c>
      <c r="B51">
        <v>25</v>
      </c>
      <c r="C51">
        <v>6</v>
      </c>
      <c r="D51">
        <f>IF(A51=$N$2,1,0)</f>
        <v>0</v>
      </c>
      <c r="E51">
        <f>IF(A51=$M$2,1,0)</f>
        <v>0</v>
      </c>
      <c r="F51">
        <f t="shared" si="0"/>
        <v>9</v>
      </c>
      <c r="H51" s="1">
        <v>0.45138888888888901</v>
      </c>
      <c r="O51">
        <v>50</v>
      </c>
      <c r="P51" s="2">
        <f>TRUNC(O51/60) + 1</f>
        <v>1</v>
      </c>
      <c r="Q51">
        <v>36</v>
      </c>
      <c r="R51">
        <v>25</v>
      </c>
      <c r="S51">
        <v>6</v>
      </c>
    </row>
    <row r="52" spans="1:19" x14ac:dyDescent="0.25">
      <c r="A52">
        <v>89</v>
      </c>
      <c r="B52">
        <v>29</v>
      </c>
      <c r="C52">
        <v>1</v>
      </c>
      <c r="D52">
        <f>IF(A52=$N$2,1,0)</f>
        <v>0</v>
      </c>
      <c r="E52">
        <f>IF(A52=$M$2,1,0)</f>
        <v>0</v>
      </c>
      <c r="F52">
        <f t="shared" si="0"/>
        <v>10</v>
      </c>
      <c r="H52" s="1">
        <v>0.452083333333333</v>
      </c>
      <c r="O52">
        <v>51</v>
      </c>
      <c r="P52" s="2">
        <f>TRUNC(O52/60) + 1</f>
        <v>1</v>
      </c>
      <c r="Q52">
        <v>89</v>
      </c>
      <c r="R52">
        <v>29</v>
      </c>
      <c r="S52">
        <v>1</v>
      </c>
    </row>
    <row r="53" spans="1:19" x14ac:dyDescent="0.25">
      <c r="A53">
        <v>84</v>
      </c>
      <c r="B53">
        <v>19</v>
      </c>
      <c r="C53">
        <v>7</v>
      </c>
      <c r="D53">
        <f>IF(A53=$N$2,1,0)</f>
        <v>0</v>
      </c>
      <c r="E53">
        <f>IF(A53=$M$2,1,0)</f>
        <v>0</v>
      </c>
      <c r="F53">
        <f t="shared" si="0"/>
        <v>11</v>
      </c>
      <c r="H53" s="1">
        <v>0.452777777777778</v>
      </c>
      <c r="O53">
        <v>52</v>
      </c>
      <c r="P53" s="2">
        <f>TRUNC(O53/60) + 1</f>
        <v>1</v>
      </c>
      <c r="Q53">
        <v>84</v>
      </c>
      <c r="R53">
        <v>19</v>
      </c>
      <c r="S53">
        <v>7</v>
      </c>
    </row>
    <row r="54" spans="1:19" x14ac:dyDescent="0.25">
      <c r="A54">
        <v>93</v>
      </c>
      <c r="B54">
        <v>17</v>
      </c>
      <c r="C54">
        <v>1</v>
      </c>
      <c r="D54">
        <f>IF(A54=$N$2,1,0)</f>
        <v>0</v>
      </c>
      <c r="E54">
        <f>IF(A54=$M$2,1,0)</f>
        <v>0</v>
      </c>
      <c r="F54">
        <f t="shared" si="0"/>
        <v>12</v>
      </c>
      <c r="H54" s="1">
        <v>0.453472222222222</v>
      </c>
      <c r="O54">
        <v>53</v>
      </c>
      <c r="P54" s="2">
        <f>TRUNC(O54/60) + 1</f>
        <v>1</v>
      </c>
      <c r="Q54">
        <v>93</v>
      </c>
      <c r="R54">
        <v>17</v>
      </c>
      <c r="S54">
        <v>1</v>
      </c>
    </row>
    <row r="55" spans="1:19" x14ac:dyDescent="0.25">
      <c r="A55">
        <v>78</v>
      </c>
      <c r="B55">
        <v>19</v>
      </c>
      <c r="C55">
        <v>7</v>
      </c>
      <c r="D55">
        <f>IF(A55=$N$2,1,0)</f>
        <v>0</v>
      </c>
      <c r="E55">
        <f>IF(A55=$M$2,1,0)</f>
        <v>0</v>
      </c>
      <c r="F55">
        <f t="shared" si="0"/>
        <v>13</v>
      </c>
      <c r="H55" s="1">
        <v>0.454166666666666</v>
      </c>
      <c r="O55">
        <v>54</v>
      </c>
      <c r="P55" s="2">
        <f>TRUNC(O55/60) + 1</f>
        <v>1</v>
      </c>
      <c r="Q55">
        <v>78</v>
      </c>
      <c r="R55">
        <v>19</v>
      </c>
      <c r="S55">
        <v>7</v>
      </c>
    </row>
    <row r="56" spans="1:19" x14ac:dyDescent="0.25">
      <c r="A56">
        <v>14</v>
      </c>
      <c r="B56">
        <v>20</v>
      </c>
      <c r="C56">
        <v>1</v>
      </c>
      <c r="D56">
        <f>IF(A56=$N$2,1,0)</f>
        <v>0</v>
      </c>
      <c r="E56">
        <f>IF(A56=$M$2,1,0)</f>
        <v>0</v>
      </c>
      <c r="F56">
        <f t="shared" si="0"/>
        <v>0</v>
      </c>
      <c r="H56" s="1">
        <v>0.45486111111111099</v>
      </c>
      <c r="O56">
        <v>55</v>
      </c>
      <c r="P56" s="2">
        <f>TRUNC(O56/60) + 1</f>
        <v>1</v>
      </c>
      <c r="Q56">
        <v>14</v>
      </c>
      <c r="R56">
        <v>20</v>
      </c>
      <c r="S56">
        <v>1</v>
      </c>
    </row>
    <row r="57" spans="1:19" x14ac:dyDescent="0.25">
      <c r="A57">
        <v>97</v>
      </c>
      <c r="B57">
        <v>8</v>
      </c>
      <c r="C57">
        <v>3</v>
      </c>
      <c r="D57">
        <f>IF(A57=$N$2,1,0)</f>
        <v>0</v>
      </c>
      <c r="E57">
        <f>IF(A57=$M$2,1,0)</f>
        <v>0</v>
      </c>
      <c r="F57">
        <f t="shared" si="0"/>
        <v>1</v>
      </c>
      <c r="H57" s="1">
        <v>0.45555555555555499</v>
      </c>
      <c r="O57">
        <v>56</v>
      </c>
      <c r="P57" s="2">
        <f>TRUNC(O57/60) + 1</f>
        <v>1</v>
      </c>
      <c r="Q57">
        <v>97</v>
      </c>
      <c r="R57">
        <v>8</v>
      </c>
      <c r="S57">
        <v>3</v>
      </c>
    </row>
    <row r="58" spans="1:19" x14ac:dyDescent="0.25">
      <c r="A58">
        <v>51</v>
      </c>
      <c r="B58">
        <v>9</v>
      </c>
      <c r="C58">
        <v>5</v>
      </c>
      <c r="D58">
        <f>IF(A58=$N$2,1,0)</f>
        <v>0</v>
      </c>
      <c r="E58">
        <f>IF(A58=$M$2,1,0)</f>
        <v>0</v>
      </c>
      <c r="F58">
        <f t="shared" si="0"/>
        <v>2</v>
      </c>
      <c r="H58" s="1">
        <v>0.45624999999999999</v>
      </c>
      <c r="O58">
        <v>57</v>
      </c>
      <c r="P58" s="2">
        <f>TRUNC(O58/60) + 1</f>
        <v>1</v>
      </c>
      <c r="Q58">
        <v>51</v>
      </c>
      <c r="R58">
        <v>9</v>
      </c>
      <c r="S58">
        <v>5</v>
      </c>
    </row>
    <row r="59" spans="1:19" x14ac:dyDescent="0.25">
      <c r="A59">
        <v>54</v>
      </c>
      <c r="B59">
        <v>12</v>
      </c>
      <c r="C59">
        <v>2</v>
      </c>
      <c r="D59">
        <f>IF(A59=$N$2,1,0)</f>
        <v>0</v>
      </c>
      <c r="E59">
        <f>IF(A59=$M$2,1,0)</f>
        <v>0</v>
      </c>
      <c r="F59">
        <f t="shared" si="0"/>
        <v>3</v>
      </c>
      <c r="H59" s="1">
        <v>0.45694444444444399</v>
      </c>
      <c r="O59">
        <v>58</v>
      </c>
      <c r="P59" s="2">
        <f>TRUNC(O59/60) + 1</f>
        <v>1</v>
      </c>
      <c r="Q59">
        <v>54</v>
      </c>
      <c r="R59">
        <v>12</v>
      </c>
      <c r="S59">
        <v>2</v>
      </c>
    </row>
    <row r="60" spans="1:19" x14ac:dyDescent="0.25">
      <c r="A60">
        <v>60</v>
      </c>
      <c r="B60">
        <v>6</v>
      </c>
      <c r="C60">
        <v>4</v>
      </c>
      <c r="D60">
        <f>IF(A60=$N$2,1,0)</f>
        <v>0</v>
      </c>
      <c r="E60">
        <f>IF(A60=$M$2,1,0)</f>
        <v>0</v>
      </c>
      <c r="F60">
        <f t="shared" si="0"/>
        <v>4</v>
      </c>
      <c r="H60" s="1">
        <v>0.45763888888888898</v>
      </c>
      <c r="O60">
        <v>59</v>
      </c>
      <c r="P60" s="2">
        <f>TRUNC(O60/60) + 1</f>
        <v>1</v>
      </c>
      <c r="Q60">
        <v>60</v>
      </c>
      <c r="R60">
        <v>6</v>
      </c>
      <c r="S60">
        <v>4</v>
      </c>
    </row>
    <row r="61" spans="1:19" x14ac:dyDescent="0.25">
      <c r="A61">
        <v>10</v>
      </c>
      <c r="B61">
        <v>23</v>
      </c>
      <c r="C61">
        <v>4</v>
      </c>
      <c r="D61">
        <f>IF(A61=$N$2,1,0)</f>
        <v>1</v>
      </c>
      <c r="E61">
        <f>IF(A61=$M$2,1,0)</f>
        <v>0</v>
      </c>
      <c r="F61">
        <f t="shared" si="0"/>
        <v>0</v>
      </c>
      <c r="H61" s="1">
        <v>0.45833333333333298</v>
      </c>
      <c r="O61">
        <v>60</v>
      </c>
      <c r="P61" s="2">
        <f>TRUNC(O61/60) + 1</f>
        <v>2</v>
      </c>
      <c r="Q61">
        <v>10</v>
      </c>
      <c r="R61">
        <v>23</v>
      </c>
      <c r="S61">
        <v>4</v>
      </c>
    </row>
    <row r="62" spans="1:19" x14ac:dyDescent="0.25">
      <c r="A62">
        <v>17</v>
      </c>
      <c r="B62">
        <v>26</v>
      </c>
      <c r="C62">
        <v>4</v>
      </c>
      <c r="D62">
        <f>IF(A62=$N$2,1,0)</f>
        <v>0</v>
      </c>
      <c r="E62">
        <f>IF(A62=$M$2,1,0)</f>
        <v>0</v>
      </c>
      <c r="F62">
        <f t="shared" si="0"/>
        <v>0</v>
      </c>
      <c r="H62" s="1">
        <v>0.45902777777777798</v>
      </c>
      <c r="O62">
        <v>61</v>
      </c>
      <c r="P62" s="2">
        <f>TRUNC(O62/60) + 1</f>
        <v>2</v>
      </c>
      <c r="Q62">
        <v>17</v>
      </c>
      <c r="R62">
        <v>26</v>
      </c>
      <c r="S62">
        <v>4</v>
      </c>
    </row>
    <row r="63" spans="1:19" x14ac:dyDescent="0.25">
      <c r="A63">
        <v>52</v>
      </c>
      <c r="B63">
        <v>10</v>
      </c>
      <c r="C63">
        <v>5</v>
      </c>
      <c r="D63">
        <f>IF(A63=$N$2,1,0)</f>
        <v>0</v>
      </c>
      <c r="E63">
        <f>IF(A63=$M$2,1,0)</f>
        <v>0</v>
      </c>
      <c r="F63">
        <f t="shared" si="0"/>
        <v>1</v>
      </c>
      <c r="H63" s="1">
        <v>0.45972222222222198</v>
      </c>
      <c r="O63">
        <v>62</v>
      </c>
      <c r="P63" s="2">
        <f>TRUNC(O63/60) + 1</f>
        <v>2</v>
      </c>
      <c r="Q63">
        <v>52</v>
      </c>
      <c r="R63">
        <v>10</v>
      </c>
      <c r="S63">
        <v>5</v>
      </c>
    </row>
    <row r="64" spans="1:19" x14ac:dyDescent="0.25">
      <c r="A64">
        <v>47</v>
      </c>
      <c r="B64">
        <v>28</v>
      </c>
      <c r="C64">
        <v>7</v>
      </c>
      <c r="D64">
        <f>IF(A64=$N$2,1,0)</f>
        <v>0</v>
      </c>
      <c r="E64">
        <f>IF(A64=$M$2,1,0)</f>
        <v>0</v>
      </c>
      <c r="F64">
        <f t="shared" si="0"/>
        <v>2</v>
      </c>
      <c r="H64" s="1">
        <v>0.46041666666666697</v>
      </c>
      <c r="O64">
        <v>63</v>
      </c>
      <c r="P64" s="2">
        <f>TRUNC(O64/60) + 1</f>
        <v>2</v>
      </c>
      <c r="Q64">
        <v>47</v>
      </c>
      <c r="R64">
        <v>28</v>
      </c>
      <c r="S64">
        <v>7</v>
      </c>
    </row>
    <row r="65" spans="1:19" x14ac:dyDescent="0.25">
      <c r="A65">
        <v>14</v>
      </c>
      <c r="B65">
        <v>23</v>
      </c>
      <c r="C65">
        <v>4</v>
      </c>
      <c r="D65">
        <f>IF(A65=$N$2,1,0)</f>
        <v>0</v>
      </c>
      <c r="E65">
        <f>IF(A65=$M$2,1,0)</f>
        <v>0</v>
      </c>
      <c r="F65">
        <f t="shared" si="0"/>
        <v>0</v>
      </c>
      <c r="H65" s="1">
        <v>0.46111111111111103</v>
      </c>
      <c r="O65">
        <v>64</v>
      </c>
      <c r="P65" s="2">
        <f>TRUNC(O65/60) + 1</f>
        <v>2</v>
      </c>
      <c r="Q65">
        <v>14</v>
      </c>
      <c r="R65">
        <v>23</v>
      </c>
      <c r="S65">
        <v>4</v>
      </c>
    </row>
    <row r="66" spans="1:19" x14ac:dyDescent="0.25">
      <c r="A66">
        <v>94</v>
      </c>
      <c r="B66">
        <v>16</v>
      </c>
      <c r="C66">
        <v>3</v>
      </c>
      <c r="D66">
        <f>IF(A66=$N$2,1,0)</f>
        <v>0</v>
      </c>
      <c r="E66">
        <f>IF(A66=$M$2,1,0)</f>
        <v>0</v>
      </c>
      <c r="F66">
        <f t="shared" si="0"/>
        <v>1</v>
      </c>
      <c r="H66" s="1">
        <v>0.46180555555555503</v>
      </c>
      <c r="O66">
        <v>65</v>
      </c>
      <c r="P66" s="2">
        <f>TRUNC(O66/60) + 1</f>
        <v>2</v>
      </c>
      <c r="Q66">
        <v>94</v>
      </c>
      <c r="R66">
        <v>16</v>
      </c>
      <c r="S66">
        <v>3</v>
      </c>
    </row>
    <row r="67" spans="1:19" x14ac:dyDescent="0.25">
      <c r="A67">
        <v>67</v>
      </c>
      <c r="B67">
        <v>11</v>
      </c>
      <c r="C67">
        <v>5</v>
      </c>
      <c r="D67">
        <f>IF(A67=$N$2,1,0)</f>
        <v>0</v>
      </c>
      <c r="E67">
        <f>IF(A67=$M$2,1,0)</f>
        <v>0</v>
      </c>
      <c r="F67">
        <f t="shared" ref="F67:F130" si="1">IF(AND(B67&gt;C67, A67 &gt; B67), F66 + 1, 0)</f>
        <v>2</v>
      </c>
      <c r="H67" s="1">
        <v>0.46250000000000002</v>
      </c>
      <c r="O67">
        <v>66</v>
      </c>
      <c r="P67" s="2">
        <f>TRUNC(O67/60) + 1</f>
        <v>2</v>
      </c>
      <c r="Q67">
        <v>67</v>
      </c>
      <c r="R67">
        <v>11</v>
      </c>
      <c r="S67">
        <v>5</v>
      </c>
    </row>
    <row r="68" spans="1:19" x14ac:dyDescent="0.25">
      <c r="A68">
        <v>61</v>
      </c>
      <c r="B68">
        <v>20</v>
      </c>
      <c r="C68">
        <v>3</v>
      </c>
      <c r="D68">
        <f>IF(A68=$N$2,1,0)</f>
        <v>0</v>
      </c>
      <c r="E68">
        <f>IF(A68=$M$2,1,0)</f>
        <v>0</v>
      </c>
      <c r="F68">
        <f t="shared" si="1"/>
        <v>3</v>
      </c>
      <c r="H68" s="1">
        <v>0.46319444444444402</v>
      </c>
      <c r="O68">
        <v>67</v>
      </c>
      <c r="P68" s="2">
        <f>TRUNC(O68/60) + 1</f>
        <v>2</v>
      </c>
      <c r="Q68">
        <v>61</v>
      </c>
      <c r="R68">
        <v>20</v>
      </c>
      <c r="S68">
        <v>3</v>
      </c>
    </row>
    <row r="69" spans="1:19" x14ac:dyDescent="0.25">
      <c r="A69">
        <v>72</v>
      </c>
      <c r="B69">
        <v>7</v>
      </c>
      <c r="C69">
        <v>4</v>
      </c>
      <c r="D69">
        <f>IF(A69=$N$2,1,0)</f>
        <v>0</v>
      </c>
      <c r="E69">
        <f>IF(A69=$M$2,1,0)</f>
        <v>0</v>
      </c>
      <c r="F69">
        <f t="shared" si="1"/>
        <v>4</v>
      </c>
      <c r="H69" s="1">
        <v>0.46388888888888902</v>
      </c>
      <c r="O69">
        <v>68</v>
      </c>
      <c r="P69" s="2">
        <f>TRUNC(O69/60) + 1</f>
        <v>2</v>
      </c>
      <c r="Q69">
        <v>72</v>
      </c>
      <c r="R69">
        <v>7</v>
      </c>
      <c r="S69">
        <v>4</v>
      </c>
    </row>
    <row r="70" spans="1:19" x14ac:dyDescent="0.25">
      <c r="A70">
        <v>88</v>
      </c>
      <c r="B70">
        <v>25</v>
      </c>
      <c r="C70">
        <v>9</v>
      </c>
      <c r="D70">
        <f>IF(A70=$N$2,1,0)</f>
        <v>0</v>
      </c>
      <c r="E70">
        <f>IF(A70=$M$2,1,0)</f>
        <v>0</v>
      </c>
      <c r="F70">
        <f t="shared" si="1"/>
        <v>5</v>
      </c>
      <c r="H70" s="1">
        <v>0.46458333333333302</v>
      </c>
      <c r="O70">
        <v>69</v>
      </c>
      <c r="P70" s="2">
        <f>TRUNC(O70/60) + 1</f>
        <v>2</v>
      </c>
      <c r="Q70">
        <v>88</v>
      </c>
      <c r="R70">
        <v>25</v>
      </c>
      <c r="S70">
        <v>9</v>
      </c>
    </row>
    <row r="71" spans="1:19" x14ac:dyDescent="0.25">
      <c r="A71">
        <v>29</v>
      </c>
      <c r="B71">
        <v>29</v>
      </c>
      <c r="C71">
        <v>7</v>
      </c>
      <c r="D71">
        <f>IF(A71=$N$2,1,0)</f>
        <v>0</v>
      </c>
      <c r="E71">
        <f>IF(A71=$M$2,1,0)</f>
        <v>0</v>
      </c>
      <c r="F71">
        <f t="shared" si="1"/>
        <v>0</v>
      </c>
      <c r="H71" s="1">
        <v>0.46527777777777801</v>
      </c>
      <c r="O71">
        <v>70</v>
      </c>
      <c r="P71" s="2">
        <f>TRUNC(O71/60) + 1</f>
        <v>2</v>
      </c>
      <c r="Q71">
        <v>29</v>
      </c>
      <c r="R71">
        <v>29</v>
      </c>
      <c r="S71">
        <v>7</v>
      </c>
    </row>
    <row r="72" spans="1:19" x14ac:dyDescent="0.25">
      <c r="A72">
        <v>52</v>
      </c>
      <c r="B72">
        <v>30</v>
      </c>
      <c r="C72">
        <v>2</v>
      </c>
      <c r="D72">
        <f>IF(A72=$N$2,1,0)</f>
        <v>0</v>
      </c>
      <c r="E72">
        <f>IF(A72=$M$2,1,0)</f>
        <v>0</v>
      </c>
      <c r="F72">
        <f t="shared" si="1"/>
        <v>1</v>
      </c>
      <c r="H72" s="1">
        <v>0.46597222222222201</v>
      </c>
      <c r="O72">
        <v>71</v>
      </c>
      <c r="P72" s="2">
        <f>TRUNC(O72/60) + 1</f>
        <v>2</v>
      </c>
      <c r="Q72">
        <v>52</v>
      </c>
      <c r="R72">
        <v>30</v>
      </c>
      <c r="S72">
        <v>2</v>
      </c>
    </row>
    <row r="73" spans="1:19" x14ac:dyDescent="0.25">
      <c r="A73">
        <v>55</v>
      </c>
      <c r="B73">
        <v>8</v>
      </c>
      <c r="C73">
        <v>10</v>
      </c>
      <c r="D73">
        <f>IF(A73=$N$2,1,0)</f>
        <v>0</v>
      </c>
      <c r="E73">
        <f>IF(A73=$M$2,1,0)</f>
        <v>0</v>
      </c>
      <c r="F73">
        <f t="shared" si="1"/>
        <v>0</v>
      </c>
      <c r="H73" s="1">
        <v>0.46666666666666701</v>
      </c>
      <c r="O73">
        <v>72</v>
      </c>
      <c r="P73" s="2">
        <f>TRUNC(O73/60) + 1</f>
        <v>2</v>
      </c>
      <c r="Q73">
        <v>55</v>
      </c>
      <c r="R73">
        <v>8</v>
      </c>
      <c r="S73">
        <v>10</v>
      </c>
    </row>
    <row r="74" spans="1:19" x14ac:dyDescent="0.25">
      <c r="A74">
        <v>98</v>
      </c>
      <c r="B74">
        <v>21</v>
      </c>
      <c r="C74">
        <v>10</v>
      </c>
      <c r="D74">
        <f>IF(A74=$N$2,1,0)</f>
        <v>0</v>
      </c>
      <c r="E74">
        <f>IF(A74=$M$2,1,0)</f>
        <v>0</v>
      </c>
      <c r="F74">
        <f t="shared" si="1"/>
        <v>1</v>
      </c>
      <c r="H74" s="1">
        <v>0.46736111111111101</v>
      </c>
      <c r="O74">
        <v>73</v>
      </c>
      <c r="P74" s="2">
        <f>TRUNC(O74/60) + 1</f>
        <v>2</v>
      </c>
      <c r="Q74">
        <v>98</v>
      </c>
      <c r="R74">
        <v>21</v>
      </c>
      <c r="S74">
        <v>10</v>
      </c>
    </row>
    <row r="75" spans="1:19" x14ac:dyDescent="0.25">
      <c r="A75">
        <v>55</v>
      </c>
      <c r="B75">
        <v>28</v>
      </c>
      <c r="C75">
        <v>8</v>
      </c>
      <c r="D75">
        <f>IF(A75=$N$2,1,0)</f>
        <v>0</v>
      </c>
      <c r="E75">
        <f>IF(A75=$M$2,1,0)</f>
        <v>0</v>
      </c>
      <c r="F75">
        <f t="shared" si="1"/>
        <v>2</v>
      </c>
      <c r="H75" s="1">
        <v>0.468055555555555</v>
      </c>
      <c r="O75">
        <v>74</v>
      </c>
      <c r="P75" s="2">
        <f>TRUNC(O75/60) + 1</f>
        <v>2</v>
      </c>
      <c r="Q75">
        <v>55</v>
      </c>
      <c r="R75">
        <v>28</v>
      </c>
      <c r="S75">
        <v>8</v>
      </c>
    </row>
    <row r="76" spans="1:19" x14ac:dyDescent="0.25">
      <c r="A76">
        <v>83</v>
      </c>
      <c r="B76">
        <v>28</v>
      </c>
      <c r="C76">
        <v>2</v>
      </c>
      <c r="D76">
        <f>IF(A76=$N$2,1,0)</f>
        <v>0</v>
      </c>
      <c r="E76">
        <f>IF(A76=$M$2,1,0)</f>
        <v>0</v>
      </c>
      <c r="F76">
        <f t="shared" si="1"/>
        <v>3</v>
      </c>
      <c r="H76" s="1">
        <v>0.46875</v>
      </c>
      <c r="O76">
        <v>75</v>
      </c>
      <c r="P76" s="2">
        <f>TRUNC(O76/60) + 1</f>
        <v>2</v>
      </c>
      <c r="Q76">
        <v>83</v>
      </c>
      <c r="R76">
        <v>28</v>
      </c>
      <c r="S76">
        <v>2</v>
      </c>
    </row>
    <row r="77" spans="1:19" x14ac:dyDescent="0.25">
      <c r="A77">
        <v>59</v>
      </c>
      <c r="B77">
        <v>26</v>
      </c>
      <c r="C77">
        <v>1</v>
      </c>
      <c r="D77">
        <f>IF(A77=$N$2,1,0)</f>
        <v>0</v>
      </c>
      <c r="E77">
        <f>IF(A77=$M$2,1,0)</f>
        <v>0</v>
      </c>
      <c r="F77">
        <f t="shared" si="1"/>
        <v>4</v>
      </c>
      <c r="H77" s="1">
        <v>0.469444444444444</v>
      </c>
      <c r="O77">
        <v>76</v>
      </c>
      <c r="P77" s="2">
        <f>TRUNC(O77/60) + 1</f>
        <v>2</v>
      </c>
      <c r="Q77">
        <v>59</v>
      </c>
      <c r="R77">
        <v>26</v>
      </c>
      <c r="S77">
        <v>1</v>
      </c>
    </row>
    <row r="78" spans="1:19" x14ac:dyDescent="0.25">
      <c r="A78">
        <v>68</v>
      </c>
      <c r="B78">
        <v>24</v>
      </c>
      <c r="C78">
        <v>9</v>
      </c>
      <c r="D78">
        <f>IF(A78=$N$2,1,0)</f>
        <v>0</v>
      </c>
      <c r="E78">
        <f>IF(A78=$M$2,1,0)</f>
        <v>0</v>
      </c>
      <c r="F78">
        <f t="shared" si="1"/>
        <v>5</v>
      </c>
      <c r="H78" s="1">
        <v>0.47013888888888899</v>
      </c>
      <c r="O78">
        <v>77</v>
      </c>
      <c r="P78" s="2">
        <f>TRUNC(O78/60) + 1</f>
        <v>2</v>
      </c>
      <c r="Q78">
        <v>68</v>
      </c>
      <c r="R78">
        <v>24</v>
      </c>
      <c r="S78">
        <v>9</v>
      </c>
    </row>
    <row r="79" spans="1:19" x14ac:dyDescent="0.25">
      <c r="A79">
        <v>33</v>
      </c>
      <c r="B79">
        <v>21</v>
      </c>
      <c r="C79">
        <v>7</v>
      </c>
      <c r="D79">
        <f>IF(A79=$N$2,1,0)</f>
        <v>0</v>
      </c>
      <c r="E79">
        <f>IF(A79=$M$2,1,0)</f>
        <v>0</v>
      </c>
      <c r="F79">
        <f t="shared" si="1"/>
        <v>6</v>
      </c>
      <c r="H79" s="1">
        <v>0.47083333333333299</v>
      </c>
      <c r="O79">
        <v>78</v>
      </c>
      <c r="P79" s="2">
        <f>TRUNC(O79/60) + 1</f>
        <v>2</v>
      </c>
      <c r="Q79">
        <v>33</v>
      </c>
      <c r="R79">
        <v>21</v>
      </c>
      <c r="S79">
        <v>7</v>
      </c>
    </row>
    <row r="80" spans="1:19" x14ac:dyDescent="0.25">
      <c r="A80">
        <v>58</v>
      </c>
      <c r="B80">
        <v>6</v>
      </c>
      <c r="C80">
        <v>4</v>
      </c>
      <c r="D80">
        <f>IF(A80=$N$2,1,0)</f>
        <v>0</v>
      </c>
      <c r="E80">
        <f>IF(A80=$M$2,1,0)</f>
        <v>0</v>
      </c>
      <c r="F80">
        <f t="shared" si="1"/>
        <v>7</v>
      </c>
      <c r="H80" s="1">
        <v>0.47152777777777799</v>
      </c>
      <c r="O80">
        <v>79</v>
      </c>
      <c r="P80" s="2">
        <f>TRUNC(O80/60) + 1</f>
        <v>2</v>
      </c>
      <c r="Q80">
        <v>58</v>
      </c>
      <c r="R80">
        <v>6</v>
      </c>
      <c r="S80">
        <v>4</v>
      </c>
    </row>
    <row r="81" spans="1:19" x14ac:dyDescent="0.25">
      <c r="A81">
        <v>73</v>
      </c>
      <c r="B81">
        <v>8</v>
      </c>
      <c r="C81">
        <v>5</v>
      </c>
      <c r="D81">
        <f>IF(A81=$N$2,1,0)</f>
        <v>0</v>
      </c>
      <c r="E81">
        <f>IF(A81=$M$2,1,0)</f>
        <v>0</v>
      </c>
      <c r="F81">
        <f t="shared" si="1"/>
        <v>8</v>
      </c>
      <c r="H81" s="1">
        <v>0.47222222222222199</v>
      </c>
      <c r="O81">
        <v>80</v>
      </c>
      <c r="P81" s="2">
        <f>TRUNC(O81/60) + 1</f>
        <v>2</v>
      </c>
      <c r="Q81">
        <v>73</v>
      </c>
      <c r="R81">
        <v>8</v>
      </c>
      <c r="S81">
        <v>5</v>
      </c>
    </row>
    <row r="82" spans="1:19" x14ac:dyDescent="0.25">
      <c r="A82">
        <v>83</v>
      </c>
      <c r="B82">
        <v>28</v>
      </c>
      <c r="C82">
        <v>6</v>
      </c>
      <c r="D82">
        <f>IF(A82=$N$2,1,0)</f>
        <v>0</v>
      </c>
      <c r="E82">
        <f>IF(A82=$M$2,1,0)</f>
        <v>0</v>
      </c>
      <c r="F82">
        <f t="shared" si="1"/>
        <v>9</v>
      </c>
      <c r="H82" s="1">
        <v>0.47291666666666698</v>
      </c>
      <c r="O82">
        <v>81</v>
      </c>
      <c r="P82" s="2">
        <f>TRUNC(O82/60) + 1</f>
        <v>2</v>
      </c>
      <c r="Q82">
        <v>83</v>
      </c>
      <c r="R82">
        <v>28</v>
      </c>
      <c r="S82">
        <v>6</v>
      </c>
    </row>
    <row r="83" spans="1:19" x14ac:dyDescent="0.25">
      <c r="A83">
        <v>48</v>
      </c>
      <c r="B83">
        <v>28</v>
      </c>
      <c r="C83">
        <v>4</v>
      </c>
      <c r="D83">
        <f>IF(A83=$N$2,1,0)</f>
        <v>0</v>
      </c>
      <c r="E83">
        <f>IF(A83=$M$2,1,0)</f>
        <v>0</v>
      </c>
      <c r="F83">
        <f t="shared" si="1"/>
        <v>10</v>
      </c>
      <c r="H83" s="1">
        <v>0.47361111111111098</v>
      </c>
      <c r="O83">
        <v>82</v>
      </c>
      <c r="P83" s="2">
        <f>TRUNC(O83/60) + 1</f>
        <v>2</v>
      </c>
      <c r="Q83">
        <v>48</v>
      </c>
      <c r="R83">
        <v>28</v>
      </c>
      <c r="S83">
        <v>4</v>
      </c>
    </row>
    <row r="84" spans="1:19" x14ac:dyDescent="0.25">
      <c r="A84">
        <v>96</v>
      </c>
      <c r="B84">
        <v>5</v>
      </c>
      <c r="C84">
        <v>9</v>
      </c>
      <c r="D84">
        <f>IF(A84=$N$2,1,0)</f>
        <v>0</v>
      </c>
      <c r="E84">
        <f>IF(A84=$M$2,1,0)</f>
        <v>0</v>
      </c>
      <c r="F84">
        <f t="shared" si="1"/>
        <v>0</v>
      </c>
      <c r="H84" s="1">
        <v>0.47430555555555498</v>
      </c>
      <c r="O84">
        <v>83</v>
      </c>
      <c r="P84" s="2">
        <f>TRUNC(O84/60) + 1</f>
        <v>2</v>
      </c>
      <c r="Q84">
        <v>96</v>
      </c>
      <c r="R84">
        <v>5</v>
      </c>
      <c r="S84">
        <v>9</v>
      </c>
    </row>
    <row r="85" spans="1:19" x14ac:dyDescent="0.25">
      <c r="A85">
        <v>64</v>
      </c>
      <c r="B85">
        <v>15</v>
      </c>
      <c r="C85">
        <v>6</v>
      </c>
      <c r="D85">
        <f>IF(A85=$N$2,1,0)</f>
        <v>0</v>
      </c>
      <c r="E85">
        <f>IF(A85=$M$2,1,0)</f>
        <v>0</v>
      </c>
      <c r="F85">
        <f t="shared" si="1"/>
        <v>1</v>
      </c>
      <c r="H85" s="1">
        <v>0.47499999999999998</v>
      </c>
      <c r="O85">
        <v>84</v>
      </c>
      <c r="P85" s="2">
        <f>TRUNC(O85/60) + 1</f>
        <v>2</v>
      </c>
      <c r="Q85">
        <v>64</v>
      </c>
      <c r="R85">
        <v>15</v>
      </c>
      <c r="S85">
        <v>6</v>
      </c>
    </row>
    <row r="86" spans="1:19" x14ac:dyDescent="0.25">
      <c r="A86">
        <v>12</v>
      </c>
      <c r="B86">
        <v>27</v>
      </c>
      <c r="C86">
        <v>5</v>
      </c>
      <c r="D86">
        <f>IF(A86=$N$2,1,0)</f>
        <v>0</v>
      </c>
      <c r="E86">
        <f>IF(A86=$M$2,1,0)</f>
        <v>0</v>
      </c>
      <c r="F86">
        <f t="shared" si="1"/>
        <v>0</v>
      </c>
      <c r="H86" s="1">
        <v>0.47569444444444398</v>
      </c>
      <c r="O86">
        <v>85</v>
      </c>
      <c r="P86" s="2">
        <f>TRUNC(O86/60) + 1</f>
        <v>2</v>
      </c>
      <c r="Q86">
        <v>12</v>
      </c>
      <c r="R86">
        <v>27</v>
      </c>
      <c r="S86">
        <v>5</v>
      </c>
    </row>
    <row r="87" spans="1:19" x14ac:dyDescent="0.25">
      <c r="A87">
        <v>89</v>
      </c>
      <c r="B87">
        <v>8</v>
      </c>
      <c r="C87">
        <v>4</v>
      </c>
      <c r="D87">
        <f>IF(A87=$N$2,1,0)</f>
        <v>0</v>
      </c>
      <c r="E87">
        <f>IF(A87=$M$2,1,0)</f>
        <v>0</v>
      </c>
      <c r="F87">
        <f t="shared" si="1"/>
        <v>1</v>
      </c>
      <c r="H87" s="1">
        <v>0.47638888888888897</v>
      </c>
      <c r="O87">
        <v>86</v>
      </c>
      <c r="P87" s="2">
        <f>TRUNC(O87/60) + 1</f>
        <v>2</v>
      </c>
      <c r="Q87">
        <v>89</v>
      </c>
      <c r="R87">
        <v>8</v>
      </c>
      <c r="S87">
        <v>4</v>
      </c>
    </row>
    <row r="88" spans="1:19" x14ac:dyDescent="0.25">
      <c r="A88">
        <v>49</v>
      </c>
      <c r="B88">
        <v>25</v>
      </c>
      <c r="C88">
        <v>10</v>
      </c>
      <c r="D88">
        <f>IF(A88=$N$2,1,0)</f>
        <v>0</v>
      </c>
      <c r="E88">
        <f>IF(A88=$M$2,1,0)</f>
        <v>0</v>
      </c>
      <c r="F88">
        <f t="shared" si="1"/>
        <v>2</v>
      </c>
      <c r="H88" s="1">
        <v>0.47708333333333303</v>
      </c>
      <c r="O88">
        <v>87</v>
      </c>
      <c r="P88" s="2">
        <f>TRUNC(O88/60) + 1</f>
        <v>2</v>
      </c>
      <c r="Q88">
        <v>49</v>
      </c>
      <c r="R88">
        <v>25</v>
      </c>
      <c r="S88">
        <v>10</v>
      </c>
    </row>
    <row r="89" spans="1:19" x14ac:dyDescent="0.25">
      <c r="A89">
        <v>57</v>
      </c>
      <c r="B89">
        <v>14</v>
      </c>
      <c r="C89">
        <v>10</v>
      </c>
      <c r="D89">
        <f>IF(A89=$N$2,1,0)</f>
        <v>0</v>
      </c>
      <c r="E89">
        <f>IF(A89=$M$2,1,0)</f>
        <v>0</v>
      </c>
      <c r="F89">
        <f t="shared" si="1"/>
        <v>3</v>
      </c>
      <c r="H89" s="1">
        <v>0.47777777777777802</v>
      </c>
      <c r="O89">
        <v>88</v>
      </c>
      <c r="P89" s="2">
        <f>TRUNC(O89/60) + 1</f>
        <v>2</v>
      </c>
      <c r="Q89">
        <v>57</v>
      </c>
      <c r="R89">
        <v>14</v>
      </c>
      <c r="S89">
        <v>10</v>
      </c>
    </row>
    <row r="90" spans="1:19" x14ac:dyDescent="0.25">
      <c r="A90">
        <v>10</v>
      </c>
      <c r="B90">
        <v>22</v>
      </c>
      <c r="C90">
        <v>9</v>
      </c>
      <c r="D90">
        <f>IF(A90=$N$2,1,0)</f>
        <v>1</v>
      </c>
      <c r="E90">
        <f>IF(A90=$M$2,1,0)</f>
        <v>0</v>
      </c>
      <c r="F90">
        <f t="shared" si="1"/>
        <v>0</v>
      </c>
      <c r="H90" s="1">
        <v>0.47847222222222202</v>
      </c>
      <c r="O90">
        <v>89</v>
      </c>
      <c r="P90" s="2">
        <f>TRUNC(O90/60) + 1</f>
        <v>2</v>
      </c>
      <c r="Q90">
        <v>10</v>
      </c>
      <c r="R90">
        <v>22</v>
      </c>
      <c r="S90">
        <v>9</v>
      </c>
    </row>
    <row r="91" spans="1:19" x14ac:dyDescent="0.25">
      <c r="A91">
        <v>22</v>
      </c>
      <c r="B91">
        <v>16</v>
      </c>
      <c r="C91">
        <v>6</v>
      </c>
      <c r="D91">
        <f>IF(A91=$N$2,1,0)</f>
        <v>0</v>
      </c>
      <c r="E91">
        <f>IF(A91=$M$2,1,0)</f>
        <v>0</v>
      </c>
      <c r="F91">
        <f t="shared" si="1"/>
        <v>1</v>
      </c>
      <c r="H91" s="1">
        <v>0.47916666666666602</v>
      </c>
      <c r="O91">
        <v>90</v>
      </c>
      <c r="P91" s="2">
        <f>TRUNC(O91/60) + 1</f>
        <v>2</v>
      </c>
      <c r="Q91">
        <v>22</v>
      </c>
      <c r="R91">
        <v>16</v>
      </c>
      <c r="S91">
        <v>6</v>
      </c>
    </row>
    <row r="92" spans="1:19" x14ac:dyDescent="0.25">
      <c r="A92">
        <v>20</v>
      </c>
      <c r="B92">
        <v>21</v>
      </c>
      <c r="C92">
        <v>8</v>
      </c>
      <c r="D92">
        <f>IF(A92=$N$2,1,0)</f>
        <v>0</v>
      </c>
      <c r="E92">
        <f>IF(A92=$M$2,1,0)</f>
        <v>0</v>
      </c>
      <c r="F92">
        <f t="shared" si="1"/>
        <v>0</v>
      </c>
      <c r="H92" s="1">
        <v>0.47986111111111102</v>
      </c>
      <c r="O92">
        <v>91</v>
      </c>
      <c r="P92" s="2">
        <f>TRUNC(O92/60) + 1</f>
        <v>2</v>
      </c>
      <c r="Q92">
        <v>20</v>
      </c>
      <c r="R92">
        <v>21</v>
      </c>
      <c r="S92">
        <v>8</v>
      </c>
    </row>
    <row r="93" spans="1:19" x14ac:dyDescent="0.25">
      <c r="A93">
        <v>85</v>
      </c>
      <c r="B93">
        <v>28</v>
      </c>
      <c r="C93">
        <v>3</v>
      </c>
      <c r="D93">
        <f>IF(A93=$N$2,1,0)</f>
        <v>0</v>
      </c>
      <c r="E93">
        <f>IF(A93=$M$2,1,0)</f>
        <v>0</v>
      </c>
      <c r="F93">
        <f t="shared" si="1"/>
        <v>1</v>
      </c>
      <c r="H93" s="1">
        <v>0.48055555555555501</v>
      </c>
      <c r="O93">
        <v>92</v>
      </c>
      <c r="P93" s="2">
        <f>TRUNC(O93/60) + 1</f>
        <v>2</v>
      </c>
      <c r="Q93">
        <v>85</v>
      </c>
      <c r="R93">
        <v>28</v>
      </c>
      <c r="S93">
        <v>3</v>
      </c>
    </row>
    <row r="94" spans="1:19" x14ac:dyDescent="0.25">
      <c r="A94">
        <v>71</v>
      </c>
      <c r="B94">
        <v>13</v>
      </c>
      <c r="C94">
        <v>5</v>
      </c>
      <c r="D94">
        <f>IF(A94=$N$2,1,0)</f>
        <v>0</v>
      </c>
      <c r="E94">
        <f>IF(A94=$M$2,1,0)</f>
        <v>0</v>
      </c>
      <c r="F94">
        <f t="shared" si="1"/>
        <v>2</v>
      </c>
      <c r="H94" s="1">
        <v>0.48125000000000001</v>
      </c>
      <c r="O94">
        <v>93</v>
      </c>
      <c r="P94" s="2">
        <f>TRUNC(O94/60) + 1</f>
        <v>2</v>
      </c>
      <c r="Q94">
        <v>71</v>
      </c>
      <c r="R94">
        <v>13</v>
      </c>
      <c r="S94">
        <v>5</v>
      </c>
    </row>
    <row r="95" spans="1:19" x14ac:dyDescent="0.25">
      <c r="A95">
        <v>67</v>
      </c>
      <c r="B95">
        <v>10</v>
      </c>
      <c r="C95">
        <v>1</v>
      </c>
      <c r="D95">
        <f>IF(A95=$N$2,1,0)</f>
        <v>0</v>
      </c>
      <c r="E95">
        <f>IF(A95=$M$2,1,0)</f>
        <v>0</v>
      </c>
      <c r="F95">
        <f t="shared" si="1"/>
        <v>3</v>
      </c>
      <c r="H95" s="1">
        <v>0.48194444444444401</v>
      </c>
      <c r="O95">
        <v>94</v>
      </c>
      <c r="P95" s="2">
        <f>TRUNC(O95/60) + 1</f>
        <v>2</v>
      </c>
      <c r="Q95">
        <v>67</v>
      </c>
      <c r="R95">
        <v>10</v>
      </c>
      <c r="S95">
        <v>1</v>
      </c>
    </row>
    <row r="96" spans="1:19" x14ac:dyDescent="0.25">
      <c r="A96">
        <v>39</v>
      </c>
      <c r="B96">
        <v>27</v>
      </c>
      <c r="C96">
        <v>10</v>
      </c>
      <c r="D96">
        <f>IF(A96=$N$2,1,0)</f>
        <v>0</v>
      </c>
      <c r="E96">
        <f>IF(A96=$M$2,1,0)</f>
        <v>0</v>
      </c>
      <c r="F96">
        <f t="shared" si="1"/>
        <v>4</v>
      </c>
      <c r="H96" s="1">
        <v>0.48263888888888901</v>
      </c>
      <c r="O96">
        <v>95</v>
      </c>
      <c r="P96" s="2">
        <f>TRUNC(O96/60) + 1</f>
        <v>2</v>
      </c>
      <c r="Q96">
        <v>39</v>
      </c>
      <c r="R96">
        <v>27</v>
      </c>
      <c r="S96">
        <v>10</v>
      </c>
    </row>
    <row r="97" spans="1:19" x14ac:dyDescent="0.25">
      <c r="A97">
        <v>29</v>
      </c>
      <c r="B97">
        <v>28</v>
      </c>
      <c r="C97">
        <v>2</v>
      </c>
      <c r="D97">
        <f>IF(A97=$N$2,1,0)</f>
        <v>0</v>
      </c>
      <c r="E97">
        <f>IF(A97=$M$2,1,0)</f>
        <v>0</v>
      </c>
      <c r="F97">
        <f t="shared" si="1"/>
        <v>5</v>
      </c>
      <c r="H97" s="1">
        <v>0.483333333333333</v>
      </c>
      <c r="O97">
        <v>96</v>
      </c>
      <c r="P97" s="2">
        <f>TRUNC(O97/60) + 1</f>
        <v>2</v>
      </c>
      <c r="Q97">
        <v>29</v>
      </c>
      <c r="R97">
        <v>28</v>
      </c>
      <c r="S97">
        <v>2</v>
      </c>
    </row>
    <row r="98" spans="1:19" x14ac:dyDescent="0.25">
      <c r="A98">
        <v>68</v>
      </c>
      <c r="B98">
        <v>30</v>
      </c>
      <c r="C98">
        <v>6</v>
      </c>
      <c r="D98">
        <f>IF(A98=$N$2,1,0)</f>
        <v>0</v>
      </c>
      <c r="E98">
        <f>IF(A98=$M$2,1,0)</f>
        <v>0</v>
      </c>
      <c r="F98">
        <f t="shared" si="1"/>
        <v>6</v>
      </c>
      <c r="H98" s="1">
        <v>0.484027777777778</v>
      </c>
      <c r="O98">
        <v>97</v>
      </c>
      <c r="P98" s="2">
        <f>TRUNC(O98/60) + 1</f>
        <v>2</v>
      </c>
      <c r="Q98">
        <v>68</v>
      </c>
      <c r="R98">
        <v>30</v>
      </c>
      <c r="S98">
        <v>6</v>
      </c>
    </row>
    <row r="99" spans="1:19" x14ac:dyDescent="0.25">
      <c r="A99">
        <v>57</v>
      </c>
      <c r="B99">
        <v>14</v>
      </c>
      <c r="C99">
        <v>1</v>
      </c>
      <c r="D99">
        <f>IF(A99=$N$2,1,0)</f>
        <v>0</v>
      </c>
      <c r="E99">
        <f>IF(A99=$M$2,1,0)</f>
        <v>0</v>
      </c>
      <c r="F99">
        <f t="shared" si="1"/>
        <v>7</v>
      </c>
      <c r="H99" s="1">
        <v>0.484722222222222</v>
      </c>
      <c r="O99">
        <v>98</v>
      </c>
      <c r="P99" s="2">
        <f>TRUNC(O99/60) + 1</f>
        <v>2</v>
      </c>
      <c r="Q99">
        <v>57</v>
      </c>
      <c r="R99">
        <v>14</v>
      </c>
      <c r="S99">
        <v>1</v>
      </c>
    </row>
    <row r="100" spans="1:19" x14ac:dyDescent="0.25">
      <c r="A100">
        <v>62</v>
      </c>
      <c r="B100">
        <v>19</v>
      </c>
      <c r="C100">
        <v>6</v>
      </c>
      <c r="D100">
        <f>IF(A100=$N$2,1,0)</f>
        <v>0</v>
      </c>
      <c r="E100">
        <f>IF(A100=$M$2,1,0)</f>
        <v>0</v>
      </c>
      <c r="F100">
        <f t="shared" si="1"/>
        <v>8</v>
      </c>
      <c r="H100" s="1">
        <v>0.485416666666666</v>
      </c>
      <c r="O100">
        <v>99</v>
      </c>
      <c r="P100" s="2">
        <f>TRUNC(O100/60) + 1</f>
        <v>2</v>
      </c>
      <c r="Q100">
        <v>62</v>
      </c>
      <c r="R100">
        <v>19</v>
      </c>
      <c r="S100">
        <v>6</v>
      </c>
    </row>
    <row r="101" spans="1:19" x14ac:dyDescent="0.25">
      <c r="A101">
        <v>16</v>
      </c>
      <c r="B101">
        <v>14</v>
      </c>
      <c r="C101">
        <v>10</v>
      </c>
      <c r="D101">
        <f>IF(A101=$N$2,1,0)</f>
        <v>0</v>
      </c>
      <c r="E101">
        <f>IF(A101=$M$2,1,0)</f>
        <v>0</v>
      </c>
      <c r="F101">
        <f t="shared" si="1"/>
        <v>9</v>
      </c>
      <c r="H101" s="1">
        <v>0.48611111111111099</v>
      </c>
      <c r="O101">
        <v>100</v>
      </c>
      <c r="P101" s="2">
        <f>TRUNC(O101/60) + 1</f>
        <v>2</v>
      </c>
      <c r="Q101">
        <v>16</v>
      </c>
      <c r="R101">
        <v>14</v>
      </c>
      <c r="S101">
        <v>10</v>
      </c>
    </row>
    <row r="102" spans="1:19" x14ac:dyDescent="0.25">
      <c r="A102">
        <v>51</v>
      </c>
      <c r="B102">
        <v>25</v>
      </c>
      <c r="C102">
        <v>6</v>
      </c>
      <c r="D102">
        <f>IF(A102=$N$2,1,0)</f>
        <v>0</v>
      </c>
      <c r="E102">
        <f>IF(A102=$M$2,1,0)</f>
        <v>0</v>
      </c>
      <c r="F102">
        <f t="shared" si="1"/>
        <v>10</v>
      </c>
      <c r="H102" s="1">
        <v>0.48680555555555499</v>
      </c>
      <c r="O102">
        <v>101</v>
      </c>
      <c r="P102" s="2">
        <f>TRUNC(O102/60) + 1</f>
        <v>2</v>
      </c>
      <c r="Q102">
        <v>51</v>
      </c>
      <c r="R102">
        <v>25</v>
      </c>
      <c r="S102">
        <v>6</v>
      </c>
    </row>
    <row r="103" spans="1:19" x14ac:dyDescent="0.25">
      <c r="A103">
        <v>61</v>
      </c>
      <c r="B103">
        <v>21</v>
      </c>
      <c r="C103">
        <v>4</v>
      </c>
      <c r="D103">
        <f>IF(A103=$N$2,1,0)</f>
        <v>0</v>
      </c>
      <c r="E103">
        <f>IF(A103=$M$2,1,0)</f>
        <v>0</v>
      </c>
      <c r="F103">
        <f t="shared" si="1"/>
        <v>11</v>
      </c>
      <c r="H103" s="1">
        <v>0.48749999999999999</v>
      </c>
      <c r="O103">
        <v>102</v>
      </c>
      <c r="P103" s="2">
        <f>TRUNC(O103/60) + 1</f>
        <v>2</v>
      </c>
      <c r="Q103">
        <v>61</v>
      </c>
      <c r="R103">
        <v>21</v>
      </c>
      <c r="S103">
        <v>4</v>
      </c>
    </row>
    <row r="104" spans="1:19" x14ac:dyDescent="0.25">
      <c r="A104">
        <v>25</v>
      </c>
      <c r="B104">
        <v>9</v>
      </c>
      <c r="C104">
        <v>6</v>
      </c>
      <c r="D104">
        <f>IF(A104=$N$2,1,0)</f>
        <v>0</v>
      </c>
      <c r="E104">
        <f>IF(A104=$M$2,1,0)</f>
        <v>0</v>
      </c>
      <c r="F104">
        <f t="shared" si="1"/>
        <v>12</v>
      </c>
      <c r="H104" s="1">
        <v>0.48819444444444399</v>
      </c>
      <c r="O104">
        <v>103</v>
      </c>
      <c r="P104" s="2">
        <f>TRUNC(O104/60) + 1</f>
        <v>2</v>
      </c>
      <c r="Q104">
        <v>25</v>
      </c>
      <c r="R104">
        <v>9</v>
      </c>
      <c r="S104">
        <v>6</v>
      </c>
    </row>
    <row r="105" spans="1:19" x14ac:dyDescent="0.25">
      <c r="A105">
        <v>23</v>
      </c>
      <c r="B105">
        <v>29</v>
      </c>
      <c r="C105">
        <v>10</v>
      </c>
      <c r="D105">
        <f>IF(A105=$N$2,1,0)</f>
        <v>0</v>
      </c>
      <c r="E105">
        <f>IF(A105=$M$2,1,0)</f>
        <v>0</v>
      </c>
      <c r="F105">
        <f t="shared" si="1"/>
        <v>0</v>
      </c>
      <c r="H105" s="1">
        <v>0.48888888888888898</v>
      </c>
      <c r="O105">
        <v>104</v>
      </c>
      <c r="P105" s="2">
        <f>TRUNC(O105/60) + 1</f>
        <v>2</v>
      </c>
      <c r="Q105">
        <v>23</v>
      </c>
      <c r="R105">
        <v>29</v>
      </c>
      <c r="S105">
        <v>10</v>
      </c>
    </row>
    <row r="106" spans="1:19" x14ac:dyDescent="0.25">
      <c r="A106">
        <v>87</v>
      </c>
      <c r="B106">
        <v>18</v>
      </c>
      <c r="C106">
        <v>6</v>
      </c>
      <c r="D106">
        <f>IF(A106=$N$2,1,0)</f>
        <v>0</v>
      </c>
      <c r="E106">
        <f>IF(A106=$M$2,1,0)</f>
        <v>0</v>
      </c>
      <c r="F106">
        <f t="shared" si="1"/>
        <v>1</v>
      </c>
      <c r="H106" s="1">
        <v>0.48958333333333298</v>
      </c>
      <c r="O106">
        <v>105</v>
      </c>
      <c r="P106" s="2">
        <f>TRUNC(O106/60) + 1</f>
        <v>2</v>
      </c>
      <c r="Q106">
        <v>87</v>
      </c>
      <c r="R106">
        <v>18</v>
      </c>
      <c r="S106">
        <v>6</v>
      </c>
    </row>
    <row r="107" spans="1:19" x14ac:dyDescent="0.25">
      <c r="A107">
        <v>65</v>
      </c>
      <c r="B107">
        <v>18</v>
      </c>
      <c r="C107">
        <v>1</v>
      </c>
      <c r="D107">
        <f>IF(A107=$N$2,1,0)</f>
        <v>0</v>
      </c>
      <c r="E107">
        <f>IF(A107=$M$2,1,0)</f>
        <v>0</v>
      </c>
      <c r="F107">
        <f t="shared" si="1"/>
        <v>2</v>
      </c>
      <c r="H107" s="1">
        <v>0.49027777777777798</v>
      </c>
      <c r="O107">
        <v>106</v>
      </c>
      <c r="P107" s="2">
        <f>TRUNC(O107/60) + 1</f>
        <v>2</v>
      </c>
      <c r="Q107">
        <v>65</v>
      </c>
      <c r="R107">
        <v>18</v>
      </c>
      <c r="S107">
        <v>1</v>
      </c>
    </row>
    <row r="108" spans="1:19" x14ac:dyDescent="0.25">
      <c r="A108">
        <v>90</v>
      </c>
      <c r="B108">
        <v>20</v>
      </c>
      <c r="C108">
        <v>7</v>
      </c>
      <c r="D108">
        <f>IF(A108=$N$2,1,0)</f>
        <v>0</v>
      </c>
      <c r="E108">
        <f>IF(A108=$M$2,1,0)</f>
        <v>0</v>
      </c>
      <c r="F108">
        <f t="shared" si="1"/>
        <v>3</v>
      </c>
      <c r="H108" s="1">
        <v>0.49097222222222198</v>
      </c>
      <c r="O108">
        <v>107</v>
      </c>
      <c r="P108" s="2">
        <f>TRUNC(O108/60) + 1</f>
        <v>2</v>
      </c>
      <c r="Q108">
        <v>90</v>
      </c>
      <c r="R108">
        <v>20</v>
      </c>
      <c r="S108">
        <v>7</v>
      </c>
    </row>
    <row r="109" spans="1:19" x14ac:dyDescent="0.25">
      <c r="A109">
        <v>100</v>
      </c>
      <c r="B109">
        <v>11</v>
      </c>
      <c r="C109">
        <v>2</v>
      </c>
      <c r="D109">
        <f>IF(A109=$N$2,1,0)</f>
        <v>0</v>
      </c>
      <c r="E109">
        <f>IF(A109=$M$2,1,0)</f>
        <v>1</v>
      </c>
      <c r="F109">
        <f t="shared" si="1"/>
        <v>4</v>
      </c>
      <c r="H109" s="1">
        <v>0.49166666666666597</v>
      </c>
      <c r="O109">
        <v>108</v>
      </c>
      <c r="P109" s="2">
        <f>TRUNC(O109/60) + 1</f>
        <v>2</v>
      </c>
      <c r="Q109">
        <v>100</v>
      </c>
      <c r="R109">
        <v>11</v>
      </c>
      <c r="S109">
        <v>2</v>
      </c>
    </row>
    <row r="110" spans="1:19" x14ac:dyDescent="0.25">
      <c r="A110">
        <v>28</v>
      </c>
      <c r="B110">
        <v>22</v>
      </c>
      <c r="C110">
        <v>3</v>
      </c>
      <c r="D110">
        <f>IF(A110=$N$2,1,0)</f>
        <v>0</v>
      </c>
      <c r="E110">
        <f>IF(A110=$M$2,1,0)</f>
        <v>0</v>
      </c>
      <c r="F110">
        <f t="shared" si="1"/>
        <v>5</v>
      </c>
      <c r="H110" s="1">
        <v>0.49236111111111103</v>
      </c>
      <c r="O110">
        <v>109</v>
      </c>
      <c r="P110" s="2">
        <f>TRUNC(O110/60) + 1</f>
        <v>2</v>
      </c>
      <c r="Q110">
        <v>28</v>
      </c>
      <c r="R110">
        <v>22</v>
      </c>
      <c r="S110">
        <v>3</v>
      </c>
    </row>
    <row r="111" spans="1:19" x14ac:dyDescent="0.25">
      <c r="A111">
        <v>50</v>
      </c>
      <c r="B111">
        <v>22</v>
      </c>
      <c r="C111">
        <v>4</v>
      </c>
      <c r="D111">
        <f>IF(A111=$N$2,1,0)</f>
        <v>0</v>
      </c>
      <c r="E111">
        <f>IF(A111=$M$2,1,0)</f>
        <v>0</v>
      </c>
      <c r="F111">
        <f t="shared" si="1"/>
        <v>6</v>
      </c>
      <c r="H111" s="1">
        <v>0.49305555555555503</v>
      </c>
      <c r="O111">
        <v>110</v>
      </c>
      <c r="P111" s="2">
        <f>TRUNC(O111/60) + 1</f>
        <v>2</v>
      </c>
      <c r="Q111">
        <v>50</v>
      </c>
      <c r="R111">
        <v>22</v>
      </c>
      <c r="S111">
        <v>4</v>
      </c>
    </row>
    <row r="112" spans="1:19" x14ac:dyDescent="0.25">
      <c r="A112">
        <v>87</v>
      </c>
      <c r="B112">
        <v>19</v>
      </c>
      <c r="C112">
        <v>9</v>
      </c>
      <c r="D112">
        <f>IF(A112=$N$2,1,0)</f>
        <v>0</v>
      </c>
      <c r="E112">
        <f>IF(A112=$M$2,1,0)</f>
        <v>0</v>
      </c>
      <c r="F112">
        <f t="shared" si="1"/>
        <v>7</v>
      </c>
      <c r="H112" s="1">
        <v>0.49375000000000002</v>
      </c>
      <c r="O112">
        <v>111</v>
      </c>
      <c r="P112" s="2">
        <f>TRUNC(O112/60) + 1</f>
        <v>2</v>
      </c>
      <c r="Q112">
        <v>87</v>
      </c>
      <c r="R112">
        <v>19</v>
      </c>
      <c r="S112">
        <v>9</v>
      </c>
    </row>
    <row r="113" spans="1:19" x14ac:dyDescent="0.25">
      <c r="A113">
        <v>16</v>
      </c>
      <c r="B113">
        <v>16</v>
      </c>
      <c r="C113">
        <v>10</v>
      </c>
      <c r="D113">
        <f>IF(A113=$N$2,1,0)</f>
        <v>0</v>
      </c>
      <c r="E113">
        <f>IF(A113=$M$2,1,0)</f>
        <v>0</v>
      </c>
      <c r="F113">
        <f t="shared" si="1"/>
        <v>0</v>
      </c>
      <c r="H113" s="1">
        <v>0.49444444444444402</v>
      </c>
      <c r="O113">
        <v>112</v>
      </c>
      <c r="P113" s="2">
        <f>TRUNC(O113/60) + 1</f>
        <v>2</v>
      </c>
      <c r="Q113">
        <v>16</v>
      </c>
      <c r="R113">
        <v>16</v>
      </c>
      <c r="S113">
        <v>10</v>
      </c>
    </row>
    <row r="114" spans="1:19" x14ac:dyDescent="0.25">
      <c r="A114">
        <v>48</v>
      </c>
      <c r="B114">
        <v>8</v>
      </c>
      <c r="C114">
        <v>5</v>
      </c>
      <c r="D114">
        <f>IF(A114=$N$2,1,0)</f>
        <v>0</v>
      </c>
      <c r="E114">
        <f>IF(A114=$M$2,1,0)</f>
        <v>0</v>
      </c>
      <c r="F114">
        <f t="shared" si="1"/>
        <v>1</v>
      </c>
      <c r="H114" s="1">
        <v>0.49513888888888902</v>
      </c>
      <c r="O114">
        <v>113</v>
      </c>
      <c r="P114" s="2">
        <f>TRUNC(O114/60) + 1</f>
        <v>2</v>
      </c>
      <c r="Q114">
        <v>48</v>
      </c>
      <c r="R114">
        <v>8</v>
      </c>
      <c r="S114">
        <v>5</v>
      </c>
    </row>
    <row r="115" spans="1:19" x14ac:dyDescent="0.25">
      <c r="A115">
        <v>32</v>
      </c>
      <c r="B115">
        <v>22</v>
      </c>
      <c r="C115">
        <v>1</v>
      </c>
      <c r="D115">
        <f>IF(A115=$N$2,1,0)</f>
        <v>0</v>
      </c>
      <c r="E115">
        <f>IF(A115=$M$2,1,0)</f>
        <v>0</v>
      </c>
      <c r="F115">
        <f t="shared" si="1"/>
        <v>2</v>
      </c>
      <c r="H115" s="1">
        <v>0.49583333333333302</v>
      </c>
      <c r="O115">
        <v>114</v>
      </c>
      <c r="P115" s="2">
        <f>TRUNC(O115/60) + 1</f>
        <v>2</v>
      </c>
      <c r="Q115">
        <v>32</v>
      </c>
      <c r="R115">
        <v>22</v>
      </c>
      <c r="S115">
        <v>1</v>
      </c>
    </row>
    <row r="116" spans="1:19" x14ac:dyDescent="0.25">
      <c r="A116">
        <v>18</v>
      </c>
      <c r="B116">
        <v>12</v>
      </c>
      <c r="C116">
        <v>3</v>
      </c>
      <c r="D116">
        <f>IF(A116=$N$2,1,0)</f>
        <v>0</v>
      </c>
      <c r="E116">
        <f>IF(A116=$M$2,1,0)</f>
        <v>0</v>
      </c>
      <c r="F116">
        <f t="shared" si="1"/>
        <v>3</v>
      </c>
      <c r="H116" s="1">
        <v>0.49652777777777801</v>
      </c>
      <c r="O116">
        <v>115</v>
      </c>
      <c r="P116" s="2">
        <f>TRUNC(O116/60) + 1</f>
        <v>2</v>
      </c>
      <c r="Q116">
        <v>18</v>
      </c>
      <c r="R116">
        <v>12</v>
      </c>
      <c r="S116">
        <v>3</v>
      </c>
    </row>
    <row r="117" spans="1:19" x14ac:dyDescent="0.25">
      <c r="A117">
        <v>51</v>
      </c>
      <c r="B117">
        <v>11</v>
      </c>
      <c r="C117">
        <v>1</v>
      </c>
      <c r="D117">
        <f>IF(A117=$N$2,1,0)</f>
        <v>0</v>
      </c>
      <c r="E117">
        <f>IF(A117=$M$2,1,0)</f>
        <v>0</v>
      </c>
      <c r="F117">
        <f t="shared" si="1"/>
        <v>4</v>
      </c>
      <c r="H117" s="1">
        <v>0.49722222222222201</v>
      </c>
      <c r="O117">
        <v>116</v>
      </c>
      <c r="P117" s="2">
        <f>TRUNC(O117/60) + 1</f>
        <v>2</v>
      </c>
      <c r="Q117">
        <v>51</v>
      </c>
      <c r="R117">
        <v>11</v>
      </c>
      <c r="S117">
        <v>1</v>
      </c>
    </row>
    <row r="118" spans="1:19" x14ac:dyDescent="0.25">
      <c r="A118">
        <v>78</v>
      </c>
      <c r="B118">
        <v>28</v>
      </c>
      <c r="C118">
        <v>3</v>
      </c>
      <c r="D118">
        <f>IF(A118=$N$2,1,0)</f>
        <v>0</v>
      </c>
      <c r="E118">
        <f>IF(A118=$M$2,1,0)</f>
        <v>0</v>
      </c>
      <c r="F118">
        <f t="shared" si="1"/>
        <v>5</v>
      </c>
      <c r="H118" s="1">
        <v>0.49791666666666601</v>
      </c>
      <c r="O118">
        <v>117</v>
      </c>
      <c r="P118" s="2">
        <f>TRUNC(O118/60) + 1</f>
        <v>2</v>
      </c>
      <c r="Q118">
        <v>78</v>
      </c>
      <c r="R118">
        <v>28</v>
      </c>
      <c r="S118">
        <v>3</v>
      </c>
    </row>
    <row r="119" spans="1:19" x14ac:dyDescent="0.25">
      <c r="A119">
        <v>53</v>
      </c>
      <c r="B119">
        <v>29</v>
      </c>
      <c r="C119">
        <v>4</v>
      </c>
      <c r="D119">
        <f>IF(A119=$N$2,1,0)</f>
        <v>0</v>
      </c>
      <c r="E119">
        <f>IF(A119=$M$2,1,0)</f>
        <v>0</v>
      </c>
      <c r="F119">
        <f t="shared" si="1"/>
        <v>6</v>
      </c>
      <c r="H119" s="1">
        <v>0.49861111111111101</v>
      </c>
      <c r="O119">
        <v>118</v>
      </c>
      <c r="P119" s="2">
        <f>TRUNC(O119/60) + 1</f>
        <v>2</v>
      </c>
      <c r="Q119">
        <v>53</v>
      </c>
      <c r="R119">
        <v>29</v>
      </c>
      <c r="S119">
        <v>4</v>
      </c>
    </row>
    <row r="120" spans="1:19" x14ac:dyDescent="0.25">
      <c r="A120">
        <v>79</v>
      </c>
      <c r="B120">
        <v>13</v>
      </c>
      <c r="C120">
        <v>9</v>
      </c>
      <c r="D120">
        <f>IF(A120=$N$2,1,0)</f>
        <v>0</v>
      </c>
      <c r="E120">
        <f>IF(A120=$M$2,1,0)</f>
        <v>0</v>
      </c>
      <c r="F120">
        <f t="shared" si="1"/>
        <v>7</v>
      </c>
      <c r="H120" s="1">
        <v>0.499305555555555</v>
      </c>
      <c r="O120">
        <v>119</v>
      </c>
      <c r="P120" s="2">
        <f>TRUNC(O120/60) + 1</f>
        <v>2</v>
      </c>
      <c r="Q120">
        <v>79</v>
      </c>
      <c r="R120">
        <v>13</v>
      </c>
      <c r="S120">
        <v>9</v>
      </c>
    </row>
    <row r="121" spans="1:19" x14ac:dyDescent="0.25">
      <c r="A121">
        <v>17</v>
      </c>
      <c r="B121">
        <v>13</v>
      </c>
      <c r="C121">
        <v>3</v>
      </c>
      <c r="D121">
        <f>IF(A121=$N$2,1,0)</f>
        <v>0</v>
      </c>
      <c r="E121">
        <f>IF(A121=$M$2,1,0)</f>
        <v>0</v>
      </c>
      <c r="F121">
        <f t="shared" si="1"/>
        <v>8</v>
      </c>
      <c r="H121" s="1">
        <v>0.5</v>
      </c>
      <c r="O121">
        <v>120</v>
      </c>
      <c r="P121" s="2">
        <f>TRUNC(O121/60) + 1</f>
        <v>3</v>
      </c>
      <c r="Q121">
        <v>17</v>
      </c>
      <c r="R121">
        <v>13</v>
      </c>
      <c r="S121">
        <v>3</v>
      </c>
    </row>
    <row r="122" spans="1:19" x14ac:dyDescent="0.25">
      <c r="A122">
        <v>85</v>
      </c>
      <c r="B122">
        <v>18</v>
      </c>
      <c r="C122">
        <v>4</v>
      </c>
      <c r="D122">
        <f>IF(A122=$N$2,1,0)</f>
        <v>0</v>
      </c>
      <c r="E122">
        <f>IF(A122=$M$2,1,0)</f>
        <v>0</v>
      </c>
      <c r="F122">
        <f t="shared" si="1"/>
        <v>9</v>
      </c>
      <c r="H122" s="1">
        <v>0.500694444444444</v>
      </c>
      <c r="O122">
        <v>121</v>
      </c>
      <c r="P122" s="2">
        <f>TRUNC(O122/60) + 1</f>
        <v>3</v>
      </c>
      <c r="Q122">
        <v>85</v>
      </c>
      <c r="R122">
        <v>18</v>
      </c>
      <c r="S122">
        <v>4</v>
      </c>
    </row>
    <row r="123" spans="1:19" x14ac:dyDescent="0.25">
      <c r="A123">
        <v>95</v>
      </c>
      <c r="B123">
        <v>12</v>
      </c>
      <c r="C123">
        <v>9</v>
      </c>
      <c r="D123">
        <f>IF(A123=$N$2,1,0)</f>
        <v>0</v>
      </c>
      <c r="E123">
        <f>IF(A123=$M$2,1,0)</f>
        <v>0</v>
      </c>
      <c r="F123">
        <f t="shared" si="1"/>
        <v>10</v>
      </c>
      <c r="H123" s="1">
        <v>0.50138888888888899</v>
      </c>
      <c r="O123">
        <v>122</v>
      </c>
      <c r="P123" s="2">
        <f>TRUNC(O123/60) + 1</f>
        <v>3</v>
      </c>
      <c r="Q123">
        <v>95</v>
      </c>
      <c r="R123">
        <v>12</v>
      </c>
      <c r="S123">
        <v>9</v>
      </c>
    </row>
    <row r="124" spans="1:19" x14ac:dyDescent="0.25">
      <c r="A124">
        <v>44</v>
      </c>
      <c r="B124">
        <v>29</v>
      </c>
      <c r="C124">
        <v>8</v>
      </c>
      <c r="D124">
        <f>IF(A124=$N$2,1,0)</f>
        <v>0</v>
      </c>
      <c r="E124">
        <f>IF(A124=$M$2,1,0)</f>
        <v>0</v>
      </c>
      <c r="F124">
        <f t="shared" si="1"/>
        <v>11</v>
      </c>
      <c r="H124" s="1">
        <v>0.50208333333333299</v>
      </c>
      <c r="O124">
        <v>123</v>
      </c>
      <c r="P124" s="2">
        <f>TRUNC(O124/60) + 1</f>
        <v>3</v>
      </c>
      <c r="Q124">
        <v>44</v>
      </c>
      <c r="R124">
        <v>29</v>
      </c>
      <c r="S124">
        <v>8</v>
      </c>
    </row>
    <row r="125" spans="1:19" x14ac:dyDescent="0.25">
      <c r="A125">
        <v>88</v>
      </c>
      <c r="B125">
        <v>25</v>
      </c>
      <c r="C125">
        <v>2</v>
      </c>
      <c r="D125">
        <f>IF(A125=$N$2,1,0)</f>
        <v>0</v>
      </c>
      <c r="E125">
        <f>IF(A125=$M$2,1,0)</f>
        <v>0</v>
      </c>
      <c r="F125">
        <f t="shared" si="1"/>
        <v>12</v>
      </c>
      <c r="H125" s="1">
        <v>0.50277777777777799</v>
      </c>
      <c r="O125">
        <v>124</v>
      </c>
      <c r="P125" s="2">
        <f>TRUNC(O125/60) + 1</f>
        <v>3</v>
      </c>
      <c r="Q125">
        <v>88</v>
      </c>
      <c r="R125">
        <v>25</v>
      </c>
      <c r="S125">
        <v>2</v>
      </c>
    </row>
    <row r="126" spans="1:19" x14ac:dyDescent="0.25">
      <c r="A126">
        <v>59</v>
      </c>
      <c r="B126">
        <v>17</v>
      </c>
      <c r="C126">
        <v>9</v>
      </c>
      <c r="D126">
        <f>IF(A126=$N$2,1,0)</f>
        <v>0</v>
      </c>
      <c r="E126">
        <f>IF(A126=$M$2,1,0)</f>
        <v>0</v>
      </c>
      <c r="F126">
        <f t="shared" si="1"/>
        <v>13</v>
      </c>
      <c r="H126" s="1">
        <v>0.50347222222222199</v>
      </c>
      <c r="O126">
        <v>125</v>
      </c>
      <c r="P126" s="2">
        <f>TRUNC(O126/60) + 1</f>
        <v>3</v>
      </c>
      <c r="Q126">
        <v>59</v>
      </c>
      <c r="R126">
        <v>17</v>
      </c>
      <c r="S126">
        <v>9</v>
      </c>
    </row>
    <row r="127" spans="1:19" x14ac:dyDescent="0.25">
      <c r="A127">
        <v>47</v>
      </c>
      <c r="B127">
        <v>15</v>
      </c>
      <c r="C127">
        <v>1</v>
      </c>
      <c r="D127">
        <f>IF(A127=$N$2,1,0)</f>
        <v>0</v>
      </c>
      <c r="E127">
        <f>IF(A127=$M$2,1,0)</f>
        <v>0</v>
      </c>
      <c r="F127">
        <f t="shared" si="1"/>
        <v>14</v>
      </c>
      <c r="H127" s="1">
        <v>0.50416666666666599</v>
      </c>
      <c r="O127">
        <v>126</v>
      </c>
      <c r="P127" s="2">
        <f>TRUNC(O127/60) + 1</f>
        <v>3</v>
      </c>
      <c r="Q127">
        <v>47</v>
      </c>
      <c r="R127">
        <v>15</v>
      </c>
      <c r="S127">
        <v>1</v>
      </c>
    </row>
    <row r="128" spans="1:19" x14ac:dyDescent="0.25">
      <c r="A128">
        <v>40</v>
      </c>
      <c r="B128">
        <v>26</v>
      </c>
      <c r="C128">
        <v>5</v>
      </c>
      <c r="D128">
        <f>IF(A128=$N$2,1,0)</f>
        <v>0</v>
      </c>
      <c r="E128">
        <f>IF(A128=$M$2,1,0)</f>
        <v>0</v>
      </c>
      <c r="F128">
        <f t="shared" si="1"/>
        <v>15</v>
      </c>
      <c r="H128" s="1">
        <v>0.50486111111111098</v>
      </c>
      <c r="O128">
        <v>127</v>
      </c>
      <c r="P128" s="2">
        <f>TRUNC(O128/60) + 1</f>
        <v>3</v>
      </c>
      <c r="Q128">
        <v>40</v>
      </c>
      <c r="R128">
        <v>26</v>
      </c>
      <c r="S128">
        <v>5</v>
      </c>
    </row>
    <row r="129" spans="1:19" x14ac:dyDescent="0.25">
      <c r="A129">
        <v>48</v>
      </c>
      <c r="B129">
        <v>18</v>
      </c>
      <c r="C129">
        <v>1</v>
      </c>
      <c r="D129">
        <f>IF(A129=$N$2,1,0)</f>
        <v>0</v>
      </c>
      <c r="E129">
        <f>IF(A129=$M$2,1,0)</f>
        <v>0</v>
      </c>
      <c r="F129">
        <f t="shared" si="1"/>
        <v>16</v>
      </c>
      <c r="H129" s="1">
        <v>0.50555555555555498</v>
      </c>
      <c r="O129">
        <v>128</v>
      </c>
      <c r="P129" s="2">
        <f>TRUNC(O129/60) + 1</f>
        <v>3</v>
      </c>
      <c r="Q129">
        <v>48</v>
      </c>
      <c r="R129">
        <v>18</v>
      </c>
      <c r="S129">
        <v>1</v>
      </c>
    </row>
    <row r="130" spans="1:19" x14ac:dyDescent="0.25">
      <c r="A130">
        <v>17</v>
      </c>
      <c r="B130">
        <v>20</v>
      </c>
      <c r="C130">
        <v>9</v>
      </c>
      <c r="D130">
        <f>IF(A130=$N$2,1,0)</f>
        <v>0</v>
      </c>
      <c r="E130">
        <f>IF(A130=$M$2,1,0)</f>
        <v>0</v>
      </c>
      <c r="F130">
        <f t="shared" si="1"/>
        <v>0</v>
      </c>
      <c r="H130" s="1">
        <v>0.50624999999999998</v>
      </c>
      <c r="O130">
        <v>129</v>
      </c>
      <c r="P130" s="2">
        <f>TRUNC(O130/60) + 1</f>
        <v>3</v>
      </c>
      <c r="Q130">
        <v>17</v>
      </c>
      <c r="R130">
        <v>20</v>
      </c>
      <c r="S130">
        <v>9</v>
      </c>
    </row>
    <row r="131" spans="1:19" x14ac:dyDescent="0.25">
      <c r="A131">
        <v>70</v>
      </c>
      <c r="B131">
        <v>12</v>
      </c>
      <c r="C131">
        <v>6</v>
      </c>
      <c r="D131">
        <f>IF(A131=$N$2,1,0)</f>
        <v>0</v>
      </c>
      <c r="E131">
        <f>IF(A131=$M$2,1,0)</f>
        <v>0</v>
      </c>
      <c r="F131">
        <f t="shared" ref="F131:F194" si="2">IF(AND(B131&gt;C131, A131 &gt; B131), F130 + 1, 0)</f>
        <v>1</v>
      </c>
      <c r="H131" s="1">
        <v>0.50694444444444398</v>
      </c>
      <c r="O131">
        <v>130</v>
      </c>
      <c r="P131" s="2">
        <f>TRUNC(O131/60) + 1</f>
        <v>3</v>
      </c>
      <c r="Q131">
        <v>70</v>
      </c>
      <c r="R131">
        <v>12</v>
      </c>
      <c r="S131">
        <v>6</v>
      </c>
    </row>
    <row r="132" spans="1:19" x14ac:dyDescent="0.25">
      <c r="A132">
        <v>23</v>
      </c>
      <c r="B132">
        <v>19</v>
      </c>
      <c r="C132">
        <v>9</v>
      </c>
      <c r="D132">
        <f>IF(A132=$N$2,1,0)</f>
        <v>0</v>
      </c>
      <c r="E132">
        <f>IF(A132=$M$2,1,0)</f>
        <v>0</v>
      </c>
      <c r="F132">
        <f t="shared" si="2"/>
        <v>2</v>
      </c>
      <c r="H132" s="1">
        <v>0.50763888888888897</v>
      </c>
      <c r="O132">
        <v>131</v>
      </c>
      <c r="P132" s="2">
        <f>TRUNC(O132/60) + 1</f>
        <v>3</v>
      </c>
      <c r="Q132">
        <v>23</v>
      </c>
      <c r="R132">
        <v>19</v>
      </c>
      <c r="S132">
        <v>9</v>
      </c>
    </row>
    <row r="133" spans="1:19" x14ac:dyDescent="0.25">
      <c r="A133">
        <v>51</v>
      </c>
      <c r="B133">
        <v>22</v>
      </c>
      <c r="C133">
        <v>1</v>
      </c>
      <c r="D133">
        <f>IF(A133=$N$2,1,0)</f>
        <v>0</v>
      </c>
      <c r="E133">
        <f>IF(A133=$M$2,1,0)</f>
        <v>0</v>
      </c>
      <c r="F133">
        <f t="shared" si="2"/>
        <v>3</v>
      </c>
      <c r="H133" s="1">
        <v>0.50833333333333297</v>
      </c>
      <c r="O133">
        <v>132</v>
      </c>
      <c r="P133" s="2">
        <f>TRUNC(O133/60) + 1</f>
        <v>3</v>
      </c>
      <c r="Q133">
        <v>51</v>
      </c>
      <c r="R133">
        <v>22</v>
      </c>
      <c r="S133">
        <v>1</v>
      </c>
    </row>
    <row r="134" spans="1:19" x14ac:dyDescent="0.25">
      <c r="A134">
        <v>39</v>
      </c>
      <c r="B134">
        <v>21</v>
      </c>
      <c r="C134">
        <v>2</v>
      </c>
      <c r="D134">
        <f>IF(A134=$N$2,1,0)</f>
        <v>0</v>
      </c>
      <c r="E134">
        <f>IF(A134=$M$2,1,0)</f>
        <v>0</v>
      </c>
      <c r="F134">
        <f t="shared" si="2"/>
        <v>4</v>
      </c>
      <c r="H134" s="1">
        <v>0.50902777777777697</v>
      </c>
      <c r="O134">
        <v>133</v>
      </c>
      <c r="P134" s="2">
        <f>TRUNC(O134/60) + 1</f>
        <v>3</v>
      </c>
      <c r="Q134">
        <v>39</v>
      </c>
      <c r="R134">
        <v>21</v>
      </c>
      <c r="S134">
        <v>2</v>
      </c>
    </row>
    <row r="135" spans="1:19" x14ac:dyDescent="0.25">
      <c r="A135">
        <v>95</v>
      </c>
      <c r="B135">
        <v>7</v>
      </c>
      <c r="C135">
        <v>6</v>
      </c>
      <c r="D135">
        <f>IF(A135=$N$2,1,0)</f>
        <v>0</v>
      </c>
      <c r="E135">
        <f>IF(A135=$M$2,1,0)</f>
        <v>0</v>
      </c>
      <c r="F135">
        <f t="shared" si="2"/>
        <v>5</v>
      </c>
      <c r="H135" s="1">
        <v>0.50972222222222197</v>
      </c>
      <c r="O135">
        <v>134</v>
      </c>
      <c r="P135" s="2">
        <f>TRUNC(O135/60) + 1</f>
        <v>3</v>
      </c>
      <c r="Q135">
        <v>95</v>
      </c>
      <c r="R135">
        <v>7</v>
      </c>
      <c r="S135">
        <v>6</v>
      </c>
    </row>
    <row r="136" spans="1:19" x14ac:dyDescent="0.25">
      <c r="A136">
        <v>42</v>
      </c>
      <c r="B136">
        <v>25</v>
      </c>
      <c r="C136">
        <v>9</v>
      </c>
      <c r="D136">
        <f>IF(A136=$N$2,1,0)</f>
        <v>0</v>
      </c>
      <c r="E136">
        <f>IF(A136=$M$2,1,0)</f>
        <v>0</v>
      </c>
      <c r="F136">
        <f t="shared" si="2"/>
        <v>6</v>
      </c>
      <c r="H136" s="1">
        <v>0.51041666666666596</v>
      </c>
      <c r="O136">
        <v>135</v>
      </c>
      <c r="P136" s="2">
        <f>TRUNC(O136/60) + 1</f>
        <v>3</v>
      </c>
      <c r="Q136">
        <v>42</v>
      </c>
      <c r="R136">
        <v>25</v>
      </c>
      <c r="S136">
        <v>9</v>
      </c>
    </row>
    <row r="137" spans="1:19" x14ac:dyDescent="0.25">
      <c r="A137">
        <v>31</v>
      </c>
      <c r="B137">
        <v>16</v>
      </c>
      <c r="C137">
        <v>5</v>
      </c>
      <c r="D137">
        <f>IF(A137=$N$2,1,0)</f>
        <v>0</v>
      </c>
      <c r="E137">
        <f>IF(A137=$M$2,1,0)</f>
        <v>0</v>
      </c>
      <c r="F137">
        <f t="shared" si="2"/>
        <v>7</v>
      </c>
      <c r="H137" s="1">
        <v>0.51111111111111096</v>
      </c>
      <c r="O137">
        <v>136</v>
      </c>
      <c r="P137" s="2">
        <f>TRUNC(O137/60) + 1</f>
        <v>3</v>
      </c>
      <c r="Q137">
        <v>31</v>
      </c>
      <c r="R137">
        <v>16</v>
      </c>
      <c r="S137">
        <v>5</v>
      </c>
    </row>
    <row r="138" spans="1:19" x14ac:dyDescent="0.25">
      <c r="A138">
        <v>85</v>
      </c>
      <c r="B138">
        <v>28</v>
      </c>
      <c r="C138">
        <v>9</v>
      </c>
      <c r="D138">
        <f>IF(A138=$N$2,1,0)</f>
        <v>0</v>
      </c>
      <c r="E138">
        <f>IF(A138=$M$2,1,0)</f>
        <v>0</v>
      </c>
      <c r="F138">
        <f t="shared" si="2"/>
        <v>8</v>
      </c>
      <c r="H138" s="1">
        <v>0.51180555555555496</v>
      </c>
      <c r="O138">
        <v>137</v>
      </c>
      <c r="P138" s="2">
        <f>TRUNC(O138/60) + 1</f>
        <v>3</v>
      </c>
      <c r="Q138">
        <v>85</v>
      </c>
      <c r="R138">
        <v>28</v>
      </c>
      <c r="S138">
        <v>9</v>
      </c>
    </row>
    <row r="139" spans="1:19" x14ac:dyDescent="0.25">
      <c r="A139">
        <v>27</v>
      </c>
      <c r="B139">
        <v>24</v>
      </c>
      <c r="C139">
        <v>1</v>
      </c>
      <c r="D139">
        <f>IF(A139=$N$2,1,0)</f>
        <v>0</v>
      </c>
      <c r="E139">
        <f>IF(A139=$M$2,1,0)</f>
        <v>0</v>
      </c>
      <c r="F139">
        <f t="shared" si="2"/>
        <v>9</v>
      </c>
      <c r="H139" s="1">
        <v>0.51249999999999996</v>
      </c>
      <c r="O139">
        <v>138</v>
      </c>
      <c r="P139" s="2">
        <f>TRUNC(O139/60) + 1</f>
        <v>3</v>
      </c>
      <c r="Q139">
        <v>27</v>
      </c>
      <c r="R139">
        <v>24</v>
      </c>
      <c r="S139">
        <v>1</v>
      </c>
    </row>
    <row r="140" spans="1:19" x14ac:dyDescent="0.25">
      <c r="A140">
        <v>23</v>
      </c>
      <c r="B140">
        <v>25</v>
      </c>
      <c r="C140">
        <v>9</v>
      </c>
      <c r="D140">
        <f>IF(A140=$N$2,1,0)</f>
        <v>0</v>
      </c>
      <c r="E140">
        <f>IF(A140=$M$2,1,0)</f>
        <v>0</v>
      </c>
      <c r="F140">
        <f t="shared" si="2"/>
        <v>0</v>
      </c>
      <c r="H140" s="1">
        <v>0.51319444444444395</v>
      </c>
      <c r="O140">
        <v>139</v>
      </c>
      <c r="P140" s="2">
        <f>TRUNC(O140/60) + 1</f>
        <v>3</v>
      </c>
      <c r="Q140">
        <v>23</v>
      </c>
      <c r="R140">
        <v>25</v>
      </c>
      <c r="S140">
        <v>9</v>
      </c>
    </row>
    <row r="141" spans="1:19" x14ac:dyDescent="0.25">
      <c r="A141">
        <v>46</v>
      </c>
      <c r="B141">
        <v>7</v>
      </c>
      <c r="C141">
        <v>1</v>
      </c>
      <c r="D141">
        <f>IF(A141=$N$2,1,0)</f>
        <v>0</v>
      </c>
      <c r="E141">
        <f>IF(A141=$M$2,1,0)</f>
        <v>0</v>
      </c>
      <c r="F141">
        <f t="shared" si="2"/>
        <v>1</v>
      </c>
      <c r="H141" s="1">
        <v>0.51388888888888895</v>
      </c>
      <c r="O141">
        <v>140</v>
      </c>
      <c r="P141" s="2">
        <f>TRUNC(O141/60) + 1</f>
        <v>3</v>
      </c>
      <c r="Q141">
        <v>46</v>
      </c>
      <c r="R141">
        <v>7</v>
      </c>
      <c r="S141">
        <v>1</v>
      </c>
    </row>
    <row r="142" spans="1:19" x14ac:dyDescent="0.25">
      <c r="A142">
        <v>29</v>
      </c>
      <c r="B142">
        <v>6</v>
      </c>
      <c r="C142">
        <v>2</v>
      </c>
      <c r="D142">
        <f>IF(A142=$N$2,1,0)</f>
        <v>0</v>
      </c>
      <c r="E142">
        <f>IF(A142=$M$2,1,0)</f>
        <v>0</v>
      </c>
      <c r="F142">
        <f t="shared" si="2"/>
        <v>2</v>
      </c>
      <c r="H142" s="1">
        <v>0.51458333333333295</v>
      </c>
      <c r="O142">
        <v>141</v>
      </c>
      <c r="P142" s="2">
        <f>TRUNC(O142/60) + 1</f>
        <v>3</v>
      </c>
      <c r="Q142">
        <v>29</v>
      </c>
      <c r="R142">
        <v>6</v>
      </c>
      <c r="S142">
        <v>2</v>
      </c>
    </row>
    <row r="143" spans="1:19" x14ac:dyDescent="0.25">
      <c r="A143">
        <v>39</v>
      </c>
      <c r="B143">
        <v>30</v>
      </c>
      <c r="C143">
        <v>3</v>
      </c>
      <c r="D143">
        <f>IF(A143=$N$2,1,0)</f>
        <v>0</v>
      </c>
      <c r="E143">
        <f>IF(A143=$M$2,1,0)</f>
        <v>0</v>
      </c>
      <c r="F143">
        <f t="shared" si="2"/>
        <v>3</v>
      </c>
      <c r="H143" s="1">
        <v>0.51527777777777695</v>
      </c>
      <c r="O143">
        <v>142</v>
      </c>
      <c r="P143" s="2">
        <f>TRUNC(O143/60) + 1</f>
        <v>3</v>
      </c>
      <c r="Q143">
        <v>39</v>
      </c>
      <c r="R143">
        <v>30</v>
      </c>
      <c r="S143">
        <v>3</v>
      </c>
    </row>
    <row r="144" spans="1:19" x14ac:dyDescent="0.25">
      <c r="A144">
        <v>18</v>
      </c>
      <c r="B144">
        <v>20</v>
      </c>
      <c r="C144">
        <v>5</v>
      </c>
      <c r="D144">
        <f>IF(A144=$N$2,1,0)</f>
        <v>0</v>
      </c>
      <c r="E144">
        <f>IF(A144=$M$2,1,0)</f>
        <v>0</v>
      </c>
      <c r="F144">
        <f t="shared" si="2"/>
        <v>0</v>
      </c>
      <c r="H144" s="1">
        <v>0.51597222222222205</v>
      </c>
      <c r="O144">
        <v>143</v>
      </c>
      <c r="P144" s="2">
        <f>TRUNC(O144/60) + 1</f>
        <v>3</v>
      </c>
      <c r="Q144">
        <v>18</v>
      </c>
      <c r="R144">
        <v>20</v>
      </c>
      <c r="S144">
        <v>5</v>
      </c>
    </row>
    <row r="145" spans="1:19" x14ac:dyDescent="0.25">
      <c r="A145">
        <v>77</v>
      </c>
      <c r="B145">
        <v>20</v>
      </c>
      <c r="C145">
        <v>1</v>
      </c>
      <c r="D145">
        <f>IF(A145=$N$2,1,0)</f>
        <v>0</v>
      </c>
      <c r="E145">
        <f>IF(A145=$M$2,1,0)</f>
        <v>0</v>
      </c>
      <c r="F145">
        <f t="shared" si="2"/>
        <v>1</v>
      </c>
      <c r="H145" s="1">
        <v>0.51666666666666605</v>
      </c>
      <c r="O145">
        <v>144</v>
      </c>
      <c r="P145" s="2">
        <f>TRUNC(O145/60) + 1</f>
        <v>3</v>
      </c>
      <c r="Q145">
        <v>77</v>
      </c>
      <c r="R145">
        <v>20</v>
      </c>
      <c r="S145">
        <v>1</v>
      </c>
    </row>
    <row r="146" spans="1:19" x14ac:dyDescent="0.25">
      <c r="A146">
        <v>21</v>
      </c>
      <c r="B146">
        <v>26</v>
      </c>
      <c r="C146">
        <v>6</v>
      </c>
      <c r="D146">
        <f>IF(A146=$N$2,1,0)</f>
        <v>0</v>
      </c>
      <c r="E146">
        <f>IF(A146=$M$2,1,0)</f>
        <v>0</v>
      </c>
      <c r="F146">
        <f t="shared" si="2"/>
        <v>0</v>
      </c>
      <c r="H146" s="1">
        <v>0.51736111111111105</v>
      </c>
      <c r="O146">
        <v>145</v>
      </c>
      <c r="P146" s="2">
        <f>TRUNC(O146/60) + 1</f>
        <v>3</v>
      </c>
      <c r="Q146">
        <v>21</v>
      </c>
      <c r="R146">
        <v>26</v>
      </c>
      <c r="S146">
        <v>6</v>
      </c>
    </row>
    <row r="147" spans="1:19" x14ac:dyDescent="0.25">
      <c r="A147">
        <v>15</v>
      </c>
      <c r="B147">
        <v>10</v>
      </c>
      <c r="C147">
        <v>4</v>
      </c>
      <c r="D147">
        <f>IF(A147=$N$2,1,0)</f>
        <v>0</v>
      </c>
      <c r="E147">
        <f>IF(A147=$M$2,1,0)</f>
        <v>0</v>
      </c>
      <c r="F147">
        <f t="shared" si="2"/>
        <v>1</v>
      </c>
      <c r="H147" s="1">
        <v>0.51805555555555505</v>
      </c>
      <c r="O147">
        <v>146</v>
      </c>
      <c r="P147" s="2">
        <f>TRUNC(O147/60) + 1</f>
        <v>3</v>
      </c>
      <c r="Q147">
        <v>15</v>
      </c>
      <c r="R147">
        <v>10</v>
      </c>
      <c r="S147">
        <v>4</v>
      </c>
    </row>
    <row r="148" spans="1:19" x14ac:dyDescent="0.25">
      <c r="A148">
        <v>12</v>
      </c>
      <c r="B148">
        <v>18</v>
      </c>
      <c r="C148">
        <v>6</v>
      </c>
      <c r="D148">
        <f>IF(A148=$N$2,1,0)</f>
        <v>0</v>
      </c>
      <c r="E148">
        <f>IF(A148=$M$2,1,0)</f>
        <v>0</v>
      </c>
      <c r="F148">
        <f t="shared" si="2"/>
        <v>0</v>
      </c>
      <c r="H148" s="1">
        <v>0.51875000000000004</v>
      </c>
      <c r="O148">
        <v>147</v>
      </c>
      <c r="P148" s="2">
        <f>TRUNC(O148/60) + 1</f>
        <v>3</v>
      </c>
      <c r="Q148">
        <v>12</v>
      </c>
      <c r="R148">
        <v>18</v>
      </c>
      <c r="S148">
        <v>6</v>
      </c>
    </row>
    <row r="149" spans="1:19" x14ac:dyDescent="0.25">
      <c r="A149">
        <v>98</v>
      </c>
      <c r="B149">
        <v>8</v>
      </c>
      <c r="C149">
        <v>1</v>
      </c>
      <c r="D149">
        <f>IF(A149=$N$2,1,0)</f>
        <v>0</v>
      </c>
      <c r="E149">
        <f>IF(A149=$M$2,1,0)</f>
        <v>0</v>
      </c>
      <c r="F149">
        <f t="shared" si="2"/>
        <v>1</v>
      </c>
      <c r="H149" s="1">
        <v>0.51944444444444404</v>
      </c>
      <c r="O149">
        <v>148</v>
      </c>
      <c r="P149" s="2">
        <f>TRUNC(O149/60) + 1</f>
        <v>3</v>
      </c>
      <c r="Q149">
        <v>98</v>
      </c>
      <c r="R149">
        <v>8</v>
      </c>
      <c r="S149">
        <v>1</v>
      </c>
    </row>
    <row r="150" spans="1:19" x14ac:dyDescent="0.25">
      <c r="A150">
        <v>35</v>
      </c>
      <c r="B150">
        <v>22</v>
      </c>
      <c r="C150">
        <v>5</v>
      </c>
      <c r="D150">
        <f>IF(A150=$N$2,1,0)</f>
        <v>0</v>
      </c>
      <c r="E150">
        <f>IF(A150=$M$2,1,0)</f>
        <v>0</v>
      </c>
      <c r="F150">
        <f t="shared" si="2"/>
        <v>2</v>
      </c>
      <c r="H150" s="1">
        <v>0.52013888888888804</v>
      </c>
      <c r="O150">
        <v>149</v>
      </c>
      <c r="P150" s="2">
        <f>TRUNC(O150/60) + 1</f>
        <v>3</v>
      </c>
      <c r="Q150">
        <v>35</v>
      </c>
      <c r="R150">
        <v>22</v>
      </c>
      <c r="S150">
        <v>5</v>
      </c>
    </row>
    <row r="151" spans="1:19" x14ac:dyDescent="0.25">
      <c r="A151">
        <v>72</v>
      </c>
      <c r="B151">
        <v>29</v>
      </c>
      <c r="C151">
        <v>10</v>
      </c>
      <c r="D151">
        <f>IF(A151=$N$2,1,0)</f>
        <v>0</v>
      </c>
      <c r="E151">
        <f>IF(A151=$M$2,1,0)</f>
        <v>0</v>
      </c>
      <c r="F151">
        <f t="shared" si="2"/>
        <v>3</v>
      </c>
      <c r="H151" s="1">
        <v>0.52083333333333304</v>
      </c>
      <c r="O151">
        <v>150</v>
      </c>
      <c r="P151" s="2">
        <f>TRUNC(O151/60) + 1</f>
        <v>3</v>
      </c>
      <c r="Q151">
        <v>72</v>
      </c>
      <c r="R151">
        <v>29</v>
      </c>
      <c r="S151">
        <v>10</v>
      </c>
    </row>
    <row r="152" spans="1:19" x14ac:dyDescent="0.25">
      <c r="A152">
        <v>98</v>
      </c>
      <c r="B152">
        <v>20</v>
      </c>
      <c r="C152">
        <v>3</v>
      </c>
      <c r="D152">
        <f>IF(A152=$N$2,1,0)</f>
        <v>0</v>
      </c>
      <c r="E152">
        <f>IF(A152=$M$2,1,0)</f>
        <v>0</v>
      </c>
      <c r="F152">
        <f t="shared" si="2"/>
        <v>4</v>
      </c>
      <c r="H152" s="1">
        <v>0.52152777777777704</v>
      </c>
      <c r="O152">
        <v>151</v>
      </c>
      <c r="P152" s="2">
        <f>TRUNC(O152/60) + 1</f>
        <v>3</v>
      </c>
      <c r="Q152">
        <v>98</v>
      </c>
      <c r="R152">
        <v>20</v>
      </c>
      <c r="S152">
        <v>3</v>
      </c>
    </row>
    <row r="153" spans="1:19" x14ac:dyDescent="0.25">
      <c r="A153">
        <v>42</v>
      </c>
      <c r="B153">
        <v>7</v>
      </c>
      <c r="C153">
        <v>6</v>
      </c>
      <c r="D153">
        <f>IF(A153=$N$2,1,0)</f>
        <v>0</v>
      </c>
      <c r="E153">
        <f>IF(A153=$M$2,1,0)</f>
        <v>0</v>
      </c>
      <c r="F153">
        <f t="shared" si="2"/>
        <v>5</v>
      </c>
      <c r="H153" s="1">
        <v>0.52222222222222203</v>
      </c>
      <c r="O153">
        <v>152</v>
      </c>
      <c r="P153" s="2">
        <f>TRUNC(O153/60) + 1</f>
        <v>3</v>
      </c>
      <c r="Q153">
        <v>42</v>
      </c>
      <c r="R153">
        <v>7</v>
      </c>
      <c r="S153">
        <v>6</v>
      </c>
    </row>
    <row r="154" spans="1:19" x14ac:dyDescent="0.25">
      <c r="A154">
        <v>30</v>
      </c>
      <c r="B154">
        <v>21</v>
      </c>
      <c r="C154">
        <v>1</v>
      </c>
      <c r="D154">
        <f>IF(A154=$N$2,1,0)</f>
        <v>0</v>
      </c>
      <c r="E154">
        <f>IF(A154=$M$2,1,0)</f>
        <v>0</v>
      </c>
      <c r="F154">
        <f t="shared" si="2"/>
        <v>6</v>
      </c>
      <c r="H154" s="1">
        <v>0.52291666666666603</v>
      </c>
      <c r="O154">
        <v>153</v>
      </c>
      <c r="P154" s="2">
        <f>TRUNC(O154/60) + 1</f>
        <v>3</v>
      </c>
      <c r="Q154">
        <v>30</v>
      </c>
      <c r="R154">
        <v>21</v>
      </c>
      <c r="S154">
        <v>1</v>
      </c>
    </row>
    <row r="155" spans="1:19" x14ac:dyDescent="0.25">
      <c r="A155">
        <v>42</v>
      </c>
      <c r="B155">
        <v>29</v>
      </c>
      <c r="C155">
        <v>7</v>
      </c>
      <c r="D155">
        <f>IF(A155=$N$2,1,0)</f>
        <v>0</v>
      </c>
      <c r="E155">
        <f>IF(A155=$M$2,1,0)</f>
        <v>0</v>
      </c>
      <c r="F155">
        <f t="shared" si="2"/>
        <v>7</v>
      </c>
      <c r="H155" s="1">
        <v>0.52361111111111103</v>
      </c>
      <c r="O155">
        <v>154</v>
      </c>
      <c r="P155" s="2">
        <f>TRUNC(O155/60) + 1</f>
        <v>3</v>
      </c>
      <c r="Q155">
        <v>42</v>
      </c>
      <c r="R155">
        <v>29</v>
      </c>
      <c r="S155">
        <v>7</v>
      </c>
    </row>
    <row r="156" spans="1:19" x14ac:dyDescent="0.25">
      <c r="A156">
        <v>35</v>
      </c>
      <c r="B156">
        <v>14</v>
      </c>
      <c r="C156">
        <v>9</v>
      </c>
      <c r="D156">
        <f>IF(A156=$N$2,1,0)</f>
        <v>0</v>
      </c>
      <c r="E156">
        <f>IF(A156=$M$2,1,0)</f>
        <v>0</v>
      </c>
      <c r="F156">
        <f t="shared" si="2"/>
        <v>8</v>
      </c>
      <c r="H156" s="1">
        <v>0.52430555555555503</v>
      </c>
      <c r="O156">
        <v>155</v>
      </c>
      <c r="P156" s="2">
        <f>TRUNC(O156/60) + 1</f>
        <v>3</v>
      </c>
      <c r="Q156">
        <v>35</v>
      </c>
      <c r="R156">
        <v>14</v>
      </c>
      <c r="S156">
        <v>9</v>
      </c>
    </row>
    <row r="157" spans="1:19" x14ac:dyDescent="0.25">
      <c r="A157">
        <v>54</v>
      </c>
      <c r="B157">
        <v>23</v>
      </c>
      <c r="C157">
        <v>4</v>
      </c>
      <c r="D157">
        <f>IF(A157=$N$2,1,0)</f>
        <v>0</v>
      </c>
      <c r="E157">
        <f>IF(A157=$M$2,1,0)</f>
        <v>0</v>
      </c>
      <c r="F157">
        <f t="shared" si="2"/>
        <v>9</v>
      </c>
      <c r="H157" s="1">
        <v>0.52500000000000002</v>
      </c>
      <c r="O157">
        <v>156</v>
      </c>
      <c r="P157" s="2">
        <f>TRUNC(O157/60) + 1</f>
        <v>3</v>
      </c>
      <c r="Q157">
        <v>54</v>
      </c>
      <c r="R157">
        <v>23</v>
      </c>
      <c r="S157">
        <v>4</v>
      </c>
    </row>
    <row r="158" spans="1:19" x14ac:dyDescent="0.25">
      <c r="A158">
        <v>28</v>
      </c>
      <c r="B158">
        <v>9</v>
      </c>
      <c r="C158">
        <v>8</v>
      </c>
      <c r="D158">
        <f>IF(A158=$N$2,1,0)</f>
        <v>0</v>
      </c>
      <c r="E158">
        <f>IF(A158=$M$2,1,0)</f>
        <v>0</v>
      </c>
      <c r="F158">
        <f t="shared" si="2"/>
        <v>10</v>
      </c>
      <c r="H158" s="1">
        <v>0.52569444444444402</v>
      </c>
      <c r="O158">
        <v>157</v>
      </c>
      <c r="P158" s="2">
        <f>TRUNC(O158/60) + 1</f>
        <v>3</v>
      </c>
      <c r="Q158">
        <v>28</v>
      </c>
      <c r="R158">
        <v>9</v>
      </c>
      <c r="S158">
        <v>8</v>
      </c>
    </row>
    <row r="159" spans="1:19" x14ac:dyDescent="0.25">
      <c r="A159">
        <v>22</v>
      </c>
      <c r="B159">
        <v>13</v>
      </c>
      <c r="C159">
        <v>4</v>
      </c>
      <c r="D159">
        <f>IF(A159=$N$2,1,0)</f>
        <v>0</v>
      </c>
      <c r="E159">
        <f>IF(A159=$M$2,1,0)</f>
        <v>0</v>
      </c>
      <c r="F159">
        <f t="shared" si="2"/>
        <v>11</v>
      </c>
      <c r="H159" s="1">
        <v>0.52638888888888802</v>
      </c>
      <c r="O159">
        <v>158</v>
      </c>
      <c r="P159" s="2">
        <f>TRUNC(O159/60) + 1</f>
        <v>3</v>
      </c>
      <c r="Q159">
        <v>22</v>
      </c>
      <c r="R159">
        <v>13</v>
      </c>
      <c r="S159">
        <v>4</v>
      </c>
    </row>
    <row r="160" spans="1:19" x14ac:dyDescent="0.25">
      <c r="A160">
        <v>26</v>
      </c>
      <c r="B160">
        <v>25</v>
      </c>
      <c r="C160">
        <v>5</v>
      </c>
      <c r="D160">
        <f>IF(A160=$N$2,1,0)</f>
        <v>0</v>
      </c>
      <c r="E160">
        <f>IF(A160=$M$2,1,0)</f>
        <v>0</v>
      </c>
      <c r="F160">
        <f t="shared" si="2"/>
        <v>12</v>
      </c>
      <c r="H160" s="1">
        <v>0.52708333333333302</v>
      </c>
      <c r="O160">
        <v>159</v>
      </c>
      <c r="P160" s="2">
        <f>TRUNC(O160/60) + 1</f>
        <v>3</v>
      </c>
      <c r="Q160">
        <v>26</v>
      </c>
      <c r="R160">
        <v>25</v>
      </c>
      <c r="S160">
        <v>5</v>
      </c>
    </row>
    <row r="161" spans="1:19" x14ac:dyDescent="0.25">
      <c r="A161">
        <v>76</v>
      </c>
      <c r="B161">
        <v>15</v>
      </c>
      <c r="C161">
        <v>4</v>
      </c>
      <c r="D161">
        <f>IF(A161=$N$2,1,0)</f>
        <v>0</v>
      </c>
      <c r="E161">
        <f>IF(A161=$M$2,1,0)</f>
        <v>0</v>
      </c>
      <c r="F161">
        <f t="shared" si="2"/>
        <v>13</v>
      </c>
      <c r="H161" s="1">
        <v>0.52777777777777701</v>
      </c>
      <c r="O161">
        <v>160</v>
      </c>
      <c r="P161" s="2">
        <f>TRUNC(O161/60) + 1</f>
        <v>3</v>
      </c>
      <c r="Q161">
        <v>76</v>
      </c>
      <c r="R161">
        <v>15</v>
      </c>
      <c r="S161">
        <v>4</v>
      </c>
    </row>
    <row r="162" spans="1:19" x14ac:dyDescent="0.25">
      <c r="A162">
        <v>55</v>
      </c>
      <c r="B162">
        <v>16</v>
      </c>
      <c r="C162">
        <v>3</v>
      </c>
      <c r="D162">
        <f>IF(A162=$N$2,1,0)</f>
        <v>0</v>
      </c>
      <c r="E162">
        <f>IF(A162=$M$2,1,0)</f>
        <v>0</v>
      </c>
      <c r="F162">
        <f t="shared" si="2"/>
        <v>14</v>
      </c>
      <c r="H162" s="1">
        <v>0.52847222222222201</v>
      </c>
      <c r="O162">
        <v>161</v>
      </c>
      <c r="P162" s="2">
        <f>TRUNC(O162/60) + 1</f>
        <v>3</v>
      </c>
      <c r="Q162">
        <v>55</v>
      </c>
      <c r="R162">
        <v>16</v>
      </c>
      <c r="S162">
        <v>3</v>
      </c>
    </row>
    <row r="163" spans="1:19" x14ac:dyDescent="0.25">
      <c r="A163">
        <v>55</v>
      </c>
      <c r="B163">
        <v>9</v>
      </c>
      <c r="C163">
        <v>1</v>
      </c>
      <c r="D163">
        <f>IF(A163=$N$2,1,0)</f>
        <v>0</v>
      </c>
      <c r="E163">
        <f>IF(A163=$M$2,1,0)</f>
        <v>0</v>
      </c>
      <c r="F163">
        <f t="shared" si="2"/>
        <v>15</v>
      </c>
      <c r="H163" s="1">
        <v>0.52916666666666601</v>
      </c>
      <c r="O163">
        <v>162</v>
      </c>
      <c r="P163" s="2">
        <f>TRUNC(O163/60) + 1</f>
        <v>3</v>
      </c>
      <c r="Q163">
        <v>55</v>
      </c>
      <c r="R163">
        <v>9</v>
      </c>
      <c r="S163">
        <v>1</v>
      </c>
    </row>
    <row r="164" spans="1:19" x14ac:dyDescent="0.25">
      <c r="A164">
        <v>16</v>
      </c>
      <c r="B164">
        <v>23</v>
      </c>
      <c r="C164">
        <v>2</v>
      </c>
      <c r="D164">
        <f>IF(A164=$N$2,1,0)</f>
        <v>0</v>
      </c>
      <c r="E164">
        <f>IF(A164=$M$2,1,0)</f>
        <v>0</v>
      </c>
      <c r="F164">
        <f t="shared" si="2"/>
        <v>0</v>
      </c>
      <c r="H164" s="1">
        <v>0.52986111111111101</v>
      </c>
      <c r="O164">
        <v>163</v>
      </c>
      <c r="P164" s="2">
        <f>TRUNC(O164/60) + 1</f>
        <v>3</v>
      </c>
      <c r="Q164">
        <v>16</v>
      </c>
      <c r="R164">
        <v>23</v>
      </c>
      <c r="S164">
        <v>2</v>
      </c>
    </row>
    <row r="165" spans="1:19" x14ac:dyDescent="0.25">
      <c r="A165">
        <v>41</v>
      </c>
      <c r="B165">
        <v>15</v>
      </c>
      <c r="C165">
        <v>6</v>
      </c>
      <c r="D165">
        <f>IF(A165=$N$2,1,0)</f>
        <v>0</v>
      </c>
      <c r="E165">
        <f>IF(A165=$M$2,1,0)</f>
        <v>0</v>
      </c>
      <c r="F165">
        <f t="shared" si="2"/>
        <v>1</v>
      </c>
      <c r="H165" s="1">
        <v>0.530555555555555</v>
      </c>
      <c r="O165">
        <v>164</v>
      </c>
      <c r="P165" s="2">
        <f>TRUNC(O165/60) + 1</f>
        <v>3</v>
      </c>
      <c r="Q165">
        <v>41</v>
      </c>
      <c r="R165">
        <v>15</v>
      </c>
      <c r="S165">
        <v>6</v>
      </c>
    </row>
    <row r="166" spans="1:19" x14ac:dyDescent="0.25">
      <c r="A166">
        <v>82</v>
      </c>
      <c r="B166">
        <v>10</v>
      </c>
      <c r="C166">
        <v>2</v>
      </c>
      <c r="D166">
        <f>IF(A166=$N$2,1,0)</f>
        <v>0</v>
      </c>
      <c r="E166">
        <f>IF(A166=$M$2,1,0)</f>
        <v>0</v>
      </c>
      <c r="F166">
        <f t="shared" si="2"/>
        <v>2</v>
      </c>
      <c r="H166" s="1">
        <v>0.531249999999999</v>
      </c>
      <c r="O166">
        <v>165</v>
      </c>
      <c r="P166" s="2">
        <f>TRUNC(O166/60) + 1</f>
        <v>3</v>
      </c>
      <c r="Q166">
        <v>82</v>
      </c>
      <c r="R166">
        <v>10</v>
      </c>
      <c r="S166">
        <v>2</v>
      </c>
    </row>
    <row r="167" spans="1:19" x14ac:dyDescent="0.25">
      <c r="A167">
        <v>48</v>
      </c>
      <c r="B167">
        <v>19</v>
      </c>
      <c r="C167">
        <v>2</v>
      </c>
      <c r="D167">
        <f>IF(A167=$N$2,1,0)</f>
        <v>0</v>
      </c>
      <c r="E167">
        <f>IF(A167=$M$2,1,0)</f>
        <v>0</v>
      </c>
      <c r="F167">
        <f t="shared" si="2"/>
        <v>3</v>
      </c>
      <c r="H167" s="1">
        <v>0.531944444444444</v>
      </c>
      <c r="O167">
        <v>166</v>
      </c>
      <c r="P167" s="2">
        <f>TRUNC(O167/60) + 1</f>
        <v>3</v>
      </c>
      <c r="Q167">
        <v>48</v>
      </c>
      <c r="R167">
        <v>19</v>
      </c>
      <c r="S167">
        <v>2</v>
      </c>
    </row>
    <row r="168" spans="1:19" x14ac:dyDescent="0.25">
      <c r="A168">
        <v>100</v>
      </c>
      <c r="B168">
        <v>29</v>
      </c>
      <c r="C168">
        <v>9</v>
      </c>
      <c r="D168">
        <f>IF(A168=$N$2,1,0)</f>
        <v>0</v>
      </c>
      <c r="E168">
        <f>IF(A168=$M$2,1,0)</f>
        <v>1</v>
      </c>
      <c r="F168">
        <f t="shared" si="2"/>
        <v>4</v>
      </c>
      <c r="H168" s="1">
        <v>0.532638888888888</v>
      </c>
      <c r="O168">
        <v>167</v>
      </c>
      <c r="P168" s="2">
        <f>TRUNC(O168/60) + 1</f>
        <v>3</v>
      </c>
      <c r="Q168">
        <v>100</v>
      </c>
      <c r="R168">
        <v>29</v>
      </c>
      <c r="S168">
        <v>9</v>
      </c>
    </row>
    <row r="169" spans="1:19" x14ac:dyDescent="0.25">
      <c r="A169">
        <v>46</v>
      </c>
      <c r="B169">
        <v>20</v>
      </c>
      <c r="C169">
        <v>2</v>
      </c>
      <c r="D169">
        <f>IF(A169=$N$2,1,0)</f>
        <v>0</v>
      </c>
      <c r="E169">
        <f>IF(A169=$M$2,1,0)</f>
        <v>0</v>
      </c>
      <c r="F169">
        <f t="shared" si="2"/>
        <v>5</v>
      </c>
      <c r="H169" s="1">
        <v>0.53333333333333299</v>
      </c>
      <c r="O169">
        <v>168</v>
      </c>
      <c r="P169" s="2">
        <f>TRUNC(O169/60) + 1</f>
        <v>3</v>
      </c>
      <c r="Q169">
        <v>46</v>
      </c>
      <c r="R169">
        <v>20</v>
      </c>
      <c r="S169">
        <v>2</v>
      </c>
    </row>
    <row r="170" spans="1:19" x14ac:dyDescent="0.25">
      <c r="A170">
        <v>67</v>
      </c>
      <c r="B170">
        <v>19</v>
      </c>
      <c r="C170">
        <v>4</v>
      </c>
      <c r="D170">
        <f>IF(A170=$N$2,1,0)</f>
        <v>0</v>
      </c>
      <c r="E170">
        <f>IF(A170=$M$2,1,0)</f>
        <v>0</v>
      </c>
      <c r="F170">
        <f t="shared" si="2"/>
        <v>6</v>
      </c>
      <c r="H170" s="1">
        <v>0.53402777777777699</v>
      </c>
      <c r="O170">
        <v>169</v>
      </c>
      <c r="P170" s="2">
        <f>TRUNC(O170/60) + 1</f>
        <v>3</v>
      </c>
      <c r="Q170">
        <v>67</v>
      </c>
      <c r="R170">
        <v>19</v>
      </c>
      <c r="S170">
        <v>4</v>
      </c>
    </row>
    <row r="171" spans="1:19" x14ac:dyDescent="0.25">
      <c r="A171">
        <v>64</v>
      </c>
      <c r="B171">
        <v>21</v>
      </c>
      <c r="C171">
        <v>9</v>
      </c>
      <c r="D171">
        <f>IF(A171=$N$2,1,0)</f>
        <v>0</v>
      </c>
      <c r="E171">
        <f>IF(A171=$M$2,1,0)</f>
        <v>0</v>
      </c>
      <c r="F171">
        <f t="shared" si="2"/>
        <v>7</v>
      </c>
      <c r="H171" s="1">
        <v>0.53472222222222199</v>
      </c>
      <c r="O171">
        <v>170</v>
      </c>
      <c r="P171" s="2">
        <f>TRUNC(O171/60) + 1</f>
        <v>3</v>
      </c>
      <c r="Q171">
        <v>64</v>
      </c>
      <c r="R171">
        <v>21</v>
      </c>
      <c r="S171">
        <v>9</v>
      </c>
    </row>
    <row r="172" spans="1:19" x14ac:dyDescent="0.25">
      <c r="A172">
        <v>46</v>
      </c>
      <c r="B172">
        <v>28</v>
      </c>
      <c r="C172">
        <v>8</v>
      </c>
      <c r="D172">
        <f>IF(A172=$N$2,1,0)</f>
        <v>0</v>
      </c>
      <c r="E172">
        <f>IF(A172=$M$2,1,0)</f>
        <v>0</v>
      </c>
      <c r="F172">
        <f t="shared" si="2"/>
        <v>8</v>
      </c>
      <c r="H172" s="1">
        <v>0.53541666666666599</v>
      </c>
      <c r="O172">
        <v>171</v>
      </c>
      <c r="P172" s="2">
        <f>TRUNC(O172/60) + 1</f>
        <v>3</v>
      </c>
      <c r="Q172">
        <v>46</v>
      </c>
      <c r="R172">
        <v>28</v>
      </c>
      <c r="S172">
        <v>8</v>
      </c>
    </row>
    <row r="173" spans="1:19" x14ac:dyDescent="0.25">
      <c r="A173">
        <v>57</v>
      </c>
      <c r="B173">
        <v>14</v>
      </c>
      <c r="C173">
        <v>8</v>
      </c>
      <c r="D173">
        <f>IF(A173=$N$2,1,0)</f>
        <v>0</v>
      </c>
      <c r="E173">
        <f>IF(A173=$M$2,1,0)</f>
        <v>0</v>
      </c>
      <c r="F173">
        <f t="shared" si="2"/>
        <v>9</v>
      </c>
      <c r="H173" s="1">
        <v>0.53611111111111098</v>
      </c>
      <c r="O173">
        <v>172</v>
      </c>
      <c r="P173" s="2">
        <f>TRUNC(O173/60) + 1</f>
        <v>3</v>
      </c>
      <c r="Q173">
        <v>57</v>
      </c>
      <c r="R173">
        <v>14</v>
      </c>
      <c r="S173">
        <v>8</v>
      </c>
    </row>
    <row r="174" spans="1:19" x14ac:dyDescent="0.25">
      <c r="A174">
        <v>56</v>
      </c>
      <c r="B174">
        <v>11</v>
      </c>
      <c r="C174">
        <v>9</v>
      </c>
      <c r="D174">
        <f>IF(A174=$N$2,1,0)</f>
        <v>0</v>
      </c>
      <c r="E174">
        <f>IF(A174=$M$2,1,0)</f>
        <v>0</v>
      </c>
      <c r="F174">
        <f t="shared" si="2"/>
        <v>10</v>
      </c>
      <c r="H174" s="1">
        <v>0.53680555555555498</v>
      </c>
      <c r="O174">
        <v>173</v>
      </c>
      <c r="P174" s="2">
        <f>TRUNC(O174/60) + 1</f>
        <v>3</v>
      </c>
      <c r="Q174">
        <v>56</v>
      </c>
      <c r="R174">
        <v>11</v>
      </c>
      <c r="S174">
        <v>9</v>
      </c>
    </row>
    <row r="175" spans="1:19" x14ac:dyDescent="0.25">
      <c r="A175">
        <v>77</v>
      </c>
      <c r="B175">
        <v>22</v>
      </c>
      <c r="C175">
        <v>10</v>
      </c>
      <c r="D175">
        <f>IF(A175=$N$2,1,0)</f>
        <v>0</v>
      </c>
      <c r="E175">
        <f>IF(A175=$M$2,1,0)</f>
        <v>0</v>
      </c>
      <c r="F175">
        <f t="shared" si="2"/>
        <v>11</v>
      </c>
      <c r="H175" s="1">
        <v>0.53749999999999898</v>
      </c>
      <c r="O175">
        <v>174</v>
      </c>
      <c r="P175" s="2">
        <f>TRUNC(O175/60) + 1</f>
        <v>3</v>
      </c>
      <c r="Q175">
        <v>77</v>
      </c>
      <c r="R175">
        <v>22</v>
      </c>
      <c r="S175">
        <v>10</v>
      </c>
    </row>
    <row r="176" spans="1:19" x14ac:dyDescent="0.25">
      <c r="A176">
        <v>36</v>
      </c>
      <c r="B176">
        <v>27</v>
      </c>
      <c r="C176">
        <v>4</v>
      </c>
      <c r="D176">
        <f>IF(A176=$N$2,1,0)</f>
        <v>0</v>
      </c>
      <c r="E176">
        <f>IF(A176=$M$2,1,0)</f>
        <v>0</v>
      </c>
      <c r="F176">
        <f t="shared" si="2"/>
        <v>12</v>
      </c>
      <c r="H176" s="1">
        <v>0.53819444444444398</v>
      </c>
      <c r="O176">
        <v>175</v>
      </c>
      <c r="P176" s="2">
        <f>TRUNC(O176/60) + 1</f>
        <v>3</v>
      </c>
      <c r="Q176">
        <v>36</v>
      </c>
      <c r="R176">
        <v>27</v>
      </c>
      <c r="S176">
        <v>4</v>
      </c>
    </row>
    <row r="177" spans="1:19" x14ac:dyDescent="0.25">
      <c r="A177">
        <v>20</v>
      </c>
      <c r="B177">
        <v>27</v>
      </c>
      <c r="C177">
        <v>1</v>
      </c>
      <c r="D177">
        <f>IF(A177=$N$2,1,0)</f>
        <v>0</v>
      </c>
      <c r="E177">
        <f>IF(A177=$M$2,1,0)</f>
        <v>0</v>
      </c>
      <c r="F177">
        <f t="shared" si="2"/>
        <v>0</v>
      </c>
      <c r="H177" s="1">
        <v>0.53888888888888797</v>
      </c>
      <c r="O177">
        <v>176</v>
      </c>
      <c r="P177" s="2">
        <f>TRUNC(O177/60) + 1</f>
        <v>3</v>
      </c>
      <c r="Q177">
        <v>20</v>
      </c>
      <c r="R177">
        <v>27</v>
      </c>
      <c r="S177">
        <v>1</v>
      </c>
    </row>
    <row r="178" spans="1:19" x14ac:dyDescent="0.25">
      <c r="A178">
        <v>21</v>
      </c>
      <c r="B178">
        <v>25</v>
      </c>
      <c r="C178">
        <v>9</v>
      </c>
      <c r="D178">
        <f>IF(A178=$N$2,1,0)</f>
        <v>0</v>
      </c>
      <c r="E178">
        <f>IF(A178=$M$2,1,0)</f>
        <v>0</v>
      </c>
      <c r="F178">
        <f t="shared" si="2"/>
        <v>0</v>
      </c>
      <c r="H178" s="1">
        <v>0.53958333333333297</v>
      </c>
      <c r="O178">
        <v>177</v>
      </c>
      <c r="P178" s="2">
        <f>TRUNC(O178/60) + 1</f>
        <v>3</v>
      </c>
      <c r="Q178">
        <v>21</v>
      </c>
      <c r="R178">
        <v>25</v>
      </c>
      <c r="S178">
        <v>9</v>
      </c>
    </row>
    <row r="179" spans="1:19" x14ac:dyDescent="0.25">
      <c r="A179">
        <v>77</v>
      </c>
      <c r="B179">
        <v>25</v>
      </c>
      <c r="C179">
        <v>8</v>
      </c>
      <c r="D179">
        <f>IF(A179=$N$2,1,0)</f>
        <v>0</v>
      </c>
      <c r="E179">
        <f>IF(A179=$M$2,1,0)</f>
        <v>0</v>
      </c>
      <c r="F179">
        <f t="shared" si="2"/>
        <v>1</v>
      </c>
      <c r="H179" s="1">
        <v>0.54027777777777697</v>
      </c>
      <c r="O179">
        <v>178</v>
      </c>
      <c r="P179" s="2">
        <f>TRUNC(O179/60) + 1</f>
        <v>3</v>
      </c>
      <c r="Q179">
        <v>77</v>
      </c>
      <c r="R179">
        <v>25</v>
      </c>
      <c r="S179">
        <v>8</v>
      </c>
    </row>
    <row r="180" spans="1:19" x14ac:dyDescent="0.25">
      <c r="A180">
        <v>77</v>
      </c>
      <c r="B180">
        <v>22</v>
      </c>
      <c r="C180">
        <v>6</v>
      </c>
      <c r="D180">
        <f>IF(A180=$N$2,1,0)</f>
        <v>0</v>
      </c>
      <c r="E180">
        <f>IF(A180=$M$2,1,0)</f>
        <v>0</v>
      </c>
      <c r="F180">
        <f t="shared" si="2"/>
        <v>2</v>
      </c>
      <c r="H180" s="1">
        <v>0.54097222222222197</v>
      </c>
      <c r="O180">
        <v>179</v>
      </c>
      <c r="P180" s="2">
        <f>TRUNC(O180/60) + 1</f>
        <v>3</v>
      </c>
      <c r="Q180">
        <v>77</v>
      </c>
      <c r="R180">
        <v>22</v>
      </c>
      <c r="S180">
        <v>6</v>
      </c>
    </row>
    <row r="181" spans="1:19" x14ac:dyDescent="0.25">
      <c r="A181">
        <v>36</v>
      </c>
      <c r="B181">
        <v>29</v>
      </c>
      <c r="C181">
        <v>9</v>
      </c>
      <c r="D181">
        <f>IF(A181=$N$2,1,0)</f>
        <v>0</v>
      </c>
      <c r="E181">
        <f>IF(A181=$M$2,1,0)</f>
        <v>0</v>
      </c>
      <c r="F181">
        <f t="shared" si="2"/>
        <v>3</v>
      </c>
      <c r="H181" s="1">
        <v>0.54166666666666596</v>
      </c>
      <c r="O181">
        <v>180</v>
      </c>
      <c r="P181" s="2">
        <f>TRUNC(O181/60) + 1</f>
        <v>4</v>
      </c>
      <c r="Q181">
        <v>36</v>
      </c>
      <c r="R181">
        <v>29</v>
      </c>
      <c r="S181">
        <v>9</v>
      </c>
    </row>
    <row r="182" spans="1:19" x14ac:dyDescent="0.25">
      <c r="A182">
        <v>87</v>
      </c>
      <c r="B182">
        <v>13</v>
      </c>
      <c r="C182">
        <v>4</v>
      </c>
      <c r="D182">
        <f>IF(A182=$N$2,1,0)</f>
        <v>0</v>
      </c>
      <c r="E182">
        <f>IF(A182=$M$2,1,0)</f>
        <v>0</v>
      </c>
      <c r="F182">
        <f t="shared" si="2"/>
        <v>4</v>
      </c>
      <c r="H182" s="1">
        <v>0.54236111111111096</v>
      </c>
      <c r="O182">
        <v>181</v>
      </c>
      <c r="P182" s="2">
        <f>TRUNC(O182/60) + 1</f>
        <v>4</v>
      </c>
      <c r="Q182">
        <v>87</v>
      </c>
      <c r="R182">
        <v>13</v>
      </c>
      <c r="S182">
        <v>4</v>
      </c>
    </row>
    <row r="183" spans="1:19" x14ac:dyDescent="0.25">
      <c r="A183">
        <v>39</v>
      </c>
      <c r="B183">
        <v>23</v>
      </c>
      <c r="C183">
        <v>10</v>
      </c>
      <c r="D183">
        <f>IF(A183=$N$2,1,0)</f>
        <v>0</v>
      </c>
      <c r="E183">
        <f>IF(A183=$M$2,1,0)</f>
        <v>0</v>
      </c>
      <c r="F183">
        <f t="shared" si="2"/>
        <v>5</v>
      </c>
      <c r="H183" s="1">
        <v>0.54305555555555496</v>
      </c>
      <c r="O183">
        <v>182</v>
      </c>
      <c r="P183" s="2">
        <f>TRUNC(O183/60) + 1</f>
        <v>4</v>
      </c>
      <c r="Q183">
        <v>39</v>
      </c>
      <c r="R183">
        <v>23</v>
      </c>
      <c r="S183">
        <v>10</v>
      </c>
    </row>
    <row r="184" spans="1:19" x14ac:dyDescent="0.25">
      <c r="A184">
        <v>96</v>
      </c>
      <c r="B184">
        <v>12</v>
      </c>
      <c r="C184">
        <v>3</v>
      </c>
      <c r="D184">
        <f>IF(A184=$N$2,1,0)</f>
        <v>0</v>
      </c>
      <c r="E184">
        <f>IF(A184=$M$2,1,0)</f>
        <v>0</v>
      </c>
      <c r="F184">
        <f t="shared" si="2"/>
        <v>6</v>
      </c>
      <c r="H184" s="1">
        <v>0.54374999999999896</v>
      </c>
      <c r="O184">
        <v>183</v>
      </c>
      <c r="P184" s="2">
        <f>TRUNC(O184/60) + 1</f>
        <v>4</v>
      </c>
      <c r="Q184">
        <v>96</v>
      </c>
      <c r="R184">
        <v>12</v>
      </c>
      <c r="S184">
        <v>3</v>
      </c>
    </row>
    <row r="185" spans="1:19" x14ac:dyDescent="0.25">
      <c r="A185">
        <v>36</v>
      </c>
      <c r="B185">
        <v>28</v>
      </c>
      <c r="C185">
        <v>7</v>
      </c>
      <c r="D185">
        <f>IF(A185=$N$2,1,0)</f>
        <v>0</v>
      </c>
      <c r="E185">
        <f>IF(A185=$M$2,1,0)</f>
        <v>0</v>
      </c>
      <c r="F185">
        <f t="shared" si="2"/>
        <v>7</v>
      </c>
      <c r="H185" s="1">
        <v>0.54444444444444395</v>
      </c>
      <c r="O185">
        <v>184</v>
      </c>
      <c r="P185" s="2">
        <f>TRUNC(O185/60) + 1</f>
        <v>4</v>
      </c>
      <c r="Q185">
        <v>36</v>
      </c>
      <c r="R185">
        <v>28</v>
      </c>
      <c r="S185">
        <v>7</v>
      </c>
    </row>
    <row r="186" spans="1:19" x14ac:dyDescent="0.25">
      <c r="A186">
        <v>81</v>
      </c>
      <c r="B186">
        <v>9</v>
      </c>
      <c r="C186">
        <v>7</v>
      </c>
      <c r="D186">
        <f>IF(A186=$N$2,1,0)</f>
        <v>0</v>
      </c>
      <c r="E186">
        <f>IF(A186=$M$2,1,0)</f>
        <v>0</v>
      </c>
      <c r="F186">
        <f t="shared" si="2"/>
        <v>8</v>
      </c>
      <c r="H186" s="1">
        <v>0.54513888888888795</v>
      </c>
      <c r="O186">
        <v>185</v>
      </c>
      <c r="P186" s="2">
        <f>TRUNC(O186/60) + 1</f>
        <v>4</v>
      </c>
      <c r="Q186">
        <v>81</v>
      </c>
      <c r="R186">
        <v>9</v>
      </c>
      <c r="S186">
        <v>7</v>
      </c>
    </row>
    <row r="187" spans="1:19" x14ac:dyDescent="0.25">
      <c r="A187">
        <v>65</v>
      </c>
      <c r="B187">
        <v>25</v>
      </c>
      <c r="C187">
        <v>7</v>
      </c>
      <c r="D187">
        <f>IF(A187=$N$2,1,0)</f>
        <v>0</v>
      </c>
      <c r="E187">
        <f>IF(A187=$M$2,1,0)</f>
        <v>0</v>
      </c>
      <c r="F187">
        <f t="shared" si="2"/>
        <v>9</v>
      </c>
      <c r="H187" s="1">
        <v>0.54583333333333295</v>
      </c>
      <c r="O187">
        <v>186</v>
      </c>
      <c r="P187" s="2">
        <f>TRUNC(O187/60) + 1</f>
        <v>4</v>
      </c>
      <c r="Q187">
        <v>65</v>
      </c>
      <c r="R187">
        <v>25</v>
      </c>
      <c r="S187">
        <v>7</v>
      </c>
    </row>
    <row r="188" spans="1:19" x14ac:dyDescent="0.25">
      <c r="A188">
        <v>68</v>
      </c>
      <c r="B188">
        <v>19</v>
      </c>
      <c r="C188">
        <v>7</v>
      </c>
      <c r="D188">
        <f>IF(A188=$N$2,1,0)</f>
        <v>0</v>
      </c>
      <c r="E188">
        <f>IF(A188=$M$2,1,0)</f>
        <v>0</v>
      </c>
      <c r="F188">
        <f t="shared" si="2"/>
        <v>10</v>
      </c>
      <c r="H188" s="1">
        <v>0.54652777777777695</v>
      </c>
      <c r="O188">
        <v>187</v>
      </c>
      <c r="P188" s="2">
        <f>TRUNC(O188/60) + 1</f>
        <v>4</v>
      </c>
      <c r="Q188">
        <v>68</v>
      </c>
      <c r="R188">
        <v>19</v>
      </c>
      <c r="S188">
        <v>7</v>
      </c>
    </row>
    <row r="189" spans="1:19" x14ac:dyDescent="0.25">
      <c r="A189">
        <v>31</v>
      </c>
      <c r="B189">
        <v>10</v>
      </c>
      <c r="C189">
        <v>10</v>
      </c>
      <c r="D189">
        <f>IF(A189=$N$2,1,0)</f>
        <v>0</v>
      </c>
      <c r="E189">
        <f>IF(A189=$M$2,1,0)</f>
        <v>0</v>
      </c>
      <c r="F189">
        <f t="shared" si="2"/>
        <v>0</v>
      </c>
      <c r="H189" s="1">
        <v>0.54722222222222205</v>
      </c>
      <c r="O189">
        <v>188</v>
      </c>
      <c r="P189" s="2">
        <f>TRUNC(O189/60) + 1</f>
        <v>4</v>
      </c>
      <c r="Q189">
        <v>31</v>
      </c>
      <c r="R189">
        <v>10</v>
      </c>
      <c r="S189">
        <v>10</v>
      </c>
    </row>
    <row r="190" spans="1:19" x14ac:dyDescent="0.25">
      <c r="A190">
        <v>78</v>
      </c>
      <c r="B190">
        <v>12</v>
      </c>
      <c r="C190">
        <v>6</v>
      </c>
      <c r="D190">
        <f>IF(A190=$N$2,1,0)</f>
        <v>0</v>
      </c>
      <c r="E190">
        <f>IF(A190=$M$2,1,0)</f>
        <v>0</v>
      </c>
      <c r="F190">
        <f t="shared" si="2"/>
        <v>1</v>
      </c>
      <c r="H190" s="1">
        <v>0.54791666666666605</v>
      </c>
      <c r="O190">
        <v>189</v>
      </c>
      <c r="P190" s="2">
        <f>TRUNC(O190/60) + 1</f>
        <v>4</v>
      </c>
      <c r="Q190">
        <v>78</v>
      </c>
      <c r="R190">
        <v>12</v>
      </c>
      <c r="S190">
        <v>6</v>
      </c>
    </row>
    <row r="191" spans="1:19" x14ac:dyDescent="0.25">
      <c r="A191">
        <v>95</v>
      </c>
      <c r="B191">
        <v>14</v>
      </c>
      <c r="C191">
        <v>9</v>
      </c>
      <c r="D191">
        <f>IF(A191=$N$2,1,0)</f>
        <v>0</v>
      </c>
      <c r="E191">
        <f>IF(A191=$M$2,1,0)</f>
        <v>0</v>
      </c>
      <c r="F191">
        <f t="shared" si="2"/>
        <v>2</v>
      </c>
      <c r="H191" s="1">
        <v>0.54861111111111105</v>
      </c>
      <c r="O191">
        <v>190</v>
      </c>
      <c r="P191" s="2">
        <f>TRUNC(O191/60) + 1</f>
        <v>4</v>
      </c>
      <c r="Q191">
        <v>95</v>
      </c>
      <c r="R191">
        <v>14</v>
      </c>
      <c r="S191">
        <v>9</v>
      </c>
    </row>
    <row r="192" spans="1:19" x14ac:dyDescent="0.25">
      <c r="A192">
        <v>72</v>
      </c>
      <c r="B192">
        <v>18</v>
      </c>
      <c r="C192">
        <v>9</v>
      </c>
      <c r="D192">
        <f>IF(A192=$N$2,1,0)</f>
        <v>0</v>
      </c>
      <c r="E192">
        <f>IF(A192=$M$2,1,0)</f>
        <v>0</v>
      </c>
      <c r="F192">
        <f t="shared" si="2"/>
        <v>3</v>
      </c>
      <c r="H192" s="1">
        <v>0.54930555555555505</v>
      </c>
      <c r="O192">
        <v>191</v>
      </c>
      <c r="P192" s="2">
        <f>TRUNC(O192/60) + 1</f>
        <v>4</v>
      </c>
      <c r="Q192">
        <v>72</v>
      </c>
      <c r="R192">
        <v>18</v>
      </c>
      <c r="S192">
        <v>9</v>
      </c>
    </row>
    <row r="193" spans="1:19" x14ac:dyDescent="0.25">
      <c r="A193">
        <v>27</v>
      </c>
      <c r="B193">
        <v>23</v>
      </c>
      <c r="C193">
        <v>9</v>
      </c>
      <c r="D193">
        <f>IF(A193=$N$2,1,0)</f>
        <v>0</v>
      </c>
      <c r="E193">
        <f>IF(A193=$M$2,1,0)</f>
        <v>0</v>
      </c>
      <c r="F193">
        <f t="shared" si="2"/>
        <v>4</v>
      </c>
      <c r="H193" s="1">
        <v>0.54999999999999905</v>
      </c>
      <c r="O193">
        <v>192</v>
      </c>
      <c r="P193" s="2">
        <f>TRUNC(O193/60) + 1</f>
        <v>4</v>
      </c>
      <c r="Q193">
        <v>27</v>
      </c>
      <c r="R193">
        <v>23</v>
      </c>
      <c r="S193">
        <v>9</v>
      </c>
    </row>
    <row r="194" spans="1:19" x14ac:dyDescent="0.25">
      <c r="A194">
        <v>38</v>
      </c>
      <c r="B194">
        <v>18</v>
      </c>
      <c r="C194">
        <v>3</v>
      </c>
      <c r="D194">
        <f>IF(A194=$N$2,1,0)</f>
        <v>0</v>
      </c>
      <c r="E194">
        <f>IF(A194=$M$2,1,0)</f>
        <v>0</v>
      </c>
      <c r="F194">
        <f t="shared" si="2"/>
        <v>5</v>
      </c>
      <c r="H194" s="1">
        <v>0.55069444444444404</v>
      </c>
      <c r="O194">
        <v>193</v>
      </c>
      <c r="P194" s="2">
        <f>TRUNC(O194/60) + 1</f>
        <v>4</v>
      </c>
      <c r="Q194">
        <v>38</v>
      </c>
      <c r="R194">
        <v>18</v>
      </c>
      <c r="S194">
        <v>3</v>
      </c>
    </row>
    <row r="195" spans="1:19" x14ac:dyDescent="0.25">
      <c r="A195">
        <v>58</v>
      </c>
      <c r="B195">
        <v>16</v>
      </c>
      <c r="C195">
        <v>1</v>
      </c>
      <c r="D195">
        <f>IF(A195=$N$2,1,0)</f>
        <v>0</v>
      </c>
      <c r="E195">
        <f>IF(A195=$M$2,1,0)</f>
        <v>0</v>
      </c>
      <c r="F195">
        <f t="shared" ref="F195:F258" si="3">IF(AND(B195&gt;C195, A195 &gt; B195), F194 + 1, 0)</f>
        <v>6</v>
      </c>
      <c r="H195" s="1">
        <v>0.55138888888888804</v>
      </c>
      <c r="O195">
        <v>194</v>
      </c>
      <c r="P195" s="2">
        <f>TRUNC(O195/60) + 1</f>
        <v>4</v>
      </c>
      <c r="Q195">
        <v>58</v>
      </c>
      <c r="R195">
        <v>16</v>
      </c>
      <c r="S195">
        <v>1</v>
      </c>
    </row>
    <row r="196" spans="1:19" x14ac:dyDescent="0.25">
      <c r="A196">
        <v>78</v>
      </c>
      <c r="B196">
        <v>9</v>
      </c>
      <c r="C196">
        <v>3</v>
      </c>
      <c r="D196">
        <f>IF(A196=$N$2,1,0)</f>
        <v>0</v>
      </c>
      <c r="E196">
        <f>IF(A196=$M$2,1,0)</f>
        <v>0</v>
      </c>
      <c r="F196">
        <f t="shared" si="3"/>
        <v>7</v>
      </c>
      <c r="H196" s="1">
        <v>0.55208333333333304</v>
      </c>
      <c r="O196">
        <v>195</v>
      </c>
      <c r="P196" s="2">
        <f>TRUNC(O196/60) + 1</f>
        <v>4</v>
      </c>
      <c r="Q196">
        <v>78</v>
      </c>
      <c r="R196">
        <v>9</v>
      </c>
      <c r="S196">
        <v>3</v>
      </c>
    </row>
    <row r="197" spans="1:19" x14ac:dyDescent="0.25">
      <c r="A197">
        <v>97</v>
      </c>
      <c r="B197">
        <v>6</v>
      </c>
      <c r="C197">
        <v>10</v>
      </c>
      <c r="D197">
        <f>IF(A197=$N$2,1,0)</f>
        <v>0</v>
      </c>
      <c r="E197">
        <f>IF(A197=$M$2,1,0)</f>
        <v>0</v>
      </c>
      <c r="F197">
        <f t="shared" si="3"/>
        <v>0</v>
      </c>
      <c r="H197" s="1">
        <v>0.55277777777777704</v>
      </c>
      <c r="O197">
        <v>196</v>
      </c>
      <c r="P197" s="2">
        <f>TRUNC(O197/60) + 1</f>
        <v>4</v>
      </c>
      <c r="Q197">
        <v>97</v>
      </c>
      <c r="R197">
        <v>6</v>
      </c>
      <c r="S197">
        <v>10</v>
      </c>
    </row>
    <row r="198" spans="1:19" x14ac:dyDescent="0.25">
      <c r="A198">
        <v>59</v>
      </c>
      <c r="B198">
        <v>24</v>
      </c>
      <c r="C198">
        <v>8</v>
      </c>
      <c r="D198">
        <f>IF(A198=$N$2,1,0)</f>
        <v>0</v>
      </c>
      <c r="E198">
        <f>IF(A198=$M$2,1,0)</f>
        <v>0</v>
      </c>
      <c r="F198">
        <f t="shared" si="3"/>
        <v>1</v>
      </c>
      <c r="H198" s="1">
        <v>0.55347222222222203</v>
      </c>
      <c r="O198">
        <v>197</v>
      </c>
      <c r="P198" s="2">
        <f>TRUNC(O198/60) + 1</f>
        <v>4</v>
      </c>
      <c r="Q198">
        <v>59</v>
      </c>
      <c r="R198">
        <v>24</v>
      </c>
      <c r="S198">
        <v>8</v>
      </c>
    </row>
    <row r="199" spans="1:19" x14ac:dyDescent="0.25">
      <c r="A199">
        <v>80</v>
      </c>
      <c r="B199">
        <v>30</v>
      </c>
      <c r="C199">
        <v>6</v>
      </c>
      <c r="D199">
        <f>IF(A199=$N$2,1,0)</f>
        <v>0</v>
      </c>
      <c r="E199">
        <f>IF(A199=$M$2,1,0)</f>
        <v>0</v>
      </c>
      <c r="F199">
        <f t="shared" si="3"/>
        <v>2</v>
      </c>
      <c r="H199" s="1">
        <v>0.55416666666666603</v>
      </c>
      <c r="O199">
        <v>198</v>
      </c>
      <c r="P199" s="2">
        <f>TRUNC(O199/60) + 1</f>
        <v>4</v>
      </c>
      <c r="Q199">
        <v>80</v>
      </c>
      <c r="R199">
        <v>30</v>
      </c>
      <c r="S199">
        <v>6</v>
      </c>
    </row>
    <row r="200" spans="1:19" x14ac:dyDescent="0.25">
      <c r="A200">
        <v>18</v>
      </c>
      <c r="B200">
        <v>6</v>
      </c>
      <c r="C200">
        <v>3</v>
      </c>
      <c r="D200">
        <f>IF(A200=$N$2,1,0)</f>
        <v>0</v>
      </c>
      <c r="E200">
        <f>IF(A200=$M$2,1,0)</f>
        <v>0</v>
      </c>
      <c r="F200">
        <f t="shared" si="3"/>
        <v>3</v>
      </c>
      <c r="H200" s="1">
        <v>0.55486111111111103</v>
      </c>
      <c r="O200">
        <v>199</v>
      </c>
      <c r="P200" s="2">
        <f>TRUNC(O200/60) + 1</f>
        <v>4</v>
      </c>
      <c r="Q200">
        <v>18</v>
      </c>
      <c r="R200">
        <v>6</v>
      </c>
      <c r="S200">
        <v>3</v>
      </c>
    </row>
    <row r="201" spans="1:19" x14ac:dyDescent="0.25">
      <c r="A201">
        <v>62</v>
      </c>
      <c r="B201">
        <v>13</v>
      </c>
      <c r="C201">
        <v>4</v>
      </c>
      <c r="D201">
        <f>IF(A201=$N$2,1,0)</f>
        <v>0</v>
      </c>
      <c r="E201">
        <f>IF(A201=$M$2,1,0)</f>
        <v>0</v>
      </c>
      <c r="F201">
        <f t="shared" si="3"/>
        <v>4</v>
      </c>
      <c r="H201" s="1">
        <v>0.55555555555555503</v>
      </c>
      <c r="O201">
        <v>200</v>
      </c>
      <c r="P201" s="2">
        <f>TRUNC(O201/60) + 1</f>
        <v>4</v>
      </c>
      <c r="Q201">
        <v>62</v>
      </c>
      <c r="R201">
        <v>13</v>
      </c>
      <c r="S201">
        <v>4</v>
      </c>
    </row>
    <row r="202" spans="1:19" x14ac:dyDescent="0.25">
      <c r="A202">
        <v>100</v>
      </c>
      <c r="B202">
        <v>18</v>
      </c>
      <c r="C202">
        <v>5</v>
      </c>
      <c r="D202">
        <f>IF(A202=$N$2,1,0)</f>
        <v>0</v>
      </c>
      <c r="E202">
        <f>IF(A202=$M$2,1,0)</f>
        <v>1</v>
      </c>
      <c r="F202">
        <f t="shared" si="3"/>
        <v>5</v>
      </c>
      <c r="H202" s="1">
        <v>0.55624999999999902</v>
      </c>
      <c r="O202">
        <v>201</v>
      </c>
      <c r="P202" s="2">
        <f>TRUNC(O202/60) + 1</f>
        <v>4</v>
      </c>
      <c r="Q202">
        <v>100</v>
      </c>
      <c r="R202">
        <v>18</v>
      </c>
      <c r="S202">
        <v>5</v>
      </c>
    </row>
    <row r="203" spans="1:19" x14ac:dyDescent="0.25">
      <c r="A203">
        <v>88</v>
      </c>
      <c r="B203">
        <v>22</v>
      </c>
      <c r="C203">
        <v>10</v>
      </c>
      <c r="D203">
        <f>IF(A203=$N$2,1,0)</f>
        <v>0</v>
      </c>
      <c r="E203">
        <f>IF(A203=$M$2,1,0)</f>
        <v>0</v>
      </c>
      <c r="F203">
        <f t="shared" si="3"/>
        <v>6</v>
      </c>
      <c r="H203" s="1">
        <v>0.55694444444444402</v>
      </c>
      <c r="O203">
        <v>202</v>
      </c>
      <c r="P203" s="2">
        <f>TRUNC(O203/60) + 1</f>
        <v>4</v>
      </c>
      <c r="Q203">
        <v>88</v>
      </c>
      <c r="R203">
        <v>22</v>
      </c>
      <c r="S203">
        <v>10</v>
      </c>
    </row>
    <row r="204" spans="1:19" x14ac:dyDescent="0.25">
      <c r="A204">
        <v>86</v>
      </c>
      <c r="B204">
        <v>13</v>
      </c>
      <c r="C204">
        <v>8</v>
      </c>
      <c r="D204">
        <f>IF(A204=$N$2,1,0)</f>
        <v>0</v>
      </c>
      <c r="E204">
        <f>IF(A204=$M$2,1,0)</f>
        <v>0</v>
      </c>
      <c r="F204">
        <f t="shared" si="3"/>
        <v>7</v>
      </c>
      <c r="H204" s="1">
        <v>0.55763888888888802</v>
      </c>
      <c r="O204">
        <v>203</v>
      </c>
      <c r="P204" s="2">
        <f>TRUNC(O204/60) + 1</f>
        <v>4</v>
      </c>
      <c r="Q204">
        <v>86</v>
      </c>
      <c r="R204">
        <v>13</v>
      </c>
      <c r="S204">
        <v>8</v>
      </c>
    </row>
    <row r="205" spans="1:19" x14ac:dyDescent="0.25">
      <c r="A205">
        <v>64</v>
      </c>
      <c r="B205">
        <v>29</v>
      </c>
      <c r="C205">
        <v>3</v>
      </c>
      <c r="D205">
        <f>IF(A205=$N$2,1,0)</f>
        <v>0</v>
      </c>
      <c r="E205">
        <f>IF(A205=$M$2,1,0)</f>
        <v>0</v>
      </c>
      <c r="F205">
        <f t="shared" si="3"/>
        <v>8</v>
      </c>
      <c r="H205" s="1">
        <v>0.55833333333333302</v>
      </c>
      <c r="O205">
        <v>204</v>
      </c>
      <c r="P205" s="2">
        <f>TRUNC(O205/60) + 1</f>
        <v>4</v>
      </c>
      <c r="Q205">
        <v>64</v>
      </c>
      <c r="R205">
        <v>29</v>
      </c>
      <c r="S205">
        <v>3</v>
      </c>
    </row>
    <row r="206" spans="1:19" x14ac:dyDescent="0.25">
      <c r="A206">
        <v>83</v>
      </c>
      <c r="B206">
        <v>14</v>
      </c>
      <c r="C206">
        <v>9</v>
      </c>
      <c r="D206">
        <f>IF(A206=$N$2,1,0)</f>
        <v>0</v>
      </c>
      <c r="E206">
        <f>IF(A206=$M$2,1,0)</f>
        <v>0</v>
      </c>
      <c r="F206">
        <f t="shared" si="3"/>
        <v>9</v>
      </c>
      <c r="H206" s="1">
        <v>0.55902777777777701</v>
      </c>
      <c r="O206">
        <v>205</v>
      </c>
      <c r="P206" s="2">
        <f>TRUNC(O206/60) + 1</f>
        <v>4</v>
      </c>
      <c r="Q206">
        <v>83</v>
      </c>
      <c r="R206">
        <v>14</v>
      </c>
      <c r="S206">
        <v>9</v>
      </c>
    </row>
    <row r="207" spans="1:19" x14ac:dyDescent="0.25">
      <c r="A207">
        <v>43</v>
      </c>
      <c r="B207">
        <v>17</v>
      </c>
      <c r="C207">
        <v>5</v>
      </c>
      <c r="D207">
        <f>IF(A207=$N$2,1,0)</f>
        <v>0</v>
      </c>
      <c r="E207">
        <f>IF(A207=$M$2,1,0)</f>
        <v>0</v>
      </c>
      <c r="F207">
        <f t="shared" si="3"/>
        <v>10</v>
      </c>
      <c r="H207" s="1">
        <v>0.55972222222222201</v>
      </c>
      <c r="O207">
        <v>206</v>
      </c>
      <c r="P207" s="2">
        <f>TRUNC(O207/60) + 1</f>
        <v>4</v>
      </c>
      <c r="Q207">
        <v>43</v>
      </c>
      <c r="R207">
        <v>17</v>
      </c>
      <c r="S207">
        <v>5</v>
      </c>
    </row>
    <row r="208" spans="1:19" x14ac:dyDescent="0.25">
      <c r="A208">
        <v>22</v>
      </c>
      <c r="B208">
        <v>6</v>
      </c>
      <c r="C208">
        <v>7</v>
      </c>
      <c r="D208">
        <f>IF(A208=$N$2,1,0)</f>
        <v>0</v>
      </c>
      <c r="E208">
        <f>IF(A208=$M$2,1,0)</f>
        <v>0</v>
      </c>
      <c r="F208">
        <f t="shared" si="3"/>
        <v>0</v>
      </c>
      <c r="H208" s="1">
        <v>0.56041666666666601</v>
      </c>
      <c r="O208">
        <v>207</v>
      </c>
      <c r="P208" s="2">
        <f>TRUNC(O208/60) + 1</f>
        <v>4</v>
      </c>
      <c r="Q208">
        <v>22</v>
      </c>
      <c r="R208">
        <v>6</v>
      </c>
      <c r="S208">
        <v>7</v>
      </c>
    </row>
    <row r="209" spans="1:19" x14ac:dyDescent="0.25">
      <c r="A209">
        <v>52</v>
      </c>
      <c r="B209">
        <v>22</v>
      </c>
      <c r="C209">
        <v>1</v>
      </c>
      <c r="D209">
        <f>IF(A209=$N$2,1,0)</f>
        <v>0</v>
      </c>
      <c r="E209">
        <f>IF(A209=$M$2,1,0)</f>
        <v>0</v>
      </c>
      <c r="F209">
        <f t="shared" si="3"/>
        <v>1</v>
      </c>
      <c r="H209" s="1">
        <v>0.56111111111111001</v>
      </c>
      <c r="O209">
        <v>208</v>
      </c>
      <c r="P209" s="2">
        <f>TRUNC(O209/60) + 1</f>
        <v>4</v>
      </c>
      <c r="Q209">
        <v>52</v>
      </c>
      <c r="R209">
        <v>22</v>
      </c>
      <c r="S209">
        <v>1</v>
      </c>
    </row>
    <row r="210" spans="1:19" x14ac:dyDescent="0.25">
      <c r="A210">
        <v>90</v>
      </c>
      <c r="B210">
        <v>11</v>
      </c>
      <c r="C210">
        <v>10</v>
      </c>
      <c r="D210">
        <f>IF(A210=$N$2,1,0)</f>
        <v>0</v>
      </c>
      <c r="E210">
        <f>IF(A210=$M$2,1,0)</f>
        <v>0</v>
      </c>
      <c r="F210">
        <f t="shared" si="3"/>
        <v>2</v>
      </c>
      <c r="H210" s="1">
        <v>0.561805555555555</v>
      </c>
      <c r="O210">
        <v>209</v>
      </c>
      <c r="P210" s="2">
        <f>TRUNC(O210/60) + 1</f>
        <v>4</v>
      </c>
      <c r="Q210">
        <v>90</v>
      </c>
      <c r="R210">
        <v>11</v>
      </c>
      <c r="S210">
        <v>10</v>
      </c>
    </row>
    <row r="211" spans="1:19" x14ac:dyDescent="0.25">
      <c r="A211">
        <v>55</v>
      </c>
      <c r="B211">
        <v>11</v>
      </c>
      <c r="C211">
        <v>4</v>
      </c>
      <c r="D211">
        <f>IF(A211=$N$2,1,0)</f>
        <v>0</v>
      </c>
      <c r="E211">
        <f>IF(A211=$M$2,1,0)</f>
        <v>0</v>
      </c>
      <c r="F211">
        <f t="shared" si="3"/>
        <v>3</v>
      </c>
      <c r="H211" s="1">
        <v>0.562499999999999</v>
      </c>
      <c r="O211">
        <v>210</v>
      </c>
      <c r="P211" s="2">
        <f>TRUNC(O211/60) + 1</f>
        <v>4</v>
      </c>
      <c r="Q211">
        <v>55</v>
      </c>
      <c r="R211">
        <v>11</v>
      </c>
      <c r="S211">
        <v>4</v>
      </c>
    </row>
    <row r="212" spans="1:19" x14ac:dyDescent="0.25">
      <c r="A212">
        <v>78</v>
      </c>
      <c r="B212">
        <v>18</v>
      </c>
      <c r="C212">
        <v>8</v>
      </c>
      <c r="D212">
        <f>IF(A212=$N$2,1,0)</f>
        <v>0</v>
      </c>
      <c r="E212">
        <f>IF(A212=$M$2,1,0)</f>
        <v>0</v>
      </c>
      <c r="F212">
        <f t="shared" si="3"/>
        <v>4</v>
      </c>
      <c r="H212" s="1">
        <v>0.563194444444444</v>
      </c>
      <c r="O212">
        <v>211</v>
      </c>
      <c r="P212" s="2">
        <f>TRUNC(O212/60) + 1</f>
        <v>4</v>
      </c>
      <c r="Q212">
        <v>78</v>
      </c>
      <c r="R212">
        <v>18</v>
      </c>
      <c r="S212">
        <v>8</v>
      </c>
    </row>
    <row r="213" spans="1:19" x14ac:dyDescent="0.25">
      <c r="A213">
        <v>20</v>
      </c>
      <c r="B213">
        <v>7</v>
      </c>
      <c r="C213">
        <v>1</v>
      </c>
      <c r="D213">
        <f>IF(A213=$N$2,1,0)</f>
        <v>0</v>
      </c>
      <c r="E213">
        <f>IF(A213=$M$2,1,0)</f>
        <v>0</v>
      </c>
      <c r="F213">
        <f t="shared" si="3"/>
        <v>5</v>
      </c>
      <c r="H213" s="1">
        <v>0.563888888888888</v>
      </c>
      <c r="O213">
        <v>212</v>
      </c>
      <c r="P213" s="2">
        <f>TRUNC(O213/60) + 1</f>
        <v>4</v>
      </c>
      <c r="Q213">
        <v>20</v>
      </c>
      <c r="R213">
        <v>7</v>
      </c>
      <c r="S213">
        <v>1</v>
      </c>
    </row>
    <row r="214" spans="1:19" x14ac:dyDescent="0.25">
      <c r="A214">
        <v>29</v>
      </c>
      <c r="B214">
        <v>20</v>
      </c>
      <c r="C214">
        <v>6</v>
      </c>
      <c r="D214">
        <f>IF(A214=$N$2,1,0)</f>
        <v>0</v>
      </c>
      <c r="E214">
        <f>IF(A214=$M$2,1,0)</f>
        <v>0</v>
      </c>
      <c r="F214">
        <f t="shared" si="3"/>
        <v>6</v>
      </c>
      <c r="H214" s="1">
        <v>0.56458333333333299</v>
      </c>
      <c r="O214">
        <v>213</v>
      </c>
      <c r="P214" s="2">
        <f>TRUNC(O214/60) + 1</f>
        <v>4</v>
      </c>
      <c r="Q214">
        <v>29</v>
      </c>
      <c r="R214">
        <v>20</v>
      </c>
      <c r="S214">
        <v>6</v>
      </c>
    </row>
    <row r="215" spans="1:19" x14ac:dyDescent="0.25">
      <c r="A215">
        <v>91</v>
      </c>
      <c r="B215">
        <v>30</v>
      </c>
      <c r="C215">
        <v>7</v>
      </c>
      <c r="D215">
        <f>IF(A215=$N$2,1,0)</f>
        <v>0</v>
      </c>
      <c r="E215">
        <f>IF(A215=$M$2,1,0)</f>
        <v>0</v>
      </c>
      <c r="F215">
        <f t="shared" si="3"/>
        <v>7</v>
      </c>
      <c r="H215" s="1">
        <v>0.56527777777777699</v>
      </c>
      <c r="O215">
        <v>214</v>
      </c>
      <c r="P215" s="2">
        <f>TRUNC(O215/60) + 1</f>
        <v>4</v>
      </c>
      <c r="Q215">
        <v>91</v>
      </c>
      <c r="R215">
        <v>30</v>
      </c>
      <c r="S215">
        <v>7</v>
      </c>
    </row>
    <row r="216" spans="1:19" x14ac:dyDescent="0.25">
      <c r="A216">
        <v>10</v>
      </c>
      <c r="B216">
        <v>6</v>
      </c>
      <c r="C216">
        <v>6</v>
      </c>
      <c r="D216">
        <f>IF(A216=$N$2,1,0)</f>
        <v>1</v>
      </c>
      <c r="E216">
        <f>IF(A216=$M$2,1,0)</f>
        <v>0</v>
      </c>
      <c r="F216">
        <f t="shared" si="3"/>
        <v>0</v>
      </c>
      <c r="H216" s="1">
        <v>0.56597222222222199</v>
      </c>
      <c r="O216">
        <v>215</v>
      </c>
      <c r="P216" s="2">
        <f>TRUNC(O216/60) + 1</f>
        <v>4</v>
      </c>
      <c r="Q216">
        <v>10</v>
      </c>
      <c r="R216">
        <v>6</v>
      </c>
      <c r="S216">
        <v>6</v>
      </c>
    </row>
    <row r="217" spans="1:19" x14ac:dyDescent="0.25">
      <c r="A217">
        <v>58</v>
      </c>
      <c r="B217">
        <v>7</v>
      </c>
      <c r="C217">
        <v>4</v>
      </c>
      <c r="D217">
        <f>IF(A217=$N$2,1,0)</f>
        <v>0</v>
      </c>
      <c r="E217">
        <f>IF(A217=$M$2,1,0)</f>
        <v>0</v>
      </c>
      <c r="F217">
        <f t="shared" si="3"/>
        <v>1</v>
      </c>
      <c r="H217" s="1">
        <v>0.56666666666666599</v>
      </c>
      <c r="O217">
        <v>216</v>
      </c>
      <c r="P217" s="2">
        <f>TRUNC(O217/60) + 1</f>
        <v>4</v>
      </c>
      <c r="Q217">
        <v>58</v>
      </c>
      <c r="R217">
        <v>7</v>
      </c>
      <c r="S217">
        <v>4</v>
      </c>
    </row>
    <row r="218" spans="1:19" x14ac:dyDescent="0.25">
      <c r="A218">
        <v>81</v>
      </c>
      <c r="B218">
        <v>16</v>
      </c>
      <c r="C218">
        <v>6</v>
      </c>
      <c r="D218">
        <f>IF(A218=$N$2,1,0)</f>
        <v>0</v>
      </c>
      <c r="E218">
        <f>IF(A218=$M$2,1,0)</f>
        <v>0</v>
      </c>
      <c r="F218">
        <f t="shared" si="3"/>
        <v>2</v>
      </c>
      <c r="H218" s="1">
        <v>0.56736111111110998</v>
      </c>
      <c r="O218">
        <v>217</v>
      </c>
      <c r="P218" s="2">
        <f>TRUNC(O218/60) + 1</f>
        <v>4</v>
      </c>
      <c r="Q218">
        <v>81</v>
      </c>
      <c r="R218">
        <v>16</v>
      </c>
      <c r="S218">
        <v>6</v>
      </c>
    </row>
    <row r="219" spans="1:19" x14ac:dyDescent="0.25">
      <c r="A219">
        <v>49</v>
      </c>
      <c r="B219">
        <v>11</v>
      </c>
      <c r="C219">
        <v>3</v>
      </c>
      <c r="D219">
        <f>IF(A219=$N$2,1,0)</f>
        <v>0</v>
      </c>
      <c r="E219">
        <f>IF(A219=$M$2,1,0)</f>
        <v>0</v>
      </c>
      <c r="F219">
        <f t="shared" si="3"/>
        <v>3</v>
      </c>
      <c r="H219" s="1">
        <v>0.56805555555555498</v>
      </c>
      <c r="O219">
        <v>218</v>
      </c>
      <c r="P219" s="2">
        <f>TRUNC(O219/60) + 1</f>
        <v>4</v>
      </c>
      <c r="Q219">
        <v>49</v>
      </c>
      <c r="R219">
        <v>11</v>
      </c>
      <c r="S219">
        <v>3</v>
      </c>
    </row>
    <row r="220" spans="1:19" x14ac:dyDescent="0.25">
      <c r="A220">
        <v>91</v>
      </c>
      <c r="B220">
        <v>18</v>
      </c>
      <c r="C220">
        <v>8</v>
      </c>
      <c r="D220">
        <f>IF(A220=$N$2,1,0)</f>
        <v>0</v>
      </c>
      <c r="E220">
        <f>IF(A220=$M$2,1,0)</f>
        <v>0</v>
      </c>
      <c r="F220">
        <f t="shared" si="3"/>
        <v>4</v>
      </c>
      <c r="H220" s="1">
        <v>0.56874999999999898</v>
      </c>
      <c r="O220">
        <v>219</v>
      </c>
      <c r="P220" s="2">
        <f>TRUNC(O220/60) + 1</f>
        <v>4</v>
      </c>
      <c r="Q220">
        <v>91</v>
      </c>
      <c r="R220">
        <v>18</v>
      </c>
      <c r="S220">
        <v>8</v>
      </c>
    </row>
    <row r="221" spans="1:19" x14ac:dyDescent="0.25">
      <c r="A221">
        <v>24</v>
      </c>
      <c r="B221">
        <v>11</v>
      </c>
      <c r="C221">
        <v>1</v>
      </c>
      <c r="D221">
        <f>IF(A221=$N$2,1,0)</f>
        <v>0</v>
      </c>
      <c r="E221">
        <f>IF(A221=$M$2,1,0)</f>
        <v>0</v>
      </c>
      <c r="F221">
        <f t="shared" si="3"/>
        <v>5</v>
      </c>
      <c r="H221" s="1">
        <v>0.56944444444444398</v>
      </c>
      <c r="O221">
        <v>220</v>
      </c>
      <c r="P221" s="2">
        <f>TRUNC(O221/60) + 1</f>
        <v>4</v>
      </c>
      <c r="Q221">
        <v>24</v>
      </c>
      <c r="R221">
        <v>11</v>
      </c>
      <c r="S221">
        <v>1</v>
      </c>
    </row>
    <row r="222" spans="1:19" x14ac:dyDescent="0.25">
      <c r="A222">
        <v>15</v>
      </c>
      <c r="B222">
        <v>5</v>
      </c>
      <c r="C222">
        <v>6</v>
      </c>
      <c r="D222">
        <f>IF(A222=$N$2,1,0)</f>
        <v>0</v>
      </c>
      <c r="E222">
        <f>IF(A222=$M$2,1,0)</f>
        <v>0</v>
      </c>
      <c r="F222">
        <f t="shared" si="3"/>
        <v>0</v>
      </c>
      <c r="H222" s="1">
        <v>0.57013888888888797</v>
      </c>
      <c r="O222">
        <v>221</v>
      </c>
      <c r="P222" s="2">
        <f>TRUNC(O222/60) + 1</f>
        <v>4</v>
      </c>
      <c r="Q222">
        <v>15</v>
      </c>
      <c r="R222">
        <v>5</v>
      </c>
      <c r="S222">
        <v>6</v>
      </c>
    </row>
    <row r="223" spans="1:19" x14ac:dyDescent="0.25">
      <c r="A223">
        <v>86</v>
      </c>
      <c r="B223">
        <v>27</v>
      </c>
      <c r="C223">
        <v>4</v>
      </c>
      <c r="D223">
        <f>IF(A223=$N$2,1,0)</f>
        <v>0</v>
      </c>
      <c r="E223">
        <f>IF(A223=$M$2,1,0)</f>
        <v>0</v>
      </c>
      <c r="F223">
        <f t="shared" si="3"/>
        <v>1</v>
      </c>
      <c r="H223" s="1">
        <v>0.57083333333333297</v>
      </c>
      <c r="O223">
        <v>222</v>
      </c>
      <c r="P223" s="2">
        <f>TRUNC(O223/60) + 1</f>
        <v>4</v>
      </c>
      <c r="Q223">
        <v>86</v>
      </c>
      <c r="R223">
        <v>27</v>
      </c>
      <c r="S223">
        <v>4</v>
      </c>
    </row>
    <row r="224" spans="1:19" x14ac:dyDescent="0.25">
      <c r="A224">
        <v>31</v>
      </c>
      <c r="B224">
        <v>18</v>
      </c>
      <c r="C224">
        <v>9</v>
      </c>
      <c r="D224">
        <f>IF(A224=$N$2,1,0)</f>
        <v>0</v>
      </c>
      <c r="E224">
        <f>IF(A224=$M$2,1,0)</f>
        <v>0</v>
      </c>
      <c r="F224">
        <f t="shared" si="3"/>
        <v>2</v>
      </c>
      <c r="H224" s="1">
        <v>0.57152777777777697</v>
      </c>
      <c r="O224">
        <v>223</v>
      </c>
      <c r="P224" s="2">
        <f>TRUNC(O224/60) + 1</f>
        <v>4</v>
      </c>
      <c r="Q224">
        <v>31</v>
      </c>
      <c r="R224">
        <v>18</v>
      </c>
      <c r="S224">
        <v>9</v>
      </c>
    </row>
    <row r="225" spans="1:19" x14ac:dyDescent="0.25">
      <c r="A225">
        <v>70</v>
      </c>
      <c r="B225">
        <v>27</v>
      </c>
      <c r="C225">
        <v>3</v>
      </c>
      <c r="D225">
        <f>IF(A225=$N$2,1,0)</f>
        <v>0</v>
      </c>
      <c r="E225">
        <f>IF(A225=$M$2,1,0)</f>
        <v>0</v>
      </c>
      <c r="F225">
        <f t="shared" si="3"/>
        <v>3</v>
      </c>
      <c r="H225" s="1">
        <v>0.57222222222222197</v>
      </c>
      <c r="O225">
        <v>224</v>
      </c>
      <c r="P225" s="2">
        <f>TRUNC(O225/60) + 1</f>
        <v>4</v>
      </c>
      <c r="Q225">
        <v>70</v>
      </c>
      <c r="R225">
        <v>27</v>
      </c>
      <c r="S225">
        <v>3</v>
      </c>
    </row>
    <row r="226" spans="1:19" x14ac:dyDescent="0.25">
      <c r="A226">
        <v>48</v>
      </c>
      <c r="B226">
        <v>18</v>
      </c>
      <c r="C226">
        <v>4</v>
      </c>
      <c r="D226">
        <f>IF(A226=$N$2,1,0)</f>
        <v>0</v>
      </c>
      <c r="E226">
        <f>IF(A226=$M$2,1,0)</f>
        <v>0</v>
      </c>
      <c r="F226">
        <f t="shared" si="3"/>
        <v>4</v>
      </c>
      <c r="H226" s="1">
        <v>0.57291666666666596</v>
      </c>
      <c r="O226">
        <v>225</v>
      </c>
      <c r="P226" s="2">
        <f>TRUNC(O226/60) + 1</f>
        <v>4</v>
      </c>
      <c r="Q226">
        <v>48</v>
      </c>
      <c r="R226">
        <v>18</v>
      </c>
      <c r="S226">
        <v>4</v>
      </c>
    </row>
    <row r="227" spans="1:19" x14ac:dyDescent="0.25">
      <c r="A227">
        <v>28</v>
      </c>
      <c r="B227">
        <v>17</v>
      </c>
      <c r="C227">
        <v>5</v>
      </c>
      <c r="D227">
        <f>IF(A227=$N$2,1,0)</f>
        <v>0</v>
      </c>
      <c r="E227">
        <f>IF(A227=$M$2,1,0)</f>
        <v>0</v>
      </c>
      <c r="F227">
        <f t="shared" si="3"/>
        <v>5</v>
      </c>
      <c r="H227" s="1">
        <v>0.57361111111110996</v>
      </c>
      <c r="O227">
        <v>226</v>
      </c>
      <c r="P227" s="2">
        <f>TRUNC(O227/60) + 1</f>
        <v>4</v>
      </c>
      <c r="Q227">
        <v>28</v>
      </c>
      <c r="R227">
        <v>17</v>
      </c>
      <c r="S227">
        <v>5</v>
      </c>
    </row>
    <row r="228" spans="1:19" x14ac:dyDescent="0.25">
      <c r="A228">
        <v>75</v>
      </c>
      <c r="B228">
        <v>27</v>
      </c>
      <c r="C228">
        <v>5</v>
      </c>
      <c r="D228">
        <f>IF(A228=$N$2,1,0)</f>
        <v>0</v>
      </c>
      <c r="E228">
        <f>IF(A228=$M$2,1,0)</f>
        <v>0</v>
      </c>
      <c r="F228">
        <f t="shared" si="3"/>
        <v>6</v>
      </c>
      <c r="H228" s="1">
        <v>0.57430555555555496</v>
      </c>
      <c r="O228">
        <v>227</v>
      </c>
      <c r="P228" s="2">
        <f>TRUNC(O228/60) + 1</f>
        <v>4</v>
      </c>
      <c r="Q228">
        <v>75</v>
      </c>
      <c r="R228">
        <v>27</v>
      </c>
      <c r="S228">
        <v>5</v>
      </c>
    </row>
    <row r="229" spans="1:19" x14ac:dyDescent="0.25">
      <c r="A229">
        <v>56</v>
      </c>
      <c r="B229">
        <v>19</v>
      </c>
      <c r="C229">
        <v>2</v>
      </c>
      <c r="D229">
        <f>IF(A229=$N$2,1,0)</f>
        <v>0</v>
      </c>
      <c r="E229">
        <f>IF(A229=$M$2,1,0)</f>
        <v>0</v>
      </c>
      <c r="F229">
        <f t="shared" si="3"/>
        <v>7</v>
      </c>
      <c r="H229" s="1">
        <v>0.57499999999999896</v>
      </c>
      <c r="O229">
        <v>228</v>
      </c>
      <c r="P229" s="2">
        <f>TRUNC(O229/60) + 1</f>
        <v>4</v>
      </c>
      <c r="Q229">
        <v>56</v>
      </c>
      <c r="R229">
        <v>19</v>
      </c>
      <c r="S229">
        <v>2</v>
      </c>
    </row>
    <row r="230" spans="1:19" x14ac:dyDescent="0.25">
      <c r="A230">
        <v>22</v>
      </c>
      <c r="B230">
        <v>16</v>
      </c>
      <c r="C230">
        <v>1</v>
      </c>
      <c r="D230">
        <f>IF(A230=$N$2,1,0)</f>
        <v>0</v>
      </c>
      <c r="E230">
        <f>IF(A230=$M$2,1,0)</f>
        <v>0</v>
      </c>
      <c r="F230">
        <f t="shared" si="3"/>
        <v>8</v>
      </c>
      <c r="H230" s="1">
        <v>0.57569444444444395</v>
      </c>
      <c r="O230">
        <v>229</v>
      </c>
      <c r="P230" s="2">
        <f>TRUNC(O230/60) + 1</f>
        <v>4</v>
      </c>
      <c r="Q230">
        <v>22</v>
      </c>
      <c r="R230">
        <v>16</v>
      </c>
      <c r="S230">
        <v>1</v>
      </c>
    </row>
    <row r="231" spans="1:19" x14ac:dyDescent="0.25">
      <c r="A231">
        <v>78</v>
      </c>
      <c r="B231">
        <v>17</v>
      </c>
      <c r="C231">
        <v>9</v>
      </c>
      <c r="D231">
        <f>IF(A231=$N$2,1,0)</f>
        <v>0</v>
      </c>
      <c r="E231">
        <f>IF(A231=$M$2,1,0)</f>
        <v>0</v>
      </c>
      <c r="F231">
        <f t="shared" si="3"/>
        <v>9</v>
      </c>
      <c r="H231" s="1">
        <v>0.57638888888888795</v>
      </c>
      <c r="O231">
        <v>230</v>
      </c>
      <c r="P231" s="2">
        <f>TRUNC(O231/60) + 1</f>
        <v>4</v>
      </c>
      <c r="Q231">
        <v>78</v>
      </c>
      <c r="R231">
        <v>17</v>
      </c>
      <c r="S231">
        <v>9</v>
      </c>
    </row>
    <row r="232" spans="1:19" x14ac:dyDescent="0.25">
      <c r="A232">
        <v>14</v>
      </c>
      <c r="B232">
        <v>19</v>
      </c>
      <c r="C232">
        <v>9</v>
      </c>
      <c r="D232">
        <f>IF(A232=$N$2,1,0)</f>
        <v>0</v>
      </c>
      <c r="E232">
        <f>IF(A232=$M$2,1,0)</f>
        <v>0</v>
      </c>
      <c r="F232">
        <f t="shared" si="3"/>
        <v>0</v>
      </c>
      <c r="H232" s="1">
        <v>0.57708333333333295</v>
      </c>
      <c r="O232">
        <v>231</v>
      </c>
      <c r="P232" s="2">
        <f>TRUNC(O232/60) + 1</f>
        <v>4</v>
      </c>
      <c r="Q232">
        <v>14</v>
      </c>
      <c r="R232">
        <v>19</v>
      </c>
      <c r="S232">
        <v>9</v>
      </c>
    </row>
    <row r="233" spans="1:19" x14ac:dyDescent="0.25">
      <c r="A233">
        <v>49</v>
      </c>
      <c r="B233">
        <v>15</v>
      </c>
      <c r="C233">
        <v>3</v>
      </c>
      <c r="D233">
        <f>IF(A233=$N$2,1,0)</f>
        <v>0</v>
      </c>
      <c r="E233">
        <f>IF(A233=$M$2,1,0)</f>
        <v>0</v>
      </c>
      <c r="F233">
        <f t="shared" si="3"/>
        <v>1</v>
      </c>
      <c r="H233" s="1">
        <v>0.57777777777777695</v>
      </c>
      <c r="O233">
        <v>232</v>
      </c>
      <c r="P233" s="2">
        <f>TRUNC(O233/60) + 1</f>
        <v>4</v>
      </c>
      <c r="Q233">
        <v>49</v>
      </c>
      <c r="R233">
        <v>15</v>
      </c>
      <c r="S233">
        <v>3</v>
      </c>
    </row>
    <row r="234" spans="1:19" x14ac:dyDescent="0.25">
      <c r="A234">
        <v>46</v>
      </c>
      <c r="B234">
        <v>28</v>
      </c>
      <c r="C234">
        <v>10</v>
      </c>
      <c r="D234">
        <f>IF(A234=$N$2,1,0)</f>
        <v>0</v>
      </c>
      <c r="E234">
        <f>IF(A234=$M$2,1,0)</f>
        <v>0</v>
      </c>
      <c r="F234">
        <f t="shared" si="3"/>
        <v>2</v>
      </c>
      <c r="H234" s="1">
        <v>0.57847222222222205</v>
      </c>
      <c r="O234">
        <v>233</v>
      </c>
      <c r="P234" s="2">
        <f>TRUNC(O234/60) + 1</f>
        <v>4</v>
      </c>
      <c r="Q234">
        <v>46</v>
      </c>
      <c r="R234">
        <v>28</v>
      </c>
      <c r="S234">
        <v>10</v>
      </c>
    </row>
    <row r="235" spans="1:19" x14ac:dyDescent="0.25">
      <c r="A235">
        <v>57</v>
      </c>
      <c r="B235">
        <v>13</v>
      </c>
      <c r="C235">
        <v>4</v>
      </c>
      <c r="D235">
        <f>IF(A235=$N$2,1,0)</f>
        <v>0</v>
      </c>
      <c r="E235">
        <f>IF(A235=$M$2,1,0)</f>
        <v>0</v>
      </c>
      <c r="F235">
        <f t="shared" si="3"/>
        <v>3</v>
      </c>
      <c r="H235" s="1">
        <v>0.57916666666666605</v>
      </c>
      <c r="O235">
        <v>234</v>
      </c>
      <c r="P235" s="2">
        <f>TRUNC(O235/60) + 1</f>
        <v>4</v>
      </c>
      <c r="Q235">
        <v>57</v>
      </c>
      <c r="R235">
        <v>13</v>
      </c>
      <c r="S235">
        <v>4</v>
      </c>
    </row>
    <row r="236" spans="1:19" x14ac:dyDescent="0.25">
      <c r="A236">
        <v>27</v>
      </c>
      <c r="B236">
        <v>10</v>
      </c>
      <c r="C236">
        <v>8</v>
      </c>
      <c r="D236">
        <f>IF(A236=$N$2,1,0)</f>
        <v>0</v>
      </c>
      <c r="E236">
        <f>IF(A236=$M$2,1,0)</f>
        <v>0</v>
      </c>
      <c r="F236">
        <f t="shared" si="3"/>
        <v>4</v>
      </c>
      <c r="H236" s="1">
        <v>0.57986111111111005</v>
      </c>
      <c r="O236">
        <v>235</v>
      </c>
      <c r="P236" s="2">
        <f>TRUNC(O236/60) + 1</f>
        <v>4</v>
      </c>
      <c r="Q236">
        <v>27</v>
      </c>
      <c r="R236">
        <v>10</v>
      </c>
      <c r="S236">
        <v>8</v>
      </c>
    </row>
    <row r="237" spans="1:19" x14ac:dyDescent="0.25">
      <c r="A237">
        <v>57</v>
      </c>
      <c r="B237">
        <v>5</v>
      </c>
      <c r="C237">
        <v>8</v>
      </c>
      <c r="D237">
        <f>IF(A237=$N$2,1,0)</f>
        <v>0</v>
      </c>
      <c r="E237">
        <f>IF(A237=$M$2,1,0)</f>
        <v>0</v>
      </c>
      <c r="F237">
        <f t="shared" si="3"/>
        <v>0</v>
      </c>
      <c r="H237" s="1">
        <v>0.58055555555555505</v>
      </c>
      <c r="O237">
        <v>236</v>
      </c>
      <c r="P237" s="2">
        <f>TRUNC(O237/60) + 1</f>
        <v>4</v>
      </c>
      <c r="Q237">
        <v>57</v>
      </c>
      <c r="R237">
        <v>5</v>
      </c>
      <c r="S237">
        <v>8</v>
      </c>
    </row>
    <row r="238" spans="1:19" x14ac:dyDescent="0.25">
      <c r="A238">
        <v>21</v>
      </c>
      <c r="B238">
        <v>5</v>
      </c>
      <c r="C238">
        <v>5</v>
      </c>
      <c r="D238">
        <f>IF(A238=$N$2,1,0)</f>
        <v>0</v>
      </c>
      <c r="E238">
        <f>IF(A238=$M$2,1,0)</f>
        <v>0</v>
      </c>
      <c r="F238">
        <f t="shared" si="3"/>
        <v>0</v>
      </c>
      <c r="H238" s="1">
        <v>0.58124999999999905</v>
      </c>
      <c r="O238">
        <v>237</v>
      </c>
      <c r="P238" s="2">
        <f>TRUNC(O238/60) + 1</f>
        <v>4</v>
      </c>
      <c r="Q238">
        <v>21</v>
      </c>
      <c r="R238">
        <v>5</v>
      </c>
      <c r="S238">
        <v>5</v>
      </c>
    </row>
    <row r="239" spans="1:19" x14ac:dyDescent="0.25">
      <c r="A239">
        <v>15</v>
      </c>
      <c r="B239">
        <v>11</v>
      </c>
      <c r="C239">
        <v>1</v>
      </c>
      <c r="D239">
        <f>IF(A239=$N$2,1,0)</f>
        <v>0</v>
      </c>
      <c r="E239">
        <f>IF(A239=$M$2,1,0)</f>
        <v>0</v>
      </c>
      <c r="F239">
        <f t="shared" si="3"/>
        <v>1</v>
      </c>
      <c r="H239" s="1">
        <v>0.58194444444444404</v>
      </c>
      <c r="O239">
        <v>238</v>
      </c>
      <c r="P239" s="2">
        <f>TRUNC(O239/60) + 1</f>
        <v>4</v>
      </c>
      <c r="Q239">
        <v>15</v>
      </c>
      <c r="R239">
        <v>11</v>
      </c>
      <c r="S239">
        <v>1</v>
      </c>
    </row>
    <row r="240" spans="1:19" x14ac:dyDescent="0.25">
      <c r="A240">
        <v>12</v>
      </c>
      <c r="B240">
        <v>6</v>
      </c>
      <c r="C240">
        <v>2</v>
      </c>
      <c r="D240">
        <f>IF(A240=$N$2,1,0)</f>
        <v>0</v>
      </c>
      <c r="E240">
        <f>IF(A240=$M$2,1,0)</f>
        <v>0</v>
      </c>
      <c r="F240">
        <f t="shared" si="3"/>
        <v>2</v>
      </c>
      <c r="H240" s="1">
        <v>0.58263888888888804</v>
      </c>
      <c r="O240">
        <v>239</v>
      </c>
      <c r="P240" s="2">
        <f>TRUNC(O240/60) + 1</f>
        <v>4</v>
      </c>
      <c r="Q240">
        <v>12</v>
      </c>
      <c r="R240">
        <v>6</v>
      </c>
      <c r="S240">
        <v>2</v>
      </c>
    </row>
    <row r="241" spans="1:19" x14ac:dyDescent="0.25">
      <c r="A241">
        <v>84</v>
      </c>
      <c r="B241">
        <v>26</v>
      </c>
      <c r="C241">
        <v>6</v>
      </c>
      <c r="D241">
        <f>IF(A241=$N$2,1,0)</f>
        <v>0</v>
      </c>
      <c r="E241">
        <f>IF(A241=$M$2,1,0)</f>
        <v>0</v>
      </c>
      <c r="F241">
        <f t="shared" si="3"/>
        <v>3</v>
      </c>
      <c r="H241" s="1">
        <v>0.58333333333333304</v>
      </c>
      <c r="O241">
        <v>240</v>
      </c>
      <c r="P241" s="2">
        <f>TRUNC(O241/60) + 1</f>
        <v>5</v>
      </c>
      <c r="Q241">
        <v>84</v>
      </c>
      <c r="R241">
        <v>26</v>
      </c>
      <c r="S241">
        <v>6</v>
      </c>
    </row>
    <row r="242" spans="1:19" x14ac:dyDescent="0.25">
      <c r="A242">
        <v>73</v>
      </c>
      <c r="B242">
        <v>21</v>
      </c>
      <c r="C242">
        <v>2</v>
      </c>
      <c r="D242">
        <f>IF(A242=$N$2,1,0)</f>
        <v>0</v>
      </c>
      <c r="E242">
        <f>IF(A242=$M$2,1,0)</f>
        <v>0</v>
      </c>
      <c r="F242">
        <f t="shared" si="3"/>
        <v>4</v>
      </c>
      <c r="H242" s="1">
        <v>0.58402777777777704</v>
      </c>
      <c r="O242">
        <v>241</v>
      </c>
      <c r="P242" s="2">
        <f>TRUNC(O242/60) + 1</f>
        <v>5</v>
      </c>
      <c r="Q242">
        <v>73</v>
      </c>
      <c r="R242">
        <v>21</v>
      </c>
      <c r="S242">
        <v>2</v>
      </c>
    </row>
    <row r="243" spans="1:19" x14ac:dyDescent="0.25">
      <c r="A243">
        <v>94</v>
      </c>
      <c r="B243">
        <v>10</v>
      </c>
      <c r="C243">
        <v>5</v>
      </c>
      <c r="D243">
        <f>IF(A243=$N$2,1,0)</f>
        <v>0</v>
      </c>
      <c r="E243">
        <f>IF(A243=$M$2,1,0)</f>
        <v>0</v>
      </c>
      <c r="F243">
        <f t="shared" si="3"/>
        <v>5</v>
      </c>
      <c r="H243" s="1">
        <v>0.58472222222222203</v>
      </c>
      <c r="O243">
        <v>242</v>
      </c>
      <c r="P243" s="2">
        <f>TRUNC(O243/60) + 1</f>
        <v>5</v>
      </c>
      <c r="Q243">
        <v>94</v>
      </c>
      <c r="R243">
        <v>10</v>
      </c>
      <c r="S243">
        <v>5</v>
      </c>
    </row>
    <row r="244" spans="1:19" x14ac:dyDescent="0.25">
      <c r="A244">
        <v>21</v>
      </c>
      <c r="B244">
        <v>29</v>
      </c>
      <c r="C244">
        <v>4</v>
      </c>
      <c r="D244">
        <f>IF(A244=$N$2,1,0)</f>
        <v>0</v>
      </c>
      <c r="E244">
        <f>IF(A244=$M$2,1,0)</f>
        <v>0</v>
      </c>
      <c r="F244">
        <f t="shared" si="3"/>
        <v>0</v>
      </c>
      <c r="H244" s="1">
        <v>0.58541666666666603</v>
      </c>
      <c r="O244">
        <v>243</v>
      </c>
      <c r="P244" s="2">
        <f>TRUNC(O244/60) + 1</f>
        <v>5</v>
      </c>
      <c r="Q244">
        <v>21</v>
      </c>
      <c r="R244">
        <v>29</v>
      </c>
      <c r="S244">
        <v>4</v>
      </c>
    </row>
    <row r="245" spans="1:19" x14ac:dyDescent="0.25">
      <c r="A245">
        <v>31</v>
      </c>
      <c r="B245">
        <v>18</v>
      </c>
      <c r="C245">
        <v>5</v>
      </c>
      <c r="D245">
        <f>IF(A245=$N$2,1,0)</f>
        <v>0</v>
      </c>
      <c r="E245">
        <f>IF(A245=$M$2,1,0)</f>
        <v>0</v>
      </c>
      <c r="F245">
        <f t="shared" si="3"/>
        <v>1</v>
      </c>
      <c r="H245" s="1">
        <v>0.58611111111111003</v>
      </c>
      <c r="O245">
        <v>244</v>
      </c>
      <c r="P245" s="2">
        <f>TRUNC(O245/60) + 1</f>
        <v>5</v>
      </c>
      <c r="Q245">
        <v>31</v>
      </c>
      <c r="R245">
        <v>18</v>
      </c>
      <c r="S245">
        <v>5</v>
      </c>
    </row>
    <row r="246" spans="1:19" x14ac:dyDescent="0.25">
      <c r="A246">
        <v>41</v>
      </c>
      <c r="B246">
        <v>17</v>
      </c>
      <c r="C246">
        <v>2</v>
      </c>
      <c r="D246">
        <f>IF(A246=$N$2,1,0)</f>
        <v>0</v>
      </c>
      <c r="E246">
        <f>IF(A246=$M$2,1,0)</f>
        <v>0</v>
      </c>
      <c r="F246">
        <f t="shared" si="3"/>
        <v>2</v>
      </c>
      <c r="H246" s="1">
        <v>0.58680555555555503</v>
      </c>
      <c r="O246">
        <v>245</v>
      </c>
      <c r="P246" s="2">
        <f>TRUNC(O246/60) + 1</f>
        <v>5</v>
      </c>
      <c r="Q246">
        <v>41</v>
      </c>
      <c r="R246">
        <v>17</v>
      </c>
      <c r="S246">
        <v>2</v>
      </c>
    </row>
    <row r="247" spans="1:19" x14ac:dyDescent="0.25">
      <c r="A247">
        <v>41</v>
      </c>
      <c r="B247">
        <v>18</v>
      </c>
      <c r="C247">
        <v>6</v>
      </c>
      <c r="D247">
        <f>IF(A247=$N$2,1,0)</f>
        <v>0</v>
      </c>
      <c r="E247">
        <f>IF(A247=$M$2,1,0)</f>
        <v>0</v>
      </c>
      <c r="F247">
        <f t="shared" si="3"/>
        <v>3</v>
      </c>
      <c r="H247" s="1">
        <v>0.58749999999999902</v>
      </c>
      <c r="O247">
        <v>246</v>
      </c>
      <c r="P247" s="2">
        <f>TRUNC(O247/60) + 1</f>
        <v>5</v>
      </c>
      <c r="Q247">
        <v>41</v>
      </c>
      <c r="R247">
        <v>18</v>
      </c>
      <c r="S247">
        <v>6</v>
      </c>
    </row>
    <row r="248" spans="1:19" x14ac:dyDescent="0.25">
      <c r="A248">
        <v>12</v>
      </c>
      <c r="B248">
        <v>17</v>
      </c>
      <c r="C248">
        <v>9</v>
      </c>
      <c r="D248">
        <f>IF(A248=$N$2,1,0)</f>
        <v>0</v>
      </c>
      <c r="E248">
        <f>IF(A248=$M$2,1,0)</f>
        <v>0</v>
      </c>
      <c r="F248">
        <f t="shared" si="3"/>
        <v>0</v>
      </c>
      <c r="H248" s="1">
        <v>0.58819444444444402</v>
      </c>
      <c r="O248">
        <v>247</v>
      </c>
      <c r="P248" s="2">
        <f>TRUNC(O248/60) + 1</f>
        <v>5</v>
      </c>
      <c r="Q248">
        <v>12</v>
      </c>
      <c r="R248">
        <v>17</v>
      </c>
      <c r="S248">
        <v>9</v>
      </c>
    </row>
    <row r="249" spans="1:19" x14ac:dyDescent="0.25">
      <c r="A249">
        <v>59</v>
      </c>
      <c r="B249">
        <v>23</v>
      </c>
      <c r="C249">
        <v>10</v>
      </c>
      <c r="D249">
        <f>IF(A249=$N$2,1,0)</f>
        <v>0</v>
      </c>
      <c r="E249">
        <f>IF(A249=$M$2,1,0)</f>
        <v>0</v>
      </c>
      <c r="F249">
        <f t="shared" si="3"/>
        <v>1</v>
      </c>
      <c r="H249" s="1">
        <v>0.58888888888888802</v>
      </c>
      <c r="O249">
        <v>248</v>
      </c>
      <c r="P249" s="2">
        <f>TRUNC(O249/60) + 1</f>
        <v>5</v>
      </c>
      <c r="Q249">
        <v>59</v>
      </c>
      <c r="R249">
        <v>23</v>
      </c>
      <c r="S249">
        <v>10</v>
      </c>
    </row>
    <row r="250" spans="1:19" x14ac:dyDescent="0.25">
      <c r="A250">
        <v>43</v>
      </c>
      <c r="B250">
        <v>9</v>
      </c>
      <c r="C250">
        <v>9</v>
      </c>
      <c r="D250">
        <f>IF(A250=$N$2,1,0)</f>
        <v>0</v>
      </c>
      <c r="E250">
        <f>IF(A250=$M$2,1,0)</f>
        <v>0</v>
      </c>
      <c r="F250">
        <f t="shared" si="3"/>
        <v>0</v>
      </c>
      <c r="H250" s="1">
        <v>0.58958333333333302</v>
      </c>
      <c r="O250">
        <v>249</v>
      </c>
      <c r="P250" s="2">
        <f>TRUNC(O250/60) + 1</f>
        <v>5</v>
      </c>
      <c r="Q250">
        <v>43</v>
      </c>
      <c r="R250">
        <v>9</v>
      </c>
      <c r="S250">
        <v>9</v>
      </c>
    </row>
    <row r="251" spans="1:19" x14ac:dyDescent="0.25">
      <c r="A251">
        <v>22</v>
      </c>
      <c r="B251">
        <v>16</v>
      </c>
      <c r="C251">
        <v>6</v>
      </c>
      <c r="D251">
        <f>IF(A251=$N$2,1,0)</f>
        <v>0</v>
      </c>
      <c r="E251">
        <f>IF(A251=$M$2,1,0)</f>
        <v>0</v>
      </c>
      <c r="F251">
        <f t="shared" si="3"/>
        <v>1</v>
      </c>
      <c r="H251" s="1">
        <v>0.59027777777777701</v>
      </c>
      <c r="O251">
        <v>250</v>
      </c>
      <c r="P251" s="2">
        <f>TRUNC(O251/60) + 1</f>
        <v>5</v>
      </c>
      <c r="Q251">
        <v>22</v>
      </c>
      <c r="R251">
        <v>16</v>
      </c>
      <c r="S251">
        <v>6</v>
      </c>
    </row>
    <row r="252" spans="1:19" x14ac:dyDescent="0.25">
      <c r="A252">
        <v>29</v>
      </c>
      <c r="B252">
        <v>13</v>
      </c>
      <c r="C252">
        <v>4</v>
      </c>
      <c r="D252">
        <f>IF(A252=$N$2,1,0)</f>
        <v>0</v>
      </c>
      <c r="E252">
        <f>IF(A252=$M$2,1,0)</f>
        <v>0</v>
      </c>
      <c r="F252">
        <f t="shared" si="3"/>
        <v>2</v>
      </c>
      <c r="H252" s="1">
        <v>0.59097222222222101</v>
      </c>
      <c r="O252">
        <v>251</v>
      </c>
      <c r="P252" s="2">
        <f>TRUNC(O252/60) + 1</f>
        <v>5</v>
      </c>
      <c r="Q252">
        <v>29</v>
      </c>
      <c r="R252">
        <v>13</v>
      </c>
      <c r="S252">
        <v>4</v>
      </c>
    </row>
    <row r="253" spans="1:19" x14ac:dyDescent="0.25">
      <c r="A253">
        <v>80</v>
      </c>
      <c r="B253">
        <v>25</v>
      </c>
      <c r="C253">
        <v>10</v>
      </c>
      <c r="D253">
        <f>IF(A253=$N$2,1,0)</f>
        <v>0</v>
      </c>
      <c r="E253">
        <f>IF(A253=$M$2,1,0)</f>
        <v>0</v>
      </c>
      <c r="F253">
        <f t="shared" si="3"/>
        <v>3</v>
      </c>
      <c r="H253" s="1">
        <v>0.59166666666666601</v>
      </c>
      <c r="O253">
        <v>252</v>
      </c>
      <c r="P253" s="2">
        <f>TRUNC(O253/60) + 1</f>
        <v>5</v>
      </c>
      <c r="Q253">
        <v>80</v>
      </c>
      <c r="R253">
        <v>25</v>
      </c>
      <c r="S253">
        <v>10</v>
      </c>
    </row>
    <row r="254" spans="1:19" x14ac:dyDescent="0.25">
      <c r="A254">
        <v>82</v>
      </c>
      <c r="B254">
        <v>28</v>
      </c>
      <c r="C254">
        <v>2</v>
      </c>
      <c r="D254">
        <f>IF(A254=$N$2,1,0)</f>
        <v>0</v>
      </c>
      <c r="E254">
        <f>IF(A254=$M$2,1,0)</f>
        <v>0</v>
      </c>
      <c r="F254">
        <f t="shared" si="3"/>
        <v>4</v>
      </c>
      <c r="H254" s="1">
        <v>0.59236111111111001</v>
      </c>
      <c r="O254">
        <v>253</v>
      </c>
      <c r="P254" s="2">
        <f>TRUNC(O254/60) + 1</f>
        <v>5</v>
      </c>
      <c r="Q254">
        <v>82</v>
      </c>
      <c r="R254">
        <v>28</v>
      </c>
      <c r="S254">
        <v>2</v>
      </c>
    </row>
    <row r="255" spans="1:19" x14ac:dyDescent="0.25">
      <c r="A255">
        <v>86</v>
      </c>
      <c r="B255">
        <v>29</v>
      </c>
      <c r="C255">
        <v>8</v>
      </c>
      <c r="D255">
        <f>IF(A255=$N$2,1,0)</f>
        <v>0</v>
      </c>
      <c r="E255">
        <f>IF(A255=$M$2,1,0)</f>
        <v>0</v>
      </c>
      <c r="F255">
        <f t="shared" si="3"/>
        <v>5</v>
      </c>
      <c r="H255" s="1">
        <v>0.593055555555555</v>
      </c>
      <c r="O255">
        <v>254</v>
      </c>
      <c r="P255" s="2">
        <f>TRUNC(O255/60) + 1</f>
        <v>5</v>
      </c>
      <c r="Q255">
        <v>86</v>
      </c>
      <c r="R255">
        <v>29</v>
      </c>
      <c r="S255">
        <v>8</v>
      </c>
    </row>
    <row r="256" spans="1:19" x14ac:dyDescent="0.25">
      <c r="A256">
        <v>66</v>
      </c>
      <c r="B256">
        <v>27</v>
      </c>
      <c r="C256">
        <v>10</v>
      </c>
      <c r="D256">
        <f>IF(A256=$N$2,1,0)</f>
        <v>0</v>
      </c>
      <c r="E256">
        <f>IF(A256=$M$2,1,0)</f>
        <v>0</v>
      </c>
      <c r="F256">
        <f t="shared" si="3"/>
        <v>6</v>
      </c>
      <c r="H256" s="1">
        <v>0.593749999999999</v>
      </c>
      <c r="O256">
        <v>255</v>
      </c>
      <c r="P256" s="2">
        <f>TRUNC(O256/60) + 1</f>
        <v>5</v>
      </c>
      <c r="Q256">
        <v>66</v>
      </c>
      <c r="R256">
        <v>27</v>
      </c>
      <c r="S256">
        <v>10</v>
      </c>
    </row>
    <row r="257" spans="1:19" x14ac:dyDescent="0.25">
      <c r="A257">
        <v>20</v>
      </c>
      <c r="B257">
        <v>19</v>
      </c>
      <c r="C257">
        <v>8</v>
      </c>
      <c r="D257">
        <f>IF(A257=$N$2,1,0)</f>
        <v>0</v>
      </c>
      <c r="E257">
        <f>IF(A257=$M$2,1,0)</f>
        <v>0</v>
      </c>
      <c r="F257">
        <f t="shared" si="3"/>
        <v>7</v>
      </c>
      <c r="H257" s="1">
        <v>0.594444444444444</v>
      </c>
      <c r="O257">
        <v>256</v>
      </c>
      <c r="P257" s="2">
        <f>TRUNC(O257/60) + 1</f>
        <v>5</v>
      </c>
      <c r="Q257">
        <v>20</v>
      </c>
      <c r="R257">
        <v>19</v>
      </c>
      <c r="S257">
        <v>8</v>
      </c>
    </row>
    <row r="258" spans="1:19" x14ac:dyDescent="0.25">
      <c r="A258">
        <v>58</v>
      </c>
      <c r="B258">
        <v>29</v>
      </c>
      <c r="C258">
        <v>9</v>
      </c>
      <c r="D258">
        <f>IF(A258=$N$2,1,0)</f>
        <v>0</v>
      </c>
      <c r="E258">
        <f>IF(A258=$M$2,1,0)</f>
        <v>0</v>
      </c>
      <c r="F258">
        <f t="shared" si="3"/>
        <v>8</v>
      </c>
      <c r="H258" s="1">
        <v>0.595138888888888</v>
      </c>
      <c r="O258">
        <v>257</v>
      </c>
      <c r="P258" s="2">
        <f>TRUNC(O258/60) + 1</f>
        <v>5</v>
      </c>
      <c r="Q258">
        <v>58</v>
      </c>
      <c r="R258">
        <v>29</v>
      </c>
      <c r="S258">
        <v>9</v>
      </c>
    </row>
    <row r="259" spans="1:19" x14ac:dyDescent="0.25">
      <c r="A259">
        <v>22</v>
      </c>
      <c r="B259">
        <v>5</v>
      </c>
      <c r="C259">
        <v>1</v>
      </c>
      <c r="D259">
        <f>IF(A259=$N$2,1,0)</f>
        <v>0</v>
      </c>
      <c r="E259">
        <f>IF(A259=$M$2,1,0)</f>
        <v>0</v>
      </c>
      <c r="F259">
        <f t="shared" ref="F259:F322" si="4">IF(AND(B259&gt;C259, A259 &gt; B259), F258 + 1, 0)</f>
        <v>9</v>
      </c>
      <c r="H259" s="1">
        <v>0.59583333333333299</v>
      </c>
      <c r="O259">
        <v>258</v>
      </c>
      <c r="P259" s="2">
        <f>TRUNC(O259/60) + 1</f>
        <v>5</v>
      </c>
      <c r="Q259">
        <v>22</v>
      </c>
      <c r="R259">
        <v>5</v>
      </c>
      <c r="S259">
        <v>1</v>
      </c>
    </row>
    <row r="260" spans="1:19" x14ac:dyDescent="0.25">
      <c r="A260">
        <v>35</v>
      </c>
      <c r="B260">
        <v>20</v>
      </c>
      <c r="C260">
        <v>9</v>
      </c>
      <c r="D260">
        <f>IF(A260=$N$2,1,0)</f>
        <v>0</v>
      </c>
      <c r="E260">
        <f>IF(A260=$M$2,1,0)</f>
        <v>0</v>
      </c>
      <c r="F260">
        <f t="shared" si="4"/>
        <v>10</v>
      </c>
      <c r="H260" s="1">
        <v>0.59652777777777699</v>
      </c>
      <c r="O260">
        <v>259</v>
      </c>
      <c r="P260" s="2">
        <f>TRUNC(O260/60) + 1</f>
        <v>5</v>
      </c>
      <c r="Q260">
        <v>35</v>
      </c>
      <c r="R260">
        <v>20</v>
      </c>
      <c r="S260">
        <v>9</v>
      </c>
    </row>
    <row r="261" spans="1:19" x14ac:dyDescent="0.25">
      <c r="A261">
        <v>36</v>
      </c>
      <c r="B261">
        <v>11</v>
      </c>
      <c r="C261">
        <v>1</v>
      </c>
      <c r="D261">
        <f>IF(A261=$N$2,1,0)</f>
        <v>0</v>
      </c>
      <c r="E261">
        <f>IF(A261=$M$2,1,0)</f>
        <v>0</v>
      </c>
      <c r="F261">
        <f t="shared" si="4"/>
        <v>11</v>
      </c>
      <c r="H261" s="1">
        <v>0.59722222222222099</v>
      </c>
      <c r="O261">
        <v>260</v>
      </c>
      <c r="P261" s="2">
        <f>TRUNC(O261/60) + 1</f>
        <v>5</v>
      </c>
      <c r="Q261">
        <v>36</v>
      </c>
      <c r="R261">
        <v>11</v>
      </c>
      <c r="S261">
        <v>1</v>
      </c>
    </row>
    <row r="262" spans="1:19" x14ac:dyDescent="0.25">
      <c r="A262">
        <v>11</v>
      </c>
      <c r="B262">
        <v>20</v>
      </c>
      <c r="C262">
        <v>4</v>
      </c>
      <c r="D262">
        <f>IF(A262=$N$2,1,0)</f>
        <v>0</v>
      </c>
      <c r="E262">
        <f>IF(A262=$M$2,1,0)</f>
        <v>0</v>
      </c>
      <c r="F262">
        <f t="shared" si="4"/>
        <v>0</v>
      </c>
      <c r="H262" s="1">
        <v>0.59791666666666599</v>
      </c>
      <c r="O262">
        <v>261</v>
      </c>
      <c r="P262" s="2">
        <f>TRUNC(O262/60) + 1</f>
        <v>5</v>
      </c>
      <c r="Q262">
        <v>11</v>
      </c>
      <c r="R262">
        <v>20</v>
      </c>
      <c r="S262">
        <v>4</v>
      </c>
    </row>
    <row r="263" spans="1:19" x14ac:dyDescent="0.25">
      <c r="A263">
        <v>27</v>
      </c>
      <c r="B263">
        <v>25</v>
      </c>
      <c r="C263">
        <v>9</v>
      </c>
      <c r="D263">
        <f>IF(A263=$N$2,1,0)</f>
        <v>0</v>
      </c>
      <c r="E263">
        <f>IF(A263=$M$2,1,0)</f>
        <v>0</v>
      </c>
      <c r="F263">
        <f t="shared" si="4"/>
        <v>1</v>
      </c>
      <c r="H263" s="1">
        <v>0.59861111111110998</v>
      </c>
      <c r="O263">
        <v>262</v>
      </c>
      <c r="P263" s="2">
        <f>TRUNC(O263/60) + 1</f>
        <v>5</v>
      </c>
      <c r="Q263">
        <v>27</v>
      </c>
      <c r="R263">
        <v>25</v>
      </c>
      <c r="S263">
        <v>9</v>
      </c>
    </row>
    <row r="264" spans="1:19" x14ac:dyDescent="0.25">
      <c r="A264">
        <v>91</v>
      </c>
      <c r="B264">
        <v>18</v>
      </c>
      <c r="C264">
        <v>8</v>
      </c>
      <c r="D264">
        <f>IF(A264=$N$2,1,0)</f>
        <v>0</v>
      </c>
      <c r="E264">
        <f>IF(A264=$M$2,1,0)</f>
        <v>0</v>
      </c>
      <c r="F264">
        <f t="shared" si="4"/>
        <v>2</v>
      </c>
      <c r="H264" s="1">
        <v>0.59930555555555498</v>
      </c>
      <c r="O264">
        <v>263</v>
      </c>
      <c r="P264" s="2">
        <f>TRUNC(O264/60) + 1</f>
        <v>5</v>
      </c>
      <c r="Q264">
        <v>91</v>
      </c>
      <c r="R264">
        <v>18</v>
      </c>
      <c r="S264">
        <v>8</v>
      </c>
    </row>
    <row r="265" spans="1:19" x14ac:dyDescent="0.25">
      <c r="A265">
        <v>54</v>
      </c>
      <c r="B265">
        <v>21</v>
      </c>
      <c r="C265">
        <v>4</v>
      </c>
      <c r="D265">
        <f>IF(A265=$N$2,1,0)</f>
        <v>0</v>
      </c>
      <c r="E265">
        <f>IF(A265=$M$2,1,0)</f>
        <v>0</v>
      </c>
      <c r="F265">
        <f t="shared" si="4"/>
        <v>3</v>
      </c>
      <c r="H265" s="1">
        <v>0.59999999999999898</v>
      </c>
      <c r="O265">
        <v>264</v>
      </c>
      <c r="P265" s="2">
        <f>TRUNC(O265/60) + 1</f>
        <v>5</v>
      </c>
      <c r="Q265">
        <v>54</v>
      </c>
      <c r="R265">
        <v>21</v>
      </c>
      <c r="S265">
        <v>4</v>
      </c>
    </row>
    <row r="266" spans="1:19" x14ac:dyDescent="0.25">
      <c r="A266">
        <v>94</v>
      </c>
      <c r="B266">
        <v>26</v>
      </c>
      <c r="C266">
        <v>2</v>
      </c>
      <c r="D266">
        <f>IF(A266=$N$2,1,0)</f>
        <v>0</v>
      </c>
      <c r="E266">
        <f>IF(A266=$M$2,1,0)</f>
        <v>0</v>
      </c>
      <c r="F266">
        <f t="shared" si="4"/>
        <v>4</v>
      </c>
      <c r="H266" s="1">
        <v>0.60069444444444398</v>
      </c>
      <c r="O266">
        <v>265</v>
      </c>
      <c r="P266" s="2">
        <f>TRUNC(O266/60) + 1</f>
        <v>5</v>
      </c>
      <c r="Q266">
        <v>94</v>
      </c>
      <c r="R266">
        <v>26</v>
      </c>
      <c r="S266">
        <v>2</v>
      </c>
    </row>
    <row r="267" spans="1:19" x14ac:dyDescent="0.25">
      <c r="A267">
        <v>27</v>
      </c>
      <c r="B267">
        <v>12</v>
      </c>
      <c r="C267">
        <v>2</v>
      </c>
      <c r="D267">
        <f>IF(A267=$N$2,1,0)</f>
        <v>0</v>
      </c>
      <c r="E267">
        <f>IF(A267=$M$2,1,0)</f>
        <v>0</v>
      </c>
      <c r="F267">
        <f t="shared" si="4"/>
        <v>5</v>
      </c>
      <c r="H267" s="1">
        <v>0.60138888888888797</v>
      </c>
      <c r="O267">
        <v>266</v>
      </c>
      <c r="P267" s="2">
        <f>TRUNC(O267/60) + 1</f>
        <v>5</v>
      </c>
      <c r="Q267">
        <v>27</v>
      </c>
      <c r="R267">
        <v>12</v>
      </c>
      <c r="S267">
        <v>2</v>
      </c>
    </row>
    <row r="268" spans="1:19" x14ac:dyDescent="0.25">
      <c r="A268">
        <v>49</v>
      </c>
      <c r="B268">
        <v>23</v>
      </c>
      <c r="C268">
        <v>6</v>
      </c>
      <c r="D268">
        <f>IF(A268=$N$2,1,0)</f>
        <v>0</v>
      </c>
      <c r="E268">
        <f>IF(A268=$M$2,1,0)</f>
        <v>0</v>
      </c>
      <c r="F268">
        <f t="shared" si="4"/>
        <v>6</v>
      </c>
      <c r="H268" s="1">
        <v>0.60208333333333297</v>
      </c>
      <c r="O268">
        <v>267</v>
      </c>
      <c r="P268" s="2">
        <f>TRUNC(O268/60) + 1</f>
        <v>5</v>
      </c>
      <c r="Q268">
        <v>49</v>
      </c>
      <c r="R268">
        <v>23</v>
      </c>
      <c r="S268">
        <v>6</v>
      </c>
    </row>
    <row r="269" spans="1:19" x14ac:dyDescent="0.25">
      <c r="A269">
        <v>97</v>
      </c>
      <c r="B269">
        <v>12</v>
      </c>
      <c r="C269">
        <v>6</v>
      </c>
      <c r="D269">
        <f>IF(A269=$N$2,1,0)</f>
        <v>0</v>
      </c>
      <c r="E269">
        <f>IF(A269=$M$2,1,0)</f>
        <v>0</v>
      </c>
      <c r="F269">
        <f t="shared" si="4"/>
        <v>7</v>
      </c>
      <c r="H269" s="1">
        <v>0.60277777777777697</v>
      </c>
      <c r="O269">
        <v>268</v>
      </c>
      <c r="P269" s="2">
        <f>TRUNC(O269/60) + 1</f>
        <v>5</v>
      </c>
      <c r="Q269">
        <v>97</v>
      </c>
      <c r="R269">
        <v>12</v>
      </c>
      <c r="S269">
        <v>6</v>
      </c>
    </row>
    <row r="270" spans="1:19" x14ac:dyDescent="0.25">
      <c r="A270">
        <v>72</v>
      </c>
      <c r="B270">
        <v>27</v>
      </c>
      <c r="C270">
        <v>3</v>
      </c>
      <c r="D270">
        <f>IF(A270=$N$2,1,0)</f>
        <v>0</v>
      </c>
      <c r="E270">
        <f>IF(A270=$M$2,1,0)</f>
        <v>0</v>
      </c>
      <c r="F270">
        <f t="shared" si="4"/>
        <v>8</v>
      </c>
      <c r="H270" s="1">
        <v>0.60347222222222097</v>
      </c>
      <c r="O270">
        <v>269</v>
      </c>
      <c r="P270" s="2">
        <f>TRUNC(O270/60) + 1</f>
        <v>5</v>
      </c>
      <c r="Q270">
        <v>72</v>
      </c>
      <c r="R270">
        <v>27</v>
      </c>
      <c r="S270">
        <v>3</v>
      </c>
    </row>
    <row r="271" spans="1:19" x14ac:dyDescent="0.25">
      <c r="A271">
        <v>63</v>
      </c>
      <c r="B271">
        <v>5</v>
      </c>
      <c r="C271">
        <v>7</v>
      </c>
      <c r="D271">
        <f>IF(A271=$N$2,1,0)</f>
        <v>0</v>
      </c>
      <c r="E271">
        <f>IF(A271=$M$2,1,0)</f>
        <v>0</v>
      </c>
      <c r="F271">
        <f t="shared" si="4"/>
        <v>0</v>
      </c>
      <c r="H271" s="1">
        <v>0.60416666666666596</v>
      </c>
      <c r="O271">
        <v>270</v>
      </c>
      <c r="P271" s="2">
        <f>TRUNC(O271/60) + 1</f>
        <v>5</v>
      </c>
      <c r="Q271">
        <v>63</v>
      </c>
      <c r="R271">
        <v>5</v>
      </c>
      <c r="S271">
        <v>7</v>
      </c>
    </row>
    <row r="272" spans="1:19" x14ac:dyDescent="0.25">
      <c r="A272">
        <v>41</v>
      </c>
      <c r="B272">
        <v>24</v>
      </c>
      <c r="C272">
        <v>1</v>
      </c>
      <c r="D272">
        <f>IF(A272=$N$2,1,0)</f>
        <v>0</v>
      </c>
      <c r="E272">
        <f>IF(A272=$M$2,1,0)</f>
        <v>0</v>
      </c>
      <c r="F272">
        <f t="shared" si="4"/>
        <v>1</v>
      </c>
      <c r="H272" s="1">
        <v>0.60486111111110996</v>
      </c>
      <c r="O272">
        <v>271</v>
      </c>
      <c r="P272" s="2">
        <f>TRUNC(O272/60) + 1</f>
        <v>5</v>
      </c>
      <c r="Q272">
        <v>41</v>
      </c>
      <c r="R272">
        <v>24</v>
      </c>
      <c r="S272">
        <v>1</v>
      </c>
    </row>
    <row r="273" spans="1:19" x14ac:dyDescent="0.25">
      <c r="A273">
        <v>94</v>
      </c>
      <c r="B273">
        <v>30</v>
      </c>
      <c r="C273">
        <v>7</v>
      </c>
      <c r="D273">
        <f>IF(A273=$N$2,1,0)</f>
        <v>0</v>
      </c>
      <c r="E273">
        <f>IF(A273=$M$2,1,0)</f>
        <v>0</v>
      </c>
      <c r="F273">
        <f t="shared" si="4"/>
        <v>2</v>
      </c>
      <c r="H273" s="1">
        <v>0.60555555555555496</v>
      </c>
      <c r="O273">
        <v>272</v>
      </c>
      <c r="P273" s="2">
        <f>TRUNC(O273/60) + 1</f>
        <v>5</v>
      </c>
      <c r="Q273">
        <v>94</v>
      </c>
      <c r="R273">
        <v>30</v>
      </c>
      <c r="S273">
        <v>7</v>
      </c>
    </row>
    <row r="274" spans="1:19" x14ac:dyDescent="0.25">
      <c r="A274">
        <v>58</v>
      </c>
      <c r="B274">
        <v>19</v>
      </c>
      <c r="C274">
        <v>1</v>
      </c>
      <c r="D274">
        <f>IF(A274=$N$2,1,0)</f>
        <v>0</v>
      </c>
      <c r="E274">
        <f>IF(A274=$M$2,1,0)</f>
        <v>0</v>
      </c>
      <c r="F274">
        <f t="shared" si="4"/>
        <v>3</v>
      </c>
      <c r="H274" s="1">
        <v>0.60624999999999896</v>
      </c>
      <c r="O274">
        <v>273</v>
      </c>
      <c r="P274" s="2">
        <f>TRUNC(O274/60) + 1</f>
        <v>5</v>
      </c>
      <c r="Q274">
        <v>58</v>
      </c>
      <c r="R274">
        <v>19</v>
      </c>
      <c r="S274">
        <v>1</v>
      </c>
    </row>
    <row r="275" spans="1:19" x14ac:dyDescent="0.25">
      <c r="A275">
        <v>41</v>
      </c>
      <c r="B275">
        <v>29</v>
      </c>
      <c r="C275">
        <v>8</v>
      </c>
      <c r="D275">
        <f>IF(A275=$N$2,1,0)</f>
        <v>0</v>
      </c>
      <c r="E275">
        <f>IF(A275=$M$2,1,0)</f>
        <v>0</v>
      </c>
      <c r="F275">
        <f t="shared" si="4"/>
        <v>4</v>
      </c>
      <c r="H275" s="1">
        <v>0.60694444444444395</v>
      </c>
      <c r="O275">
        <v>274</v>
      </c>
      <c r="P275" s="2">
        <f>TRUNC(O275/60) + 1</f>
        <v>5</v>
      </c>
      <c r="Q275">
        <v>41</v>
      </c>
      <c r="R275">
        <v>29</v>
      </c>
      <c r="S275">
        <v>8</v>
      </c>
    </row>
    <row r="276" spans="1:19" x14ac:dyDescent="0.25">
      <c r="A276">
        <v>46</v>
      </c>
      <c r="B276">
        <v>9</v>
      </c>
      <c r="C276">
        <v>9</v>
      </c>
      <c r="D276">
        <f>IF(A276=$N$2,1,0)</f>
        <v>0</v>
      </c>
      <c r="E276">
        <f>IF(A276=$M$2,1,0)</f>
        <v>0</v>
      </c>
      <c r="F276">
        <f t="shared" si="4"/>
        <v>0</v>
      </c>
      <c r="H276" s="1">
        <v>0.60763888888888795</v>
      </c>
      <c r="O276">
        <v>275</v>
      </c>
      <c r="P276" s="2">
        <f>TRUNC(O276/60) + 1</f>
        <v>5</v>
      </c>
      <c r="Q276">
        <v>46</v>
      </c>
      <c r="R276">
        <v>9</v>
      </c>
      <c r="S276">
        <v>9</v>
      </c>
    </row>
    <row r="277" spans="1:19" x14ac:dyDescent="0.25">
      <c r="A277">
        <v>42</v>
      </c>
      <c r="B277">
        <v>28</v>
      </c>
      <c r="C277">
        <v>3</v>
      </c>
      <c r="D277">
        <f>IF(A277=$N$2,1,0)</f>
        <v>0</v>
      </c>
      <c r="E277">
        <f>IF(A277=$M$2,1,0)</f>
        <v>0</v>
      </c>
      <c r="F277">
        <f t="shared" si="4"/>
        <v>1</v>
      </c>
      <c r="H277" s="1">
        <v>0.60833333333333295</v>
      </c>
      <c r="I277">
        <v>42</v>
      </c>
      <c r="J277">
        <v>28</v>
      </c>
      <c r="K277">
        <v>3</v>
      </c>
      <c r="O277">
        <v>276</v>
      </c>
      <c r="P277" s="2">
        <f>TRUNC(O277/60) + 1</f>
        <v>5</v>
      </c>
      <c r="Q277">
        <v>42</v>
      </c>
      <c r="R277">
        <v>28</v>
      </c>
      <c r="S277">
        <v>3</v>
      </c>
    </row>
    <row r="278" spans="1:19" x14ac:dyDescent="0.25">
      <c r="A278">
        <v>98</v>
      </c>
      <c r="B278">
        <v>19</v>
      </c>
      <c r="C278">
        <v>4</v>
      </c>
      <c r="D278">
        <f>IF(A278=$N$2,1,0)</f>
        <v>0</v>
      </c>
      <c r="E278">
        <f>IF(A278=$M$2,1,0)</f>
        <v>0</v>
      </c>
      <c r="F278">
        <f t="shared" si="4"/>
        <v>2</v>
      </c>
      <c r="H278" s="1">
        <v>0.60902777777777695</v>
      </c>
      <c r="I278">
        <v>98</v>
      </c>
      <c r="J278">
        <v>19</v>
      </c>
      <c r="K278">
        <v>4</v>
      </c>
      <c r="O278">
        <v>277</v>
      </c>
      <c r="P278" s="2">
        <f>TRUNC(O278/60) + 1</f>
        <v>5</v>
      </c>
      <c r="Q278">
        <v>98</v>
      </c>
      <c r="R278">
        <v>19</v>
      </c>
      <c r="S278">
        <v>4</v>
      </c>
    </row>
    <row r="279" spans="1:19" x14ac:dyDescent="0.25">
      <c r="A279">
        <v>84</v>
      </c>
      <c r="B279">
        <v>16</v>
      </c>
      <c r="C279">
        <v>1</v>
      </c>
      <c r="D279">
        <f>IF(A279=$N$2,1,0)</f>
        <v>0</v>
      </c>
      <c r="E279">
        <f>IF(A279=$M$2,1,0)</f>
        <v>0</v>
      </c>
      <c r="F279">
        <f t="shared" si="4"/>
        <v>3</v>
      </c>
      <c r="H279" s="1">
        <v>0.60972222222222106</v>
      </c>
      <c r="I279">
        <v>84</v>
      </c>
      <c r="J279">
        <v>16</v>
      </c>
      <c r="K279">
        <v>1</v>
      </c>
      <c r="O279">
        <v>278</v>
      </c>
      <c r="P279" s="2">
        <f>TRUNC(O279/60) + 1</f>
        <v>5</v>
      </c>
      <c r="Q279">
        <v>84</v>
      </c>
      <c r="R279">
        <v>16</v>
      </c>
      <c r="S279">
        <v>1</v>
      </c>
    </row>
    <row r="280" spans="1:19" x14ac:dyDescent="0.25">
      <c r="A280">
        <v>63</v>
      </c>
      <c r="B280">
        <v>8</v>
      </c>
      <c r="C280">
        <v>1</v>
      </c>
      <c r="D280">
        <f>IF(A280=$N$2,1,0)</f>
        <v>0</v>
      </c>
      <c r="E280">
        <f>IF(A280=$M$2,1,0)</f>
        <v>0</v>
      </c>
      <c r="F280">
        <f t="shared" si="4"/>
        <v>4</v>
      </c>
      <c r="H280" s="1">
        <v>0.61041666666666605</v>
      </c>
      <c r="I280">
        <v>63</v>
      </c>
      <c r="J280">
        <v>8</v>
      </c>
      <c r="K280">
        <v>1</v>
      </c>
      <c r="O280">
        <v>279</v>
      </c>
      <c r="P280" s="2">
        <f>TRUNC(O280/60) + 1</f>
        <v>5</v>
      </c>
      <c r="Q280">
        <v>63</v>
      </c>
      <c r="R280">
        <v>8</v>
      </c>
      <c r="S280">
        <v>1</v>
      </c>
    </row>
    <row r="281" spans="1:19" x14ac:dyDescent="0.25">
      <c r="A281">
        <v>100</v>
      </c>
      <c r="B281">
        <v>11</v>
      </c>
      <c r="C281">
        <v>1</v>
      </c>
      <c r="D281">
        <f>IF(A281=$N$2,1,0)</f>
        <v>0</v>
      </c>
      <c r="E281">
        <f>IF(A281=$M$2,1,0)</f>
        <v>1</v>
      </c>
      <c r="F281">
        <f t="shared" si="4"/>
        <v>5</v>
      </c>
      <c r="H281" s="1">
        <v>0.61111111111111005</v>
      </c>
      <c r="I281">
        <v>100</v>
      </c>
      <c r="J281">
        <v>11</v>
      </c>
      <c r="K281">
        <v>1</v>
      </c>
      <c r="O281">
        <v>280</v>
      </c>
      <c r="P281" s="2">
        <f>TRUNC(O281/60) + 1</f>
        <v>5</v>
      </c>
      <c r="Q281">
        <v>100</v>
      </c>
      <c r="R281">
        <v>11</v>
      </c>
      <c r="S281">
        <v>1</v>
      </c>
    </row>
    <row r="282" spans="1:19" x14ac:dyDescent="0.25">
      <c r="A282">
        <v>31</v>
      </c>
      <c r="B282">
        <v>22</v>
      </c>
      <c r="C282">
        <v>4</v>
      </c>
      <c r="D282">
        <f>IF(A282=$N$2,1,0)</f>
        <v>0</v>
      </c>
      <c r="E282">
        <f>IF(A282=$M$2,1,0)</f>
        <v>0</v>
      </c>
      <c r="F282">
        <f t="shared" si="4"/>
        <v>6</v>
      </c>
      <c r="H282" s="1">
        <v>0.61180555555555505</v>
      </c>
      <c r="I282">
        <v>31</v>
      </c>
      <c r="J282">
        <v>22</v>
      </c>
      <c r="K282">
        <v>4</v>
      </c>
      <c r="P282" s="2">
        <f>TRUNC(O282/60) + 1</f>
        <v>1</v>
      </c>
      <c r="Q282">
        <v>31</v>
      </c>
      <c r="R282">
        <v>22</v>
      </c>
      <c r="S282">
        <v>4</v>
      </c>
    </row>
    <row r="283" spans="1:19" x14ac:dyDescent="0.25">
      <c r="A283">
        <v>70</v>
      </c>
      <c r="B283">
        <v>10</v>
      </c>
      <c r="C283">
        <v>7</v>
      </c>
      <c r="D283">
        <f>IF(A283=$N$2,1,0)</f>
        <v>0</v>
      </c>
      <c r="E283">
        <f>IF(A283=$M$2,1,0)</f>
        <v>0</v>
      </c>
      <c r="F283">
        <f t="shared" si="4"/>
        <v>7</v>
      </c>
      <c r="H283" s="1">
        <v>0.61249999999999905</v>
      </c>
      <c r="I283">
        <v>70</v>
      </c>
      <c r="J283">
        <v>10</v>
      </c>
      <c r="K283">
        <v>7</v>
      </c>
      <c r="P283" s="2">
        <f>TRUNC(O283/60) + 1</f>
        <v>1</v>
      </c>
      <c r="Q283">
        <v>70</v>
      </c>
      <c r="R283">
        <v>10</v>
      </c>
      <c r="S283">
        <v>7</v>
      </c>
    </row>
    <row r="284" spans="1:19" x14ac:dyDescent="0.25">
      <c r="A284">
        <v>84</v>
      </c>
      <c r="B284">
        <v>29</v>
      </c>
      <c r="C284">
        <v>10</v>
      </c>
      <c r="D284">
        <f>IF(A284=$N$2,1,0)</f>
        <v>0</v>
      </c>
      <c r="E284">
        <f>IF(A284=$M$2,1,0)</f>
        <v>0</v>
      </c>
      <c r="F284">
        <f t="shared" si="4"/>
        <v>8</v>
      </c>
      <c r="H284" s="1">
        <v>0.61319444444444404</v>
      </c>
      <c r="I284">
        <v>84</v>
      </c>
      <c r="J284">
        <v>29</v>
      </c>
      <c r="K284">
        <v>10</v>
      </c>
      <c r="P284" s="2">
        <f>TRUNC(O284/60) + 1</f>
        <v>1</v>
      </c>
      <c r="Q284">
        <v>84</v>
      </c>
      <c r="R284">
        <v>29</v>
      </c>
      <c r="S284">
        <v>10</v>
      </c>
    </row>
    <row r="285" spans="1:19" x14ac:dyDescent="0.25">
      <c r="A285">
        <v>37</v>
      </c>
      <c r="B285">
        <v>15</v>
      </c>
      <c r="C285">
        <v>4</v>
      </c>
      <c r="D285">
        <f>IF(A285=$N$2,1,0)</f>
        <v>0</v>
      </c>
      <c r="E285">
        <f>IF(A285=$M$2,1,0)</f>
        <v>0</v>
      </c>
      <c r="F285">
        <f t="shared" si="4"/>
        <v>9</v>
      </c>
      <c r="H285" s="1">
        <v>0.61388888888888804</v>
      </c>
      <c r="I285">
        <v>37</v>
      </c>
      <c r="J285">
        <v>15</v>
      </c>
      <c r="K285">
        <v>4</v>
      </c>
      <c r="P285" s="2">
        <f>TRUNC(O285/60) + 1</f>
        <v>1</v>
      </c>
      <c r="Q285">
        <v>37</v>
      </c>
      <c r="R285">
        <v>15</v>
      </c>
      <c r="S285">
        <v>4</v>
      </c>
    </row>
    <row r="286" spans="1:19" x14ac:dyDescent="0.25">
      <c r="A286">
        <v>26</v>
      </c>
      <c r="B286">
        <v>15</v>
      </c>
      <c r="C286">
        <v>2</v>
      </c>
      <c r="D286">
        <f>IF(A286=$N$2,1,0)</f>
        <v>0</v>
      </c>
      <c r="E286">
        <f>IF(A286=$M$2,1,0)</f>
        <v>0</v>
      </c>
      <c r="F286">
        <f t="shared" si="4"/>
        <v>10</v>
      </c>
      <c r="H286" s="1">
        <v>0.61458333333333304</v>
      </c>
      <c r="I286">
        <v>26</v>
      </c>
      <c r="J286">
        <v>15</v>
      </c>
      <c r="K286">
        <v>2</v>
      </c>
      <c r="P286" s="2">
        <f>TRUNC(O286/60) + 1</f>
        <v>1</v>
      </c>
      <c r="Q286">
        <v>26</v>
      </c>
      <c r="R286">
        <v>15</v>
      </c>
      <c r="S286">
        <v>2</v>
      </c>
    </row>
    <row r="287" spans="1:19" x14ac:dyDescent="0.25">
      <c r="A287">
        <v>73</v>
      </c>
      <c r="B287">
        <v>26</v>
      </c>
      <c r="C287">
        <v>2</v>
      </c>
      <c r="D287">
        <f>IF(A287=$N$2,1,0)</f>
        <v>0</v>
      </c>
      <c r="E287">
        <f>IF(A287=$M$2,1,0)</f>
        <v>0</v>
      </c>
      <c r="F287">
        <f t="shared" si="4"/>
        <v>11</v>
      </c>
      <c r="H287" s="1">
        <v>0.61527777777777704</v>
      </c>
      <c r="I287">
        <v>73</v>
      </c>
      <c r="J287">
        <v>26</v>
      </c>
      <c r="K287">
        <v>2</v>
      </c>
      <c r="P287" s="2">
        <f>TRUNC(O287/60) + 1</f>
        <v>1</v>
      </c>
      <c r="Q287">
        <v>73</v>
      </c>
      <c r="R287">
        <v>26</v>
      </c>
      <c r="S287">
        <v>2</v>
      </c>
    </row>
    <row r="288" spans="1:19" x14ac:dyDescent="0.25">
      <c r="A288">
        <v>81</v>
      </c>
      <c r="B288">
        <v>16</v>
      </c>
      <c r="C288">
        <v>10</v>
      </c>
      <c r="D288">
        <f>IF(A288=$N$2,1,0)</f>
        <v>0</v>
      </c>
      <c r="E288">
        <f>IF(A288=$M$2,1,0)</f>
        <v>0</v>
      </c>
      <c r="F288">
        <f t="shared" si="4"/>
        <v>12</v>
      </c>
      <c r="H288" s="1">
        <v>0.61597222222222103</v>
      </c>
      <c r="I288">
        <v>81</v>
      </c>
      <c r="J288">
        <v>16</v>
      </c>
      <c r="K288">
        <v>10</v>
      </c>
      <c r="P288" s="2">
        <f>TRUNC(O288/60) + 1</f>
        <v>1</v>
      </c>
      <c r="Q288">
        <v>81</v>
      </c>
      <c r="R288">
        <v>16</v>
      </c>
      <c r="S288">
        <v>10</v>
      </c>
    </row>
    <row r="289" spans="1:19" x14ac:dyDescent="0.25">
      <c r="A289">
        <v>85</v>
      </c>
      <c r="B289">
        <v>10</v>
      </c>
      <c r="C289">
        <v>4</v>
      </c>
      <c r="D289">
        <f>IF(A289=$N$2,1,0)</f>
        <v>0</v>
      </c>
      <c r="E289">
        <f>IF(A289=$M$2,1,0)</f>
        <v>0</v>
      </c>
      <c r="F289">
        <f t="shared" si="4"/>
        <v>13</v>
      </c>
      <c r="H289" s="1">
        <v>0.61666666666666603</v>
      </c>
      <c r="I289">
        <v>85</v>
      </c>
      <c r="J289">
        <v>10</v>
      </c>
      <c r="K289">
        <v>4</v>
      </c>
      <c r="P289" s="2">
        <f>TRUNC(O289/60) + 1</f>
        <v>1</v>
      </c>
      <c r="Q289">
        <v>85</v>
      </c>
      <c r="R289">
        <v>10</v>
      </c>
      <c r="S289">
        <v>4</v>
      </c>
    </row>
    <row r="290" spans="1:19" x14ac:dyDescent="0.25">
      <c r="A290">
        <v>63</v>
      </c>
      <c r="B290">
        <v>12</v>
      </c>
      <c r="C290">
        <v>10</v>
      </c>
      <c r="D290">
        <f>IF(A290=$N$2,1,0)</f>
        <v>0</v>
      </c>
      <c r="E290">
        <f>IF(A290=$M$2,1,0)</f>
        <v>0</v>
      </c>
      <c r="F290">
        <f t="shared" si="4"/>
        <v>14</v>
      </c>
      <c r="H290" s="1">
        <v>0.61736111111111003</v>
      </c>
      <c r="I290">
        <v>63</v>
      </c>
      <c r="J290">
        <v>12</v>
      </c>
      <c r="K290">
        <v>10</v>
      </c>
      <c r="P290" s="2">
        <f>TRUNC(O290/60) + 1</f>
        <v>1</v>
      </c>
      <c r="Q290">
        <v>63</v>
      </c>
      <c r="R290">
        <v>12</v>
      </c>
      <c r="S290">
        <v>10</v>
      </c>
    </row>
    <row r="291" spans="1:19" x14ac:dyDescent="0.25">
      <c r="A291">
        <v>86</v>
      </c>
      <c r="B291">
        <v>30</v>
      </c>
      <c r="C291">
        <v>5</v>
      </c>
      <c r="D291">
        <f>IF(A291=$N$2,1,0)</f>
        <v>0</v>
      </c>
      <c r="E291">
        <f>IF(A291=$M$2,1,0)</f>
        <v>0</v>
      </c>
      <c r="F291">
        <f t="shared" si="4"/>
        <v>15</v>
      </c>
      <c r="H291" s="1">
        <v>0.61805555555555503</v>
      </c>
      <c r="I291">
        <v>86</v>
      </c>
      <c r="J291">
        <v>30</v>
      </c>
      <c r="K291">
        <v>5</v>
      </c>
      <c r="P291" s="2">
        <f>TRUNC(O291/60) + 1</f>
        <v>1</v>
      </c>
      <c r="Q291">
        <v>86</v>
      </c>
      <c r="R291">
        <v>30</v>
      </c>
      <c r="S291">
        <v>5</v>
      </c>
    </row>
    <row r="292" spans="1:19" x14ac:dyDescent="0.25">
      <c r="A292">
        <v>58</v>
      </c>
      <c r="B292">
        <v>16</v>
      </c>
      <c r="C292">
        <v>7</v>
      </c>
      <c r="D292">
        <f>IF(A292=$N$2,1,0)</f>
        <v>0</v>
      </c>
      <c r="E292">
        <f>IF(A292=$M$2,1,0)</f>
        <v>0</v>
      </c>
      <c r="F292">
        <f t="shared" si="4"/>
        <v>16</v>
      </c>
      <c r="H292" s="1">
        <v>0.61874999999999902</v>
      </c>
      <c r="I292">
        <v>58</v>
      </c>
      <c r="J292">
        <v>16</v>
      </c>
      <c r="K292">
        <v>7</v>
      </c>
      <c r="P292" s="2">
        <f>TRUNC(O292/60) + 1</f>
        <v>1</v>
      </c>
      <c r="Q292">
        <v>58</v>
      </c>
      <c r="R292">
        <v>16</v>
      </c>
      <c r="S292">
        <v>7</v>
      </c>
    </row>
    <row r="293" spans="1:19" x14ac:dyDescent="0.25">
      <c r="A293">
        <v>55</v>
      </c>
      <c r="B293">
        <v>21</v>
      </c>
      <c r="C293">
        <v>3</v>
      </c>
      <c r="D293">
        <f>IF(A293=$N$2,1,0)</f>
        <v>0</v>
      </c>
      <c r="E293">
        <f>IF(A293=$M$2,1,0)</f>
        <v>0</v>
      </c>
      <c r="F293">
        <f t="shared" si="4"/>
        <v>17</v>
      </c>
      <c r="H293" s="1">
        <v>0.61944444444444402</v>
      </c>
      <c r="I293">
        <v>55</v>
      </c>
      <c r="J293">
        <v>21</v>
      </c>
      <c r="K293">
        <v>3</v>
      </c>
      <c r="P293" s="2">
        <f>TRUNC(O293/60) + 1</f>
        <v>1</v>
      </c>
      <c r="Q293">
        <v>55</v>
      </c>
      <c r="R293">
        <v>21</v>
      </c>
      <c r="S293">
        <v>3</v>
      </c>
    </row>
    <row r="294" spans="1:19" x14ac:dyDescent="0.25">
      <c r="A294">
        <v>34</v>
      </c>
      <c r="B294">
        <v>30</v>
      </c>
      <c r="C294">
        <v>1</v>
      </c>
      <c r="D294">
        <f>IF(A294=$N$2,1,0)</f>
        <v>0</v>
      </c>
      <c r="E294">
        <f>IF(A294=$M$2,1,0)</f>
        <v>0</v>
      </c>
      <c r="F294">
        <f t="shared" si="4"/>
        <v>18</v>
      </c>
      <c r="H294" s="1">
        <v>0.62013888888888802</v>
      </c>
      <c r="I294">
        <v>34</v>
      </c>
      <c r="J294">
        <v>30</v>
      </c>
      <c r="K294">
        <v>1</v>
      </c>
      <c r="P294" s="2">
        <f>TRUNC(O294/60) + 1</f>
        <v>1</v>
      </c>
      <c r="Q294">
        <v>34</v>
      </c>
      <c r="R294">
        <v>30</v>
      </c>
      <c r="S294">
        <v>1</v>
      </c>
    </row>
    <row r="295" spans="1:19" x14ac:dyDescent="0.25">
      <c r="A295">
        <v>67</v>
      </c>
      <c r="B295">
        <v>20</v>
      </c>
      <c r="C295">
        <v>1</v>
      </c>
      <c r="D295">
        <f>IF(A295=$N$2,1,0)</f>
        <v>0</v>
      </c>
      <c r="E295">
        <f>IF(A295=$M$2,1,0)</f>
        <v>0</v>
      </c>
      <c r="F295">
        <f t="shared" si="4"/>
        <v>19</v>
      </c>
      <c r="H295" s="1">
        <v>0.62083333333333202</v>
      </c>
      <c r="I295">
        <v>67</v>
      </c>
      <c r="J295">
        <v>20</v>
      </c>
      <c r="K295">
        <v>1</v>
      </c>
      <c r="P295" s="2">
        <f>TRUNC(O295/60) + 1</f>
        <v>1</v>
      </c>
      <c r="Q295">
        <v>67</v>
      </c>
      <c r="R295">
        <v>20</v>
      </c>
      <c r="S295">
        <v>1</v>
      </c>
    </row>
    <row r="296" spans="1:19" x14ac:dyDescent="0.25">
      <c r="A296">
        <v>30</v>
      </c>
      <c r="B296">
        <v>16</v>
      </c>
      <c r="C296">
        <v>10</v>
      </c>
      <c r="D296">
        <f>IF(A296=$N$2,1,0)</f>
        <v>0</v>
      </c>
      <c r="E296">
        <f>IF(A296=$M$2,1,0)</f>
        <v>0</v>
      </c>
      <c r="F296">
        <f t="shared" si="4"/>
        <v>20</v>
      </c>
      <c r="H296" s="1">
        <v>0.62152777777777701</v>
      </c>
      <c r="I296">
        <v>30</v>
      </c>
      <c r="J296">
        <v>16</v>
      </c>
      <c r="K296">
        <v>10</v>
      </c>
      <c r="P296" s="2">
        <f>TRUNC(O296/60) + 1</f>
        <v>1</v>
      </c>
      <c r="Q296">
        <v>30</v>
      </c>
      <c r="R296">
        <v>16</v>
      </c>
      <c r="S296">
        <v>10</v>
      </c>
    </row>
    <row r="297" spans="1:19" x14ac:dyDescent="0.25">
      <c r="A297">
        <v>11</v>
      </c>
      <c r="B297">
        <v>10</v>
      </c>
      <c r="C297">
        <v>1</v>
      </c>
      <c r="D297">
        <f>IF(A297=$N$2,1,0)</f>
        <v>0</v>
      </c>
      <c r="E297">
        <f>IF(A297=$M$2,1,0)</f>
        <v>0</v>
      </c>
      <c r="F297">
        <f t="shared" si="4"/>
        <v>21</v>
      </c>
      <c r="H297" s="1">
        <v>0.62222222222222101</v>
      </c>
      <c r="I297">
        <v>11</v>
      </c>
      <c r="J297">
        <v>10</v>
      </c>
      <c r="K297">
        <v>1</v>
      </c>
      <c r="P297" s="2">
        <f>TRUNC(O297/60) + 1</f>
        <v>1</v>
      </c>
      <c r="Q297">
        <v>11</v>
      </c>
      <c r="R297">
        <v>10</v>
      </c>
      <c r="S297">
        <v>1</v>
      </c>
    </row>
    <row r="298" spans="1:19" x14ac:dyDescent="0.25">
      <c r="A298">
        <v>74</v>
      </c>
      <c r="B298">
        <v>9</v>
      </c>
      <c r="C298">
        <v>6</v>
      </c>
      <c r="D298">
        <f>IF(A298=$N$2,1,0)</f>
        <v>0</v>
      </c>
      <c r="E298">
        <f>IF(A298=$M$2,1,0)</f>
        <v>0</v>
      </c>
      <c r="F298">
        <f t="shared" si="4"/>
        <v>22</v>
      </c>
      <c r="H298" s="1">
        <v>0.62291666666666601</v>
      </c>
      <c r="I298">
        <v>74</v>
      </c>
      <c r="J298">
        <v>9</v>
      </c>
      <c r="K298">
        <v>6</v>
      </c>
      <c r="P298" s="2">
        <f>TRUNC(O298/60) + 1</f>
        <v>1</v>
      </c>
      <c r="Q298">
        <v>74</v>
      </c>
      <c r="R298">
        <v>9</v>
      </c>
      <c r="S298">
        <v>6</v>
      </c>
    </row>
    <row r="299" spans="1:19" x14ac:dyDescent="0.25">
      <c r="A299">
        <v>51</v>
      </c>
      <c r="B299">
        <v>29</v>
      </c>
      <c r="C299">
        <v>10</v>
      </c>
      <c r="D299">
        <f>IF(A299=$N$2,1,0)</f>
        <v>0</v>
      </c>
      <c r="E299">
        <f>IF(A299=$M$2,1,0)</f>
        <v>0</v>
      </c>
      <c r="F299">
        <f t="shared" si="4"/>
        <v>23</v>
      </c>
      <c r="H299" s="1">
        <v>0.62361111111111001</v>
      </c>
      <c r="I299">
        <v>51</v>
      </c>
      <c r="J299">
        <v>29</v>
      </c>
      <c r="K299">
        <v>10</v>
      </c>
      <c r="P299" s="2">
        <f>TRUNC(O299/60) + 1</f>
        <v>1</v>
      </c>
      <c r="Q299">
        <v>51</v>
      </c>
      <c r="R299">
        <v>29</v>
      </c>
      <c r="S299">
        <v>10</v>
      </c>
    </row>
    <row r="300" spans="1:19" x14ac:dyDescent="0.25">
      <c r="A300">
        <v>25</v>
      </c>
      <c r="B300">
        <v>17</v>
      </c>
      <c r="C300">
        <v>9</v>
      </c>
      <c r="D300">
        <f>IF(A300=$N$2,1,0)</f>
        <v>0</v>
      </c>
      <c r="E300">
        <f>IF(A300=$M$2,1,0)</f>
        <v>0</v>
      </c>
      <c r="F300">
        <f t="shared" si="4"/>
        <v>24</v>
      </c>
      <c r="H300" s="1">
        <v>0.624305555555555</v>
      </c>
      <c r="I300">
        <v>25</v>
      </c>
      <c r="J300">
        <v>17</v>
      </c>
      <c r="K300">
        <v>9</v>
      </c>
      <c r="P300" s="2">
        <f>TRUNC(O300/60) + 1</f>
        <v>1</v>
      </c>
      <c r="Q300">
        <v>25</v>
      </c>
      <c r="R300">
        <v>17</v>
      </c>
      <c r="S300">
        <v>9</v>
      </c>
    </row>
    <row r="301" spans="1:19" x14ac:dyDescent="0.25">
      <c r="A301">
        <v>43</v>
      </c>
      <c r="B301">
        <v>7</v>
      </c>
      <c r="C301">
        <v>5</v>
      </c>
      <c r="D301">
        <f>IF(A301=$N$2,1,0)</f>
        <v>0</v>
      </c>
      <c r="E301">
        <f>IF(A301=$M$2,1,0)</f>
        <v>0</v>
      </c>
      <c r="F301">
        <f t="shared" si="4"/>
        <v>25</v>
      </c>
      <c r="H301" s="1">
        <v>0.624999999999999</v>
      </c>
      <c r="I301">
        <v>43</v>
      </c>
      <c r="J301">
        <v>7</v>
      </c>
      <c r="K301">
        <v>5</v>
      </c>
      <c r="P301" s="2">
        <f>TRUNC(O301/60) + 1</f>
        <v>1</v>
      </c>
      <c r="Q301">
        <v>43</v>
      </c>
      <c r="R301">
        <v>7</v>
      </c>
      <c r="S301">
        <v>5</v>
      </c>
    </row>
    <row r="302" spans="1:19" x14ac:dyDescent="0.25">
      <c r="A302">
        <v>95</v>
      </c>
      <c r="B302">
        <v>25</v>
      </c>
      <c r="C302">
        <v>8</v>
      </c>
      <c r="D302">
        <f>IF(A302=$N$2,1,0)</f>
        <v>0</v>
      </c>
      <c r="E302">
        <f>IF(A302=$M$2,1,0)</f>
        <v>0</v>
      </c>
      <c r="F302">
        <f t="shared" si="4"/>
        <v>26</v>
      </c>
      <c r="H302" s="1">
        <v>0.625694444444444</v>
      </c>
      <c r="I302">
        <v>95</v>
      </c>
      <c r="J302">
        <v>25</v>
      </c>
      <c r="K302">
        <v>8</v>
      </c>
      <c r="P302" s="2">
        <f>TRUNC(O302/60) + 1</f>
        <v>1</v>
      </c>
      <c r="Q302">
        <v>95</v>
      </c>
      <c r="R302">
        <v>25</v>
      </c>
      <c r="S302">
        <v>8</v>
      </c>
    </row>
    <row r="303" spans="1:19" x14ac:dyDescent="0.25">
      <c r="A303">
        <v>89</v>
      </c>
      <c r="B303">
        <v>17</v>
      </c>
      <c r="C303">
        <v>7</v>
      </c>
      <c r="D303">
        <f>IF(A303=$N$2,1,0)</f>
        <v>0</v>
      </c>
      <c r="E303">
        <f>IF(A303=$M$2,1,0)</f>
        <v>0</v>
      </c>
      <c r="F303">
        <f t="shared" si="4"/>
        <v>27</v>
      </c>
      <c r="H303" s="1">
        <v>0.626388888888888</v>
      </c>
      <c r="I303">
        <v>89</v>
      </c>
      <c r="J303">
        <v>17</v>
      </c>
      <c r="K303">
        <v>7</v>
      </c>
      <c r="P303" s="2">
        <f>TRUNC(O303/60) + 1</f>
        <v>1</v>
      </c>
      <c r="Q303">
        <v>89</v>
      </c>
      <c r="R303">
        <v>17</v>
      </c>
      <c r="S303">
        <v>7</v>
      </c>
    </row>
    <row r="304" spans="1:19" x14ac:dyDescent="0.25">
      <c r="A304">
        <v>69</v>
      </c>
      <c r="B304">
        <v>8</v>
      </c>
      <c r="C304">
        <v>10</v>
      </c>
      <c r="D304">
        <f>IF(A304=$N$2,1,0)</f>
        <v>0</v>
      </c>
      <c r="E304">
        <f>IF(A304=$M$2,1,0)</f>
        <v>0</v>
      </c>
      <c r="F304">
        <f t="shared" si="4"/>
        <v>0</v>
      </c>
      <c r="H304" s="1">
        <v>0.62708333333333199</v>
      </c>
      <c r="P304" s="2">
        <f>TRUNC(O304/60) + 1</f>
        <v>1</v>
      </c>
      <c r="Q304">
        <v>69</v>
      </c>
      <c r="R304">
        <v>8</v>
      </c>
      <c r="S304">
        <v>10</v>
      </c>
    </row>
    <row r="305" spans="1:19" x14ac:dyDescent="0.25">
      <c r="A305">
        <v>78</v>
      </c>
      <c r="B305">
        <v>8</v>
      </c>
      <c r="C305">
        <v>6</v>
      </c>
      <c r="D305">
        <f>IF(A305=$N$2,1,0)</f>
        <v>0</v>
      </c>
      <c r="E305">
        <f>IF(A305=$M$2,1,0)</f>
        <v>0</v>
      </c>
      <c r="F305">
        <f t="shared" si="4"/>
        <v>1</v>
      </c>
      <c r="H305" s="1">
        <v>0.62777777777777699</v>
      </c>
      <c r="P305" s="2">
        <f>TRUNC(O305/60) + 1</f>
        <v>1</v>
      </c>
      <c r="Q305">
        <v>78</v>
      </c>
      <c r="R305">
        <v>8</v>
      </c>
      <c r="S305">
        <v>6</v>
      </c>
    </row>
    <row r="306" spans="1:19" x14ac:dyDescent="0.25">
      <c r="A306">
        <v>69</v>
      </c>
      <c r="B306">
        <v>26</v>
      </c>
      <c r="C306">
        <v>3</v>
      </c>
      <c r="D306">
        <f>IF(A306=$N$2,1,0)</f>
        <v>0</v>
      </c>
      <c r="E306">
        <f>IF(A306=$M$2,1,0)</f>
        <v>0</v>
      </c>
      <c r="F306">
        <f t="shared" si="4"/>
        <v>2</v>
      </c>
      <c r="H306" s="1">
        <v>0.62847222222222099</v>
      </c>
      <c r="P306" s="2">
        <f>TRUNC(O306/60) + 1</f>
        <v>1</v>
      </c>
      <c r="Q306">
        <v>69</v>
      </c>
      <c r="R306">
        <v>26</v>
      </c>
      <c r="S306">
        <v>3</v>
      </c>
    </row>
    <row r="307" spans="1:19" x14ac:dyDescent="0.25">
      <c r="A307">
        <v>76</v>
      </c>
      <c r="B307">
        <v>18</v>
      </c>
      <c r="C307">
        <v>8</v>
      </c>
      <c r="D307">
        <f>IF(A307=$N$2,1,0)</f>
        <v>0</v>
      </c>
      <c r="E307">
        <f>IF(A307=$M$2,1,0)</f>
        <v>0</v>
      </c>
      <c r="F307">
        <f t="shared" si="4"/>
        <v>3</v>
      </c>
      <c r="H307" s="1">
        <v>0.62916666666666599</v>
      </c>
      <c r="P307" s="2">
        <f>TRUNC(O307/60) + 1</f>
        <v>1</v>
      </c>
      <c r="Q307">
        <v>76</v>
      </c>
      <c r="R307">
        <v>18</v>
      </c>
      <c r="S307">
        <v>8</v>
      </c>
    </row>
    <row r="308" spans="1:19" x14ac:dyDescent="0.25">
      <c r="A308">
        <v>87</v>
      </c>
      <c r="B308">
        <v>11</v>
      </c>
      <c r="C308">
        <v>6</v>
      </c>
      <c r="D308">
        <f>IF(A308=$N$2,1,0)</f>
        <v>0</v>
      </c>
      <c r="E308">
        <f>IF(A308=$M$2,1,0)</f>
        <v>0</v>
      </c>
      <c r="F308">
        <f t="shared" si="4"/>
        <v>4</v>
      </c>
      <c r="H308" s="1">
        <v>0.62986111111110998</v>
      </c>
      <c r="P308" s="2">
        <f>TRUNC(O308/60) + 1</f>
        <v>1</v>
      </c>
      <c r="Q308">
        <v>87</v>
      </c>
      <c r="R308">
        <v>11</v>
      </c>
      <c r="S308">
        <v>6</v>
      </c>
    </row>
    <row r="309" spans="1:19" x14ac:dyDescent="0.25">
      <c r="A309">
        <v>98</v>
      </c>
      <c r="B309">
        <v>22</v>
      </c>
      <c r="C309">
        <v>5</v>
      </c>
      <c r="D309">
        <f>IF(A309=$N$2,1,0)</f>
        <v>0</v>
      </c>
      <c r="E309">
        <f>IF(A309=$M$2,1,0)</f>
        <v>0</v>
      </c>
      <c r="F309">
        <f t="shared" si="4"/>
        <v>5</v>
      </c>
      <c r="H309" s="1">
        <v>0.63055555555555498</v>
      </c>
      <c r="P309" s="2">
        <f>TRUNC(O309/60) + 1</f>
        <v>1</v>
      </c>
      <c r="Q309">
        <v>98</v>
      </c>
      <c r="R309">
        <v>22</v>
      </c>
      <c r="S309">
        <v>5</v>
      </c>
    </row>
    <row r="310" spans="1:19" x14ac:dyDescent="0.25">
      <c r="A310">
        <v>91</v>
      </c>
      <c r="B310">
        <v>14</v>
      </c>
      <c r="C310">
        <v>5</v>
      </c>
      <c r="D310">
        <f>IF(A310=$N$2,1,0)</f>
        <v>0</v>
      </c>
      <c r="E310">
        <f>IF(A310=$M$2,1,0)</f>
        <v>0</v>
      </c>
      <c r="F310">
        <f t="shared" si="4"/>
        <v>6</v>
      </c>
      <c r="H310" s="1">
        <v>0.63124999999999898</v>
      </c>
      <c r="P310" s="2">
        <f>TRUNC(O310/60) + 1</f>
        <v>1</v>
      </c>
      <c r="Q310">
        <v>91</v>
      </c>
      <c r="R310">
        <v>14</v>
      </c>
      <c r="S310">
        <v>5</v>
      </c>
    </row>
    <row r="311" spans="1:19" x14ac:dyDescent="0.25">
      <c r="A311">
        <v>12</v>
      </c>
      <c r="B311">
        <v>17</v>
      </c>
      <c r="C311">
        <v>4</v>
      </c>
      <c r="D311">
        <f>IF(A311=$N$2,1,0)</f>
        <v>0</v>
      </c>
      <c r="E311">
        <f>IF(A311=$M$2,1,0)</f>
        <v>0</v>
      </c>
      <c r="F311">
        <f t="shared" si="4"/>
        <v>0</v>
      </c>
      <c r="H311" s="1">
        <v>0.63194444444444398</v>
      </c>
      <c r="P311" s="2">
        <f>TRUNC(O311/60) + 1</f>
        <v>1</v>
      </c>
      <c r="Q311">
        <v>12</v>
      </c>
      <c r="R311">
        <v>17</v>
      </c>
      <c r="S311">
        <v>4</v>
      </c>
    </row>
    <row r="312" spans="1:19" x14ac:dyDescent="0.25">
      <c r="A312">
        <v>58</v>
      </c>
      <c r="B312">
        <v>18</v>
      </c>
      <c r="C312">
        <v>8</v>
      </c>
      <c r="D312">
        <f>IF(A312=$N$2,1,0)</f>
        <v>0</v>
      </c>
      <c r="E312">
        <f>IF(A312=$M$2,1,0)</f>
        <v>0</v>
      </c>
      <c r="F312">
        <f t="shared" si="4"/>
        <v>1</v>
      </c>
      <c r="H312" s="1">
        <v>0.63263888888888797</v>
      </c>
      <c r="P312" s="2">
        <f>TRUNC(O312/60) + 1</f>
        <v>1</v>
      </c>
      <c r="Q312">
        <v>58</v>
      </c>
      <c r="R312">
        <v>18</v>
      </c>
      <c r="S312">
        <v>8</v>
      </c>
    </row>
    <row r="313" spans="1:19" x14ac:dyDescent="0.25">
      <c r="A313">
        <v>39</v>
      </c>
      <c r="B313">
        <v>17</v>
      </c>
      <c r="C313">
        <v>7</v>
      </c>
      <c r="D313">
        <f>IF(A313=$N$2,1,0)</f>
        <v>0</v>
      </c>
      <c r="E313">
        <f>IF(A313=$M$2,1,0)</f>
        <v>0</v>
      </c>
      <c r="F313">
        <f t="shared" si="4"/>
        <v>2</v>
      </c>
      <c r="H313" s="1">
        <v>0.63333333333333197</v>
      </c>
      <c r="P313" s="2">
        <f>TRUNC(O313/60) + 1</f>
        <v>1</v>
      </c>
      <c r="Q313">
        <v>39</v>
      </c>
      <c r="R313">
        <v>17</v>
      </c>
      <c r="S313">
        <v>7</v>
      </c>
    </row>
    <row r="314" spans="1:19" x14ac:dyDescent="0.25">
      <c r="A314">
        <v>12</v>
      </c>
      <c r="B314">
        <v>15</v>
      </c>
      <c r="C314">
        <v>9</v>
      </c>
      <c r="D314">
        <f>IF(A314=$N$2,1,0)</f>
        <v>0</v>
      </c>
      <c r="E314">
        <f>IF(A314=$M$2,1,0)</f>
        <v>0</v>
      </c>
      <c r="F314">
        <f t="shared" si="4"/>
        <v>0</v>
      </c>
      <c r="H314" s="1">
        <v>0.63402777777777697</v>
      </c>
      <c r="P314" s="2">
        <f>TRUNC(O314/60) + 1</f>
        <v>1</v>
      </c>
      <c r="Q314">
        <v>12</v>
      </c>
      <c r="R314">
        <v>15</v>
      </c>
      <c r="S314">
        <v>9</v>
      </c>
    </row>
    <row r="315" spans="1:19" x14ac:dyDescent="0.25">
      <c r="A315">
        <v>63</v>
      </c>
      <c r="B315">
        <v>11</v>
      </c>
      <c r="C315">
        <v>4</v>
      </c>
      <c r="D315">
        <f>IF(A315=$N$2,1,0)</f>
        <v>0</v>
      </c>
      <c r="E315">
        <f>IF(A315=$M$2,1,0)</f>
        <v>0</v>
      </c>
      <c r="F315">
        <f t="shared" si="4"/>
        <v>1</v>
      </c>
      <c r="H315" s="1">
        <v>0.63472222222222097</v>
      </c>
      <c r="P315" s="2">
        <f>TRUNC(O315/60) + 1</f>
        <v>1</v>
      </c>
      <c r="Q315">
        <v>63</v>
      </c>
      <c r="R315">
        <v>11</v>
      </c>
      <c r="S315">
        <v>4</v>
      </c>
    </row>
    <row r="316" spans="1:19" x14ac:dyDescent="0.25">
      <c r="A316">
        <v>12</v>
      </c>
      <c r="B316">
        <v>22</v>
      </c>
      <c r="C316">
        <v>8</v>
      </c>
      <c r="D316">
        <f>IF(A316=$N$2,1,0)</f>
        <v>0</v>
      </c>
      <c r="E316">
        <f>IF(A316=$M$2,1,0)</f>
        <v>0</v>
      </c>
      <c r="F316">
        <f t="shared" si="4"/>
        <v>0</v>
      </c>
      <c r="H316" s="1">
        <v>0.63541666666666596</v>
      </c>
      <c r="P316" s="2">
        <f>TRUNC(O316/60) + 1</f>
        <v>1</v>
      </c>
      <c r="Q316">
        <v>12</v>
      </c>
      <c r="R316">
        <v>22</v>
      </c>
      <c r="S316">
        <v>8</v>
      </c>
    </row>
    <row r="317" spans="1:19" x14ac:dyDescent="0.25">
      <c r="A317">
        <v>58</v>
      </c>
      <c r="B317">
        <v>6</v>
      </c>
      <c r="C317">
        <v>1</v>
      </c>
      <c r="D317">
        <f>IF(A317=$N$2,1,0)</f>
        <v>0</v>
      </c>
      <c r="E317">
        <f>IF(A317=$M$2,1,0)</f>
        <v>0</v>
      </c>
      <c r="F317">
        <f t="shared" si="4"/>
        <v>1</v>
      </c>
      <c r="H317" s="1">
        <v>0.63611111111110996</v>
      </c>
      <c r="P317" s="2">
        <f>TRUNC(O317/60) + 1</f>
        <v>1</v>
      </c>
      <c r="Q317">
        <v>58</v>
      </c>
      <c r="R317">
        <v>6</v>
      </c>
      <c r="S317">
        <v>1</v>
      </c>
    </row>
    <row r="318" spans="1:19" x14ac:dyDescent="0.25">
      <c r="A318">
        <v>39</v>
      </c>
      <c r="B318">
        <v>14</v>
      </c>
      <c r="C318">
        <v>4</v>
      </c>
      <c r="D318">
        <f>IF(A318=$N$2,1,0)</f>
        <v>0</v>
      </c>
      <c r="E318">
        <f>IF(A318=$M$2,1,0)</f>
        <v>0</v>
      </c>
      <c r="F318">
        <f t="shared" si="4"/>
        <v>2</v>
      </c>
      <c r="H318" s="1">
        <v>0.63680555555555496</v>
      </c>
      <c r="P318" s="2">
        <f>TRUNC(O318/60) + 1</f>
        <v>1</v>
      </c>
      <c r="Q318">
        <v>39</v>
      </c>
      <c r="R318">
        <v>14</v>
      </c>
      <c r="S318">
        <v>4</v>
      </c>
    </row>
    <row r="319" spans="1:19" x14ac:dyDescent="0.25">
      <c r="A319">
        <v>33</v>
      </c>
      <c r="B319">
        <v>11</v>
      </c>
      <c r="C319">
        <v>7</v>
      </c>
      <c r="D319">
        <f>IF(A319=$N$2,1,0)</f>
        <v>0</v>
      </c>
      <c r="E319">
        <f>IF(A319=$M$2,1,0)</f>
        <v>0</v>
      </c>
      <c r="F319">
        <f t="shared" si="4"/>
        <v>3</v>
      </c>
      <c r="H319" s="1">
        <v>0.63749999999999896</v>
      </c>
      <c r="P319" s="2">
        <f>TRUNC(O319/60) + 1</f>
        <v>1</v>
      </c>
      <c r="Q319">
        <v>33</v>
      </c>
      <c r="R319">
        <v>11</v>
      </c>
      <c r="S319">
        <v>7</v>
      </c>
    </row>
    <row r="320" spans="1:19" x14ac:dyDescent="0.25">
      <c r="A320">
        <v>26</v>
      </c>
      <c r="B320">
        <v>12</v>
      </c>
      <c r="C320">
        <v>1</v>
      </c>
      <c r="D320">
        <f>IF(A320=$N$2,1,0)</f>
        <v>0</v>
      </c>
      <c r="E320">
        <f>IF(A320=$M$2,1,0)</f>
        <v>0</v>
      </c>
      <c r="F320">
        <f t="shared" si="4"/>
        <v>4</v>
      </c>
      <c r="H320" s="1">
        <v>0.63819444444444395</v>
      </c>
      <c r="P320" s="2">
        <f>TRUNC(O320/60) + 1</f>
        <v>1</v>
      </c>
      <c r="Q320">
        <v>26</v>
      </c>
      <c r="R320">
        <v>12</v>
      </c>
      <c r="S320">
        <v>1</v>
      </c>
    </row>
    <row r="321" spans="1:19" x14ac:dyDescent="0.25">
      <c r="A321">
        <v>55</v>
      </c>
      <c r="B321">
        <v>16</v>
      </c>
      <c r="C321">
        <v>9</v>
      </c>
      <c r="D321">
        <f>IF(A321=$N$2,1,0)</f>
        <v>0</v>
      </c>
      <c r="E321">
        <f>IF(A321=$M$2,1,0)</f>
        <v>0</v>
      </c>
      <c r="F321">
        <f t="shared" si="4"/>
        <v>5</v>
      </c>
      <c r="H321" s="1">
        <v>0.63888888888888795</v>
      </c>
      <c r="P321" s="2">
        <f>TRUNC(O321/60) + 1</f>
        <v>1</v>
      </c>
      <c r="Q321">
        <v>55</v>
      </c>
      <c r="R321">
        <v>16</v>
      </c>
      <c r="S321">
        <v>9</v>
      </c>
    </row>
    <row r="322" spans="1:19" x14ac:dyDescent="0.25">
      <c r="A322">
        <v>20</v>
      </c>
      <c r="B322">
        <v>23</v>
      </c>
      <c r="C322">
        <v>8</v>
      </c>
      <c r="D322">
        <f>IF(A322=$N$2,1,0)</f>
        <v>0</v>
      </c>
      <c r="E322">
        <f>IF(A322=$M$2,1,0)</f>
        <v>0</v>
      </c>
      <c r="F322">
        <f t="shared" si="4"/>
        <v>0</v>
      </c>
      <c r="H322" s="1">
        <v>0.63958333333333195</v>
      </c>
      <c r="P322" s="2">
        <f>TRUNC(O322/60) + 1</f>
        <v>1</v>
      </c>
      <c r="Q322">
        <v>20</v>
      </c>
      <c r="R322">
        <v>23</v>
      </c>
      <c r="S322">
        <v>8</v>
      </c>
    </row>
    <row r="323" spans="1:19" x14ac:dyDescent="0.25">
      <c r="A323">
        <v>99</v>
      </c>
      <c r="B323">
        <v>19</v>
      </c>
      <c r="C323">
        <v>8</v>
      </c>
      <c r="D323">
        <f>IF(A323=$N$2,1,0)</f>
        <v>0</v>
      </c>
      <c r="E323">
        <f>IF(A323=$M$2,1,0)</f>
        <v>0</v>
      </c>
      <c r="F323">
        <f t="shared" ref="F323:F386" si="5">IF(AND(B323&gt;C323, A323 &gt; B323), F322 + 1, 0)</f>
        <v>1</v>
      </c>
      <c r="H323" s="1">
        <v>0.64027777777777695</v>
      </c>
      <c r="P323" s="2">
        <f>TRUNC(O323/60) + 1</f>
        <v>1</v>
      </c>
      <c r="Q323">
        <v>99</v>
      </c>
      <c r="R323">
        <v>19</v>
      </c>
      <c r="S323">
        <v>8</v>
      </c>
    </row>
    <row r="324" spans="1:19" x14ac:dyDescent="0.25">
      <c r="A324">
        <v>84</v>
      </c>
      <c r="B324">
        <v>15</v>
      </c>
      <c r="C324">
        <v>9</v>
      </c>
      <c r="D324">
        <f>IF(A324=$N$2,1,0)</f>
        <v>0</v>
      </c>
      <c r="E324">
        <f>IF(A324=$M$2,1,0)</f>
        <v>0</v>
      </c>
      <c r="F324">
        <f t="shared" si="5"/>
        <v>2</v>
      </c>
      <c r="H324" s="1">
        <v>0.64097222222222106</v>
      </c>
      <c r="P324" s="2">
        <f>TRUNC(O324/60) + 1</f>
        <v>1</v>
      </c>
      <c r="Q324">
        <v>84</v>
      </c>
      <c r="R324">
        <v>15</v>
      </c>
      <c r="S324">
        <v>9</v>
      </c>
    </row>
    <row r="325" spans="1:19" x14ac:dyDescent="0.25">
      <c r="A325">
        <v>81</v>
      </c>
      <c r="B325">
        <v>19</v>
      </c>
      <c r="C325">
        <v>3</v>
      </c>
      <c r="D325">
        <f>IF(A325=$N$2,1,0)</f>
        <v>0</v>
      </c>
      <c r="E325">
        <f>IF(A325=$M$2,1,0)</f>
        <v>0</v>
      </c>
      <c r="F325">
        <f t="shared" si="5"/>
        <v>3</v>
      </c>
      <c r="H325" s="1">
        <v>0.64166666666666605</v>
      </c>
      <c r="P325" s="2">
        <f>TRUNC(O325/60) + 1</f>
        <v>1</v>
      </c>
      <c r="Q325">
        <v>81</v>
      </c>
      <c r="R325">
        <v>19</v>
      </c>
      <c r="S325">
        <v>3</v>
      </c>
    </row>
    <row r="326" spans="1:19" x14ac:dyDescent="0.25">
      <c r="A326">
        <v>16</v>
      </c>
      <c r="B326">
        <v>7</v>
      </c>
      <c r="C326">
        <v>3</v>
      </c>
      <c r="D326">
        <f>IF(A326=$N$2,1,0)</f>
        <v>0</v>
      </c>
      <c r="E326">
        <f>IF(A326=$M$2,1,0)</f>
        <v>0</v>
      </c>
      <c r="F326">
        <f t="shared" si="5"/>
        <v>4</v>
      </c>
      <c r="H326" s="1">
        <v>0.64236111111111005</v>
      </c>
      <c r="P326" s="2">
        <f>TRUNC(O326/60) + 1</f>
        <v>1</v>
      </c>
      <c r="Q326">
        <v>16</v>
      </c>
      <c r="R326">
        <v>7</v>
      </c>
      <c r="S326">
        <v>3</v>
      </c>
    </row>
    <row r="327" spans="1:19" x14ac:dyDescent="0.25">
      <c r="A327">
        <v>71</v>
      </c>
      <c r="B327">
        <v>7</v>
      </c>
      <c r="C327">
        <v>4</v>
      </c>
      <c r="D327">
        <f>IF(A327=$N$2,1,0)</f>
        <v>0</v>
      </c>
      <c r="E327">
        <f>IF(A327=$M$2,1,0)</f>
        <v>0</v>
      </c>
      <c r="F327">
        <f t="shared" si="5"/>
        <v>5</v>
      </c>
      <c r="H327" s="1">
        <v>0.64305555555555505</v>
      </c>
      <c r="P327" s="2">
        <f>TRUNC(O327/60) + 1</f>
        <v>1</v>
      </c>
      <c r="Q327">
        <v>71</v>
      </c>
      <c r="R327">
        <v>7</v>
      </c>
      <c r="S327">
        <v>4</v>
      </c>
    </row>
    <row r="328" spans="1:19" x14ac:dyDescent="0.25">
      <c r="A328">
        <v>56</v>
      </c>
      <c r="B328">
        <v>10</v>
      </c>
      <c r="C328">
        <v>4</v>
      </c>
      <c r="D328">
        <f>IF(A328=$N$2,1,0)</f>
        <v>0</v>
      </c>
      <c r="E328">
        <f>IF(A328=$M$2,1,0)</f>
        <v>0</v>
      </c>
      <c r="F328">
        <f t="shared" si="5"/>
        <v>6</v>
      </c>
      <c r="H328" s="1">
        <v>0.64374999999999905</v>
      </c>
      <c r="P328" s="2">
        <f>TRUNC(O328/60) + 1</f>
        <v>1</v>
      </c>
      <c r="Q328">
        <v>56</v>
      </c>
      <c r="R328">
        <v>10</v>
      </c>
      <c r="S328">
        <v>4</v>
      </c>
    </row>
    <row r="329" spans="1:19" x14ac:dyDescent="0.25">
      <c r="A329">
        <v>13</v>
      </c>
      <c r="B329">
        <v>29</v>
      </c>
      <c r="C329">
        <v>10</v>
      </c>
      <c r="D329">
        <f>IF(A329=$N$2,1,0)</f>
        <v>0</v>
      </c>
      <c r="E329">
        <f>IF(A329=$M$2,1,0)</f>
        <v>0</v>
      </c>
      <c r="F329">
        <f t="shared" si="5"/>
        <v>0</v>
      </c>
      <c r="H329" s="1">
        <v>0.64444444444444404</v>
      </c>
      <c r="P329" s="2">
        <f>TRUNC(O329/60) + 1</f>
        <v>1</v>
      </c>
      <c r="Q329">
        <v>13</v>
      </c>
      <c r="R329">
        <v>29</v>
      </c>
      <c r="S329">
        <v>10</v>
      </c>
    </row>
    <row r="330" spans="1:19" x14ac:dyDescent="0.25">
      <c r="A330">
        <v>65</v>
      </c>
      <c r="B330">
        <v>9</v>
      </c>
      <c r="C330">
        <v>7</v>
      </c>
      <c r="D330">
        <f>IF(A330=$N$2,1,0)</f>
        <v>0</v>
      </c>
      <c r="E330">
        <f>IF(A330=$M$2,1,0)</f>
        <v>0</v>
      </c>
      <c r="F330">
        <f t="shared" si="5"/>
        <v>1</v>
      </c>
      <c r="H330" s="1">
        <v>0.64513888888888804</v>
      </c>
      <c r="P330" s="2">
        <f>TRUNC(O330/60) + 1</f>
        <v>1</v>
      </c>
      <c r="Q330">
        <v>65</v>
      </c>
      <c r="R330">
        <v>9</v>
      </c>
      <c r="S330">
        <v>7</v>
      </c>
    </row>
    <row r="331" spans="1:19" x14ac:dyDescent="0.25">
      <c r="A331">
        <v>93</v>
      </c>
      <c r="B331">
        <v>21</v>
      </c>
      <c r="C331">
        <v>8</v>
      </c>
      <c r="D331">
        <f>IF(A331=$N$2,1,0)</f>
        <v>0</v>
      </c>
      <c r="E331">
        <f>IF(A331=$M$2,1,0)</f>
        <v>0</v>
      </c>
      <c r="F331">
        <f t="shared" si="5"/>
        <v>2</v>
      </c>
      <c r="H331" s="1">
        <v>0.64583333333333204</v>
      </c>
      <c r="P331" s="2">
        <f>TRUNC(O331/60) + 1</f>
        <v>1</v>
      </c>
      <c r="Q331">
        <v>93</v>
      </c>
      <c r="R331">
        <v>21</v>
      </c>
      <c r="S331">
        <v>8</v>
      </c>
    </row>
    <row r="332" spans="1:19" x14ac:dyDescent="0.25">
      <c r="A332">
        <v>93</v>
      </c>
      <c r="B332">
        <v>20</v>
      </c>
      <c r="C332">
        <v>9</v>
      </c>
      <c r="D332">
        <f>IF(A332=$N$2,1,0)</f>
        <v>0</v>
      </c>
      <c r="E332">
        <f>IF(A332=$M$2,1,0)</f>
        <v>0</v>
      </c>
      <c r="F332">
        <f t="shared" si="5"/>
        <v>3</v>
      </c>
      <c r="H332" s="1">
        <v>0.64652777777777704</v>
      </c>
      <c r="P332" s="2">
        <f>TRUNC(O332/60) + 1</f>
        <v>1</v>
      </c>
      <c r="Q332">
        <v>93</v>
      </c>
      <c r="R332">
        <v>20</v>
      </c>
      <c r="S332">
        <v>9</v>
      </c>
    </row>
    <row r="333" spans="1:19" x14ac:dyDescent="0.25">
      <c r="A333">
        <v>86</v>
      </c>
      <c r="B333">
        <v>12</v>
      </c>
      <c r="C333">
        <v>2</v>
      </c>
      <c r="D333">
        <f>IF(A333=$N$2,1,0)</f>
        <v>0</v>
      </c>
      <c r="E333">
        <f>IF(A333=$M$2,1,0)</f>
        <v>0</v>
      </c>
      <c r="F333">
        <f t="shared" si="5"/>
        <v>4</v>
      </c>
      <c r="H333" s="1">
        <v>0.64722222222222103</v>
      </c>
      <c r="P333" s="2">
        <f>TRUNC(O333/60) + 1</f>
        <v>1</v>
      </c>
      <c r="Q333">
        <v>86</v>
      </c>
      <c r="R333">
        <v>12</v>
      </c>
      <c r="S333">
        <v>2</v>
      </c>
    </row>
    <row r="334" spans="1:19" x14ac:dyDescent="0.25">
      <c r="A334">
        <v>91</v>
      </c>
      <c r="B334">
        <v>17</v>
      </c>
      <c r="C334">
        <v>5</v>
      </c>
      <c r="D334">
        <f>IF(A334=$N$2,1,0)</f>
        <v>0</v>
      </c>
      <c r="E334">
        <f>IF(A334=$M$2,1,0)</f>
        <v>0</v>
      </c>
      <c r="F334">
        <f t="shared" si="5"/>
        <v>5</v>
      </c>
      <c r="H334" s="1">
        <v>0.64791666666666603</v>
      </c>
      <c r="P334" s="2">
        <f>TRUNC(O334/60) + 1</f>
        <v>1</v>
      </c>
      <c r="Q334">
        <v>91</v>
      </c>
      <c r="R334">
        <v>17</v>
      </c>
      <c r="S334">
        <v>5</v>
      </c>
    </row>
    <row r="335" spans="1:19" x14ac:dyDescent="0.25">
      <c r="A335">
        <v>38</v>
      </c>
      <c r="B335">
        <v>10</v>
      </c>
      <c r="C335">
        <v>6</v>
      </c>
      <c r="D335">
        <f>IF(A335=$N$2,1,0)</f>
        <v>0</v>
      </c>
      <c r="E335">
        <f>IF(A335=$M$2,1,0)</f>
        <v>0</v>
      </c>
      <c r="F335">
        <f t="shared" si="5"/>
        <v>6</v>
      </c>
      <c r="H335" s="1">
        <v>0.64861111111111003</v>
      </c>
      <c r="P335" s="2">
        <f>TRUNC(O335/60) + 1</f>
        <v>1</v>
      </c>
      <c r="Q335">
        <v>38</v>
      </c>
      <c r="R335">
        <v>10</v>
      </c>
      <c r="S335">
        <v>6</v>
      </c>
    </row>
    <row r="336" spans="1:19" x14ac:dyDescent="0.25">
      <c r="A336">
        <v>81</v>
      </c>
      <c r="B336">
        <v>15</v>
      </c>
      <c r="C336">
        <v>8</v>
      </c>
      <c r="D336">
        <f>IF(A336=$N$2,1,0)</f>
        <v>0</v>
      </c>
      <c r="E336">
        <f>IF(A336=$M$2,1,0)</f>
        <v>0</v>
      </c>
      <c r="F336">
        <f t="shared" si="5"/>
        <v>7</v>
      </c>
      <c r="H336" s="1">
        <v>0.64930555555555503</v>
      </c>
      <c r="P336" s="2">
        <f>TRUNC(O336/60) + 1</f>
        <v>1</v>
      </c>
      <c r="Q336">
        <v>81</v>
      </c>
      <c r="R336">
        <v>15</v>
      </c>
      <c r="S336">
        <v>8</v>
      </c>
    </row>
    <row r="337" spans="1:19" x14ac:dyDescent="0.25">
      <c r="A337">
        <v>18</v>
      </c>
      <c r="B337">
        <v>30</v>
      </c>
      <c r="C337">
        <v>4</v>
      </c>
      <c r="D337">
        <f>IF(A337=$N$2,1,0)</f>
        <v>0</v>
      </c>
      <c r="E337">
        <f>IF(A337=$M$2,1,0)</f>
        <v>0</v>
      </c>
      <c r="F337">
        <f t="shared" si="5"/>
        <v>0</v>
      </c>
      <c r="H337" s="1">
        <v>0.64999999999999902</v>
      </c>
      <c r="P337" s="2">
        <f>TRUNC(O337/60) + 1</f>
        <v>1</v>
      </c>
      <c r="Q337">
        <v>18</v>
      </c>
      <c r="R337">
        <v>30</v>
      </c>
      <c r="S337">
        <v>4</v>
      </c>
    </row>
    <row r="338" spans="1:19" x14ac:dyDescent="0.25">
      <c r="A338">
        <v>67</v>
      </c>
      <c r="B338">
        <v>20</v>
      </c>
      <c r="C338">
        <v>1</v>
      </c>
      <c r="D338">
        <f>IF(A338=$N$2,1,0)</f>
        <v>0</v>
      </c>
      <c r="E338">
        <f>IF(A338=$M$2,1,0)</f>
        <v>0</v>
      </c>
      <c r="F338">
        <f t="shared" si="5"/>
        <v>1</v>
      </c>
      <c r="H338" s="1">
        <v>0.65069444444444402</v>
      </c>
      <c r="P338" s="2">
        <f>TRUNC(O338/60) + 1</f>
        <v>1</v>
      </c>
      <c r="Q338">
        <v>67</v>
      </c>
      <c r="R338">
        <v>20</v>
      </c>
      <c r="S338">
        <v>1</v>
      </c>
    </row>
    <row r="339" spans="1:19" x14ac:dyDescent="0.25">
      <c r="A339">
        <v>35</v>
      </c>
      <c r="B339">
        <v>15</v>
      </c>
      <c r="C339">
        <v>9</v>
      </c>
      <c r="D339">
        <f>IF(A339=$N$2,1,0)</f>
        <v>0</v>
      </c>
      <c r="E339">
        <f>IF(A339=$M$2,1,0)</f>
        <v>0</v>
      </c>
      <c r="F339">
        <f t="shared" si="5"/>
        <v>2</v>
      </c>
      <c r="H339" s="1">
        <v>0.65138888888888802</v>
      </c>
      <c r="P339" s="2">
        <f>TRUNC(O339/60) + 1</f>
        <v>1</v>
      </c>
      <c r="Q339">
        <v>35</v>
      </c>
      <c r="R339">
        <v>15</v>
      </c>
      <c r="S339">
        <v>9</v>
      </c>
    </row>
    <row r="340" spans="1:19" x14ac:dyDescent="0.25">
      <c r="A340">
        <v>69</v>
      </c>
      <c r="B340">
        <v>16</v>
      </c>
      <c r="C340">
        <v>1</v>
      </c>
      <c r="D340">
        <f>IF(A340=$N$2,1,0)</f>
        <v>0</v>
      </c>
      <c r="E340">
        <f>IF(A340=$M$2,1,0)</f>
        <v>0</v>
      </c>
      <c r="F340">
        <f t="shared" si="5"/>
        <v>3</v>
      </c>
      <c r="H340" s="1">
        <v>0.65208333333333202</v>
      </c>
      <c r="P340" s="2">
        <f>TRUNC(O340/60) + 1</f>
        <v>1</v>
      </c>
      <c r="Q340">
        <v>69</v>
      </c>
      <c r="R340">
        <v>16</v>
      </c>
      <c r="S340">
        <v>1</v>
      </c>
    </row>
    <row r="341" spans="1:19" x14ac:dyDescent="0.25">
      <c r="A341">
        <v>46</v>
      </c>
      <c r="B341">
        <v>22</v>
      </c>
      <c r="C341">
        <v>1</v>
      </c>
      <c r="D341">
        <f>IF(A341=$N$2,1,0)</f>
        <v>0</v>
      </c>
      <c r="E341">
        <f>IF(A341=$M$2,1,0)</f>
        <v>0</v>
      </c>
      <c r="F341">
        <f t="shared" si="5"/>
        <v>4</v>
      </c>
      <c r="H341" s="1">
        <v>0.65277777777777701</v>
      </c>
      <c r="P341" s="2">
        <f>TRUNC(O341/60) + 1</f>
        <v>1</v>
      </c>
      <c r="Q341">
        <v>46</v>
      </c>
      <c r="R341">
        <v>22</v>
      </c>
      <c r="S341">
        <v>1</v>
      </c>
    </row>
    <row r="342" spans="1:19" x14ac:dyDescent="0.25">
      <c r="A342">
        <v>86</v>
      </c>
      <c r="B342">
        <v>26</v>
      </c>
      <c r="C342">
        <v>9</v>
      </c>
      <c r="D342">
        <f>IF(A342=$N$2,1,0)</f>
        <v>0</v>
      </c>
      <c r="E342">
        <f>IF(A342=$M$2,1,0)</f>
        <v>0</v>
      </c>
      <c r="F342">
        <f t="shared" si="5"/>
        <v>5</v>
      </c>
      <c r="H342" s="1">
        <v>0.65347222222222101</v>
      </c>
      <c r="P342" s="2">
        <f>TRUNC(O342/60) + 1</f>
        <v>1</v>
      </c>
      <c r="Q342">
        <v>86</v>
      </c>
      <c r="R342">
        <v>26</v>
      </c>
      <c r="S342">
        <v>9</v>
      </c>
    </row>
    <row r="343" spans="1:19" x14ac:dyDescent="0.25">
      <c r="A343">
        <v>62</v>
      </c>
      <c r="B343">
        <v>11</v>
      </c>
      <c r="C343">
        <v>3</v>
      </c>
      <c r="D343">
        <f>IF(A343=$N$2,1,0)</f>
        <v>0</v>
      </c>
      <c r="E343">
        <f>IF(A343=$M$2,1,0)</f>
        <v>0</v>
      </c>
      <c r="F343">
        <f t="shared" si="5"/>
        <v>6</v>
      </c>
      <c r="H343" s="1">
        <v>0.65416666666666601</v>
      </c>
      <c r="P343" s="2">
        <f>TRUNC(O343/60) + 1</f>
        <v>1</v>
      </c>
      <c r="Q343">
        <v>62</v>
      </c>
      <c r="R343">
        <v>11</v>
      </c>
      <c r="S343">
        <v>3</v>
      </c>
    </row>
    <row r="344" spans="1:19" x14ac:dyDescent="0.25">
      <c r="A344">
        <v>74</v>
      </c>
      <c r="B344">
        <v>18</v>
      </c>
      <c r="C344">
        <v>3</v>
      </c>
      <c r="D344">
        <f>IF(A344=$N$2,1,0)</f>
        <v>0</v>
      </c>
      <c r="E344">
        <f>IF(A344=$M$2,1,0)</f>
        <v>0</v>
      </c>
      <c r="F344">
        <f t="shared" si="5"/>
        <v>7</v>
      </c>
      <c r="H344" s="1">
        <v>0.65486111111111001</v>
      </c>
      <c r="P344" s="2">
        <f>TRUNC(O344/60) + 1</f>
        <v>1</v>
      </c>
      <c r="Q344">
        <v>74</v>
      </c>
      <c r="R344">
        <v>18</v>
      </c>
      <c r="S344">
        <v>3</v>
      </c>
    </row>
    <row r="345" spans="1:19" x14ac:dyDescent="0.25">
      <c r="A345">
        <v>59</v>
      </c>
      <c r="B345">
        <v>13</v>
      </c>
      <c r="C345">
        <v>8</v>
      </c>
      <c r="D345">
        <f>IF(A345=$N$2,1,0)</f>
        <v>0</v>
      </c>
      <c r="E345">
        <f>IF(A345=$M$2,1,0)</f>
        <v>0</v>
      </c>
      <c r="F345">
        <f t="shared" si="5"/>
        <v>8</v>
      </c>
      <c r="H345" s="1">
        <v>0.655555555555555</v>
      </c>
      <c r="P345" s="2">
        <f>TRUNC(O345/60) + 1</f>
        <v>1</v>
      </c>
      <c r="Q345">
        <v>59</v>
      </c>
      <c r="R345">
        <v>13</v>
      </c>
      <c r="S345">
        <v>8</v>
      </c>
    </row>
    <row r="346" spans="1:19" x14ac:dyDescent="0.25">
      <c r="A346">
        <v>51</v>
      </c>
      <c r="B346">
        <v>23</v>
      </c>
      <c r="C346">
        <v>7</v>
      </c>
      <c r="D346">
        <f>IF(A346=$N$2,1,0)</f>
        <v>0</v>
      </c>
      <c r="E346">
        <f>IF(A346=$M$2,1,0)</f>
        <v>0</v>
      </c>
      <c r="F346">
        <f t="shared" si="5"/>
        <v>9</v>
      </c>
      <c r="H346" s="1">
        <v>0.656249999999999</v>
      </c>
      <c r="P346" s="2">
        <f>TRUNC(O346/60) + 1</f>
        <v>1</v>
      </c>
      <c r="Q346">
        <v>51</v>
      </c>
      <c r="R346">
        <v>23</v>
      </c>
      <c r="S346">
        <v>7</v>
      </c>
    </row>
    <row r="347" spans="1:19" x14ac:dyDescent="0.25">
      <c r="A347">
        <v>54</v>
      </c>
      <c r="B347">
        <v>11</v>
      </c>
      <c r="C347">
        <v>2</v>
      </c>
      <c r="D347">
        <f>IF(A347=$N$2,1,0)</f>
        <v>0</v>
      </c>
      <c r="E347">
        <f>IF(A347=$M$2,1,0)</f>
        <v>0</v>
      </c>
      <c r="F347">
        <f t="shared" si="5"/>
        <v>10</v>
      </c>
      <c r="H347" s="1">
        <v>0.656944444444443</v>
      </c>
      <c r="P347" s="2">
        <f>TRUNC(O347/60) + 1</f>
        <v>1</v>
      </c>
      <c r="Q347">
        <v>54</v>
      </c>
      <c r="R347">
        <v>11</v>
      </c>
      <c r="S347">
        <v>2</v>
      </c>
    </row>
    <row r="348" spans="1:19" x14ac:dyDescent="0.25">
      <c r="A348">
        <v>96</v>
      </c>
      <c r="B348">
        <v>30</v>
      </c>
      <c r="C348">
        <v>2</v>
      </c>
      <c r="D348">
        <f>IF(A348=$N$2,1,0)</f>
        <v>0</v>
      </c>
      <c r="E348">
        <f>IF(A348=$M$2,1,0)</f>
        <v>0</v>
      </c>
      <c r="F348">
        <f t="shared" si="5"/>
        <v>11</v>
      </c>
      <c r="H348" s="1">
        <v>0.657638888888888</v>
      </c>
      <c r="P348" s="2">
        <f>TRUNC(O348/60) + 1</f>
        <v>1</v>
      </c>
      <c r="Q348">
        <v>96</v>
      </c>
      <c r="R348">
        <v>30</v>
      </c>
      <c r="S348">
        <v>2</v>
      </c>
    </row>
    <row r="349" spans="1:19" x14ac:dyDescent="0.25">
      <c r="A349">
        <v>35</v>
      </c>
      <c r="B349">
        <v>14</v>
      </c>
      <c r="C349">
        <v>2</v>
      </c>
      <c r="D349">
        <f>IF(A349=$N$2,1,0)</f>
        <v>0</v>
      </c>
      <c r="E349">
        <f>IF(A349=$M$2,1,0)</f>
        <v>0</v>
      </c>
      <c r="F349">
        <f t="shared" si="5"/>
        <v>12</v>
      </c>
      <c r="H349" s="1">
        <v>0.65833333333333199</v>
      </c>
      <c r="P349" s="2">
        <f>TRUNC(O349/60) + 1</f>
        <v>1</v>
      </c>
      <c r="Q349">
        <v>35</v>
      </c>
      <c r="R349">
        <v>14</v>
      </c>
      <c r="S349">
        <v>2</v>
      </c>
    </row>
    <row r="350" spans="1:19" x14ac:dyDescent="0.25">
      <c r="A350">
        <v>96</v>
      </c>
      <c r="B350">
        <v>14</v>
      </c>
      <c r="C350">
        <v>5</v>
      </c>
      <c r="D350">
        <f>IF(A350=$N$2,1,0)</f>
        <v>0</v>
      </c>
      <c r="E350">
        <f>IF(A350=$M$2,1,0)</f>
        <v>0</v>
      </c>
      <c r="F350">
        <f t="shared" si="5"/>
        <v>13</v>
      </c>
      <c r="H350" s="1">
        <v>0.65902777777777699</v>
      </c>
      <c r="P350" s="2">
        <f>TRUNC(O350/60) + 1</f>
        <v>1</v>
      </c>
      <c r="Q350">
        <v>96</v>
      </c>
      <c r="R350">
        <v>14</v>
      </c>
      <c r="S350">
        <v>5</v>
      </c>
    </row>
    <row r="351" spans="1:19" x14ac:dyDescent="0.25">
      <c r="A351">
        <v>29</v>
      </c>
      <c r="B351">
        <v>17</v>
      </c>
      <c r="C351">
        <v>9</v>
      </c>
      <c r="D351">
        <f>IF(A351=$N$2,1,0)</f>
        <v>0</v>
      </c>
      <c r="E351">
        <f>IF(A351=$M$2,1,0)</f>
        <v>0</v>
      </c>
      <c r="F351">
        <f t="shared" si="5"/>
        <v>14</v>
      </c>
      <c r="H351" s="1">
        <v>0.65972222222222099</v>
      </c>
      <c r="P351" s="2">
        <f>TRUNC(O351/60) + 1</f>
        <v>1</v>
      </c>
      <c r="Q351">
        <v>29</v>
      </c>
      <c r="R351">
        <v>17</v>
      </c>
      <c r="S351">
        <v>9</v>
      </c>
    </row>
    <row r="352" spans="1:19" x14ac:dyDescent="0.25">
      <c r="A352">
        <v>99</v>
      </c>
      <c r="B352">
        <v>7</v>
      </c>
      <c r="C352">
        <v>1</v>
      </c>
      <c r="D352">
        <f>IF(A352=$N$2,1,0)</f>
        <v>0</v>
      </c>
      <c r="E352">
        <f>IF(A352=$M$2,1,0)</f>
        <v>0</v>
      </c>
      <c r="F352">
        <f t="shared" si="5"/>
        <v>15</v>
      </c>
      <c r="H352" s="1">
        <v>0.66041666666666599</v>
      </c>
      <c r="P352" s="2">
        <f>TRUNC(O352/60) + 1</f>
        <v>1</v>
      </c>
      <c r="Q352">
        <v>99</v>
      </c>
      <c r="R352">
        <v>7</v>
      </c>
      <c r="S352">
        <v>1</v>
      </c>
    </row>
    <row r="353" spans="1:19" x14ac:dyDescent="0.25">
      <c r="A353">
        <v>78</v>
      </c>
      <c r="B353">
        <v>17</v>
      </c>
      <c r="C353">
        <v>2</v>
      </c>
      <c r="D353">
        <f>IF(A353=$N$2,1,0)</f>
        <v>0</v>
      </c>
      <c r="E353">
        <f>IF(A353=$M$2,1,0)</f>
        <v>0</v>
      </c>
      <c r="F353">
        <f t="shared" si="5"/>
        <v>16</v>
      </c>
      <c r="H353" s="1">
        <v>0.66111111111110998</v>
      </c>
      <c r="P353" s="2">
        <f>TRUNC(O353/60) + 1</f>
        <v>1</v>
      </c>
      <c r="Q353">
        <v>78</v>
      </c>
      <c r="R353">
        <v>17</v>
      </c>
      <c r="S353">
        <v>2</v>
      </c>
    </row>
    <row r="354" spans="1:19" x14ac:dyDescent="0.25">
      <c r="A354">
        <v>63</v>
      </c>
      <c r="B354">
        <v>7</v>
      </c>
      <c r="C354">
        <v>5</v>
      </c>
      <c r="D354">
        <f>IF(A354=$N$2,1,0)</f>
        <v>0</v>
      </c>
      <c r="E354">
        <f>IF(A354=$M$2,1,0)</f>
        <v>0</v>
      </c>
      <c r="F354">
        <f t="shared" si="5"/>
        <v>17</v>
      </c>
      <c r="H354" s="1">
        <v>0.66180555555555498</v>
      </c>
      <c r="P354" s="2">
        <f>TRUNC(O354/60) + 1</f>
        <v>1</v>
      </c>
      <c r="Q354">
        <v>63</v>
      </c>
      <c r="R354">
        <v>7</v>
      </c>
      <c r="S354">
        <v>5</v>
      </c>
    </row>
    <row r="355" spans="1:19" x14ac:dyDescent="0.25">
      <c r="A355">
        <v>37</v>
      </c>
      <c r="B355">
        <v>15</v>
      </c>
      <c r="C355">
        <v>8</v>
      </c>
      <c r="D355">
        <f>IF(A355=$N$2,1,0)</f>
        <v>0</v>
      </c>
      <c r="E355">
        <f>IF(A355=$M$2,1,0)</f>
        <v>0</v>
      </c>
      <c r="F355">
        <f t="shared" si="5"/>
        <v>18</v>
      </c>
      <c r="H355" s="1">
        <v>0.66249999999999898</v>
      </c>
      <c r="P355" s="2">
        <f>TRUNC(O355/60) + 1</f>
        <v>1</v>
      </c>
      <c r="Q355">
        <v>37</v>
      </c>
      <c r="R355">
        <v>15</v>
      </c>
      <c r="S355">
        <v>8</v>
      </c>
    </row>
    <row r="356" spans="1:19" x14ac:dyDescent="0.25">
      <c r="A356">
        <v>68</v>
      </c>
      <c r="B356">
        <v>22</v>
      </c>
      <c r="C356">
        <v>9</v>
      </c>
      <c r="D356">
        <f>IF(A356=$N$2,1,0)</f>
        <v>0</v>
      </c>
      <c r="E356">
        <f>IF(A356=$M$2,1,0)</f>
        <v>0</v>
      </c>
      <c r="F356">
        <f t="shared" si="5"/>
        <v>19</v>
      </c>
      <c r="H356" s="1">
        <v>0.66319444444444298</v>
      </c>
      <c r="P356" s="2">
        <f>TRUNC(O356/60) + 1</f>
        <v>1</v>
      </c>
      <c r="Q356">
        <v>68</v>
      </c>
      <c r="R356">
        <v>22</v>
      </c>
      <c r="S356">
        <v>9</v>
      </c>
    </row>
    <row r="357" spans="1:19" x14ac:dyDescent="0.25">
      <c r="A357">
        <v>51</v>
      </c>
      <c r="B357">
        <v>7</v>
      </c>
      <c r="C357">
        <v>2</v>
      </c>
      <c r="D357">
        <f>IF(A357=$N$2,1,0)</f>
        <v>0</v>
      </c>
      <c r="E357">
        <f>IF(A357=$M$2,1,0)</f>
        <v>0</v>
      </c>
      <c r="F357">
        <f t="shared" si="5"/>
        <v>20</v>
      </c>
      <c r="H357" s="1">
        <v>0.66388888888888797</v>
      </c>
      <c r="P357" s="2">
        <f>TRUNC(O357/60) + 1</f>
        <v>1</v>
      </c>
      <c r="Q357">
        <v>51</v>
      </c>
      <c r="R357">
        <v>7</v>
      </c>
      <c r="S357">
        <v>2</v>
      </c>
    </row>
    <row r="358" spans="1:19" x14ac:dyDescent="0.25">
      <c r="A358">
        <v>49</v>
      </c>
      <c r="B358">
        <v>7</v>
      </c>
      <c r="C358">
        <v>7</v>
      </c>
      <c r="D358">
        <f>IF(A358=$N$2,1,0)</f>
        <v>0</v>
      </c>
      <c r="E358">
        <f>IF(A358=$M$2,1,0)</f>
        <v>0</v>
      </c>
      <c r="F358">
        <f t="shared" si="5"/>
        <v>0</v>
      </c>
      <c r="H358" s="1">
        <v>0.66458333333333197</v>
      </c>
      <c r="P358" s="2">
        <f>TRUNC(O358/60) + 1</f>
        <v>1</v>
      </c>
      <c r="Q358">
        <v>49</v>
      </c>
      <c r="R358">
        <v>7</v>
      </c>
      <c r="S358">
        <v>7</v>
      </c>
    </row>
    <row r="359" spans="1:19" x14ac:dyDescent="0.25">
      <c r="A359">
        <v>38</v>
      </c>
      <c r="B359">
        <v>23</v>
      </c>
      <c r="C359">
        <v>3</v>
      </c>
      <c r="D359">
        <f>IF(A359=$N$2,1,0)</f>
        <v>0</v>
      </c>
      <c r="E359">
        <f>IF(A359=$M$2,1,0)</f>
        <v>0</v>
      </c>
      <c r="F359">
        <f t="shared" si="5"/>
        <v>1</v>
      </c>
      <c r="H359" s="1">
        <v>0.66527777777777697</v>
      </c>
      <c r="P359" s="2">
        <f>TRUNC(O359/60) + 1</f>
        <v>1</v>
      </c>
      <c r="Q359">
        <v>38</v>
      </c>
      <c r="R359">
        <v>23</v>
      </c>
      <c r="S359">
        <v>3</v>
      </c>
    </row>
    <row r="360" spans="1:19" x14ac:dyDescent="0.25">
      <c r="A360">
        <v>82</v>
      </c>
      <c r="B360">
        <v>11</v>
      </c>
      <c r="C360">
        <v>3</v>
      </c>
      <c r="D360">
        <f>IF(A360=$N$2,1,0)</f>
        <v>0</v>
      </c>
      <c r="E360">
        <f>IF(A360=$M$2,1,0)</f>
        <v>0</v>
      </c>
      <c r="F360">
        <f t="shared" si="5"/>
        <v>2</v>
      </c>
      <c r="H360" s="1">
        <v>0.66597222222222097</v>
      </c>
      <c r="P360" s="2">
        <f>TRUNC(O360/60) + 1</f>
        <v>1</v>
      </c>
      <c r="Q360">
        <v>82</v>
      </c>
      <c r="R360">
        <v>11</v>
      </c>
      <c r="S360">
        <v>3</v>
      </c>
    </row>
    <row r="361" spans="1:19" x14ac:dyDescent="0.25">
      <c r="A361">
        <v>10</v>
      </c>
      <c r="B361">
        <v>22</v>
      </c>
      <c r="C361">
        <v>3</v>
      </c>
      <c r="D361">
        <f>IF(A361=$N$2,1,0)</f>
        <v>1</v>
      </c>
      <c r="E361">
        <f>IF(A361=$M$2,1,0)</f>
        <v>0</v>
      </c>
      <c r="F361">
        <f t="shared" si="5"/>
        <v>0</v>
      </c>
      <c r="H361" s="1">
        <v>0.66666666666666596</v>
      </c>
      <c r="P361" s="2">
        <f>TRUNC(O361/60) + 1</f>
        <v>1</v>
      </c>
      <c r="Q361">
        <v>10</v>
      </c>
      <c r="R361">
        <v>22</v>
      </c>
      <c r="S361">
        <v>3</v>
      </c>
    </row>
    <row r="362" spans="1:19" x14ac:dyDescent="0.25">
      <c r="A362">
        <v>21</v>
      </c>
      <c r="B362">
        <v>26</v>
      </c>
      <c r="C362">
        <v>8</v>
      </c>
      <c r="D362">
        <f>IF(A362=$N$2,1,0)</f>
        <v>0</v>
      </c>
      <c r="E362">
        <f>IF(A362=$M$2,1,0)</f>
        <v>0</v>
      </c>
      <c r="F362">
        <f t="shared" si="5"/>
        <v>0</v>
      </c>
      <c r="H362" s="1">
        <v>0.66736111111110996</v>
      </c>
      <c r="P362" s="2">
        <f>TRUNC(O362/60) + 1</f>
        <v>1</v>
      </c>
      <c r="Q362">
        <v>21</v>
      </c>
      <c r="R362">
        <v>26</v>
      </c>
      <c r="S362">
        <v>8</v>
      </c>
    </row>
    <row r="363" spans="1:19" x14ac:dyDescent="0.25">
      <c r="A363">
        <v>95</v>
      </c>
      <c r="B363">
        <v>7</v>
      </c>
      <c r="C363">
        <v>5</v>
      </c>
      <c r="D363">
        <f>IF(A363=$N$2,1,0)</f>
        <v>0</v>
      </c>
      <c r="E363">
        <f>IF(A363=$M$2,1,0)</f>
        <v>0</v>
      </c>
      <c r="F363">
        <f t="shared" si="5"/>
        <v>1</v>
      </c>
      <c r="H363" s="1">
        <v>0.66805555555555496</v>
      </c>
      <c r="P363" s="2">
        <f>TRUNC(O363/60) + 1</f>
        <v>1</v>
      </c>
      <c r="Q363">
        <v>95</v>
      </c>
      <c r="R363">
        <v>7</v>
      </c>
      <c r="S363">
        <v>5</v>
      </c>
    </row>
    <row r="364" spans="1:19" x14ac:dyDescent="0.25">
      <c r="A364">
        <v>15</v>
      </c>
      <c r="B364">
        <v>26</v>
      </c>
      <c r="C364">
        <v>9</v>
      </c>
      <c r="D364">
        <f>IF(A364=$N$2,1,0)</f>
        <v>0</v>
      </c>
      <c r="E364">
        <f>IF(A364=$M$2,1,0)</f>
        <v>0</v>
      </c>
      <c r="F364">
        <f t="shared" si="5"/>
        <v>0</v>
      </c>
      <c r="H364" s="1">
        <v>0.66874999999999896</v>
      </c>
      <c r="P364" s="2">
        <f>TRUNC(O364/60) + 1</f>
        <v>1</v>
      </c>
      <c r="Q364">
        <v>15</v>
      </c>
      <c r="R364">
        <v>26</v>
      </c>
      <c r="S364">
        <v>9</v>
      </c>
    </row>
    <row r="365" spans="1:19" x14ac:dyDescent="0.25">
      <c r="A365">
        <v>17</v>
      </c>
      <c r="B365">
        <v>7</v>
      </c>
      <c r="C365">
        <v>8</v>
      </c>
      <c r="D365">
        <f>IF(A365=$N$2,1,0)</f>
        <v>0</v>
      </c>
      <c r="E365">
        <f>IF(A365=$M$2,1,0)</f>
        <v>0</v>
      </c>
      <c r="F365">
        <f t="shared" si="5"/>
        <v>0</v>
      </c>
      <c r="H365" s="1">
        <v>0.66944444444444295</v>
      </c>
      <c r="P365" s="2">
        <f>TRUNC(O365/60) + 1</f>
        <v>1</v>
      </c>
      <c r="Q365">
        <v>17</v>
      </c>
      <c r="R365">
        <v>7</v>
      </c>
      <c r="S365">
        <v>8</v>
      </c>
    </row>
    <row r="366" spans="1:19" x14ac:dyDescent="0.25">
      <c r="A366">
        <v>73</v>
      </c>
      <c r="B366">
        <v>27</v>
      </c>
      <c r="C366">
        <v>8</v>
      </c>
      <c r="D366">
        <f>IF(A366=$N$2,1,0)</f>
        <v>0</v>
      </c>
      <c r="E366">
        <f>IF(A366=$M$2,1,0)</f>
        <v>0</v>
      </c>
      <c r="F366">
        <f t="shared" si="5"/>
        <v>1</v>
      </c>
      <c r="H366" s="1">
        <v>0.67013888888888795</v>
      </c>
      <c r="P366" s="2">
        <f>TRUNC(O366/60) + 1</f>
        <v>1</v>
      </c>
      <c r="Q366">
        <v>73</v>
      </c>
      <c r="R366">
        <v>27</v>
      </c>
      <c r="S366">
        <v>8</v>
      </c>
    </row>
    <row r="367" spans="1:19" x14ac:dyDescent="0.25">
      <c r="A367">
        <v>47</v>
      </c>
      <c r="B367">
        <v>25</v>
      </c>
      <c r="C367">
        <v>4</v>
      </c>
      <c r="D367">
        <f>IF(A367=$N$2,1,0)</f>
        <v>0</v>
      </c>
      <c r="E367">
        <f>IF(A367=$M$2,1,0)</f>
        <v>0</v>
      </c>
      <c r="F367">
        <f t="shared" si="5"/>
        <v>2</v>
      </c>
      <c r="H367" s="1">
        <v>0.67083333333333195</v>
      </c>
      <c r="P367" s="2">
        <f>TRUNC(O367/60) + 1</f>
        <v>1</v>
      </c>
      <c r="Q367">
        <v>47</v>
      </c>
      <c r="R367">
        <v>25</v>
      </c>
      <c r="S367">
        <v>4</v>
      </c>
    </row>
    <row r="368" spans="1:19" x14ac:dyDescent="0.25">
      <c r="A368">
        <v>11</v>
      </c>
      <c r="B368">
        <v>15</v>
      </c>
      <c r="C368">
        <v>3</v>
      </c>
      <c r="D368">
        <f>IF(A368=$N$2,1,0)</f>
        <v>0</v>
      </c>
      <c r="E368">
        <f>IF(A368=$M$2,1,0)</f>
        <v>0</v>
      </c>
      <c r="F368">
        <f t="shared" si="5"/>
        <v>0</v>
      </c>
      <c r="H368" s="1">
        <v>0.67152777777777695</v>
      </c>
      <c r="P368" s="2">
        <f>TRUNC(O368/60) + 1</f>
        <v>1</v>
      </c>
      <c r="Q368">
        <v>11</v>
      </c>
      <c r="R368">
        <v>15</v>
      </c>
      <c r="S368">
        <v>3</v>
      </c>
    </row>
    <row r="369" spans="1:19" x14ac:dyDescent="0.25">
      <c r="A369">
        <v>16</v>
      </c>
      <c r="B369">
        <v>6</v>
      </c>
      <c r="C369">
        <v>5</v>
      </c>
      <c r="D369">
        <f>IF(A369=$N$2,1,0)</f>
        <v>0</v>
      </c>
      <c r="E369">
        <f>IF(A369=$M$2,1,0)</f>
        <v>0</v>
      </c>
      <c r="F369">
        <f t="shared" si="5"/>
        <v>1</v>
      </c>
      <c r="H369" s="1">
        <v>0.67222222222222106</v>
      </c>
      <c r="P369" s="2">
        <f>TRUNC(O369/60) + 1</f>
        <v>1</v>
      </c>
      <c r="Q369">
        <v>16</v>
      </c>
      <c r="R369">
        <v>6</v>
      </c>
      <c r="S369">
        <v>5</v>
      </c>
    </row>
    <row r="370" spans="1:19" x14ac:dyDescent="0.25">
      <c r="A370">
        <v>87</v>
      </c>
      <c r="B370">
        <v>29</v>
      </c>
      <c r="C370">
        <v>1</v>
      </c>
      <c r="D370">
        <f>IF(A370=$N$2,1,0)</f>
        <v>0</v>
      </c>
      <c r="E370">
        <f>IF(A370=$M$2,1,0)</f>
        <v>0</v>
      </c>
      <c r="F370">
        <f t="shared" si="5"/>
        <v>2</v>
      </c>
      <c r="H370" s="1">
        <v>0.67291666666666605</v>
      </c>
      <c r="P370" s="2">
        <f>TRUNC(O370/60) + 1</f>
        <v>1</v>
      </c>
      <c r="Q370">
        <v>87</v>
      </c>
      <c r="R370">
        <v>29</v>
      </c>
      <c r="S370">
        <v>1</v>
      </c>
    </row>
    <row r="371" spans="1:19" x14ac:dyDescent="0.25">
      <c r="A371">
        <v>29</v>
      </c>
      <c r="B371">
        <v>20</v>
      </c>
      <c r="C371">
        <v>2</v>
      </c>
      <c r="D371">
        <f>IF(A371=$N$2,1,0)</f>
        <v>0</v>
      </c>
      <c r="E371">
        <f>IF(A371=$M$2,1,0)</f>
        <v>0</v>
      </c>
      <c r="F371">
        <f t="shared" si="5"/>
        <v>3</v>
      </c>
      <c r="H371" s="1">
        <v>0.67361111111111005</v>
      </c>
      <c r="P371" s="2">
        <f>TRUNC(O371/60) + 1</f>
        <v>1</v>
      </c>
      <c r="Q371">
        <v>29</v>
      </c>
      <c r="R371">
        <v>20</v>
      </c>
      <c r="S371">
        <v>2</v>
      </c>
    </row>
    <row r="372" spans="1:19" x14ac:dyDescent="0.25">
      <c r="A372">
        <v>64</v>
      </c>
      <c r="B372">
        <v>10</v>
      </c>
      <c r="C372">
        <v>6</v>
      </c>
      <c r="D372">
        <f>IF(A372=$N$2,1,0)</f>
        <v>0</v>
      </c>
      <c r="E372">
        <f>IF(A372=$M$2,1,0)</f>
        <v>0</v>
      </c>
      <c r="F372">
        <f t="shared" si="5"/>
        <v>4</v>
      </c>
      <c r="H372" s="1">
        <v>0.67430555555555505</v>
      </c>
      <c r="P372" s="2">
        <f>TRUNC(O372/60) + 1</f>
        <v>1</v>
      </c>
      <c r="Q372">
        <v>64</v>
      </c>
      <c r="R372">
        <v>10</v>
      </c>
      <c r="S372">
        <v>6</v>
      </c>
    </row>
    <row r="373" spans="1:19" x14ac:dyDescent="0.25">
      <c r="A373">
        <v>64</v>
      </c>
      <c r="B373">
        <v>10</v>
      </c>
      <c r="C373">
        <v>7</v>
      </c>
      <c r="D373">
        <f>IF(A373=$N$2,1,0)</f>
        <v>0</v>
      </c>
      <c r="E373">
        <f>IF(A373=$M$2,1,0)</f>
        <v>0</v>
      </c>
      <c r="F373">
        <f t="shared" si="5"/>
        <v>5</v>
      </c>
      <c r="H373" s="1">
        <v>0.67499999999999905</v>
      </c>
      <c r="P373" s="2">
        <f>TRUNC(O373/60) + 1</f>
        <v>1</v>
      </c>
      <c r="Q373">
        <v>64</v>
      </c>
      <c r="R373">
        <v>10</v>
      </c>
      <c r="S373">
        <v>7</v>
      </c>
    </row>
    <row r="374" spans="1:19" x14ac:dyDescent="0.25">
      <c r="A374">
        <v>30</v>
      </c>
      <c r="B374">
        <v>11</v>
      </c>
      <c r="C374">
        <v>10</v>
      </c>
      <c r="D374">
        <f>IF(A374=$N$2,1,0)</f>
        <v>0</v>
      </c>
      <c r="E374">
        <f>IF(A374=$M$2,1,0)</f>
        <v>0</v>
      </c>
      <c r="F374">
        <f t="shared" si="5"/>
        <v>6</v>
      </c>
      <c r="H374" s="1">
        <v>0.67569444444444304</v>
      </c>
      <c r="P374" s="2">
        <f>TRUNC(O374/60) + 1</f>
        <v>1</v>
      </c>
      <c r="Q374">
        <v>30</v>
      </c>
      <c r="R374">
        <v>11</v>
      </c>
      <c r="S374">
        <v>10</v>
      </c>
    </row>
    <row r="375" spans="1:19" x14ac:dyDescent="0.25">
      <c r="A375">
        <v>71</v>
      </c>
      <c r="B375">
        <v>16</v>
      </c>
      <c r="C375">
        <v>1</v>
      </c>
      <c r="D375">
        <f>IF(A375=$N$2,1,0)</f>
        <v>0</v>
      </c>
      <c r="E375">
        <f>IF(A375=$M$2,1,0)</f>
        <v>0</v>
      </c>
      <c r="F375">
        <f t="shared" si="5"/>
        <v>7</v>
      </c>
      <c r="H375" s="1">
        <v>0.67638888888888804</v>
      </c>
      <c r="P375" s="2">
        <f>TRUNC(O375/60) + 1</f>
        <v>1</v>
      </c>
      <c r="Q375">
        <v>71</v>
      </c>
      <c r="R375">
        <v>16</v>
      </c>
      <c r="S375">
        <v>1</v>
      </c>
    </row>
    <row r="376" spans="1:19" x14ac:dyDescent="0.25">
      <c r="A376">
        <v>40</v>
      </c>
      <c r="B376">
        <v>25</v>
      </c>
      <c r="C376">
        <v>3</v>
      </c>
      <c r="D376">
        <f>IF(A376=$N$2,1,0)</f>
        <v>0</v>
      </c>
      <c r="E376">
        <f>IF(A376=$M$2,1,0)</f>
        <v>0</v>
      </c>
      <c r="F376">
        <f t="shared" si="5"/>
        <v>8</v>
      </c>
      <c r="H376" s="1">
        <v>0.67708333333333204</v>
      </c>
      <c r="P376" s="2">
        <f>TRUNC(O376/60) + 1</f>
        <v>1</v>
      </c>
      <c r="Q376">
        <v>40</v>
      </c>
      <c r="R376">
        <v>25</v>
      </c>
      <c r="S376">
        <v>3</v>
      </c>
    </row>
    <row r="377" spans="1:19" x14ac:dyDescent="0.25">
      <c r="A377">
        <v>67</v>
      </c>
      <c r="B377">
        <v>27</v>
      </c>
      <c r="C377">
        <v>2</v>
      </c>
      <c r="D377">
        <f>IF(A377=$N$2,1,0)</f>
        <v>0</v>
      </c>
      <c r="E377">
        <f>IF(A377=$M$2,1,0)</f>
        <v>0</v>
      </c>
      <c r="F377">
        <f t="shared" si="5"/>
        <v>9</v>
      </c>
      <c r="H377" s="1">
        <v>0.67777777777777704</v>
      </c>
      <c r="P377" s="2">
        <f>TRUNC(O377/60) + 1</f>
        <v>1</v>
      </c>
      <c r="Q377">
        <v>67</v>
      </c>
      <c r="R377">
        <v>27</v>
      </c>
      <c r="S377">
        <v>2</v>
      </c>
    </row>
    <row r="378" spans="1:19" x14ac:dyDescent="0.25">
      <c r="A378">
        <v>96</v>
      </c>
      <c r="B378">
        <v>24</v>
      </c>
      <c r="C378">
        <v>3</v>
      </c>
      <c r="D378">
        <f>IF(A378=$N$2,1,0)</f>
        <v>0</v>
      </c>
      <c r="E378">
        <f>IF(A378=$M$2,1,0)</f>
        <v>0</v>
      </c>
      <c r="F378">
        <f t="shared" si="5"/>
        <v>10</v>
      </c>
      <c r="H378" s="1">
        <v>0.67847222222222103</v>
      </c>
      <c r="P378" s="2">
        <f>TRUNC(O378/60) + 1</f>
        <v>1</v>
      </c>
      <c r="Q378">
        <v>96</v>
      </c>
      <c r="R378">
        <v>24</v>
      </c>
      <c r="S378">
        <v>3</v>
      </c>
    </row>
    <row r="379" spans="1:19" x14ac:dyDescent="0.25">
      <c r="A379">
        <v>64</v>
      </c>
      <c r="B379">
        <v>19</v>
      </c>
      <c r="C379">
        <v>6</v>
      </c>
      <c r="D379">
        <f>IF(A379=$N$2,1,0)</f>
        <v>0</v>
      </c>
      <c r="E379">
        <f>IF(A379=$M$2,1,0)</f>
        <v>0</v>
      </c>
      <c r="F379">
        <f t="shared" si="5"/>
        <v>11</v>
      </c>
      <c r="H379" s="1">
        <v>0.67916666666666603</v>
      </c>
      <c r="P379" s="2">
        <f>TRUNC(O379/60) + 1</f>
        <v>1</v>
      </c>
      <c r="Q379">
        <v>64</v>
      </c>
      <c r="R379">
        <v>19</v>
      </c>
      <c r="S379">
        <v>6</v>
      </c>
    </row>
    <row r="380" spans="1:19" x14ac:dyDescent="0.25">
      <c r="A380">
        <v>71</v>
      </c>
      <c r="B380">
        <v>11</v>
      </c>
      <c r="C380">
        <v>6</v>
      </c>
      <c r="D380">
        <f>IF(A380=$N$2,1,0)</f>
        <v>0</v>
      </c>
      <c r="E380">
        <f>IF(A380=$M$2,1,0)</f>
        <v>0</v>
      </c>
      <c r="F380">
        <f t="shared" si="5"/>
        <v>12</v>
      </c>
      <c r="H380" s="1">
        <v>0.67986111111111003</v>
      </c>
      <c r="P380" s="2">
        <f>TRUNC(O380/60) + 1</f>
        <v>1</v>
      </c>
      <c r="Q380">
        <v>71</v>
      </c>
      <c r="R380">
        <v>11</v>
      </c>
      <c r="S380">
        <v>6</v>
      </c>
    </row>
    <row r="381" spans="1:19" x14ac:dyDescent="0.25">
      <c r="A381">
        <v>16</v>
      </c>
      <c r="B381">
        <v>29</v>
      </c>
      <c r="C381">
        <v>3</v>
      </c>
      <c r="D381">
        <f>IF(A381=$N$2,1,0)</f>
        <v>0</v>
      </c>
      <c r="E381">
        <f>IF(A381=$M$2,1,0)</f>
        <v>0</v>
      </c>
      <c r="F381">
        <f t="shared" si="5"/>
        <v>0</v>
      </c>
      <c r="H381" s="1">
        <v>0.68055555555555503</v>
      </c>
      <c r="P381" s="2">
        <f>TRUNC(O381/60) + 1</f>
        <v>1</v>
      </c>
      <c r="Q381">
        <v>16</v>
      </c>
      <c r="R381">
        <v>29</v>
      </c>
      <c r="S381">
        <v>3</v>
      </c>
    </row>
    <row r="382" spans="1:19" x14ac:dyDescent="0.25">
      <c r="A382">
        <v>76</v>
      </c>
      <c r="B382">
        <v>17</v>
      </c>
      <c r="C382">
        <v>7</v>
      </c>
      <c r="D382">
        <f>IF(A382=$N$2,1,0)</f>
        <v>0</v>
      </c>
      <c r="E382">
        <f>IF(A382=$M$2,1,0)</f>
        <v>0</v>
      </c>
      <c r="F382">
        <f t="shared" si="5"/>
        <v>1</v>
      </c>
      <c r="H382" s="1">
        <v>0.68124999999999902</v>
      </c>
      <c r="P382" s="2">
        <f>TRUNC(O382/60) + 1</f>
        <v>1</v>
      </c>
      <c r="Q382">
        <v>76</v>
      </c>
      <c r="R382">
        <v>17</v>
      </c>
      <c r="S382">
        <v>7</v>
      </c>
    </row>
    <row r="383" spans="1:19" x14ac:dyDescent="0.25">
      <c r="A383">
        <v>56</v>
      </c>
      <c r="B383">
        <v>17</v>
      </c>
      <c r="C383">
        <v>4</v>
      </c>
      <c r="D383">
        <f>IF(A383=$N$2,1,0)</f>
        <v>0</v>
      </c>
      <c r="E383">
        <f>IF(A383=$M$2,1,0)</f>
        <v>0</v>
      </c>
      <c r="F383">
        <f t="shared" si="5"/>
        <v>2</v>
      </c>
      <c r="H383" s="1">
        <v>0.68194444444444302</v>
      </c>
      <c r="P383" s="2">
        <f>TRUNC(O383/60) + 1</f>
        <v>1</v>
      </c>
      <c r="Q383">
        <v>56</v>
      </c>
      <c r="R383">
        <v>17</v>
      </c>
      <c r="S383">
        <v>4</v>
      </c>
    </row>
    <row r="384" spans="1:19" x14ac:dyDescent="0.25">
      <c r="A384">
        <v>38</v>
      </c>
      <c r="B384">
        <v>25</v>
      </c>
      <c r="C384">
        <v>7</v>
      </c>
      <c r="D384">
        <f>IF(A384=$N$2,1,0)</f>
        <v>0</v>
      </c>
      <c r="E384">
        <f>IF(A384=$M$2,1,0)</f>
        <v>0</v>
      </c>
      <c r="F384">
        <f t="shared" si="5"/>
        <v>3</v>
      </c>
      <c r="H384" s="1">
        <v>0.68263888888888802</v>
      </c>
      <c r="P384" s="2">
        <f>TRUNC(O384/60) + 1</f>
        <v>1</v>
      </c>
      <c r="Q384">
        <v>38</v>
      </c>
      <c r="R384">
        <v>25</v>
      </c>
      <c r="S384">
        <v>7</v>
      </c>
    </row>
    <row r="385" spans="1:19" x14ac:dyDescent="0.25">
      <c r="A385">
        <v>69</v>
      </c>
      <c r="B385">
        <v>26</v>
      </c>
      <c r="C385">
        <v>8</v>
      </c>
      <c r="D385">
        <f>IF(A385=$N$2,1,0)</f>
        <v>0</v>
      </c>
      <c r="E385">
        <f>IF(A385=$M$2,1,0)</f>
        <v>0</v>
      </c>
      <c r="F385">
        <f t="shared" si="5"/>
        <v>4</v>
      </c>
      <c r="H385" s="1">
        <v>0.68333333333333202</v>
      </c>
      <c r="P385" s="2">
        <f>TRUNC(O385/60) + 1</f>
        <v>1</v>
      </c>
      <c r="Q385">
        <v>69</v>
      </c>
      <c r="R385">
        <v>26</v>
      </c>
      <c r="S385">
        <v>8</v>
      </c>
    </row>
    <row r="386" spans="1:19" x14ac:dyDescent="0.25">
      <c r="A386">
        <v>96</v>
      </c>
      <c r="B386">
        <v>5</v>
      </c>
      <c r="C386">
        <v>1</v>
      </c>
      <c r="D386">
        <f>IF(A386=$N$2,1,0)</f>
        <v>0</v>
      </c>
      <c r="E386">
        <f>IF(A386=$M$2,1,0)</f>
        <v>0</v>
      </c>
      <c r="F386">
        <f t="shared" si="5"/>
        <v>5</v>
      </c>
      <c r="H386" s="1">
        <v>0.68402777777777701</v>
      </c>
      <c r="P386" s="2">
        <f>TRUNC(O386/60) + 1</f>
        <v>1</v>
      </c>
      <c r="Q386">
        <v>96</v>
      </c>
      <c r="R386">
        <v>5</v>
      </c>
      <c r="S386">
        <v>1</v>
      </c>
    </row>
    <row r="387" spans="1:19" x14ac:dyDescent="0.25">
      <c r="A387">
        <v>99</v>
      </c>
      <c r="B387">
        <v>27</v>
      </c>
      <c r="C387">
        <v>9</v>
      </c>
      <c r="D387">
        <f>IF(A387=$N$2,1,0)</f>
        <v>0</v>
      </c>
      <c r="E387">
        <f>IF(A387=$M$2,1,0)</f>
        <v>0</v>
      </c>
      <c r="F387">
        <f t="shared" ref="F387:F450" si="6">IF(AND(B387&gt;C387, A387 &gt; B387), F386 + 1, 0)</f>
        <v>6</v>
      </c>
      <c r="H387" s="1">
        <v>0.68472222222222101</v>
      </c>
      <c r="P387" s="2">
        <f>TRUNC(O387/60) + 1</f>
        <v>1</v>
      </c>
      <c r="Q387">
        <v>99</v>
      </c>
      <c r="R387">
        <v>27</v>
      </c>
      <c r="S387">
        <v>9</v>
      </c>
    </row>
    <row r="388" spans="1:19" x14ac:dyDescent="0.25">
      <c r="A388">
        <v>16</v>
      </c>
      <c r="B388">
        <v>7</v>
      </c>
      <c r="C388">
        <v>6</v>
      </c>
      <c r="D388">
        <f>IF(A388=$N$2,1,0)</f>
        <v>0</v>
      </c>
      <c r="E388">
        <f>IF(A388=$M$2,1,0)</f>
        <v>0</v>
      </c>
      <c r="F388">
        <f t="shared" si="6"/>
        <v>7</v>
      </c>
      <c r="H388" s="1">
        <v>0.68541666666666601</v>
      </c>
      <c r="P388" s="2">
        <f>TRUNC(O388/60) + 1</f>
        <v>1</v>
      </c>
      <c r="Q388">
        <v>16</v>
      </c>
      <c r="R388">
        <v>7</v>
      </c>
      <c r="S388">
        <v>6</v>
      </c>
    </row>
    <row r="389" spans="1:19" x14ac:dyDescent="0.25">
      <c r="A389">
        <v>91</v>
      </c>
      <c r="B389">
        <v>14</v>
      </c>
      <c r="C389">
        <v>6</v>
      </c>
      <c r="D389">
        <f>IF(A389=$N$2,1,0)</f>
        <v>0</v>
      </c>
      <c r="E389">
        <f>IF(A389=$M$2,1,0)</f>
        <v>0</v>
      </c>
      <c r="F389">
        <f t="shared" si="6"/>
        <v>8</v>
      </c>
      <c r="H389" s="1">
        <v>0.68611111111111001</v>
      </c>
      <c r="P389" s="2">
        <f>TRUNC(O389/60) + 1</f>
        <v>1</v>
      </c>
      <c r="Q389">
        <v>91</v>
      </c>
      <c r="R389">
        <v>14</v>
      </c>
      <c r="S389">
        <v>6</v>
      </c>
    </row>
    <row r="390" spans="1:19" x14ac:dyDescent="0.25">
      <c r="A390">
        <v>80</v>
      </c>
      <c r="B390">
        <v>20</v>
      </c>
      <c r="C390">
        <v>6</v>
      </c>
      <c r="D390">
        <f>IF(A390=$N$2,1,0)</f>
        <v>0</v>
      </c>
      <c r="E390">
        <f>IF(A390=$M$2,1,0)</f>
        <v>0</v>
      </c>
      <c r="F390">
        <f t="shared" si="6"/>
        <v>9</v>
      </c>
      <c r="H390" s="1">
        <v>0.686805555555554</v>
      </c>
      <c r="P390" s="2">
        <f>TRUNC(O390/60) + 1</f>
        <v>1</v>
      </c>
      <c r="Q390">
        <v>80</v>
      </c>
      <c r="R390">
        <v>20</v>
      </c>
      <c r="S390">
        <v>6</v>
      </c>
    </row>
    <row r="391" spans="1:19" x14ac:dyDescent="0.25">
      <c r="A391">
        <v>65</v>
      </c>
      <c r="B391">
        <v>7</v>
      </c>
      <c r="C391">
        <v>7</v>
      </c>
      <c r="D391">
        <f>IF(A391=$N$2,1,0)</f>
        <v>0</v>
      </c>
      <c r="E391">
        <f>IF(A391=$M$2,1,0)</f>
        <v>0</v>
      </c>
      <c r="F391">
        <f t="shared" si="6"/>
        <v>0</v>
      </c>
      <c r="H391" s="1">
        <v>0.687499999999999</v>
      </c>
      <c r="P391" s="2">
        <f>TRUNC(O391/60) + 1</f>
        <v>1</v>
      </c>
      <c r="Q391">
        <v>65</v>
      </c>
      <c r="R391">
        <v>7</v>
      </c>
      <c r="S391">
        <v>7</v>
      </c>
    </row>
    <row r="392" spans="1:19" x14ac:dyDescent="0.25">
      <c r="A392">
        <v>37</v>
      </c>
      <c r="B392">
        <v>16</v>
      </c>
      <c r="C392">
        <v>5</v>
      </c>
      <c r="D392">
        <f>IF(A392=$N$2,1,0)</f>
        <v>0</v>
      </c>
      <c r="E392">
        <f>IF(A392=$M$2,1,0)</f>
        <v>0</v>
      </c>
      <c r="F392">
        <f t="shared" si="6"/>
        <v>1</v>
      </c>
      <c r="H392" s="1">
        <v>0.688194444444443</v>
      </c>
      <c r="P392" s="2">
        <f>TRUNC(O392/60) + 1</f>
        <v>1</v>
      </c>
      <c r="Q392">
        <v>37</v>
      </c>
      <c r="R392">
        <v>16</v>
      </c>
      <c r="S392">
        <v>5</v>
      </c>
    </row>
    <row r="393" spans="1:19" x14ac:dyDescent="0.25">
      <c r="A393">
        <v>94</v>
      </c>
      <c r="B393">
        <v>25</v>
      </c>
      <c r="C393">
        <v>2</v>
      </c>
      <c r="D393">
        <f>IF(A393=$N$2,1,0)</f>
        <v>0</v>
      </c>
      <c r="E393">
        <f>IF(A393=$M$2,1,0)</f>
        <v>0</v>
      </c>
      <c r="F393">
        <f t="shared" si="6"/>
        <v>2</v>
      </c>
      <c r="H393" s="1">
        <v>0.688888888888888</v>
      </c>
      <c r="P393" s="2">
        <f>TRUNC(O393/60) + 1</f>
        <v>1</v>
      </c>
      <c r="Q393">
        <v>94</v>
      </c>
      <c r="R393">
        <v>25</v>
      </c>
      <c r="S393">
        <v>2</v>
      </c>
    </row>
    <row r="394" spans="1:19" x14ac:dyDescent="0.25">
      <c r="A394">
        <v>91</v>
      </c>
      <c r="B394">
        <v>21</v>
      </c>
      <c r="C394">
        <v>10</v>
      </c>
      <c r="D394">
        <f>IF(A394=$N$2,1,0)</f>
        <v>0</v>
      </c>
      <c r="E394">
        <f>IF(A394=$M$2,1,0)</f>
        <v>0</v>
      </c>
      <c r="F394">
        <f t="shared" si="6"/>
        <v>3</v>
      </c>
      <c r="H394" s="1">
        <v>0.68958333333333199</v>
      </c>
      <c r="P394" s="2">
        <f>TRUNC(O394/60) + 1</f>
        <v>1</v>
      </c>
      <c r="Q394">
        <v>91</v>
      </c>
      <c r="R394">
        <v>21</v>
      </c>
      <c r="S394">
        <v>10</v>
      </c>
    </row>
    <row r="395" spans="1:19" x14ac:dyDescent="0.25">
      <c r="A395">
        <v>100</v>
      </c>
      <c r="B395">
        <v>16</v>
      </c>
      <c r="C395">
        <v>2</v>
      </c>
      <c r="D395">
        <f>IF(A395=$N$2,1,0)</f>
        <v>0</v>
      </c>
      <c r="E395">
        <f>IF(A395=$M$2,1,0)</f>
        <v>1</v>
      </c>
      <c r="F395">
        <f t="shared" si="6"/>
        <v>4</v>
      </c>
      <c r="H395" s="1">
        <v>0.69027777777777699</v>
      </c>
      <c r="P395" s="2">
        <f>TRUNC(O395/60) + 1</f>
        <v>1</v>
      </c>
      <c r="Q395">
        <v>100</v>
      </c>
      <c r="R395">
        <v>16</v>
      </c>
      <c r="S395">
        <v>2</v>
      </c>
    </row>
    <row r="396" spans="1:19" x14ac:dyDescent="0.25">
      <c r="A396">
        <v>41</v>
      </c>
      <c r="B396">
        <v>26</v>
      </c>
      <c r="C396">
        <v>6</v>
      </c>
      <c r="D396">
        <f>IF(A396=$N$2,1,0)</f>
        <v>0</v>
      </c>
      <c r="E396">
        <f>IF(A396=$M$2,1,0)</f>
        <v>0</v>
      </c>
      <c r="F396">
        <f t="shared" si="6"/>
        <v>5</v>
      </c>
      <c r="H396" s="1">
        <v>0.69097222222222099</v>
      </c>
      <c r="P396" s="2">
        <f>TRUNC(O396/60) + 1</f>
        <v>1</v>
      </c>
      <c r="Q396">
        <v>41</v>
      </c>
      <c r="R396">
        <v>26</v>
      </c>
      <c r="S396">
        <v>6</v>
      </c>
    </row>
    <row r="397" spans="1:19" x14ac:dyDescent="0.25">
      <c r="A397">
        <v>18</v>
      </c>
      <c r="B397">
        <v>16</v>
      </c>
      <c r="C397">
        <v>2</v>
      </c>
      <c r="D397">
        <f>IF(A397=$N$2,1,0)</f>
        <v>0</v>
      </c>
      <c r="E397">
        <f>IF(A397=$M$2,1,0)</f>
        <v>0</v>
      </c>
      <c r="F397">
        <f t="shared" si="6"/>
        <v>6</v>
      </c>
      <c r="H397" s="1">
        <v>0.69166666666666599</v>
      </c>
      <c r="P397" s="2">
        <f>TRUNC(O397/60) + 1</f>
        <v>1</v>
      </c>
      <c r="Q397">
        <v>18</v>
      </c>
      <c r="R397">
        <v>16</v>
      </c>
      <c r="S397">
        <v>2</v>
      </c>
    </row>
    <row r="398" spans="1:19" x14ac:dyDescent="0.25">
      <c r="A398">
        <v>50</v>
      </c>
      <c r="B398">
        <v>22</v>
      </c>
      <c r="C398">
        <v>6</v>
      </c>
      <c r="D398">
        <f>IF(A398=$N$2,1,0)</f>
        <v>0</v>
      </c>
      <c r="E398">
        <f>IF(A398=$M$2,1,0)</f>
        <v>0</v>
      </c>
      <c r="F398">
        <f t="shared" si="6"/>
        <v>7</v>
      </c>
      <c r="H398" s="1">
        <v>0.69236111111110998</v>
      </c>
      <c r="P398" s="2">
        <f>TRUNC(O398/60) + 1</f>
        <v>1</v>
      </c>
      <c r="Q398">
        <v>50</v>
      </c>
      <c r="R398">
        <v>22</v>
      </c>
      <c r="S398">
        <v>6</v>
      </c>
    </row>
    <row r="399" spans="1:19" x14ac:dyDescent="0.25">
      <c r="A399">
        <v>76</v>
      </c>
      <c r="B399">
        <v>10</v>
      </c>
      <c r="C399">
        <v>6</v>
      </c>
      <c r="D399">
        <f>IF(A399=$N$2,1,0)</f>
        <v>0</v>
      </c>
      <c r="E399">
        <f>IF(A399=$M$2,1,0)</f>
        <v>0</v>
      </c>
      <c r="F399">
        <f t="shared" si="6"/>
        <v>8</v>
      </c>
      <c r="H399" s="1">
        <v>0.69305555555555398</v>
      </c>
      <c r="P399" s="2">
        <f>TRUNC(O399/60) + 1</f>
        <v>1</v>
      </c>
      <c r="Q399">
        <v>76</v>
      </c>
      <c r="R399">
        <v>10</v>
      </c>
      <c r="S399">
        <v>6</v>
      </c>
    </row>
    <row r="400" spans="1:19" x14ac:dyDescent="0.25">
      <c r="A400">
        <v>46</v>
      </c>
      <c r="B400">
        <v>27</v>
      </c>
      <c r="C400">
        <v>3</v>
      </c>
      <c r="D400">
        <f>IF(A400=$N$2,1,0)</f>
        <v>0</v>
      </c>
      <c r="E400">
        <f>IF(A400=$M$2,1,0)</f>
        <v>0</v>
      </c>
      <c r="F400">
        <f t="shared" si="6"/>
        <v>9</v>
      </c>
      <c r="H400" s="1">
        <v>0.69374999999999898</v>
      </c>
      <c r="P400" s="2">
        <f>TRUNC(O400/60) + 1</f>
        <v>1</v>
      </c>
      <c r="Q400">
        <v>46</v>
      </c>
      <c r="R400">
        <v>27</v>
      </c>
      <c r="S400">
        <v>3</v>
      </c>
    </row>
    <row r="401" spans="1:19" x14ac:dyDescent="0.25">
      <c r="A401">
        <v>59</v>
      </c>
      <c r="B401">
        <v>11</v>
      </c>
      <c r="C401">
        <v>5</v>
      </c>
      <c r="D401">
        <f>IF(A401=$N$2,1,0)</f>
        <v>0</v>
      </c>
      <c r="E401">
        <f>IF(A401=$M$2,1,0)</f>
        <v>0</v>
      </c>
      <c r="F401">
        <f t="shared" si="6"/>
        <v>10</v>
      </c>
      <c r="H401" s="1">
        <v>0.69444444444444298</v>
      </c>
      <c r="P401" s="2">
        <f>TRUNC(O401/60) + 1</f>
        <v>1</v>
      </c>
      <c r="Q401">
        <v>59</v>
      </c>
      <c r="R401">
        <v>11</v>
      </c>
      <c r="S401">
        <v>5</v>
      </c>
    </row>
    <row r="402" spans="1:19" x14ac:dyDescent="0.25">
      <c r="A402">
        <v>41</v>
      </c>
      <c r="B402">
        <v>7</v>
      </c>
      <c r="C402">
        <v>8</v>
      </c>
      <c r="D402">
        <f>IF(A402=$N$2,1,0)</f>
        <v>0</v>
      </c>
      <c r="E402">
        <f>IF(A402=$M$2,1,0)</f>
        <v>0</v>
      </c>
      <c r="F402">
        <f t="shared" si="6"/>
        <v>0</v>
      </c>
      <c r="H402" s="1">
        <v>0.69513888888888797</v>
      </c>
      <c r="P402" s="2">
        <f>TRUNC(O402/60) + 1</f>
        <v>1</v>
      </c>
      <c r="Q402">
        <v>41</v>
      </c>
      <c r="R402">
        <v>7</v>
      </c>
      <c r="S402">
        <v>8</v>
      </c>
    </row>
    <row r="403" spans="1:19" x14ac:dyDescent="0.25">
      <c r="A403">
        <v>62</v>
      </c>
      <c r="B403">
        <v>28</v>
      </c>
      <c r="C403">
        <v>4</v>
      </c>
      <c r="D403">
        <f>IF(A403=$N$2,1,0)</f>
        <v>0</v>
      </c>
      <c r="E403">
        <f>IF(A403=$M$2,1,0)</f>
        <v>0</v>
      </c>
      <c r="F403">
        <f t="shared" si="6"/>
        <v>1</v>
      </c>
      <c r="H403" s="1">
        <v>0.69583333333333197</v>
      </c>
      <c r="P403" s="2">
        <f>TRUNC(O403/60) + 1</f>
        <v>1</v>
      </c>
      <c r="Q403">
        <v>62</v>
      </c>
      <c r="R403">
        <v>28</v>
      </c>
      <c r="S403">
        <v>4</v>
      </c>
    </row>
    <row r="404" spans="1:19" x14ac:dyDescent="0.25">
      <c r="A404">
        <v>95</v>
      </c>
      <c r="B404">
        <v>16</v>
      </c>
      <c r="C404">
        <v>8</v>
      </c>
      <c r="D404">
        <f>IF(A404=$N$2,1,0)</f>
        <v>0</v>
      </c>
      <c r="E404">
        <f>IF(A404=$M$2,1,0)</f>
        <v>0</v>
      </c>
      <c r="F404">
        <f t="shared" si="6"/>
        <v>2</v>
      </c>
      <c r="H404" s="1">
        <v>0.69652777777777697</v>
      </c>
      <c r="P404" s="2">
        <f>TRUNC(O404/60) + 1</f>
        <v>1</v>
      </c>
      <c r="Q404">
        <v>95</v>
      </c>
      <c r="R404">
        <v>16</v>
      </c>
      <c r="S404">
        <v>8</v>
      </c>
    </row>
    <row r="405" spans="1:19" x14ac:dyDescent="0.25">
      <c r="A405">
        <v>90</v>
      </c>
      <c r="B405">
        <v>23</v>
      </c>
      <c r="C405">
        <v>7</v>
      </c>
      <c r="D405">
        <f>IF(A405=$N$2,1,0)</f>
        <v>0</v>
      </c>
      <c r="E405">
        <f>IF(A405=$M$2,1,0)</f>
        <v>0</v>
      </c>
      <c r="F405">
        <f t="shared" si="6"/>
        <v>3</v>
      </c>
      <c r="H405" s="1">
        <v>0.69722222222222097</v>
      </c>
      <c r="P405" s="2">
        <f>TRUNC(O405/60) + 1</f>
        <v>1</v>
      </c>
      <c r="Q405">
        <v>90</v>
      </c>
      <c r="R405">
        <v>23</v>
      </c>
      <c r="S405">
        <v>7</v>
      </c>
    </row>
    <row r="406" spans="1:19" x14ac:dyDescent="0.25">
      <c r="A406">
        <v>20</v>
      </c>
      <c r="B406">
        <v>21</v>
      </c>
      <c r="C406">
        <v>7</v>
      </c>
      <c r="D406">
        <f>IF(A406=$N$2,1,0)</f>
        <v>0</v>
      </c>
      <c r="E406">
        <f>IF(A406=$M$2,1,0)</f>
        <v>0</v>
      </c>
      <c r="F406">
        <f t="shared" si="6"/>
        <v>0</v>
      </c>
      <c r="H406" s="1">
        <v>0.69791666666666596</v>
      </c>
      <c r="P406" s="2">
        <f>TRUNC(O406/60) + 1</f>
        <v>1</v>
      </c>
      <c r="Q406">
        <v>20</v>
      </c>
      <c r="R406">
        <v>21</v>
      </c>
      <c r="S406">
        <v>7</v>
      </c>
    </row>
    <row r="407" spans="1:19" x14ac:dyDescent="0.25">
      <c r="A407">
        <v>28</v>
      </c>
      <c r="B407">
        <v>22</v>
      </c>
      <c r="C407">
        <v>4</v>
      </c>
      <c r="D407">
        <f>IF(A407=$N$2,1,0)</f>
        <v>0</v>
      </c>
      <c r="E407">
        <f>IF(A407=$M$2,1,0)</f>
        <v>0</v>
      </c>
      <c r="F407">
        <f t="shared" si="6"/>
        <v>1</v>
      </c>
      <c r="H407" s="1">
        <v>0.69861111111110996</v>
      </c>
      <c r="P407" s="2">
        <f>TRUNC(O407/60) + 1</f>
        <v>1</v>
      </c>
      <c r="Q407">
        <v>28</v>
      </c>
      <c r="R407">
        <v>22</v>
      </c>
      <c r="S407">
        <v>4</v>
      </c>
    </row>
    <row r="408" spans="1:19" x14ac:dyDescent="0.25">
      <c r="A408">
        <v>66</v>
      </c>
      <c r="B408">
        <v>25</v>
      </c>
      <c r="C408">
        <v>2</v>
      </c>
      <c r="D408">
        <f>IF(A408=$N$2,1,0)</f>
        <v>0</v>
      </c>
      <c r="E408">
        <f>IF(A408=$M$2,1,0)</f>
        <v>0</v>
      </c>
      <c r="F408">
        <f t="shared" si="6"/>
        <v>2</v>
      </c>
      <c r="H408" s="1">
        <v>0.69930555555555396</v>
      </c>
      <c r="P408" s="2">
        <f>TRUNC(O408/60) + 1</f>
        <v>1</v>
      </c>
      <c r="Q408">
        <v>66</v>
      </c>
      <c r="R408">
        <v>25</v>
      </c>
      <c r="S408">
        <v>2</v>
      </c>
    </row>
    <row r="409" spans="1:19" x14ac:dyDescent="0.25">
      <c r="A409">
        <v>37</v>
      </c>
      <c r="B409">
        <v>26</v>
      </c>
      <c r="C409">
        <v>8</v>
      </c>
      <c r="D409">
        <f>IF(A409=$N$2,1,0)</f>
        <v>0</v>
      </c>
      <c r="E409">
        <f>IF(A409=$M$2,1,0)</f>
        <v>0</v>
      </c>
      <c r="F409">
        <f t="shared" si="6"/>
        <v>3</v>
      </c>
      <c r="H409" s="1">
        <v>0.69999999999999896</v>
      </c>
      <c r="P409" s="2">
        <f>TRUNC(O409/60) + 1</f>
        <v>1</v>
      </c>
      <c r="Q409">
        <v>37</v>
      </c>
      <c r="R409">
        <v>26</v>
      </c>
      <c r="S409">
        <v>8</v>
      </c>
    </row>
    <row r="410" spans="1:19" x14ac:dyDescent="0.25">
      <c r="A410">
        <v>31</v>
      </c>
      <c r="B410">
        <v>23</v>
      </c>
      <c r="C410">
        <v>10</v>
      </c>
      <c r="D410">
        <f>IF(A410=$N$2,1,0)</f>
        <v>0</v>
      </c>
      <c r="E410">
        <f>IF(A410=$M$2,1,0)</f>
        <v>0</v>
      </c>
      <c r="F410">
        <f t="shared" si="6"/>
        <v>4</v>
      </c>
      <c r="H410" s="1">
        <v>0.70069444444444295</v>
      </c>
      <c r="P410" s="2">
        <f>TRUNC(O410/60) + 1</f>
        <v>1</v>
      </c>
      <c r="Q410">
        <v>31</v>
      </c>
      <c r="R410">
        <v>23</v>
      </c>
      <c r="S410">
        <v>10</v>
      </c>
    </row>
    <row r="411" spans="1:19" x14ac:dyDescent="0.25">
      <c r="A411">
        <v>42</v>
      </c>
      <c r="B411">
        <v>13</v>
      </c>
      <c r="C411">
        <v>9</v>
      </c>
      <c r="D411">
        <f>IF(A411=$N$2,1,0)</f>
        <v>0</v>
      </c>
      <c r="E411">
        <f>IF(A411=$M$2,1,0)</f>
        <v>0</v>
      </c>
      <c r="F411">
        <f t="shared" si="6"/>
        <v>5</v>
      </c>
      <c r="H411" s="1">
        <v>0.70138888888888795</v>
      </c>
      <c r="P411" s="2">
        <f>TRUNC(O411/60) + 1</f>
        <v>1</v>
      </c>
      <c r="Q411">
        <v>42</v>
      </c>
      <c r="R411">
        <v>13</v>
      </c>
      <c r="S411">
        <v>9</v>
      </c>
    </row>
    <row r="412" spans="1:19" x14ac:dyDescent="0.25">
      <c r="A412">
        <v>89</v>
      </c>
      <c r="B412">
        <v>20</v>
      </c>
      <c r="C412">
        <v>2</v>
      </c>
      <c r="D412">
        <f>IF(A412=$N$2,1,0)</f>
        <v>0</v>
      </c>
      <c r="E412">
        <f>IF(A412=$M$2,1,0)</f>
        <v>0</v>
      </c>
      <c r="F412">
        <f t="shared" si="6"/>
        <v>6</v>
      </c>
      <c r="H412" s="1">
        <v>0.70208333333333195</v>
      </c>
      <c r="P412" s="2">
        <f>TRUNC(O412/60) + 1</f>
        <v>1</v>
      </c>
      <c r="Q412">
        <v>89</v>
      </c>
      <c r="R412">
        <v>20</v>
      </c>
      <c r="S412">
        <v>2</v>
      </c>
    </row>
    <row r="413" spans="1:19" x14ac:dyDescent="0.25">
      <c r="A413">
        <v>11</v>
      </c>
      <c r="B413">
        <v>28</v>
      </c>
      <c r="C413">
        <v>9</v>
      </c>
      <c r="D413">
        <f>IF(A413=$N$2,1,0)</f>
        <v>0</v>
      </c>
      <c r="E413">
        <f>IF(A413=$M$2,1,0)</f>
        <v>0</v>
      </c>
      <c r="F413">
        <f t="shared" si="6"/>
        <v>0</v>
      </c>
      <c r="H413" s="1">
        <v>0.70277777777777695</v>
      </c>
      <c r="P413" s="2">
        <f>TRUNC(O413/60) + 1</f>
        <v>1</v>
      </c>
      <c r="Q413">
        <v>11</v>
      </c>
      <c r="R413">
        <v>28</v>
      </c>
      <c r="S413">
        <v>9</v>
      </c>
    </row>
    <row r="414" spans="1:19" x14ac:dyDescent="0.25">
      <c r="A414">
        <v>57</v>
      </c>
      <c r="B414">
        <v>14</v>
      </c>
      <c r="C414">
        <v>5</v>
      </c>
      <c r="D414">
        <f>IF(A414=$N$2,1,0)</f>
        <v>0</v>
      </c>
      <c r="E414">
        <f>IF(A414=$M$2,1,0)</f>
        <v>0</v>
      </c>
      <c r="F414">
        <f t="shared" si="6"/>
        <v>1</v>
      </c>
      <c r="H414" s="1">
        <v>0.70347222222222106</v>
      </c>
      <c r="P414" s="2">
        <f>TRUNC(O414/60) + 1</f>
        <v>1</v>
      </c>
      <c r="Q414">
        <v>57</v>
      </c>
      <c r="R414">
        <v>14</v>
      </c>
      <c r="S414">
        <v>5</v>
      </c>
    </row>
    <row r="415" spans="1:19" x14ac:dyDescent="0.25">
      <c r="A415">
        <v>60</v>
      </c>
      <c r="B415">
        <v>8</v>
      </c>
      <c r="C415">
        <v>3</v>
      </c>
      <c r="D415">
        <f>IF(A415=$N$2,1,0)</f>
        <v>0</v>
      </c>
      <c r="E415">
        <f>IF(A415=$M$2,1,0)</f>
        <v>0</v>
      </c>
      <c r="F415">
        <f t="shared" si="6"/>
        <v>2</v>
      </c>
      <c r="H415" s="1">
        <v>0.70416666666666605</v>
      </c>
      <c r="P415" s="2">
        <f>TRUNC(O415/60) + 1</f>
        <v>1</v>
      </c>
      <c r="Q415">
        <v>60</v>
      </c>
      <c r="R415">
        <v>8</v>
      </c>
      <c r="S415">
        <v>3</v>
      </c>
    </row>
    <row r="416" spans="1:19" x14ac:dyDescent="0.25">
      <c r="A416">
        <v>14</v>
      </c>
      <c r="B416">
        <v>11</v>
      </c>
      <c r="C416">
        <v>8</v>
      </c>
      <c r="D416">
        <f>IF(A416=$N$2,1,0)</f>
        <v>0</v>
      </c>
      <c r="E416">
        <f>IF(A416=$M$2,1,0)</f>
        <v>0</v>
      </c>
      <c r="F416">
        <f t="shared" si="6"/>
        <v>3</v>
      </c>
      <c r="H416" s="1">
        <v>0.70486111111111005</v>
      </c>
      <c r="P416" s="2">
        <f>TRUNC(O416/60) + 1</f>
        <v>1</v>
      </c>
      <c r="Q416">
        <v>14</v>
      </c>
      <c r="R416">
        <v>11</v>
      </c>
      <c r="S416">
        <v>8</v>
      </c>
    </row>
    <row r="417" spans="1:19" x14ac:dyDescent="0.25">
      <c r="A417">
        <v>15</v>
      </c>
      <c r="B417">
        <v>10</v>
      </c>
      <c r="C417">
        <v>4</v>
      </c>
      <c r="D417">
        <f>IF(A417=$N$2,1,0)</f>
        <v>0</v>
      </c>
      <c r="E417">
        <f>IF(A417=$M$2,1,0)</f>
        <v>0</v>
      </c>
      <c r="F417">
        <f t="shared" si="6"/>
        <v>4</v>
      </c>
      <c r="H417" s="1">
        <v>0.70555555555555405</v>
      </c>
      <c r="P417" s="2">
        <f>TRUNC(O417/60) + 1</f>
        <v>1</v>
      </c>
      <c r="Q417">
        <v>15</v>
      </c>
      <c r="R417">
        <v>10</v>
      </c>
      <c r="S417">
        <v>4</v>
      </c>
    </row>
    <row r="418" spans="1:19" x14ac:dyDescent="0.25">
      <c r="A418">
        <v>10</v>
      </c>
      <c r="B418">
        <v>27</v>
      </c>
      <c r="C418">
        <v>6</v>
      </c>
      <c r="D418">
        <f>IF(A418=$N$2,1,0)</f>
        <v>1</v>
      </c>
      <c r="E418">
        <f>IF(A418=$M$2,1,0)</f>
        <v>0</v>
      </c>
      <c r="F418">
        <f t="shared" si="6"/>
        <v>0</v>
      </c>
      <c r="H418" s="1">
        <v>0.70624999999999905</v>
      </c>
      <c r="P418" s="2">
        <f>TRUNC(O418/60) + 1</f>
        <v>1</v>
      </c>
      <c r="Q418">
        <v>10</v>
      </c>
      <c r="R418">
        <v>27</v>
      </c>
      <c r="S418">
        <v>6</v>
      </c>
    </row>
    <row r="419" spans="1:19" x14ac:dyDescent="0.25">
      <c r="A419">
        <v>25</v>
      </c>
      <c r="B419">
        <v>28</v>
      </c>
      <c r="C419">
        <v>5</v>
      </c>
      <c r="D419">
        <f>IF(A419=$N$2,1,0)</f>
        <v>0</v>
      </c>
      <c r="E419">
        <f>IF(A419=$M$2,1,0)</f>
        <v>0</v>
      </c>
      <c r="F419">
        <f t="shared" si="6"/>
        <v>0</v>
      </c>
      <c r="H419" s="1">
        <v>0.70694444444444304</v>
      </c>
      <c r="P419" s="2">
        <f>TRUNC(O419/60) + 1</f>
        <v>1</v>
      </c>
      <c r="Q419">
        <v>25</v>
      </c>
      <c r="R419">
        <v>28</v>
      </c>
      <c r="S419">
        <v>5</v>
      </c>
    </row>
    <row r="420" spans="1:19" x14ac:dyDescent="0.25">
      <c r="A420">
        <v>92</v>
      </c>
      <c r="B420">
        <v>27</v>
      </c>
      <c r="C420">
        <v>2</v>
      </c>
      <c r="D420">
        <f>IF(A420=$N$2,1,0)</f>
        <v>0</v>
      </c>
      <c r="E420">
        <f>IF(A420=$M$2,1,0)</f>
        <v>0</v>
      </c>
      <c r="F420">
        <f t="shared" si="6"/>
        <v>1</v>
      </c>
      <c r="H420" s="1">
        <v>0.70763888888888804</v>
      </c>
      <c r="P420" s="2">
        <f>TRUNC(O420/60) + 1</f>
        <v>1</v>
      </c>
      <c r="Q420">
        <v>92</v>
      </c>
      <c r="R420">
        <v>27</v>
      </c>
      <c r="S420">
        <v>2</v>
      </c>
    </row>
    <row r="421" spans="1:19" x14ac:dyDescent="0.25">
      <c r="A421">
        <v>76</v>
      </c>
      <c r="B421">
        <v>10</v>
      </c>
      <c r="C421">
        <v>8</v>
      </c>
      <c r="D421">
        <f>IF(A421=$N$2,1,0)</f>
        <v>0</v>
      </c>
      <c r="E421">
        <f>IF(A421=$M$2,1,0)</f>
        <v>0</v>
      </c>
      <c r="F421">
        <f t="shared" si="6"/>
        <v>2</v>
      </c>
      <c r="H421" s="1">
        <v>0.70833333333333204</v>
      </c>
      <c r="P421" s="2">
        <f>TRUNC(O421/60) + 1</f>
        <v>1</v>
      </c>
      <c r="Q421">
        <v>76</v>
      </c>
      <c r="R421">
        <v>10</v>
      </c>
      <c r="S421">
        <v>8</v>
      </c>
    </row>
    <row r="422" spans="1:19" x14ac:dyDescent="0.25">
      <c r="A422">
        <v>90</v>
      </c>
      <c r="B422">
        <v>23</v>
      </c>
      <c r="C422">
        <v>2</v>
      </c>
      <c r="D422">
        <f>IF(A422=$N$2,1,0)</f>
        <v>0</v>
      </c>
      <c r="E422">
        <f>IF(A422=$M$2,1,0)</f>
        <v>0</v>
      </c>
      <c r="F422">
        <f t="shared" si="6"/>
        <v>3</v>
      </c>
      <c r="H422" s="1">
        <v>0.70902777777777704</v>
      </c>
      <c r="P422" s="2">
        <f>TRUNC(O422/60) + 1</f>
        <v>1</v>
      </c>
      <c r="Q422">
        <v>90</v>
      </c>
      <c r="R422">
        <v>23</v>
      </c>
      <c r="S422">
        <v>2</v>
      </c>
    </row>
    <row r="423" spans="1:19" x14ac:dyDescent="0.25">
      <c r="A423">
        <v>43</v>
      </c>
      <c r="B423">
        <v>21</v>
      </c>
      <c r="C423">
        <v>5</v>
      </c>
      <c r="D423">
        <f>IF(A423=$N$2,1,0)</f>
        <v>0</v>
      </c>
      <c r="E423">
        <f>IF(A423=$M$2,1,0)</f>
        <v>0</v>
      </c>
      <c r="F423">
        <f t="shared" si="6"/>
        <v>4</v>
      </c>
      <c r="H423" s="1">
        <v>0.70972222222222103</v>
      </c>
      <c r="P423" s="2">
        <f>TRUNC(O423/60) + 1</f>
        <v>1</v>
      </c>
      <c r="Q423">
        <v>43</v>
      </c>
      <c r="R423">
        <v>21</v>
      </c>
      <c r="S423">
        <v>5</v>
      </c>
    </row>
    <row r="424" spans="1:19" x14ac:dyDescent="0.25">
      <c r="A424">
        <v>70</v>
      </c>
      <c r="B424">
        <v>8</v>
      </c>
      <c r="C424">
        <v>9</v>
      </c>
      <c r="D424">
        <f>IF(A424=$N$2,1,0)</f>
        <v>0</v>
      </c>
      <c r="E424">
        <f>IF(A424=$M$2,1,0)</f>
        <v>0</v>
      </c>
      <c r="F424">
        <f t="shared" si="6"/>
        <v>0</v>
      </c>
      <c r="H424" s="1">
        <v>0.71041666666666603</v>
      </c>
      <c r="P424" s="2">
        <f>TRUNC(O424/60) + 1</f>
        <v>1</v>
      </c>
      <c r="Q424">
        <v>70</v>
      </c>
      <c r="R424">
        <v>8</v>
      </c>
      <c r="S424">
        <v>9</v>
      </c>
    </row>
    <row r="425" spans="1:19" x14ac:dyDescent="0.25">
      <c r="A425">
        <v>40</v>
      </c>
      <c r="B425">
        <v>12</v>
      </c>
      <c r="C425">
        <v>5</v>
      </c>
      <c r="D425">
        <f>IF(A425=$N$2,1,0)</f>
        <v>0</v>
      </c>
      <c r="E425">
        <f>IF(A425=$M$2,1,0)</f>
        <v>0</v>
      </c>
      <c r="F425">
        <f t="shared" si="6"/>
        <v>1</v>
      </c>
      <c r="H425" s="1">
        <v>0.71111111111111003</v>
      </c>
      <c r="P425" s="2">
        <f>TRUNC(O425/60) + 1</f>
        <v>1</v>
      </c>
      <c r="Q425">
        <v>40</v>
      </c>
      <c r="R425">
        <v>12</v>
      </c>
      <c r="S425">
        <v>5</v>
      </c>
    </row>
    <row r="426" spans="1:19" x14ac:dyDescent="0.25">
      <c r="A426">
        <v>87</v>
      </c>
      <c r="B426">
        <v>29</v>
      </c>
      <c r="C426">
        <v>3</v>
      </c>
      <c r="D426">
        <f>IF(A426=$N$2,1,0)</f>
        <v>0</v>
      </c>
      <c r="E426">
        <f>IF(A426=$M$2,1,0)</f>
        <v>0</v>
      </c>
      <c r="F426">
        <f t="shared" si="6"/>
        <v>2</v>
      </c>
      <c r="H426" s="1">
        <v>0.71180555555555403</v>
      </c>
      <c r="P426" s="2">
        <f>TRUNC(O426/60) + 1</f>
        <v>1</v>
      </c>
      <c r="Q426">
        <v>87</v>
      </c>
      <c r="R426">
        <v>29</v>
      </c>
      <c r="S426">
        <v>3</v>
      </c>
    </row>
    <row r="427" spans="1:19" x14ac:dyDescent="0.25">
      <c r="A427">
        <v>59</v>
      </c>
      <c r="B427">
        <v>24</v>
      </c>
      <c r="C427">
        <v>5</v>
      </c>
      <c r="D427">
        <f>IF(A427=$N$2,1,0)</f>
        <v>0</v>
      </c>
      <c r="E427">
        <f>IF(A427=$M$2,1,0)</f>
        <v>0</v>
      </c>
      <c r="F427">
        <f t="shared" si="6"/>
        <v>3</v>
      </c>
      <c r="H427" s="1">
        <v>0.71249999999999902</v>
      </c>
      <c r="P427" s="2">
        <f>TRUNC(O427/60) + 1</f>
        <v>1</v>
      </c>
      <c r="Q427">
        <v>59</v>
      </c>
      <c r="R427">
        <v>24</v>
      </c>
      <c r="S427">
        <v>5</v>
      </c>
    </row>
    <row r="428" spans="1:19" x14ac:dyDescent="0.25">
      <c r="A428">
        <v>38</v>
      </c>
      <c r="B428">
        <v>20</v>
      </c>
      <c r="C428">
        <v>2</v>
      </c>
      <c r="D428">
        <f>IF(A428=$N$2,1,0)</f>
        <v>0</v>
      </c>
      <c r="E428">
        <f>IF(A428=$M$2,1,0)</f>
        <v>0</v>
      </c>
      <c r="F428">
        <f t="shared" si="6"/>
        <v>4</v>
      </c>
      <c r="H428" s="1">
        <v>0.71319444444444302</v>
      </c>
      <c r="P428" s="2">
        <f>TRUNC(O428/60) + 1</f>
        <v>1</v>
      </c>
      <c r="Q428">
        <v>38</v>
      </c>
      <c r="R428">
        <v>20</v>
      </c>
      <c r="S428">
        <v>2</v>
      </c>
    </row>
    <row r="429" spans="1:19" x14ac:dyDescent="0.25">
      <c r="A429">
        <v>53</v>
      </c>
      <c r="B429">
        <v>20</v>
      </c>
      <c r="C429">
        <v>1</v>
      </c>
      <c r="D429">
        <f>IF(A429=$N$2,1,0)</f>
        <v>0</v>
      </c>
      <c r="E429">
        <f>IF(A429=$M$2,1,0)</f>
        <v>0</v>
      </c>
      <c r="F429">
        <f t="shared" si="6"/>
        <v>5</v>
      </c>
      <c r="H429" s="1">
        <v>0.71388888888888802</v>
      </c>
      <c r="P429" s="2">
        <f>TRUNC(O429/60) + 1</f>
        <v>1</v>
      </c>
      <c r="Q429">
        <v>53</v>
      </c>
      <c r="R429">
        <v>20</v>
      </c>
      <c r="S429">
        <v>1</v>
      </c>
    </row>
    <row r="430" spans="1:19" x14ac:dyDescent="0.25">
      <c r="A430">
        <v>19</v>
      </c>
      <c r="B430">
        <v>20</v>
      </c>
      <c r="C430">
        <v>8</v>
      </c>
      <c r="D430">
        <f>IF(A430=$N$2,1,0)</f>
        <v>0</v>
      </c>
      <c r="E430">
        <f>IF(A430=$M$2,1,0)</f>
        <v>0</v>
      </c>
      <c r="F430">
        <f t="shared" si="6"/>
        <v>0</v>
      </c>
      <c r="H430" s="1">
        <v>0.71458333333333202</v>
      </c>
      <c r="P430" s="2">
        <f>TRUNC(O430/60) + 1</f>
        <v>1</v>
      </c>
      <c r="Q430">
        <v>19</v>
      </c>
      <c r="R430">
        <v>20</v>
      </c>
      <c r="S430">
        <v>8</v>
      </c>
    </row>
    <row r="431" spans="1:19" x14ac:dyDescent="0.25">
      <c r="A431">
        <v>37</v>
      </c>
      <c r="B431">
        <v>15</v>
      </c>
      <c r="C431">
        <v>1</v>
      </c>
      <c r="D431">
        <f>IF(A431=$N$2,1,0)</f>
        <v>0</v>
      </c>
      <c r="E431">
        <f>IF(A431=$M$2,1,0)</f>
        <v>0</v>
      </c>
      <c r="F431">
        <f t="shared" si="6"/>
        <v>1</v>
      </c>
      <c r="H431" s="1">
        <v>0.71527777777777701</v>
      </c>
      <c r="P431" s="2">
        <f>TRUNC(O431/60) + 1</f>
        <v>1</v>
      </c>
      <c r="Q431">
        <v>37</v>
      </c>
      <c r="R431">
        <v>15</v>
      </c>
      <c r="S431">
        <v>1</v>
      </c>
    </row>
    <row r="432" spans="1:19" x14ac:dyDescent="0.25">
      <c r="A432">
        <v>95</v>
      </c>
      <c r="B432">
        <v>13</v>
      </c>
      <c r="C432">
        <v>9</v>
      </c>
      <c r="D432">
        <f>IF(A432=$N$2,1,0)</f>
        <v>0</v>
      </c>
      <c r="E432">
        <f>IF(A432=$M$2,1,0)</f>
        <v>0</v>
      </c>
      <c r="F432">
        <f t="shared" si="6"/>
        <v>2</v>
      </c>
      <c r="H432" s="1">
        <v>0.71597222222222101</v>
      </c>
      <c r="P432" s="2">
        <f>TRUNC(O432/60) + 1</f>
        <v>1</v>
      </c>
      <c r="Q432">
        <v>95</v>
      </c>
      <c r="R432">
        <v>13</v>
      </c>
      <c r="S432">
        <v>9</v>
      </c>
    </row>
    <row r="433" spans="1:19" x14ac:dyDescent="0.25">
      <c r="A433">
        <v>26</v>
      </c>
      <c r="B433">
        <v>16</v>
      </c>
      <c r="C433">
        <v>6</v>
      </c>
      <c r="D433">
        <f>IF(A433=$N$2,1,0)</f>
        <v>0</v>
      </c>
      <c r="E433">
        <f>IF(A433=$M$2,1,0)</f>
        <v>0</v>
      </c>
      <c r="F433">
        <f t="shared" si="6"/>
        <v>3</v>
      </c>
      <c r="H433" s="1">
        <v>0.71666666666666501</v>
      </c>
      <c r="P433" s="2">
        <f>TRUNC(O433/60) + 1</f>
        <v>1</v>
      </c>
      <c r="Q433">
        <v>26</v>
      </c>
      <c r="R433">
        <v>16</v>
      </c>
      <c r="S433">
        <v>6</v>
      </c>
    </row>
    <row r="434" spans="1:19" x14ac:dyDescent="0.25">
      <c r="A434">
        <v>57</v>
      </c>
      <c r="B434">
        <v>5</v>
      </c>
      <c r="C434">
        <v>3</v>
      </c>
      <c r="D434">
        <f>IF(A434=$N$2,1,0)</f>
        <v>0</v>
      </c>
      <c r="E434">
        <f>IF(A434=$M$2,1,0)</f>
        <v>0</v>
      </c>
      <c r="F434">
        <f t="shared" si="6"/>
        <v>4</v>
      </c>
      <c r="H434" s="1">
        <v>0.71736111111111001</v>
      </c>
      <c r="P434" s="2">
        <f>TRUNC(O434/60) + 1</f>
        <v>1</v>
      </c>
      <c r="Q434">
        <v>57</v>
      </c>
      <c r="R434">
        <v>5</v>
      </c>
      <c r="S434">
        <v>3</v>
      </c>
    </row>
    <row r="435" spans="1:19" x14ac:dyDescent="0.25">
      <c r="A435">
        <v>82</v>
      </c>
      <c r="B435">
        <v>11</v>
      </c>
      <c r="C435">
        <v>6</v>
      </c>
      <c r="D435">
        <f>IF(A435=$N$2,1,0)</f>
        <v>0</v>
      </c>
      <c r="E435">
        <f>IF(A435=$M$2,1,0)</f>
        <v>0</v>
      </c>
      <c r="F435">
        <f t="shared" si="6"/>
        <v>5</v>
      </c>
      <c r="H435" s="1">
        <v>0.718055555555554</v>
      </c>
      <c r="P435" s="2">
        <f>TRUNC(O435/60) + 1</f>
        <v>1</v>
      </c>
      <c r="Q435">
        <v>82</v>
      </c>
      <c r="R435">
        <v>11</v>
      </c>
      <c r="S435">
        <v>6</v>
      </c>
    </row>
    <row r="436" spans="1:19" x14ac:dyDescent="0.25">
      <c r="A436">
        <v>51</v>
      </c>
      <c r="B436">
        <v>23</v>
      </c>
      <c r="C436">
        <v>4</v>
      </c>
      <c r="D436">
        <f>IF(A436=$N$2,1,0)</f>
        <v>0</v>
      </c>
      <c r="E436">
        <f>IF(A436=$M$2,1,0)</f>
        <v>0</v>
      </c>
      <c r="F436">
        <f t="shared" si="6"/>
        <v>6</v>
      </c>
      <c r="H436" s="1">
        <v>0.718749999999999</v>
      </c>
      <c r="P436" s="2">
        <f>TRUNC(O436/60) + 1</f>
        <v>1</v>
      </c>
      <c r="Q436">
        <v>51</v>
      </c>
      <c r="R436">
        <v>23</v>
      </c>
      <c r="S436">
        <v>4</v>
      </c>
    </row>
    <row r="437" spans="1:19" x14ac:dyDescent="0.25">
      <c r="A437">
        <v>85</v>
      </c>
      <c r="B437">
        <v>10</v>
      </c>
      <c r="C437">
        <v>6</v>
      </c>
      <c r="D437">
        <f>IF(A437=$N$2,1,0)</f>
        <v>0</v>
      </c>
      <c r="E437">
        <f>IF(A437=$M$2,1,0)</f>
        <v>0</v>
      </c>
      <c r="F437">
        <f t="shared" si="6"/>
        <v>7</v>
      </c>
      <c r="H437" s="1">
        <v>0.719444444444443</v>
      </c>
      <c r="P437" s="2">
        <f>TRUNC(O437/60) + 1</f>
        <v>1</v>
      </c>
      <c r="Q437">
        <v>85</v>
      </c>
      <c r="R437">
        <v>10</v>
      </c>
      <c r="S437">
        <v>6</v>
      </c>
    </row>
    <row r="438" spans="1:19" x14ac:dyDescent="0.25">
      <c r="A438">
        <v>16</v>
      </c>
      <c r="B438">
        <v>11</v>
      </c>
      <c r="C438">
        <v>2</v>
      </c>
      <c r="D438">
        <f>IF(A438=$N$2,1,0)</f>
        <v>0</v>
      </c>
      <c r="E438">
        <f>IF(A438=$M$2,1,0)</f>
        <v>0</v>
      </c>
      <c r="F438">
        <f t="shared" si="6"/>
        <v>8</v>
      </c>
      <c r="H438" s="1">
        <v>0.720138888888888</v>
      </c>
      <c r="P438" s="2">
        <f>TRUNC(O438/60) + 1</f>
        <v>1</v>
      </c>
      <c r="Q438">
        <v>16</v>
      </c>
      <c r="R438">
        <v>11</v>
      </c>
      <c r="S438">
        <v>2</v>
      </c>
    </row>
    <row r="439" spans="1:19" x14ac:dyDescent="0.25">
      <c r="A439">
        <v>64</v>
      </c>
      <c r="B439">
        <v>23</v>
      </c>
      <c r="C439">
        <v>3</v>
      </c>
      <c r="D439">
        <f>IF(A439=$N$2,1,0)</f>
        <v>0</v>
      </c>
      <c r="E439">
        <f>IF(A439=$M$2,1,0)</f>
        <v>0</v>
      </c>
      <c r="F439">
        <f t="shared" si="6"/>
        <v>9</v>
      </c>
      <c r="H439" s="1">
        <v>0.72083333333333199</v>
      </c>
      <c r="P439" s="2">
        <f>TRUNC(O439/60) + 1</f>
        <v>1</v>
      </c>
      <c r="Q439">
        <v>64</v>
      </c>
      <c r="R439">
        <v>23</v>
      </c>
      <c r="S439">
        <v>3</v>
      </c>
    </row>
    <row r="440" spans="1:19" x14ac:dyDescent="0.25">
      <c r="A440">
        <v>92</v>
      </c>
      <c r="B440">
        <v>10</v>
      </c>
      <c r="C440">
        <v>5</v>
      </c>
      <c r="D440">
        <f>IF(A440=$N$2,1,0)</f>
        <v>0</v>
      </c>
      <c r="E440">
        <f>IF(A440=$M$2,1,0)</f>
        <v>0</v>
      </c>
      <c r="F440">
        <f t="shared" si="6"/>
        <v>10</v>
      </c>
      <c r="H440" s="1">
        <v>0.72152777777777699</v>
      </c>
      <c r="P440" s="2">
        <f>TRUNC(O440/60) + 1</f>
        <v>1</v>
      </c>
      <c r="Q440">
        <v>92</v>
      </c>
      <c r="R440">
        <v>10</v>
      </c>
      <c r="S440">
        <v>5</v>
      </c>
    </row>
    <row r="441" spans="1:19" x14ac:dyDescent="0.25">
      <c r="A441">
        <v>16</v>
      </c>
      <c r="B441">
        <v>22</v>
      </c>
      <c r="C441">
        <v>5</v>
      </c>
      <c r="D441">
        <f>IF(A441=$N$2,1,0)</f>
        <v>0</v>
      </c>
      <c r="E441">
        <f>IF(A441=$M$2,1,0)</f>
        <v>0</v>
      </c>
      <c r="F441">
        <f t="shared" si="6"/>
        <v>0</v>
      </c>
      <c r="H441" s="1">
        <v>0.72222222222222099</v>
      </c>
      <c r="P441" s="2">
        <f>TRUNC(O441/60) + 1</f>
        <v>1</v>
      </c>
      <c r="Q441">
        <v>16</v>
      </c>
      <c r="R441">
        <v>22</v>
      </c>
      <c r="S441">
        <v>5</v>
      </c>
    </row>
    <row r="442" spans="1:19" x14ac:dyDescent="0.25">
      <c r="A442">
        <v>24</v>
      </c>
      <c r="B442">
        <v>22</v>
      </c>
      <c r="C442">
        <v>5</v>
      </c>
      <c r="D442">
        <f>IF(A442=$N$2,1,0)</f>
        <v>0</v>
      </c>
      <c r="E442">
        <f>IF(A442=$M$2,1,0)</f>
        <v>0</v>
      </c>
      <c r="F442">
        <f t="shared" si="6"/>
        <v>1</v>
      </c>
      <c r="H442" s="1">
        <v>0.72291666666666499</v>
      </c>
      <c r="P442" s="2">
        <f>TRUNC(O442/60) + 1</f>
        <v>1</v>
      </c>
      <c r="Q442">
        <v>24</v>
      </c>
      <c r="R442">
        <v>22</v>
      </c>
      <c r="S442">
        <v>5</v>
      </c>
    </row>
    <row r="443" spans="1:19" x14ac:dyDescent="0.25">
      <c r="A443">
        <v>74</v>
      </c>
      <c r="B443">
        <v>26</v>
      </c>
      <c r="C443">
        <v>8</v>
      </c>
      <c r="D443">
        <f>IF(A443=$N$2,1,0)</f>
        <v>0</v>
      </c>
      <c r="E443">
        <f>IF(A443=$M$2,1,0)</f>
        <v>0</v>
      </c>
      <c r="F443">
        <f t="shared" si="6"/>
        <v>2</v>
      </c>
      <c r="H443" s="1">
        <v>0.72361111111110998</v>
      </c>
      <c r="P443" s="2">
        <f>TRUNC(O443/60) + 1</f>
        <v>1</v>
      </c>
      <c r="Q443">
        <v>74</v>
      </c>
      <c r="R443">
        <v>26</v>
      </c>
      <c r="S443">
        <v>8</v>
      </c>
    </row>
    <row r="444" spans="1:19" x14ac:dyDescent="0.25">
      <c r="A444">
        <v>100</v>
      </c>
      <c r="B444">
        <v>18</v>
      </c>
      <c r="C444">
        <v>2</v>
      </c>
      <c r="D444">
        <f>IF(A444=$N$2,1,0)</f>
        <v>0</v>
      </c>
      <c r="E444">
        <f>IF(A444=$M$2,1,0)</f>
        <v>1</v>
      </c>
      <c r="F444">
        <f t="shared" si="6"/>
        <v>3</v>
      </c>
      <c r="H444" s="1">
        <v>0.72430555555555398</v>
      </c>
      <c r="P444" s="2">
        <f>TRUNC(O444/60) + 1</f>
        <v>1</v>
      </c>
      <c r="Q444">
        <v>100</v>
      </c>
      <c r="R444">
        <v>18</v>
      </c>
      <c r="S444">
        <v>2</v>
      </c>
    </row>
    <row r="445" spans="1:19" x14ac:dyDescent="0.25">
      <c r="A445">
        <v>12</v>
      </c>
      <c r="B445">
        <v>21</v>
      </c>
      <c r="C445">
        <v>4</v>
      </c>
      <c r="D445">
        <f>IF(A445=$N$2,1,0)</f>
        <v>0</v>
      </c>
      <c r="E445">
        <f>IF(A445=$M$2,1,0)</f>
        <v>0</v>
      </c>
      <c r="F445">
        <f t="shared" si="6"/>
        <v>0</v>
      </c>
      <c r="H445" s="1">
        <v>0.72499999999999898</v>
      </c>
      <c r="P445" s="2">
        <f>TRUNC(O445/60) + 1</f>
        <v>1</v>
      </c>
      <c r="Q445">
        <v>12</v>
      </c>
      <c r="R445">
        <v>21</v>
      </c>
      <c r="S445">
        <v>4</v>
      </c>
    </row>
    <row r="446" spans="1:19" x14ac:dyDescent="0.25">
      <c r="A446">
        <v>53</v>
      </c>
      <c r="B446">
        <v>29</v>
      </c>
      <c r="C446">
        <v>7</v>
      </c>
      <c r="D446">
        <f>IF(A446=$N$2,1,0)</f>
        <v>0</v>
      </c>
      <c r="E446">
        <f>IF(A446=$M$2,1,0)</f>
        <v>0</v>
      </c>
      <c r="F446">
        <f t="shared" si="6"/>
        <v>1</v>
      </c>
      <c r="H446" s="1">
        <v>0.72569444444444298</v>
      </c>
      <c r="P446" s="2">
        <f>TRUNC(O446/60) + 1</f>
        <v>1</v>
      </c>
      <c r="Q446">
        <v>53</v>
      </c>
      <c r="R446">
        <v>29</v>
      </c>
      <c r="S446">
        <v>7</v>
      </c>
    </row>
    <row r="447" spans="1:19" x14ac:dyDescent="0.25">
      <c r="A447">
        <v>58</v>
      </c>
      <c r="B447">
        <v>12</v>
      </c>
      <c r="C447">
        <v>7</v>
      </c>
      <c r="D447">
        <f>IF(A447=$N$2,1,0)</f>
        <v>0</v>
      </c>
      <c r="E447">
        <f>IF(A447=$M$2,1,0)</f>
        <v>0</v>
      </c>
      <c r="F447">
        <f t="shared" si="6"/>
        <v>2</v>
      </c>
      <c r="H447" s="1">
        <v>0.72638888888888797</v>
      </c>
      <c r="P447" s="2">
        <f>TRUNC(O447/60) + 1</f>
        <v>1</v>
      </c>
      <c r="Q447">
        <v>58</v>
      </c>
      <c r="R447">
        <v>12</v>
      </c>
      <c r="S447">
        <v>7</v>
      </c>
    </row>
    <row r="448" spans="1:19" x14ac:dyDescent="0.25">
      <c r="A448">
        <v>87</v>
      </c>
      <c r="B448">
        <v>18</v>
      </c>
      <c r="C448">
        <v>8</v>
      </c>
      <c r="D448">
        <f>IF(A448=$N$2,1,0)</f>
        <v>0</v>
      </c>
      <c r="E448">
        <f>IF(A448=$M$2,1,0)</f>
        <v>0</v>
      </c>
      <c r="F448">
        <f t="shared" si="6"/>
        <v>3</v>
      </c>
      <c r="H448" s="1">
        <v>0.72708333333333197</v>
      </c>
      <c r="P448" s="2">
        <f>TRUNC(O448/60) + 1</f>
        <v>1</v>
      </c>
      <c r="Q448">
        <v>87</v>
      </c>
      <c r="R448">
        <v>18</v>
      </c>
      <c r="S448">
        <v>8</v>
      </c>
    </row>
    <row r="449" spans="1:19" x14ac:dyDescent="0.25">
      <c r="A449">
        <v>38</v>
      </c>
      <c r="B449">
        <v>25</v>
      </c>
      <c r="C449">
        <v>8</v>
      </c>
      <c r="D449">
        <f>IF(A449=$N$2,1,0)</f>
        <v>0</v>
      </c>
      <c r="E449">
        <f>IF(A449=$M$2,1,0)</f>
        <v>0</v>
      </c>
      <c r="F449">
        <f t="shared" si="6"/>
        <v>4</v>
      </c>
      <c r="H449" s="1">
        <v>0.72777777777777697</v>
      </c>
      <c r="P449" s="2">
        <f>TRUNC(O449/60) + 1</f>
        <v>1</v>
      </c>
      <c r="Q449">
        <v>38</v>
      </c>
      <c r="R449">
        <v>25</v>
      </c>
      <c r="S449">
        <v>8</v>
      </c>
    </row>
    <row r="450" spans="1:19" x14ac:dyDescent="0.25">
      <c r="A450">
        <v>69</v>
      </c>
      <c r="B450">
        <v>28</v>
      </c>
      <c r="C450">
        <v>8</v>
      </c>
      <c r="D450">
        <f>IF(A450=$N$2,1,0)</f>
        <v>0</v>
      </c>
      <c r="E450">
        <f>IF(A450=$M$2,1,0)</f>
        <v>0</v>
      </c>
      <c r="F450">
        <f t="shared" si="6"/>
        <v>5</v>
      </c>
      <c r="H450" s="1">
        <v>0.72847222222222097</v>
      </c>
      <c r="P450" s="2">
        <f>TRUNC(O450/60) + 1</f>
        <v>1</v>
      </c>
      <c r="Q450">
        <v>69</v>
      </c>
      <c r="R450">
        <v>28</v>
      </c>
      <c r="S450">
        <v>8</v>
      </c>
    </row>
    <row r="451" spans="1:19" x14ac:dyDescent="0.25">
      <c r="A451">
        <v>26</v>
      </c>
      <c r="B451">
        <v>12</v>
      </c>
      <c r="C451">
        <v>6</v>
      </c>
      <c r="D451">
        <f>IF(A451=$N$2,1,0)</f>
        <v>0</v>
      </c>
      <c r="E451">
        <f>IF(A451=$M$2,1,0)</f>
        <v>0</v>
      </c>
      <c r="F451">
        <f t="shared" ref="F451:F514" si="7">IF(AND(B451&gt;C451, A451 &gt; B451), F450 + 1, 0)</f>
        <v>6</v>
      </c>
      <c r="H451" s="1">
        <v>0.72916666666666496</v>
      </c>
      <c r="P451" s="2">
        <f>TRUNC(O451/60) + 1</f>
        <v>1</v>
      </c>
      <c r="Q451">
        <v>26</v>
      </c>
      <c r="R451">
        <v>12</v>
      </c>
      <c r="S451">
        <v>6</v>
      </c>
    </row>
    <row r="452" spans="1:19" x14ac:dyDescent="0.25">
      <c r="A452">
        <v>66</v>
      </c>
      <c r="B452">
        <v>6</v>
      </c>
      <c r="C452">
        <v>8</v>
      </c>
      <c r="D452">
        <f>IF(A452=$N$2,1,0)</f>
        <v>0</v>
      </c>
      <c r="E452">
        <f>IF(A452=$M$2,1,0)</f>
        <v>0</v>
      </c>
      <c r="F452">
        <f t="shared" si="7"/>
        <v>0</v>
      </c>
      <c r="H452" s="1">
        <v>0.72986111111110996</v>
      </c>
      <c r="P452" s="2">
        <f>TRUNC(O452/60) + 1</f>
        <v>1</v>
      </c>
      <c r="Q452">
        <v>66</v>
      </c>
      <c r="R452">
        <v>6</v>
      </c>
      <c r="S452">
        <v>8</v>
      </c>
    </row>
    <row r="453" spans="1:19" x14ac:dyDescent="0.25">
      <c r="A453">
        <v>57</v>
      </c>
      <c r="B453">
        <v>7</v>
      </c>
      <c r="C453">
        <v>6</v>
      </c>
      <c r="D453">
        <f>IF(A453=$N$2,1,0)</f>
        <v>0</v>
      </c>
      <c r="E453">
        <f>IF(A453=$M$2,1,0)</f>
        <v>0</v>
      </c>
      <c r="F453">
        <f t="shared" si="7"/>
        <v>1</v>
      </c>
      <c r="H453" s="1">
        <v>0.73055555555555396</v>
      </c>
      <c r="P453" s="2">
        <f>TRUNC(O453/60) + 1</f>
        <v>1</v>
      </c>
      <c r="Q453">
        <v>57</v>
      </c>
      <c r="R453">
        <v>7</v>
      </c>
      <c r="S453">
        <v>6</v>
      </c>
    </row>
    <row r="454" spans="1:19" x14ac:dyDescent="0.25">
      <c r="A454">
        <v>87</v>
      </c>
      <c r="B454">
        <v>5</v>
      </c>
      <c r="C454">
        <v>6</v>
      </c>
      <c r="D454">
        <f>IF(A454=$N$2,1,0)</f>
        <v>0</v>
      </c>
      <c r="E454">
        <f>IF(A454=$M$2,1,0)</f>
        <v>0</v>
      </c>
      <c r="F454">
        <f t="shared" si="7"/>
        <v>0</v>
      </c>
      <c r="H454" s="1">
        <v>0.73124999999999896</v>
      </c>
      <c r="P454" s="2">
        <f>TRUNC(O454/60) + 1</f>
        <v>1</v>
      </c>
      <c r="Q454">
        <v>87</v>
      </c>
      <c r="R454">
        <v>5</v>
      </c>
      <c r="S454">
        <v>6</v>
      </c>
    </row>
    <row r="455" spans="1:19" x14ac:dyDescent="0.25">
      <c r="A455">
        <v>22</v>
      </c>
      <c r="B455">
        <v>19</v>
      </c>
      <c r="C455">
        <v>1</v>
      </c>
      <c r="D455">
        <f>IF(A455=$N$2,1,0)</f>
        <v>0</v>
      </c>
      <c r="E455">
        <f>IF(A455=$M$2,1,0)</f>
        <v>0</v>
      </c>
      <c r="F455">
        <f t="shared" si="7"/>
        <v>1</v>
      </c>
      <c r="H455" s="1">
        <v>0.73194444444444295</v>
      </c>
      <c r="P455" s="2">
        <f>TRUNC(O455/60) + 1</f>
        <v>1</v>
      </c>
      <c r="Q455">
        <v>22</v>
      </c>
      <c r="R455">
        <v>19</v>
      </c>
      <c r="S455">
        <v>1</v>
      </c>
    </row>
    <row r="456" spans="1:19" x14ac:dyDescent="0.25">
      <c r="A456">
        <v>59</v>
      </c>
      <c r="B456">
        <v>21</v>
      </c>
      <c r="C456">
        <v>6</v>
      </c>
      <c r="D456">
        <f>IF(A456=$N$2,1,0)</f>
        <v>0</v>
      </c>
      <c r="E456">
        <f>IF(A456=$M$2,1,0)</f>
        <v>0</v>
      </c>
      <c r="F456">
        <f t="shared" si="7"/>
        <v>2</v>
      </c>
      <c r="H456" s="1">
        <v>0.73263888888888795</v>
      </c>
      <c r="P456" s="2">
        <f>TRUNC(O456/60) + 1</f>
        <v>1</v>
      </c>
      <c r="Q456">
        <v>59</v>
      </c>
      <c r="R456">
        <v>21</v>
      </c>
      <c r="S456">
        <v>6</v>
      </c>
    </row>
    <row r="457" spans="1:19" x14ac:dyDescent="0.25">
      <c r="A457">
        <v>19</v>
      </c>
      <c r="B457">
        <v>27</v>
      </c>
      <c r="C457">
        <v>5</v>
      </c>
      <c r="D457">
        <f>IF(A457=$N$2,1,0)</f>
        <v>0</v>
      </c>
      <c r="E457">
        <f>IF(A457=$M$2,1,0)</f>
        <v>0</v>
      </c>
      <c r="F457">
        <f t="shared" si="7"/>
        <v>0</v>
      </c>
      <c r="H457" s="1">
        <v>0.73333333333333195</v>
      </c>
      <c r="P457" s="2">
        <f>TRUNC(O457/60) + 1</f>
        <v>1</v>
      </c>
      <c r="Q457">
        <v>19</v>
      </c>
      <c r="R457">
        <v>27</v>
      </c>
      <c r="S457">
        <v>5</v>
      </c>
    </row>
    <row r="458" spans="1:19" x14ac:dyDescent="0.25">
      <c r="A458">
        <v>42</v>
      </c>
      <c r="B458">
        <v>11</v>
      </c>
      <c r="C458">
        <v>1</v>
      </c>
      <c r="D458">
        <f>IF(A458=$N$2,1,0)</f>
        <v>0</v>
      </c>
      <c r="E458">
        <f>IF(A458=$M$2,1,0)</f>
        <v>0</v>
      </c>
      <c r="F458">
        <f t="shared" si="7"/>
        <v>1</v>
      </c>
      <c r="H458" s="1">
        <v>0.73402777777777695</v>
      </c>
      <c r="P458" s="2">
        <f>TRUNC(O458/60) + 1</f>
        <v>1</v>
      </c>
      <c r="Q458">
        <v>42</v>
      </c>
      <c r="R458">
        <v>11</v>
      </c>
      <c r="S458">
        <v>1</v>
      </c>
    </row>
    <row r="459" spans="1:19" x14ac:dyDescent="0.25">
      <c r="A459">
        <v>79</v>
      </c>
      <c r="B459">
        <v>6</v>
      </c>
      <c r="C459">
        <v>5</v>
      </c>
      <c r="D459">
        <f>IF(A459=$N$2,1,0)</f>
        <v>0</v>
      </c>
      <c r="E459">
        <f>IF(A459=$M$2,1,0)</f>
        <v>0</v>
      </c>
      <c r="F459">
        <f t="shared" si="7"/>
        <v>2</v>
      </c>
      <c r="H459" s="1">
        <v>0.73472222222222106</v>
      </c>
      <c r="P459" s="2">
        <f>TRUNC(O459/60) + 1</f>
        <v>1</v>
      </c>
      <c r="Q459">
        <v>79</v>
      </c>
      <c r="R459">
        <v>6</v>
      </c>
      <c r="S459">
        <v>5</v>
      </c>
    </row>
    <row r="460" spans="1:19" x14ac:dyDescent="0.25">
      <c r="A460">
        <v>46</v>
      </c>
      <c r="B460">
        <v>16</v>
      </c>
      <c r="C460">
        <v>4</v>
      </c>
      <c r="D460">
        <f>IF(A460=$N$2,1,0)</f>
        <v>0</v>
      </c>
      <c r="E460">
        <f>IF(A460=$M$2,1,0)</f>
        <v>0</v>
      </c>
      <c r="F460">
        <f t="shared" si="7"/>
        <v>3</v>
      </c>
      <c r="H460" s="1">
        <v>0.73541666666666505</v>
      </c>
      <c r="P460" s="2">
        <f>TRUNC(O460/60) + 1</f>
        <v>1</v>
      </c>
      <c r="Q460">
        <v>46</v>
      </c>
      <c r="R460">
        <v>16</v>
      </c>
      <c r="S460">
        <v>4</v>
      </c>
    </row>
    <row r="461" spans="1:19" x14ac:dyDescent="0.25">
      <c r="A461">
        <v>77</v>
      </c>
      <c r="B461">
        <v>16</v>
      </c>
      <c r="C461">
        <v>2</v>
      </c>
      <c r="D461">
        <f>IF(A461=$N$2,1,0)</f>
        <v>0</v>
      </c>
      <c r="E461">
        <f>IF(A461=$M$2,1,0)</f>
        <v>0</v>
      </c>
      <c r="F461">
        <f t="shared" si="7"/>
        <v>4</v>
      </c>
      <c r="H461" s="1">
        <v>0.73611111111111005</v>
      </c>
      <c r="P461" s="2">
        <f>TRUNC(O461/60) + 1</f>
        <v>1</v>
      </c>
      <c r="Q461">
        <v>77</v>
      </c>
      <c r="R461">
        <v>16</v>
      </c>
      <c r="S461">
        <v>2</v>
      </c>
    </row>
    <row r="462" spans="1:19" x14ac:dyDescent="0.25">
      <c r="A462">
        <v>32</v>
      </c>
      <c r="B462">
        <v>6</v>
      </c>
      <c r="C462">
        <v>2</v>
      </c>
      <c r="D462">
        <f>IF(A462=$N$2,1,0)</f>
        <v>0</v>
      </c>
      <c r="E462">
        <f>IF(A462=$M$2,1,0)</f>
        <v>0</v>
      </c>
      <c r="F462">
        <f t="shared" si="7"/>
        <v>5</v>
      </c>
      <c r="H462" s="1">
        <v>0.73680555555555405</v>
      </c>
      <c r="P462" s="2">
        <f>TRUNC(O462/60) + 1</f>
        <v>1</v>
      </c>
      <c r="Q462">
        <v>32</v>
      </c>
      <c r="R462">
        <v>6</v>
      </c>
      <c r="S462">
        <v>2</v>
      </c>
    </row>
    <row r="463" spans="1:19" x14ac:dyDescent="0.25">
      <c r="A463">
        <v>94</v>
      </c>
      <c r="B463">
        <v>14</v>
      </c>
      <c r="C463">
        <v>10</v>
      </c>
      <c r="D463">
        <f>IF(A463=$N$2,1,0)</f>
        <v>0</v>
      </c>
      <c r="E463">
        <f>IF(A463=$M$2,1,0)</f>
        <v>0</v>
      </c>
      <c r="F463">
        <f t="shared" si="7"/>
        <v>6</v>
      </c>
      <c r="H463" s="1">
        <v>0.73749999999999905</v>
      </c>
      <c r="P463" s="2">
        <f>TRUNC(O463/60) + 1</f>
        <v>1</v>
      </c>
      <c r="Q463">
        <v>94</v>
      </c>
      <c r="R463">
        <v>14</v>
      </c>
      <c r="S463">
        <v>10</v>
      </c>
    </row>
    <row r="464" spans="1:19" x14ac:dyDescent="0.25">
      <c r="A464">
        <v>92</v>
      </c>
      <c r="B464">
        <v>23</v>
      </c>
      <c r="C464">
        <v>7</v>
      </c>
      <c r="D464">
        <f>IF(A464=$N$2,1,0)</f>
        <v>0</v>
      </c>
      <c r="E464">
        <f>IF(A464=$M$2,1,0)</f>
        <v>0</v>
      </c>
      <c r="F464">
        <f t="shared" si="7"/>
        <v>7</v>
      </c>
      <c r="H464" s="1">
        <v>0.73819444444444304</v>
      </c>
      <c r="P464" s="2">
        <f>TRUNC(O464/60) + 1</f>
        <v>1</v>
      </c>
      <c r="Q464">
        <v>92</v>
      </c>
      <c r="R464">
        <v>23</v>
      </c>
      <c r="S464">
        <v>7</v>
      </c>
    </row>
    <row r="465" spans="1:19" x14ac:dyDescent="0.25">
      <c r="A465">
        <v>50</v>
      </c>
      <c r="B465">
        <v>18</v>
      </c>
      <c r="C465">
        <v>10</v>
      </c>
      <c r="D465">
        <f>IF(A465=$N$2,1,0)</f>
        <v>0</v>
      </c>
      <c r="E465">
        <f>IF(A465=$M$2,1,0)</f>
        <v>0</v>
      </c>
      <c r="F465">
        <f t="shared" si="7"/>
        <v>8</v>
      </c>
      <c r="H465" s="1">
        <v>0.73888888888888804</v>
      </c>
      <c r="P465" s="2">
        <f>TRUNC(O465/60) + 1</f>
        <v>1</v>
      </c>
      <c r="Q465">
        <v>50</v>
      </c>
      <c r="R465">
        <v>18</v>
      </c>
      <c r="S465">
        <v>10</v>
      </c>
    </row>
    <row r="466" spans="1:19" x14ac:dyDescent="0.25">
      <c r="A466">
        <v>61</v>
      </c>
      <c r="B466">
        <v>23</v>
      </c>
      <c r="C466">
        <v>6</v>
      </c>
      <c r="D466">
        <f>IF(A466=$N$2,1,0)</f>
        <v>0</v>
      </c>
      <c r="E466">
        <f>IF(A466=$M$2,1,0)</f>
        <v>0</v>
      </c>
      <c r="F466">
        <f t="shared" si="7"/>
        <v>9</v>
      </c>
      <c r="H466" s="1">
        <v>0.73958333333333204</v>
      </c>
      <c r="P466" s="2">
        <f>TRUNC(O466/60) + 1</f>
        <v>1</v>
      </c>
      <c r="Q466">
        <v>61</v>
      </c>
      <c r="R466">
        <v>23</v>
      </c>
      <c r="S466">
        <v>6</v>
      </c>
    </row>
    <row r="467" spans="1:19" x14ac:dyDescent="0.25">
      <c r="A467">
        <v>42</v>
      </c>
      <c r="B467">
        <v>30</v>
      </c>
      <c r="C467">
        <v>1</v>
      </c>
      <c r="D467">
        <f>IF(A467=$N$2,1,0)</f>
        <v>0</v>
      </c>
      <c r="E467">
        <f>IF(A467=$M$2,1,0)</f>
        <v>0</v>
      </c>
      <c r="F467">
        <f t="shared" si="7"/>
        <v>10</v>
      </c>
      <c r="H467" s="1">
        <v>0.74027777777777704</v>
      </c>
      <c r="P467" s="2">
        <f>TRUNC(O467/60) + 1</f>
        <v>1</v>
      </c>
      <c r="Q467">
        <v>42</v>
      </c>
      <c r="R467">
        <v>30</v>
      </c>
      <c r="S467">
        <v>1</v>
      </c>
    </row>
    <row r="468" spans="1:19" x14ac:dyDescent="0.25">
      <c r="A468">
        <v>68</v>
      </c>
      <c r="B468">
        <v>15</v>
      </c>
      <c r="C468">
        <v>1</v>
      </c>
      <c r="D468">
        <f>IF(A468=$N$2,1,0)</f>
        <v>0</v>
      </c>
      <c r="E468">
        <f>IF(A468=$M$2,1,0)</f>
        <v>0</v>
      </c>
      <c r="F468">
        <f t="shared" si="7"/>
        <v>11</v>
      </c>
      <c r="H468" s="1">
        <v>0.74097222222222103</v>
      </c>
      <c r="P468" s="2">
        <f>TRUNC(O468/60) + 1</f>
        <v>1</v>
      </c>
      <c r="Q468">
        <v>68</v>
      </c>
      <c r="R468">
        <v>15</v>
      </c>
      <c r="S468">
        <v>1</v>
      </c>
    </row>
    <row r="469" spans="1:19" x14ac:dyDescent="0.25">
      <c r="A469">
        <v>55</v>
      </c>
      <c r="B469">
        <v>16</v>
      </c>
      <c r="C469">
        <v>4</v>
      </c>
      <c r="D469">
        <f>IF(A469=$N$2,1,0)</f>
        <v>0</v>
      </c>
      <c r="E469">
        <f>IF(A469=$M$2,1,0)</f>
        <v>0</v>
      </c>
      <c r="F469">
        <f t="shared" si="7"/>
        <v>12</v>
      </c>
      <c r="H469" s="1">
        <v>0.74166666666666503</v>
      </c>
      <c r="P469" s="2">
        <f>TRUNC(O469/60) + 1</f>
        <v>1</v>
      </c>
      <c r="Q469">
        <v>55</v>
      </c>
      <c r="R469">
        <v>16</v>
      </c>
      <c r="S469">
        <v>4</v>
      </c>
    </row>
    <row r="470" spans="1:19" x14ac:dyDescent="0.25">
      <c r="A470">
        <v>10</v>
      </c>
      <c r="B470">
        <v>14</v>
      </c>
      <c r="C470">
        <v>1</v>
      </c>
      <c r="D470">
        <f>IF(A470=$N$2,1,0)</f>
        <v>1</v>
      </c>
      <c r="E470">
        <f>IF(A470=$M$2,1,0)</f>
        <v>0</v>
      </c>
      <c r="F470">
        <f t="shared" si="7"/>
        <v>0</v>
      </c>
      <c r="H470" s="1">
        <v>0.74236111111111003</v>
      </c>
      <c r="P470" s="2">
        <f>TRUNC(O470/60) + 1</f>
        <v>1</v>
      </c>
      <c r="Q470">
        <v>10</v>
      </c>
      <c r="R470">
        <v>14</v>
      </c>
      <c r="S470">
        <v>1</v>
      </c>
    </row>
    <row r="471" spans="1:19" x14ac:dyDescent="0.25">
      <c r="A471">
        <v>82</v>
      </c>
      <c r="B471">
        <v>26</v>
      </c>
      <c r="C471">
        <v>2</v>
      </c>
      <c r="D471">
        <f>IF(A471=$N$2,1,0)</f>
        <v>0</v>
      </c>
      <c r="E471">
        <f>IF(A471=$M$2,1,0)</f>
        <v>0</v>
      </c>
      <c r="F471">
        <f t="shared" si="7"/>
        <v>1</v>
      </c>
      <c r="H471" s="1">
        <v>0.74305555555555403</v>
      </c>
      <c r="P471" s="2">
        <f>TRUNC(O471/60) + 1</f>
        <v>1</v>
      </c>
      <c r="Q471">
        <v>82</v>
      </c>
      <c r="R471">
        <v>26</v>
      </c>
      <c r="S471">
        <v>2</v>
      </c>
    </row>
    <row r="472" spans="1:19" x14ac:dyDescent="0.25">
      <c r="A472">
        <v>79</v>
      </c>
      <c r="B472">
        <v>22</v>
      </c>
      <c r="C472">
        <v>9</v>
      </c>
      <c r="D472">
        <f>IF(A472=$N$2,1,0)</f>
        <v>0</v>
      </c>
      <c r="E472">
        <f>IF(A472=$M$2,1,0)</f>
        <v>0</v>
      </c>
      <c r="F472">
        <f t="shared" si="7"/>
        <v>2</v>
      </c>
      <c r="H472" s="1">
        <v>0.74374999999999902</v>
      </c>
      <c r="P472" s="2">
        <f>TRUNC(O472/60) + 1</f>
        <v>1</v>
      </c>
      <c r="Q472">
        <v>79</v>
      </c>
      <c r="R472">
        <v>22</v>
      </c>
      <c r="S472">
        <v>9</v>
      </c>
    </row>
    <row r="473" spans="1:19" x14ac:dyDescent="0.25">
      <c r="A473">
        <v>58</v>
      </c>
      <c r="B473">
        <v>20</v>
      </c>
      <c r="C473">
        <v>8</v>
      </c>
      <c r="D473">
        <f>IF(A473=$N$2,1,0)</f>
        <v>0</v>
      </c>
      <c r="E473">
        <f>IF(A473=$M$2,1,0)</f>
        <v>0</v>
      </c>
      <c r="F473">
        <f t="shared" si="7"/>
        <v>3</v>
      </c>
      <c r="H473" s="1">
        <v>0.74444444444444302</v>
      </c>
      <c r="P473" s="2">
        <f>TRUNC(O473/60) + 1</f>
        <v>1</v>
      </c>
      <c r="Q473">
        <v>58</v>
      </c>
      <c r="R473">
        <v>20</v>
      </c>
      <c r="S473">
        <v>8</v>
      </c>
    </row>
    <row r="474" spans="1:19" x14ac:dyDescent="0.25">
      <c r="A474">
        <v>39</v>
      </c>
      <c r="B474">
        <v>26</v>
      </c>
      <c r="C474">
        <v>2</v>
      </c>
      <c r="D474">
        <f>IF(A474=$N$2,1,0)</f>
        <v>0</v>
      </c>
      <c r="E474">
        <f>IF(A474=$M$2,1,0)</f>
        <v>0</v>
      </c>
      <c r="F474">
        <f t="shared" si="7"/>
        <v>4</v>
      </c>
      <c r="H474" s="1">
        <v>0.74513888888888802</v>
      </c>
      <c r="P474" s="2">
        <f>TRUNC(O474/60) + 1</f>
        <v>1</v>
      </c>
      <c r="Q474">
        <v>39</v>
      </c>
      <c r="R474">
        <v>26</v>
      </c>
      <c r="S474">
        <v>2</v>
      </c>
    </row>
    <row r="475" spans="1:19" x14ac:dyDescent="0.25">
      <c r="A475">
        <v>49</v>
      </c>
      <c r="B475">
        <v>11</v>
      </c>
      <c r="C475">
        <v>6</v>
      </c>
      <c r="D475">
        <f>IF(A475=$N$2,1,0)</f>
        <v>0</v>
      </c>
      <c r="E475">
        <f>IF(A475=$M$2,1,0)</f>
        <v>0</v>
      </c>
      <c r="F475">
        <f t="shared" si="7"/>
        <v>5</v>
      </c>
      <c r="H475" s="1">
        <v>0.74583333333333202</v>
      </c>
      <c r="P475" s="2">
        <f>TRUNC(O475/60) + 1</f>
        <v>1</v>
      </c>
      <c r="Q475">
        <v>49</v>
      </c>
      <c r="R475">
        <v>11</v>
      </c>
      <c r="S475">
        <v>6</v>
      </c>
    </row>
    <row r="476" spans="1:19" x14ac:dyDescent="0.25">
      <c r="A476">
        <v>98</v>
      </c>
      <c r="B476">
        <v>30</v>
      </c>
      <c r="C476">
        <v>10</v>
      </c>
      <c r="D476">
        <f>IF(A476=$N$2,1,0)</f>
        <v>0</v>
      </c>
      <c r="E476">
        <f>IF(A476=$M$2,1,0)</f>
        <v>0</v>
      </c>
      <c r="F476">
        <f t="shared" si="7"/>
        <v>6</v>
      </c>
      <c r="H476" s="1">
        <v>0.74652777777777601</v>
      </c>
      <c r="P476" s="2">
        <f>TRUNC(O476/60) + 1</f>
        <v>1</v>
      </c>
      <c r="Q476">
        <v>98</v>
      </c>
      <c r="R476">
        <v>30</v>
      </c>
      <c r="S476">
        <v>10</v>
      </c>
    </row>
    <row r="477" spans="1:19" x14ac:dyDescent="0.25">
      <c r="A477">
        <v>93</v>
      </c>
      <c r="B477">
        <v>29</v>
      </c>
      <c r="C477">
        <v>9</v>
      </c>
      <c r="D477">
        <f>IF(A477=$N$2,1,0)</f>
        <v>0</v>
      </c>
      <c r="E477">
        <f>IF(A477=$M$2,1,0)</f>
        <v>0</v>
      </c>
      <c r="F477">
        <f t="shared" si="7"/>
        <v>7</v>
      </c>
      <c r="H477" s="1">
        <v>0.74722222222222101</v>
      </c>
      <c r="P477" s="2">
        <f>TRUNC(O477/60) + 1</f>
        <v>1</v>
      </c>
      <c r="Q477">
        <v>93</v>
      </c>
      <c r="R477">
        <v>29</v>
      </c>
      <c r="S477">
        <v>9</v>
      </c>
    </row>
    <row r="478" spans="1:19" x14ac:dyDescent="0.25">
      <c r="A478">
        <v>82</v>
      </c>
      <c r="B478">
        <v>20</v>
      </c>
      <c r="C478">
        <v>10</v>
      </c>
      <c r="D478">
        <f>IF(A478=$N$2,1,0)</f>
        <v>0</v>
      </c>
      <c r="E478">
        <f>IF(A478=$M$2,1,0)</f>
        <v>0</v>
      </c>
      <c r="F478">
        <f t="shared" si="7"/>
        <v>8</v>
      </c>
      <c r="H478" s="1">
        <v>0.74791666666666501</v>
      </c>
      <c r="P478" s="2">
        <f>TRUNC(O478/60) + 1</f>
        <v>1</v>
      </c>
      <c r="Q478">
        <v>82</v>
      </c>
      <c r="R478">
        <v>20</v>
      </c>
      <c r="S478">
        <v>10</v>
      </c>
    </row>
    <row r="479" spans="1:19" x14ac:dyDescent="0.25">
      <c r="A479">
        <v>50</v>
      </c>
      <c r="B479">
        <v>7</v>
      </c>
      <c r="C479">
        <v>1</v>
      </c>
      <c r="D479">
        <f>IF(A479=$N$2,1,0)</f>
        <v>0</v>
      </c>
      <c r="E479">
        <f>IF(A479=$M$2,1,0)</f>
        <v>0</v>
      </c>
      <c r="F479">
        <f t="shared" si="7"/>
        <v>9</v>
      </c>
      <c r="H479" s="1">
        <v>0.74861111111111001</v>
      </c>
      <c r="P479" s="2">
        <f>TRUNC(O479/60) + 1</f>
        <v>1</v>
      </c>
      <c r="Q479">
        <v>50</v>
      </c>
      <c r="R479">
        <v>7</v>
      </c>
      <c r="S479">
        <v>1</v>
      </c>
    </row>
    <row r="480" spans="1:19" x14ac:dyDescent="0.25">
      <c r="A480">
        <v>19</v>
      </c>
      <c r="B480">
        <v>7</v>
      </c>
      <c r="C480">
        <v>7</v>
      </c>
      <c r="D480">
        <f>IF(A480=$N$2,1,0)</f>
        <v>0</v>
      </c>
      <c r="E480">
        <f>IF(A480=$M$2,1,0)</f>
        <v>0</v>
      </c>
      <c r="F480">
        <f t="shared" si="7"/>
        <v>0</v>
      </c>
      <c r="H480" s="1">
        <v>0.749305555555554</v>
      </c>
      <c r="P480" s="2">
        <f>TRUNC(O480/60) + 1</f>
        <v>1</v>
      </c>
      <c r="Q480">
        <v>19</v>
      </c>
      <c r="R480">
        <v>7</v>
      </c>
      <c r="S480">
        <v>7</v>
      </c>
    </row>
    <row r="481" spans="1:19" x14ac:dyDescent="0.25">
      <c r="A481">
        <v>25</v>
      </c>
      <c r="B481">
        <v>30</v>
      </c>
      <c r="C481">
        <v>4</v>
      </c>
      <c r="D481">
        <f>IF(A481=$N$2,1,0)</f>
        <v>0</v>
      </c>
      <c r="E481">
        <f>IF(A481=$M$2,1,0)</f>
        <v>0</v>
      </c>
      <c r="F481">
        <f t="shared" si="7"/>
        <v>0</v>
      </c>
      <c r="H481" s="1">
        <v>0.749999999999999</v>
      </c>
      <c r="P481" s="2">
        <f>TRUNC(O481/60) + 1</f>
        <v>1</v>
      </c>
      <c r="Q481">
        <v>25</v>
      </c>
      <c r="R481">
        <v>30</v>
      </c>
      <c r="S481">
        <v>4</v>
      </c>
    </row>
    <row r="482" spans="1:19" x14ac:dyDescent="0.25">
      <c r="A482">
        <v>43</v>
      </c>
      <c r="B482">
        <v>22</v>
      </c>
      <c r="C482">
        <v>9</v>
      </c>
      <c r="D482">
        <f>IF(A482=$N$2,1,0)</f>
        <v>0</v>
      </c>
      <c r="E482">
        <f>IF(A482=$M$2,1,0)</f>
        <v>0</v>
      </c>
      <c r="F482">
        <f t="shared" si="7"/>
        <v>1</v>
      </c>
      <c r="H482" s="1">
        <v>0.750694444444443</v>
      </c>
      <c r="P482" s="2">
        <f>TRUNC(O482/60) + 1</f>
        <v>1</v>
      </c>
      <c r="Q482">
        <v>43</v>
      </c>
      <c r="R482">
        <v>22</v>
      </c>
      <c r="S482">
        <v>9</v>
      </c>
    </row>
    <row r="483" spans="1:19" x14ac:dyDescent="0.25">
      <c r="A483">
        <v>88</v>
      </c>
      <c r="B483">
        <v>21</v>
      </c>
      <c r="C483">
        <v>9</v>
      </c>
      <c r="D483">
        <f>IF(A483=$N$2,1,0)</f>
        <v>0</v>
      </c>
      <c r="E483">
        <f>IF(A483=$M$2,1,0)</f>
        <v>0</v>
      </c>
      <c r="F483">
        <f t="shared" si="7"/>
        <v>2</v>
      </c>
      <c r="H483" s="1">
        <v>0.751388888888888</v>
      </c>
      <c r="P483" s="2">
        <f>TRUNC(O483/60) + 1</f>
        <v>1</v>
      </c>
      <c r="Q483">
        <v>88</v>
      </c>
      <c r="R483">
        <v>21</v>
      </c>
      <c r="S483">
        <v>9</v>
      </c>
    </row>
    <row r="484" spans="1:19" x14ac:dyDescent="0.25">
      <c r="A484">
        <v>82</v>
      </c>
      <c r="B484">
        <v>12</v>
      </c>
      <c r="C484">
        <v>8</v>
      </c>
      <c r="D484">
        <f>IF(A484=$N$2,1,0)</f>
        <v>0</v>
      </c>
      <c r="E484">
        <f>IF(A484=$M$2,1,0)</f>
        <v>0</v>
      </c>
      <c r="F484">
        <f t="shared" si="7"/>
        <v>3</v>
      </c>
      <c r="H484" s="1">
        <v>0.75208333333333199</v>
      </c>
      <c r="P484" s="2">
        <f>TRUNC(O484/60) + 1</f>
        <v>1</v>
      </c>
      <c r="Q484">
        <v>82</v>
      </c>
      <c r="R484">
        <v>12</v>
      </c>
      <c r="S484">
        <v>8</v>
      </c>
    </row>
    <row r="485" spans="1:19" x14ac:dyDescent="0.25">
      <c r="A485">
        <v>37</v>
      </c>
      <c r="B485">
        <v>27</v>
      </c>
      <c r="C485">
        <v>9</v>
      </c>
      <c r="D485">
        <f>IF(A485=$N$2,1,0)</f>
        <v>0</v>
      </c>
      <c r="E485">
        <f>IF(A485=$M$2,1,0)</f>
        <v>0</v>
      </c>
      <c r="F485">
        <f t="shared" si="7"/>
        <v>4</v>
      </c>
      <c r="H485" s="1">
        <v>0.75277777777777599</v>
      </c>
      <c r="P485" s="2">
        <f>TRUNC(O485/60) + 1</f>
        <v>1</v>
      </c>
      <c r="Q485">
        <v>37</v>
      </c>
      <c r="R485">
        <v>27</v>
      </c>
      <c r="S485">
        <v>9</v>
      </c>
    </row>
    <row r="486" spans="1:19" x14ac:dyDescent="0.25">
      <c r="A486">
        <v>18</v>
      </c>
      <c r="B486">
        <v>12</v>
      </c>
      <c r="C486">
        <v>4</v>
      </c>
      <c r="D486">
        <f>IF(A486=$N$2,1,0)</f>
        <v>0</v>
      </c>
      <c r="E486">
        <f>IF(A486=$M$2,1,0)</f>
        <v>0</v>
      </c>
      <c r="F486">
        <f t="shared" si="7"/>
        <v>5</v>
      </c>
      <c r="H486" s="1">
        <v>0.75347222222222099</v>
      </c>
      <c r="P486" s="2">
        <f>TRUNC(O486/60) + 1</f>
        <v>1</v>
      </c>
      <c r="Q486">
        <v>18</v>
      </c>
      <c r="R486">
        <v>12</v>
      </c>
      <c r="S486">
        <v>4</v>
      </c>
    </row>
    <row r="487" spans="1:19" x14ac:dyDescent="0.25">
      <c r="A487">
        <v>33</v>
      </c>
      <c r="B487">
        <v>11</v>
      </c>
      <c r="C487">
        <v>8</v>
      </c>
      <c r="D487">
        <f>IF(A487=$N$2,1,0)</f>
        <v>0</v>
      </c>
      <c r="E487">
        <f>IF(A487=$M$2,1,0)</f>
        <v>0</v>
      </c>
      <c r="F487">
        <f t="shared" si="7"/>
        <v>6</v>
      </c>
      <c r="H487" s="1">
        <v>0.75416666666666499</v>
      </c>
      <c r="P487" s="2">
        <f>TRUNC(O487/60) + 1</f>
        <v>1</v>
      </c>
      <c r="Q487">
        <v>33</v>
      </c>
      <c r="R487">
        <v>11</v>
      </c>
      <c r="S487">
        <v>8</v>
      </c>
    </row>
    <row r="488" spans="1:19" x14ac:dyDescent="0.25">
      <c r="A488">
        <v>77</v>
      </c>
      <c r="B488">
        <v>14</v>
      </c>
      <c r="C488">
        <v>9</v>
      </c>
      <c r="D488">
        <f>IF(A488=$N$2,1,0)</f>
        <v>0</v>
      </c>
      <c r="E488">
        <f>IF(A488=$M$2,1,0)</f>
        <v>0</v>
      </c>
      <c r="F488">
        <f t="shared" si="7"/>
        <v>7</v>
      </c>
      <c r="H488" s="1">
        <v>0.75486111111110998</v>
      </c>
      <c r="P488" s="2">
        <f>TRUNC(O488/60) + 1</f>
        <v>1</v>
      </c>
      <c r="Q488">
        <v>77</v>
      </c>
      <c r="R488">
        <v>14</v>
      </c>
      <c r="S488">
        <v>9</v>
      </c>
    </row>
    <row r="489" spans="1:19" x14ac:dyDescent="0.25">
      <c r="A489">
        <v>45</v>
      </c>
      <c r="B489">
        <v>9</v>
      </c>
      <c r="C489">
        <v>10</v>
      </c>
      <c r="D489">
        <f>IF(A489=$N$2,1,0)</f>
        <v>0</v>
      </c>
      <c r="E489">
        <f>IF(A489=$M$2,1,0)</f>
        <v>0</v>
      </c>
      <c r="F489">
        <f t="shared" si="7"/>
        <v>0</v>
      </c>
      <c r="H489" s="1">
        <v>0.75555555555555398</v>
      </c>
      <c r="P489" s="2">
        <f>TRUNC(O489/60) + 1</f>
        <v>1</v>
      </c>
      <c r="Q489">
        <v>45</v>
      </c>
      <c r="R489">
        <v>9</v>
      </c>
      <c r="S489">
        <v>10</v>
      </c>
    </row>
    <row r="490" spans="1:19" x14ac:dyDescent="0.25">
      <c r="A490">
        <v>22</v>
      </c>
      <c r="B490">
        <v>14</v>
      </c>
      <c r="C490">
        <v>2</v>
      </c>
      <c r="D490">
        <f>IF(A490=$N$2,1,0)</f>
        <v>0</v>
      </c>
      <c r="E490">
        <f>IF(A490=$M$2,1,0)</f>
        <v>0</v>
      </c>
      <c r="F490">
        <f t="shared" si="7"/>
        <v>1</v>
      </c>
      <c r="H490" s="1">
        <v>0.75624999999999898</v>
      </c>
      <c r="P490" s="2">
        <f>TRUNC(O490/60) + 1</f>
        <v>1</v>
      </c>
      <c r="Q490">
        <v>22</v>
      </c>
      <c r="R490">
        <v>14</v>
      </c>
      <c r="S490">
        <v>2</v>
      </c>
    </row>
    <row r="491" spans="1:19" x14ac:dyDescent="0.25">
      <c r="A491">
        <v>30</v>
      </c>
      <c r="B491">
        <v>24</v>
      </c>
      <c r="C491">
        <v>5</v>
      </c>
      <c r="D491">
        <f>IF(A491=$N$2,1,0)</f>
        <v>0</v>
      </c>
      <c r="E491">
        <f>IF(A491=$M$2,1,0)</f>
        <v>0</v>
      </c>
      <c r="F491">
        <f t="shared" si="7"/>
        <v>2</v>
      </c>
      <c r="H491" s="1">
        <v>0.75694444444444298</v>
      </c>
      <c r="P491" s="2">
        <f>TRUNC(O491/60) + 1</f>
        <v>1</v>
      </c>
      <c r="Q491">
        <v>30</v>
      </c>
      <c r="R491">
        <v>24</v>
      </c>
      <c r="S491">
        <v>5</v>
      </c>
    </row>
    <row r="492" spans="1:19" x14ac:dyDescent="0.25">
      <c r="A492">
        <v>16</v>
      </c>
      <c r="B492">
        <v>25</v>
      </c>
      <c r="C492">
        <v>4</v>
      </c>
      <c r="D492">
        <f>IF(A492=$N$2,1,0)</f>
        <v>0</v>
      </c>
      <c r="E492">
        <f>IF(A492=$M$2,1,0)</f>
        <v>0</v>
      </c>
      <c r="F492">
        <f t="shared" si="7"/>
        <v>0</v>
      </c>
      <c r="H492" s="1">
        <v>0.75763888888888797</v>
      </c>
      <c r="P492" s="2">
        <f>TRUNC(O492/60) + 1</f>
        <v>1</v>
      </c>
      <c r="Q492">
        <v>16</v>
      </c>
      <c r="R492">
        <v>25</v>
      </c>
      <c r="S492">
        <v>4</v>
      </c>
    </row>
    <row r="493" spans="1:19" x14ac:dyDescent="0.25">
      <c r="A493">
        <v>46</v>
      </c>
      <c r="B493">
        <v>15</v>
      </c>
      <c r="C493">
        <v>3</v>
      </c>
      <c r="D493">
        <f>IF(A493=$N$2,1,0)</f>
        <v>0</v>
      </c>
      <c r="E493">
        <f>IF(A493=$M$2,1,0)</f>
        <v>0</v>
      </c>
      <c r="F493">
        <f t="shared" si="7"/>
        <v>1</v>
      </c>
      <c r="H493" s="1">
        <v>0.75833333333333197</v>
      </c>
      <c r="P493" s="2">
        <f>TRUNC(O493/60) + 1</f>
        <v>1</v>
      </c>
      <c r="Q493">
        <v>46</v>
      </c>
      <c r="R493">
        <v>15</v>
      </c>
      <c r="S493">
        <v>3</v>
      </c>
    </row>
    <row r="494" spans="1:19" x14ac:dyDescent="0.25">
      <c r="A494">
        <v>74</v>
      </c>
      <c r="B494">
        <v>23</v>
      </c>
      <c r="C494">
        <v>6</v>
      </c>
      <c r="D494">
        <f>IF(A494=$N$2,1,0)</f>
        <v>0</v>
      </c>
      <c r="E494">
        <f>IF(A494=$M$2,1,0)</f>
        <v>0</v>
      </c>
      <c r="F494">
        <f t="shared" si="7"/>
        <v>2</v>
      </c>
      <c r="H494" s="1">
        <v>0.75902777777777597</v>
      </c>
      <c r="P494" s="2">
        <f>TRUNC(O494/60) + 1</f>
        <v>1</v>
      </c>
      <c r="Q494">
        <v>74</v>
      </c>
      <c r="R494">
        <v>23</v>
      </c>
      <c r="S494">
        <v>6</v>
      </c>
    </row>
    <row r="495" spans="1:19" x14ac:dyDescent="0.25">
      <c r="A495">
        <v>79</v>
      </c>
      <c r="B495">
        <v>13</v>
      </c>
      <c r="C495">
        <v>1</v>
      </c>
      <c r="D495">
        <f>IF(A495=$N$2,1,0)</f>
        <v>0</v>
      </c>
      <c r="E495">
        <f>IF(A495=$M$2,1,0)</f>
        <v>0</v>
      </c>
      <c r="F495">
        <f t="shared" si="7"/>
        <v>3</v>
      </c>
      <c r="H495" s="1">
        <v>0.75972222222222097</v>
      </c>
      <c r="P495" s="2">
        <f>TRUNC(O495/60) + 1</f>
        <v>1</v>
      </c>
      <c r="Q495">
        <v>79</v>
      </c>
      <c r="R495">
        <v>13</v>
      </c>
      <c r="S495">
        <v>1</v>
      </c>
    </row>
    <row r="496" spans="1:19" x14ac:dyDescent="0.25">
      <c r="A496">
        <v>11</v>
      </c>
      <c r="B496">
        <v>24</v>
      </c>
      <c r="C496">
        <v>1</v>
      </c>
      <c r="D496">
        <f>IF(A496=$N$2,1,0)</f>
        <v>0</v>
      </c>
      <c r="E496">
        <f>IF(A496=$M$2,1,0)</f>
        <v>0</v>
      </c>
      <c r="F496">
        <f t="shared" si="7"/>
        <v>0</v>
      </c>
      <c r="H496" s="1">
        <v>0.76041666666666496</v>
      </c>
      <c r="P496" s="2">
        <f>TRUNC(O496/60) + 1</f>
        <v>1</v>
      </c>
      <c r="Q496">
        <v>11</v>
      </c>
      <c r="R496">
        <v>24</v>
      </c>
      <c r="S496">
        <v>1</v>
      </c>
    </row>
    <row r="497" spans="1:19" x14ac:dyDescent="0.25">
      <c r="A497">
        <v>88</v>
      </c>
      <c r="B497">
        <v>24</v>
      </c>
      <c r="C497">
        <v>5</v>
      </c>
      <c r="D497">
        <f>IF(A497=$N$2,1,0)</f>
        <v>0</v>
      </c>
      <c r="E497">
        <f>IF(A497=$M$2,1,0)</f>
        <v>0</v>
      </c>
      <c r="F497">
        <f t="shared" si="7"/>
        <v>1</v>
      </c>
      <c r="H497" s="1">
        <v>0.76111111111110996</v>
      </c>
      <c r="P497" s="2">
        <f>TRUNC(O497/60) + 1</f>
        <v>1</v>
      </c>
      <c r="Q497">
        <v>88</v>
      </c>
      <c r="R497">
        <v>24</v>
      </c>
      <c r="S497">
        <v>5</v>
      </c>
    </row>
    <row r="498" spans="1:19" x14ac:dyDescent="0.25">
      <c r="A498">
        <v>68</v>
      </c>
      <c r="B498">
        <v>20</v>
      </c>
      <c r="C498">
        <v>2</v>
      </c>
      <c r="D498">
        <f>IF(A498=$N$2,1,0)</f>
        <v>0</v>
      </c>
      <c r="E498">
        <f>IF(A498=$M$2,1,0)</f>
        <v>0</v>
      </c>
      <c r="F498">
        <f t="shared" si="7"/>
        <v>2</v>
      </c>
      <c r="H498" s="1">
        <v>0.76180555555555396</v>
      </c>
      <c r="P498" s="2">
        <f>TRUNC(O498/60) + 1</f>
        <v>1</v>
      </c>
      <c r="Q498">
        <v>68</v>
      </c>
      <c r="R498">
        <v>20</v>
      </c>
      <c r="S498">
        <v>2</v>
      </c>
    </row>
    <row r="499" spans="1:19" x14ac:dyDescent="0.25">
      <c r="A499">
        <v>45</v>
      </c>
      <c r="B499">
        <v>16</v>
      </c>
      <c r="C499">
        <v>10</v>
      </c>
      <c r="D499">
        <f>IF(A499=$N$2,1,0)</f>
        <v>0</v>
      </c>
      <c r="E499">
        <f>IF(A499=$M$2,1,0)</f>
        <v>0</v>
      </c>
      <c r="F499">
        <f t="shared" si="7"/>
        <v>3</v>
      </c>
      <c r="H499" s="1">
        <v>0.76249999999999896</v>
      </c>
      <c r="P499" s="2">
        <f>TRUNC(O499/60) + 1</f>
        <v>1</v>
      </c>
      <c r="Q499">
        <v>45</v>
      </c>
      <c r="R499">
        <v>16</v>
      </c>
      <c r="S499">
        <v>10</v>
      </c>
    </row>
    <row r="500" spans="1:19" x14ac:dyDescent="0.25">
      <c r="A500">
        <v>28</v>
      </c>
      <c r="B500">
        <v>21</v>
      </c>
      <c r="C500">
        <v>8</v>
      </c>
      <c r="D500">
        <f>IF(A500=$N$2,1,0)</f>
        <v>0</v>
      </c>
      <c r="E500">
        <f>IF(A500=$M$2,1,0)</f>
        <v>0</v>
      </c>
      <c r="F500">
        <f t="shared" si="7"/>
        <v>4</v>
      </c>
      <c r="H500" s="1">
        <v>0.76319444444444295</v>
      </c>
      <c r="P500" s="2">
        <f>TRUNC(O500/60) + 1</f>
        <v>1</v>
      </c>
      <c r="Q500">
        <v>28</v>
      </c>
      <c r="R500">
        <v>21</v>
      </c>
      <c r="S500">
        <v>8</v>
      </c>
    </row>
    <row r="501" spans="1:19" x14ac:dyDescent="0.25">
      <c r="A501">
        <v>71</v>
      </c>
      <c r="B501">
        <v>27</v>
      </c>
      <c r="C501">
        <v>10</v>
      </c>
      <c r="D501">
        <f>IF(A501=$N$2,1,0)</f>
        <v>0</v>
      </c>
      <c r="E501">
        <f>IF(A501=$M$2,1,0)</f>
        <v>0</v>
      </c>
      <c r="F501">
        <f t="shared" si="7"/>
        <v>5</v>
      </c>
      <c r="H501" s="1">
        <v>0.76388888888888795</v>
      </c>
      <c r="P501" s="2">
        <f>TRUNC(O501/60) + 1</f>
        <v>1</v>
      </c>
      <c r="Q501">
        <v>71</v>
      </c>
      <c r="R501">
        <v>27</v>
      </c>
      <c r="S501">
        <v>10</v>
      </c>
    </row>
    <row r="502" spans="1:19" x14ac:dyDescent="0.25">
      <c r="A502">
        <v>46</v>
      </c>
      <c r="B502">
        <v>14</v>
      </c>
      <c r="C502">
        <v>9</v>
      </c>
      <c r="D502">
        <f>IF(A502=$N$2,1,0)</f>
        <v>0</v>
      </c>
      <c r="E502">
        <f>IF(A502=$M$2,1,0)</f>
        <v>0</v>
      </c>
      <c r="F502">
        <f t="shared" si="7"/>
        <v>6</v>
      </c>
      <c r="H502" s="1">
        <v>0.76458333333333195</v>
      </c>
      <c r="P502" s="2">
        <f>TRUNC(O502/60) + 1</f>
        <v>1</v>
      </c>
      <c r="Q502">
        <v>46</v>
      </c>
      <c r="R502">
        <v>14</v>
      </c>
      <c r="S502">
        <v>9</v>
      </c>
    </row>
    <row r="503" spans="1:19" x14ac:dyDescent="0.25">
      <c r="A503">
        <v>16</v>
      </c>
      <c r="B503">
        <v>25</v>
      </c>
      <c r="C503">
        <v>6</v>
      </c>
      <c r="D503">
        <f>IF(A503=$N$2,1,0)</f>
        <v>0</v>
      </c>
      <c r="E503">
        <f>IF(A503=$M$2,1,0)</f>
        <v>0</v>
      </c>
      <c r="F503">
        <f t="shared" si="7"/>
        <v>0</v>
      </c>
      <c r="H503" s="1">
        <v>0.76527777777777595</v>
      </c>
      <c r="P503" s="2">
        <f>TRUNC(O503/60) + 1</f>
        <v>1</v>
      </c>
      <c r="Q503">
        <v>16</v>
      </c>
      <c r="R503">
        <v>25</v>
      </c>
      <c r="S503">
        <v>6</v>
      </c>
    </row>
    <row r="504" spans="1:19" x14ac:dyDescent="0.25">
      <c r="A504">
        <v>58</v>
      </c>
      <c r="B504">
        <v>19</v>
      </c>
      <c r="C504">
        <v>9</v>
      </c>
      <c r="D504">
        <f>IF(A504=$N$2,1,0)</f>
        <v>0</v>
      </c>
      <c r="E504">
        <f>IF(A504=$M$2,1,0)</f>
        <v>0</v>
      </c>
      <c r="F504">
        <f t="shared" si="7"/>
        <v>1</v>
      </c>
      <c r="H504" s="1">
        <v>0.76597222222222106</v>
      </c>
      <c r="P504" s="2">
        <f>TRUNC(O504/60) + 1</f>
        <v>1</v>
      </c>
      <c r="Q504">
        <v>58</v>
      </c>
      <c r="R504">
        <v>19</v>
      </c>
      <c r="S504">
        <v>9</v>
      </c>
    </row>
    <row r="505" spans="1:19" x14ac:dyDescent="0.25">
      <c r="A505">
        <v>69</v>
      </c>
      <c r="B505">
        <v>13</v>
      </c>
      <c r="C505">
        <v>3</v>
      </c>
      <c r="D505">
        <f>IF(A505=$N$2,1,0)</f>
        <v>0</v>
      </c>
      <c r="E505">
        <f>IF(A505=$M$2,1,0)</f>
        <v>0</v>
      </c>
      <c r="F505">
        <f t="shared" si="7"/>
        <v>2</v>
      </c>
      <c r="H505" s="1">
        <v>0.76666666666666505</v>
      </c>
      <c r="P505" s="2">
        <f>TRUNC(O505/60) + 1</f>
        <v>1</v>
      </c>
      <c r="Q505">
        <v>69</v>
      </c>
      <c r="R505">
        <v>13</v>
      </c>
      <c r="S505">
        <v>3</v>
      </c>
    </row>
    <row r="506" spans="1:19" x14ac:dyDescent="0.25">
      <c r="A506">
        <v>37</v>
      </c>
      <c r="B506">
        <v>29</v>
      </c>
      <c r="C506">
        <v>6</v>
      </c>
      <c r="D506">
        <f>IF(A506=$N$2,1,0)</f>
        <v>0</v>
      </c>
      <c r="E506">
        <f>IF(A506=$M$2,1,0)</f>
        <v>0</v>
      </c>
      <c r="F506">
        <f t="shared" si="7"/>
        <v>3</v>
      </c>
      <c r="H506" s="1">
        <v>0.76736111111111005</v>
      </c>
      <c r="P506" s="2">
        <f>TRUNC(O506/60) + 1</f>
        <v>1</v>
      </c>
      <c r="Q506">
        <v>37</v>
      </c>
      <c r="R506">
        <v>29</v>
      </c>
      <c r="S506">
        <v>6</v>
      </c>
    </row>
    <row r="507" spans="1:19" x14ac:dyDescent="0.25">
      <c r="A507">
        <v>58</v>
      </c>
      <c r="B507">
        <v>17</v>
      </c>
      <c r="C507">
        <v>10</v>
      </c>
      <c r="D507">
        <f>IF(A507=$N$2,1,0)</f>
        <v>0</v>
      </c>
      <c r="E507">
        <f>IF(A507=$M$2,1,0)</f>
        <v>0</v>
      </c>
      <c r="F507">
        <f t="shared" si="7"/>
        <v>4</v>
      </c>
      <c r="H507" s="1">
        <v>0.76805555555555405</v>
      </c>
      <c r="P507" s="2">
        <f>TRUNC(O507/60) + 1</f>
        <v>1</v>
      </c>
      <c r="Q507">
        <v>58</v>
      </c>
      <c r="R507">
        <v>17</v>
      </c>
      <c r="S507">
        <v>10</v>
      </c>
    </row>
    <row r="508" spans="1:19" x14ac:dyDescent="0.25">
      <c r="A508">
        <v>12</v>
      </c>
      <c r="B508">
        <v>30</v>
      </c>
      <c r="C508">
        <v>4</v>
      </c>
      <c r="D508">
        <f>IF(A508=$N$2,1,0)</f>
        <v>0</v>
      </c>
      <c r="E508">
        <f>IF(A508=$M$2,1,0)</f>
        <v>0</v>
      </c>
      <c r="F508">
        <f t="shared" si="7"/>
        <v>0</v>
      </c>
      <c r="H508" s="1">
        <v>0.76874999999999905</v>
      </c>
      <c r="P508" s="2">
        <f>TRUNC(O508/60) + 1</f>
        <v>1</v>
      </c>
      <c r="Q508">
        <v>12</v>
      </c>
      <c r="R508">
        <v>30</v>
      </c>
      <c r="S508">
        <v>4</v>
      </c>
    </row>
    <row r="509" spans="1:19" x14ac:dyDescent="0.25">
      <c r="A509">
        <v>86</v>
      </c>
      <c r="B509">
        <v>25</v>
      </c>
      <c r="C509">
        <v>4</v>
      </c>
      <c r="D509">
        <f>IF(A509=$N$2,1,0)</f>
        <v>0</v>
      </c>
      <c r="E509">
        <f>IF(A509=$M$2,1,0)</f>
        <v>0</v>
      </c>
      <c r="F509">
        <f t="shared" si="7"/>
        <v>1</v>
      </c>
      <c r="H509" s="1">
        <v>0.76944444444444304</v>
      </c>
      <c r="P509" s="2">
        <f>TRUNC(O509/60) + 1</f>
        <v>1</v>
      </c>
      <c r="Q509">
        <v>86</v>
      </c>
      <c r="R509">
        <v>25</v>
      </c>
      <c r="S509">
        <v>4</v>
      </c>
    </row>
    <row r="510" spans="1:19" x14ac:dyDescent="0.25">
      <c r="A510">
        <v>73</v>
      </c>
      <c r="B510">
        <v>12</v>
      </c>
      <c r="C510">
        <v>5</v>
      </c>
      <c r="D510">
        <f>IF(A510=$N$2,1,0)</f>
        <v>0</v>
      </c>
      <c r="E510">
        <f>IF(A510=$M$2,1,0)</f>
        <v>0</v>
      </c>
      <c r="F510">
        <f t="shared" si="7"/>
        <v>2</v>
      </c>
      <c r="H510" s="1">
        <v>0.77013888888888804</v>
      </c>
      <c r="P510" s="2">
        <f>TRUNC(O510/60) + 1</f>
        <v>1</v>
      </c>
      <c r="Q510">
        <v>73</v>
      </c>
      <c r="R510">
        <v>12</v>
      </c>
      <c r="S510">
        <v>5</v>
      </c>
    </row>
    <row r="511" spans="1:19" x14ac:dyDescent="0.25">
      <c r="A511">
        <v>19</v>
      </c>
      <c r="B511">
        <v>8</v>
      </c>
      <c r="C511">
        <v>3</v>
      </c>
      <c r="D511">
        <f>IF(A511=$N$2,1,0)</f>
        <v>0</v>
      </c>
      <c r="E511">
        <f>IF(A511=$M$2,1,0)</f>
        <v>0</v>
      </c>
      <c r="F511">
        <f t="shared" si="7"/>
        <v>3</v>
      </c>
      <c r="H511" s="1">
        <v>0.77083333333333204</v>
      </c>
      <c r="P511" s="2">
        <f>TRUNC(O511/60) + 1</f>
        <v>1</v>
      </c>
      <c r="Q511">
        <v>19</v>
      </c>
      <c r="R511">
        <v>8</v>
      </c>
      <c r="S511">
        <v>3</v>
      </c>
    </row>
    <row r="512" spans="1:19" x14ac:dyDescent="0.25">
      <c r="A512">
        <v>71</v>
      </c>
      <c r="B512">
        <v>23</v>
      </c>
      <c r="C512">
        <v>7</v>
      </c>
      <c r="D512">
        <f>IF(A512=$N$2,1,0)</f>
        <v>0</v>
      </c>
      <c r="E512">
        <f>IF(A512=$M$2,1,0)</f>
        <v>0</v>
      </c>
      <c r="F512">
        <f t="shared" si="7"/>
        <v>4</v>
      </c>
      <c r="H512" s="1">
        <v>0.77152777777777604</v>
      </c>
      <c r="P512" s="2">
        <f>TRUNC(O512/60) + 1</f>
        <v>1</v>
      </c>
      <c r="Q512">
        <v>71</v>
      </c>
      <c r="R512">
        <v>23</v>
      </c>
      <c r="S512">
        <v>7</v>
      </c>
    </row>
    <row r="513" spans="1:19" x14ac:dyDescent="0.25">
      <c r="A513">
        <v>50</v>
      </c>
      <c r="B513">
        <v>18</v>
      </c>
      <c r="C513">
        <v>10</v>
      </c>
      <c r="D513">
        <f>IF(A513=$N$2,1,0)</f>
        <v>0</v>
      </c>
      <c r="E513">
        <f>IF(A513=$M$2,1,0)</f>
        <v>0</v>
      </c>
      <c r="F513">
        <f t="shared" si="7"/>
        <v>5</v>
      </c>
      <c r="H513" s="1">
        <v>0.77222222222222103</v>
      </c>
      <c r="P513" s="2">
        <f>TRUNC(O513/60) + 1</f>
        <v>1</v>
      </c>
      <c r="Q513">
        <v>50</v>
      </c>
      <c r="R513">
        <v>18</v>
      </c>
      <c r="S513">
        <v>10</v>
      </c>
    </row>
    <row r="514" spans="1:19" x14ac:dyDescent="0.25">
      <c r="A514">
        <v>53</v>
      </c>
      <c r="B514">
        <v>14</v>
      </c>
      <c r="C514">
        <v>7</v>
      </c>
      <c r="D514">
        <f>IF(A514=$N$2,1,0)</f>
        <v>0</v>
      </c>
      <c r="E514">
        <f>IF(A514=$M$2,1,0)</f>
        <v>0</v>
      </c>
      <c r="F514">
        <f t="shared" si="7"/>
        <v>6</v>
      </c>
      <c r="H514" s="1">
        <v>0.77291666666666503</v>
      </c>
      <c r="P514" s="2">
        <f>TRUNC(O514/60) + 1</f>
        <v>1</v>
      </c>
      <c r="Q514">
        <v>53</v>
      </c>
      <c r="R514">
        <v>14</v>
      </c>
      <c r="S514">
        <v>7</v>
      </c>
    </row>
    <row r="515" spans="1:19" x14ac:dyDescent="0.25">
      <c r="A515">
        <v>39</v>
      </c>
      <c r="B515">
        <v>13</v>
      </c>
      <c r="C515">
        <v>10</v>
      </c>
      <c r="D515">
        <f>IF(A515=$N$2,1,0)</f>
        <v>0</v>
      </c>
      <c r="E515">
        <f>IF(A515=$M$2,1,0)</f>
        <v>0</v>
      </c>
      <c r="F515">
        <f t="shared" ref="F515:F578" si="8">IF(AND(B515&gt;C515, A515 &gt; B515), F514 + 1, 0)</f>
        <v>7</v>
      </c>
      <c r="H515" s="1">
        <v>0.77361111111111003</v>
      </c>
      <c r="P515" s="2">
        <f>TRUNC(O515/60) + 1</f>
        <v>1</v>
      </c>
      <c r="Q515">
        <v>39</v>
      </c>
      <c r="R515">
        <v>13</v>
      </c>
      <c r="S515">
        <v>10</v>
      </c>
    </row>
    <row r="516" spans="1:19" x14ac:dyDescent="0.25">
      <c r="A516">
        <v>62</v>
      </c>
      <c r="B516">
        <v>16</v>
      </c>
      <c r="C516">
        <v>2</v>
      </c>
      <c r="D516">
        <f>IF(A516=$N$2,1,0)</f>
        <v>0</v>
      </c>
      <c r="E516">
        <f>IF(A516=$M$2,1,0)</f>
        <v>0</v>
      </c>
      <c r="F516">
        <f t="shared" si="8"/>
        <v>8</v>
      </c>
      <c r="H516" s="1">
        <v>0.77430555555555403</v>
      </c>
      <c r="P516" s="2">
        <f>TRUNC(O516/60) + 1</f>
        <v>1</v>
      </c>
      <c r="Q516">
        <v>62</v>
      </c>
      <c r="R516">
        <v>16</v>
      </c>
      <c r="S516">
        <v>2</v>
      </c>
    </row>
    <row r="517" spans="1:19" x14ac:dyDescent="0.25">
      <c r="A517">
        <v>76</v>
      </c>
      <c r="B517">
        <v>24</v>
      </c>
      <c r="C517">
        <v>3</v>
      </c>
      <c r="D517">
        <f>IF(A517=$N$2,1,0)</f>
        <v>0</v>
      </c>
      <c r="E517">
        <f>IF(A517=$M$2,1,0)</f>
        <v>0</v>
      </c>
      <c r="F517">
        <f t="shared" si="8"/>
        <v>9</v>
      </c>
      <c r="H517" s="1">
        <v>0.77499999999999902</v>
      </c>
      <c r="P517" s="2">
        <f>TRUNC(O517/60) + 1</f>
        <v>1</v>
      </c>
      <c r="Q517">
        <v>76</v>
      </c>
      <c r="R517">
        <v>24</v>
      </c>
      <c r="S517">
        <v>3</v>
      </c>
    </row>
    <row r="518" spans="1:19" x14ac:dyDescent="0.25">
      <c r="A518">
        <v>63</v>
      </c>
      <c r="B518">
        <v>8</v>
      </c>
      <c r="C518">
        <v>4</v>
      </c>
      <c r="D518">
        <f>IF(A518=$N$2,1,0)</f>
        <v>0</v>
      </c>
      <c r="E518">
        <f>IF(A518=$M$2,1,0)</f>
        <v>0</v>
      </c>
      <c r="F518">
        <f t="shared" si="8"/>
        <v>10</v>
      </c>
      <c r="H518" s="1">
        <v>0.77569444444444302</v>
      </c>
      <c r="P518" s="2">
        <f>TRUNC(O518/60) + 1</f>
        <v>1</v>
      </c>
      <c r="Q518">
        <v>63</v>
      </c>
      <c r="R518">
        <v>8</v>
      </c>
      <c r="S518">
        <v>4</v>
      </c>
    </row>
    <row r="519" spans="1:19" x14ac:dyDescent="0.25">
      <c r="A519">
        <v>93</v>
      </c>
      <c r="B519">
        <v>17</v>
      </c>
      <c r="C519">
        <v>6</v>
      </c>
      <c r="D519">
        <f>IF(A519=$N$2,1,0)</f>
        <v>0</v>
      </c>
      <c r="E519">
        <f>IF(A519=$M$2,1,0)</f>
        <v>0</v>
      </c>
      <c r="F519">
        <f t="shared" si="8"/>
        <v>11</v>
      </c>
      <c r="H519" s="1">
        <v>0.77638888888888802</v>
      </c>
      <c r="P519" s="2">
        <f>TRUNC(O519/60) + 1</f>
        <v>1</v>
      </c>
      <c r="Q519">
        <v>93</v>
      </c>
      <c r="R519">
        <v>17</v>
      </c>
      <c r="S519">
        <v>6</v>
      </c>
    </row>
    <row r="520" spans="1:19" x14ac:dyDescent="0.25">
      <c r="A520">
        <v>41</v>
      </c>
      <c r="B520">
        <v>27</v>
      </c>
      <c r="C520">
        <v>6</v>
      </c>
      <c r="D520">
        <f>IF(A520=$N$2,1,0)</f>
        <v>0</v>
      </c>
      <c r="E520">
        <f>IF(A520=$M$2,1,0)</f>
        <v>0</v>
      </c>
      <c r="F520">
        <f t="shared" si="8"/>
        <v>12</v>
      </c>
      <c r="H520" s="1">
        <v>0.77708333333333202</v>
      </c>
      <c r="P520" s="2">
        <f>TRUNC(O520/60) + 1</f>
        <v>1</v>
      </c>
      <c r="Q520">
        <v>41</v>
      </c>
      <c r="R520">
        <v>27</v>
      </c>
      <c r="S520">
        <v>6</v>
      </c>
    </row>
    <row r="521" spans="1:19" x14ac:dyDescent="0.25">
      <c r="A521">
        <v>35</v>
      </c>
      <c r="B521">
        <v>16</v>
      </c>
      <c r="C521">
        <v>10</v>
      </c>
      <c r="D521">
        <f>IF(A521=$N$2,1,0)</f>
        <v>0</v>
      </c>
      <c r="E521">
        <f>IF(A521=$M$2,1,0)</f>
        <v>0</v>
      </c>
      <c r="F521">
        <f t="shared" si="8"/>
        <v>13</v>
      </c>
      <c r="H521" s="1">
        <v>0.77777777777777601</v>
      </c>
      <c r="P521" s="2">
        <f>TRUNC(O521/60) + 1</f>
        <v>1</v>
      </c>
      <c r="Q521">
        <v>35</v>
      </c>
      <c r="R521">
        <v>16</v>
      </c>
      <c r="S521">
        <v>10</v>
      </c>
    </row>
    <row r="522" spans="1:19" x14ac:dyDescent="0.25">
      <c r="A522">
        <v>66</v>
      </c>
      <c r="B522">
        <v>13</v>
      </c>
      <c r="C522">
        <v>7</v>
      </c>
      <c r="D522">
        <f>IF(A522=$N$2,1,0)</f>
        <v>0</v>
      </c>
      <c r="E522">
        <f>IF(A522=$M$2,1,0)</f>
        <v>0</v>
      </c>
      <c r="F522">
        <f t="shared" si="8"/>
        <v>14</v>
      </c>
      <c r="H522" s="1">
        <v>0.77847222222222101</v>
      </c>
      <c r="P522" s="2">
        <f>TRUNC(O522/60) + 1</f>
        <v>1</v>
      </c>
      <c r="Q522">
        <v>66</v>
      </c>
      <c r="R522">
        <v>13</v>
      </c>
      <c r="S522">
        <v>7</v>
      </c>
    </row>
    <row r="523" spans="1:19" x14ac:dyDescent="0.25">
      <c r="A523">
        <v>17</v>
      </c>
      <c r="B523">
        <v>15</v>
      </c>
      <c r="C523">
        <v>5</v>
      </c>
      <c r="D523">
        <f>IF(A523=$N$2,1,0)</f>
        <v>0</v>
      </c>
      <c r="E523">
        <f>IF(A523=$M$2,1,0)</f>
        <v>0</v>
      </c>
      <c r="F523">
        <f t="shared" si="8"/>
        <v>15</v>
      </c>
      <c r="H523" s="1">
        <v>0.77916666666666501</v>
      </c>
      <c r="P523" s="2">
        <f>TRUNC(O523/60) + 1</f>
        <v>1</v>
      </c>
      <c r="Q523">
        <v>17</v>
      </c>
      <c r="R523">
        <v>15</v>
      </c>
      <c r="S523">
        <v>5</v>
      </c>
    </row>
    <row r="524" spans="1:19" x14ac:dyDescent="0.25">
      <c r="A524">
        <v>89</v>
      </c>
      <c r="B524">
        <v>18</v>
      </c>
      <c r="C524">
        <v>1</v>
      </c>
      <c r="D524">
        <f>IF(A524=$N$2,1,0)</f>
        <v>0</v>
      </c>
      <c r="E524">
        <f>IF(A524=$M$2,1,0)</f>
        <v>0</v>
      </c>
      <c r="F524">
        <f t="shared" si="8"/>
        <v>16</v>
      </c>
      <c r="H524" s="1">
        <v>0.77986111111111001</v>
      </c>
      <c r="P524" s="2">
        <f>TRUNC(O524/60) + 1</f>
        <v>1</v>
      </c>
      <c r="Q524">
        <v>89</v>
      </c>
      <c r="R524">
        <v>18</v>
      </c>
      <c r="S524">
        <v>1</v>
      </c>
    </row>
    <row r="525" spans="1:19" x14ac:dyDescent="0.25">
      <c r="A525">
        <v>82</v>
      </c>
      <c r="B525">
        <v>11</v>
      </c>
      <c r="C525">
        <v>9</v>
      </c>
      <c r="D525">
        <f>IF(A525=$N$2,1,0)</f>
        <v>0</v>
      </c>
      <c r="E525">
        <f>IF(A525=$M$2,1,0)</f>
        <v>0</v>
      </c>
      <c r="F525">
        <f t="shared" si="8"/>
        <v>17</v>
      </c>
      <c r="H525" s="1">
        <v>0.780555555555554</v>
      </c>
      <c r="P525" s="2">
        <f>TRUNC(O525/60) + 1</f>
        <v>1</v>
      </c>
      <c r="Q525">
        <v>82</v>
      </c>
      <c r="R525">
        <v>11</v>
      </c>
      <c r="S525">
        <v>9</v>
      </c>
    </row>
    <row r="526" spans="1:19" x14ac:dyDescent="0.25">
      <c r="A526">
        <v>88</v>
      </c>
      <c r="B526">
        <v>8</v>
      </c>
      <c r="C526">
        <v>5</v>
      </c>
      <c r="D526">
        <f>IF(A526=$N$2,1,0)</f>
        <v>0</v>
      </c>
      <c r="E526">
        <f>IF(A526=$M$2,1,0)</f>
        <v>0</v>
      </c>
      <c r="F526">
        <f t="shared" si="8"/>
        <v>18</v>
      </c>
      <c r="H526" s="1">
        <v>0.781249999999999</v>
      </c>
      <c r="P526" s="2">
        <f>TRUNC(O526/60) + 1</f>
        <v>1</v>
      </c>
      <c r="Q526">
        <v>88</v>
      </c>
      <c r="R526">
        <v>8</v>
      </c>
      <c r="S526">
        <v>5</v>
      </c>
    </row>
    <row r="527" spans="1:19" x14ac:dyDescent="0.25">
      <c r="A527">
        <v>57</v>
      </c>
      <c r="B527">
        <v>13</v>
      </c>
      <c r="C527">
        <v>7</v>
      </c>
      <c r="D527">
        <f>IF(A527=$N$2,1,0)</f>
        <v>0</v>
      </c>
      <c r="E527">
        <f>IF(A527=$M$2,1,0)</f>
        <v>0</v>
      </c>
      <c r="F527">
        <f t="shared" si="8"/>
        <v>19</v>
      </c>
      <c r="H527" s="1">
        <v>0.781944444444443</v>
      </c>
      <c r="P527" s="2">
        <f>TRUNC(O527/60) + 1</f>
        <v>1</v>
      </c>
      <c r="Q527">
        <v>57</v>
      </c>
      <c r="R527">
        <v>13</v>
      </c>
      <c r="S527">
        <v>7</v>
      </c>
    </row>
    <row r="528" spans="1:19" x14ac:dyDescent="0.25">
      <c r="A528">
        <v>64</v>
      </c>
      <c r="B528">
        <v>6</v>
      </c>
      <c r="C528">
        <v>7</v>
      </c>
      <c r="D528">
        <f>IF(A528=$N$2,1,0)</f>
        <v>0</v>
      </c>
      <c r="E528">
        <f>IF(A528=$M$2,1,0)</f>
        <v>0</v>
      </c>
      <c r="F528">
        <f t="shared" si="8"/>
        <v>0</v>
      </c>
      <c r="H528" s="1">
        <v>0.782638888888887</v>
      </c>
      <c r="P528" s="2">
        <f>TRUNC(O528/60) + 1</f>
        <v>1</v>
      </c>
      <c r="Q528">
        <v>64</v>
      </c>
      <c r="R528">
        <v>6</v>
      </c>
      <c r="S528">
        <v>7</v>
      </c>
    </row>
    <row r="529" spans="1:19" x14ac:dyDescent="0.25">
      <c r="A529">
        <v>61</v>
      </c>
      <c r="B529">
        <v>19</v>
      </c>
      <c r="C529">
        <v>9</v>
      </c>
      <c r="D529">
        <f>IF(A529=$N$2,1,0)</f>
        <v>0</v>
      </c>
      <c r="E529">
        <f>IF(A529=$M$2,1,0)</f>
        <v>0</v>
      </c>
      <c r="F529">
        <f t="shared" si="8"/>
        <v>1</v>
      </c>
      <c r="H529" s="1">
        <v>0.78333333333333199</v>
      </c>
      <c r="P529" s="2">
        <f>TRUNC(O529/60) + 1</f>
        <v>1</v>
      </c>
      <c r="Q529">
        <v>61</v>
      </c>
      <c r="R529">
        <v>19</v>
      </c>
      <c r="S529">
        <v>9</v>
      </c>
    </row>
    <row r="530" spans="1:19" x14ac:dyDescent="0.25">
      <c r="A530">
        <v>69</v>
      </c>
      <c r="B530">
        <v>23</v>
      </c>
      <c r="C530">
        <v>7</v>
      </c>
      <c r="D530">
        <f>IF(A530=$N$2,1,0)</f>
        <v>0</v>
      </c>
      <c r="E530">
        <f>IF(A530=$M$2,1,0)</f>
        <v>0</v>
      </c>
      <c r="F530">
        <f t="shared" si="8"/>
        <v>2</v>
      </c>
      <c r="H530" s="1">
        <v>0.78402777777777599</v>
      </c>
      <c r="P530" s="2">
        <f>TRUNC(O530/60) + 1</f>
        <v>1</v>
      </c>
      <c r="Q530">
        <v>69</v>
      </c>
      <c r="R530">
        <v>23</v>
      </c>
      <c r="S530">
        <v>7</v>
      </c>
    </row>
    <row r="531" spans="1:19" x14ac:dyDescent="0.25">
      <c r="A531">
        <v>24</v>
      </c>
      <c r="B531">
        <v>5</v>
      </c>
      <c r="C531">
        <v>9</v>
      </c>
      <c r="D531">
        <f>IF(A531=$N$2,1,0)</f>
        <v>0</v>
      </c>
      <c r="E531">
        <f>IF(A531=$M$2,1,0)</f>
        <v>0</v>
      </c>
      <c r="F531">
        <f t="shared" si="8"/>
        <v>0</v>
      </c>
      <c r="H531" s="1">
        <v>0.78472222222222099</v>
      </c>
      <c r="P531" s="2">
        <f>TRUNC(O531/60) + 1</f>
        <v>1</v>
      </c>
      <c r="Q531">
        <v>24</v>
      </c>
      <c r="R531">
        <v>5</v>
      </c>
      <c r="S531">
        <v>9</v>
      </c>
    </row>
    <row r="532" spans="1:19" x14ac:dyDescent="0.25">
      <c r="A532">
        <v>99</v>
      </c>
      <c r="B532">
        <v>24</v>
      </c>
      <c r="C532">
        <v>9</v>
      </c>
      <c r="D532">
        <f>IF(A532=$N$2,1,0)</f>
        <v>0</v>
      </c>
      <c r="E532">
        <f>IF(A532=$M$2,1,0)</f>
        <v>0</v>
      </c>
      <c r="F532">
        <f t="shared" si="8"/>
        <v>1</v>
      </c>
      <c r="H532" s="1">
        <v>0.78541666666666499</v>
      </c>
      <c r="P532" s="2">
        <f>TRUNC(O532/60) + 1</f>
        <v>1</v>
      </c>
      <c r="Q532">
        <v>99</v>
      </c>
      <c r="R532">
        <v>24</v>
      </c>
      <c r="S532">
        <v>9</v>
      </c>
    </row>
    <row r="533" spans="1:19" x14ac:dyDescent="0.25">
      <c r="A533">
        <v>48</v>
      </c>
      <c r="B533">
        <v>22</v>
      </c>
      <c r="C533">
        <v>3</v>
      </c>
      <c r="D533">
        <f>IF(A533=$N$2,1,0)</f>
        <v>0</v>
      </c>
      <c r="E533">
        <f>IF(A533=$M$2,1,0)</f>
        <v>0</v>
      </c>
      <c r="F533">
        <f t="shared" si="8"/>
        <v>2</v>
      </c>
      <c r="H533" s="1">
        <v>0.78611111111110998</v>
      </c>
      <c r="P533" s="2">
        <f>TRUNC(O533/60) + 1</f>
        <v>1</v>
      </c>
      <c r="Q533">
        <v>48</v>
      </c>
      <c r="R533">
        <v>22</v>
      </c>
      <c r="S533">
        <v>3</v>
      </c>
    </row>
    <row r="534" spans="1:19" x14ac:dyDescent="0.25">
      <c r="A534">
        <v>33</v>
      </c>
      <c r="B534">
        <v>13</v>
      </c>
      <c r="C534">
        <v>7</v>
      </c>
      <c r="D534">
        <f>IF(A534=$N$2,1,0)</f>
        <v>0</v>
      </c>
      <c r="E534">
        <f>IF(A534=$M$2,1,0)</f>
        <v>0</v>
      </c>
      <c r="F534">
        <f t="shared" si="8"/>
        <v>3</v>
      </c>
      <c r="H534" s="1">
        <v>0.78680555555555398</v>
      </c>
      <c r="P534" s="2">
        <f>TRUNC(O534/60) + 1</f>
        <v>1</v>
      </c>
      <c r="Q534">
        <v>33</v>
      </c>
      <c r="R534">
        <v>13</v>
      </c>
      <c r="S534">
        <v>7</v>
      </c>
    </row>
    <row r="535" spans="1:19" x14ac:dyDescent="0.25">
      <c r="A535">
        <v>62</v>
      </c>
      <c r="B535">
        <v>16</v>
      </c>
      <c r="C535">
        <v>7</v>
      </c>
      <c r="D535">
        <f>IF(A535=$N$2,1,0)</f>
        <v>0</v>
      </c>
      <c r="E535">
        <f>IF(A535=$M$2,1,0)</f>
        <v>0</v>
      </c>
      <c r="F535">
        <f t="shared" si="8"/>
        <v>4</v>
      </c>
      <c r="H535" s="1">
        <v>0.78749999999999898</v>
      </c>
      <c r="P535" s="2">
        <f>TRUNC(O535/60) + 1</f>
        <v>1</v>
      </c>
      <c r="Q535">
        <v>62</v>
      </c>
      <c r="R535">
        <v>16</v>
      </c>
      <c r="S535">
        <v>7</v>
      </c>
    </row>
    <row r="536" spans="1:19" x14ac:dyDescent="0.25">
      <c r="A536">
        <v>45</v>
      </c>
      <c r="B536">
        <v>13</v>
      </c>
      <c r="C536">
        <v>2</v>
      </c>
      <c r="D536">
        <f>IF(A536=$N$2,1,0)</f>
        <v>0</v>
      </c>
      <c r="E536">
        <f>IF(A536=$M$2,1,0)</f>
        <v>0</v>
      </c>
      <c r="F536">
        <f t="shared" si="8"/>
        <v>5</v>
      </c>
      <c r="H536" s="1">
        <v>0.78819444444444298</v>
      </c>
      <c r="P536" s="2">
        <f>TRUNC(O536/60) + 1</f>
        <v>1</v>
      </c>
      <c r="Q536">
        <v>45</v>
      </c>
      <c r="R536">
        <v>13</v>
      </c>
      <c r="S536">
        <v>2</v>
      </c>
    </row>
    <row r="537" spans="1:19" x14ac:dyDescent="0.25">
      <c r="A537">
        <v>68</v>
      </c>
      <c r="B537">
        <v>11</v>
      </c>
      <c r="C537">
        <v>10</v>
      </c>
      <c r="D537">
        <f>IF(A537=$N$2,1,0)</f>
        <v>0</v>
      </c>
      <c r="E537">
        <f>IF(A537=$M$2,1,0)</f>
        <v>0</v>
      </c>
      <c r="F537">
        <f t="shared" si="8"/>
        <v>6</v>
      </c>
      <c r="H537" s="1">
        <v>0.78888888888888697</v>
      </c>
      <c r="P537" s="2">
        <f>TRUNC(O537/60) + 1</f>
        <v>1</v>
      </c>
      <c r="Q537">
        <v>68</v>
      </c>
      <c r="R537">
        <v>11</v>
      </c>
      <c r="S537">
        <v>10</v>
      </c>
    </row>
    <row r="538" spans="1:19" x14ac:dyDescent="0.25">
      <c r="A538">
        <v>43</v>
      </c>
      <c r="B538">
        <v>8</v>
      </c>
      <c r="C538">
        <v>9</v>
      </c>
      <c r="D538">
        <f>IF(A538=$N$2,1,0)</f>
        <v>0</v>
      </c>
      <c r="E538">
        <f>IF(A538=$M$2,1,0)</f>
        <v>0</v>
      </c>
      <c r="F538">
        <f t="shared" si="8"/>
        <v>0</v>
      </c>
      <c r="H538" s="1">
        <v>0.78958333333333197</v>
      </c>
      <c r="P538" s="2">
        <f>TRUNC(O538/60) + 1</f>
        <v>1</v>
      </c>
      <c r="Q538">
        <v>43</v>
      </c>
      <c r="R538">
        <v>8</v>
      </c>
      <c r="S538">
        <v>9</v>
      </c>
    </row>
    <row r="539" spans="1:19" x14ac:dyDescent="0.25">
      <c r="A539">
        <v>27</v>
      </c>
      <c r="B539">
        <v>9</v>
      </c>
      <c r="C539">
        <v>4</v>
      </c>
      <c r="D539">
        <f>IF(A539=$N$2,1,0)</f>
        <v>0</v>
      </c>
      <c r="E539">
        <f>IF(A539=$M$2,1,0)</f>
        <v>0</v>
      </c>
      <c r="F539">
        <f t="shared" si="8"/>
        <v>1</v>
      </c>
      <c r="H539" s="1">
        <v>0.79027777777777597</v>
      </c>
      <c r="P539" s="2">
        <f>TRUNC(O539/60) + 1</f>
        <v>1</v>
      </c>
      <c r="Q539">
        <v>27</v>
      </c>
      <c r="R539">
        <v>9</v>
      </c>
      <c r="S539">
        <v>4</v>
      </c>
    </row>
    <row r="540" spans="1:19" x14ac:dyDescent="0.25">
      <c r="A540">
        <v>67</v>
      </c>
      <c r="B540">
        <v>8</v>
      </c>
      <c r="C540">
        <v>10</v>
      </c>
      <c r="D540">
        <f>IF(A540=$N$2,1,0)</f>
        <v>0</v>
      </c>
      <c r="E540">
        <f>IF(A540=$M$2,1,0)</f>
        <v>0</v>
      </c>
      <c r="F540">
        <f t="shared" si="8"/>
        <v>0</v>
      </c>
      <c r="H540" s="1">
        <v>0.79097222222222097</v>
      </c>
      <c r="P540" s="2">
        <f>TRUNC(O540/60) + 1</f>
        <v>1</v>
      </c>
      <c r="Q540">
        <v>67</v>
      </c>
      <c r="R540">
        <v>8</v>
      </c>
      <c r="S540">
        <v>10</v>
      </c>
    </row>
    <row r="541" spans="1:19" x14ac:dyDescent="0.25">
      <c r="A541">
        <v>37</v>
      </c>
      <c r="B541">
        <v>15</v>
      </c>
      <c r="C541">
        <v>2</v>
      </c>
      <c r="D541">
        <f>IF(A541=$N$2,1,0)</f>
        <v>0</v>
      </c>
      <c r="E541">
        <f>IF(A541=$M$2,1,0)</f>
        <v>0</v>
      </c>
      <c r="F541">
        <f t="shared" si="8"/>
        <v>1</v>
      </c>
      <c r="H541" s="1">
        <v>0.79166666666666496</v>
      </c>
      <c r="P541" s="2">
        <f>TRUNC(O541/60) + 1</f>
        <v>1</v>
      </c>
      <c r="Q541">
        <v>37</v>
      </c>
      <c r="R541">
        <v>15</v>
      </c>
      <c r="S541">
        <v>2</v>
      </c>
    </row>
    <row r="542" spans="1:19" x14ac:dyDescent="0.25">
      <c r="A542">
        <v>72</v>
      </c>
      <c r="B542">
        <v>6</v>
      </c>
      <c r="C542">
        <v>3</v>
      </c>
      <c r="D542">
        <f>IF(A542=$N$2,1,0)</f>
        <v>0</v>
      </c>
      <c r="E542">
        <f>IF(A542=$M$2,1,0)</f>
        <v>0</v>
      </c>
      <c r="F542">
        <f t="shared" si="8"/>
        <v>2</v>
      </c>
      <c r="H542" s="1">
        <v>0.79236111111110996</v>
      </c>
      <c r="P542" s="2">
        <f>TRUNC(O542/60) + 1</f>
        <v>1</v>
      </c>
      <c r="Q542">
        <v>72</v>
      </c>
      <c r="R542">
        <v>6</v>
      </c>
      <c r="S542">
        <v>3</v>
      </c>
    </row>
    <row r="543" spans="1:19" x14ac:dyDescent="0.25">
      <c r="A543">
        <v>32</v>
      </c>
      <c r="B543">
        <v>12</v>
      </c>
      <c r="C543">
        <v>9</v>
      </c>
      <c r="D543">
        <f>IF(A543=$N$2,1,0)</f>
        <v>0</v>
      </c>
      <c r="E543">
        <f>IF(A543=$M$2,1,0)</f>
        <v>0</v>
      </c>
      <c r="F543">
        <f t="shared" si="8"/>
        <v>3</v>
      </c>
      <c r="H543" s="1">
        <v>0.79305555555555396</v>
      </c>
      <c r="P543" s="2">
        <f>TRUNC(O543/60) + 1</f>
        <v>1</v>
      </c>
      <c r="Q543">
        <v>32</v>
      </c>
      <c r="R543">
        <v>12</v>
      </c>
      <c r="S543">
        <v>9</v>
      </c>
    </row>
    <row r="544" spans="1:19" x14ac:dyDescent="0.25">
      <c r="A544">
        <v>35</v>
      </c>
      <c r="B544">
        <v>5</v>
      </c>
      <c r="C544">
        <v>4</v>
      </c>
      <c r="D544">
        <f>IF(A544=$N$2,1,0)</f>
        <v>0</v>
      </c>
      <c r="E544">
        <f>IF(A544=$M$2,1,0)</f>
        <v>0</v>
      </c>
      <c r="F544">
        <f t="shared" si="8"/>
        <v>4</v>
      </c>
      <c r="H544" s="1">
        <v>0.79374999999999896</v>
      </c>
      <c r="P544" s="2">
        <f>TRUNC(O544/60) + 1</f>
        <v>1</v>
      </c>
      <c r="Q544">
        <v>35</v>
      </c>
      <c r="R544">
        <v>5</v>
      </c>
      <c r="S544">
        <v>4</v>
      </c>
    </row>
    <row r="545" spans="1:19" x14ac:dyDescent="0.25">
      <c r="A545">
        <v>25</v>
      </c>
      <c r="B545">
        <v>17</v>
      </c>
      <c r="C545">
        <v>10</v>
      </c>
      <c r="D545">
        <f>IF(A545=$N$2,1,0)</f>
        <v>0</v>
      </c>
      <c r="E545">
        <f>IF(A545=$M$2,1,0)</f>
        <v>0</v>
      </c>
      <c r="F545">
        <f t="shared" si="8"/>
        <v>5</v>
      </c>
      <c r="H545" s="1">
        <v>0.79444444444444295</v>
      </c>
      <c r="P545" s="2">
        <f>TRUNC(O545/60) + 1</f>
        <v>1</v>
      </c>
      <c r="Q545">
        <v>25</v>
      </c>
      <c r="R545">
        <v>17</v>
      </c>
      <c r="S545">
        <v>10</v>
      </c>
    </row>
    <row r="546" spans="1:19" x14ac:dyDescent="0.25">
      <c r="A546">
        <v>42</v>
      </c>
      <c r="B546">
        <v>20</v>
      </c>
      <c r="C546">
        <v>5</v>
      </c>
      <c r="D546">
        <f>IF(A546=$N$2,1,0)</f>
        <v>0</v>
      </c>
      <c r="E546">
        <f>IF(A546=$M$2,1,0)</f>
        <v>0</v>
      </c>
      <c r="F546">
        <f t="shared" si="8"/>
        <v>6</v>
      </c>
      <c r="H546" s="1">
        <v>0.79513888888888695</v>
      </c>
      <c r="P546" s="2">
        <f>TRUNC(O546/60) + 1</f>
        <v>1</v>
      </c>
      <c r="Q546">
        <v>42</v>
      </c>
      <c r="R546">
        <v>20</v>
      </c>
      <c r="S546">
        <v>5</v>
      </c>
    </row>
    <row r="547" spans="1:19" x14ac:dyDescent="0.25">
      <c r="A547">
        <v>29</v>
      </c>
      <c r="B547">
        <v>9</v>
      </c>
      <c r="C547">
        <v>4</v>
      </c>
      <c r="D547">
        <f>IF(A547=$N$2,1,0)</f>
        <v>0</v>
      </c>
      <c r="E547">
        <f>IF(A547=$M$2,1,0)</f>
        <v>0</v>
      </c>
      <c r="F547">
        <f t="shared" si="8"/>
        <v>7</v>
      </c>
      <c r="H547" s="1">
        <v>0.79583333333333195</v>
      </c>
      <c r="P547" s="2">
        <f>TRUNC(O547/60) + 1</f>
        <v>1</v>
      </c>
      <c r="Q547">
        <v>29</v>
      </c>
      <c r="R547">
        <v>9</v>
      </c>
      <c r="S547">
        <v>4</v>
      </c>
    </row>
    <row r="548" spans="1:19" x14ac:dyDescent="0.25">
      <c r="A548">
        <v>50</v>
      </c>
      <c r="B548">
        <v>12</v>
      </c>
      <c r="C548">
        <v>1</v>
      </c>
      <c r="D548">
        <f>IF(A548=$N$2,1,0)</f>
        <v>0</v>
      </c>
      <c r="E548">
        <f>IF(A548=$M$2,1,0)</f>
        <v>0</v>
      </c>
      <c r="F548">
        <f t="shared" si="8"/>
        <v>8</v>
      </c>
      <c r="H548" s="1">
        <v>0.79652777777777595</v>
      </c>
      <c r="P548" s="2">
        <f>TRUNC(O548/60) + 1</f>
        <v>1</v>
      </c>
      <c r="Q548">
        <v>50</v>
      </c>
      <c r="R548">
        <v>12</v>
      </c>
      <c r="S548">
        <v>1</v>
      </c>
    </row>
    <row r="549" spans="1:19" x14ac:dyDescent="0.25">
      <c r="A549">
        <v>12</v>
      </c>
      <c r="B549">
        <v>5</v>
      </c>
      <c r="C549">
        <v>2</v>
      </c>
      <c r="D549">
        <f>IF(A549=$N$2,1,0)</f>
        <v>0</v>
      </c>
      <c r="E549">
        <f>IF(A549=$M$2,1,0)</f>
        <v>0</v>
      </c>
      <c r="F549">
        <f t="shared" si="8"/>
        <v>9</v>
      </c>
      <c r="H549" s="1">
        <v>0.79722222222222106</v>
      </c>
      <c r="P549" s="2">
        <f>TRUNC(O549/60) + 1</f>
        <v>1</v>
      </c>
      <c r="Q549">
        <v>12</v>
      </c>
      <c r="R549">
        <v>5</v>
      </c>
      <c r="S549">
        <v>2</v>
      </c>
    </row>
    <row r="550" spans="1:19" x14ac:dyDescent="0.25">
      <c r="A550">
        <v>45</v>
      </c>
      <c r="B550">
        <v>27</v>
      </c>
      <c r="C550">
        <v>1</v>
      </c>
      <c r="D550">
        <f>IF(A550=$N$2,1,0)</f>
        <v>0</v>
      </c>
      <c r="E550">
        <f>IF(A550=$M$2,1,0)</f>
        <v>0</v>
      </c>
      <c r="F550">
        <f t="shared" si="8"/>
        <v>10</v>
      </c>
      <c r="H550" s="1">
        <v>0.79791666666666505</v>
      </c>
      <c r="P550" s="2">
        <f>TRUNC(O550/60) + 1</f>
        <v>1</v>
      </c>
      <c r="Q550">
        <v>45</v>
      </c>
      <c r="R550">
        <v>27</v>
      </c>
      <c r="S550">
        <v>1</v>
      </c>
    </row>
    <row r="551" spans="1:19" x14ac:dyDescent="0.25">
      <c r="A551">
        <v>39</v>
      </c>
      <c r="B551">
        <v>10</v>
      </c>
      <c r="C551">
        <v>8</v>
      </c>
      <c r="D551">
        <f>IF(A551=$N$2,1,0)</f>
        <v>0</v>
      </c>
      <c r="E551">
        <f>IF(A551=$M$2,1,0)</f>
        <v>0</v>
      </c>
      <c r="F551">
        <f t="shared" si="8"/>
        <v>11</v>
      </c>
      <c r="H551" s="1">
        <v>0.79861111111111005</v>
      </c>
      <c r="P551" s="2">
        <f>TRUNC(O551/60) + 1</f>
        <v>1</v>
      </c>
      <c r="Q551">
        <v>39</v>
      </c>
      <c r="R551">
        <v>10</v>
      </c>
      <c r="S551">
        <v>8</v>
      </c>
    </row>
    <row r="552" spans="1:19" x14ac:dyDescent="0.25">
      <c r="A552">
        <v>94</v>
      </c>
      <c r="B552">
        <v>19</v>
      </c>
      <c r="C552">
        <v>5</v>
      </c>
      <c r="D552">
        <f>IF(A552=$N$2,1,0)</f>
        <v>0</v>
      </c>
      <c r="E552">
        <f>IF(A552=$M$2,1,0)</f>
        <v>0</v>
      </c>
      <c r="F552">
        <f t="shared" si="8"/>
        <v>12</v>
      </c>
      <c r="H552" s="1">
        <v>0.79930555555555405</v>
      </c>
      <c r="P552" s="2">
        <f>TRUNC(O552/60) + 1</f>
        <v>1</v>
      </c>
      <c r="Q552">
        <v>94</v>
      </c>
      <c r="R552">
        <v>19</v>
      </c>
      <c r="S552">
        <v>5</v>
      </c>
    </row>
    <row r="553" spans="1:19" x14ac:dyDescent="0.25">
      <c r="A553">
        <v>81</v>
      </c>
      <c r="B553">
        <v>5</v>
      </c>
      <c r="C553">
        <v>3</v>
      </c>
      <c r="D553">
        <f>IF(A553=$N$2,1,0)</f>
        <v>0</v>
      </c>
      <c r="E553">
        <f>IF(A553=$M$2,1,0)</f>
        <v>0</v>
      </c>
      <c r="F553">
        <f t="shared" si="8"/>
        <v>13</v>
      </c>
      <c r="H553" s="1">
        <v>0.79999999999999905</v>
      </c>
      <c r="P553" s="2">
        <f>TRUNC(O553/60) + 1</f>
        <v>1</v>
      </c>
      <c r="Q553">
        <v>81</v>
      </c>
      <c r="R553">
        <v>5</v>
      </c>
      <c r="S553">
        <v>3</v>
      </c>
    </row>
    <row r="554" spans="1:19" x14ac:dyDescent="0.25">
      <c r="A554">
        <v>70</v>
      </c>
      <c r="B554">
        <v>29</v>
      </c>
      <c r="C554">
        <v>9</v>
      </c>
      <c r="D554">
        <f>IF(A554=$N$2,1,0)</f>
        <v>0</v>
      </c>
      <c r="E554">
        <f>IF(A554=$M$2,1,0)</f>
        <v>0</v>
      </c>
      <c r="F554">
        <f t="shared" si="8"/>
        <v>14</v>
      </c>
      <c r="H554" s="1">
        <v>0.80069444444444304</v>
      </c>
      <c r="P554" s="2">
        <f>TRUNC(O554/60) + 1</f>
        <v>1</v>
      </c>
      <c r="Q554">
        <v>70</v>
      </c>
      <c r="R554">
        <v>29</v>
      </c>
      <c r="S554">
        <v>9</v>
      </c>
    </row>
    <row r="555" spans="1:19" x14ac:dyDescent="0.25">
      <c r="A555">
        <v>72</v>
      </c>
      <c r="B555">
        <v>23</v>
      </c>
      <c r="C555">
        <v>6</v>
      </c>
      <c r="D555">
        <f>IF(A555=$N$2,1,0)</f>
        <v>0</v>
      </c>
      <c r="E555">
        <f>IF(A555=$M$2,1,0)</f>
        <v>0</v>
      </c>
      <c r="F555">
        <f t="shared" si="8"/>
        <v>15</v>
      </c>
      <c r="H555" s="1">
        <v>0.80138888888888704</v>
      </c>
      <c r="P555" s="2">
        <f>TRUNC(O555/60) + 1</f>
        <v>1</v>
      </c>
      <c r="Q555">
        <v>72</v>
      </c>
      <c r="R555">
        <v>23</v>
      </c>
      <c r="S555">
        <v>6</v>
      </c>
    </row>
    <row r="556" spans="1:19" x14ac:dyDescent="0.25">
      <c r="A556">
        <v>79</v>
      </c>
      <c r="B556">
        <v>8</v>
      </c>
      <c r="C556">
        <v>9</v>
      </c>
      <c r="D556">
        <f>IF(A556=$N$2,1,0)</f>
        <v>0</v>
      </c>
      <c r="E556">
        <f>IF(A556=$M$2,1,0)</f>
        <v>0</v>
      </c>
      <c r="F556">
        <f t="shared" si="8"/>
        <v>0</v>
      </c>
      <c r="H556" s="1">
        <v>0.80208333333333204</v>
      </c>
      <c r="P556" s="2">
        <f>TRUNC(O556/60) + 1</f>
        <v>1</v>
      </c>
      <c r="Q556">
        <v>79</v>
      </c>
      <c r="R556">
        <v>8</v>
      </c>
      <c r="S556">
        <v>9</v>
      </c>
    </row>
    <row r="557" spans="1:19" x14ac:dyDescent="0.25">
      <c r="A557">
        <v>59</v>
      </c>
      <c r="B557">
        <v>7</v>
      </c>
      <c r="C557">
        <v>8</v>
      </c>
      <c r="D557">
        <f>IF(A557=$N$2,1,0)</f>
        <v>0</v>
      </c>
      <c r="E557">
        <f>IF(A557=$M$2,1,0)</f>
        <v>0</v>
      </c>
      <c r="F557">
        <f t="shared" si="8"/>
        <v>0</v>
      </c>
      <c r="H557" s="1">
        <v>0.80277777777777604</v>
      </c>
      <c r="P557" s="2">
        <f>TRUNC(O557/60) + 1</f>
        <v>1</v>
      </c>
      <c r="Q557">
        <v>59</v>
      </c>
      <c r="R557">
        <v>7</v>
      </c>
      <c r="S557">
        <v>8</v>
      </c>
    </row>
    <row r="558" spans="1:19" x14ac:dyDescent="0.25">
      <c r="A558">
        <v>36</v>
      </c>
      <c r="B558">
        <v>29</v>
      </c>
      <c r="C558">
        <v>2</v>
      </c>
      <c r="D558">
        <f>IF(A558=$N$2,1,0)</f>
        <v>0</v>
      </c>
      <c r="E558">
        <f>IF(A558=$M$2,1,0)</f>
        <v>0</v>
      </c>
      <c r="F558">
        <f t="shared" si="8"/>
        <v>1</v>
      </c>
      <c r="H558" s="1">
        <v>0.80347222222222103</v>
      </c>
      <c r="P558" s="2">
        <f>TRUNC(O558/60) + 1</f>
        <v>1</v>
      </c>
      <c r="Q558">
        <v>36</v>
      </c>
      <c r="R558">
        <v>29</v>
      </c>
      <c r="S558">
        <v>2</v>
      </c>
    </row>
    <row r="559" spans="1:19" x14ac:dyDescent="0.25">
      <c r="A559">
        <v>99</v>
      </c>
      <c r="B559">
        <v>22</v>
      </c>
      <c r="C559">
        <v>5</v>
      </c>
      <c r="D559">
        <f>IF(A559=$N$2,1,0)</f>
        <v>0</v>
      </c>
      <c r="E559">
        <f>IF(A559=$M$2,1,0)</f>
        <v>0</v>
      </c>
      <c r="F559">
        <f t="shared" si="8"/>
        <v>2</v>
      </c>
      <c r="H559" s="1">
        <v>0.80416666666666503</v>
      </c>
      <c r="P559" s="2">
        <f>TRUNC(O559/60) + 1</f>
        <v>1</v>
      </c>
      <c r="Q559">
        <v>99</v>
      </c>
      <c r="R559">
        <v>22</v>
      </c>
      <c r="S559">
        <v>5</v>
      </c>
    </row>
    <row r="560" spans="1:19" x14ac:dyDescent="0.25">
      <c r="A560">
        <v>66</v>
      </c>
      <c r="B560">
        <v>7</v>
      </c>
      <c r="C560">
        <v>1</v>
      </c>
      <c r="D560">
        <f>IF(A560=$N$2,1,0)</f>
        <v>0</v>
      </c>
      <c r="E560">
        <f>IF(A560=$M$2,1,0)</f>
        <v>0</v>
      </c>
      <c r="F560">
        <f t="shared" si="8"/>
        <v>3</v>
      </c>
      <c r="H560" s="1">
        <v>0.80486111111111003</v>
      </c>
      <c r="P560" s="2">
        <f>TRUNC(O560/60) + 1</f>
        <v>1</v>
      </c>
      <c r="Q560">
        <v>66</v>
      </c>
      <c r="R560">
        <v>7</v>
      </c>
      <c r="S560">
        <v>1</v>
      </c>
    </row>
    <row r="561" spans="1:19" x14ac:dyDescent="0.25">
      <c r="A561">
        <v>19</v>
      </c>
      <c r="B561">
        <v>6</v>
      </c>
      <c r="C561">
        <v>5</v>
      </c>
      <c r="D561">
        <f>IF(A561=$N$2,1,0)</f>
        <v>0</v>
      </c>
      <c r="E561">
        <f>IF(A561=$M$2,1,0)</f>
        <v>0</v>
      </c>
      <c r="F561">
        <f t="shared" si="8"/>
        <v>4</v>
      </c>
      <c r="H561" s="1">
        <v>0.80555555555555403</v>
      </c>
      <c r="P561" s="2">
        <f>TRUNC(O561/60) + 1</f>
        <v>1</v>
      </c>
      <c r="Q561">
        <v>19</v>
      </c>
      <c r="R561">
        <v>6</v>
      </c>
      <c r="S561">
        <v>5</v>
      </c>
    </row>
    <row r="562" spans="1:19" x14ac:dyDescent="0.25">
      <c r="A562">
        <v>90</v>
      </c>
      <c r="B562">
        <v>27</v>
      </c>
      <c r="C562">
        <v>3</v>
      </c>
      <c r="D562">
        <f>IF(A562=$N$2,1,0)</f>
        <v>0</v>
      </c>
      <c r="E562">
        <f>IF(A562=$M$2,1,0)</f>
        <v>0</v>
      </c>
      <c r="F562">
        <f t="shared" si="8"/>
        <v>5</v>
      </c>
      <c r="H562" s="1">
        <v>0.80624999999999902</v>
      </c>
      <c r="P562" s="2">
        <f>TRUNC(O562/60) + 1</f>
        <v>1</v>
      </c>
      <c r="Q562">
        <v>90</v>
      </c>
      <c r="R562">
        <v>27</v>
      </c>
      <c r="S562">
        <v>3</v>
      </c>
    </row>
    <row r="563" spans="1:19" x14ac:dyDescent="0.25">
      <c r="A563">
        <v>16</v>
      </c>
      <c r="B563">
        <v>15</v>
      </c>
      <c r="C563">
        <v>4</v>
      </c>
      <c r="D563">
        <f>IF(A563=$N$2,1,0)</f>
        <v>0</v>
      </c>
      <c r="E563">
        <f>IF(A563=$M$2,1,0)</f>
        <v>0</v>
      </c>
      <c r="F563">
        <f t="shared" si="8"/>
        <v>6</v>
      </c>
      <c r="H563" s="1">
        <v>0.80694444444444302</v>
      </c>
      <c r="P563" s="2">
        <f>TRUNC(O563/60) + 1</f>
        <v>1</v>
      </c>
      <c r="Q563">
        <v>16</v>
      </c>
      <c r="R563">
        <v>15</v>
      </c>
      <c r="S563">
        <v>4</v>
      </c>
    </row>
    <row r="564" spans="1:19" x14ac:dyDescent="0.25">
      <c r="A564">
        <v>61</v>
      </c>
      <c r="B564">
        <v>28</v>
      </c>
      <c r="C564">
        <v>3</v>
      </c>
      <c r="D564">
        <f>IF(A564=$N$2,1,0)</f>
        <v>0</v>
      </c>
      <c r="E564">
        <f>IF(A564=$M$2,1,0)</f>
        <v>0</v>
      </c>
      <c r="F564">
        <f t="shared" si="8"/>
        <v>7</v>
      </c>
      <c r="H564" s="1">
        <v>0.80763888888888702</v>
      </c>
      <c r="P564" s="2">
        <f>TRUNC(O564/60) + 1</f>
        <v>1</v>
      </c>
      <c r="Q564">
        <v>61</v>
      </c>
      <c r="R564">
        <v>28</v>
      </c>
      <c r="S564">
        <v>3</v>
      </c>
    </row>
    <row r="565" spans="1:19" x14ac:dyDescent="0.25">
      <c r="A565">
        <v>69</v>
      </c>
      <c r="B565">
        <v>14</v>
      </c>
      <c r="C565">
        <v>10</v>
      </c>
      <c r="D565">
        <f>IF(A565=$N$2,1,0)</f>
        <v>0</v>
      </c>
      <c r="E565">
        <f>IF(A565=$M$2,1,0)</f>
        <v>0</v>
      </c>
      <c r="F565">
        <f t="shared" si="8"/>
        <v>8</v>
      </c>
      <c r="H565" s="1">
        <v>0.80833333333333202</v>
      </c>
      <c r="P565" s="2">
        <f>TRUNC(O565/60) + 1</f>
        <v>1</v>
      </c>
      <c r="Q565">
        <v>69</v>
      </c>
      <c r="R565">
        <v>14</v>
      </c>
      <c r="S565">
        <v>10</v>
      </c>
    </row>
    <row r="566" spans="1:19" x14ac:dyDescent="0.25">
      <c r="A566">
        <v>42</v>
      </c>
      <c r="B566">
        <v>9</v>
      </c>
      <c r="C566">
        <v>7</v>
      </c>
      <c r="D566">
        <f>IF(A566=$N$2,1,0)</f>
        <v>0</v>
      </c>
      <c r="E566">
        <f>IF(A566=$M$2,1,0)</f>
        <v>0</v>
      </c>
      <c r="F566">
        <f t="shared" si="8"/>
        <v>9</v>
      </c>
      <c r="H566" s="1">
        <v>0.80902777777777601</v>
      </c>
      <c r="P566" s="2">
        <f>TRUNC(O566/60) + 1</f>
        <v>1</v>
      </c>
      <c r="Q566">
        <v>42</v>
      </c>
      <c r="R566">
        <v>9</v>
      </c>
      <c r="S566">
        <v>7</v>
      </c>
    </row>
    <row r="567" spans="1:19" x14ac:dyDescent="0.25">
      <c r="A567">
        <v>25</v>
      </c>
      <c r="B567">
        <v>15</v>
      </c>
      <c r="C567">
        <v>5</v>
      </c>
      <c r="D567">
        <f>IF(A567=$N$2,1,0)</f>
        <v>0</v>
      </c>
      <c r="E567">
        <f>IF(A567=$M$2,1,0)</f>
        <v>0</v>
      </c>
      <c r="F567">
        <f t="shared" si="8"/>
        <v>10</v>
      </c>
      <c r="H567" s="1">
        <v>0.80972222222222101</v>
      </c>
      <c r="P567" s="2">
        <f>TRUNC(O567/60) + 1</f>
        <v>1</v>
      </c>
      <c r="Q567">
        <v>25</v>
      </c>
      <c r="R567">
        <v>15</v>
      </c>
      <c r="S567">
        <v>5</v>
      </c>
    </row>
    <row r="568" spans="1:19" x14ac:dyDescent="0.25">
      <c r="A568">
        <v>91</v>
      </c>
      <c r="B568">
        <v>21</v>
      </c>
      <c r="C568">
        <v>7</v>
      </c>
      <c r="D568">
        <f>IF(A568=$N$2,1,0)</f>
        <v>0</v>
      </c>
      <c r="E568">
        <f>IF(A568=$M$2,1,0)</f>
        <v>0</v>
      </c>
      <c r="F568">
        <f t="shared" si="8"/>
        <v>11</v>
      </c>
      <c r="H568" s="1">
        <v>0.81041666666666501</v>
      </c>
      <c r="P568" s="2">
        <f>TRUNC(O568/60) + 1</f>
        <v>1</v>
      </c>
      <c r="Q568">
        <v>91</v>
      </c>
      <c r="R568">
        <v>21</v>
      </c>
      <c r="S568">
        <v>7</v>
      </c>
    </row>
    <row r="569" spans="1:19" x14ac:dyDescent="0.25">
      <c r="A569">
        <v>53</v>
      </c>
      <c r="B569">
        <v>6</v>
      </c>
      <c r="C569">
        <v>1</v>
      </c>
      <c r="D569">
        <f>IF(A569=$N$2,1,0)</f>
        <v>0</v>
      </c>
      <c r="E569">
        <f>IF(A569=$M$2,1,0)</f>
        <v>0</v>
      </c>
      <c r="F569">
        <f t="shared" si="8"/>
        <v>12</v>
      </c>
      <c r="H569" s="1">
        <v>0.81111111111111001</v>
      </c>
      <c r="P569" s="2">
        <f>TRUNC(O569/60) + 1</f>
        <v>1</v>
      </c>
      <c r="Q569">
        <v>53</v>
      </c>
      <c r="R569">
        <v>6</v>
      </c>
      <c r="S569">
        <v>1</v>
      </c>
    </row>
    <row r="570" spans="1:19" x14ac:dyDescent="0.25">
      <c r="A570">
        <v>100</v>
      </c>
      <c r="B570">
        <v>24</v>
      </c>
      <c r="C570">
        <v>7</v>
      </c>
      <c r="D570">
        <f>IF(A570=$N$2,1,0)</f>
        <v>0</v>
      </c>
      <c r="E570">
        <f>IF(A570=$M$2,1,0)</f>
        <v>1</v>
      </c>
      <c r="F570">
        <f t="shared" si="8"/>
        <v>13</v>
      </c>
      <c r="H570" s="1">
        <v>0.811805555555554</v>
      </c>
      <c r="P570" s="2">
        <f>TRUNC(O570/60) + 1</f>
        <v>1</v>
      </c>
      <c r="Q570">
        <v>100</v>
      </c>
      <c r="R570">
        <v>24</v>
      </c>
      <c r="S570">
        <v>7</v>
      </c>
    </row>
    <row r="571" spans="1:19" x14ac:dyDescent="0.25">
      <c r="A571">
        <v>99</v>
      </c>
      <c r="B571">
        <v>23</v>
      </c>
      <c r="C571">
        <v>4</v>
      </c>
      <c r="D571">
        <f>IF(A571=$N$2,1,0)</f>
        <v>0</v>
      </c>
      <c r="E571">
        <f>IF(A571=$M$2,1,0)</f>
        <v>0</v>
      </c>
      <c r="F571">
        <f t="shared" si="8"/>
        <v>14</v>
      </c>
      <c r="H571" s="1">
        <v>0.812499999999998</v>
      </c>
      <c r="P571" s="2">
        <f>TRUNC(O571/60) + 1</f>
        <v>1</v>
      </c>
      <c r="Q571">
        <v>99</v>
      </c>
      <c r="R571">
        <v>23</v>
      </c>
      <c r="S571">
        <v>4</v>
      </c>
    </row>
    <row r="572" spans="1:19" x14ac:dyDescent="0.25">
      <c r="A572">
        <v>91</v>
      </c>
      <c r="B572">
        <v>29</v>
      </c>
      <c r="C572">
        <v>9</v>
      </c>
      <c r="D572">
        <f>IF(A572=$N$2,1,0)</f>
        <v>0</v>
      </c>
      <c r="E572">
        <f>IF(A572=$M$2,1,0)</f>
        <v>0</v>
      </c>
      <c r="F572">
        <f t="shared" si="8"/>
        <v>15</v>
      </c>
      <c r="H572" s="1">
        <v>0.813194444444443</v>
      </c>
      <c r="P572" s="2">
        <f>TRUNC(O572/60) + 1</f>
        <v>1</v>
      </c>
      <c r="Q572">
        <v>91</v>
      </c>
      <c r="R572">
        <v>29</v>
      </c>
      <c r="S572">
        <v>9</v>
      </c>
    </row>
    <row r="573" spans="1:19" x14ac:dyDescent="0.25">
      <c r="A573">
        <v>46</v>
      </c>
      <c r="B573">
        <v>28</v>
      </c>
      <c r="C573">
        <v>7</v>
      </c>
      <c r="D573">
        <f>IF(A573=$N$2,1,0)</f>
        <v>0</v>
      </c>
      <c r="E573">
        <f>IF(A573=$M$2,1,0)</f>
        <v>0</v>
      </c>
      <c r="F573">
        <f t="shared" si="8"/>
        <v>16</v>
      </c>
      <c r="H573" s="1">
        <v>0.813888888888887</v>
      </c>
      <c r="P573" s="2">
        <f>TRUNC(O573/60) + 1</f>
        <v>1</v>
      </c>
      <c r="Q573">
        <v>46</v>
      </c>
      <c r="R573">
        <v>28</v>
      </c>
      <c r="S573">
        <v>7</v>
      </c>
    </row>
    <row r="574" spans="1:19" x14ac:dyDescent="0.25">
      <c r="A574">
        <v>94</v>
      </c>
      <c r="B574">
        <v>26</v>
      </c>
      <c r="C574">
        <v>7</v>
      </c>
      <c r="D574">
        <f>IF(A574=$N$2,1,0)</f>
        <v>0</v>
      </c>
      <c r="E574">
        <f>IF(A574=$M$2,1,0)</f>
        <v>0</v>
      </c>
      <c r="F574">
        <f t="shared" si="8"/>
        <v>17</v>
      </c>
      <c r="H574" s="1">
        <v>0.81458333333333199</v>
      </c>
      <c r="P574" s="2">
        <f>TRUNC(O574/60) + 1</f>
        <v>1</v>
      </c>
      <c r="Q574">
        <v>94</v>
      </c>
      <c r="R574">
        <v>26</v>
      </c>
      <c r="S574">
        <v>7</v>
      </c>
    </row>
    <row r="575" spans="1:19" x14ac:dyDescent="0.25">
      <c r="A575">
        <v>46</v>
      </c>
      <c r="B575">
        <v>25</v>
      </c>
      <c r="C575">
        <v>8</v>
      </c>
      <c r="D575">
        <f>IF(A575=$N$2,1,0)</f>
        <v>0</v>
      </c>
      <c r="E575">
        <f>IF(A575=$M$2,1,0)</f>
        <v>0</v>
      </c>
      <c r="F575">
        <f t="shared" si="8"/>
        <v>18</v>
      </c>
      <c r="H575" s="1">
        <v>0.81527777777777599</v>
      </c>
      <c r="P575" s="2">
        <f>TRUNC(O575/60) + 1</f>
        <v>1</v>
      </c>
      <c r="Q575">
        <v>46</v>
      </c>
      <c r="R575">
        <v>25</v>
      </c>
      <c r="S575">
        <v>8</v>
      </c>
    </row>
    <row r="576" spans="1:19" x14ac:dyDescent="0.25">
      <c r="A576">
        <v>37</v>
      </c>
      <c r="B576">
        <v>23</v>
      </c>
      <c r="C576">
        <v>7</v>
      </c>
      <c r="D576">
        <f>IF(A576=$N$2,1,0)</f>
        <v>0</v>
      </c>
      <c r="E576">
        <f>IF(A576=$M$2,1,0)</f>
        <v>0</v>
      </c>
      <c r="F576">
        <f t="shared" si="8"/>
        <v>19</v>
      </c>
      <c r="H576" s="1">
        <v>0.81597222222222099</v>
      </c>
      <c r="P576" s="2">
        <f>TRUNC(O576/60) + 1</f>
        <v>1</v>
      </c>
      <c r="Q576">
        <v>37</v>
      </c>
      <c r="R576">
        <v>23</v>
      </c>
      <c r="S576">
        <v>7</v>
      </c>
    </row>
    <row r="577" spans="1:19" x14ac:dyDescent="0.25">
      <c r="A577">
        <v>41</v>
      </c>
      <c r="B577">
        <v>20</v>
      </c>
      <c r="C577">
        <v>9</v>
      </c>
      <c r="D577">
        <f>IF(A577=$N$2,1,0)</f>
        <v>0</v>
      </c>
      <c r="E577">
        <f>IF(A577=$M$2,1,0)</f>
        <v>0</v>
      </c>
      <c r="F577">
        <f t="shared" si="8"/>
        <v>20</v>
      </c>
      <c r="H577" s="1">
        <v>0.81666666666666499</v>
      </c>
      <c r="P577" s="2">
        <f>TRUNC(O577/60) + 1</f>
        <v>1</v>
      </c>
      <c r="Q577">
        <v>41</v>
      </c>
      <c r="R577">
        <v>20</v>
      </c>
      <c r="S577">
        <v>9</v>
      </c>
    </row>
    <row r="578" spans="1:19" x14ac:dyDescent="0.25">
      <c r="A578">
        <v>81</v>
      </c>
      <c r="B578">
        <v>29</v>
      </c>
      <c r="C578">
        <v>7</v>
      </c>
      <c r="D578">
        <f>IF(A578=$N$2,1,0)</f>
        <v>0</v>
      </c>
      <c r="E578">
        <f>IF(A578=$M$2,1,0)</f>
        <v>0</v>
      </c>
      <c r="F578">
        <f t="shared" si="8"/>
        <v>21</v>
      </c>
      <c r="H578" s="1">
        <v>0.81736111111110998</v>
      </c>
      <c r="P578" s="2">
        <f>TRUNC(O578/60) + 1</f>
        <v>1</v>
      </c>
      <c r="Q578">
        <v>81</v>
      </c>
      <c r="R578">
        <v>29</v>
      </c>
      <c r="S578">
        <v>7</v>
      </c>
    </row>
    <row r="579" spans="1:19" x14ac:dyDescent="0.25">
      <c r="A579">
        <v>85</v>
      </c>
      <c r="B579">
        <v>7</v>
      </c>
      <c r="C579">
        <v>4</v>
      </c>
      <c r="D579">
        <f>IF(A579=$N$2,1,0)</f>
        <v>0</v>
      </c>
      <c r="E579">
        <f>IF(A579=$M$2,1,0)</f>
        <v>0</v>
      </c>
      <c r="F579">
        <f t="shared" ref="F579:F601" si="9">IF(AND(B579&gt;C579, A579 &gt; B579), F578 + 1, 0)</f>
        <v>22</v>
      </c>
      <c r="H579" s="1">
        <v>0.81805555555555398</v>
      </c>
      <c r="P579" s="2">
        <f>TRUNC(O579/60) + 1</f>
        <v>1</v>
      </c>
      <c r="Q579">
        <v>85</v>
      </c>
      <c r="R579">
        <v>7</v>
      </c>
      <c r="S579">
        <v>4</v>
      </c>
    </row>
    <row r="580" spans="1:19" x14ac:dyDescent="0.25">
      <c r="A580">
        <v>45</v>
      </c>
      <c r="B580">
        <v>25</v>
      </c>
      <c r="C580">
        <v>9</v>
      </c>
      <c r="D580">
        <f>IF(A580=$N$2,1,0)</f>
        <v>0</v>
      </c>
      <c r="E580">
        <f>IF(A580=$M$2,1,0)</f>
        <v>0</v>
      </c>
      <c r="F580">
        <f t="shared" si="9"/>
        <v>23</v>
      </c>
      <c r="H580" s="1">
        <v>0.81874999999999798</v>
      </c>
      <c r="P580" s="2">
        <f>TRUNC(O580/60) + 1</f>
        <v>1</v>
      </c>
      <c r="Q580">
        <v>45</v>
      </c>
      <c r="R580">
        <v>25</v>
      </c>
      <c r="S580">
        <v>9</v>
      </c>
    </row>
    <row r="581" spans="1:19" x14ac:dyDescent="0.25">
      <c r="A581">
        <v>82</v>
      </c>
      <c r="B581">
        <v>9</v>
      </c>
      <c r="C581">
        <v>7</v>
      </c>
      <c r="D581">
        <f>IF(A581=$N$2,1,0)</f>
        <v>0</v>
      </c>
      <c r="E581">
        <f>IF(A581=$M$2,1,0)</f>
        <v>0</v>
      </c>
      <c r="F581">
        <f t="shared" si="9"/>
        <v>24</v>
      </c>
      <c r="H581" s="1">
        <v>0.81944444444444298</v>
      </c>
      <c r="P581" s="2">
        <f>TRUNC(O581/60) + 1</f>
        <v>1</v>
      </c>
      <c r="Q581">
        <v>82</v>
      </c>
      <c r="R581">
        <v>9</v>
      </c>
      <c r="S581">
        <v>7</v>
      </c>
    </row>
    <row r="582" spans="1:19" x14ac:dyDescent="0.25">
      <c r="A582">
        <v>96</v>
      </c>
      <c r="B582">
        <v>7</v>
      </c>
      <c r="C582">
        <v>9</v>
      </c>
      <c r="D582">
        <f>IF(A582=$N$2,1,0)</f>
        <v>0</v>
      </c>
      <c r="E582">
        <f>IF(A582=$M$2,1,0)</f>
        <v>0</v>
      </c>
      <c r="F582">
        <f t="shared" si="9"/>
        <v>0</v>
      </c>
      <c r="H582" s="1">
        <v>0.82013888888888697</v>
      </c>
      <c r="P582" s="2">
        <f>TRUNC(O582/60) + 1</f>
        <v>1</v>
      </c>
      <c r="Q582">
        <v>96</v>
      </c>
      <c r="R582">
        <v>7</v>
      </c>
      <c r="S582">
        <v>9</v>
      </c>
    </row>
    <row r="583" spans="1:19" x14ac:dyDescent="0.25">
      <c r="A583">
        <v>99</v>
      </c>
      <c r="B583">
        <v>27</v>
      </c>
      <c r="C583">
        <v>7</v>
      </c>
      <c r="D583">
        <f>IF(A583=$N$2,1,0)</f>
        <v>0</v>
      </c>
      <c r="E583">
        <f>IF(A583=$M$2,1,0)</f>
        <v>0</v>
      </c>
      <c r="F583">
        <f t="shared" si="9"/>
        <v>1</v>
      </c>
      <c r="H583" s="1">
        <v>0.82083333333333197</v>
      </c>
      <c r="P583" s="2">
        <f>TRUNC(O583/60) + 1</f>
        <v>1</v>
      </c>
      <c r="Q583">
        <v>99</v>
      </c>
      <c r="R583">
        <v>27</v>
      </c>
      <c r="S583">
        <v>7</v>
      </c>
    </row>
    <row r="584" spans="1:19" x14ac:dyDescent="0.25">
      <c r="A584">
        <v>69</v>
      </c>
      <c r="B584">
        <v>30</v>
      </c>
      <c r="C584">
        <v>9</v>
      </c>
      <c r="D584">
        <f>IF(A584=$N$2,1,0)</f>
        <v>0</v>
      </c>
      <c r="E584">
        <f>IF(A584=$M$2,1,0)</f>
        <v>0</v>
      </c>
      <c r="F584">
        <f t="shared" si="9"/>
        <v>2</v>
      </c>
      <c r="H584" s="1">
        <v>0.82152777777777597</v>
      </c>
      <c r="P584" s="2">
        <f>TRUNC(O584/60) + 1</f>
        <v>1</v>
      </c>
      <c r="Q584">
        <v>69</v>
      </c>
      <c r="R584">
        <v>30</v>
      </c>
      <c r="S584">
        <v>9</v>
      </c>
    </row>
    <row r="585" spans="1:19" x14ac:dyDescent="0.25">
      <c r="A585">
        <v>71</v>
      </c>
      <c r="B585">
        <v>28</v>
      </c>
      <c r="C585">
        <v>6</v>
      </c>
      <c r="D585">
        <f>IF(A585=$N$2,1,0)</f>
        <v>0</v>
      </c>
      <c r="E585">
        <f>IF(A585=$M$2,1,0)</f>
        <v>0</v>
      </c>
      <c r="F585">
        <f t="shared" si="9"/>
        <v>3</v>
      </c>
      <c r="H585" s="1">
        <v>0.82222222222222097</v>
      </c>
      <c r="P585" s="2">
        <f>TRUNC(O585/60) + 1</f>
        <v>1</v>
      </c>
      <c r="Q585">
        <v>71</v>
      </c>
      <c r="R585">
        <v>28</v>
      </c>
      <c r="S585">
        <v>6</v>
      </c>
    </row>
    <row r="586" spans="1:19" x14ac:dyDescent="0.25">
      <c r="A586">
        <v>38</v>
      </c>
      <c r="B586">
        <v>26</v>
      </c>
      <c r="C586">
        <v>6</v>
      </c>
      <c r="D586">
        <f>IF(A586=$N$2,1,0)</f>
        <v>0</v>
      </c>
      <c r="E586">
        <f>IF(A586=$M$2,1,0)</f>
        <v>0</v>
      </c>
      <c r="F586">
        <f t="shared" si="9"/>
        <v>4</v>
      </c>
      <c r="H586" s="1">
        <v>0.82291666666666496</v>
      </c>
      <c r="P586" s="2">
        <f>TRUNC(O586/60) + 1</f>
        <v>1</v>
      </c>
      <c r="Q586">
        <v>38</v>
      </c>
      <c r="R586">
        <v>26</v>
      </c>
      <c r="S586">
        <v>6</v>
      </c>
    </row>
    <row r="587" spans="1:19" x14ac:dyDescent="0.25">
      <c r="A587">
        <v>32</v>
      </c>
      <c r="B587">
        <v>19</v>
      </c>
      <c r="C587">
        <v>3</v>
      </c>
      <c r="D587">
        <f>IF(A587=$N$2,1,0)</f>
        <v>0</v>
      </c>
      <c r="E587">
        <f>IF(A587=$M$2,1,0)</f>
        <v>0</v>
      </c>
      <c r="F587">
        <f t="shared" si="9"/>
        <v>5</v>
      </c>
      <c r="H587" s="1">
        <v>0.82361111111110996</v>
      </c>
      <c r="P587" s="2">
        <f>TRUNC(O587/60) + 1</f>
        <v>1</v>
      </c>
      <c r="Q587">
        <v>32</v>
      </c>
      <c r="R587">
        <v>19</v>
      </c>
      <c r="S587">
        <v>3</v>
      </c>
    </row>
    <row r="588" spans="1:19" x14ac:dyDescent="0.25">
      <c r="A588">
        <v>76</v>
      </c>
      <c r="B588">
        <v>6</v>
      </c>
      <c r="C588">
        <v>4</v>
      </c>
      <c r="D588">
        <f>IF(A588=$N$2,1,0)</f>
        <v>0</v>
      </c>
      <c r="E588">
        <f>IF(A588=$M$2,1,0)</f>
        <v>0</v>
      </c>
      <c r="F588">
        <f t="shared" si="9"/>
        <v>6</v>
      </c>
      <c r="H588" s="1">
        <v>0.82430555555555396</v>
      </c>
      <c r="P588" s="2">
        <f>TRUNC(O588/60) + 1</f>
        <v>1</v>
      </c>
      <c r="Q588">
        <v>76</v>
      </c>
      <c r="R588">
        <v>6</v>
      </c>
      <c r="S588">
        <v>4</v>
      </c>
    </row>
    <row r="589" spans="1:19" x14ac:dyDescent="0.25">
      <c r="A589">
        <v>91</v>
      </c>
      <c r="B589">
        <v>15</v>
      </c>
      <c r="C589">
        <v>6</v>
      </c>
      <c r="D589">
        <f>IF(A589=$N$2,1,0)</f>
        <v>0</v>
      </c>
      <c r="E589">
        <f>IF(A589=$M$2,1,0)</f>
        <v>0</v>
      </c>
      <c r="F589">
        <f t="shared" si="9"/>
        <v>7</v>
      </c>
      <c r="H589" s="1">
        <v>0.82499999999999796</v>
      </c>
      <c r="P589" s="2">
        <f>TRUNC(O589/60) + 1</f>
        <v>1</v>
      </c>
      <c r="Q589">
        <v>91</v>
      </c>
      <c r="R589">
        <v>15</v>
      </c>
      <c r="S589">
        <v>6</v>
      </c>
    </row>
    <row r="590" spans="1:19" x14ac:dyDescent="0.25">
      <c r="A590">
        <v>74</v>
      </c>
      <c r="B590">
        <v>6</v>
      </c>
      <c r="C590">
        <v>5</v>
      </c>
      <c r="D590">
        <f>IF(A590=$N$2,1,0)</f>
        <v>0</v>
      </c>
      <c r="E590">
        <f>IF(A590=$M$2,1,0)</f>
        <v>0</v>
      </c>
      <c r="F590">
        <f t="shared" si="9"/>
        <v>8</v>
      </c>
      <c r="H590" s="1">
        <v>0.82569444444444295</v>
      </c>
      <c r="P590" s="2">
        <f>TRUNC(O590/60) + 1</f>
        <v>1</v>
      </c>
      <c r="Q590">
        <v>74</v>
      </c>
      <c r="R590">
        <v>6</v>
      </c>
      <c r="S590">
        <v>5</v>
      </c>
    </row>
    <row r="591" spans="1:19" x14ac:dyDescent="0.25">
      <c r="A591">
        <v>33</v>
      </c>
      <c r="B591">
        <v>10</v>
      </c>
      <c r="C591">
        <v>3</v>
      </c>
      <c r="D591">
        <f>IF(A591=$N$2,1,0)</f>
        <v>0</v>
      </c>
      <c r="E591">
        <f>IF(A591=$M$2,1,0)</f>
        <v>0</v>
      </c>
      <c r="F591">
        <f t="shared" si="9"/>
        <v>9</v>
      </c>
      <c r="H591" s="1">
        <v>0.82638888888888695</v>
      </c>
      <c r="P591" s="2">
        <f>TRUNC(O591/60) + 1</f>
        <v>1</v>
      </c>
      <c r="Q591">
        <v>33</v>
      </c>
      <c r="R591">
        <v>10</v>
      </c>
      <c r="S591">
        <v>3</v>
      </c>
    </row>
    <row r="592" spans="1:19" x14ac:dyDescent="0.25">
      <c r="A592">
        <v>68</v>
      </c>
      <c r="B592">
        <v>6</v>
      </c>
      <c r="C592">
        <v>9</v>
      </c>
      <c r="D592">
        <f>IF(A592=$N$2,1,0)</f>
        <v>0</v>
      </c>
      <c r="E592">
        <f>IF(A592=$M$2,1,0)</f>
        <v>0</v>
      </c>
      <c r="F592">
        <f t="shared" si="9"/>
        <v>0</v>
      </c>
      <c r="H592" s="1">
        <v>0.82708333333333195</v>
      </c>
      <c r="P592" s="2">
        <f>TRUNC(O592/60) + 1</f>
        <v>1</v>
      </c>
      <c r="Q592">
        <v>68</v>
      </c>
      <c r="R592">
        <v>6</v>
      </c>
      <c r="S592">
        <v>9</v>
      </c>
    </row>
    <row r="593" spans="1:19" x14ac:dyDescent="0.25">
      <c r="A593">
        <v>20</v>
      </c>
      <c r="B593">
        <v>29</v>
      </c>
      <c r="C593">
        <v>8</v>
      </c>
      <c r="D593">
        <f>IF(A593=$N$2,1,0)</f>
        <v>0</v>
      </c>
      <c r="E593">
        <f>IF(A593=$M$2,1,0)</f>
        <v>0</v>
      </c>
      <c r="F593">
        <f t="shared" si="9"/>
        <v>0</v>
      </c>
      <c r="H593" s="1">
        <v>0.82777777777777595</v>
      </c>
      <c r="P593" s="2">
        <f>TRUNC(O593/60) + 1</f>
        <v>1</v>
      </c>
      <c r="Q593">
        <v>20</v>
      </c>
      <c r="R593">
        <v>29</v>
      </c>
      <c r="S593">
        <v>8</v>
      </c>
    </row>
    <row r="594" spans="1:19" x14ac:dyDescent="0.25">
      <c r="A594">
        <v>49</v>
      </c>
      <c r="B594">
        <v>9</v>
      </c>
      <c r="C594">
        <v>6</v>
      </c>
      <c r="D594">
        <f>IF(A594=$N$2,1,0)</f>
        <v>0</v>
      </c>
      <c r="E594">
        <f>IF(A594=$M$2,1,0)</f>
        <v>0</v>
      </c>
      <c r="F594">
        <f t="shared" si="9"/>
        <v>1</v>
      </c>
      <c r="H594" s="1">
        <v>0.82847222222222106</v>
      </c>
      <c r="P594" s="2">
        <f>TRUNC(O594/60) + 1</f>
        <v>1</v>
      </c>
      <c r="Q594">
        <v>49</v>
      </c>
      <c r="R594">
        <v>9</v>
      </c>
      <c r="S594">
        <v>6</v>
      </c>
    </row>
    <row r="595" spans="1:19" x14ac:dyDescent="0.25">
      <c r="A595">
        <v>40</v>
      </c>
      <c r="B595">
        <v>21</v>
      </c>
      <c r="C595">
        <v>7</v>
      </c>
      <c r="D595">
        <f>IF(A595=$N$2,1,0)</f>
        <v>0</v>
      </c>
      <c r="E595">
        <f>IF(A595=$M$2,1,0)</f>
        <v>0</v>
      </c>
      <c r="F595">
        <f t="shared" si="9"/>
        <v>2</v>
      </c>
      <c r="H595" s="1">
        <v>0.82916666666666505</v>
      </c>
      <c r="P595" s="2">
        <f>TRUNC(O595/60) + 1</f>
        <v>1</v>
      </c>
      <c r="Q595">
        <v>40</v>
      </c>
      <c r="R595">
        <v>21</v>
      </c>
      <c r="S595">
        <v>7</v>
      </c>
    </row>
    <row r="596" spans="1:19" x14ac:dyDescent="0.25">
      <c r="A596">
        <v>26</v>
      </c>
      <c r="B596">
        <v>8</v>
      </c>
      <c r="C596">
        <v>6</v>
      </c>
      <c r="D596">
        <f>IF(A596=$N$2,1,0)</f>
        <v>0</v>
      </c>
      <c r="E596">
        <f>IF(A596=$M$2,1,0)</f>
        <v>0</v>
      </c>
      <c r="F596">
        <f t="shared" si="9"/>
        <v>3</v>
      </c>
      <c r="H596" s="1">
        <v>0.82986111111111005</v>
      </c>
      <c r="P596" s="2">
        <f>TRUNC(O596/60) + 1</f>
        <v>1</v>
      </c>
      <c r="Q596">
        <v>26</v>
      </c>
      <c r="R596">
        <v>8</v>
      </c>
      <c r="S596">
        <v>6</v>
      </c>
    </row>
    <row r="597" spans="1:19" x14ac:dyDescent="0.25">
      <c r="A597">
        <v>45</v>
      </c>
      <c r="B597">
        <v>23</v>
      </c>
      <c r="C597">
        <v>5</v>
      </c>
      <c r="D597">
        <f>IF(A597=$N$2,1,0)</f>
        <v>0</v>
      </c>
      <c r="E597">
        <f>IF(A597=$M$2,1,0)</f>
        <v>0</v>
      </c>
      <c r="F597">
        <f t="shared" si="9"/>
        <v>4</v>
      </c>
      <c r="H597" s="1">
        <v>0.83055555555555405</v>
      </c>
      <c r="P597" s="2">
        <f>TRUNC(O597/60) + 1</f>
        <v>1</v>
      </c>
      <c r="Q597">
        <v>45</v>
      </c>
      <c r="R597">
        <v>23</v>
      </c>
      <c r="S597">
        <v>5</v>
      </c>
    </row>
    <row r="598" spans="1:19" x14ac:dyDescent="0.25">
      <c r="A598">
        <v>59</v>
      </c>
      <c r="B598">
        <v>11</v>
      </c>
      <c r="C598">
        <v>7</v>
      </c>
      <c r="D598">
        <f>IF(A598=$N$2,1,0)</f>
        <v>0</v>
      </c>
      <c r="E598">
        <f>IF(A598=$M$2,1,0)</f>
        <v>0</v>
      </c>
      <c r="F598">
        <f t="shared" si="9"/>
        <v>5</v>
      </c>
      <c r="H598" s="1">
        <v>0.83124999999999805</v>
      </c>
      <c r="P598" s="2">
        <f>TRUNC(O598/60) + 1</f>
        <v>1</v>
      </c>
      <c r="Q598">
        <v>59</v>
      </c>
      <c r="R598">
        <v>11</v>
      </c>
      <c r="S598">
        <v>7</v>
      </c>
    </row>
    <row r="599" spans="1:19" x14ac:dyDescent="0.25">
      <c r="A599">
        <v>30</v>
      </c>
      <c r="B599">
        <v>6</v>
      </c>
      <c r="C599">
        <v>5</v>
      </c>
      <c r="D599">
        <f>IF(A599=$N$2,1,0)</f>
        <v>0</v>
      </c>
      <c r="E599">
        <f>IF(A599=$M$2,1,0)</f>
        <v>0</v>
      </c>
      <c r="F599">
        <f t="shared" si="9"/>
        <v>6</v>
      </c>
      <c r="H599" s="1">
        <v>0.83194444444444304</v>
      </c>
      <c r="P599" s="2">
        <f>TRUNC(O599/60) + 1</f>
        <v>1</v>
      </c>
      <c r="Q599">
        <v>30</v>
      </c>
      <c r="R599">
        <v>6</v>
      </c>
      <c r="S599">
        <v>5</v>
      </c>
    </row>
    <row r="600" spans="1:19" x14ac:dyDescent="0.25">
      <c r="A600">
        <v>64</v>
      </c>
      <c r="B600">
        <v>22</v>
      </c>
      <c r="C600">
        <v>4</v>
      </c>
      <c r="D600">
        <f>IF(A600=$N$2,1,0)</f>
        <v>0</v>
      </c>
      <c r="E600">
        <f>IF(A600=$M$2,1,0)</f>
        <v>0</v>
      </c>
      <c r="F600">
        <f t="shared" si="9"/>
        <v>7</v>
      </c>
      <c r="H600" s="1">
        <v>0.83263888888888704</v>
      </c>
      <c r="P600" s="2">
        <f>TRUNC(O600/60) + 1</f>
        <v>1</v>
      </c>
      <c r="Q600">
        <v>64</v>
      </c>
      <c r="R600">
        <v>22</v>
      </c>
      <c r="S600">
        <v>4</v>
      </c>
    </row>
    <row r="601" spans="1:19" x14ac:dyDescent="0.25">
      <c r="A601">
        <v>47</v>
      </c>
      <c r="B601">
        <v>27</v>
      </c>
      <c r="C601">
        <v>9</v>
      </c>
      <c r="D601">
        <f>IF(A601=$N$2,1,0)</f>
        <v>0</v>
      </c>
      <c r="E601">
        <f>IF(A601=$M$2,1,0)</f>
        <v>0</v>
      </c>
      <c r="F601">
        <f t="shared" si="9"/>
        <v>8</v>
      </c>
      <c r="H601" s="1">
        <v>0.83333333333333204</v>
      </c>
      <c r="P601" s="2">
        <f>TRUNC(O601/60) + 1</f>
        <v>1</v>
      </c>
      <c r="Q601">
        <v>47</v>
      </c>
      <c r="R601">
        <v>27</v>
      </c>
      <c r="S601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2</vt:i4>
      </vt:variant>
      <vt:variant>
        <vt:lpstr>Zakresy nazwane</vt:lpstr>
      </vt:variant>
      <vt:variant>
        <vt:i4>2</vt:i4>
      </vt:variant>
    </vt:vector>
  </HeadingPairs>
  <TitlesOfParts>
    <vt:vector size="4" baseType="lpstr">
      <vt:lpstr>6.3</vt:lpstr>
      <vt:lpstr>Dane</vt:lpstr>
      <vt:lpstr>Dane!gra</vt:lpstr>
      <vt:lpstr>Dane!gra_1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2022aR</dc:creator>
  <cp:lastModifiedBy>2022aR</cp:lastModifiedBy>
  <dcterms:created xsi:type="dcterms:W3CDTF">2025-12-05T10:55:22Z</dcterms:created>
  <dcterms:modified xsi:type="dcterms:W3CDTF">2025-12-05T12:19:09Z</dcterms:modified>
</cp:coreProperties>
</file>