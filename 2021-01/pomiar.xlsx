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1-01\"/>
    </mc:Choice>
  </mc:AlternateContent>
  <bookViews>
    <workbookView xWindow="0" yWindow="0" windowWidth="20490" windowHeight="7530"/>
  </bookViews>
  <sheets>
    <sheet name="z8-odp" sheetId="20" r:id="rId1"/>
    <sheet name="z8" sheetId="18" r:id="rId2"/>
    <sheet name="z7-odp" sheetId="17" r:id="rId3"/>
    <sheet name="z7" sheetId="16" r:id="rId4"/>
    <sheet name="z6" sheetId="14" r:id="rId5"/>
    <sheet name="z5-odp" sheetId="13" r:id="rId6"/>
    <sheet name="z5" sheetId="12" r:id="rId7"/>
    <sheet name="z4" sheetId="11" r:id="rId8"/>
    <sheet name="z3" sheetId="9" r:id="rId9"/>
    <sheet name="z2" sheetId="6" r:id="rId10"/>
    <sheet name="z1" sheetId="5" r:id="rId11"/>
    <sheet name="dane" sheetId="1" r:id="rId12"/>
  </sheets>
  <definedNames>
    <definedName name="_xlnm._FilterDatabase" localSheetId="9" hidden="1">'z2'!$A$1:$G$1001</definedName>
    <definedName name="_xlnm._FilterDatabase" localSheetId="8" hidden="1">'z3'!$A$1:$J$1001</definedName>
    <definedName name="_xlnm._FilterDatabase" localSheetId="7" hidden="1">'z4'!$A$1:$J$1001</definedName>
    <definedName name="_xlnm._FilterDatabase" localSheetId="4" hidden="1">'z6'!$A$1:$A$1001</definedName>
    <definedName name="_xlnm._FilterDatabase" localSheetId="3" hidden="1">'z7'!$A$1:$A$1001</definedName>
    <definedName name="_xlnm._FilterDatabase" localSheetId="1" hidden="1">'z8'!$A$1:$A$1001</definedName>
    <definedName name="pomiar" localSheetId="10">'z1'!$A$1:$C$1001</definedName>
    <definedName name="pomiar" localSheetId="9">'z2'!$A$1:$C$1001</definedName>
    <definedName name="pomiar" localSheetId="8">'z3'!$A$1:$C$1001</definedName>
    <definedName name="pomiar" localSheetId="7">'z4'!$A$1:$C$1001</definedName>
    <definedName name="pomiar" localSheetId="4">'z6'!$A$1:$C$1001</definedName>
    <definedName name="pomiar" localSheetId="3">'z7'!$A$1:$C$1001</definedName>
    <definedName name="pomiar" localSheetId="1">'z8'!$A$1:$C$1001</definedName>
    <definedName name="pomiar_1" localSheetId="11">dane!$A$1:$C$1001</definedName>
    <definedName name="pomiar_1" localSheetId="10">'z1'!$A$1:$C$1001</definedName>
    <definedName name="pomiar_1" localSheetId="9">'z2'!$A$1:$C$1001</definedName>
    <definedName name="pomiar_1" localSheetId="8">'z3'!$A$1:$C$1001</definedName>
    <definedName name="pomiar_1" localSheetId="7">'z4'!$A$1:$C$1001</definedName>
    <definedName name="pomiar_1" localSheetId="6">'z5'!$A$1:$C$1001</definedName>
    <definedName name="pomiar_1" localSheetId="4">'z6'!$A$1:$C$1001</definedName>
    <definedName name="pomiar_1" localSheetId="3">'z7'!$A$1:$C$1001</definedName>
    <definedName name="pomiar_1" localSheetId="1">'z8'!$A$1:$C$1001</definedName>
    <definedName name="pomiar_2" localSheetId="9">'z2'!$A$1:$C$1001</definedName>
    <definedName name="pomiar_2" localSheetId="8">'z3'!$A$1:$C$1001</definedName>
    <definedName name="pomiar_2" localSheetId="7">'z4'!$A$1:$C$1001</definedName>
    <definedName name="pomiar_2" localSheetId="4">'z6'!$A$1:$C$1001</definedName>
    <definedName name="pomiar_2" localSheetId="3">'z7'!$A$1:$C$1001</definedName>
    <definedName name="pomiar_2" localSheetId="1">'z8'!$A$1:$C$1001</definedName>
  </definedNames>
  <calcPr calcId="162913"/>
  <pivotCaches>
    <pivotCache cacheId="2" r:id="rId13"/>
    <pivotCache cacheId="10" r:id="rId14"/>
    <pivotCache cacheId="15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8" l="1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K621" i="18"/>
  <c r="K622" i="18"/>
  <c r="K623" i="18"/>
  <c r="K624" i="18"/>
  <c r="K625" i="18"/>
  <c r="K626" i="18"/>
  <c r="K627" i="18"/>
  <c r="K628" i="18"/>
  <c r="K629" i="18"/>
  <c r="K630" i="18"/>
  <c r="K631" i="18"/>
  <c r="K632" i="18"/>
  <c r="K633" i="18"/>
  <c r="K634" i="18"/>
  <c r="K635" i="18"/>
  <c r="K636" i="18"/>
  <c r="K637" i="18"/>
  <c r="K638" i="18"/>
  <c r="K639" i="18"/>
  <c r="K640" i="18"/>
  <c r="K641" i="18"/>
  <c r="K642" i="18"/>
  <c r="K643" i="18"/>
  <c r="K644" i="18"/>
  <c r="K645" i="18"/>
  <c r="K646" i="18"/>
  <c r="K647" i="18"/>
  <c r="K648" i="18"/>
  <c r="K649" i="18"/>
  <c r="K650" i="18"/>
  <c r="K651" i="18"/>
  <c r="K652" i="18"/>
  <c r="K653" i="18"/>
  <c r="K654" i="18"/>
  <c r="K655" i="18"/>
  <c r="K656" i="18"/>
  <c r="K657" i="18"/>
  <c r="K658" i="18"/>
  <c r="K659" i="18"/>
  <c r="K660" i="18"/>
  <c r="K661" i="18"/>
  <c r="K662" i="18"/>
  <c r="K663" i="18"/>
  <c r="K664" i="18"/>
  <c r="K665" i="18"/>
  <c r="K666" i="18"/>
  <c r="K667" i="18"/>
  <c r="K668" i="18"/>
  <c r="K669" i="18"/>
  <c r="K670" i="18"/>
  <c r="K671" i="18"/>
  <c r="K672" i="18"/>
  <c r="K673" i="18"/>
  <c r="K674" i="18"/>
  <c r="K675" i="18"/>
  <c r="K676" i="18"/>
  <c r="K677" i="18"/>
  <c r="K678" i="18"/>
  <c r="K679" i="18"/>
  <c r="K680" i="18"/>
  <c r="K681" i="18"/>
  <c r="K682" i="18"/>
  <c r="K683" i="18"/>
  <c r="K684" i="18"/>
  <c r="K685" i="18"/>
  <c r="K686" i="18"/>
  <c r="K687" i="18"/>
  <c r="K688" i="18"/>
  <c r="K689" i="18"/>
  <c r="K690" i="18"/>
  <c r="K691" i="18"/>
  <c r="K692" i="18"/>
  <c r="K693" i="18"/>
  <c r="K694" i="18"/>
  <c r="K695" i="18"/>
  <c r="K696" i="18"/>
  <c r="K697" i="18"/>
  <c r="K698" i="18"/>
  <c r="K699" i="18"/>
  <c r="K700" i="18"/>
  <c r="K701" i="18"/>
  <c r="K702" i="18"/>
  <c r="K703" i="18"/>
  <c r="K704" i="18"/>
  <c r="K705" i="18"/>
  <c r="K706" i="18"/>
  <c r="K707" i="18"/>
  <c r="K708" i="18"/>
  <c r="K709" i="18"/>
  <c r="K710" i="18"/>
  <c r="K711" i="18"/>
  <c r="K712" i="18"/>
  <c r="K713" i="18"/>
  <c r="K714" i="18"/>
  <c r="K715" i="18"/>
  <c r="K716" i="18"/>
  <c r="K717" i="18"/>
  <c r="K718" i="18"/>
  <c r="K719" i="18"/>
  <c r="K720" i="18"/>
  <c r="K721" i="18"/>
  <c r="K722" i="18"/>
  <c r="K723" i="18"/>
  <c r="K724" i="18"/>
  <c r="K725" i="18"/>
  <c r="K726" i="18"/>
  <c r="K727" i="18"/>
  <c r="K728" i="18"/>
  <c r="K729" i="18"/>
  <c r="K730" i="18"/>
  <c r="K731" i="18"/>
  <c r="K732" i="18"/>
  <c r="K733" i="18"/>
  <c r="K734" i="18"/>
  <c r="K735" i="18"/>
  <c r="K736" i="18"/>
  <c r="K737" i="18"/>
  <c r="K738" i="18"/>
  <c r="K739" i="18"/>
  <c r="K740" i="18"/>
  <c r="K741" i="18"/>
  <c r="K742" i="18"/>
  <c r="K743" i="18"/>
  <c r="K744" i="18"/>
  <c r="K745" i="18"/>
  <c r="K746" i="18"/>
  <c r="K747" i="18"/>
  <c r="K748" i="18"/>
  <c r="K749" i="18"/>
  <c r="K750" i="18"/>
  <c r="K751" i="18"/>
  <c r="K752" i="18"/>
  <c r="K753" i="18"/>
  <c r="K754" i="18"/>
  <c r="K755" i="18"/>
  <c r="K756" i="18"/>
  <c r="K757" i="18"/>
  <c r="K758" i="18"/>
  <c r="K759" i="18"/>
  <c r="K760" i="18"/>
  <c r="K761" i="18"/>
  <c r="K762" i="18"/>
  <c r="K763" i="18"/>
  <c r="K764" i="18"/>
  <c r="K765" i="18"/>
  <c r="K766" i="18"/>
  <c r="K767" i="18"/>
  <c r="K768" i="18"/>
  <c r="K769" i="18"/>
  <c r="K770" i="18"/>
  <c r="K771" i="18"/>
  <c r="K772" i="18"/>
  <c r="K773" i="18"/>
  <c r="K774" i="18"/>
  <c r="K775" i="18"/>
  <c r="K776" i="18"/>
  <c r="K777" i="18"/>
  <c r="K778" i="18"/>
  <c r="K779" i="18"/>
  <c r="K780" i="18"/>
  <c r="K781" i="18"/>
  <c r="K782" i="18"/>
  <c r="K783" i="18"/>
  <c r="K784" i="18"/>
  <c r="K785" i="18"/>
  <c r="K786" i="18"/>
  <c r="K787" i="18"/>
  <c r="K788" i="18"/>
  <c r="K789" i="18"/>
  <c r="K790" i="18"/>
  <c r="K791" i="18"/>
  <c r="K792" i="18"/>
  <c r="K793" i="18"/>
  <c r="K794" i="18"/>
  <c r="K795" i="18"/>
  <c r="K796" i="18"/>
  <c r="K797" i="18"/>
  <c r="K798" i="18"/>
  <c r="K799" i="18"/>
  <c r="K800" i="18"/>
  <c r="K801" i="18"/>
  <c r="K802" i="18"/>
  <c r="K803" i="18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2" i="18"/>
  <c r="G1001" i="18"/>
  <c r="F1001" i="18"/>
  <c r="E1001" i="18"/>
  <c r="H1001" i="18" s="1"/>
  <c r="I1001" i="18" s="1"/>
  <c r="J1001" i="18" s="1"/>
  <c r="D1001" i="18"/>
  <c r="F1000" i="18"/>
  <c r="D1000" i="18"/>
  <c r="E1000" i="18" s="1"/>
  <c r="E999" i="18"/>
  <c r="D999" i="18"/>
  <c r="F999" i="18" s="1"/>
  <c r="D998" i="18"/>
  <c r="G997" i="18"/>
  <c r="F997" i="18"/>
  <c r="E997" i="18"/>
  <c r="H997" i="18" s="1"/>
  <c r="I997" i="18" s="1"/>
  <c r="J997" i="18" s="1"/>
  <c r="D997" i="18"/>
  <c r="F996" i="18"/>
  <c r="D996" i="18"/>
  <c r="E996" i="18" s="1"/>
  <c r="E995" i="18"/>
  <c r="D995" i="18"/>
  <c r="F995" i="18" s="1"/>
  <c r="D994" i="18"/>
  <c r="G993" i="18"/>
  <c r="F993" i="18"/>
  <c r="E993" i="18"/>
  <c r="H993" i="18" s="1"/>
  <c r="I993" i="18" s="1"/>
  <c r="J993" i="18" s="1"/>
  <c r="D993" i="18"/>
  <c r="F992" i="18"/>
  <c r="D992" i="18"/>
  <c r="E992" i="18" s="1"/>
  <c r="E991" i="18"/>
  <c r="D991" i="18"/>
  <c r="F991" i="18" s="1"/>
  <c r="D990" i="18"/>
  <c r="G989" i="18"/>
  <c r="F989" i="18"/>
  <c r="E989" i="18"/>
  <c r="H989" i="18" s="1"/>
  <c r="I989" i="18" s="1"/>
  <c r="J989" i="18" s="1"/>
  <c r="D989" i="18"/>
  <c r="F988" i="18"/>
  <c r="D988" i="18"/>
  <c r="E988" i="18" s="1"/>
  <c r="E987" i="18"/>
  <c r="D987" i="18"/>
  <c r="F987" i="18" s="1"/>
  <c r="D986" i="18"/>
  <c r="G985" i="18"/>
  <c r="F985" i="18"/>
  <c r="E985" i="18"/>
  <c r="H985" i="18" s="1"/>
  <c r="I985" i="18" s="1"/>
  <c r="J985" i="18" s="1"/>
  <c r="D985" i="18"/>
  <c r="F984" i="18"/>
  <c r="D984" i="18"/>
  <c r="E984" i="18" s="1"/>
  <c r="E983" i="18"/>
  <c r="D983" i="18"/>
  <c r="F983" i="18" s="1"/>
  <c r="D982" i="18"/>
  <c r="G981" i="18"/>
  <c r="F981" i="18"/>
  <c r="E981" i="18"/>
  <c r="H981" i="18" s="1"/>
  <c r="I981" i="18" s="1"/>
  <c r="J981" i="18" s="1"/>
  <c r="D981" i="18"/>
  <c r="F980" i="18"/>
  <c r="D980" i="18"/>
  <c r="E980" i="18" s="1"/>
  <c r="F979" i="18"/>
  <c r="E979" i="18"/>
  <c r="D979" i="18"/>
  <c r="D978" i="18"/>
  <c r="D977" i="18"/>
  <c r="F976" i="18"/>
  <c r="D976" i="18"/>
  <c r="E976" i="18" s="1"/>
  <c r="F975" i="18"/>
  <c r="E975" i="18"/>
  <c r="D975" i="18"/>
  <c r="E974" i="18"/>
  <c r="D974" i="18"/>
  <c r="F974" i="18" s="1"/>
  <c r="D973" i="18"/>
  <c r="F972" i="18"/>
  <c r="D972" i="18"/>
  <c r="E972" i="18" s="1"/>
  <c r="F971" i="18"/>
  <c r="E971" i="18"/>
  <c r="D971" i="18"/>
  <c r="D970" i="18"/>
  <c r="D969" i="18"/>
  <c r="F968" i="18"/>
  <c r="D968" i="18"/>
  <c r="E968" i="18" s="1"/>
  <c r="F967" i="18"/>
  <c r="E967" i="18"/>
  <c r="D967" i="18"/>
  <c r="D966" i="18"/>
  <c r="F966" i="18" s="1"/>
  <c r="D965" i="18"/>
  <c r="F964" i="18"/>
  <c r="D964" i="18"/>
  <c r="E964" i="18" s="1"/>
  <c r="F963" i="18"/>
  <c r="E963" i="18"/>
  <c r="D963" i="18"/>
  <c r="D962" i="18"/>
  <c r="F962" i="18" s="1"/>
  <c r="D961" i="18"/>
  <c r="F960" i="18"/>
  <c r="D960" i="18"/>
  <c r="E960" i="18" s="1"/>
  <c r="F959" i="18"/>
  <c r="E959" i="18"/>
  <c r="D959" i="18"/>
  <c r="D958" i="18"/>
  <c r="F958" i="18" s="1"/>
  <c r="D957" i="18"/>
  <c r="F956" i="18"/>
  <c r="D956" i="18"/>
  <c r="E956" i="18" s="1"/>
  <c r="F955" i="18"/>
  <c r="E955" i="18"/>
  <c r="D955" i="18"/>
  <c r="D954" i="18"/>
  <c r="F954" i="18" s="1"/>
  <c r="D953" i="18"/>
  <c r="F952" i="18"/>
  <c r="D952" i="18"/>
  <c r="E952" i="18" s="1"/>
  <c r="F951" i="18"/>
  <c r="E951" i="18"/>
  <c r="D951" i="18"/>
  <c r="H950" i="18"/>
  <c r="I950" i="18" s="1"/>
  <c r="J950" i="18" s="1"/>
  <c r="E950" i="18"/>
  <c r="G950" i="18" s="1"/>
  <c r="D950" i="18"/>
  <c r="F950" i="18" s="1"/>
  <c r="D949" i="18"/>
  <c r="F948" i="18"/>
  <c r="E948" i="18"/>
  <c r="D948" i="18"/>
  <c r="F947" i="18"/>
  <c r="D947" i="18"/>
  <c r="E947" i="18" s="1"/>
  <c r="E946" i="18"/>
  <c r="D946" i="18"/>
  <c r="F946" i="18" s="1"/>
  <c r="F945" i="18"/>
  <c r="D945" i="18"/>
  <c r="E945" i="18" s="1"/>
  <c r="F944" i="18"/>
  <c r="G944" i="18" s="1"/>
  <c r="E944" i="18"/>
  <c r="D944" i="18"/>
  <c r="F943" i="18"/>
  <c r="D943" i="18"/>
  <c r="E943" i="18" s="1"/>
  <c r="H942" i="18"/>
  <c r="I942" i="18" s="1"/>
  <c r="J942" i="18" s="1"/>
  <c r="G942" i="18"/>
  <c r="E942" i="18"/>
  <c r="D942" i="18"/>
  <c r="F942" i="18" s="1"/>
  <c r="D941" i="18"/>
  <c r="D940" i="18"/>
  <c r="G939" i="18"/>
  <c r="F939" i="18"/>
  <c r="E939" i="18"/>
  <c r="D939" i="18"/>
  <c r="D938" i="18"/>
  <c r="F938" i="18" s="1"/>
  <c r="G937" i="18"/>
  <c r="E937" i="18"/>
  <c r="H937" i="18" s="1"/>
  <c r="I937" i="18" s="1"/>
  <c r="J937" i="18" s="1"/>
  <c r="D937" i="18"/>
  <c r="F937" i="18" s="1"/>
  <c r="D936" i="18"/>
  <c r="E936" i="18" s="1"/>
  <c r="F935" i="18"/>
  <c r="E935" i="18"/>
  <c r="D935" i="18"/>
  <c r="F934" i="18"/>
  <c r="H934" i="18" s="1"/>
  <c r="I934" i="18" s="1"/>
  <c r="J934" i="18" s="1"/>
  <c r="D934" i="18"/>
  <c r="E934" i="18" s="1"/>
  <c r="D933" i="18"/>
  <c r="F932" i="18"/>
  <c r="D932" i="18"/>
  <c r="E932" i="18" s="1"/>
  <c r="G931" i="18"/>
  <c r="F931" i="18"/>
  <c r="E931" i="18"/>
  <c r="D931" i="18"/>
  <c r="D930" i="18"/>
  <c r="G929" i="18"/>
  <c r="E929" i="18"/>
  <c r="H929" i="18" s="1"/>
  <c r="I929" i="18" s="1"/>
  <c r="J929" i="18" s="1"/>
  <c r="D929" i="18"/>
  <c r="F929" i="18" s="1"/>
  <c r="D928" i="18"/>
  <c r="E928" i="18" s="1"/>
  <c r="F927" i="18"/>
  <c r="E927" i="18"/>
  <c r="D927" i="18"/>
  <c r="H926" i="18"/>
  <c r="I926" i="18" s="1"/>
  <c r="J926" i="18" s="1"/>
  <c r="F926" i="18"/>
  <c r="D926" i="18"/>
  <c r="E926" i="18" s="1"/>
  <c r="D925" i="18"/>
  <c r="D924" i="18"/>
  <c r="G923" i="18"/>
  <c r="F923" i="18"/>
  <c r="E923" i="18"/>
  <c r="D923" i="18"/>
  <c r="D922" i="18"/>
  <c r="F922" i="18" s="1"/>
  <c r="G921" i="18"/>
  <c r="E921" i="18"/>
  <c r="H921" i="18" s="1"/>
  <c r="I921" i="18" s="1"/>
  <c r="J921" i="18" s="1"/>
  <c r="D921" i="18"/>
  <c r="F921" i="18" s="1"/>
  <c r="D920" i="18"/>
  <c r="E920" i="18" s="1"/>
  <c r="F919" i="18"/>
  <c r="E919" i="18"/>
  <c r="D919" i="18"/>
  <c r="F918" i="18"/>
  <c r="H918" i="18" s="1"/>
  <c r="I918" i="18" s="1"/>
  <c r="J918" i="18" s="1"/>
  <c r="D918" i="18"/>
  <c r="E918" i="18" s="1"/>
  <c r="D917" i="18"/>
  <c r="G916" i="18"/>
  <c r="F916" i="18"/>
  <c r="D916" i="18"/>
  <c r="E916" i="18" s="1"/>
  <c r="H916" i="18" s="1"/>
  <c r="I916" i="18" s="1"/>
  <c r="J916" i="18" s="1"/>
  <c r="F915" i="18"/>
  <c r="E915" i="18"/>
  <c r="D915" i="18"/>
  <c r="H914" i="18"/>
  <c r="I914" i="18" s="1"/>
  <c r="J914" i="18" s="1"/>
  <c r="E914" i="18"/>
  <c r="G914" i="18" s="1"/>
  <c r="D914" i="18"/>
  <c r="F914" i="18" s="1"/>
  <c r="D913" i="18"/>
  <c r="F912" i="18"/>
  <c r="D912" i="18"/>
  <c r="E912" i="18" s="1"/>
  <c r="F911" i="18"/>
  <c r="E911" i="18"/>
  <c r="D911" i="18"/>
  <c r="E910" i="18"/>
  <c r="D910" i="18"/>
  <c r="F910" i="18" s="1"/>
  <c r="D909" i="18"/>
  <c r="G908" i="18"/>
  <c r="F908" i="18"/>
  <c r="D908" i="18"/>
  <c r="E908" i="18" s="1"/>
  <c r="H908" i="18" s="1"/>
  <c r="I908" i="18" s="1"/>
  <c r="J908" i="18" s="1"/>
  <c r="F907" i="18"/>
  <c r="E907" i="18"/>
  <c r="D907" i="18"/>
  <c r="I906" i="18"/>
  <c r="J906" i="18" s="1"/>
  <c r="H906" i="18"/>
  <c r="E906" i="18"/>
  <c r="G906" i="18" s="1"/>
  <c r="D906" i="18"/>
  <c r="F906" i="18" s="1"/>
  <c r="D905" i="18"/>
  <c r="F904" i="18"/>
  <c r="D904" i="18"/>
  <c r="E904" i="18" s="1"/>
  <c r="F903" i="18"/>
  <c r="E903" i="18"/>
  <c r="D903" i="18"/>
  <c r="E902" i="18"/>
  <c r="D902" i="18"/>
  <c r="F902" i="18" s="1"/>
  <c r="D901" i="18"/>
  <c r="G900" i="18"/>
  <c r="F900" i="18"/>
  <c r="D900" i="18"/>
  <c r="E900" i="18" s="1"/>
  <c r="H900" i="18" s="1"/>
  <c r="I900" i="18" s="1"/>
  <c r="J900" i="18" s="1"/>
  <c r="F899" i="18"/>
  <c r="E899" i="18"/>
  <c r="D899" i="18"/>
  <c r="H898" i="18"/>
  <c r="I898" i="18" s="1"/>
  <c r="J898" i="18" s="1"/>
  <c r="E898" i="18"/>
  <c r="G898" i="18" s="1"/>
  <c r="D898" i="18"/>
  <c r="F898" i="18" s="1"/>
  <c r="D897" i="18"/>
  <c r="F896" i="18"/>
  <c r="D896" i="18"/>
  <c r="E896" i="18" s="1"/>
  <c r="F895" i="18"/>
  <c r="E895" i="18"/>
  <c r="D895" i="18"/>
  <c r="E894" i="18"/>
  <c r="D894" i="18"/>
  <c r="F894" i="18" s="1"/>
  <c r="D893" i="18"/>
  <c r="G892" i="18"/>
  <c r="F892" i="18"/>
  <c r="D892" i="18"/>
  <c r="E892" i="18" s="1"/>
  <c r="H892" i="18" s="1"/>
  <c r="I892" i="18" s="1"/>
  <c r="J892" i="18" s="1"/>
  <c r="F891" i="18"/>
  <c r="E891" i="18"/>
  <c r="D891" i="18"/>
  <c r="I890" i="18"/>
  <c r="J890" i="18" s="1"/>
  <c r="H890" i="18"/>
  <c r="E890" i="18"/>
  <c r="G890" i="18" s="1"/>
  <c r="D890" i="18"/>
  <c r="F890" i="18" s="1"/>
  <c r="D889" i="18"/>
  <c r="F888" i="18"/>
  <c r="D888" i="18"/>
  <c r="E888" i="18" s="1"/>
  <c r="F887" i="18"/>
  <c r="E887" i="18"/>
  <c r="D887" i="18"/>
  <c r="E886" i="18"/>
  <c r="D886" i="18"/>
  <c r="F886" i="18" s="1"/>
  <c r="D885" i="18"/>
  <c r="G884" i="18"/>
  <c r="F884" i="18"/>
  <c r="D884" i="18"/>
  <c r="E884" i="18" s="1"/>
  <c r="H884" i="18" s="1"/>
  <c r="I884" i="18" s="1"/>
  <c r="J884" i="18" s="1"/>
  <c r="F883" i="18"/>
  <c r="E883" i="18"/>
  <c r="D883" i="18"/>
  <c r="H882" i="18"/>
  <c r="I882" i="18" s="1"/>
  <c r="J882" i="18" s="1"/>
  <c r="E882" i="18"/>
  <c r="G882" i="18" s="1"/>
  <c r="D882" i="18"/>
  <c r="F882" i="18" s="1"/>
  <c r="D881" i="18"/>
  <c r="F880" i="18"/>
  <c r="D880" i="18"/>
  <c r="E880" i="18" s="1"/>
  <c r="F879" i="18"/>
  <c r="E879" i="18"/>
  <c r="D879" i="18"/>
  <c r="E878" i="18"/>
  <c r="D878" i="18"/>
  <c r="F878" i="18" s="1"/>
  <c r="D877" i="18"/>
  <c r="G876" i="18"/>
  <c r="F876" i="18"/>
  <c r="D876" i="18"/>
  <c r="E876" i="18" s="1"/>
  <c r="H876" i="18" s="1"/>
  <c r="I876" i="18" s="1"/>
  <c r="J876" i="18" s="1"/>
  <c r="F875" i="18"/>
  <c r="E875" i="18"/>
  <c r="D875" i="18"/>
  <c r="I874" i="18"/>
  <c r="J874" i="18" s="1"/>
  <c r="H874" i="18"/>
  <c r="E874" i="18"/>
  <c r="G874" i="18" s="1"/>
  <c r="D874" i="18"/>
  <c r="F874" i="18" s="1"/>
  <c r="D873" i="18"/>
  <c r="F872" i="18"/>
  <c r="D872" i="18"/>
  <c r="E872" i="18" s="1"/>
  <c r="F871" i="18"/>
  <c r="E871" i="18"/>
  <c r="D871" i="18"/>
  <c r="E870" i="18"/>
  <c r="D870" i="18"/>
  <c r="F870" i="18" s="1"/>
  <c r="D869" i="18"/>
  <c r="G868" i="18"/>
  <c r="F868" i="18"/>
  <c r="D868" i="18"/>
  <c r="E868" i="18" s="1"/>
  <c r="F867" i="18"/>
  <c r="E867" i="18"/>
  <c r="D867" i="18"/>
  <c r="H866" i="18"/>
  <c r="I866" i="18" s="1"/>
  <c r="J866" i="18" s="1"/>
  <c r="E866" i="18"/>
  <c r="G866" i="18" s="1"/>
  <c r="D866" i="18"/>
  <c r="F866" i="18" s="1"/>
  <c r="D865" i="18"/>
  <c r="F864" i="18"/>
  <c r="D864" i="18"/>
  <c r="E864" i="18" s="1"/>
  <c r="F863" i="18"/>
  <c r="E863" i="18"/>
  <c r="D863" i="18"/>
  <c r="E862" i="18"/>
  <c r="D862" i="18"/>
  <c r="F862" i="18" s="1"/>
  <c r="D861" i="18"/>
  <c r="G860" i="18"/>
  <c r="F860" i="18"/>
  <c r="D860" i="18"/>
  <c r="E860" i="18" s="1"/>
  <c r="F859" i="18"/>
  <c r="E859" i="18"/>
  <c r="D859" i="18"/>
  <c r="I858" i="18"/>
  <c r="J858" i="18" s="1"/>
  <c r="H858" i="18"/>
  <c r="E858" i="18"/>
  <c r="G858" i="18" s="1"/>
  <c r="D858" i="18"/>
  <c r="F858" i="18" s="1"/>
  <c r="D857" i="18"/>
  <c r="F856" i="18"/>
  <c r="D856" i="18"/>
  <c r="E856" i="18" s="1"/>
  <c r="F855" i="18"/>
  <c r="E855" i="18"/>
  <c r="D855" i="18"/>
  <c r="E854" i="18"/>
  <c r="D854" i="18"/>
  <c r="F854" i="18" s="1"/>
  <c r="D853" i="18"/>
  <c r="G852" i="18"/>
  <c r="F852" i="18"/>
  <c r="D852" i="18"/>
  <c r="E852" i="18" s="1"/>
  <c r="F851" i="18"/>
  <c r="E851" i="18"/>
  <c r="D851" i="18"/>
  <c r="H850" i="18"/>
  <c r="I850" i="18" s="1"/>
  <c r="J850" i="18" s="1"/>
  <c r="E850" i="18"/>
  <c r="G850" i="18" s="1"/>
  <c r="D850" i="18"/>
  <c r="F850" i="18" s="1"/>
  <c r="D849" i="18"/>
  <c r="F848" i="18"/>
  <c r="D848" i="18"/>
  <c r="E848" i="18" s="1"/>
  <c r="F847" i="18"/>
  <c r="E847" i="18"/>
  <c r="D847" i="18"/>
  <c r="E846" i="18"/>
  <c r="D846" i="18"/>
  <c r="F846" i="18" s="1"/>
  <c r="D845" i="18"/>
  <c r="G844" i="18"/>
  <c r="F844" i="18"/>
  <c r="D844" i="18"/>
  <c r="E844" i="18" s="1"/>
  <c r="F843" i="18"/>
  <c r="E843" i="18"/>
  <c r="D843" i="18"/>
  <c r="I842" i="18"/>
  <c r="J842" i="18" s="1"/>
  <c r="H842" i="18"/>
  <c r="E842" i="18"/>
  <c r="G842" i="18" s="1"/>
  <c r="D842" i="18"/>
  <c r="F842" i="18" s="1"/>
  <c r="D841" i="18"/>
  <c r="F840" i="18"/>
  <c r="D840" i="18"/>
  <c r="E840" i="18" s="1"/>
  <c r="F839" i="18"/>
  <c r="E839" i="18"/>
  <c r="D839" i="18"/>
  <c r="E838" i="18"/>
  <c r="D838" i="18"/>
  <c r="F838" i="18" s="1"/>
  <c r="D837" i="18"/>
  <c r="G836" i="18"/>
  <c r="F836" i="18"/>
  <c r="E836" i="18"/>
  <c r="D836" i="18"/>
  <c r="D835" i="18"/>
  <c r="F835" i="18" s="1"/>
  <c r="D834" i="18"/>
  <c r="F833" i="18"/>
  <c r="D833" i="18"/>
  <c r="E833" i="18" s="1"/>
  <c r="G832" i="18"/>
  <c r="F832" i="18"/>
  <c r="E832" i="18"/>
  <c r="H832" i="18" s="1"/>
  <c r="I832" i="18" s="1"/>
  <c r="J832" i="18" s="1"/>
  <c r="D832" i="18"/>
  <c r="H831" i="18"/>
  <c r="I831" i="18" s="1"/>
  <c r="J831" i="18" s="1"/>
  <c r="F831" i="18"/>
  <c r="E831" i="18"/>
  <c r="D831" i="18"/>
  <c r="D830" i="18"/>
  <c r="D829" i="18"/>
  <c r="F828" i="18"/>
  <c r="E828" i="18"/>
  <c r="D828" i="18"/>
  <c r="E827" i="18"/>
  <c r="G827" i="18" s="1"/>
  <c r="D827" i="18"/>
  <c r="F827" i="18" s="1"/>
  <c r="E826" i="18"/>
  <c r="D826" i="18"/>
  <c r="F826" i="18" s="1"/>
  <c r="G825" i="18"/>
  <c r="F825" i="18"/>
  <c r="H825" i="18" s="1"/>
  <c r="I825" i="18" s="1"/>
  <c r="J825" i="18" s="1"/>
  <c r="D825" i="18"/>
  <c r="E825" i="18" s="1"/>
  <c r="I824" i="18"/>
  <c r="J824" i="18" s="1"/>
  <c r="G824" i="18"/>
  <c r="F824" i="18"/>
  <c r="E824" i="18"/>
  <c r="H824" i="18" s="1"/>
  <c r="D824" i="18"/>
  <c r="F823" i="18"/>
  <c r="E823" i="18"/>
  <c r="D823" i="18"/>
  <c r="D822" i="18"/>
  <c r="D821" i="18"/>
  <c r="E821" i="18" s="1"/>
  <c r="F820" i="18"/>
  <c r="E820" i="18"/>
  <c r="D820" i="18"/>
  <c r="H819" i="18"/>
  <c r="I819" i="18" s="1"/>
  <c r="J819" i="18" s="1"/>
  <c r="E819" i="18"/>
  <c r="G819" i="18" s="1"/>
  <c r="D819" i="18"/>
  <c r="F819" i="18" s="1"/>
  <c r="I818" i="18"/>
  <c r="J818" i="18" s="1"/>
  <c r="G818" i="18"/>
  <c r="E818" i="18"/>
  <c r="H818" i="18" s="1"/>
  <c r="D818" i="18"/>
  <c r="F818" i="18" s="1"/>
  <c r="H817" i="18"/>
  <c r="I817" i="18" s="1"/>
  <c r="J817" i="18" s="1"/>
  <c r="G817" i="18"/>
  <c r="F817" i="18"/>
  <c r="D817" i="18"/>
  <c r="E817" i="18" s="1"/>
  <c r="F816" i="18"/>
  <c r="E816" i="18"/>
  <c r="D816" i="18"/>
  <c r="F815" i="18"/>
  <c r="E815" i="18"/>
  <c r="D815" i="18"/>
  <c r="D814" i="18"/>
  <c r="F813" i="18"/>
  <c r="H813" i="18" s="1"/>
  <c r="I813" i="18" s="1"/>
  <c r="J813" i="18" s="1"/>
  <c r="D813" i="18"/>
  <c r="E813" i="18" s="1"/>
  <c r="F812" i="18"/>
  <c r="G812" i="18" s="1"/>
  <c r="E812" i="18"/>
  <c r="D812" i="18"/>
  <c r="D811" i="18"/>
  <c r="D810" i="18"/>
  <c r="H809" i="18"/>
  <c r="I809" i="18" s="1"/>
  <c r="J809" i="18" s="1"/>
  <c r="G809" i="18"/>
  <c r="F809" i="18"/>
  <c r="D809" i="18"/>
  <c r="E809" i="18" s="1"/>
  <c r="F808" i="18"/>
  <c r="E808" i="18"/>
  <c r="D808" i="18"/>
  <c r="F807" i="18"/>
  <c r="H807" i="18" s="1"/>
  <c r="I807" i="18" s="1"/>
  <c r="J807" i="18" s="1"/>
  <c r="E807" i="18"/>
  <c r="D807" i="18"/>
  <c r="D806" i="18"/>
  <c r="H805" i="18"/>
  <c r="I805" i="18" s="1"/>
  <c r="J805" i="18" s="1"/>
  <c r="F805" i="18"/>
  <c r="D805" i="18"/>
  <c r="E805" i="18" s="1"/>
  <c r="G804" i="18"/>
  <c r="F804" i="18"/>
  <c r="E804" i="18"/>
  <c r="D804" i="18"/>
  <c r="D803" i="18"/>
  <c r="F803" i="18" s="1"/>
  <c r="D802" i="18"/>
  <c r="F801" i="18"/>
  <c r="D801" i="18"/>
  <c r="E801" i="18" s="1"/>
  <c r="G800" i="18"/>
  <c r="F800" i="18"/>
  <c r="E800" i="18"/>
  <c r="H800" i="18" s="1"/>
  <c r="I800" i="18" s="1"/>
  <c r="J800" i="18" s="1"/>
  <c r="D800" i="18"/>
  <c r="H799" i="18"/>
  <c r="I799" i="18" s="1"/>
  <c r="J799" i="18" s="1"/>
  <c r="F799" i="18"/>
  <c r="E799" i="18"/>
  <c r="D799" i="18"/>
  <c r="D798" i="18"/>
  <c r="D797" i="18"/>
  <c r="F796" i="18"/>
  <c r="E796" i="18"/>
  <c r="D796" i="18"/>
  <c r="E795" i="18"/>
  <c r="D795" i="18"/>
  <c r="F795" i="18" s="1"/>
  <c r="E794" i="18"/>
  <c r="D794" i="18"/>
  <c r="F794" i="18" s="1"/>
  <c r="G793" i="18"/>
  <c r="F793" i="18"/>
  <c r="H793" i="18" s="1"/>
  <c r="I793" i="18" s="1"/>
  <c r="J793" i="18" s="1"/>
  <c r="D793" i="18"/>
  <c r="E793" i="18" s="1"/>
  <c r="I792" i="18"/>
  <c r="J792" i="18" s="1"/>
  <c r="G792" i="18"/>
  <c r="F792" i="18"/>
  <c r="E792" i="18"/>
  <c r="H792" i="18" s="1"/>
  <c r="D792" i="18"/>
  <c r="F791" i="18"/>
  <c r="E791" i="18"/>
  <c r="D791" i="18"/>
  <c r="D790" i="18"/>
  <c r="D789" i="18"/>
  <c r="E789" i="18" s="1"/>
  <c r="F788" i="18"/>
  <c r="E788" i="18"/>
  <c r="D788" i="18"/>
  <c r="H787" i="18"/>
  <c r="I787" i="18" s="1"/>
  <c r="J787" i="18" s="1"/>
  <c r="E787" i="18"/>
  <c r="G787" i="18" s="1"/>
  <c r="D787" i="18"/>
  <c r="F787" i="18" s="1"/>
  <c r="I786" i="18"/>
  <c r="J786" i="18" s="1"/>
  <c r="G786" i="18"/>
  <c r="E786" i="18"/>
  <c r="H786" i="18" s="1"/>
  <c r="D786" i="18"/>
  <c r="F786" i="18" s="1"/>
  <c r="H785" i="18"/>
  <c r="I785" i="18" s="1"/>
  <c r="J785" i="18" s="1"/>
  <c r="G785" i="18"/>
  <c r="F785" i="18"/>
  <c r="D785" i="18"/>
  <c r="E785" i="18" s="1"/>
  <c r="F784" i="18"/>
  <c r="E784" i="18"/>
  <c r="D784" i="18"/>
  <c r="F783" i="18"/>
  <c r="E783" i="18"/>
  <c r="D783" i="18"/>
  <c r="D782" i="18"/>
  <c r="F781" i="18"/>
  <c r="H781" i="18" s="1"/>
  <c r="I781" i="18" s="1"/>
  <c r="J781" i="18" s="1"/>
  <c r="D781" i="18"/>
  <c r="E781" i="18" s="1"/>
  <c r="F780" i="18"/>
  <c r="G780" i="18" s="1"/>
  <c r="E780" i="18"/>
  <c r="D780" i="18"/>
  <c r="D779" i="18"/>
  <c r="D778" i="18"/>
  <c r="H777" i="18"/>
  <c r="I777" i="18" s="1"/>
  <c r="J777" i="18" s="1"/>
  <c r="G777" i="18"/>
  <c r="F777" i="18"/>
  <c r="D777" i="18"/>
  <c r="E777" i="18" s="1"/>
  <c r="F776" i="18"/>
  <c r="E776" i="18"/>
  <c r="D776" i="18"/>
  <c r="H775" i="18"/>
  <c r="I775" i="18" s="1"/>
  <c r="J775" i="18" s="1"/>
  <c r="F775" i="18"/>
  <c r="E775" i="18"/>
  <c r="D775" i="18"/>
  <c r="D774" i="18"/>
  <c r="H773" i="18"/>
  <c r="I773" i="18" s="1"/>
  <c r="J773" i="18" s="1"/>
  <c r="F773" i="18"/>
  <c r="D773" i="18"/>
  <c r="E773" i="18" s="1"/>
  <c r="G772" i="18"/>
  <c r="F772" i="18"/>
  <c r="E772" i="18"/>
  <c r="D772" i="18"/>
  <c r="D771" i="18"/>
  <c r="D770" i="18"/>
  <c r="F769" i="18"/>
  <c r="D769" i="18"/>
  <c r="E769" i="18" s="1"/>
  <c r="G768" i="18"/>
  <c r="F768" i="18"/>
  <c r="E768" i="18"/>
  <c r="H768" i="18" s="1"/>
  <c r="I768" i="18" s="1"/>
  <c r="J768" i="18" s="1"/>
  <c r="D768" i="18"/>
  <c r="H767" i="18"/>
  <c r="I767" i="18" s="1"/>
  <c r="J767" i="18" s="1"/>
  <c r="F767" i="18"/>
  <c r="E767" i="18"/>
  <c r="D767" i="18"/>
  <c r="D766" i="18"/>
  <c r="D765" i="18"/>
  <c r="F764" i="18"/>
  <c r="E764" i="18"/>
  <c r="D764" i="18"/>
  <c r="H763" i="18"/>
  <c r="I763" i="18" s="1"/>
  <c r="J763" i="18" s="1"/>
  <c r="E763" i="18"/>
  <c r="G763" i="18" s="1"/>
  <c r="D763" i="18"/>
  <c r="F763" i="18" s="1"/>
  <c r="E762" i="18"/>
  <c r="D762" i="18"/>
  <c r="F762" i="18" s="1"/>
  <c r="G761" i="18"/>
  <c r="F761" i="18"/>
  <c r="H761" i="18" s="1"/>
  <c r="I761" i="18" s="1"/>
  <c r="J761" i="18" s="1"/>
  <c r="D761" i="18"/>
  <c r="E761" i="18" s="1"/>
  <c r="I760" i="18"/>
  <c r="J760" i="18" s="1"/>
  <c r="G760" i="18"/>
  <c r="F760" i="18"/>
  <c r="E760" i="18"/>
  <c r="H760" i="18" s="1"/>
  <c r="D760" i="18"/>
  <c r="F759" i="18"/>
  <c r="E759" i="18"/>
  <c r="D759" i="18"/>
  <c r="D758" i="18"/>
  <c r="D757" i="18"/>
  <c r="F756" i="18"/>
  <c r="E756" i="18"/>
  <c r="D756" i="18"/>
  <c r="I755" i="18"/>
  <c r="J755" i="18" s="1"/>
  <c r="H755" i="18"/>
  <c r="E755" i="18"/>
  <c r="G755" i="18" s="1"/>
  <c r="D755" i="18"/>
  <c r="F755" i="18" s="1"/>
  <c r="I754" i="18"/>
  <c r="J754" i="18" s="1"/>
  <c r="G754" i="18"/>
  <c r="E754" i="18"/>
  <c r="H754" i="18" s="1"/>
  <c r="D754" i="18"/>
  <c r="F754" i="18" s="1"/>
  <c r="H753" i="18"/>
  <c r="I753" i="18" s="1"/>
  <c r="J753" i="18" s="1"/>
  <c r="G753" i="18"/>
  <c r="F753" i="18"/>
  <c r="D753" i="18"/>
  <c r="E753" i="18" s="1"/>
  <c r="F752" i="18"/>
  <c r="E752" i="18"/>
  <c r="D752" i="18"/>
  <c r="F751" i="18"/>
  <c r="E751" i="18"/>
  <c r="D751" i="18"/>
  <c r="D750" i="18"/>
  <c r="F749" i="18"/>
  <c r="H749" i="18" s="1"/>
  <c r="I749" i="18" s="1"/>
  <c r="J749" i="18" s="1"/>
  <c r="D749" i="18"/>
  <c r="E749" i="18" s="1"/>
  <c r="F748" i="18"/>
  <c r="G748" i="18" s="1"/>
  <c r="E748" i="18"/>
  <c r="D748" i="18"/>
  <c r="D747" i="18"/>
  <c r="D746" i="18"/>
  <c r="H745" i="18"/>
  <c r="I745" i="18" s="1"/>
  <c r="J745" i="18" s="1"/>
  <c r="G745" i="18"/>
  <c r="F745" i="18"/>
  <c r="D745" i="18"/>
  <c r="E745" i="18" s="1"/>
  <c r="F744" i="18"/>
  <c r="E744" i="18"/>
  <c r="D744" i="18"/>
  <c r="F743" i="18"/>
  <c r="H743" i="18" s="1"/>
  <c r="I743" i="18" s="1"/>
  <c r="J743" i="18" s="1"/>
  <c r="E743" i="18"/>
  <c r="D743" i="18"/>
  <c r="D742" i="18"/>
  <c r="H741" i="18"/>
  <c r="I741" i="18" s="1"/>
  <c r="J741" i="18" s="1"/>
  <c r="F741" i="18"/>
  <c r="D741" i="18"/>
  <c r="E741" i="18" s="1"/>
  <c r="G740" i="18"/>
  <c r="F740" i="18"/>
  <c r="E740" i="18"/>
  <c r="D740" i="18"/>
  <c r="D739" i="18"/>
  <c r="D738" i="18"/>
  <c r="F737" i="18"/>
  <c r="D737" i="18"/>
  <c r="E737" i="18" s="1"/>
  <c r="J736" i="18"/>
  <c r="G736" i="18"/>
  <c r="F736" i="18"/>
  <c r="E736" i="18"/>
  <c r="H736" i="18" s="1"/>
  <c r="I736" i="18" s="1"/>
  <c r="D736" i="18"/>
  <c r="H735" i="18"/>
  <c r="I735" i="18" s="1"/>
  <c r="J735" i="18" s="1"/>
  <c r="F735" i="18"/>
  <c r="E735" i="18"/>
  <c r="D735" i="18"/>
  <c r="D734" i="18"/>
  <c r="D733" i="18"/>
  <c r="J732" i="18"/>
  <c r="G732" i="18"/>
  <c r="F732" i="18"/>
  <c r="E732" i="18"/>
  <c r="H732" i="18" s="1"/>
  <c r="I732" i="18" s="1"/>
  <c r="D732" i="18"/>
  <c r="D731" i="18"/>
  <c r="E730" i="18"/>
  <c r="H730" i="18" s="1"/>
  <c r="I730" i="18" s="1"/>
  <c r="J730" i="18" s="1"/>
  <c r="D730" i="18"/>
  <c r="F730" i="18" s="1"/>
  <c r="G729" i="18"/>
  <c r="F729" i="18"/>
  <c r="H729" i="18" s="1"/>
  <c r="I729" i="18" s="1"/>
  <c r="J729" i="18" s="1"/>
  <c r="D729" i="18"/>
  <c r="E729" i="18" s="1"/>
  <c r="I728" i="18"/>
  <c r="J728" i="18" s="1"/>
  <c r="G728" i="18"/>
  <c r="F728" i="18"/>
  <c r="E728" i="18"/>
  <c r="H728" i="18" s="1"/>
  <c r="D728" i="18"/>
  <c r="J727" i="18"/>
  <c r="H727" i="18"/>
  <c r="I727" i="18" s="1"/>
  <c r="F727" i="18"/>
  <c r="E727" i="18"/>
  <c r="G727" i="18" s="1"/>
  <c r="D727" i="18"/>
  <c r="D726" i="18"/>
  <c r="D725" i="18"/>
  <c r="E725" i="18" s="1"/>
  <c r="F724" i="18"/>
  <c r="E724" i="18"/>
  <c r="D724" i="18"/>
  <c r="E723" i="18"/>
  <c r="G723" i="18" s="1"/>
  <c r="D723" i="18"/>
  <c r="F723" i="18" s="1"/>
  <c r="E722" i="18"/>
  <c r="H722" i="18" s="1"/>
  <c r="I722" i="18" s="1"/>
  <c r="J722" i="18" s="1"/>
  <c r="D722" i="18"/>
  <c r="F722" i="18" s="1"/>
  <c r="G721" i="18"/>
  <c r="F721" i="18"/>
  <c r="H721" i="18" s="1"/>
  <c r="I721" i="18" s="1"/>
  <c r="J721" i="18" s="1"/>
  <c r="D721" i="18"/>
  <c r="E721" i="18" s="1"/>
  <c r="I720" i="18"/>
  <c r="J720" i="18" s="1"/>
  <c r="G720" i="18"/>
  <c r="F720" i="18"/>
  <c r="E720" i="18"/>
  <c r="H720" i="18" s="1"/>
  <c r="D720" i="18"/>
  <c r="F719" i="18"/>
  <c r="E719" i="18"/>
  <c r="D719" i="18"/>
  <c r="D718" i="18"/>
  <c r="F717" i="18"/>
  <c r="H717" i="18" s="1"/>
  <c r="I717" i="18" s="1"/>
  <c r="J717" i="18" s="1"/>
  <c r="D717" i="18"/>
  <c r="E717" i="18" s="1"/>
  <c r="F716" i="18"/>
  <c r="E716" i="18"/>
  <c r="D716" i="18"/>
  <c r="D715" i="18"/>
  <c r="D714" i="18"/>
  <c r="H713" i="18"/>
  <c r="I713" i="18" s="1"/>
  <c r="J713" i="18" s="1"/>
  <c r="G713" i="18"/>
  <c r="F713" i="18"/>
  <c r="D713" i="18"/>
  <c r="E713" i="18" s="1"/>
  <c r="F712" i="18"/>
  <c r="E712" i="18"/>
  <c r="D712" i="18"/>
  <c r="F711" i="18"/>
  <c r="E711" i="18"/>
  <c r="D711" i="18"/>
  <c r="D710" i="18"/>
  <c r="H709" i="18"/>
  <c r="I709" i="18" s="1"/>
  <c r="J709" i="18" s="1"/>
  <c r="F709" i="18"/>
  <c r="D709" i="18"/>
  <c r="E709" i="18" s="1"/>
  <c r="F708" i="18"/>
  <c r="G708" i="18" s="1"/>
  <c r="E708" i="18"/>
  <c r="D708" i="18"/>
  <c r="E707" i="18"/>
  <c r="D707" i="18"/>
  <c r="F707" i="18" s="1"/>
  <c r="E706" i="18"/>
  <c r="D706" i="18"/>
  <c r="F706" i="18" s="1"/>
  <c r="F705" i="18"/>
  <c r="D705" i="18"/>
  <c r="E705" i="18" s="1"/>
  <c r="F704" i="18"/>
  <c r="E704" i="18"/>
  <c r="D704" i="18"/>
  <c r="H703" i="18"/>
  <c r="I703" i="18" s="1"/>
  <c r="J703" i="18" s="1"/>
  <c r="F703" i="18"/>
  <c r="E703" i="18"/>
  <c r="D703" i="18"/>
  <c r="D702" i="18"/>
  <c r="D701" i="18"/>
  <c r="F700" i="18"/>
  <c r="E700" i="18"/>
  <c r="D700" i="18"/>
  <c r="D699" i="18"/>
  <c r="F699" i="18" s="1"/>
  <c r="G698" i="18"/>
  <c r="E698" i="18"/>
  <c r="H698" i="18" s="1"/>
  <c r="I698" i="18" s="1"/>
  <c r="J698" i="18" s="1"/>
  <c r="D698" i="18"/>
  <c r="F698" i="18" s="1"/>
  <c r="D697" i="18"/>
  <c r="F696" i="18"/>
  <c r="E696" i="18"/>
  <c r="D696" i="18"/>
  <c r="F695" i="18"/>
  <c r="H695" i="18" s="1"/>
  <c r="I695" i="18" s="1"/>
  <c r="J695" i="18" s="1"/>
  <c r="D695" i="18"/>
  <c r="E695" i="18" s="1"/>
  <c r="E694" i="18"/>
  <c r="D694" i="18"/>
  <c r="F694" i="18" s="1"/>
  <c r="F693" i="18"/>
  <c r="G693" i="18" s="1"/>
  <c r="D693" i="18"/>
  <c r="E693" i="18" s="1"/>
  <c r="F692" i="18"/>
  <c r="G692" i="18" s="1"/>
  <c r="E692" i="18"/>
  <c r="D692" i="18"/>
  <c r="D691" i="18"/>
  <c r="F691" i="18" s="1"/>
  <c r="E690" i="18"/>
  <c r="D690" i="18"/>
  <c r="F690" i="18" s="1"/>
  <c r="D689" i="18"/>
  <c r="F688" i="18"/>
  <c r="E688" i="18"/>
  <c r="D688" i="18"/>
  <c r="D687" i="18"/>
  <c r="E687" i="18" s="1"/>
  <c r="D686" i="18"/>
  <c r="F686" i="18" s="1"/>
  <c r="F685" i="18"/>
  <c r="G685" i="18" s="1"/>
  <c r="D685" i="18"/>
  <c r="E685" i="18" s="1"/>
  <c r="F684" i="18"/>
  <c r="G684" i="18" s="1"/>
  <c r="E684" i="18"/>
  <c r="D684" i="18"/>
  <c r="F683" i="18"/>
  <c r="D683" i="18"/>
  <c r="E683" i="18" s="1"/>
  <c r="H682" i="18"/>
  <c r="I682" i="18" s="1"/>
  <c r="J682" i="18" s="1"/>
  <c r="G682" i="18"/>
  <c r="E682" i="18"/>
  <c r="D682" i="18"/>
  <c r="F682" i="18" s="1"/>
  <c r="D681" i="18"/>
  <c r="F680" i="18"/>
  <c r="E680" i="18"/>
  <c r="D680" i="18"/>
  <c r="D679" i="18"/>
  <c r="D678" i="18"/>
  <c r="F678" i="18" s="1"/>
  <c r="D677" i="18"/>
  <c r="E677" i="18" s="1"/>
  <c r="F676" i="18"/>
  <c r="G676" i="18" s="1"/>
  <c r="E676" i="18"/>
  <c r="D676" i="18"/>
  <c r="F675" i="18"/>
  <c r="E675" i="18"/>
  <c r="D675" i="18"/>
  <c r="H674" i="18"/>
  <c r="I674" i="18" s="1"/>
  <c r="J674" i="18" s="1"/>
  <c r="G674" i="18"/>
  <c r="E674" i="18"/>
  <c r="D674" i="18"/>
  <c r="F674" i="18" s="1"/>
  <c r="D673" i="18"/>
  <c r="F672" i="18"/>
  <c r="E672" i="18"/>
  <c r="D672" i="18"/>
  <c r="D671" i="18"/>
  <c r="D670" i="18"/>
  <c r="D669" i="18"/>
  <c r="G668" i="18"/>
  <c r="F668" i="18"/>
  <c r="E668" i="18"/>
  <c r="D668" i="18"/>
  <c r="F667" i="18"/>
  <c r="E667" i="18"/>
  <c r="D667" i="18"/>
  <c r="E666" i="18"/>
  <c r="H666" i="18" s="1"/>
  <c r="I666" i="18" s="1"/>
  <c r="J666" i="18" s="1"/>
  <c r="D666" i="18"/>
  <c r="F666" i="18" s="1"/>
  <c r="D665" i="18"/>
  <c r="F664" i="18"/>
  <c r="E664" i="18"/>
  <c r="D664" i="18"/>
  <c r="D663" i="18"/>
  <c r="E663" i="18" s="1"/>
  <c r="D662" i="18"/>
  <c r="F662" i="18" s="1"/>
  <c r="D661" i="18"/>
  <c r="E661" i="18" s="1"/>
  <c r="F660" i="18"/>
  <c r="G660" i="18" s="1"/>
  <c r="E660" i="18"/>
  <c r="D660" i="18"/>
  <c r="F659" i="18"/>
  <c r="E659" i="18"/>
  <c r="D659" i="18"/>
  <c r="E658" i="18"/>
  <c r="D658" i="18"/>
  <c r="F658" i="18" s="1"/>
  <c r="D657" i="18"/>
  <c r="F656" i="18"/>
  <c r="E656" i="18"/>
  <c r="D656" i="18"/>
  <c r="D655" i="18"/>
  <c r="E655" i="18" s="1"/>
  <c r="D654" i="18"/>
  <c r="F654" i="18" s="1"/>
  <c r="D653" i="18"/>
  <c r="E653" i="18" s="1"/>
  <c r="G652" i="18"/>
  <c r="F652" i="18"/>
  <c r="E652" i="18"/>
  <c r="D652" i="18"/>
  <c r="F651" i="18"/>
  <c r="D651" i="18"/>
  <c r="E651" i="18" s="1"/>
  <c r="G650" i="18"/>
  <c r="E650" i="18"/>
  <c r="H650" i="18" s="1"/>
  <c r="I650" i="18" s="1"/>
  <c r="J650" i="18" s="1"/>
  <c r="D650" i="18"/>
  <c r="F650" i="18" s="1"/>
  <c r="H649" i="18"/>
  <c r="I649" i="18" s="1"/>
  <c r="J649" i="18" s="1"/>
  <c r="E649" i="18"/>
  <c r="G649" i="18" s="1"/>
  <c r="D649" i="18"/>
  <c r="F649" i="18" s="1"/>
  <c r="D648" i="18"/>
  <c r="F647" i="18"/>
  <c r="E647" i="18"/>
  <c r="D647" i="18"/>
  <c r="D646" i="18"/>
  <c r="E646" i="18" s="1"/>
  <c r="E645" i="18"/>
  <c r="G645" i="18" s="1"/>
  <c r="D645" i="18"/>
  <c r="F645" i="18" s="1"/>
  <c r="D644" i="18"/>
  <c r="F643" i="18"/>
  <c r="G643" i="18" s="1"/>
  <c r="E643" i="18"/>
  <c r="D643" i="18"/>
  <c r="F642" i="18"/>
  <c r="D642" i="18"/>
  <c r="E642" i="18" s="1"/>
  <c r="E641" i="18"/>
  <c r="D641" i="18"/>
  <c r="F641" i="18" s="1"/>
  <c r="D640" i="18"/>
  <c r="F639" i="18"/>
  <c r="E639" i="18"/>
  <c r="D639" i="18"/>
  <c r="D638" i="18"/>
  <c r="E638" i="18" s="1"/>
  <c r="H637" i="18"/>
  <c r="I637" i="18" s="1"/>
  <c r="J637" i="18" s="1"/>
  <c r="E637" i="18"/>
  <c r="G637" i="18" s="1"/>
  <c r="D637" i="18"/>
  <c r="F637" i="18" s="1"/>
  <c r="D636" i="18"/>
  <c r="F635" i="18"/>
  <c r="G635" i="18" s="1"/>
  <c r="E635" i="18"/>
  <c r="D635" i="18"/>
  <c r="D634" i="18"/>
  <c r="H633" i="18"/>
  <c r="I633" i="18" s="1"/>
  <c r="J633" i="18" s="1"/>
  <c r="E633" i="18"/>
  <c r="G633" i="18" s="1"/>
  <c r="D633" i="18"/>
  <c r="F633" i="18" s="1"/>
  <c r="D632" i="18"/>
  <c r="F631" i="18"/>
  <c r="E631" i="18"/>
  <c r="D631" i="18"/>
  <c r="D630" i="18"/>
  <c r="D629" i="18"/>
  <c r="D628" i="18"/>
  <c r="F627" i="18"/>
  <c r="G627" i="18" s="1"/>
  <c r="E627" i="18"/>
  <c r="D627" i="18"/>
  <c r="F626" i="18"/>
  <c r="E626" i="18"/>
  <c r="D626" i="18"/>
  <c r="G625" i="18"/>
  <c r="E625" i="18"/>
  <c r="H625" i="18" s="1"/>
  <c r="I625" i="18" s="1"/>
  <c r="J625" i="18" s="1"/>
  <c r="D625" i="18"/>
  <c r="F625" i="18" s="1"/>
  <c r="D624" i="18"/>
  <c r="F623" i="18"/>
  <c r="E623" i="18"/>
  <c r="D623" i="18"/>
  <c r="D622" i="18"/>
  <c r="E622" i="18" s="1"/>
  <c r="D621" i="18"/>
  <c r="F621" i="18" s="1"/>
  <c r="D620" i="18"/>
  <c r="E620" i="18" s="1"/>
  <c r="G619" i="18"/>
  <c r="F619" i="18"/>
  <c r="E619" i="18"/>
  <c r="D619" i="18"/>
  <c r="D618" i="18"/>
  <c r="F618" i="18" s="1"/>
  <c r="E617" i="18"/>
  <c r="D617" i="18"/>
  <c r="F617" i="18" s="1"/>
  <c r="D616" i="18"/>
  <c r="F615" i="18"/>
  <c r="E615" i="18"/>
  <c r="D615" i="18"/>
  <c r="F614" i="18"/>
  <c r="H614" i="18" s="1"/>
  <c r="I614" i="18" s="1"/>
  <c r="J614" i="18" s="1"/>
  <c r="D614" i="18"/>
  <c r="E614" i="18" s="1"/>
  <c r="E613" i="18"/>
  <c r="G613" i="18" s="1"/>
  <c r="D613" i="18"/>
  <c r="F613" i="18" s="1"/>
  <c r="G612" i="18"/>
  <c r="F612" i="18"/>
  <c r="D612" i="18"/>
  <c r="E612" i="18" s="1"/>
  <c r="G611" i="18"/>
  <c r="F611" i="18"/>
  <c r="E611" i="18"/>
  <c r="D611" i="18"/>
  <c r="D610" i="18"/>
  <c r="H609" i="18"/>
  <c r="I609" i="18" s="1"/>
  <c r="J609" i="18" s="1"/>
  <c r="E609" i="18"/>
  <c r="G609" i="18" s="1"/>
  <c r="D609" i="18"/>
  <c r="F609" i="18" s="1"/>
  <c r="D608" i="18"/>
  <c r="F607" i="18"/>
  <c r="E607" i="18"/>
  <c r="D607" i="18"/>
  <c r="F606" i="18"/>
  <c r="D606" i="18"/>
  <c r="E606" i="18" s="1"/>
  <c r="D605" i="18"/>
  <c r="F605" i="18" s="1"/>
  <c r="F604" i="18"/>
  <c r="D604" i="18"/>
  <c r="E604" i="18" s="1"/>
  <c r="F603" i="18"/>
  <c r="G603" i="18" s="1"/>
  <c r="E603" i="18"/>
  <c r="D603" i="18"/>
  <c r="F602" i="18"/>
  <c r="D602" i="18"/>
  <c r="E602" i="18" s="1"/>
  <c r="H601" i="18"/>
  <c r="I601" i="18" s="1"/>
  <c r="J601" i="18" s="1"/>
  <c r="G601" i="18"/>
  <c r="E601" i="18"/>
  <c r="D601" i="18"/>
  <c r="F601" i="18" s="1"/>
  <c r="D600" i="18"/>
  <c r="F599" i="18"/>
  <c r="E599" i="18"/>
  <c r="D599" i="18"/>
  <c r="D598" i="18"/>
  <c r="D597" i="18"/>
  <c r="D596" i="18"/>
  <c r="F595" i="18"/>
  <c r="G595" i="18" s="1"/>
  <c r="E595" i="18"/>
  <c r="D595" i="18"/>
  <c r="F594" i="18"/>
  <c r="E594" i="18"/>
  <c r="D594" i="18"/>
  <c r="G593" i="18"/>
  <c r="E593" i="18"/>
  <c r="H593" i="18" s="1"/>
  <c r="I593" i="18" s="1"/>
  <c r="J593" i="18" s="1"/>
  <c r="D593" i="18"/>
  <c r="F593" i="18" s="1"/>
  <c r="D592" i="18"/>
  <c r="F591" i="18"/>
  <c r="E591" i="18"/>
  <c r="D591" i="18"/>
  <c r="D590" i="18"/>
  <c r="E590" i="18" s="1"/>
  <c r="D589" i="18"/>
  <c r="F589" i="18" s="1"/>
  <c r="D588" i="18"/>
  <c r="E588" i="18" s="1"/>
  <c r="G587" i="18"/>
  <c r="F587" i="18"/>
  <c r="E587" i="18"/>
  <c r="D587" i="18"/>
  <c r="D586" i="18"/>
  <c r="F586" i="18" s="1"/>
  <c r="E585" i="18"/>
  <c r="D585" i="18"/>
  <c r="F585" i="18" s="1"/>
  <c r="D584" i="18"/>
  <c r="F583" i="18"/>
  <c r="E583" i="18"/>
  <c r="D583" i="18"/>
  <c r="F582" i="18"/>
  <c r="H582" i="18" s="1"/>
  <c r="I582" i="18" s="1"/>
  <c r="J582" i="18" s="1"/>
  <c r="D582" i="18"/>
  <c r="E582" i="18" s="1"/>
  <c r="E581" i="18"/>
  <c r="G581" i="18" s="1"/>
  <c r="D581" i="18"/>
  <c r="F581" i="18" s="1"/>
  <c r="G580" i="18"/>
  <c r="F580" i="18"/>
  <c r="D580" i="18"/>
  <c r="E580" i="18" s="1"/>
  <c r="G579" i="18"/>
  <c r="F579" i="18"/>
  <c r="E579" i="18"/>
  <c r="D579" i="18"/>
  <c r="D578" i="18"/>
  <c r="H577" i="18"/>
  <c r="I577" i="18" s="1"/>
  <c r="J577" i="18" s="1"/>
  <c r="E577" i="18"/>
  <c r="G577" i="18" s="1"/>
  <c r="D577" i="18"/>
  <c r="F577" i="18" s="1"/>
  <c r="D576" i="18"/>
  <c r="F575" i="18"/>
  <c r="E575" i="18"/>
  <c r="D575" i="18"/>
  <c r="F574" i="18"/>
  <c r="D574" i="18"/>
  <c r="E574" i="18" s="1"/>
  <c r="D573" i="18"/>
  <c r="F573" i="18" s="1"/>
  <c r="F572" i="18"/>
  <c r="D572" i="18"/>
  <c r="E572" i="18" s="1"/>
  <c r="F571" i="18"/>
  <c r="G571" i="18" s="1"/>
  <c r="E571" i="18"/>
  <c r="D571" i="18"/>
  <c r="F570" i="18"/>
  <c r="D570" i="18"/>
  <c r="E570" i="18" s="1"/>
  <c r="H569" i="18"/>
  <c r="I569" i="18" s="1"/>
  <c r="J569" i="18" s="1"/>
  <c r="G569" i="18"/>
  <c r="E569" i="18"/>
  <c r="D569" i="18"/>
  <c r="F569" i="18" s="1"/>
  <c r="D568" i="18"/>
  <c r="F567" i="18"/>
  <c r="E567" i="18"/>
  <c r="D567" i="18"/>
  <c r="D566" i="18"/>
  <c r="D565" i="18"/>
  <c r="D564" i="18"/>
  <c r="F563" i="18"/>
  <c r="G563" i="18" s="1"/>
  <c r="E563" i="18"/>
  <c r="D563" i="18"/>
  <c r="F562" i="18"/>
  <c r="E562" i="18"/>
  <c r="D562" i="18"/>
  <c r="G561" i="18"/>
  <c r="E561" i="18"/>
  <c r="H561" i="18" s="1"/>
  <c r="I561" i="18" s="1"/>
  <c r="J561" i="18" s="1"/>
  <c r="D561" i="18"/>
  <c r="F561" i="18" s="1"/>
  <c r="D560" i="18"/>
  <c r="F559" i="18"/>
  <c r="E559" i="18"/>
  <c r="D559" i="18"/>
  <c r="D558" i="18"/>
  <c r="E558" i="18" s="1"/>
  <c r="D557" i="18"/>
  <c r="F557" i="18" s="1"/>
  <c r="D556" i="18"/>
  <c r="E556" i="18" s="1"/>
  <c r="G555" i="18"/>
  <c r="F555" i="18"/>
  <c r="E555" i="18"/>
  <c r="D555" i="18"/>
  <c r="D554" i="18"/>
  <c r="F554" i="18" s="1"/>
  <c r="F553" i="18"/>
  <c r="D553" i="18"/>
  <c r="E553" i="18" s="1"/>
  <c r="F552" i="18"/>
  <c r="G552" i="18" s="1"/>
  <c r="E552" i="18"/>
  <c r="D552" i="18"/>
  <c r="E551" i="18"/>
  <c r="D551" i="18"/>
  <c r="F551" i="18" s="1"/>
  <c r="E550" i="18"/>
  <c r="H550" i="18" s="1"/>
  <c r="I550" i="18" s="1"/>
  <c r="J550" i="18" s="1"/>
  <c r="D550" i="18"/>
  <c r="F550" i="18" s="1"/>
  <c r="D549" i="18"/>
  <c r="E549" i="18" s="1"/>
  <c r="F548" i="18"/>
  <c r="E548" i="18"/>
  <c r="D548" i="18"/>
  <c r="F547" i="18"/>
  <c r="D547" i="18"/>
  <c r="E547" i="18" s="1"/>
  <c r="G547" i="18" s="1"/>
  <c r="D546" i="18"/>
  <c r="F545" i="18"/>
  <c r="D545" i="18"/>
  <c r="E545" i="18" s="1"/>
  <c r="F544" i="18"/>
  <c r="G544" i="18" s="1"/>
  <c r="E544" i="18"/>
  <c r="D544" i="18"/>
  <c r="E543" i="18"/>
  <c r="D543" i="18"/>
  <c r="F543" i="18" s="1"/>
  <c r="E542" i="18"/>
  <c r="H542" i="18" s="1"/>
  <c r="I542" i="18" s="1"/>
  <c r="J542" i="18" s="1"/>
  <c r="D542" i="18"/>
  <c r="F542" i="18" s="1"/>
  <c r="D541" i="18"/>
  <c r="E541" i="18" s="1"/>
  <c r="F540" i="18"/>
  <c r="E540" i="18"/>
  <c r="D540" i="18"/>
  <c r="F539" i="18"/>
  <c r="D539" i="18"/>
  <c r="E539" i="18" s="1"/>
  <c r="G539" i="18" s="1"/>
  <c r="D538" i="18"/>
  <c r="F537" i="18"/>
  <c r="D537" i="18"/>
  <c r="E537" i="18" s="1"/>
  <c r="F536" i="18"/>
  <c r="G536" i="18" s="1"/>
  <c r="E536" i="18"/>
  <c r="D536" i="18"/>
  <c r="E535" i="18"/>
  <c r="D535" i="18"/>
  <c r="F535" i="18" s="1"/>
  <c r="E534" i="18"/>
  <c r="H534" i="18" s="1"/>
  <c r="I534" i="18" s="1"/>
  <c r="J534" i="18" s="1"/>
  <c r="D534" i="18"/>
  <c r="F534" i="18" s="1"/>
  <c r="D533" i="18"/>
  <c r="E533" i="18" s="1"/>
  <c r="F532" i="18"/>
  <c r="E532" i="18"/>
  <c r="D532" i="18"/>
  <c r="F531" i="18"/>
  <c r="D531" i="18"/>
  <c r="E531" i="18" s="1"/>
  <c r="G531" i="18" s="1"/>
  <c r="D530" i="18"/>
  <c r="F529" i="18"/>
  <c r="D529" i="18"/>
  <c r="E529" i="18" s="1"/>
  <c r="F528" i="18"/>
  <c r="G528" i="18" s="1"/>
  <c r="E528" i="18"/>
  <c r="D528" i="18"/>
  <c r="E527" i="18"/>
  <c r="D527" i="18"/>
  <c r="F527" i="18" s="1"/>
  <c r="E526" i="18"/>
  <c r="H526" i="18" s="1"/>
  <c r="I526" i="18" s="1"/>
  <c r="J526" i="18" s="1"/>
  <c r="D526" i="18"/>
  <c r="F526" i="18" s="1"/>
  <c r="D525" i="18"/>
  <c r="E525" i="18" s="1"/>
  <c r="F524" i="18"/>
  <c r="E524" i="18"/>
  <c r="D524" i="18"/>
  <c r="F523" i="18"/>
  <c r="D523" i="18"/>
  <c r="E523" i="18" s="1"/>
  <c r="G523" i="18" s="1"/>
  <c r="D522" i="18"/>
  <c r="F521" i="18"/>
  <c r="D521" i="18"/>
  <c r="E521" i="18" s="1"/>
  <c r="F520" i="18"/>
  <c r="G520" i="18" s="1"/>
  <c r="E520" i="18"/>
  <c r="D520" i="18"/>
  <c r="E519" i="18"/>
  <c r="D519" i="18"/>
  <c r="F519" i="18" s="1"/>
  <c r="E518" i="18"/>
  <c r="H518" i="18" s="1"/>
  <c r="I518" i="18" s="1"/>
  <c r="J518" i="18" s="1"/>
  <c r="D518" i="18"/>
  <c r="F518" i="18" s="1"/>
  <c r="D517" i="18"/>
  <c r="E517" i="18" s="1"/>
  <c r="F516" i="18"/>
  <c r="E516" i="18"/>
  <c r="D516" i="18"/>
  <c r="F515" i="18"/>
  <c r="D515" i="18"/>
  <c r="E515" i="18" s="1"/>
  <c r="G515" i="18" s="1"/>
  <c r="D514" i="18"/>
  <c r="F513" i="18"/>
  <c r="D513" i="18"/>
  <c r="E513" i="18" s="1"/>
  <c r="F512" i="18"/>
  <c r="G512" i="18" s="1"/>
  <c r="E512" i="18"/>
  <c r="D512" i="18"/>
  <c r="E511" i="18"/>
  <c r="D511" i="18"/>
  <c r="F511" i="18" s="1"/>
  <c r="E510" i="18"/>
  <c r="D510" i="18"/>
  <c r="F510" i="18" s="1"/>
  <c r="D509" i="18"/>
  <c r="E509" i="18" s="1"/>
  <c r="F508" i="18"/>
  <c r="E508" i="18"/>
  <c r="D508" i="18"/>
  <c r="F507" i="18"/>
  <c r="D507" i="18"/>
  <c r="E507" i="18" s="1"/>
  <c r="D506" i="18"/>
  <c r="F505" i="18"/>
  <c r="D505" i="18"/>
  <c r="E505" i="18" s="1"/>
  <c r="F504" i="18"/>
  <c r="G504" i="18" s="1"/>
  <c r="E504" i="18"/>
  <c r="D504" i="18"/>
  <c r="E503" i="18"/>
  <c r="D503" i="18"/>
  <c r="F503" i="18" s="1"/>
  <c r="E502" i="18"/>
  <c r="D502" i="18"/>
  <c r="F502" i="18" s="1"/>
  <c r="D501" i="18"/>
  <c r="E501" i="18" s="1"/>
  <c r="F500" i="18"/>
  <c r="E500" i="18"/>
  <c r="D500" i="18"/>
  <c r="F499" i="18"/>
  <c r="D499" i="18"/>
  <c r="E499" i="18" s="1"/>
  <c r="D498" i="18"/>
  <c r="F497" i="18"/>
  <c r="D497" i="18"/>
  <c r="E497" i="18" s="1"/>
  <c r="F496" i="18"/>
  <c r="G496" i="18" s="1"/>
  <c r="E496" i="18"/>
  <c r="D496" i="18"/>
  <c r="F495" i="18"/>
  <c r="E495" i="18"/>
  <c r="D495" i="18"/>
  <c r="I494" i="18"/>
  <c r="J494" i="18" s="1"/>
  <c r="H494" i="18"/>
  <c r="E494" i="18"/>
  <c r="G494" i="18" s="1"/>
  <c r="D494" i="18"/>
  <c r="F494" i="18" s="1"/>
  <c r="D493" i="18"/>
  <c r="F492" i="18"/>
  <c r="G492" i="18" s="1"/>
  <c r="D492" i="18"/>
  <c r="E492" i="18" s="1"/>
  <c r="F491" i="18"/>
  <c r="E491" i="18"/>
  <c r="D491" i="18"/>
  <c r="H490" i="18"/>
  <c r="I490" i="18" s="1"/>
  <c r="J490" i="18" s="1"/>
  <c r="E490" i="18"/>
  <c r="G490" i="18" s="1"/>
  <c r="D490" i="18"/>
  <c r="F490" i="18" s="1"/>
  <c r="D489" i="18"/>
  <c r="F488" i="18"/>
  <c r="G488" i="18" s="1"/>
  <c r="D488" i="18"/>
  <c r="E488" i="18" s="1"/>
  <c r="F487" i="18"/>
  <c r="E487" i="18"/>
  <c r="D487" i="18"/>
  <c r="I486" i="18"/>
  <c r="J486" i="18" s="1"/>
  <c r="H486" i="18"/>
  <c r="E486" i="18"/>
  <c r="G486" i="18" s="1"/>
  <c r="D486" i="18"/>
  <c r="F486" i="18" s="1"/>
  <c r="D485" i="18"/>
  <c r="F484" i="18"/>
  <c r="G484" i="18" s="1"/>
  <c r="D484" i="18"/>
  <c r="E484" i="18" s="1"/>
  <c r="F483" i="18"/>
  <c r="E483" i="18"/>
  <c r="D483" i="18"/>
  <c r="H482" i="18"/>
  <c r="I482" i="18" s="1"/>
  <c r="J482" i="18" s="1"/>
  <c r="E482" i="18"/>
  <c r="G482" i="18" s="1"/>
  <c r="D482" i="18"/>
  <c r="F482" i="18" s="1"/>
  <c r="D481" i="18"/>
  <c r="G480" i="18"/>
  <c r="F480" i="18"/>
  <c r="D480" i="18"/>
  <c r="E480" i="18" s="1"/>
  <c r="F479" i="18"/>
  <c r="E479" i="18"/>
  <c r="D479" i="18"/>
  <c r="I478" i="18"/>
  <c r="J478" i="18" s="1"/>
  <c r="H478" i="18"/>
  <c r="E478" i="18"/>
  <c r="G478" i="18" s="1"/>
  <c r="D478" i="18"/>
  <c r="F478" i="18" s="1"/>
  <c r="D477" i="18"/>
  <c r="F476" i="18"/>
  <c r="G476" i="18" s="1"/>
  <c r="D476" i="18"/>
  <c r="E476" i="18" s="1"/>
  <c r="F475" i="18"/>
  <c r="E475" i="18"/>
  <c r="D475" i="18"/>
  <c r="H474" i="18"/>
  <c r="I474" i="18" s="1"/>
  <c r="J474" i="18" s="1"/>
  <c r="E474" i="18"/>
  <c r="G474" i="18" s="1"/>
  <c r="D474" i="18"/>
  <c r="F474" i="18" s="1"/>
  <c r="D473" i="18"/>
  <c r="G472" i="18"/>
  <c r="F472" i="18"/>
  <c r="D472" i="18"/>
  <c r="E472" i="18" s="1"/>
  <c r="F471" i="18"/>
  <c r="E471" i="18"/>
  <c r="D471" i="18"/>
  <c r="I470" i="18"/>
  <c r="J470" i="18" s="1"/>
  <c r="H470" i="18"/>
  <c r="E470" i="18"/>
  <c r="G470" i="18" s="1"/>
  <c r="D470" i="18"/>
  <c r="F470" i="18" s="1"/>
  <c r="D469" i="18"/>
  <c r="F468" i="18"/>
  <c r="G468" i="18" s="1"/>
  <c r="D468" i="18"/>
  <c r="E468" i="18" s="1"/>
  <c r="F467" i="18"/>
  <c r="E467" i="18"/>
  <c r="D467" i="18"/>
  <c r="H466" i="18"/>
  <c r="I466" i="18" s="1"/>
  <c r="J466" i="18" s="1"/>
  <c r="E466" i="18"/>
  <c r="G466" i="18" s="1"/>
  <c r="D466" i="18"/>
  <c r="F466" i="18" s="1"/>
  <c r="H465" i="18"/>
  <c r="I465" i="18" s="1"/>
  <c r="J465" i="18" s="1"/>
  <c r="G465" i="18"/>
  <c r="E465" i="18"/>
  <c r="D465" i="18"/>
  <c r="F465" i="18" s="1"/>
  <c r="D464" i="18"/>
  <c r="F463" i="18"/>
  <c r="E463" i="18"/>
  <c r="D463" i="18"/>
  <c r="D462" i="18"/>
  <c r="E461" i="18"/>
  <c r="D461" i="18"/>
  <c r="F461" i="18" s="1"/>
  <c r="F460" i="18"/>
  <c r="G460" i="18" s="1"/>
  <c r="D460" i="18"/>
  <c r="E460" i="18" s="1"/>
  <c r="G459" i="18"/>
  <c r="F459" i="18"/>
  <c r="E459" i="18"/>
  <c r="D459" i="18"/>
  <c r="F458" i="18"/>
  <c r="E458" i="18"/>
  <c r="D458" i="18"/>
  <c r="H457" i="18"/>
  <c r="I457" i="18" s="1"/>
  <c r="J457" i="18" s="1"/>
  <c r="G457" i="18"/>
  <c r="E457" i="18"/>
  <c r="D457" i="18"/>
  <c r="F457" i="18" s="1"/>
  <c r="D456" i="18"/>
  <c r="F455" i="18"/>
  <c r="E455" i="18"/>
  <c r="D455" i="18"/>
  <c r="D454" i="18"/>
  <c r="D453" i="18"/>
  <c r="F453" i="18" s="1"/>
  <c r="G452" i="18"/>
  <c r="F452" i="18"/>
  <c r="D452" i="18"/>
  <c r="E452" i="18" s="1"/>
  <c r="G451" i="18"/>
  <c r="F451" i="18"/>
  <c r="E451" i="18"/>
  <c r="D451" i="18"/>
  <c r="F450" i="18"/>
  <c r="E450" i="18"/>
  <c r="D450" i="18"/>
  <c r="H449" i="18"/>
  <c r="I449" i="18" s="1"/>
  <c r="J449" i="18" s="1"/>
  <c r="G449" i="18"/>
  <c r="E449" i="18"/>
  <c r="D449" i="18"/>
  <c r="F449" i="18" s="1"/>
  <c r="D448" i="18"/>
  <c r="F447" i="18"/>
  <c r="E447" i="18"/>
  <c r="D447" i="18"/>
  <c r="D446" i="18"/>
  <c r="D445" i="18"/>
  <c r="F445" i="18" s="1"/>
  <c r="D444" i="18"/>
  <c r="E444" i="18" s="1"/>
  <c r="F443" i="18"/>
  <c r="G443" i="18" s="1"/>
  <c r="E443" i="18"/>
  <c r="D443" i="18"/>
  <c r="F442" i="18"/>
  <c r="D442" i="18"/>
  <c r="E442" i="18" s="1"/>
  <c r="H441" i="18"/>
  <c r="I441" i="18" s="1"/>
  <c r="J441" i="18" s="1"/>
  <c r="G441" i="18"/>
  <c r="E441" i="18"/>
  <c r="D441" i="18"/>
  <c r="F441" i="18" s="1"/>
  <c r="D440" i="18"/>
  <c r="F439" i="18"/>
  <c r="E439" i="18"/>
  <c r="D439" i="18"/>
  <c r="D438" i="18"/>
  <c r="E438" i="18" s="1"/>
  <c r="D437" i="18"/>
  <c r="F437" i="18" s="1"/>
  <c r="D436" i="18"/>
  <c r="E436" i="18" s="1"/>
  <c r="G435" i="18"/>
  <c r="F435" i="18"/>
  <c r="E435" i="18"/>
  <c r="D435" i="18"/>
  <c r="F434" i="18"/>
  <c r="E434" i="18"/>
  <c r="D434" i="18"/>
  <c r="E433" i="18"/>
  <c r="G433" i="18" s="1"/>
  <c r="D433" i="18"/>
  <c r="F433" i="18" s="1"/>
  <c r="D432" i="18"/>
  <c r="F431" i="18"/>
  <c r="E431" i="18"/>
  <c r="D431" i="18"/>
  <c r="H430" i="18"/>
  <c r="I430" i="18" s="1"/>
  <c r="J430" i="18" s="1"/>
  <c r="F430" i="18"/>
  <c r="D430" i="18"/>
  <c r="E430" i="18" s="1"/>
  <c r="D429" i="18"/>
  <c r="F429" i="18" s="1"/>
  <c r="D428" i="18"/>
  <c r="E428" i="18" s="1"/>
  <c r="D427" i="18"/>
  <c r="E427" i="18" s="1"/>
  <c r="I426" i="18"/>
  <c r="J426" i="18" s="1"/>
  <c r="F426" i="18"/>
  <c r="E426" i="18"/>
  <c r="H426" i="18" s="1"/>
  <c r="D426" i="18"/>
  <c r="F425" i="18"/>
  <c r="D425" i="18"/>
  <c r="E425" i="18" s="1"/>
  <c r="D424" i="18"/>
  <c r="F424" i="18" s="1"/>
  <c r="D423" i="18"/>
  <c r="E423" i="18" s="1"/>
  <c r="F422" i="18"/>
  <c r="G422" i="18" s="1"/>
  <c r="E422" i="18"/>
  <c r="D422" i="18"/>
  <c r="D421" i="18"/>
  <c r="E421" i="18" s="1"/>
  <c r="E420" i="18"/>
  <c r="G420" i="18" s="1"/>
  <c r="D420" i="18"/>
  <c r="F420" i="18" s="1"/>
  <c r="D419" i="18"/>
  <c r="E419" i="18" s="1"/>
  <c r="I418" i="18"/>
  <c r="J418" i="18" s="1"/>
  <c r="F418" i="18"/>
  <c r="E418" i="18"/>
  <c r="H418" i="18" s="1"/>
  <c r="D418" i="18"/>
  <c r="F417" i="18"/>
  <c r="D417" i="18"/>
  <c r="E417" i="18" s="1"/>
  <c r="D416" i="18"/>
  <c r="F416" i="18" s="1"/>
  <c r="D415" i="18"/>
  <c r="E415" i="18" s="1"/>
  <c r="F414" i="18"/>
  <c r="G414" i="18" s="1"/>
  <c r="E414" i="18"/>
  <c r="D414" i="18"/>
  <c r="D413" i="18"/>
  <c r="E413" i="18" s="1"/>
  <c r="E412" i="18"/>
  <c r="G412" i="18" s="1"/>
  <c r="D412" i="18"/>
  <c r="F412" i="18" s="1"/>
  <c r="D411" i="18"/>
  <c r="E411" i="18" s="1"/>
  <c r="I410" i="18"/>
  <c r="J410" i="18" s="1"/>
  <c r="F410" i="18"/>
  <c r="E410" i="18"/>
  <c r="H410" i="18" s="1"/>
  <c r="D410" i="18"/>
  <c r="F409" i="18"/>
  <c r="D409" i="18"/>
  <c r="E409" i="18" s="1"/>
  <c r="D408" i="18"/>
  <c r="F408" i="18" s="1"/>
  <c r="D407" i="18"/>
  <c r="E407" i="18" s="1"/>
  <c r="F406" i="18"/>
  <c r="G406" i="18" s="1"/>
  <c r="E406" i="18"/>
  <c r="D406" i="18"/>
  <c r="D405" i="18"/>
  <c r="E405" i="18" s="1"/>
  <c r="E404" i="18"/>
  <c r="G404" i="18" s="1"/>
  <c r="D404" i="18"/>
  <c r="F404" i="18" s="1"/>
  <c r="D403" i="18"/>
  <c r="E403" i="18" s="1"/>
  <c r="I402" i="18"/>
  <c r="J402" i="18" s="1"/>
  <c r="F402" i="18"/>
  <c r="E402" i="18"/>
  <c r="H402" i="18" s="1"/>
  <c r="D402" i="18"/>
  <c r="F401" i="18"/>
  <c r="D401" i="18"/>
  <c r="E401" i="18" s="1"/>
  <c r="D400" i="18"/>
  <c r="F400" i="18" s="1"/>
  <c r="D399" i="18"/>
  <c r="E399" i="18" s="1"/>
  <c r="D398" i="18"/>
  <c r="F398" i="18" s="1"/>
  <c r="F397" i="18"/>
  <c r="D397" i="18"/>
  <c r="E397" i="18" s="1"/>
  <c r="F396" i="18"/>
  <c r="E396" i="18"/>
  <c r="H396" i="18" s="1"/>
  <c r="I396" i="18" s="1"/>
  <c r="J396" i="18" s="1"/>
  <c r="D396" i="18"/>
  <c r="D395" i="18"/>
  <c r="E395" i="18" s="1"/>
  <c r="D394" i="18"/>
  <c r="F394" i="18" s="1"/>
  <c r="F393" i="18"/>
  <c r="D393" i="18"/>
  <c r="E393" i="18" s="1"/>
  <c r="F392" i="18"/>
  <c r="E392" i="18"/>
  <c r="H392" i="18" s="1"/>
  <c r="I392" i="18" s="1"/>
  <c r="J392" i="18" s="1"/>
  <c r="D392" i="18"/>
  <c r="D391" i="18"/>
  <c r="E391" i="18" s="1"/>
  <c r="D390" i="18"/>
  <c r="F390" i="18" s="1"/>
  <c r="F389" i="18"/>
  <c r="D389" i="18"/>
  <c r="E389" i="18" s="1"/>
  <c r="F388" i="18"/>
  <c r="E388" i="18"/>
  <c r="H388" i="18" s="1"/>
  <c r="I388" i="18" s="1"/>
  <c r="J388" i="18" s="1"/>
  <c r="D388" i="18"/>
  <c r="D387" i="18"/>
  <c r="E387" i="18" s="1"/>
  <c r="D386" i="18"/>
  <c r="F386" i="18" s="1"/>
  <c r="F385" i="18"/>
  <c r="D385" i="18"/>
  <c r="E385" i="18" s="1"/>
  <c r="F384" i="18"/>
  <c r="E384" i="18"/>
  <c r="H384" i="18" s="1"/>
  <c r="I384" i="18" s="1"/>
  <c r="J384" i="18" s="1"/>
  <c r="D384" i="18"/>
  <c r="D383" i="18"/>
  <c r="E383" i="18" s="1"/>
  <c r="D382" i="18"/>
  <c r="F382" i="18" s="1"/>
  <c r="F381" i="18"/>
  <c r="D381" i="18"/>
  <c r="E381" i="18" s="1"/>
  <c r="F380" i="18"/>
  <c r="E380" i="18"/>
  <c r="H380" i="18" s="1"/>
  <c r="I380" i="18" s="1"/>
  <c r="J380" i="18" s="1"/>
  <c r="D380" i="18"/>
  <c r="D379" i="18"/>
  <c r="E379" i="18" s="1"/>
  <c r="D378" i="18"/>
  <c r="F378" i="18" s="1"/>
  <c r="F377" i="18"/>
  <c r="D377" i="18"/>
  <c r="E377" i="18" s="1"/>
  <c r="F376" i="18"/>
  <c r="E376" i="18"/>
  <c r="H376" i="18" s="1"/>
  <c r="I376" i="18" s="1"/>
  <c r="J376" i="18" s="1"/>
  <c r="D376" i="18"/>
  <c r="D375" i="18"/>
  <c r="E375" i="18" s="1"/>
  <c r="D374" i="18"/>
  <c r="F374" i="18" s="1"/>
  <c r="F373" i="18"/>
  <c r="D373" i="18"/>
  <c r="E373" i="18" s="1"/>
  <c r="F372" i="18"/>
  <c r="E372" i="18"/>
  <c r="H372" i="18" s="1"/>
  <c r="I372" i="18" s="1"/>
  <c r="J372" i="18" s="1"/>
  <c r="D372" i="18"/>
  <c r="D371" i="18"/>
  <c r="E371" i="18" s="1"/>
  <c r="D370" i="18"/>
  <c r="F370" i="18" s="1"/>
  <c r="F369" i="18"/>
  <c r="D369" i="18"/>
  <c r="E369" i="18" s="1"/>
  <c r="F368" i="18"/>
  <c r="E368" i="18"/>
  <c r="H368" i="18" s="1"/>
  <c r="I368" i="18" s="1"/>
  <c r="J368" i="18" s="1"/>
  <c r="D368" i="18"/>
  <c r="D367" i="18"/>
  <c r="E367" i="18" s="1"/>
  <c r="D366" i="18"/>
  <c r="F366" i="18" s="1"/>
  <c r="F365" i="18"/>
  <c r="D365" i="18"/>
  <c r="E365" i="18" s="1"/>
  <c r="F364" i="18"/>
  <c r="E364" i="18"/>
  <c r="H364" i="18" s="1"/>
  <c r="I364" i="18" s="1"/>
  <c r="J364" i="18" s="1"/>
  <c r="D364" i="18"/>
  <c r="D363" i="18"/>
  <c r="E363" i="18" s="1"/>
  <c r="D362" i="18"/>
  <c r="F362" i="18" s="1"/>
  <c r="F361" i="18"/>
  <c r="D361" i="18"/>
  <c r="E361" i="18" s="1"/>
  <c r="F360" i="18"/>
  <c r="E360" i="18"/>
  <c r="H360" i="18" s="1"/>
  <c r="I360" i="18" s="1"/>
  <c r="J360" i="18" s="1"/>
  <c r="D360" i="18"/>
  <c r="D359" i="18"/>
  <c r="E359" i="18" s="1"/>
  <c r="D358" i="18"/>
  <c r="F358" i="18" s="1"/>
  <c r="F357" i="18"/>
  <c r="D357" i="18"/>
  <c r="E357" i="18" s="1"/>
  <c r="F356" i="18"/>
  <c r="E356" i="18"/>
  <c r="H356" i="18" s="1"/>
  <c r="I356" i="18" s="1"/>
  <c r="J356" i="18" s="1"/>
  <c r="D356" i="18"/>
  <c r="D355" i="18"/>
  <c r="E355" i="18" s="1"/>
  <c r="D354" i="18"/>
  <c r="F354" i="18" s="1"/>
  <c r="F353" i="18"/>
  <c r="D353" i="18"/>
  <c r="E353" i="18" s="1"/>
  <c r="F352" i="18"/>
  <c r="E352" i="18"/>
  <c r="H352" i="18" s="1"/>
  <c r="I352" i="18" s="1"/>
  <c r="J352" i="18" s="1"/>
  <c r="D352" i="18"/>
  <c r="D351" i="18"/>
  <c r="E351" i="18" s="1"/>
  <c r="D350" i="18"/>
  <c r="F350" i="18" s="1"/>
  <c r="F349" i="18"/>
  <c r="D349" i="18"/>
  <c r="E349" i="18" s="1"/>
  <c r="F348" i="18"/>
  <c r="E348" i="18"/>
  <c r="H348" i="18" s="1"/>
  <c r="I348" i="18" s="1"/>
  <c r="J348" i="18" s="1"/>
  <c r="D348" i="18"/>
  <c r="D347" i="18"/>
  <c r="E347" i="18" s="1"/>
  <c r="D346" i="18"/>
  <c r="F346" i="18" s="1"/>
  <c r="F345" i="18"/>
  <c r="D345" i="18"/>
  <c r="E345" i="18" s="1"/>
  <c r="F344" i="18"/>
  <c r="E344" i="18"/>
  <c r="H344" i="18" s="1"/>
  <c r="I344" i="18" s="1"/>
  <c r="J344" i="18" s="1"/>
  <c r="D344" i="18"/>
  <c r="D343" i="18"/>
  <c r="E343" i="18" s="1"/>
  <c r="D342" i="18"/>
  <c r="F342" i="18" s="1"/>
  <c r="F341" i="18"/>
  <c r="D341" i="18"/>
  <c r="E341" i="18" s="1"/>
  <c r="F340" i="18"/>
  <c r="E340" i="18"/>
  <c r="H340" i="18" s="1"/>
  <c r="I340" i="18" s="1"/>
  <c r="J340" i="18" s="1"/>
  <c r="D340" i="18"/>
  <c r="D339" i="18"/>
  <c r="E339" i="18" s="1"/>
  <c r="D338" i="18"/>
  <c r="F338" i="18" s="1"/>
  <c r="F337" i="18"/>
  <c r="D337" i="18"/>
  <c r="E337" i="18" s="1"/>
  <c r="F336" i="18"/>
  <c r="E336" i="18"/>
  <c r="H336" i="18" s="1"/>
  <c r="I336" i="18" s="1"/>
  <c r="J336" i="18" s="1"/>
  <c r="D336" i="18"/>
  <c r="D335" i="18"/>
  <c r="E335" i="18" s="1"/>
  <c r="D334" i="18"/>
  <c r="F334" i="18" s="1"/>
  <c r="F333" i="18"/>
  <c r="D333" i="18"/>
  <c r="E333" i="18" s="1"/>
  <c r="F332" i="18"/>
  <c r="E332" i="18"/>
  <c r="H332" i="18" s="1"/>
  <c r="I332" i="18" s="1"/>
  <c r="J332" i="18" s="1"/>
  <c r="D332" i="18"/>
  <c r="D331" i="18"/>
  <c r="E331" i="18" s="1"/>
  <c r="D330" i="18"/>
  <c r="F330" i="18" s="1"/>
  <c r="F329" i="18"/>
  <c r="D329" i="18"/>
  <c r="E329" i="18" s="1"/>
  <c r="F328" i="18"/>
  <c r="E328" i="18"/>
  <c r="H328" i="18" s="1"/>
  <c r="I328" i="18" s="1"/>
  <c r="J328" i="18" s="1"/>
  <c r="D328" i="18"/>
  <c r="D327" i="18"/>
  <c r="E327" i="18" s="1"/>
  <c r="D326" i="18"/>
  <c r="F326" i="18" s="1"/>
  <c r="F325" i="18"/>
  <c r="D325" i="18"/>
  <c r="E325" i="18" s="1"/>
  <c r="F324" i="18"/>
  <c r="E324" i="18"/>
  <c r="D324" i="18"/>
  <c r="D323" i="18"/>
  <c r="D322" i="18"/>
  <c r="F322" i="18" s="1"/>
  <c r="F321" i="18"/>
  <c r="G321" i="18" s="1"/>
  <c r="E321" i="18"/>
  <c r="H321" i="18" s="1"/>
  <c r="I321" i="18" s="1"/>
  <c r="J321" i="18" s="1"/>
  <c r="D321" i="18"/>
  <c r="F320" i="18"/>
  <c r="E320" i="18"/>
  <c r="D320" i="18"/>
  <c r="D319" i="18"/>
  <c r="D318" i="18"/>
  <c r="F318" i="18" s="1"/>
  <c r="F317" i="18"/>
  <c r="D317" i="18"/>
  <c r="E317" i="18" s="1"/>
  <c r="F316" i="18"/>
  <c r="E316" i="18"/>
  <c r="D316" i="18"/>
  <c r="D315" i="18"/>
  <c r="D314" i="18"/>
  <c r="F314" i="18" s="1"/>
  <c r="F313" i="18"/>
  <c r="D313" i="18"/>
  <c r="E313" i="18" s="1"/>
  <c r="F312" i="18"/>
  <c r="E312" i="18"/>
  <c r="D312" i="18"/>
  <c r="D311" i="18"/>
  <c r="D310" i="18"/>
  <c r="F310" i="18" s="1"/>
  <c r="F309" i="18"/>
  <c r="D309" i="18"/>
  <c r="E309" i="18" s="1"/>
  <c r="F308" i="18"/>
  <c r="E308" i="18"/>
  <c r="D308" i="18"/>
  <c r="D307" i="18"/>
  <c r="D306" i="18"/>
  <c r="F306" i="18" s="1"/>
  <c r="F305" i="18"/>
  <c r="D305" i="18"/>
  <c r="E305" i="18" s="1"/>
  <c r="F304" i="18"/>
  <c r="E304" i="18"/>
  <c r="D304" i="18"/>
  <c r="D303" i="18"/>
  <c r="D302" i="18"/>
  <c r="F302" i="18" s="1"/>
  <c r="F301" i="18"/>
  <c r="D301" i="18"/>
  <c r="E301" i="18" s="1"/>
  <c r="F300" i="18"/>
  <c r="E300" i="18"/>
  <c r="D300" i="18"/>
  <c r="D299" i="18"/>
  <c r="D298" i="18"/>
  <c r="F298" i="18" s="1"/>
  <c r="F297" i="18"/>
  <c r="G297" i="18" s="1"/>
  <c r="E297" i="18"/>
  <c r="H297" i="18" s="1"/>
  <c r="I297" i="18" s="1"/>
  <c r="J297" i="18" s="1"/>
  <c r="D297" i="18"/>
  <c r="F296" i="18"/>
  <c r="E296" i="18"/>
  <c r="D296" i="18"/>
  <c r="D295" i="18"/>
  <c r="D294" i="18"/>
  <c r="F294" i="18" s="1"/>
  <c r="F293" i="18"/>
  <c r="G293" i="18" s="1"/>
  <c r="E293" i="18"/>
  <c r="H293" i="18" s="1"/>
  <c r="I293" i="18" s="1"/>
  <c r="J293" i="18" s="1"/>
  <c r="D293" i="18"/>
  <c r="F292" i="18"/>
  <c r="E292" i="18"/>
  <c r="D292" i="18"/>
  <c r="D291" i="18"/>
  <c r="D290" i="18"/>
  <c r="F290" i="18" s="1"/>
  <c r="F289" i="18"/>
  <c r="G289" i="18" s="1"/>
  <c r="E289" i="18"/>
  <c r="H289" i="18" s="1"/>
  <c r="I289" i="18" s="1"/>
  <c r="J289" i="18" s="1"/>
  <c r="D289" i="18"/>
  <c r="F288" i="18"/>
  <c r="E288" i="18"/>
  <c r="D288" i="18"/>
  <c r="D287" i="18"/>
  <c r="D286" i="18"/>
  <c r="F286" i="18" s="1"/>
  <c r="F285" i="18"/>
  <c r="G285" i="18" s="1"/>
  <c r="E285" i="18"/>
  <c r="H285" i="18" s="1"/>
  <c r="I285" i="18" s="1"/>
  <c r="J285" i="18" s="1"/>
  <c r="D285" i="18"/>
  <c r="F284" i="18"/>
  <c r="E284" i="18"/>
  <c r="D284" i="18"/>
  <c r="D283" i="18"/>
  <c r="D282" i="18"/>
  <c r="F282" i="18" s="1"/>
  <c r="F281" i="18"/>
  <c r="G281" i="18" s="1"/>
  <c r="E281" i="18"/>
  <c r="H281" i="18" s="1"/>
  <c r="I281" i="18" s="1"/>
  <c r="J281" i="18" s="1"/>
  <c r="D281" i="18"/>
  <c r="F280" i="18"/>
  <c r="E280" i="18"/>
  <c r="D280" i="18"/>
  <c r="D279" i="18"/>
  <c r="D278" i="18"/>
  <c r="F278" i="18" s="1"/>
  <c r="F277" i="18"/>
  <c r="G277" i="18" s="1"/>
  <c r="E277" i="18"/>
  <c r="H277" i="18" s="1"/>
  <c r="I277" i="18" s="1"/>
  <c r="J277" i="18" s="1"/>
  <c r="D277" i="18"/>
  <c r="F276" i="18"/>
  <c r="E276" i="18"/>
  <c r="D276" i="18"/>
  <c r="D275" i="18"/>
  <c r="D274" i="18"/>
  <c r="F274" i="18" s="1"/>
  <c r="F273" i="18"/>
  <c r="G273" i="18" s="1"/>
  <c r="E273" i="18"/>
  <c r="H273" i="18" s="1"/>
  <c r="I273" i="18" s="1"/>
  <c r="J273" i="18" s="1"/>
  <c r="D273" i="18"/>
  <c r="F272" i="18"/>
  <c r="E272" i="18"/>
  <c r="D272" i="18"/>
  <c r="D271" i="18"/>
  <c r="D270" i="18"/>
  <c r="F270" i="18" s="1"/>
  <c r="F269" i="18"/>
  <c r="D269" i="18"/>
  <c r="E269" i="18" s="1"/>
  <c r="F268" i="18"/>
  <c r="E268" i="18"/>
  <c r="D268" i="18"/>
  <c r="D267" i="18"/>
  <c r="D266" i="18"/>
  <c r="F266" i="18" s="1"/>
  <c r="F265" i="18"/>
  <c r="D265" i="18"/>
  <c r="E265" i="18" s="1"/>
  <c r="F264" i="18"/>
  <c r="E264" i="18"/>
  <c r="D264" i="18"/>
  <c r="D263" i="18"/>
  <c r="D262" i="18"/>
  <c r="F262" i="18" s="1"/>
  <c r="F261" i="18"/>
  <c r="D261" i="18"/>
  <c r="E261" i="18" s="1"/>
  <c r="F260" i="18"/>
  <c r="E260" i="18"/>
  <c r="D260" i="18"/>
  <c r="E259" i="18"/>
  <c r="G259" i="18" s="1"/>
  <c r="D259" i="18"/>
  <c r="F259" i="18" s="1"/>
  <c r="D258" i="18"/>
  <c r="F257" i="18"/>
  <c r="D257" i="18"/>
  <c r="E257" i="18" s="1"/>
  <c r="H257" i="18" s="1"/>
  <c r="I257" i="18" s="1"/>
  <c r="J257" i="18" s="1"/>
  <c r="F256" i="18"/>
  <c r="E256" i="18"/>
  <c r="D256" i="18"/>
  <c r="E255" i="18"/>
  <c r="G255" i="18" s="1"/>
  <c r="D255" i="18"/>
  <c r="F255" i="18" s="1"/>
  <c r="D254" i="18"/>
  <c r="F253" i="18"/>
  <c r="D253" i="18"/>
  <c r="E253" i="18" s="1"/>
  <c r="H253" i="18" s="1"/>
  <c r="I253" i="18" s="1"/>
  <c r="J253" i="18" s="1"/>
  <c r="F252" i="18"/>
  <c r="E252" i="18"/>
  <c r="D252" i="18"/>
  <c r="E251" i="18"/>
  <c r="G251" i="18" s="1"/>
  <c r="D251" i="18"/>
  <c r="F251" i="18" s="1"/>
  <c r="D250" i="18"/>
  <c r="F249" i="18"/>
  <c r="D249" i="18"/>
  <c r="E249" i="18" s="1"/>
  <c r="H249" i="18" s="1"/>
  <c r="I249" i="18" s="1"/>
  <c r="J249" i="18" s="1"/>
  <c r="F248" i="18"/>
  <c r="E248" i="18"/>
  <c r="D248" i="18"/>
  <c r="E247" i="18"/>
  <c r="G247" i="18" s="1"/>
  <c r="D247" i="18"/>
  <c r="F247" i="18" s="1"/>
  <c r="D246" i="18"/>
  <c r="F245" i="18"/>
  <c r="D245" i="18"/>
  <c r="E245" i="18" s="1"/>
  <c r="H245" i="18" s="1"/>
  <c r="I245" i="18" s="1"/>
  <c r="J245" i="18" s="1"/>
  <c r="F244" i="18"/>
  <c r="E244" i="18"/>
  <c r="D244" i="18"/>
  <c r="E243" i="18"/>
  <c r="G243" i="18" s="1"/>
  <c r="D243" i="18"/>
  <c r="F243" i="18" s="1"/>
  <c r="D242" i="18"/>
  <c r="F241" i="18"/>
  <c r="D241" i="18"/>
  <c r="E241" i="18" s="1"/>
  <c r="H241" i="18" s="1"/>
  <c r="I241" i="18" s="1"/>
  <c r="J241" i="18" s="1"/>
  <c r="F240" i="18"/>
  <c r="E240" i="18"/>
  <c r="D240" i="18"/>
  <c r="E239" i="18"/>
  <c r="G239" i="18" s="1"/>
  <c r="D239" i="18"/>
  <c r="F239" i="18" s="1"/>
  <c r="D238" i="18"/>
  <c r="F237" i="18"/>
  <c r="D237" i="18"/>
  <c r="E237" i="18" s="1"/>
  <c r="H237" i="18" s="1"/>
  <c r="I237" i="18" s="1"/>
  <c r="J237" i="18" s="1"/>
  <c r="F236" i="18"/>
  <c r="E236" i="18"/>
  <c r="D236" i="18"/>
  <c r="E235" i="18"/>
  <c r="G235" i="18" s="1"/>
  <c r="D235" i="18"/>
  <c r="F235" i="18" s="1"/>
  <c r="D234" i="18"/>
  <c r="F233" i="18"/>
  <c r="D233" i="18"/>
  <c r="E233" i="18" s="1"/>
  <c r="H233" i="18" s="1"/>
  <c r="I233" i="18" s="1"/>
  <c r="J233" i="18" s="1"/>
  <c r="F232" i="18"/>
  <c r="E232" i="18"/>
  <c r="D232" i="18"/>
  <c r="E231" i="18"/>
  <c r="G231" i="18" s="1"/>
  <c r="D231" i="18"/>
  <c r="F231" i="18" s="1"/>
  <c r="D230" i="18"/>
  <c r="F229" i="18"/>
  <c r="D229" i="18"/>
  <c r="E229" i="18" s="1"/>
  <c r="H229" i="18" s="1"/>
  <c r="I229" i="18" s="1"/>
  <c r="J229" i="18" s="1"/>
  <c r="F228" i="18"/>
  <c r="E228" i="18"/>
  <c r="D228" i="18"/>
  <c r="E227" i="18"/>
  <c r="G227" i="18" s="1"/>
  <c r="D227" i="18"/>
  <c r="F227" i="18" s="1"/>
  <c r="D226" i="18"/>
  <c r="F225" i="18"/>
  <c r="D225" i="18"/>
  <c r="E225" i="18" s="1"/>
  <c r="H225" i="18" s="1"/>
  <c r="I225" i="18" s="1"/>
  <c r="J225" i="18" s="1"/>
  <c r="F224" i="18"/>
  <c r="E224" i="18"/>
  <c r="D224" i="18"/>
  <c r="E223" i="18"/>
  <c r="G223" i="18" s="1"/>
  <c r="D223" i="18"/>
  <c r="F223" i="18" s="1"/>
  <c r="D222" i="18"/>
  <c r="F221" i="18"/>
  <c r="D221" i="18"/>
  <c r="E221" i="18" s="1"/>
  <c r="H221" i="18" s="1"/>
  <c r="I221" i="18" s="1"/>
  <c r="J221" i="18" s="1"/>
  <c r="F220" i="18"/>
  <c r="E220" i="18"/>
  <c r="D220" i="18"/>
  <c r="E219" i="18"/>
  <c r="G219" i="18" s="1"/>
  <c r="D219" i="18"/>
  <c r="F219" i="18" s="1"/>
  <c r="D218" i="18"/>
  <c r="F217" i="18"/>
  <c r="D217" i="18"/>
  <c r="E217" i="18" s="1"/>
  <c r="H217" i="18" s="1"/>
  <c r="I217" i="18" s="1"/>
  <c r="J217" i="18" s="1"/>
  <c r="F216" i="18"/>
  <c r="E216" i="18"/>
  <c r="D216" i="18"/>
  <c r="D215" i="18"/>
  <c r="E215" i="18" s="1"/>
  <c r="D214" i="18"/>
  <c r="F214" i="18" s="1"/>
  <c r="F213" i="18"/>
  <c r="G213" i="18" s="1"/>
  <c r="E213" i="18"/>
  <c r="H213" i="18" s="1"/>
  <c r="I213" i="18" s="1"/>
  <c r="J213" i="18" s="1"/>
  <c r="D213" i="18"/>
  <c r="F212" i="18"/>
  <c r="E212" i="18"/>
  <c r="H212" i="18" s="1"/>
  <c r="I212" i="18" s="1"/>
  <c r="J212" i="18" s="1"/>
  <c r="D212" i="18"/>
  <c r="D211" i="18"/>
  <c r="E211" i="18" s="1"/>
  <c r="D210" i="18"/>
  <c r="F210" i="18" s="1"/>
  <c r="F209" i="18"/>
  <c r="G209" i="18" s="1"/>
  <c r="E209" i="18"/>
  <c r="H209" i="18" s="1"/>
  <c r="I209" i="18" s="1"/>
  <c r="J209" i="18" s="1"/>
  <c r="D209" i="18"/>
  <c r="F208" i="18"/>
  <c r="E208" i="18"/>
  <c r="H208" i="18" s="1"/>
  <c r="I208" i="18" s="1"/>
  <c r="J208" i="18" s="1"/>
  <c r="D208" i="18"/>
  <c r="D207" i="18"/>
  <c r="E207" i="18" s="1"/>
  <c r="D206" i="18"/>
  <c r="F206" i="18" s="1"/>
  <c r="F205" i="18"/>
  <c r="G205" i="18" s="1"/>
  <c r="E205" i="18"/>
  <c r="H205" i="18" s="1"/>
  <c r="I205" i="18" s="1"/>
  <c r="J205" i="18" s="1"/>
  <c r="D205" i="18"/>
  <c r="F204" i="18"/>
  <c r="E204" i="18"/>
  <c r="H204" i="18" s="1"/>
  <c r="I204" i="18" s="1"/>
  <c r="J204" i="18" s="1"/>
  <c r="D204" i="18"/>
  <c r="D203" i="18"/>
  <c r="E203" i="18" s="1"/>
  <c r="D202" i="18"/>
  <c r="F202" i="18" s="1"/>
  <c r="F201" i="18"/>
  <c r="G201" i="18" s="1"/>
  <c r="E201" i="18"/>
  <c r="H201" i="18" s="1"/>
  <c r="I201" i="18" s="1"/>
  <c r="J201" i="18" s="1"/>
  <c r="D201" i="18"/>
  <c r="F200" i="18"/>
  <c r="E200" i="18"/>
  <c r="H200" i="18" s="1"/>
  <c r="I200" i="18" s="1"/>
  <c r="J200" i="18" s="1"/>
  <c r="D200" i="18"/>
  <c r="D199" i="18"/>
  <c r="E199" i="18" s="1"/>
  <c r="D198" i="18"/>
  <c r="F198" i="18" s="1"/>
  <c r="F197" i="18"/>
  <c r="D197" i="18"/>
  <c r="E197" i="18" s="1"/>
  <c r="F196" i="18"/>
  <c r="E196" i="18"/>
  <c r="H196" i="18" s="1"/>
  <c r="I196" i="18" s="1"/>
  <c r="J196" i="18" s="1"/>
  <c r="D196" i="18"/>
  <c r="D195" i="18"/>
  <c r="E195" i="18" s="1"/>
  <c r="D194" i="18"/>
  <c r="F194" i="18" s="1"/>
  <c r="F193" i="18"/>
  <c r="D193" i="18"/>
  <c r="E193" i="18" s="1"/>
  <c r="F192" i="18"/>
  <c r="E192" i="18"/>
  <c r="H192" i="18" s="1"/>
  <c r="I192" i="18" s="1"/>
  <c r="J192" i="18" s="1"/>
  <c r="D192" i="18"/>
  <c r="D191" i="18"/>
  <c r="E191" i="18" s="1"/>
  <c r="D190" i="18"/>
  <c r="F190" i="18" s="1"/>
  <c r="F189" i="18"/>
  <c r="D189" i="18"/>
  <c r="E189" i="18" s="1"/>
  <c r="F188" i="18"/>
  <c r="E188" i="18"/>
  <c r="H188" i="18" s="1"/>
  <c r="I188" i="18" s="1"/>
  <c r="J188" i="18" s="1"/>
  <c r="D188" i="18"/>
  <c r="D187" i="18"/>
  <c r="E187" i="18" s="1"/>
  <c r="D186" i="18"/>
  <c r="F186" i="18" s="1"/>
  <c r="F185" i="18"/>
  <c r="D185" i="18"/>
  <c r="E185" i="18" s="1"/>
  <c r="F184" i="18"/>
  <c r="E184" i="18"/>
  <c r="H184" i="18" s="1"/>
  <c r="I184" i="18" s="1"/>
  <c r="J184" i="18" s="1"/>
  <c r="D184" i="18"/>
  <c r="D183" i="18"/>
  <c r="E183" i="18" s="1"/>
  <c r="D182" i="18"/>
  <c r="F182" i="18" s="1"/>
  <c r="F181" i="18"/>
  <c r="D181" i="18"/>
  <c r="E181" i="18" s="1"/>
  <c r="F180" i="18"/>
  <c r="E180" i="18"/>
  <c r="H180" i="18" s="1"/>
  <c r="I180" i="18" s="1"/>
  <c r="J180" i="18" s="1"/>
  <c r="D180" i="18"/>
  <c r="D179" i="18"/>
  <c r="E179" i="18" s="1"/>
  <c r="D178" i="18"/>
  <c r="F178" i="18" s="1"/>
  <c r="F177" i="18"/>
  <c r="G177" i="18" s="1"/>
  <c r="E177" i="18"/>
  <c r="H177" i="18" s="1"/>
  <c r="I177" i="18" s="1"/>
  <c r="J177" i="18" s="1"/>
  <c r="D177" i="18"/>
  <c r="F176" i="18"/>
  <c r="E176" i="18"/>
  <c r="H176" i="18" s="1"/>
  <c r="I176" i="18" s="1"/>
  <c r="J176" i="18" s="1"/>
  <c r="D176" i="18"/>
  <c r="D175" i="18"/>
  <c r="E175" i="18" s="1"/>
  <c r="D174" i="18"/>
  <c r="F174" i="18" s="1"/>
  <c r="F173" i="18"/>
  <c r="D173" i="18"/>
  <c r="E173" i="18" s="1"/>
  <c r="F172" i="18"/>
  <c r="E172" i="18"/>
  <c r="H172" i="18" s="1"/>
  <c r="I172" i="18" s="1"/>
  <c r="J172" i="18" s="1"/>
  <c r="D172" i="18"/>
  <c r="D171" i="18"/>
  <c r="E171" i="18" s="1"/>
  <c r="D170" i="18"/>
  <c r="F170" i="18" s="1"/>
  <c r="F169" i="18"/>
  <c r="D169" i="18"/>
  <c r="E169" i="18" s="1"/>
  <c r="F168" i="18"/>
  <c r="E168" i="18"/>
  <c r="H168" i="18" s="1"/>
  <c r="I168" i="18" s="1"/>
  <c r="J168" i="18" s="1"/>
  <c r="D168" i="18"/>
  <c r="D167" i="18"/>
  <c r="E167" i="18" s="1"/>
  <c r="D166" i="18"/>
  <c r="F166" i="18" s="1"/>
  <c r="F165" i="18"/>
  <c r="D165" i="18"/>
  <c r="E165" i="18" s="1"/>
  <c r="F164" i="18"/>
  <c r="E164" i="18"/>
  <c r="H164" i="18" s="1"/>
  <c r="I164" i="18" s="1"/>
  <c r="J164" i="18" s="1"/>
  <c r="D164" i="18"/>
  <c r="D163" i="18"/>
  <c r="E163" i="18" s="1"/>
  <c r="D162" i="18"/>
  <c r="F162" i="18" s="1"/>
  <c r="F161" i="18"/>
  <c r="D161" i="18"/>
  <c r="E161" i="18" s="1"/>
  <c r="F160" i="18"/>
  <c r="E160" i="18"/>
  <c r="H160" i="18" s="1"/>
  <c r="I160" i="18" s="1"/>
  <c r="J160" i="18" s="1"/>
  <c r="D160" i="18"/>
  <c r="D159" i="18"/>
  <c r="E159" i="18" s="1"/>
  <c r="D158" i="18"/>
  <c r="F158" i="18" s="1"/>
  <c r="F157" i="18"/>
  <c r="D157" i="18"/>
  <c r="E157" i="18" s="1"/>
  <c r="F156" i="18"/>
  <c r="E156" i="18"/>
  <c r="H156" i="18" s="1"/>
  <c r="I156" i="18" s="1"/>
  <c r="J156" i="18" s="1"/>
  <c r="D156" i="18"/>
  <c r="D155" i="18"/>
  <c r="E155" i="18" s="1"/>
  <c r="D154" i="18"/>
  <c r="F154" i="18" s="1"/>
  <c r="F153" i="18"/>
  <c r="D153" i="18"/>
  <c r="E153" i="18" s="1"/>
  <c r="F152" i="18"/>
  <c r="E152" i="18"/>
  <c r="H152" i="18" s="1"/>
  <c r="I152" i="18" s="1"/>
  <c r="J152" i="18" s="1"/>
  <c r="D152" i="18"/>
  <c r="D151" i="18"/>
  <c r="E151" i="18" s="1"/>
  <c r="D150" i="18"/>
  <c r="F150" i="18" s="1"/>
  <c r="F149" i="18"/>
  <c r="D149" i="18"/>
  <c r="E149" i="18" s="1"/>
  <c r="F148" i="18"/>
  <c r="E148" i="18"/>
  <c r="H148" i="18" s="1"/>
  <c r="I148" i="18" s="1"/>
  <c r="J148" i="18" s="1"/>
  <c r="D148" i="18"/>
  <c r="D147" i="18"/>
  <c r="E147" i="18" s="1"/>
  <c r="D146" i="18"/>
  <c r="F146" i="18" s="1"/>
  <c r="F145" i="18"/>
  <c r="D145" i="18"/>
  <c r="E145" i="18" s="1"/>
  <c r="F144" i="18"/>
  <c r="E144" i="18"/>
  <c r="H144" i="18" s="1"/>
  <c r="I144" i="18" s="1"/>
  <c r="J144" i="18" s="1"/>
  <c r="D144" i="18"/>
  <c r="D143" i="18"/>
  <c r="E143" i="18" s="1"/>
  <c r="D142" i="18"/>
  <c r="F142" i="18" s="1"/>
  <c r="F141" i="18"/>
  <c r="D141" i="18"/>
  <c r="E141" i="18" s="1"/>
  <c r="F140" i="18"/>
  <c r="E140" i="18"/>
  <c r="H140" i="18" s="1"/>
  <c r="I140" i="18" s="1"/>
  <c r="J140" i="18" s="1"/>
  <c r="D140" i="18"/>
  <c r="D139" i="18"/>
  <c r="E139" i="18" s="1"/>
  <c r="D138" i="18"/>
  <c r="F138" i="18" s="1"/>
  <c r="F137" i="18"/>
  <c r="D137" i="18"/>
  <c r="E137" i="18" s="1"/>
  <c r="F136" i="18"/>
  <c r="E136" i="18"/>
  <c r="H136" i="18" s="1"/>
  <c r="I136" i="18" s="1"/>
  <c r="J136" i="18" s="1"/>
  <c r="D136" i="18"/>
  <c r="D135" i="18"/>
  <c r="E135" i="18" s="1"/>
  <c r="D134" i="18"/>
  <c r="F134" i="18" s="1"/>
  <c r="F133" i="18"/>
  <c r="D133" i="18"/>
  <c r="E133" i="18" s="1"/>
  <c r="E132" i="18"/>
  <c r="H132" i="18" s="1"/>
  <c r="I132" i="18" s="1"/>
  <c r="J132" i="18" s="1"/>
  <c r="D132" i="18"/>
  <c r="F132" i="18" s="1"/>
  <c r="D131" i="18"/>
  <c r="E131" i="18" s="1"/>
  <c r="D130" i="18"/>
  <c r="F130" i="18" s="1"/>
  <c r="F129" i="18"/>
  <c r="D129" i="18"/>
  <c r="E129" i="18" s="1"/>
  <c r="E128" i="18"/>
  <c r="D128" i="18"/>
  <c r="F128" i="18" s="1"/>
  <c r="D127" i="18"/>
  <c r="E127" i="18" s="1"/>
  <c r="D126" i="18"/>
  <c r="F126" i="18" s="1"/>
  <c r="F125" i="18"/>
  <c r="D125" i="18"/>
  <c r="E125" i="18" s="1"/>
  <c r="E124" i="18"/>
  <c r="H124" i="18" s="1"/>
  <c r="I124" i="18" s="1"/>
  <c r="J124" i="18" s="1"/>
  <c r="D124" i="18"/>
  <c r="F124" i="18" s="1"/>
  <c r="D123" i="18"/>
  <c r="E123" i="18" s="1"/>
  <c r="D122" i="18"/>
  <c r="F122" i="18" s="1"/>
  <c r="F121" i="18"/>
  <c r="D121" i="18"/>
  <c r="E121" i="18" s="1"/>
  <c r="E120" i="18"/>
  <c r="D120" i="18"/>
  <c r="F120" i="18" s="1"/>
  <c r="D119" i="18"/>
  <c r="E119" i="18" s="1"/>
  <c r="E118" i="18"/>
  <c r="D118" i="18"/>
  <c r="F118" i="18" s="1"/>
  <c r="G118" i="18" s="1"/>
  <c r="F117" i="18"/>
  <c r="D117" i="18"/>
  <c r="E117" i="18" s="1"/>
  <c r="E116" i="18"/>
  <c r="D116" i="18"/>
  <c r="F116" i="18" s="1"/>
  <c r="D115" i="18"/>
  <c r="E115" i="18" s="1"/>
  <c r="D114" i="18"/>
  <c r="F114" i="18" s="1"/>
  <c r="F113" i="18"/>
  <c r="D113" i="18"/>
  <c r="E113" i="18" s="1"/>
  <c r="E112" i="18"/>
  <c r="D112" i="18"/>
  <c r="F112" i="18" s="1"/>
  <c r="D111" i="18"/>
  <c r="E111" i="18" s="1"/>
  <c r="D110" i="18"/>
  <c r="F110" i="18" s="1"/>
  <c r="F109" i="18"/>
  <c r="D109" i="18"/>
  <c r="E109" i="18" s="1"/>
  <c r="E108" i="18"/>
  <c r="D108" i="18"/>
  <c r="F108" i="18" s="1"/>
  <c r="D107" i="18"/>
  <c r="E107" i="18" s="1"/>
  <c r="D106" i="18"/>
  <c r="F106" i="18" s="1"/>
  <c r="F105" i="18"/>
  <c r="D105" i="18"/>
  <c r="E105" i="18" s="1"/>
  <c r="E104" i="18"/>
  <c r="D104" i="18"/>
  <c r="F104" i="18" s="1"/>
  <c r="D103" i="18"/>
  <c r="E103" i="18" s="1"/>
  <c r="D102" i="18"/>
  <c r="F102" i="18" s="1"/>
  <c r="F101" i="18"/>
  <c r="D101" i="18"/>
  <c r="E101" i="18" s="1"/>
  <c r="E100" i="18"/>
  <c r="D100" i="18"/>
  <c r="F100" i="18" s="1"/>
  <c r="D99" i="18"/>
  <c r="E99" i="18" s="1"/>
  <c r="D98" i="18"/>
  <c r="F98" i="18" s="1"/>
  <c r="F97" i="18"/>
  <c r="D97" i="18"/>
  <c r="E97" i="18" s="1"/>
  <c r="E96" i="18"/>
  <c r="D96" i="18"/>
  <c r="F96" i="18" s="1"/>
  <c r="D95" i="18"/>
  <c r="E95" i="18" s="1"/>
  <c r="D94" i="18"/>
  <c r="F94" i="18" s="1"/>
  <c r="F93" i="18"/>
  <c r="D93" i="18"/>
  <c r="E93" i="18" s="1"/>
  <c r="E92" i="18"/>
  <c r="D92" i="18"/>
  <c r="F92" i="18" s="1"/>
  <c r="D91" i="18"/>
  <c r="E91" i="18" s="1"/>
  <c r="D90" i="18"/>
  <c r="F90" i="18" s="1"/>
  <c r="F89" i="18"/>
  <c r="D89" i="18"/>
  <c r="E89" i="18" s="1"/>
  <c r="E88" i="18"/>
  <c r="D88" i="18"/>
  <c r="F88" i="18" s="1"/>
  <c r="D87" i="18"/>
  <c r="E87" i="18" s="1"/>
  <c r="D86" i="18"/>
  <c r="F86" i="18" s="1"/>
  <c r="F85" i="18"/>
  <c r="D85" i="18"/>
  <c r="E85" i="18" s="1"/>
  <c r="E84" i="18"/>
  <c r="D84" i="18"/>
  <c r="F84" i="18" s="1"/>
  <c r="D83" i="18"/>
  <c r="E83" i="18" s="1"/>
  <c r="D82" i="18"/>
  <c r="F82" i="18" s="1"/>
  <c r="F81" i="18"/>
  <c r="D81" i="18"/>
  <c r="E81" i="18" s="1"/>
  <c r="E80" i="18"/>
  <c r="D80" i="18"/>
  <c r="F80" i="18" s="1"/>
  <c r="D79" i="18"/>
  <c r="E79" i="18" s="1"/>
  <c r="D78" i="18"/>
  <c r="F78" i="18" s="1"/>
  <c r="F77" i="18"/>
  <c r="D77" i="18"/>
  <c r="E77" i="18" s="1"/>
  <c r="E76" i="18"/>
  <c r="D76" i="18"/>
  <c r="F76" i="18" s="1"/>
  <c r="D75" i="18"/>
  <c r="E75" i="18" s="1"/>
  <c r="D74" i="18"/>
  <c r="F74" i="18" s="1"/>
  <c r="F73" i="18"/>
  <c r="D73" i="18"/>
  <c r="E73" i="18" s="1"/>
  <c r="E72" i="18"/>
  <c r="D72" i="18"/>
  <c r="F72" i="18" s="1"/>
  <c r="D71" i="18"/>
  <c r="E71" i="18" s="1"/>
  <c r="D70" i="18"/>
  <c r="F70" i="18" s="1"/>
  <c r="F69" i="18"/>
  <c r="D69" i="18"/>
  <c r="E69" i="18" s="1"/>
  <c r="E68" i="18"/>
  <c r="D68" i="18"/>
  <c r="F68" i="18" s="1"/>
  <c r="D67" i="18"/>
  <c r="E67" i="18" s="1"/>
  <c r="F66" i="18"/>
  <c r="D66" i="18"/>
  <c r="E66" i="18" s="1"/>
  <c r="F65" i="18"/>
  <c r="E65" i="18"/>
  <c r="G65" i="18" s="1"/>
  <c r="D65" i="18"/>
  <c r="E64" i="18"/>
  <c r="D64" i="18"/>
  <c r="F64" i="18" s="1"/>
  <c r="D63" i="18"/>
  <c r="E63" i="18" s="1"/>
  <c r="D62" i="18"/>
  <c r="F62" i="18" s="1"/>
  <c r="F61" i="18"/>
  <c r="D61" i="18"/>
  <c r="E61" i="18" s="1"/>
  <c r="E60" i="18"/>
  <c r="D60" i="18"/>
  <c r="F60" i="18" s="1"/>
  <c r="D59" i="18"/>
  <c r="E59" i="18" s="1"/>
  <c r="D58" i="18"/>
  <c r="F58" i="18" s="1"/>
  <c r="F57" i="18"/>
  <c r="D57" i="18"/>
  <c r="E57" i="18" s="1"/>
  <c r="E56" i="18"/>
  <c r="D56" i="18"/>
  <c r="F56" i="18" s="1"/>
  <c r="D55" i="18"/>
  <c r="E55" i="18" s="1"/>
  <c r="D54" i="18"/>
  <c r="F54" i="18" s="1"/>
  <c r="F53" i="18"/>
  <c r="D53" i="18"/>
  <c r="E53" i="18" s="1"/>
  <c r="E52" i="18"/>
  <c r="D52" i="18"/>
  <c r="F52" i="18" s="1"/>
  <c r="D51" i="18"/>
  <c r="E51" i="18" s="1"/>
  <c r="D50" i="18"/>
  <c r="F50" i="18" s="1"/>
  <c r="F49" i="18"/>
  <c r="D49" i="18"/>
  <c r="E49" i="18" s="1"/>
  <c r="E48" i="18"/>
  <c r="D48" i="18"/>
  <c r="F48" i="18" s="1"/>
  <c r="D47" i="18"/>
  <c r="E47" i="18" s="1"/>
  <c r="D46" i="18"/>
  <c r="F46" i="18" s="1"/>
  <c r="D45" i="18"/>
  <c r="F45" i="18" s="1"/>
  <c r="D44" i="18"/>
  <c r="F44" i="18" s="1"/>
  <c r="D43" i="18"/>
  <c r="E43" i="18" s="1"/>
  <c r="D42" i="18"/>
  <c r="F42" i="18" s="1"/>
  <c r="D41" i="18"/>
  <c r="F41" i="18" s="1"/>
  <c r="D40" i="18"/>
  <c r="F40" i="18" s="1"/>
  <c r="D39" i="18"/>
  <c r="E39" i="18" s="1"/>
  <c r="E38" i="18"/>
  <c r="H38" i="18" s="1"/>
  <c r="I38" i="18" s="1"/>
  <c r="J38" i="18" s="1"/>
  <c r="D38" i="18"/>
  <c r="F38" i="18" s="1"/>
  <c r="D37" i="18"/>
  <c r="F37" i="18" s="1"/>
  <c r="D36" i="18"/>
  <c r="F36" i="18" s="1"/>
  <c r="F35" i="18"/>
  <c r="D35" i="18"/>
  <c r="E35" i="18" s="1"/>
  <c r="E34" i="18"/>
  <c r="D34" i="18"/>
  <c r="F34" i="18" s="1"/>
  <c r="D33" i="18"/>
  <c r="F33" i="18" s="1"/>
  <c r="D32" i="18"/>
  <c r="F32" i="18" s="1"/>
  <c r="F31" i="18"/>
  <c r="D31" i="18"/>
  <c r="E31" i="18" s="1"/>
  <c r="E30" i="18"/>
  <c r="H30" i="18" s="1"/>
  <c r="I30" i="18" s="1"/>
  <c r="J30" i="18" s="1"/>
  <c r="D30" i="18"/>
  <c r="F30" i="18" s="1"/>
  <c r="D29" i="18"/>
  <c r="F29" i="18" s="1"/>
  <c r="D28" i="18"/>
  <c r="F28" i="18" s="1"/>
  <c r="D27" i="18"/>
  <c r="E27" i="18" s="1"/>
  <c r="D26" i="18"/>
  <c r="F26" i="18" s="1"/>
  <c r="D25" i="18"/>
  <c r="F25" i="18" s="1"/>
  <c r="D24" i="18"/>
  <c r="F24" i="18" s="1"/>
  <c r="D23" i="18"/>
  <c r="E23" i="18" s="1"/>
  <c r="D22" i="18"/>
  <c r="F22" i="18" s="1"/>
  <c r="F21" i="18"/>
  <c r="D21" i="18"/>
  <c r="E21" i="18" s="1"/>
  <c r="F20" i="18"/>
  <c r="E20" i="18"/>
  <c r="H20" i="18" s="1"/>
  <c r="I20" i="18" s="1"/>
  <c r="J20" i="18" s="1"/>
  <c r="D20" i="18"/>
  <c r="D19" i="18"/>
  <c r="E19" i="18" s="1"/>
  <c r="D18" i="18"/>
  <c r="F18" i="18" s="1"/>
  <c r="F17" i="18"/>
  <c r="D17" i="18"/>
  <c r="E17" i="18" s="1"/>
  <c r="F16" i="18"/>
  <c r="E16" i="18"/>
  <c r="H16" i="18" s="1"/>
  <c r="I16" i="18" s="1"/>
  <c r="J16" i="18" s="1"/>
  <c r="D16" i="18"/>
  <c r="D15" i="18"/>
  <c r="E15" i="18" s="1"/>
  <c r="D14" i="18"/>
  <c r="F14" i="18" s="1"/>
  <c r="F13" i="18"/>
  <c r="D13" i="18"/>
  <c r="E13" i="18" s="1"/>
  <c r="F12" i="18"/>
  <c r="E12" i="18"/>
  <c r="H12" i="18" s="1"/>
  <c r="I12" i="18" s="1"/>
  <c r="J12" i="18" s="1"/>
  <c r="D12" i="18"/>
  <c r="D11" i="18"/>
  <c r="E11" i="18" s="1"/>
  <c r="D10" i="18"/>
  <c r="F10" i="18" s="1"/>
  <c r="F9" i="18"/>
  <c r="D9" i="18"/>
  <c r="E9" i="18" s="1"/>
  <c r="F8" i="18"/>
  <c r="E8" i="18"/>
  <c r="H8" i="18" s="1"/>
  <c r="I8" i="18" s="1"/>
  <c r="J8" i="18" s="1"/>
  <c r="D8" i="18"/>
  <c r="D7" i="18"/>
  <c r="E7" i="18" s="1"/>
  <c r="D6" i="18"/>
  <c r="F6" i="18" s="1"/>
  <c r="F5" i="18"/>
  <c r="D5" i="18"/>
  <c r="E5" i="18" s="1"/>
  <c r="F4" i="18"/>
  <c r="E4" i="18"/>
  <c r="H4" i="18" s="1"/>
  <c r="I4" i="18" s="1"/>
  <c r="J4" i="18" s="1"/>
  <c r="D4" i="18"/>
  <c r="D3" i="18"/>
  <c r="E3" i="18" s="1"/>
  <c r="D2" i="18"/>
  <c r="F2" i="18" s="1"/>
  <c r="D4" i="17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501" i="16"/>
  <c r="J502" i="16"/>
  <c r="J503" i="16"/>
  <c r="J504" i="16"/>
  <c r="J505" i="16"/>
  <c r="J506" i="16"/>
  <c r="J507" i="16"/>
  <c r="J508" i="16"/>
  <c r="J509" i="16"/>
  <c r="J510" i="16"/>
  <c r="J511" i="16"/>
  <c r="J512" i="16"/>
  <c r="J513" i="16"/>
  <c r="J514" i="16"/>
  <c r="J515" i="16"/>
  <c r="J516" i="16"/>
  <c r="J517" i="16"/>
  <c r="J518" i="16"/>
  <c r="J519" i="16"/>
  <c r="J520" i="16"/>
  <c r="J521" i="16"/>
  <c r="J522" i="16"/>
  <c r="J523" i="16"/>
  <c r="J524" i="16"/>
  <c r="J525" i="16"/>
  <c r="J526" i="16"/>
  <c r="J527" i="16"/>
  <c r="J528" i="16"/>
  <c r="J529" i="16"/>
  <c r="J530" i="16"/>
  <c r="J531" i="16"/>
  <c r="J532" i="16"/>
  <c r="J533" i="16"/>
  <c r="J534" i="16"/>
  <c r="J535" i="16"/>
  <c r="J536" i="16"/>
  <c r="J537" i="16"/>
  <c r="J538" i="16"/>
  <c r="J539" i="16"/>
  <c r="J540" i="16"/>
  <c r="J541" i="16"/>
  <c r="J542" i="16"/>
  <c r="J543" i="16"/>
  <c r="J544" i="16"/>
  <c r="J545" i="16"/>
  <c r="J546" i="16"/>
  <c r="J547" i="16"/>
  <c r="J548" i="16"/>
  <c r="J549" i="16"/>
  <c r="J550" i="16"/>
  <c r="J551" i="16"/>
  <c r="J552" i="16"/>
  <c r="J553" i="16"/>
  <c r="J554" i="16"/>
  <c r="J555" i="16"/>
  <c r="J556" i="16"/>
  <c r="J557" i="16"/>
  <c r="J558" i="16"/>
  <c r="J559" i="16"/>
  <c r="J560" i="16"/>
  <c r="J561" i="16"/>
  <c r="J562" i="16"/>
  <c r="J563" i="16"/>
  <c r="J564" i="16"/>
  <c r="J565" i="16"/>
  <c r="J566" i="16"/>
  <c r="J567" i="16"/>
  <c r="J568" i="16"/>
  <c r="J569" i="16"/>
  <c r="J570" i="16"/>
  <c r="J571" i="16"/>
  <c r="J572" i="16"/>
  <c r="J573" i="16"/>
  <c r="J574" i="16"/>
  <c r="J575" i="16"/>
  <c r="J576" i="16"/>
  <c r="J577" i="16"/>
  <c r="J578" i="16"/>
  <c r="J579" i="16"/>
  <c r="J580" i="16"/>
  <c r="J581" i="16"/>
  <c r="J582" i="16"/>
  <c r="J583" i="16"/>
  <c r="J584" i="16"/>
  <c r="J585" i="16"/>
  <c r="J586" i="16"/>
  <c r="J587" i="16"/>
  <c r="J588" i="16"/>
  <c r="J589" i="16"/>
  <c r="J590" i="16"/>
  <c r="J591" i="16"/>
  <c r="J592" i="16"/>
  <c r="J593" i="16"/>
  <c r="J594" i="16"/>
  <c r="J595" i="16"/>
  <c r="J596" i="16"/>
  <c r="J597" i="16"/>
  <c r="J598" i="16"/>
  <c r="J599" i="16"/>
  <c r="J600" i="16"/>
  <c r="J601" i="16"/>
  <c r="J602" i="16"/>
  <c r="J603" i="16"/>
  <c r="J604" i="16"/>
  <c r="J605" i="16"/>
  <c r="J606" i="16"/>
  <c r="J607" i="16"/>
  <c r="J608" i="16"/>
  <c r="J609" i="16"/>
  <c r="J610" i="16"/>
  <c r="J611" i="16"/>
  <c r="J612" i="16"/>
  <c r="J613" i="16"/>
  <c r="J614" i="16"/>
  <c r="J615" i="16"/>
  <c r="J616" i="16"/>
  <c r="J617" i="16"/>
  <c r="J618" i="16"/>
  <c r="J619" i="16"/>
  <c r="J620" i="16"/>
  <c r="J621" i="16"/>
  <c r="J622" i="16"/>
  <c r="J623" i="16"/>
  <c r="J624" i="16"/>
  <c r="J625" i="16"/>
  <c r="J626" i="16"/>
  <c r="J627" i="16"/>
  <c r="J628" i="16"/>
  <c r="J629" i="16"/>
  <c r="J630" i="16"/>
  <c r="J631" i="16"/>
  <c r="J632" i="16"/>
  <c r="J633" i="16"/>
  <c r="J634" i="16"/>
  <c r="J635" i="16"/>
  <c r="J636" i="16"/>
  <c r="J637" i="16"/>
  <c r="J638" i="16"/>
  <c r="J639" i="16"/>
  <c r="J640" i="16"/>
  <c r="J641" i="16"/>
  <c r="J642" i="16"/>
  <c r="J643" i="16"/>
  <c r="J644" i="16"/>
  <c r="J645" i="16"/>
  <c r="J646" i="16"/>
  <c r="J647" i="16"/>
  <c r="J648" i="16"/>
  <c r="J649" i="16"/>
  <c r="J650" i="16"/>
  <c r="J651" i="16"/>
  <c r="J652" i="16"/>
  <c r="J653" i="16"/>
  <c r="J654" i="16"/>
  <c r="J655" i="16"/>
  <c r="J656" i="16"/>
  <c r="J657" i="16"/>
  <c r="J658" i="16"/>
  <c r="J659" i="16"/>
  <c r="J660" i="16"/>
  <c r="J661" i="16"/>
  <c r="J662" i="16"/>
  <c r="J663" i="16"/>
  <c r="J664" i="16"/>
  <c r="J665" i="16"/>
  <c r="J666" i="16"/>
  <c r="J667" i="16"/>
  <c r="J668" i="16"/>
  <c r="J669" i="16"/>
  <c r="J670" i="16"/>
  <c r="J671" i="16"/>
  <c r="J672" i="16"/>
  <c r="J673" i="16"/>
  <c r="J674" i="16"/>
  <c r="J675" i="16"/>
  <c r="J676" i="16"/>
  <c r="J677" i="16"/>
  <c r="J678" i="16"/>
  <c r="J679" i="16"/>
  <c r="J680" i="16"/>
  <c r="J681" i="16"/>
  <c r="J682" i="16"/>
  <c r="J683" i="16"/>
  <c r="J684" i="16"/>
  <c r="J685" i="16"/>
  <c r="J686" i="16"/>
  <c r="J687" i="16"/>
  <c r="J688" i="16"/>
  <c r="J689" i="16"/>
  <c r="J690" i="16"/>
  <c r="J691" i="16"/>
  <c r="J692" i="16"/>
  <c r="J693" i="16"/>
  <c r="J694" i="16"/>
  <c r="J695" i="16"/>
  <c r="J696" i="16"/>
  <c r="J697" i="16"/>
  <c r="J698" i="16"/>
  <c r="J699" i="16"/>
  <c r="J700" i="16"/>
  <c r="J701" i="16"/>
  <c r="J702" i="16"/>
  <c r="J703" i="16"/>
  <c r="J704" i="16"/>
  <c r="J705" i="16"/>
  <c r="J706" i="16"/>
  <c r="J707" i="16"/>
  <c r="J708" i="16"/>
  <c r="J709" i="16"/>
  <c r="J710" i="16"/>
  <c r="J711" i="16"/>
  <c r="J712" i="16"/>
  <c r="J713" i="16"/>
  <c r="J714" i="16"/>
  <c r="J715" i="16"/>
  <c r="J716" i="16"/>
  <c r="J717" i="16"/>
  <c r="J718" i="16"/>
  <c r="J719" i="16"/>
  <c r="J720" i="16"/>
  <c r="J721" i="16"/>
  <c r="J722" i="16"/>
  <c r="J723" i="16"/>
  <c r="J724" i="16"/>
  <c r="J725" i="16"/>
  <c r="J726" i="16"/>
  <c r="J727" i="16"/>
  <c r="J728" i="16"/>
  <c r="J729" i="16"/>
  <c r="J730" i="16"/>
  <c r="J731" i="16"/>
  <c r="J732" i="16"/>
  <c r="J733" i="16"/>
  <c r="J734" i="16"/>
  <c r="J735" i="16"/>
  <c r="J736" i="16"/>
  <c r="J737" i="16"/>
  <c r="J738" i="16"/>
  <c r="J739" i="16"/>
  <c r="J740" i="16"/>
  <c r="J741" i="16"/>
  <c r="J742" i="16"/>
  <c r="J743" i="16"/>
  <c r="J744" i="16"/>
  <c r="J745" i="16"/>
  <c r="J746" i="16"/>
  <c r="J747" i="16"/>
  <c r="J748" i="16"/>
  <c r="J749" i="16"/>
  <c r="J750" i="16"/>
  <c r="J751" i="16"/>
  <c r="J752" i="16"/>
  <c r="J753" i="16"/>
  <c r="J754" i="16"/>
  <c r="J755" i="16"/>
  <c r="J756" i="16"/>
  <c r="J757" i="16"/>
  <c r="J758" i="16"/>
  <c r="J759" i="16"/>
  <c r="J760" i="16"/>
  <c r="J761" i="16"/>
  <c r="J762" i="16"/>
  <c r="J763" i="16"/>
  <c r="J764" i="16"/>
  <c r="J765" i="16"/>
  <c r="J766" i="16"/>
  <c r="J767" i="16"/>
  <c r="J768" i="16"/>
  <c r="J769" i="16"/>
  <c r="J770" i="16"/>
  <c r="J771" i="16"/>
  <c r="J772" i="16"/>
  <c r="J773" i="16"/>
  <c r="J774" i="16"/>
  <c r="J775" i="16"/>
  <c r="J776" i="16"/>
  <c r="J777" i="16"/>
  <c r="J778" i="16"/>
  <c r="J779" i="16"/>
  <c r="J780" i="16"/>
  <c r="J781" i="16"/>
  <c r="J782" i="16"/>
  <c r="J783" i="16"/>
  <c r="J784" i="16"/>
  <c r="J785" i="16"/>
  <c r="J786" i="16"/>
  <c r="J787" i="16"/>
  <c r="J788" i="16"/>
  <c r="J789" i="16"/>
  <c r="J790" i="16"/>
  <c r="J791" i="16"/>
  <c r="J792" i="16"/>
  <c r="J793" i="16"/>
  <c r="J794" i="16"/>
  <c r="J795" i="16"/>
  <c r="J796" i="16"/>
  <c r="J797" i="16"/>
  <c r="J798" i="16"/>
  <c r="J799" i="16"/>
  <c r="J800" i="16"/>
  <c r="J801" i="16"/>
  <c r="J802" i="16"/>
  <c r="J803" i="16"/>
  <c r="J804" i="16"/>
  <c r="J805" i="16"/>
  <c r="J806" i="16"/>
  <c r="J807" i="16"/>
  <c r="J808" i="16"/>
  <c r="J809" i="16"/>
  <c r="J810" i="16"/>
  <c r="J811" i="16"/>
  <c r="J812" i="16"/>
  <c r="J813" i="16"/>
  <c r="J814" i="16"/>
  <c r="J815" i="16"/>
  <c r="J816" i="16"/>
  <c r="J817" i="16"/>
  <c r="J818" i="16"/>
  <c r="J819" i="16"/>
  <c r="J820" i="16"/>
  <c r="J821" i="16"/>
  <c r="J822" i="16"/>
  <c r="J823" i="16"/>
  <c r="J824" i="16"/>
  <c r="J825" i="16"/>
  <c r="J826" i="16"/>
  <c r="J827" i="16"/>
  <c r="J828" i="16"/>
  <c r="J829" i="16"/>
  <c r="J830" i="16"/>
  <c r="J831" i="16"/>
  <c r="J832" i="16"/>
  <c r="J833" i="16"/>
  <c r="J834" i="16"/>
  <c r="J835" i="16"/>
  <c r="J836" i="16"/>
  <c r="J837" i="16"/>
  <c r="J838" i="16"/>
  <c r="J839" i="16"/>
  <c r="J840" i="16"/>
  <c r="J841" i="16"/>
  <c r="J842" i="16"/>
  <c r="J843" i="16"/>
  <c r="J844" i="16"/>
  <c r="J845" i="16"/>
  <c r="J846" i="16"/>
  <c r="J847" i="16"/>
  <c r="J848" i="16"/>
  <c r="J849" i="16"/>
  <c r="J850" i="16"/>
  <c r="J851" i="16"/>
  <c r="J852" i="16"/>
  <c r="J853" i="16"/>
  <c r="J854" i="16"/>
  <c r="J855" i="16"/>
  <c r="J856" i="16"/>
  <c r="J857" i="16"/>
  <c r="J858" i="16"/>
  <c r="J859" i="16"/>
  <c r="J860" i="16"/>
  <c r="J861" i="16"/>
  <c r="J862" i="16"/>
  <c r="J863" i="16"/>
  <c r="J864" i="16"/>
  <c r="J865" i="16"/>
  <c r="J866" i="16"/>
  <c r="J867" i="16"/>
  <c r="J868" i="16"/>
  <c r="J869" i="16"/>
  <c r="J870" i="16"/>
  <c r="J871" i="16"/>
  <c r="J872" i="16"/>
  <c r="J873" i="16"/>
  <c r="J874" i="16"/>
  <c r="J875" i="16"/>
  <c r="J876" i="16"/>
  <c r="J877" i="16"/>
  <c r="J878" i="16"/>
  <c r="J879" i="16"/>
  <c r="J880" i="16"/>
  <c r="J881" i="16"/>
  <c r="J882" i="16"/>
  <c r="J883" i="16"/>
  <c r="J884" i="16"/>
  <c r="J885" i="16"/>
  <c r="J886" i="16"/>
  <c r="J887" i="16"/>
  <c r="J888" i="16"/>
  <c r="J889" i="16"/>
  <c r="J890" i="16"/>
  <c r="J891" i="16"/>
  <c r="J892" i="16"/>
  <c r="J893" i="16"/>
  <c r="J894" i="16"/>
  <c r="J895" i="16"/>
  <c r="J896" i="16"/>
  <c r="J897" i="16"/>
  <c r="J898" i="16"/>
  <c r="J899" i="16"/>
  <c r="J900" i="16"/>
  <c r="J901" i="16"/>
  <c r="J902" i="16"/>
  <c r="J903" i="16"/>
  <c r="J904" i="16"/>
  <c r="J905" i="16"/>
  <c r="J906" i="16"/>
  <c r="J907" i="16"/>
  <c r="J908" i="16"/>
  <c r="J909" i="16"/>
  <c r="J910" i="16"/>
  <c r="J911" i="16"/>
  <c r="J912" i="16"/>
  <c r="J913" i="16"/>
  <c r="J914" i="16"/>
  <c r="J915" i="16"/>
  <c r="J916" i="16"/>
  <c r="J917" i="16"/>
  <c r="J918" i="16"/>
  <c r="J919" i="16"/>
  <c r="J920" i="16"/>
  <c r="J921" i="16"/>
  <c r="J922" i="16"/>
  <c r="J923" i="16"/>
  <c r="J924" i="16"/>
  <c r="J925" i="16"/>
  <c r="J926" i="16"/>
  <c r="J927" i="16"/>
  <c r="J928" i="16"/>
  <c r="J929" i="16"/>
  <c r="J930" i="16"/>
  <c r="J931" i="16"/>
  <c r="J932" i="16"/>
  <c r="J933" i="16"/>
  <c r="J934" i="16"/>
  <c r="J935" i="16"/>
  <c r="J936" i="16"/>
  <c r="J937" i="16"/>
  <c r="J938" i="16"/>
  <c r="J939" i="16"/>
  <c r="J940" i="16"/>
  <c r="J941" i="16"/>
  <c r="J942" i="16"/>
  <c r="J943" i="16"/>
  <c r="J944" i="16"/>
  <c r="J945" i="16"/>
  <c r="J946" i="16"/>
  <c r="J947" i="16"/>
  <c r="J948" i="16"/>
  <c r="J949" i="16"/>
  <c r="J950" i="16"/>
  <c r="J951" i="16"/>
  <c r="J952" i="16"/>
  <c r="J953" i="16"/>
  <c r="J954" i="16"/>
  <c r="J955" i="16"/>
  <c r="J956" i="16"/>
  <c r="J957" i="16"/>
  <c r="J958" i="16"/>
  <c r="J959" i="16"/>
  <c r="J960" i="16"/>
  <c r="J961" i="16"/>
  <c r="J962" i="16"/>
  <c r="J963" i="16"/>
  <c r="J964" i="16"/>
  <c r="J965" i="16"/>
  <c r="J966" i="16"/>
  <c r="J967" i="16"/>
  <c r="J968" i="16"/>
  <c r="J969" i="16"/>
  <c r="J970" i="16"/>
  <c r="J971" i="16"/>
  <c r="J972" i="16"/>
  <c r="J973" i="16"/>
  <c r="J974" i="16"/>
  <c r="J975" i="16"/>
  <c r="J976" i="16"/>
  <c r="J977" i="16"/>
  <c r="J978" i="16"/>
  <c r="J979" i="16"/>
  <c r="J980" i="16"/>
  <c r="J981" i="16"/>
  <c r="J982" i="16"/>
  <c r="J983" i="16"/>
  <c r="J984" i="16"/>
  <c r="J985" i="16"/>
  <c r="J986" i="16"/>
  <c r="J987" i="16"/>
  <c r="J988" i="16"/>
  <c r="J989" i="16"/>
  <c r="J990" i="16"/>
  <c r="J991" i="16"/>
  <c r="J992" i="16"/>
  <c r="J993" i="16"/>
  <c r="J994" i="16"/>
  <c r="J995" i="16"/>
  <c r="J996" i="16"/>
  <c r="J997" i="16"/>
  <c r="J998" i="16"/>
  <c r="J999" i="16"/>
  <c r="J1000" i="16"/>
  <c r="J1001" i="16"/>
  <c r="J2" i="16"/>
  <c r="D1001" i="16"/>
  <c r="D1000" i="16"/>
  <c r="E1000" i="16" s="1"/>
  <c r="H999" i="16"/>
  <c r="I999" i="16" s="1"/>
  <c r="F999" i="16"/>
  <c r="D999" i="16"/>
  <c r="E999" i="16" s="1"/>
  <c r="D998" i="16"/>
  <c r="D997" i="16"/>
  <c r="D996" i="16"/>
  <c r="E996" i="16" s="1"/>
  <c r="H995" i="16"/>
  <c r="I995" i="16" s="1"/>
  <c r="F995" i="16"/>
  <c r="D995" i="16"/>
  <c r="E995" i="16" s="1"/>
  <c r="D994" i="16"/>
  <c r="E994" i="16" s="1"/>
  <c r="D993" i="16"/>
  <c r="D992" i="16"/>
  <c r="E992" i="16" s="1"/>
  <c r="H991" i="16"/>
  <c r="I991" i="16" s="1"/>
  <c r="F991" i="16"/>
  <c r="D991" i="16"/>
  <c r="E991" i="16" s="1"/>
  <c r="F990" i="16"/>
  <c r="D990" i="16"/>
  <c r="E990" i="16" s="1"/>
  <c r="D989" i="16"/>
  <c r="D988" i="16"/>
  <c r="E988" i="16" s="1"/>
  <c r="H987" i="16"/>
  <c r="I987" i="16" s="1"/>
  <c r="F987" i="16"/>
  <c r="D987" i="16"/>
  <c r="E987" i="16" s="1"/>
  <c r="D986" i="16"/>
  <c r="E986" i="16" s="1"/>
  <c r="D985" i="16"/>
  <c r="D984" i="16"/>
  <c r="E984" i="16" s="1"/>
  <c r="H983" i="16"/>
  <c r="I983" i="16" s="1"/>
  <c r="F983" i="16"/>
  <c r="D983" i="16"/>
  <c r="E983" i="16" s="1"/>
  <c r="D982" i="16"/>
  <c r="D981" i="16"/>
  <c r="D980" i="16"/>
  <c r="E980" i="16" s="1"/>
  <c r="H979" i="16"/>
  <c r="I979" i="16" s="1"/>
  <c r="F979" i="16"/>
  <c r="D979" i="16"/>
  <c r="E979" i="16" s="1"/>
  <c r="D978" i="16"/>
  <c r="E978" i="16" s="1"/>
  <c r="D977" i="16"/>
  <c r="D976" i="16"/>
  <c r="E976" i="16" s="1"/>
  <c r="H975" i="16"/>
  <c r="I975" i="16" s="1"/>
  <c r="F975" i="16"/>
  <c r="D975" i="16"/>
  <c r="E975" i="16" s="1"/>
  <c r="F974" i="16"/>
  <c r="D974" i="16"/>
  <c r="E974" i="16" s="1"/>
  <c r="D973" i="16"/>
  <c r="D972" i="16"/>
  <c r="E972" i="16" s="1"/>
  <c r="H971" i="16"/>
  <c r="I971" i="16" s="1"/>
  <c r="F971" i="16"/>
  <c r="D971" i="16"/>
  <c r="E971" i="16" s="1"/>
  <c r="D970" i="16"/>
  <c r="D969" i="16"/>
  <c r="D968" i="16"/>
  <c r="E968" i="16" s="1"/>
  <c r="H967" i="16"/>
  <c r="I967" i="16" s="1"/>
  <c r="F967" i="16"/>
  <c r="D967" i="16"/>
  <c r="E967" i="16" s="1"/>
  <c r="D966" i="16"/>
  <c r="D965" i="16"/>
  <c r="D964" i="16"/>
  <c r="E964" i="16" s="1"/>
  <c r="H963" i="16"/>
  <c r="I963" i="16" s="1"/>
  <c r="F963" i="16"/>
  <c r="D963" i="16"/>
  <c r="E963" i="16" s="1"/>
  <c r="D962" i="16"/>
  <c r="E962" i="16" s="1"/>
  <c r="D961" i="16"/>
  <c r="D960" i="16"/>
  <c r="E960" i="16" s="1"/>
  <c r="H959" i="16"/>
  <c r="I959" i="16" s="1"/>
  <c r="F959" i="16"/>
  <c r="D959" i="16"/>
  <c r="E959" i="16" s="1"/>
  <c r="F958" i="16"/>
  <c r="D958" i="16"/>
  <c r="E958" i="16" s="1"/>
  <c r="D957" i="16"/>
  <c r="D956" i="16"/>
  <c r="E956" i="16" s="1"/>
  <c r="H955" i="16"/>
  <c r="I955" i="16" s="1"/>
  <c r="F955" i="16"/>
  <c r="D955" i="16"/>
  <c r="E955" i="16" s="1"/>
  <c r="D954" i="16"/>
  <c r="E954" i="16" s="1"/>
  <c r="D953" i="16"/>
  <c r="D952" i="16"/>
  <c r="E952" i="16" s="1"/>
  <c r="H951" i="16"/>
  <c r="I951" i="16" s="1"/>
  <c r="F951" i="16"/>
  <c r="D951" i="16"/>
  <c r="E951" i="16" s="1"/>
  <c r="F950" i="16"/>
  <c r="D950" i="16"/>
  <c r="E950" i="16" s="1"/>
  <c r="F949" i="16"/>
  <c r="D949" i="16"/>
  <c r="E949" i="16" s="1"/>
  <c r="D948" i="16"/>
  <c r="E948" i="16" s="1"/>
  <c r="D947" i="16"/>
  <c r="D946" i="16"/>
  <c r="D945" i="16"/>
  <c r="G944" i="16"/>
  <c r="F944" i="16"/>
  <c r="D944" i="16"/>
  <c r="E944" i="16" s="1"/>
  <c r="H944" i="16" s="1"/>
  <c r="I944" i="16" s="1"/>
  <c r="D943" i="16"/>
  <c r="F943" i="16" s="1"/>
  <c r="F942" i="16"/>
  <c r="G942" i="16" s="1"/>
  <c r="D942" i="16"/>
  <c r="E942" i="16" s="1"/>
  <c r="E941" i="16"/>
  <c r="D941" i="16"/>
  <c r="F941" i="16" s="1"/>
  <c r="F940" i="16"/>
  <c r="D940" i="16"/>
  <c r="E940" i="16" s="1"/>
  <c r="D939" i="16"/>
  <c r="F939" i="16" s="1"/>
  <c r="F938" i="16"/>
  <c r="D938" i="16"/>
  <c r="E938" i="16" s="1"/>
  <c r="D937" i="16"/>
  <c r="G936" i="16"/>
  <c r="F936" i="16"/>
  <c r="D936" i="16"/>
  <c r="E936" i="16" s="1"/>
  <c r="H936" i="16" s="1"/>
  <c r="I936" i="16" s="1"/>
  <c r="D935" i="16"/>
  <c r="F935" i="16" s="1"/>
  <c r="G934" i="16"/>
  <c r="F934" i="16"/>
  <c r="D934" i="16"/>
  <c r="E934" i="16" s="1"/>
  <c r="E933" i="16"/>
  <c r="D933" i="16"/>
  <c r="F933" i="16" s="1"/>
  <c r="F932" i="16"/>
  <c r="D932" i="16"/>
  <c r="E932" i="16" s="1"/>
  <c r="D931" i="16"/>
  <c r="F930" i="16"/>
  <c r="D930" i="16"/>
  <c r="E930" i="16" s="1"/>
  <c r="D929" i="16"/>
  <c r="G928" i="16"/>
  <c r="F928" i="16"/>
  <c r="D928" i="16"/>
  <c r="E928" i="16" s="1"/>
  <c r="H928" i="16" s="1"/>
  <c r="I928" i="16" s="1"/>
  <c r="D927" i="16"/>
  <c r="F927" i="16" s="1"/>
  <c r="F926" i="16"/>
  <c r="G926" i="16" s="1"/>
  <c r="D926" i="16"/>
  <c r="E926" i="16" s="1"/>
  <c r="E925" i="16"/>
  <c r="D925" i="16"/>
  <c r="F925" i="16" s="1"/>
  <c r="F924" i="16"/>
  <c r="H924" i="16" s="1"/>
  <c r="I924" i="16" s="1"/>
  <c r="D924" i="16"/>
  <c r="E924" i="16" s="1"/>
  <c r="H923" i="16"/>
  <c r="I923" i="16" s="1"/>
  <c r="F923" i="16"/>
  <c r="D923" i="16"/>
  <c r="E923" i="16" s="1"/>
  <c r="G923" i="16" s="1"/>
  <c r="D922" i="16"/>
  <c r="E922" i="16" s="1"/>
  <c r="D921" i="16"/>
  <c r="D920" i="16"/>
  <c r="E919" i="16"/>
  <c r="D919" i="16"/>
  <c r="F919" i="16" s="1"/>
  <c r="D918" i="16"/>
  <c r="G917" i="16"/>
  <c r="F917" i="16"/>
  <c r="D917" i="16"/>
  <c r="E917" i="16" s="1"/>
  <c r="H917" i="16" s="1"/>
  <c r="I917" i="16" s="1"/>
  <c r="D916" i="16"/>
  <c r="F916" i="16" s="1"/>
  <c r="G915" i="16"/>
  <c r="F915" i="16"/>
  <c r="D915" i="16"/>
  <c r="E915" i="16" s="1"/>
  <c r="E914" i="16"/>
  <c r="D914" i="16"/>
  <c r="F914" i="16" s="1"/>
  <c r="F913" i="16"/>
  <c r="D913" i="16"/>
  <c r="E913" i="16" s="1"/>
  <c r="E912" i="16"/>
  <c r="D912" i="16"/>
  <c r="F912" i="16" s="1"/>
  <c r="F911" i="16"/>
  <c r="D911" i="16"/>
  <c r="E911" i="16" s="1"/>
  <c r="D910" i="16"/>
  <c r="G909" i="16"/>
  <c r="F909" i="16"/>
  <c r="D909" i="16"/>
  <c r="E909" i="16" s="1"/>
  <c r="H909" i="16" s="1"/>
  <c r="I909" i="16" s="1"/>
  <c r="D908" i="16"/>
  <c r="F908" i="16" s="1"/>
  <c r="G907" i="16"/>
  <c r="F907" i="16"/>
  <c r="D907" i="16"/>
  <c r="E907" i="16" s="1"/>
  <c r="E906" i="16"/>
  <c r="D906" i="16"/>
  <c r="F906" i="16" s="1"/>
  <c r="F905" i="16"/>
  <c r="D905" i="16"/>
  <c r="E905" i="16" s="1"/>
  <c r="E904" i="16"/>
  <c r="D904" i="16"/>
  <c r="F904" i="16" s="1"/>
  <c r="F903" i="16"/>
  <c r="D903" i="16"/>
  <c r="E903" i="16" s="1"/>
  <c r="D902" i="16"/>
  <c r="G901" i="16"/>
  <c r="F901" i="16"/>
  <c r="D901" i="16"/>
  <c r="E901" i="16" s="1"/>
  <c r="H901" i="16" s="1"/>
  <c r="I901" i="16" s="1"/>
  <c r="D900" i="16"/>
  <c r="F900" i="16" s="1"/>
  <c r="G899" i="16"/>
  <c r="F899" i="16"/>
  <c r="D899" i="16"/>
  <c r="E899" i="16" s="1"/>
  <c r="E898" i="16"/>
  <c r="D898" i="16"/>
  <c r="F898" i="16" s="1"/>
  <c r="F897" i="16"/>
  <c r="D897" i="16"/>
  <c r="E897" i="16" s="1"/>
  <c r="E896" i="16"/>
  <c r="D896" i="16"/>
  <c r="F896" i="16" s="1"/>
  <c r="F895" i="16"/>
  <c r="D895" i="16"/>
  <c r="E895" i="16" s="1"/>
  <c r="D894" i="16"/>
  <c r="G893" i="16"/>
  <c r="F893" i="16"/>
  <c r="D893" i="16"/>
  <c r="E893" i="16" s="1"/>
  <c r="H893" i="16" s="1"/>
  <c r="I893" i="16" s="1"/>
  <c r="D892" i="16"/>
  <c r="F892" i="16" s="1"/>
  <c r="G891" i="16"/>
  <c r="F891" i="16"/>
  <c r="D891" i="16"/>
  <c r="E891" i="16" s="1"/>
  <c r="E890" i="16"/>
  <c r="D890" i="16"/>
  <c r="F890" i="16" s="1"/>
  <c r="F889" i="16"/>
  <c r="D889" i="16"/>
  <c r="E889" i="16" s="1"/>
  <c r="E888" i="16"/>
  <c r="D888" i="16"/>
  <c r="F888" i="16" s="1"/>
  <c r="F887" i="16"/>
  <c r="D887" i="16"/>
  <c r="E887" i="16" s="1"/>
  <c r="D886" i="16"/>
  <c r="G885" i="16"/>
  <c r="F885" i="16"/>
  <c r="D885" i="16"/>
  <c r="E885" i="16" s="1"/>
  <c r="H885" i="16" s="1"/>
  <c r="I885" i="16" s="1"/>
  <c r="D884" i="16"/>
  <c r="F884" i="16" s="1"/>
  <c r="G883" i="16"/>
  <c r="F883" i="16"/>
  <c r="D883" i="16"/>
  <c r="E883" i="16" s="1"/>
  <c r="E882" i="16"/>
  <c r="D882" i="16"/>
  <c r="F882" i="16" s="1"/>
  <c r="F881" i="16"/>
  <c r="D881" i="16"/>
  <c r="E881" i="16" s="1"/>
  <c r="E880" i="16"/>
  <c r="D880" i="16"/>
  <c r="F880" i="16" s="1"/>
  <c r="F879" i="16"/>
  <c r="D879" i="16"/>
  <c r="E879" i="16" s="1"/>
  <c r="D878" i="16"/>
  <c r="G877" i="16"/>
  <c r="F877" i="16"/>
  <c r="D877" i="16"/>
  <c r="E877" i="16" s="1"/>
  <c r="H877" i="16" s="1"/>
  <c r="I877" i="16" s="1"/>
  <c r="D876" i="16"/>
  <c r="G875" i="16"/>
  <c r="F875" i="16"/>
  <c r="D875" i="16"/>
  <c r="E875" i="16" s="1"/>
  <c r="H874" i="16"/>
  <c r="I874" i="16" s="1"/>
  <c r="E874" i="16"/>
  <c r="G874" i="16" s="1"/>
  <c r="D874" i="16"/>
  <c r="F874" i="16" s="1"/>
  <c r="F873" i="16"/>
  <c r="G873" i="16" s="1"/>
  <c r="D873" i="16"/>
  <c r="E873" i="16" s="1"/>
  <c r="D872" i="16"/>
  <c r="F871" i="16"/>
  <c r="D871" i="16"/>
  <c r="E871" i="16" s="1"/>
  <c r="E870" i="16"/>
  <c r="D870" i="16"/>
  <c r="F870" i="16" s="1"/>
  <c r="F869" i="16"/>
  <c r="D869" i="16"/>
  <c r="E869" i="16" s="1"/>
  <c r="D868" i="16"/>
  <c r="G867" i="16"/>
  <c r="F867" i="16"/>
  <c r="D867" i="16"/>
  <c r="E867" i="16" s="1"/>
  <c r="H866" i="16"/>
  <c r="I866" i="16" s="1"/>
  <c r="E866" i="16"/>
  <c r="G866" i="16" s="1"/>
  <c r="D866" i="16"/>
  <c r="F866" i="16" s="1"/>
  <c r="F865" i="16"/>
  <c r="G865" i="16" s="1"/>
  <c r="D865" i="16"/>
  <c r="E865" i="16" s="1"/>
  <c r="D864" i="16"/>
  <c r="F863" i="16"/>
  <c r="D863" i="16"/>
  <c r="E863" i="16" s="1"/>
  <c r="H862" i="16"/>
  <c r="I862" i="16" s="1"/>
  <c r="F862" i="16"/>
  <c r="E862" i="16"/>
  <c r="G862" i="16" s="1"/>
  <c r="D862" i="16"/>
  <c r="H861" i="16"/>
  <c r="I861" i="16" s="1"/>
  <c r="F861" i="16"/>
  <c r="D861" i="16"/>
  <c r="E861" i="16" s="1"/>
  <c r="G861" i="16" s="1"/>
  <c r="D860" i="16"/>
  <c r="D859" i="16"/>
  <c r="F858" i="16"/>
  <c r="E858" i="16"/>
  <c r="D858" i="16"/>
  <c r="F857" i="16"/>
  <c r="D857" i="16"/>
  <c r="E857" i="16" s="1"/>
  <c r="F856" i="16"/>
  <c r="D856" i="16"/>
  <c r="E856" i="16" s="1"/>
  <c r="D855" i="16"/>
  <c r="E855" i="16" s="1"/>
  <c r="H854" i="16"/>
  <c r="I854" i="16" s="1"/>
  <c r="E854" i="16"/>
  <c r="D854" i="16"/>
  <c r="F854" i="16" s="1"/>
  <c r="H853" i="16"/>
  <c r="I853" i="16" s="1"/>
  <c r="F853" i="16"/>
  <c r="D853" i="16"/>
  <c r="E853" i="16" s="1"/>
  <c r="G853" i="16" s="1"/>
  <c r="D852" i="16"/>
  <c r="D851" i="16"/>
  <c r="F850" i="16"/>
  <c r="E850" i="16"/>
  <c r="D850" i="16"/>
  <c r="F849" i="16"/>
  <c r="D849" i="16"/>
  <c r="E849" i="16" s="1"/>
  <c r="F848" i="16"/>
  <c r="D848" i="16"/>
  <c r="E848" i="16" s="1"/>
  <c r="D847" i="16"/>
  <c r="E847" i="16" s="1"/>
  <c r="E846" i="16"/>
  <c r="D846" i="16"/>
  <c r="F846" i="16" s="1"/>
  <c r="H846" i="16" s="1"/>
  <c r="I846" i="16" s="1"/>
  <c r="H845" i="16"/>
  <c r="I845" i="16" s="1"/>
  <c r="F845" i="16"/>
  <c r="D845" i="16"/>
  <c r="E845" i="16" s="1"/>
  <c r="G845" i="16" s="1"/>
  <c r="D844" i="16"/>
  <c r="D843" i="16"/>
  <c r="F842" i="16"/>
  <c r="E842" i="16"/>
  <c r="D842" i="16"/>
  <c r="F841" i="16"/>
  <c r="D841" i="16"/>
  <c r="E841" i="16" s="1"/>
  <c r="F840" i="16"/>
  <c r="D840" i="16"/>
  <c r="E840" i="16" s="1"/>
  <c r="D839" i="16"/>
  <c r="E839" i="16" s="1"/>
  <c r="H838" i="16"/>
  <c r="I838" i="16" s="1"/>
  <c r="E838" i="16"/>
  <c r="D838" i="16"/>
  <c r="F838" i="16" s="1"/>
  <c r="H837" i="16"/>
  <c r="I837" i="16" s="1"/>
  <c r="F837" i="16"/>
  <c r="D837" i="16"/>
  <c r="E837" i="16" s="1"/>
  <c r="G837" i="16" s="1"/>
  <c r="D836" i="16"/>
  <c r="D835" i="16"/>
  <c r="F834" i="16"/>
  <c r="E834" i="16"/>
  <c r="D834" i="16"/>
  <c r="F833" i="16"/>
  <c r="D833" i="16"/>
  <c r="E833" i="16" s="1"/>
  <c r="F832" i="16"/>
  <c r="D832" i="16"/>
  <c r="E832" i="16" s="1"/>
  <c r="D831" i="16"/>
  <c r="E831" i="16" s="1"/>
  <c r="E830" i="16"/>
  <c r="D830" i="16"/>
  <c r="F830" i="16" s="1"/>
  <c r="H830" i="16" s="1"/>
  <c r="I830" i="16" s="1"/>
  <c r="H829" i="16"/>
  <c r="I829" i="16" s="1"/>
  <c r="F829" i="16"/>
  <c r="D829" i="16"/>
  <c r="E829" i="16" s="1"/>
  <c r="G829" i="16" s="1"/>
  <c r="D828" i="16"/>
  <c r="D827" i="16"/>
  <c r="F826" i="16"/>
  <c r="E826" i="16"/>
  <c r="D826" i="16"/>
  <c r="F825" i="16"/>
  <c r="D825" i="16"/>
  <c r="E825" i="16" s="1"/>
  <c r="F824" i="16"/>
  <c r="D824" i="16"/>
  <c r="E824" i="16" s="1"/>
  <c r="D823" i="16"/>
  <c r="E823" i="16" s="1"/>
  <c r="H822" i="16"/>
  <c r="I822" i="16" s="1"/>
  <c r="E822" i="16"/>
  <c r="G822" i="16" s="1"/>
  <c r="D822" i="16"/>
  <c r="F822" i="16" s="1"/>
  <c r="F821" i="16"/>
  <c r="H821" i="16" s="1"/>
  <c r="I821" i="16" s="1"/>
  <c r="D821" i="16"/>
  <c r="E821" i="16" s="1"/>
  <c r="D820" i="16"/>
  <c r="D819" i="16"/>
  <c r="F818" i="16"/>
  <c r="E818" i="16"/>
  <c r="D818" i="16"/>
  <c r="F817" i="16"/>
  <c r="D817" i="16"/>
  <c r="E817" i="16" s="1"/>
  <c r="D816" i="16"/>
  <c r="D815" i="16"/>
  <c r="E814" i="16"/>
  <c r="D814" i="16"/>
  <c r="F814" i="16" s="1"/>
  <c r="H813" i="16"/>
  <c r="I813" i="16" s="1"/>
  <c r="F813" i="16"/>
  <c r="D813" i="16"/>
  <c r="E813" i="16" s="1"/>
  <c r="G813" i="16" s="1"/>
  <c r="F812" i="16"/>
  <c r="D812" i="16"/>
  <c r="E812" i="16" s="1"/>
  <c r="D811" i="16"/>
  <c r="F810" i="16"/>
  <c r="E810" i="16"/>
  <c r="D810" i="16"/>
  <c r="H809" i="16"/>
  <c r="I809" i="16" s="1"/>
  <c r="F809" i="16"/>
  <c r="G809" i="16" s="1"/>
  <c r="D809" i="16"/>
  <c r="E809" i="16" s="1"/>
  <c r="F808" i="16"/>
  <c r="D808" i="16"/>
  <c r="E808" i="16" s="1"/>
  <c r="D807" i="16"/>
  <c r="E806" i="16"/>
  <c r="D806" i="16"/>
  <c r="F806" i="16" s="1"/>
  <c r="H806" i="16" s="1"/>
  <c r="I806" i="16" s="1"/>
  <c r="H805" i="16"/>
  <c r="I805" i="16" s="1"/>
  <c r="F805" i="16"/>
  <c r="D805" i="16"/>
  <c r="E805" i="16" s="1"/>
  <c r="F804" i="16"/>
  <c r="D804" i="16"/>
  <c r="E804" i="16" s="1"/>
  <c r="D803" i="16"/>
  <c r="H802" i="16"/>
  <c r="I802" i="16" s="1"/>
  <c r="F802" i="16"/>
  <c r="E802" i="16"/>
  <c r="G802" i="16" s="1"/>
  <c r="D802" i="16"/>
  <c r="H801" i="16"/>
  <c r="I801" i="16" s="1"/>
  <c r="F801" i="16"/>
  <c r="G801" i="16" s="1"/>
  <c r="D801" i="16"/>
  <c r="E801" i="16" s="1"/>
  <c r="F800" i="16"/>
  <c r="D800" i="16"/>
  <c r="E800" i="16" s="1"/>
  <c r="D799" i="16"/>
  <c r="H798" i="16"/>
  <c r="I798" i="16" s="1"/>
  <c r="E798" i="16"/>
  <c r="G798" i="16" s="1"/>
  <c r="D798" i="16"/>
  <c r="F798" i="16" s="1"/>
  <c r="H797" i="16"/>
  <c r="I797" i="16" s="1"/>
  <c r="F797" i="16"/>
  <c r="D797" i="16"/>
  <c r="E797" i="16" s="1"/>
  <c r="D796" i="16"/>
  <c r="D795" i="16"/>
  <c r="H794" i="16"/>
  <c r="I794" i="16" s="1"/>
  <c r="F794" i="16"/>
  <c r="E794" i="16"/>
  <c r="G794" i="16" s="1"/>
  <c r="D794" i="16"/>
  <c r="F793" i="16"/>
  <c r="D793" i="16"/>
  <c r="E793" i="16" s="1"/>
  <c r="F792" i="16"/>
  <c r="D792" i="16"/>
  <c r="E792" i="16" s="1"/>
  <c r="D791" i="16"/>
  <c r="H790" i="16"/>
  <c r="I790" i="16" s="1"/>
  <c r="E790" i="16"/>
  <c r="G790" i="16" s="1"/>
  <c r="D790" i="16"/>
  <c r="F790" i="16" s="1"/>
  <c r="F789" i="16"/>
  <c r="H789" i="16" s="1"/>
  <c r="I789" i="16" s="1"/>
  <c r="D789" i="16"/>
  <c r="E789" i="16" s="1"/>
  <c r="D788" i="16"/>
  <c r="D787" i="16"/>
  <c r="F786" i="16"/>
  <c r="E786" i="16"/>
  <c r="D786" i="16"/>
  <c r="F785" i="16"/>
  <c r="D785" i="16"/>
  <c r="E785" i="16" s="1"/>
  <c r="D784" i="16"/>
  <c r="D783" i="16"/>
  <c r="E782" i="16"/>
  <c r="D782" i="16"/>
  <c r="F782" i="16" s="1"/>
  <c r="H781" i="16"/>
  <c r="I781" i="16" s="1"/>
  <c r="F781" i="16"/>
  <c r="D781" i="16"/>
  <c r="E781" i="16" s="1"/>
  <c r="G781" i="16" s="1"/>
  <c r="F780" i="16"/>
  <c r="D780" i="16"/>
  <c r="E780" i="16" s="1"/>
  <c r="D779" i="16"/>
  <c r="F778" i="16"/>
  <c r="E778" i="16"/>
  <c r="D778" i="16"/>
  <c r="D777" i="16"/>
  <c r="H776" i="16"/>
  <c r="I776" i="16" s="1"/>
  <c r="F776" i="16"/>
  <c r="D776" i="16"/>
  <c r="E776" i="16" s="1"/>
  <c r="H775" i="16"/>
  <c r="I775" i="16" s="1"/>
  <c r="F775" i="16"/>
  <c r="D775" i="16"/>
  <c r="E775" i="16" s="1"/>
  <c r="F774" i="16"/>
  <c r="D774" i="16"/>
  <c r="E774" i="16" s="1"/>
  <c r="D773" i="16"/>
  <c r="H772" i="16"/>
  <c r="I772" i="16" s="1"/>
  <c r="F772" i="16"/>
  <c r="D772" i="16"/>
  <c r="E772" i="16" s="1"/>
  <c r="F771" i="16"/>
  <c r="H771" i="16" s="1"/>
  <c r="I771" i="16" s="1"/>
  <c r="D771" i="16"/>
  <c r="E771" i="16" s="1"/>
  <c r="F770" i="16"/>
  <c r="D770" i="16"/>
  <c r="E770" i="16" s="1"/>
  <c r="D769" i="16"/>
  <c r="H768" i="16"/>
  <c r="I768" i="16" s="1"/>
  <c r="F768" i="16"/>
  <c r="D768" i="16"/>
  <c r="E768" i="16" s="1"/>
  <c r="H767" i="16"/>
  <c r="I767" i="16" s="1"/>
  <c r="F767" i="16"/>
  <c r="D767" i="16"/>
  <c r="E767" i="16" s="1"/>
  <c r="D766" i="16"/>
  <c r="D765" i="16"/>
  <c r="H764" i="16"/>
  <c r="I764" i="16" s="1"/>
  <c r="F764" i="16"/>
  <c r="D764" i="16"/>
  <c r="E764" i="16" s="1"/>
  <c r="H763" i="16"/>
  <c r="I763" i="16" s="1"/>
  <c r="F763" i="16"/>
  <c r="D763" i="16"/>
  <c r="E763" i="16" s="1"/>
  <c r="F762" i="16"/>
  <c r="D762" i="16"/>
  <c r="E762" i="16" s="1"/>
  <c r="D761" i="16"/>
  <c r="H760" i="16"/>
  <c r="I760" i="16" s="1"/>
  <c r="F760" i="16"/>
  <c r="D760" i="16"/>
  <c r="E760" i="16" s="1"/>
  <c r="H759" i="16"/>
  <c r="I759" i="16" s="1"/>
  <c r="F759" i="16"/>
  <c r="D759" i="16"/>
  <c r="E759" i="16" s="1"/>
  <c r="F758" i="16"/>
  <c r="D758" i="16"/>
  <c r="E758" i="16" s="1"/>
  <c r="D757" i="16"/>
  <c r="H756" i="16"/>
  <c r="I756" i="16" s="1"/>
  <c r="F756" i="16"/>
  <c r="D756" i="16"/>
  <c r="E756" i="16" s="1"/>
  <c r="F755" i="16"/>
  <c r="H755" i="16" s="1"/>
  <c r="I755" i="16" s="1"/>
  <c r="D755" i="16"/>
  <c r="E755" i="16" s="1"/>
  <c r="F754" i="16"/>
  <c r="D754" i="16"/>
  <c r="E754" i="16" s="1"/>
  <c r="D753" i="16"/>
  <c r="H752" i="16"/>
  <c r="I752" i="16" s="1"/>
  <c r="F752" i="16"/>
  <c r="D752" i="16"/>
  <c r="E752" i="16" s="1"/>
  <c r="H751" i="16"/>
  <c r="I751" i="16" s="1"/>
  <c r="F751" i="16"/>
  <c r="D751" i="16"/>
  <c r="E751" i="16" s="1"/>
  <c r="D750" i="16"/>
  <c r="D749" i="16"/>
  <c r="H748" i="16"/>
  <c r="I748" i="16" s="1"/>
  <c r="F748" i="16"/>
  <c r="D748" i="16"/>
  <c r="E748" i="16" s="1"/>
  <c r="H747" i="16"/>
  <c r="I747" i="16" s="1"/>
  <c r="F747" i="16"/>
  <c r="D747" i="16"/>
  <c r="E747" i="16" s="1"/>
  <c r="D746" i="16"/>
  <c r="D745" i="16"/>
  <c r="H744" i="16"/>
  <c r="I744" i="16" s="1"/>
  <c r="F744" i="16"/>
  <c r="D744" i="16"/>
  <c r="E744" i="16" s="1"/>
  <c r="H743" i="16"/>
  <c r="I743" i="16" s="1"/>
  <c r="F743" i="16"/>
  <c r="D743" i="16"/>
  <c r="E743" i="16" s="1"/>
  <c r="G743" i="16" s="1"/>
  <c r="F742" i="16"/>
  <c r="D742" i="16"/>
  <c r="E742" i="16" s="1"/>
  <c r="D741" i="16"/>
  <c r="H740" i="16"/>
  <c r="I740" i="16" s="1"/>
  <c r="F740" i="16"/>
  <c r="D740" i="16"/>
  <c r="E740" i="16" s="1"/>
  <c r="H739" i="16"/>
  <c r="I739" i="16" s="1"/>
  <c r="F739" i="16"/>
  <c r="D739" i="16"/>
  <c r="E739" i="16" s="1"/>
  <c r="D738" i="16"/>
  <c r="D737" i="16"/>
  <c r="F736" i="16"/>
  <c r="H736" i="16" s="1"/>
  <c r="I736" i="16" s="1"/>
  <c r="D736" i="16"/>
  <c r="E736" i="16" s="1"/>
  <c r="D735" i="16"/>
  <c r="F734" i="16"/>
  <c r="D734" i="16"/>
  <c r="E734" i="16" s="1"/>
  <c r="D733" i="16"/>
  <c r="H732" i="16"/>
  <c r="I732" i="16" s="1"/>
  <c r="F732" i="16"/>
  <c r="D732" i="16"/>
  <c r="E732" i="16" s="1"/>
  <c r="H731" i="16"/>
  <c r="I731" i="16" s="1"/>
  <c r="F731" i="16"/>
  <c r="D731" i="16"/>
  <c r="E731" i="16" s="1"/>
  <c r="D730" i="16"/>
  <c r="D729" i="16"/>
  <c r="F728" i="16"/>
  <c r="H728" i="16" s="1"/>
  <c r="I728" i="16" s="1"/>
  <c r="D728" i="16"/>
  <c r="E728" i="16" s="1"/>
  <c r="D727" i="16"/>
  <c r="F726" i="16"/>
  <c r="D726" i="16"/>
  <c r="E726" i="16" s="1"/>
  <c r="D725" i="16"/>
  <c r="H724" i="16"/>
  <c r="I724" i="16" s="1"/>
  <c r="F724" i="16"/>
  <c r="D724" i="16"/>
  <c r="E724" i="16" s="1"/>
  <c r="F723" i="16"/>
  <c r="H723" i="16" s="1"/>
  <c r="I723" i="16" s="1"/>
  <c r="D723" i="16"/>
  <c r="E723" i="16" s="1"/>
  <c r="D722" i="16"/>
  <c r="D721" i="16"/>
  <c r="F720" i="16"/>
  <c r="D720" i="16"/>
  <c r="E720" i="16" s="1"/>
  <c r="D719" i="16"/>
  <c r="F719" i="16" s="1"/>
  <c r="F718" i="16"/>
  <c r="E718" i="16"/>
  <c r="D718" i="16"/>
  <c r="H717" i="16"/>
  <c r="I717" i="16" s="1"/>
  <c r="G717" i="16"/>
  <c r="E717" i="16"/>
  <c r="D717" i="16"/>
  <c r="F717" i="16" s="1"/>
  <c r="G716" i="16"/>
  <c r="F716" i="16"/>
  <c r="E716" i="16"/>
  <c r="D716" i="16"/>
  <c r="D715" i="16"/>
  <c r="F714" i="16"/>
  <c r="E714" i="16"/>
  <c r="D714" i="16"/>
  <c r="H713" i="16"/>
  <c r="I713" i="16" s="1"/>
  <c r="G713" i="16"/>
  <c r="E713" i="16"/>
  <c r="D713" i="16"/>
  <c r="F713" i="16" s="1"/>
  <c r="G712" i="16"/>
  <c r="F712" i="16"/>
  <c r="E712" i="16"/>
  <c r="D712" i="16"/>
  <c r="E711" i="16"/>
  <c r="D711" i="16"/>
  <c r="F711" i="16" s="1"/>
  <c r="F710" i="16"/>
  <c r="E710" i="16"/>
  <c r="D710" i="16"/>
  <c r="H709" i="16"/>
  <c r="I709" i="16" s="1"/>
  <c r="G709" i="16"/>
  <c r="E709" i="16"/>
  <c r="D709" i="16"/>
  <c r="F709" i="16" s="1"/>
  <c r="G708" i="16"/>
  <c r="F708" i="16"/>
  <c r="E708" i="16"/>
  <c r="D708" i="16"/>
  <c r="D707" i="16"/>
  <c r="F706" i="16"/>
  <c r="E706" i="16"/>
  <c r="D706" i="16"/>
  <c r="H705" i="16"/>
  <c r="I705" i="16" s="1"/>
  <c r="G705" i="16"/>
  <c r="E705" i="16"/>
  <c r="D705" i="16"/>
  <c r="F705" i="16" s="1"/>
  <c r="G704" i="16"/>
  <c r="F704" i="16"/>
  <c r="E704" i="16"/>
  <c r="D704" i="16"/>
  <c r="D703" i="16"/>
  <c r="F703" i="16" s="1"/>
  <c r="F702" i="16"/>
  <c r="E702" i="16"/>
  <c r="D702" i="16"/>
  <c r="H701" i="16"/>
  <c r="I701" i="16" s="1"/>
  <c r="G701" i="16"/>
  <c r="E701" i="16"/>
  <c r="D701" i="16"/>
  <c r="F701" i="16" s="1"/>
  <c r="G700" i="16"/>
  <c r="F700" i="16"/>
  <c r="E700" i="16"/>
  <c r="D700" i="16"/>
  <c r="D699" i="16"/>
  <c r="F698" i="16"/>
  <c r="E698" i="16"/>
  <c r="D698" i="16"/>
  <c r="H697" i="16"/>
  <c r="I697" i="16" s="1"/>
  <c r="G697" i="16"/>
  <c r="E697" i="16"/>
  <c r="D697" i="16"/>
  <c r="F697" i="16" s="1"/>
  <c r="G696" i="16"/>
  <c r="F696" i="16"/>
  <c r="E696" i="16"/>
  <c r="D696" i="16"/>
  <c r="E695" i="16"/>
  <c r="D695" i="16"/>
  <c r="F695" i="16" s="1"/>
  <c r="F694" i="16"/>
  <c r="E694" i="16"/>
  <c r="D694" i="16"/>
  <c r="H693" i="16"/>
  <c r="I693" i="16" s="1"/>
  <c r="G693" i="16"/>
  <c r="E693" i="16"/>
  <c r="D693" i="16"/>
  <c r="F693" i="16" s="1"/>
  <c r="G692" i="16"/>
  <c r="F692" i="16"/>
  <c r="E692" i="16"/>
  <c r="D692" i="16"/>
  <c r="D691" i="16"/>
  <c r="F691" i="16" s="1"/>
  <c r="F690" i="16"/>
  <c r="E690" i="16"/>
  <c r="D690" i="16"/>
  <c r="H689" i="16"/>
  <c r="I689" i="16" s="1"/>
  <c r="G689" i="16"/>
  <c r="E689" i="16"/>
  <c r="D689" i="16"/>
  <c r="F689" i="16" s="1"/>
  <c r="G688" i="16"/>
  <c r="F688" i="16"/>
  <c r="E688" i="16"/>
  <c r="D688" i="16"/>
  <c r="E687" i="16"/>
  <c r="D687" i="16"/>
  <c r="F687" i="16" s="1"/>
  <c r="F686" i="16"/>
  <c r="E686" i="16"/>
  <c r="D686" i="16"/>
  <c r="H685" i="16"/>
  <c r="I685" i="16" s="1"/>
  <c r="G685" i="16"/>
  <c r="E685" i="16"/>
  <c r="D685" i="16"/>
  <c r="F685" i="16" s="1"/>
  <c r="G684" i="16"/>
  <c r="F684" i="16"/>
  <c r="E684" i="16"/>
  <c r="D684" i="16"/>
  <c r="D683" i="16"/>
  <c r="F682" i="16"/>
  <c r="E682" i="16"/>
  <c r="D682" i="16"/>
  <c r="H681" i="16"/>
  <c r="I681" i="16" s="1"/>
  <c r="G681" i="16"/>
  <c r="E681" i="16"/>
  <c r="D681" i="16"/>
  <c r="F681" i="16" s="1"/>
  <c r="G680" i="16"/>
  <c r="F680" i="16"/>
  <c r="E680" i="16"/>
  <c r="D680" i="16"/>
  <c r="E679" i="16"/>
  <c r="D679" i="16"/>
  <c r="F679" i="16" s="1"/>
  <c r="F678" i="16"/>
  <c r="E678" i="16"/>
  <c r="D678" i="16"/>
  <c r="H677" i="16"/>
  <c r="I677" i="16" s="1"/>
  <c r="G677" i="16"/>
  <c r="E677" i="16"/>
  <c r="D677" i="16"/>
  <c r="F677" i="16" s="1"/>
  <c r="G676" i="16"/>
  <c r="F676" i="16"/>
  <c r="E676" i="16"/>
  <c r="D676" i="16"/>
  <c r="D675" i="16"/>
  <c r="F675" i="16" s="1"/>
  <c r="F674" i="16"/>
  <c r="E674" i="16"/>
  <c r="D674" i="16"/>
  <c r="H673" i="16"/>
  <c r="I673" i="16" s="1"/>
  <c r="G673" i="16"/>
  <c r="E673" i="16"/>
  <c r="D673" i="16"/>
  <c r="F673" i="16" s="1"/>
  <c r="G672" i="16"/>
  <c r="F672" i="16"/>
  <c r="E672" i="16"/>
  <c r="D672" i="16"/>
  <c r="D671" i="16"/>
  <c r="F670" i="16"/>
  <c r="E670" i="16"/>
  <c r="D670" i="16"/>
  <c r="H669" i="16"/>
  <c r="I669" i="16" s="1"/>
  <c r="G669" i="16"/>
  <c r="E669" i="16"/>
  <c r="D669" i="16"/>
  <c r="F669" i="16" s="1"/>
  <c r="G668" i="16"/>
  <c r="F668" i="16"/>
  <c r="E668" i="16"/>
  <c r="D668" i="16"/>
  <c r="D667" i="16"/>
  <c r="F666" i="16"/>
  <c r="E666" i="16"/>
  <c r="D666" i="16"/>
  <c r="H665" i="16"/>
  <c r="I665" i="16" s="1"/>
  <c r="G665" i="16"/>
  <c r="E665" i="16"/>
  <c r="D665" i="16"/>
  <c r="F665" i="16" s="1"/>
  <c r="G664" i="16"/>
  <c r="F664" i="16"/>
  <c r="E664" i="16"/>
  <c r="D664" i="16"/>
  <c r="E663" i="16"/>
  <c r="D663" i="16"/>
  <c r="F663" i="16" s="1"/>
  <c r="F662" i="16"/>
  <c r="E662" i="16"/>
  <c r="D662" i="16"/>
  <c r="H661" i="16"/>
  <c r="I661" i="16" s="1"/>
  <c r="G661" i="16"/>
  <c r="E661" i="16"/>
  <c r="D661" i="16"/>
  <c r="F661" i="16" s="1"/>
  <c r="G660" i="16"/>
  <c r="F660" i="16"/>
  <c r="E660" i="16"/>
  <c r="D660" i="16"/>
  <c r="E659" i="16"/>
  <c r="D659" i="16"/>
  <c r="F659" i="16" s="1"/>
  <c r="F658" i="16"/>
  <c r="E658" i="16"/>
  <c r="D658" i="16"/>
  <c r="H657" i="16"/>
  <c r="I657" i="16" s="1"/>
  <c r="G657" i="16"/>
  <c r="E657" i="16"/>
  <c r="D657" i="16"/>
  <c r="F657" i="16" s="1"/>
  <c r="G656" i="16"/>
  <c r="F656" i="16"/>
  <c r="E656" i="16"/>
  <c r="D656" i="16"/>
  <c r="D655" i="16"/>
  <c r="F655" i="16" s="1"/>
  <c r="F654" i="16"/>
  <c r="E654" i="16"/>
  <c r="D654" i="16"/>
  <c r="H653" i="16"/>
  <c r="I653" i="16" s="1"/>
  <c r="G653" i="16"/>
  <c r="E653" i="16"/>
  <c r="D653" i="16"/>
  <c r="F653" i="16" s="1"/>
  <c r="G652" i="16"/>
  <c r="F652" i="16"/>
  <c r="E652" i="16"/>
  <c r="D652" i="16"/>
  <c r="D651" i="16"/>
  <c r="F650" i="16"/>
  <c r="E650" i="16"/>
  <c r="D650" i="16"/>
  <c r="H649" i="16"/>
  <c r="I649" i="16" s="1"/>
  <c r="G649" i="16"/>
  <c r="E649" i="16"/>
  <c r="D649" i="16"/>
  <c r="F649" i="16" s="1"/>
  <c r="G648" i="16"/>
  <c r="F648" i="16"/>
  <c r="E648" i="16"/>
  <c r="D648" i="16"/>
  <c r="E647" i="16"/>
  <c r="D647" i="16"/>
  <c r="F647" i="16" s="1"/>
  <c r="F646" i="16"/>
  <c r="E646" i="16"/>
  <c r="D646" i="16"/>
  <c r="H645" i="16"/>
  <c r="I645" i="16" s="1"/>
  <c r="G645" i="16"/>
  <c r="E645" i="16"/>
  <c r="D645" i="16"/>
  <c r="F645" i="16" s="1"/>
  <c r="G644" i="16"/>
  <c r="F644" i="16"/>
  <c r="E644" i="16"/>
  <c r="D644" i="16"/>
  <c r="D643" i="16"/>
  <c r="F642" i="16"/>
  <c r="E642" i="16"/>
  <c r="D642" i="16"/>
  <c r="H641" i="16"/>
  <c r="I641" i="16" s="1"/>
  <c r="G641" i="16"/>
  <c r="E641" i="16"/>
  <c r="D641" i="16"/>
  <c r="F641" i="16" s="1"/>
  <c r="G640" i="16"/>
  <c r="F640" i="16"/>
  <c r="E640" i="16"/>
  <c r="D640" i="16"/>
  <c r="E639" i="16"/>
  <c r="D639" i="16"/>
  <c r="F639" i="16" s="1"/>
  <c r="F638" i="16"/>
  <c r="E638" i="16"/>
  <c r="D638" i="16"/>
  <c r="H637" i="16"/>
  <c r="I637" i="16" s="1"/>
  <c r="G637" i="16"/>
  <c r="E637" i="16"/>
  <c r="D637" i="16"/>
  <c r="F637" i="16" s="1"/>
  <c r="G636" i="16"/>
  <c r="F636" i="16"/>
  <c r="E636" i="16"/>
  <c r="D636" i="16"/>
  <c r="D635" i="16"/>
  <c r="F634" i="16"/>
  <c r="E634" i="16"/>
  <c r="D634" i="16"/>
  <c r="H633" i="16"/>
  <c r="I633" i="16" s="1"/>
  <c r="G633" i="16"/>
  <c r="E633" i="16"/>
  <c r="D633" i="16"/>
  <c r="F633" i="16" s="1"/>
  <c r="G632" i="16"/>
  <c r="F632" i="16"/>
  <c r="E632" i="16"/>
  <c r="D632" i="16"/>
  <c r="E631" i="16"/>
  <c r="D631" i="16"/>
  <c r="F631" i="16" s="1"/>
  <c r="F630" i="16"/>
  <c r="E630" i="16"/>
  <c r="D630" i="16"/>
  <c r="H629" i="16"/>
  <c r="I629" i="16" s="1"/>
  <c r="G629" i="16"/>
  <c r="E629" i="16"/>
  <c r="D629" i="16"/>
  <c r="F629" i="16" s="1"/>
  <c r="G628" i="16"/>
  <c r="F628" i="16"/>
  <c r="E628" i="16"/>
  <c r="D628" i="16"/>
  <c r="D627" i="16"/>
  <c r="F627" i="16" s="1"/>
  <c r="F626" i="16"/>
  <c r="E626" i="16"/>
  <c r="D626" i="16"/>
  <c r="H625" i="16"/>
  <c r="I625" i="16" s="1"/>
  <c r="G625" i="16"/>
  <c r="E625" i="16"/>
  <c r="D625" i="16"/>
  <c r="F625" i="16" s="1"/>
  <c r="G624" i="16"/>
  <c r="F624" i="16"/>
  <c r="E624" i="16"/>
  <c r="D624" i="16"/>
  <c r="E623" i="16"/>
  <c r="D623" i="16"/>
  <c r="F623" i="16" s="1"/>
  <c r="F622" i="16"/>
  <c r="E622" i="16"/>
  <c r="D622" i="16"/>
  <c r="H621" i="16"/>
  <c r="I621" i="16" s="1"/>
  <c r="G621" i="16"/>
  <c r="E621" i="16"/>
  <c r="D621" i="16"/>
  <c r="F621" i="16" s="1"/>
  <c r="D620" i="16"/>
  <c r="G619" i="16"/>
  <c r="F619" i="16"/>
  <c r="E619" i="16"/>
  <c r="D619" i="16"/>
  <c r="D618" i="16"/>
  <c r="G617" i="16"/>
  <c r="F617" i="16"/>
  <c r="E617" i="16"/>
  <c r="D617" i="16"/>
  <c r="D616" i="16"/>
  <c r="F615" i="16"/>
  <c r="G615" i="16" s="1"/>
  <c r="E615" i="16"/>
  <c r="D615" i="16"/>
  <c r="D614" i="16"/>
  <c r="F613" i="16"/>
  <c r="G613" i="16" s="1"/>
  <c r="E613" i="16"/>
  <c r="D613" i="16"/>
  <c r="D612" i="16"/>
  <c r="G611" i="16"/>
  <c r="F611" i="16"/>
  <c r="E611" i="16"/>
  <c r="D611" i="16"/>
  <c r="D610" i="16"/>
  <c r="F609" i="16"/>
  <c r="G609" i="16" s="1"/>
  <c r="E609" i="16"/>
  <c r="D609" i="16"/>
  <c r="D608" i="16"/>
  <c r="G607" i="16"/>
  <c r="F607" i="16"/>
  <c r="E607" i="16"/>
  <c r="D607" i="16"/>
  <c r="D606" i="16"/>
  <c r="F605" i="16"/>
  <c r="G605" i="16" s="1"/>
  <c r="E605" i="16"/>
  <c r="D605" i="16"/>
  <c r="D604" i="16"/>
  <c r="G603" i="16"/>
  <c r="F603" i="16"/>
  <c r="E603" i="16"/>
  <c r="D603" i="16"/>
  <c r="D602" i="16"/>
  <c r="G601" i="16"/>
  <c r="F601" i="16"/>
  <c r="E601" i="16"/>
  <c r="D601" i="16"/>
  <c r="D600" i="16"/>
  <c r="F599" i="16"/>
  <c r="G599" i="16" s="1"/>
  <c r="E599" i="16"/>
  <c r="D599" i="16"/>
  <c r="D598" i="16"/>
  <c r="F597" i="16"/>
  <c r="G597" i="16" s="1"/>
  <c r="E597" i="16"/>
  <c r="D597" i="16"/>
  <c r="D596" i="16"/>
  <c r="G595" i="16"/>
  <c r="F595" i="16"/>
  <c r="E595" i="16"/>
  <c r="D595" i="16"/>
  <c r="D594" i="16"/>
  <c r="F593" i="16"/>
  <c r="G593" i="16" s="1"/>
  <c r="E593" i="16"/>
  <c r="D593" i="16"/>
  <c r="D592" i="16"/>
  <c r="G591" i="16"/>
  <c r="F591" i="16"/>
  <c r="E591" i="16"/>
  <c r="D591" i="16"/>
  <c r="D590" i="16"/>
  <c r="F589" i="16"/>
  <c r="G589" i="16" s="1"/>
  <c r="E589" i="16"/>
  <c r="D589" i="16"/>
  <c r="D588" i="16"/>
  <c r="G587" i="16"/>
  <c r="F587" i="16"/>
  <c r="E587" i="16"/>
  <c r="D587" i="16"/>
  <c r="D586" i="16"/>
  <c r="G585" i="16"/>
  <c r="F585" i="16"/>
  <c r="E585" i="16"/>
  <c r="D585" i="16"/>
  <c r="D584" i="16"/>
  <c r="F583" i="16"/>
  <c r="G583" i="16" s="1"/>
  <c r="E583" i="16"/>
  <c r="D583" i="16"/>
  <c r="D582" i="16"/>
  <c r="F581" i="16"/>
  <c r="G581" i="16" s="1"/>
  <c r="E581" i="16"/>
  <c r="D581" i="16"/>
  <c r="D580" i="16"/>
  <c r="G579" i="16"/>
  <c r="F579" i="16"/>
  <c r="E579" i="16"/>
  <c r="D579" i="16"/>
  <c r="D578" i="16"/>
  <c r="F577" i="16"/>
  <c r="G577" i="16" s="1"/>
  <c r="E577" i="16"/>
  <c r="D577" i="16"/>
  <c r="D576" i="16"/>
  <c r="G575" i="16"/>
  <c r="F575" i="16"/>
  <c r="E575" i="16"/>
  <c r="D575" i="16"/>
  <c r="D574" i="16"/>
  <c r="F573" i="16"/>
  <c r="G573" i="16" s="1"/>
  <c r="E573" i="16"/>
  <c r="D573" i="16"/>
  <c r="D572" i="16"/>
  <c r="G571" i="16"/>
  <c r="F571" i="16"/>
  <c r="E571" i="16"/>
  <c r="D571" i="16"/>
  <c r="D570" i="16"/>
  <c r="G569" i="16"/>
  <c r="F569" i="16"/>
  <c r="E569" i="16"/>
  <c r="D569" i="16"/>
  <c r="D568" i="16"/>
  <c r="F567" i="16"/>
  <c r="G567" i="16" s="1"/>
  <c r="E567" i="16"/>
  <c r="D567" i="16"/>
  <c r="D566" i="16"/>
  <c r="F565" i="16"/>
  <c r="G565" i="16" s="1"/>
  <c r="E565" i="16"/>
  <c r="D565" i="16"/>
  <c r="D564" i="16"/>
  <c r="G563" i="16"/>
  <c r="F563" i="16"/>
  <c r="E563" i="16"/>
  <c r="D563" i="16"/>
  <c r="D562" i="16"/>
  <c r="F561" i="16"/>
  <c r="G561" i="16" s="1"/>
  <c r="E561" i="16"/>
  <c r="D561" i="16"/>
  <c r="D560" i="16"/>
  <c r="G559" i="16"/>
  <c r="F559" i="16"/>
  <c r="E559" i="16"/>
  <c r="D559" i="16"/>
  <c r="D558" i="16"/>
  <c r="F557" i="16"/>
  <c r="G557" i="16" s="1"/>
  <c r="E557" i="16"/>
  <c r="D557" i="16"/>
  <c r="D556" i="16"/>
  <c r="G555" i="16"/>
  <c r="F555" i="16"/>
  <c r="E555" i="16"/>
  <c r="D555" i="16"/>
  <c r="D554" i="16"/>
  <c r="G553" i="16"/>
  <c r="F553" i="16"/>
  <c r="E553" i="16"/>
  <c r="D553" i="16"/>
  <c r="D552" i="16"/>
  <c r="F551" i="16"/>
  <c r="G551" i="16" s="1"/>
  <c r="E551" i="16"/>
  <c r="D551" i="16"/>
  <c r="D550" i="16"/>
  <c r="F549" i="16"/>
  <c r="G549" i="16" s="1"/>
  <c r="E549" i="16"/>
  <c r="D549" i="16"/>
  <c r="D548" i="16"/>
  <c r="G547" i="16"/>
  <c r="F547" i="16"/>
  <c r="E547" i="16"/>
  <c r="D547" i="16"/>
  <c r="D546" i="16"/>
  <c r="F545" i="16"/>
  <c r="G545" i="16" s="1"/>
  <c r="E545" i="16"/>
  <c r="D545" i="16"/>
  <c r="D544" i="16"/>
  <c r="G543" i="16"/>
  <c r="F543" i="16"/>
  <c r="E543" i="16"/>
  <c r="D543" i="16"/>
  <c r="D542" i="16"/>
  <c r="F541" i="16"/>
  <c r="G541" i="16" s="1"/>
  <c r="E541" i="16"/>
  <c r="D541" i="16"/>
  <c r="D540" i="16"/>
  <c r="G539" i="16"/>
  <c r="F539" i="16"/>
  <c r="E539" i="16"/>
  <c r="D539" i="16"/>
  <c r="D538" i="16"/>
  <c r="G537" i="16"/>
  <c r="F537" i="16"/>
  <c r="E537" i="16"/>
  <c r="D537" i="16"/>
  <c r="D536" i="16"/>
  <c r="F535" i="16"/>
  <c r="G535" i="16" s="1"/>
  <c r="E535" i="16"/>
  <c r="D535" i="16"/>
  <c r="D534" i="16"/>
  <c r="F533" i="16"/>
  <c r="G533" i="16" s="1"/>
  <c r="E533" i="16"/>
  <c r="D533" i="16"/>
  <c r="D532" i="16"/>
  <c r="G531" i="16"/>
  <c r="F531" i="16"/>
  <c r="E531" i="16"/>
  <c r="D531" i="16"/>
  <c r="D530" i="16"/>
  <c r="F529" i="16"/>
  <c r="G529" i="16" s="1"/>
  <c r="E529" i="16"/>
  <c r="D529" i="16"/>
  <c r="D528" i="16"/>
  <c r="G527" i="16"/>
  <c r="F527" i="16"/>
  <c r="E527" i="16"/>
  <c r="D527" i="16"/>
  <c r="D526" i="16"/>
  <c r="F525" i="16"/>
  <c r="G525" i="16" s="1"/>
  <c r="E525" i="16"/>
  <c r="D525" i="16"/>
  <c r="D524" i="16"/>
  <c r="G523" i="16"/>
  <c r="F523" i="16"/>
  <c r="E523" i="16"/>
  <c r="D523" i="16"/>
  <c r="D522" i="16"/>
  <c r="G521" i="16"/>
  <c r="F521" i="16"/>
  <c r="E521" i="16"/>
  <c r="D521" i="16"/>
  <c r="D520" i="16"/>
  <c r="F519" i="16"/>
  <c r="G519" i="16" s="1"/>
  <c r="E519" i="16"/>
  <c r="D519" i="16"/>
  <c r="D518" i="16"/>
  <c r="F517" i="16"/>
  <c r="G517" i="16" s="1"/>
  <c r="E517" i="16"/>
  <c r="D517" i="16"/>
  <c r="D516" i="16"/>
  <c r="G515" i="16"/>
  <c r="F515" i="16"/>
  <c r="E515" i="16"/>
  <c r="D515" i="16"/>
  <c r="D514" i="16"/>
  <c r="F513" i="16"/>
  <c r="G513" i="16" s="1"/>
  <c r="E513" i="16"/>
  <c r="D513" i="16"/>
  <c r="D512" i="16"/>
  <c r="G511" i="16"/>
  <c r="F511" i="16"/>
  <c r="E511" i="16"/>
  <c r="D511" i="16"/>
  <c r="D510" i="16"/>
  <c r="F509" i="16"/>
  <c r="G509" i="16" s="1"/>
  <c r="E509" i="16"/>
  <c r="D509" i="16"/>
  <c r="D508" i="16"/>
  <c r="G507" i="16"/>
  <c r="F507" i="16"/>
  <c r="E507" i="16"/>
  <c r="D507" i="16"/>
  <c r="D506" i="16"/>
  <c r="G505" i="16"/>
  <c r="F505" i="16"/>
  <c r="E505" i="16"/>
  <c r="D505" i="16"/>
  <c r="D504" i="16"/>
  <c r="F503" i="16"/>
  <c r="G503" i="16" s="1"/>
  <c r="E503" i="16"/>
  <c r="D503" i="16"/>
  <c r="D502" i="16"/>
  <c r="F501" i="16"/>
  <c r="G501" i="16" s="1"/>
  <c r="E501" i="16"/>
  <c r="D501" i="16"/>
  <c r="D500" i="16"/>
  <c r="G499" i="16"/>
  <c r="F499" i="16"/>
  <c r="E499" i="16"/>
  <c r="D499" i="16"/>
  <c r="D498" i="16"/>
  <c r="F497" i="16"/>
  <c r="G497" i="16" s="1"/>
  <c r="E497" i="16"/>
  <c r="D497" i="16"/>
  <c r="D496" i="16"/>
  <c r="G495" i="16"/>
  <c r="F495" i="16"/>
  <c r="E495" i="16"/>
  <c r="D495" i="16"/>
  <c r="D494" i="16"/>
  <c r="F493" i="16"/>
  <c r="G493" i="16" s="1"/>
  <c r="E493" i="16"/>
  <c r="D493" i="16"/>
  <c r="D492" i="16"/>
  <c r="G491" i="16"/>
  <c r="F491" i="16"/>
  <c r="E491" i="16"/>
  <c r="D491" i="16"/>
  <c r="D490" i="16"/>
  <c r="G489" i="16"/>
  <c r="F489" i="16"/>
  <c r="E489" i="16"/>
  <c r="D489" i="16"/>
  <c r="D488" i="16"/>
  <c r="F487" i="16"/>
  <c r="G487" i="16" s="1"/>
  <c r="E487" i="16"/>
  <c r="D487" i="16"/>
  <c r="D486" i="16"/>
  <c r="F485" i="16"/>
  <c r="G485" i="16" s="1"/>
  <c r="E485" i="16"/>
  <c r="D485" i="16"/>
  <c r="D484" i="16"/>
  <c r="G483" i="16"/>
  <c r="F483" i="16"/>
  <c r="E483" i="16"/>
  <c r="D483" i="16"/>
  <c r="D482" i="16"/>
  <c r="F481" i="16"/>
  <c r="G481" i="16" s="1"/>
  <c r="E481" i="16"/>
  <c r="D481" i="16"/>
  <c r="D480" i="16"/>
  <c r="G479" i="16"/>
  <c r="F479" i="16"/>
  <c r="E479" i="16"/>
  <c r="D479" i="16"/>
  <c r="D478" i="16"/>
  <c r="F477" i="16"/>
  <c r="G477" i="16" s="1"/>
  <c r="E477" i="16"/>
  <c r="D477" i="16"/>
  <c r="D476" i="16"/>
  <c r="G475" i="16"/>
  <c r="F475" i="16"/>
  <c r="E475" i="16"/>
  <c r="D475" i="16"/>
  <c r="D474" i="16"/>
  <c r="G473" i="16"/>
  <c r="F473" i="16"/>
  <c r="E473" i="16"/>
  <c r="D473" i="16"/>
  <c r="D472" i="16"/>
  <c r="F471" i="16"/>
  <c r="G471" i="16" s="1"/>
  <c r="E471" i="16"/>
  <c r="D471" i="16"/>
  <c r="D470" i="16"/>
  <c r="F469" i="16"/>
  <c r="G469" i="16" s="1"/>
  <c r="E469" i="16"/>
  <c r="D469" i="16"/>
  <c r="D468" i="16"/>
  <c r="F467" i="16"/>
  <c r="G467" i="16" s="1"/>
  <c r="E467" i="16"/>
  <c r="D467" i="16"/>
  <c r="D466" i="16"/>
  <c r="G465" i="16"/>
  <c r="F465" i="16"/>
  <c r="E465" i="16"/>
  <c r="D465" i="16"/>
  <c r="D464" i="16"/>
  <c r="F463" i="16"/>
  <c r="G463" i="16" s="1"/>
  <c r="E463" i="16"/>
  <c r="D463" i="16"/>
  <c r="D462" i="16"/>
  <c r="G461" i="16"/>
  <c r="F461" i="16"/>
  <c r="E461" i="16"/>
  <c r="D461" i="16"/>
  <c r="D460" i="16"/>
  <c r="F459" i="16"/>
  <c r="G459" i="16" s="1"/>
  <c r="E459" i="16"/>
  <c r="D459" i="16"/>
  <c r="D458" i="16"/>
  <c r="G457" i="16"/>
  <c r="F457" i="16"/>
  <c r="E457" i="16"/>
  <c r="D457" i="16"/>
  <c r="D456" i="16"/>
  <c r="F455" i="16"/>
  <c r="G455" i="16" s="1"/>
  <c r="E455" i="16"/>
  <c r="D455" i="16"/>
  <c r="D454" i="16"/>
  <c r="G453" i="16"/>
  <c r="F453" i="16"/>
  <c r="E453" i="16"/>
  <c r="D453" i="16"/>
  <c r="D452" i="16"/>
  <c r="F451" i="16"/>
  <c r="G451" i="16" s="1"/>
  <c r="E451" i="16"/>
  <c r="D451" i="16"/>
  <c r="D450" i="16"/>
  <c r="G449" i="16"/>
  <c r="F449" i="16"/>
  <c r="E449" i="16"/>
  <c r="D449" i="16"/>
  <c r="D448" i="16"/>
  <c r="F447" i="16"/>
  <c r="G447" i="16" s="1"/>
  <c r="E447" i="16"/>
  <c r="D447" i="16"/>
  <c r="D446" i="16"/>
  <c r="G445" i="16"/>
  <c r="F445" i="16"/>
  <c r="E445" i="16"/>
  <c r="D445" i="16"/>
  <c r="D444" i="16"/>
  <c r="F443" i="16"/>
  <c r="G443" i="16" s="1"/>
  <c r="E443" i="16"/>
  <c r="D443" i="16"/>
  <c r="D442" i="16"/>
  <c r="G441" i="16"/>
  <c r="F441" i="16"/>
  <c r="E441" i="16"/>
  <c r="D441" i="16"/>
  <c r="D440" i="16"/>
  <c r="F439" i="16"/>
  <c r="G439" i="16" s="1"/>
  <c r="E439" i="16"/>
  <c r="D439" i="16"/>
  <c r="D438" i="16"/>
  <c r="G437" i="16"/>
  <c r="F437" i="16"/>
  <c r="E437" i="16"/>
  <c r="D437" i="16"/>
  <c r="D436" i="16"/>
  <c r="F435" i="16"/>
  <c r="G435" i="16" s="1"/>
  <c r="E435" i="16"/>
  <c r="D435" i="16"/>
  <c r="D434" i="16"/>
  <c r="G433" i="16"/>
  <c r="F433" i="16"/>
  <c r="E433" i="16"/>
  <c r="D433" i="16"/>
  <c r="D432" i="16"/>
  <c r="F431" i="16"/>
  <c r="G431" i="16" s="1"/>
  <c r="E431" i="16"/>
  <c r="D431" i="16"/>
  <c r="D430" i="16"/>
  <c r="G429" i="16"/>
  <c r="F429" i="16"/>
  <c r="E429" i="16"/>
  <c r="D429" i="16"/>
  <c r="D428" i="16"/>
  <c r="F427" i="16"/>
  <c r="G427" i="16" s="1"/>
  <c r="E427" i="16"/>
  <c r="D427" i="16"/>
  <c r="D426" i="16"/>
  <c r="G425" i="16"/>
  <c r="F425" i="16"/>
  <c r="E425" i="16"/>
  <c r="D425" i="16"/>
  <c r="D424" i="16"/>
  <c r="F423" i="16"/>
  <c r="G423" i="16" s="1"/>
  <c r="E423" i="16"/>
  <c r="D423" i="16"/>
  <c r="D422" i="16"/>
  <c r="G421" i="16"/>
  <c r="F421" i="16"/>
  <c r="E421" i="16"/>
  <c r="D421" i="16"/>
  <c r="E420" i="16"/>
  <c r="G420" i="16" s="1"/>
  <c r="D420" i="16"/>
  <c r="F420" i="16" s="1"/>
  <c r="F419" i="16"/>
  <c r="E419" i="16"/>
  <c r="D419" i="16"/>
  <c r="H418" i="16"/>
  <c r="I418" i="16" s="1"/>
  <c r="E418" i="16"/>
  <c r="G418" i="16" s="1"/>
  <c r="D418" i="16"/>
  <c r="F418" i="16" s="1"/>
  <c r="F417" i="16"/>
  <c r="G417" i="16" s="1"/>
  <c r="E417" i="16"/>
  <c r="D417" i="16"/>
  <c r="D416" i="16"/>
  <c r="F415" i="16"/>
  <c r="E415" i="16"/>
  <c r="D415" i="16"/>
  <c r="G414" i="16"/>
  <c r="E414" i="16"/>
  <c r="H414" i="16" s="1"/>
  <c r="I414" i="16" s="1"/>
  <c r="D414" i="16"/>
  <c r="F414" i="16" s="1"/>
  <c r="G413" i="16"/>
  <c r="F413" i="16"/>
  <c r="E413" i="16"/>
  <c r="D413" i="16"/>
  <c r="E412" i="16"/>
  <c r="D412" i="16"/>
  <c r="F412" i="16" s="1"/>
  <c r="F411" i="16"/>
  <c r="E411" i="16"/>
  <c r="D411" i="16"/>
  <c r="E410" i="16"/>
  <c r="D410" i="16"/>
  <c r="F410" i="16" s="1"/>
  <c r="F409" i="16"/>
  <c r="G409" i="16" s="1"/>
  <c r="E409" i="16"/>
  <c r="D409" i="16"/>
  <c r="D408" i="16"/>
  <c r="F408" i="16" s="1"/>
  <c r="F407" i="16"/>
  <c r="D407" i="16"/>
  <c r="E407" i="16" s="1"/>
  <c r="D406" i="16"/>
  <c r="E406" i="16" s="1"/>
  <c r="E405" i="16"/>
  <c r="D405" i="16"/>
  <c r="F405" i="16" s="1"/>
  <c r="H405" i="16" s="1"/>
  <c r="I405" i="16" s="1"/>
  <c r="H404" i="16"/>
  <c r="I404" i="16" s="1"/>
  <c r="F404" i="16"/>
  <c r="D404" i="16"/>
  <c r="E404" i="16" s="1"/>
  <c r="G404" i="16" s="1"/>
  <c r="D403" i="16"/>
  <c r="D402" i="16"/>
  <c r="F401" i="16"/>
  <c r="E401" i="16"/>
  <c r="D401" i="16"/>
  <c r="F400" i="16"/>
  <c r="D400" i="16"/>
  <c r="E400" i="16" s="1"/>
  <c r="F399" i="16"/>
  <c r="D399" i="16"/>
  <c r="E399" i="16" s="1"/>
  <c r="D398" i="16"/>
  <c r="E398" i="16" s="1"/>
  <c r="H397" i="16"/>
  <c r="I397" i="16" s="1"/>
  <c r="E397" i="16"/>
  <c r="D397" i="16"/>
  <c r="F397" i="16" s="1"/>
  <c r="H396" i="16"/>
  <c r="I396" i="16" s="1"/>
  <c r="F396" i="16"/>
  <c r="D396" i="16"/>
  <c r="E396" i="16" s="1"/>
  <c r="G396" i="16" s="1"/>
  <c r="D395" i="16"/>
  <c r="D394" i="16"/>
  <c r="F393" i="16"/>
  <c r="E393" i="16"/>
  <c r="D393" i="16"/>
  <c r="F392" i="16"/>
  <c r="D392" i="16"/>
  <c r="E392" i="16" s="1"/>
  <c r="F391" i="16"/>
  <c r="D391" i="16"/>
  <c r="E391" i="16" s="1"/>
  <c r="D390" i="16"/>
  <c r="E390" i="16" s="1"/>
  <c r="E389" i="16"/>
  <c r="D389" i="16"/>
  <c r="F389" i="16" s="1"/>
  <c r="H389" i="16" s="1"/>
  <c r="I389" i="16" s="1"/>
  <c r="H388" i="16"/>
  <c r="I388" i="16" s="1"/>
  <c r="F388" i="16"/>
  <c r="D388" i="16"/>
  <c r="E388" i="16" s="1"/>
  <c r="G388" i="16" s="1"/>
  <c r="D387" i="16"/>
  <c r="D386" i="16"/>
  <c r="F385" i="16"/>
  <c r="E385" i="16"/>
  <c r="D385" i="16"/>
  <c r="F384" i="16"/>
  <c r="D384" i="16"/>
  <c r="E384" i="16" s="1"/>
  <c r="F383" i="16"/>
  <c r="D383" i="16"/>
  <c r="E383" i="16" s="1"/>
  <c r="D382" i="16"/>
  <c r="E382" i="16" s="1"/>
  <c r="H381" i="16"/>
  <c r="I381" i="16" s="1"/>
  <c r="E381" i="16"/>
  <c r="D381" i="16"/>
  <c r="F381" i="16" s="1"/>
  <c r="H380" i="16"/>
  <c r="I380" i="16" s="1"/>
  <c r="F380" i="16"/>
  <c r="D380" i="16"/>
  <c r="E380" i="16" s="1"/>
  <c r="G380" i="16" s="1"/>
  <c r="D379" i="16"/>
  <c r="D378" i="16"/>
  <c r="F377" i="16"/>
  <c r="E377" i="16"/>
  <c r="D377" i="16"/>
  <c r="F376" i="16"/>
  <c r="D376" i="16"/>
  <c r="E376" i="16" s="1"/>
  <c r="F375" i="16"/>
  <c r="D375" i="16"/>
  <c r="E375" i="16" s="1"/>
  <c r="D374" i="16"/>
  <c r="E374" i="16" s="1"/>
  <c r="E373" i="16"/>
  <c r="D373" i="16"/>
  <c r="F373" i="16" s="1"/>
  <c r="H373" i="16" s="1"/>
  <c r="I373" i="16" s="1"/>
  <c r="H372" i="16"/>
  <c r="I372" i="16" s="1"/>
  <c r="F372" i="16"/>
  <c r="D372" i="16"/>
  <c r="E372" i="16" s="1"/>
  <c r="G372" i="16" s="1"/>
  <c r="D371" i="16"/>
  <c r="D370" i="16"/>
  <c r="F369" i="16"/>
  <c r="E369" i="16"/>
  <c r="D369" i="16"/>
  <c r="F368" i="16"/>
  <c r="D368" i="16"/>
  <c r="E368" i="16" s="1"/>
  <c r="F367" i="16"/>
  <c r="D367" i="16"/>
  <c r="E367" i="16" s="1"/>
  <c r="D366" i="16"/>
  <c r="E366" i="16" s="1"/>
  <c r="H365" i="16"/>
  <c r="I365" i="16" s="1"/>
  <c r="E365" i="16"/>
  <c r="D365" i="16"/>
  <c r="F365" i="16" s="1"/>
  <c r="H364" i="16"/>
  <c r="I364" i="16" s="1"/>
  <c r="F364" i="16"/>
  <c r="D364" i="16"/>
  <c r="E364" i="16" s="1"/>
  <c r="G364" i="16" s="1"/>
  <c r="D363" i="16"/>
  <c r="D362" i="16"/>
  <c r="F361" i="16"/>
  <c r="E361" i="16"/>
  <c r="D361" i="16"/>
  <c r="F360" i="16"/>
  <c r="D360" i="16"/>
  <c r="E360" i="16" s="1"/>
  <c r="F359" i="16"/>
  <c r="D359" i="16"/>
  <c r="E359" i="16" s="1"/>
  <c r="D358" i="16"/>
  <c r="E358" i="16" s="1"/>
  <c r="E357" i="16"/>
  <c r="D357" i="16"/>
  <c r="F357" i="16" s="1"/>
  <c r="H357" i="16" s="1"/>
  <c r="I357" i="16" s="1"/>
  <c r="H356" i="16"/>
  <c r="I356" i="16" s="1"/>
  <c r="F356" i="16"/>
  <c r="D356" i="16"/>
  <c r="E356" i="16" s="1"/>
  <c r="G356" i="16" s="1"/>
  <c r="D355" i="16"/>
  <c r="D354" i="16"/>
  <c r="F353" i="16"/>
  <c r="E353" i="16"/>
  <c r="D353" i="16"/>
  <c r="F352" i="16"/>
  <c r="D352" i="16"/>
  <c r="E352" i="16" s="1"/>
  <c r="F351" i="16"/>
  <c r="D351" i="16"/>
  <c r="E351" i="16" s="1"/>
  <c r="D350" i="16"/>
  <c r="E350" i="16" s="1"/>
  <c r="H349" i="16"/>
  <c r="I349" i="16" s="1"/>
  <c r="E349" i="16"/>
  <c r="D349" i="16"/>
  <c r="F349" i="16" s="1"/>
  <c r="H348" i="16"/>
  <c r="I348" i="16" s="1"/>
  <c r="F348" i="16"/>
  <c r="D348" i="16"/>
  <c r="E348" i="16" s="1"/>
  <c r="G348" i="16" s="1"/>
  <c r="D347" i="16"/>
  <c r="D346" i="16"/>
  <c r="F345" i="16"/>
  <c r="E345" i="16"/>
  <c r="D345" i="16"/>
  <c r="F344" i="16"/>
  <c r="D344" i="16"/>
  <c r="E344" i="16" s="1"/>
  <c r="F343" i="16"/>
  <c r="D343" i="16"/>
  <c r="E343" i="16" s="1"/>
  <c r="G342" i="16"/>
  <c r="E342" i="16"/>
  <c r="D342" i="16"/>
  <c r="F342" i="16" s="1"/>
  <c r="F341" i="16"/>
  <c r="E341" i="16"/>
  <c r="D341" i="16"/>
  <c r="G340" i="16"/>
  <c r="E340" i="16"/>
  <c r="H340" i="16" s="1"/>
  <c r="I340" i="16" s="1"/>
  <c r="D340" i="16"/>
  <c r="F340" i="16" s="1"/>
  <c r="F339" i="16"/>
  <c r="E339" i="16"/>
  <c r="D339" i="16"/>
  <c r="E338" i="16"/>
  <c r="D338" i="16"/>
  <c r="F338" i="16" s="1"/>
  <c r="G338" i="16" s="1"/>
  <c r="F337" i="16"/>
  <c r="E337" i="16"/>
  <c r="D337" i="16"/>
  <c r="E336" i="16"/>
  <c r="D336" i="16"/>
  <c r="F336" i="16" s="1"/>
  <c r="G336" i="16" s="1"/>
  <c r="F335" i="16"/>
  <c r="E335" i="16"/>
  <c r="D335" i="16"/>
  <c r="G334" i="16"/>
  <c r="E334" i="16"/>
  <c r="D334" i="16"/>
  <c r="F334" i="16" s="1"/>
  <c r="F333" i="16"/>
  <c r="E333" i="16"/>
  <c r="D333" i="16"/>
  <c r="G332" i="16"/>
  <c r="E332" i="16"/>
  <c r="H332" i="16" s="1"/>
  <c r="I332" i="16" s="1"/>
  <c r="D332" i="16"/>
  <c r="F332" i="16" s="1"/>
  <c r="F331" i="16"/>
  <c r="E331" i="16"/>
  <c r="D331" i="16"/>
  <c r="E330" i="16"/>
  <c r="D330" i="16"/>
  <c r="F330" i="16" s="1"/>
  <c r="G330" i="16" s="1"/>
  <c r="F329" i="16"/>
  <c r="E329" i="16"/>
  <c r="D329" i="16"/>
  <c r="E328" i="16"/>
  <c r="D328" i="16"/>
  <c r="F328" i="16" s="1"/>
  <c r="G328" i="16" s="1"/>
  <c r="F327" i="16"/>
  <c r="E327" i="16"/>
  <c r="D327" i="16"/>
  <c r="G326" i="16"/>
  <c r="E326" i="16"/>
  <c r="D326" i="16"/>
  <c r="F326" i="16" s="1"/>
  <c r="F325" i="16"/>
  <c r="E325" i="16"/>
  <c r="D325" i="16"/>
  <c r="G324" i="16"/>
  <c r="E324" i="16"/>
  <c r="H324" i="16" s="1"/>
  <c r="I324" i="16" s="1"/>
  <c r="D324" i="16"/>
  <c r="F324" i="16" s="1"/>
  <c r="F323" i="16"/>
  <c r="E323" i="16"/>
  <c r="D323" i="16"/>
  <c r="E322" i="16"/>
  <c r="D322" i="16"/>
  <c r="F322" i="16" s="1"/>
  <c r="G322" i="16" s="1"/>
  <c r="F321" i="16"/>
  <c r="E321" i="16"/>
  <c r="D321" i="16"/>
  <c r="E320" i="16"/>
  <c r="D320" i="16"/>
  <c r="F320" i="16" s="1"/>
  <c r="G320" i="16" s="1"/>
  <c r="F319" i="16"/>
  <c r="E319" i="16"/>
  <c r="D319" i="16"/>
  <c r="G318" i="16"/>
  <c r="E318" i="16"/>
  <c r="D318" i="16"/>
  <c r="F318" i="16" s="1"/>
  <c r="F317" i="16"/>
  <c r="E317" i="16"/>
  <c r="D317" i="16"/>
  <c r="G316" i="16"/>
  <c r="E316" i="16"/>
  <c r="H316" i="16" s="1"/>
  <c r="I316" i="16" s="1"/>
  <c r="D316" i="16"/>
  <c r="F316" i="16" s="1"/>
  <c r="F315" i="16"/>
  <c r="E315" i="16"/>
  <c r="D315" i="16"/>
  <c r="E314" i="16"/>
  <c r="D314" i="16"/>
  <c r="F314" i="16" s="1"/>
  <c r="G314" i="16" s="1"/>
  <c r="F313" i="16"/>
  <c r="E313" i="16"/>
  <c r="D313" i="16"/>
  <c r="E312" i="16"/>
  <c r="D312" i="16"/>
  <c r="F312" i="16" s="1"/>
  <c r="G312" i="16" s="1"/>
  <c r="F311" i="16"/>
  <c r="E311" i="16"/>
  <c r="D311" i="16"/>
  <c r="G310" i="16"/>
  <c r="E310" i="16"/>
  <c r="D310" i="16"/>
  <c r="F310" i="16" s="1"/>
  <c r="F309" i="16"/>
  <c r="E309" i="16"/>
  <c r="D309" i="16"/>
  <c r="G308" i="16"/>
  <c r="E308" i="16"/>
  <c r="H308" i="16" s="1"/>
  <c r="I308" i="16" s="1"/>
  <c r="D308" i="16"/>
  <c r="F308" i="16" s="1"/>
  <c r="F307" i="16"/>
  <c r="E307" i="16"/>
  <c r="D307" i="16"/>
  <c r="E306" i="16"/>
  <c r="D306" i="16"/>
  <c r="F306" i="16" s="1"/>
  <c r="G306" i="16" s="1"/>
  <c r="F305" i="16"/>
  <c r="E305" i="16"/>
  <c r="D305" i="16"/>
  <c r="E304" i="16"/>
  <c r="D304" i="16"/>
  <c r="F304" i="16" s="1"/>
  <c r="G304" i="16" s="1"/>
  <c r="F303" i="16"/>
  <c r="E303" i="16"/>
  <c r="D303" i="16"/>
  <c r="G302" i="16"/>
  <c r="E302" i="16"/>
  <c r="D302" i="16"/>
  <c r="F302" i="16" s="1"/>
  <c r="F301" i="16"/>
  <c r="E301" i="16"/>
  <c r="D301" i="16"/>
  <c r="G300" i="16"/>
  <c r="E300" i="16"/>
  <c r="H300" i="16" s="1"/>
  <c r="I300" i="16" s="1"/>
  <c r="D300" i="16"/>
  <c r="F300" i="16" s="1"/>
  <c r="F299" i="16"/>
  <c r="E299" i="16"/>
  <c r="D299" i="16"/>
  <c r="E298" i="16"/>
  <c r="D298" i="16"/>
  <c r="F298" i="16" s="1"/>
  <c r="G298" i="16" s="1"/>
  <c r="F297" i="16"/>
  <c r="E297" i="16"/>
  <c r="D297" i="16"/>
  <c r="E296" i="16"/>
  <c r="H296" i="16" s="1"/>
  <c r="I296" i="16" s="1"/>
  <c r="D296" i="16"/>
  <c r="F296" i="16" s="1"/>
  <c r="G296" i="16" s="1"/>
  <c r="F295" i="16"/>
  <c r="E295" i="16"/>
  <c r="D295" i="16"/>
  <c r="G294" i="16"/>
  <c r="E294" i="16"/>
  <c r="D294" i="16"/>
  <c r="F294" i="16" s="1"/>
  <c r="F293" i="16"/>
  <c r="E293" i="16"/>
  <c r="D293" i="16"/>
  <c r="G292" i="16"/>
  <c r="E292" i="16"/>
  <c r="H292" i="16" s="1"/>
  <c r="I292" i="16" s="1"/>
  <c r="D292" i="16"/>
  <c r="F292" i="16" s="1"/>
  <c r="F291" i="16"/>
  <c r="E291" i="16"/>
  <c r="D291" i="16"/>
  <c r="E290" i="16"/>
  <c r="D290" i="16"/>
  <c r="F290" i="16" s="1"/>
  <c r="G290" i="16" s="1"/>
  <c r="F289" i="16"/>
  <c r="E289" i="16"/>
  <c r="D289" i="16"/>
  <c r="E288" i="16"/>
  <c r="H288" i="16" s="1"/>
  <c r="I288" i="16" s="1"/>
  <c r="D288" i="16"/>
  <c r="F288" i="16" s="1"/>
  <c r="G288" i="16" s="1"/>
  <c r="F287" i="16"/>
  <c r="E287" i="16"/>
  <c r="D287" i="16"/>
  <c r="G286" i="16"/>
  <c r="E286" i="16"/>
  <c r="D286" i="16"/>
  <c r="F286" i="16" s="1"/>
  <c r="F285" i="16"/>
  <c r="E285" i="16"/>
  <c r="D285" i="16"/>
  <c r="G284" i="16"/>
  <c r="E284" i="16"/>
  <c r="H284" i="16" s="1"/>
  <c r="I284" i="16" s="1"/>
  <c r="D284" i="16"/>
  <c r="F284" i="16" s="1"/>
  <c r="F283" i="16"/>
  <c r="E283" i="16"/>
  <c r="D283" i="16"/>
  <c r="E282" i="16"/>
  <c r="D282" i="16"/>
  <c r="F282" i="16" s="1"/>
  <c r="G282" i="16" s="1"/>
  <c r="F281" i="16"/>
  <c r="E281" i="16"/>
  <c r="D281" i="16"/>
  <c r="E280" i="16"/>
  <c r="H280" i="16" s="1"/>
  <c r="I280" i="16" s="1"/>
  <c r="D280" i="16"/>
  <c r="F280" i="16" s="1"/>
  <c r="G280" i="16" s="1"/>
  <c r="F279" i="16"/>
  <c r="E279" i="16"/>
  <c r="D279" i="16"/>
  <c r="G278" i="16"/>
  <c r="E278" i="16"/>
  <c r="D278" i="16"/>
  <c r="F278" i="16" s="1"/>
  <c r="F277" i="16"/>
  <c r="E277" i="16"/>
  <c r="D277" i="16"/>
  <c r="G276" i="16"/>
  <c r="E276" i="16"/>
  <c r="H276" i="16" s="1"/>
  <c r="I276" i="16" s="1"/>
  <c r="D276" i="16"/>
  <c r="F276" i="16" s="1"/>
  <c r="F275" i="16"/>
  <c r="E275" i="16"/>
  <c r="D275" i="16"/>
  <c r="E274" i="16"/>
  <c r="D274" i="16"/>
  <c r="F274" i="16" s="1"/>
  <c r="G274" i="16" s="1"/>
  <c r="F273" i="16"/>
  <c r="E273" i="16"/>
  <c r="D273" i="16"/>
  <c r="E272" i="16"/>
  <c r="H272" i="16" s="1"/>
  <c r="I272" i="16" s="1"/>
  <c r="D272" i="16"/>
  <c r="F272" i="16" s="1"/>
  <c r="G272" i="16" s="1"/>
  <c r="F271" i="16"/>
  <c r="E271" i="16"/>
  <c r="D271" i="16"/>
  <c r="G270" i="16"/>
  <c r="E270" i="16"/>
  <c r="D270" i="16"/>
  <c r="F270" i="16" s="1"/>
  <c r="F269" i="16"/>
  <c r="E269" i="16"/>
  <c r="D269" i="16"/>
  <c r="G268" i="16"/>
  <c r="E268" i="16"/>
  <c r="H268" i="16" s="1"/>
  <c r="I268" i="16" s="1"/>
  <c r="D268" i="16"/>
  <c r="F268" i="16" s="1"/>
  <c r="F267" i="16"/>
  <c r="E267" i="16"/>
  <c r="D267" i="16"/>
  <c r="E266" i="16"/>
  <c r="D266" i="16"/>
  <c r="F266" i="16" s="1"/>
  <c r="G266" i="16" s="1"/>
  <c r="F265" i="16"/>
  <c r="E265" i="16"/>
  <c r="D265" i="16"/>
  <c r="E264" i="16"/>
  <c r="H264" i="16" s="1"/>
  <c r="I264" i="16" s="1"/>
  <c r="D264" i="16"/>
  <c r="F264" i="16" s="1"/>
  <c r="G264" i="16" s="1"/>
  <c r="F263" i="16"/>
  <c r="E263" i="16"/>
  <c r="D263" i="16"/>
  <c r="G262" i="16"/>
  <c r="E262" i="16"/>
  <c r="D262" i="16"/>
  <c r="F262" i="16" s="1"/>
  <c r="F261" i="16"/>
  <c r="E261" i="16"/>
  <c r="D261" i="16"/>
  <c r="G260" i="16"/>
  <c r="E260" i="16"/>
  <c r="H260" i="16" s="1"/>
  <c r="I260" i="16" s="1"/>
  <c r="D260" i="16"/>
  <c r="F260" i="16" s="1"/>
  <c r="F259" i="16"/>
  <c r="E259" i="16"/>
  <c r="D259" i="16"/>
  <c r="E258" i="16"/>
  <c r="D258" i="16"/>
  <c r="F258" i="16" s="1"/>
  <c r="G258" i="16" s="1"/>
  <c r="F257" i="16"/>
  <c r="E257" i="16"/>
  <c r="D257" i="16"/>
  <c r="E256" i="16"/>
  <c r="H256" i="16" s="1"/>
  <c r="I256" i="16" s="1"/>
  <c r="D256" i="16"/>
  <c r="F256" i="16" s="1"/>
  <c r="G256" i="16" s="1"/>
  <c r="F255" i="16"/>
  <c r="E255" i="16"/>
  <c r="D255" i="16"/>
  <c r="G254" i="16"/>
  <c r="E254" i="16"/>
  <c r="D254" i="16"/>
  <c r="F254" i="16" s="1"/>
  <c r="F253" i="16"/>
  <c r="E253" i="16"/>
  <c r="D253" i="16"/>
  <c r="G252" i="16"/>
  <c r="E252" i="16"/>
  <c r="H252" i="16" s="1"/>
  <c r="I252" i="16" s="1"/>
  <c r="D252" i="16"/>
  <c r="F252" i="16" s="1"/>
  <c r="F251" i="16"/>
  <c r="E251" i="16"/>
  <c r="D251" i="16"/>
  <c r="E250" i="16"/>
  <c r="D250" i="16"/>
  <c r="F250" i="16" s="1"/>
  <c r="G250" i="16" s="1"/>
  <c r="F249" i="16"/>
  <c r="E249" i="16"/>
  <c r="D249" i="16"/>
  <c r="E248" i="16"/>
  <c r="H248" i="16" s="1"/>
  <c r="I248" i="16" s="1"/>
  <c r="D248" i="16"/>
  <c r="F248" i="16" s="1"/>
  <c r="G248" i="16" s="1"/>
  <c r="F247" i="16"/>
  <c r="E247" i="16"/>
  <c r="D247" i="16"/>
  <c r="G246" i="16"/>
  <c r="E246" i="16"/>
  <c r="D246" i="16"/>
  <c r="F246" i="16" s="1"/>
  <c r="F245" i="16"/>
  <c r="E245" i="16"/>
  <c r="D245" i="16"/>
  <c r="G244" i="16"/>
  <c r="E244" i="16"/>
  <c r="H244" i="16" s="1"/>
  <c r="I244" i="16" s="1"/>
  <c r="D244" i="16"/>
  <c r="F244" i="16" s="1"/>
  <c r="F243" i="16"/>
  <c r="E243" i="16"/>
  <c r="D243" i="16"/>
  <c r="E242" i="16"/>
  <c r="D242" i="16"/>
  <c r="F242" i="16" s="1"/>
  <c r="G242" i="16" s="1"/>
  <c r="F241" i="16"/>
  <c r="E241" i="16"/>
  <c r="D241" i="16"/>
  <c r="E240" i="16"/>
  <c r="H240" i="16" s="1"/>
  <c r="I240" i="16" s="1"/>
  <c r="D240" i="16"/>
  <c r="F240" i="16" s="1"/>
  <c r="G240" i="16" s="1"/>
  <c r="F239" i="16"/>
  <c r="E239" i="16"/>
  <c r="D239" i="16"/>
  <c r="G238" i="16"/>
  <c r="E238" i="16"/>
  <c r="D238" i="16"/>
  <c r="F238" i="16" s="1"/>
  <c r="F237" i="16"/>
  <c r="E237" i="16"/>
  <c r="D237" i="16"/>
  <c r="G236" i="16"/>
  <c r="E236" i="16"/>
  <c r="H236" i="16" s="1"/>
  <c r="I236" i="16" s="1"/>
  <c r="D236" i="16"/>
  <c r="F236" i="16" s="1"/>
  <c r="F235" i="16"/>
  <c r="E235" i="16"/>
  <c r="D235" i="16"/>
  <c r="E234" i="16"/>
  <c r="D234" i="16"/>
  <c r="F234" i="16" s="1"/>
  <c r="G234" i="16" s="1"/>
  <c r="F233" i="16"/>
  <c r="E233" i="16"/>
  <c r="D233" i="16"/>
  <c r="E232" i="16"/>
  <c r="H232" i="16" s="1"/>
  <c r="I232" i="16" s="1"/>
  <c r="D232" i="16"/>
  <c r="F232" i="16" s="1"/>
  <c r="G232" i="16" s="1"/>
  <c r="F231" i="16"/>
  <c r="E231" i="16"/>
  <c r="D231" i="16"/>
  <c r="G230" i="16"/>
  <c r="E230" i="16"/>
  <c r="D230" i="16"/>
  <c r="F230" i="16" s="1"/>
  <c r="F229" i="16"/>
  <c r="E229" i="16"/>
  <c r="D229" i="16"/>
  <c r="G228" i="16"/>
  <c r="E228" i="16"/>
  <c r="H228" i="16" s="1"/>
  <c r="I228" i="16" s="1"/>
  <c r="D228" i="16"/>
  <c r="F228" i="16" s="1"/>
  <c r="F227" i="16"/>
  <c r="E227" i="16"/>
  <c r="D227" i="16"/>
  <c r="E226" i="16"/>
  <c r="D226" i="16"/>
  <c r="F226" i="16" s="1"/>
  <c r="G226" i="16" s="1"/>
  <c r="F225" i="16"/>
  <c r="E225" i="16"/>
  <c r="D225" i="16"/>
  <c r="E224" i="16"/>
  <c r="H224" i="16" s="1"/>
  <c r="I224" i="16" s="1"/>
  <c r="D224" i="16"/>
  <c r="F224" i="16" s="1"/>
  <c r="G224" i="16" s="1"/>
  <c r="F223" i="16"/>
  <c r="E223" i="16"/>
  <c r="D223" i="16"/>
  <c r="G222" i="16"/>
  <c r="E222" i="16"/>
  <c r="D222" i="16"/>
  <c r="F222" i="16" s="1"/>
  <c r="F221" i="16"/>
  <c r="E221" i="16"/>
  <c r="D221" i="16"/>
  <c r="G220" i="16"/>
  <c r="E220" i="16"/>
  <c r="H220" i="16" s="1"/>
  <c r="I220" i="16" s="1"/>
  <c r="D220" i="16"/>
  <c r="F220" i="16" s="1"/>
  <c r="F219" i="16"/>
  <c r="E219" i="16"/>
  <c r="D219" i="16"/>
  <c r="E218" i="16"/>
  <c r="D218" i="16"/>
  <c r="F218" i="16" s="1"/>
  <c r="G218" i="16" s="1"/>
  <c r="F217" i="16"/>
  <c r="E217" i="16"/>
  <c r="D217" i="16"/>
  <c r="E216" i="16"/>
  <c r="H216" i="16" s="1"/>
  <c r="I216" i="16" s="1"/>
  <c r="D216" i="16"/>
  <c r="F216" i="16" s="1"/>
  <c r="G216" i="16" s="1"/>
  <c r="F215" i="16"/>
  <c r="E215" i="16"/>
  <c r="D215" i="16"/>
  <c r="G214" i="16"/>
  <c r="E214" i="16"/>
  <c r="D214" i="16"/>
  <c r="F214" i="16" s="1"/>
  <c r="F213" i="16"/>
  <c r="E213" i="16"/>
  <c r="D213" i="16"/>
  <c r="G212" i="16"/>
  <c r="E212" i="16"/>
  <c r="H212" i="16" s="1"/>
  <c r="I212" i="16" s="1"/>
  <c r="D212" i="16"/>
  <c r="F212" i="16" s="1"/>
  <c r="F211" i="16"/>
  <c r="E211" i="16"/>
  <c r="D211" i="16"/>
  <c r="E210" i="16"/>
  <c r="D210" i="16"/>
  <c r="F210" i="16" s="1"/>
  <c r="G210" i="16" s="1"/>
  <c r="F209" i="16"/>
  <c r="E209" i="16"/>
  <c r="D209" i="16"/>
  <c r="E208" i="16"/>
  <c r="H208" i="16" s="1"/>
  <c r="I208" i="16" s="1"/>
  <c r="D208" i="16"/>
  <c r="F208" i="16" s="1"/>
  <c r="G208" i="16" s="1"/>
  <c r="F207" i="16"/>
  <c r="E207" i="16"/>
  <c r="D207" i="16"/>
  <c r="G206" i="16"/>
  <c r="E206" i="16"/>
  <c r="D206" i="16"/>
  <c r="F206" i="16" s="1"/>
  <c r="F205" i="16"/>
  <c r="E205" i="16"/>
  <c r="D205" i="16"/>
  <c r="G204" i="16"/>
  <c r="E204" i="16"/>
  <c r="H204" i="16" s="1"/>
  <c r="I204" i="16" s="1"/>
  <c r="D204" i="16"/>
  <c r="F204" i="16" s="1"/>
  <c r="F203" i="16"/>
  <c r="E203" i="16"/>
  <c r="D203" i="16"/>
  <c r="E202" i="16"/>
  <c r="D202" i="16"/>
  <c r="F202" i="16" s="1"/>
  <c r="G202" i="16" s="1"/>
  <c r="F201" i="16"/>
  <c r="E201" i="16"/>
  <c r="D201" i="16"/>
  <c r="E200" i="16"/>
  <c r="H200" i="16" s="1"/>
  <c r="I200" i="16" s="1"/>
  <c r="D200" i="16"/>
  <c r="F200" i="16" s="1"/>
  <c r="G200" i="16" s="1"/>
  <c r="F199" i="16"/>
  <c r="E199" i="16"/>
  <c r="D199" i="16"/>
  <c r="G198" i="16"/>
  <c r="E198" i="16"/>
  <c r="D198" i="16"/>
  <c r="F198" i="16" s="1"/>
  <c r="F197" i="16"/>
  <c r="E197" i="16"/>
  <c r="D197" i="16"/>
  <c r="G196" i="16"/>
  <c r="E196" i="16"/>
  <c r="H196" i="16" s="1"/>
  <c r="I196" i="16" s="1"/>
  <c r="D196" i="16"/>
  <c r="F196" i="16" s="1"/>
  <c r="F195" i="16"/>
  <c r="E195" i="16"/>
  <c r="D195" i="16"/>
  <c r="E194" i="16"/>
  <c r="D194" i="16"/>
  <c r="F194" i="16" s="1"/>
  <c r="G194" i="16" s="1"/>
  <c r="F193" i="16"/>
  <c r="E193" i="16"/>
  <c r="H193" i="16" s="1"/>
  <c r="I193" i="16" s="1"/>
  <c r="D193" i="16"/>
  <c r="E192" i="16"/>
  <c r="H192" i="16" s="1"/>
  <c r="I192" i="16" s="1"/>
  <c r="D192" i="16"/>
  <c r="F192" i="16" s="1"/>
  <c r="I191" i="16"/>
  <c r="G191" i="16"/>
  <c r="F191" i="16"/>
  <c r="E191" i="16"/>
  <c r="H191" i="16" s="1"/>
  <c r="D191" i="16"/>
  <c r="G190" i="16"/>
  <c r="E190" i="16"/>
  <c r="D190" i="16"/>
  <c r="F190" i="16" s="1"/>
  <c r="G189" i="16"/>
  <c r="F189" i="16"/>
  <c r="E189" i="16"/>
  <c r="H189" i="16" s="1"/>
  <c r="I189" i="16" s="1"/>
  <c r="D189" i="16"/>
  <c r="I188" i="16"/>
  <c r="E188" i="16"/>
  <c r="H188" i="16" s="1"/>
  <c r="D188" i="16"/>
  <c r="F188" i="16" s="1"/>
  <c r="I187" i="16"/>
  <c r="F187" i="16"/>
  <c r="E187" i="16"/>
  <c r="H187" i="16" s="1"/>
  <c r="D187" i="16"/>
  <c r="E186" i="16"/>
  <c r="D186" i="16"/>
  <c r="F186" i="16" s="1"/>
  <c r="G186" i="16" s="1"/>
  <c r="F185" i="16"/>
  <c r="E185" i="16"/>
  <c r="H185" i="16" s="1"/>
  <c r="I185" i="16" s="1"/>
  <c r="D185" i="16"/>
  <c r="E184" i="16"/>
  <c r="H184" i="16" s="1"/>
  <c r="I184" i="16" s="1"/>
  <c r="D184" i="16"/>
  <c r="F184" i="16" s="1"/>
  <c r="I183" i="16"/>
  <c r="G183" i="16"/>
  <c r="F183" i="16"/>
  <c r="E183" i="16"/>
  <c r="H183" i="16" s="1"/>
  <c r="D183" i="16"/>
  <c r="G182" i="16"/>
  <c r="E182" i="16"/>
  <c r="D182" i="16"/>
  <c r="F182" i="16" s="1"/>
  <c r="G181" i="16"/>
  <c r="F181" i="16"/>
  <c r="E181" i="16"/>
  <c r="H181" i="16" s="1"/>
  <c r="I181" i="16" s="1"/>
  <c r="D181" i="16"/>
  <c r="I180" i="16"/>
  <c r="E180" i="16"/>
  <c r="H180" i="16" s="1"/>
  <c r="D180" i="16"/>
  <c r="F180" i="16" s="1"/>
  <c r="I179" i="16"/>
  <c r="F179" i="16"/>
  <c r="E179" i="16"/>
  <c r="H179" i="16" s="1"/>
  <c r="D179" i="16"/>
  <c r="E178" i="16"/>
  <c r="D178" i="16"/>
  <c r="F178" i="16" s="1"/>
  <c r="G178" i="16" s="1"/>
  <c r="F177" i="16"/>
  <c r="E177" i="16"/>
  <c r="H177" i="16" s="1"/>
  <c r="I177" i="16" s="1"/>
  <c r="D177" i="16"/>
  <c r="E176" i="16"/>
  <c r="H176" i="16" s="1"/>
  <c r="I176" i="16" s="1"/>
  <c r="D176" i="16"/>
  <c r="F176" i="16" s="1"/>
  <c r="I175" i="16"/>
  <c r="G175" i="16"/>
  <c r="F175" i="16"/>
  <c r="E175" i="16"/>
  <c r="H175" i="16" s="1"/>
  <c r="D175" i="16"/>
  <c r="G174" i="16"/>
  <c r="E174" i="16"/>
  <c r="D174" i="16"/>
  <c r="F174" i="16" s="1"/>
  <c r="G173" i="16"/>
  <c r="F173" i="16"/>
  <c r="E173" i="16"/>
  <c r="H173" i="16" s="1"/>
  <c r="I173" i="16" s="1"/>
  <c r="D173" i="16"/>
  <c r="I172" i="16"/>
  <c r="E172" i="16"/>
  <c r="H172" i="16" s="1"/>
  <c r="D172" i="16"/>
  <c r="F172" i="16" s="1"/>
  <c r="I171" i="16"/>
  <c r="F171" i="16"/>
  <c r="E171" i="16"/>
  <c r="H171" i="16" s="1"/>
  <c r="D171" i="16"/>
  <c r="E170" i="16"/>
  <c r="D170" i="16"/>
  <c r="F170" i="16" s="1"/>
  <c r="G170" i="16" s="1"/>
  <c r="F169" i="16"/>
  <c r="E169" i="16"/>
  <c r="H169" i="16" s="1"/>
  <c r="I169" i="16" s="1"/>
  <c r="D169" i="16"/>
  <c r="E168" i="16"/>
  <c r="H168" i="16" s="1"/>
  <c r="I168" i="16" s="1"/>
  <c r="D168" i="16"/>
  <c r="F168" i="16" s="1"/>
  <c r="I167" i="16"/>
  <c r="G167" i="16"/>
  <c r="F167" i="16"/>
  <c r="E167" i="16"/>
  <c r="H167" i="16" s="1"/>
  <c r="D167" i="16"/>
  <c r="G166" i="16"/>
  <c r="E166" i="16"/>
  <c r="D166" i="16"/>
  <c r="F166" i="16" s="1"/>
  <c r="G165" i="16"/>
  <c r="F165" i="16"/>
  <c r="E165" i="16"/>
  <c r="H165" i="16" s="1"/>
  <c r="I165" i="16" s="1"/>
  <c r="D165" i="16"/>
  <c r="I164" i="16"/>
  <c r="E164" i="16"/>
  <c r="H164" i="16" s="1"/>
  <c r="D164" i="16"/>
  <c r="F164" i="16" s="1"/>
  <c r="I163" i="16"/>
  <c r="F163" i="16"/>
  <c r="E163" i="16"/>
  <c r="H163" i="16" s="1"/>
  <c r="D163" i="16"/>
  <c r="E162" i="16"/>
  <c r="D162" i="16"/>
  <c r="F162" i="16" s="1"/>
  <c r="G162" i="16" s="1"/>
  <c r="F161" i="16"/>
  <c r="E161" i="16"/>
  <c r="H161" i="16" s="1"/>
  <c r="I161" i="16" s="1"/>
  <c r="D161" i="16"/>
  <c r="E160" i="16"/>
  <c r="H160" i="16" s="1"/>
  <c r="I160" i="16" s="1"/>
  <c r="D160" i="16"/>
  <c r="F160" i="16" s="1"/>
  <c r="I159" i="16"/>
  <c r="G159" i="16"/>
  <c r="F159" i="16"/>
  <c r="E159" i="16"/>
  <c r="H159" i="16" s="1"/>
  <c r="D159" i="16"/>
  <c r="G158" i="16"/>
  <c r="E158" i="16"/>
  <c r="D158" i="16"/>
  <c r="F158" i="16" s="1"/>
  <c r="G157" i="16"/>
  <c r="F157" i="16"/>
  <c r="E157" i="16"/>
  <c r="H157" i="16" s="1"/>
  <c r="I157" i="16" s="1"/>
  <c r="D157" i="16"/>
  <c r="I156" i="16"/>
  <c r="E156" i="16"/>
  <c r="H156" i="16" s="1"/>
  <c r="D156" i="16"/>
  <c r="F156" i="16" s="1"/>
  <c r="I155" i="16"/>
  <c r="F155" i="16"/>
  <c r="E155" i="16"/>
  <c r="H155" i="16" s="1"/>
  <c r="D155" i="16"/>
  <c r="E154" i="16"/>
  <c r="D154" i="16"/>
  <c r="F154" i="16" s="1"/>
  <c r="G154" i="16" s="1"/>
  <c r="F153" i="16"/>
  <c r="E153" i="16"/>
  <c r="H153" i="16" s="1"/>
  <c r="I153" i="16" s="1"/>
  <c r="D153" i="16"/>
  <c r="E152" i="16"/>
  <c r="H152" i="16" s="1"/>
  <c r="I152" i="16" s="1"/>
  <c r="D152" i="16"/>
  <c r="F152" i="16" s="1"/>
  <c r="I151" i="16"/>
  <c r="G151" i="16"/>
  <c r="F151" i="16"/>
  <c r="E151" i="16"/>
  <c r="H151" i="16" s="1"/>
  <c r="D151" i="16"/>
  <c r="G150" i="16"/>
  <c r="E150" i="16"/>
  <c r="D150" i="16"/>
  <c r="F150" i="16" s="1"/>
  <c r="G149" i="16"/>
  <c r="F149" i="16"/>
  <c r="E149" i="16"/>
  <c r="H149" i="16" s="1"/>
  <c r="I149" i="16" s="1"/>
  <c r="D149" i="16"/>
  <c r="I148" i="16"/>
  <c r="E148" i="16"/>
  <c r="H148" i="16" s="1"/>
  <c r="D148" i="16"/>
  <c r="F148" i="16" s="1"/>
  <c r="I147" i="16"/>
  <c r="F147" i="16"/>
  <c r="E147" i="16"/>
  <c r="H147" i="16" s="1"/>
  <c r="D147" i="16"/>
  <c r="E146" i="16"/>
  <c r="D146" i="16"/>
  <c r="F146" i="16" s="1"/>
  <c r="G146" i="16" s="1"/>
  <c r="F145" i="16"/>
  <c r="E145" i="16"/>
  <c r="H145" i="16" s="1"/>
  <c r="I145" i="16" s="1"/>
  <c r="D145" i="16"/>
  <c r="E144" i="16"/>
  <c r="H144" i="16" s="1"/>
  <c r="I144" i="16" s="1"/>
  <c r="D144" i="16"/>
  <c r="F144" i="16" s="1"/>
  <c r="I143" i="16"/>
  <c r="G143" i="16"/>
  <c r="F143" i="16"/>
  <c r="E143" i="16"/>
  <c r="H143" i="16" s="1"/>
  <c r="D143" i="16"/>
  <c r="G142" i="16"/>
  <c r="E142" i="16"/>
  <c r="D142" i="16"/>
  <c r="F142" i="16" s="1"/>
  <c r="G141" i="16"/>
  <c r="F141" i="16"/>
  <c r="E141" i="16"/>
  <c r="H141" i="16" s="1"/>
  <c r="I141" i="16" s="1"/>
  <c r="D141" i="16"/>
  <c r="I140" i="16"/>
  <c r="E140" i="16"/>
  <c r="H140" i="16" s="1"/>
  <c r="D140" i="16"/>
  <c r="F140" i="16" s="1"/>
  <c r="I139" i="16"/>
  <c r="F139" i="16"/>
  <c r="E139" i="16"/>
  <c r="H139" i="16" s="1"/>
  <c r="D139" i="16"/>
  <c r="E138" i="16"/>
  <c r="D138" i="16"/>
  <c r="F138" i="16" s="1"/>
  <c r="G138" i="16" s="1"/>
  <c r="F137" i="16"/>
  <c r="E137" i="16"/>
  <c r="H137" i="16" s="1"/>
  <c r="I137" i="16" s="1"/>
  <c r="D137" i="16"/>
  <c r="E136" i="16"/>
  <c r="H136" i="16" s="1"/>
  <c r="I136" i="16" s="1"/>
  <c r="D136" i="16"/>
  <c r="F136" i="16" s="1"/>
  <c r="I135" i="16"/>
  <c r="G135" i="16"/>
  <c r="F135" i="16"/>
  <c r="E135" i="16"/>
  <c r="H135" i="16" s="1"/>
  <c r="D135" i="16"/>
  <c r="G134" i="16"/>
  <c r="E134" i="16"/>
  <c r="D134" i="16"/>
  <c r="F134" i="16" s="1"/>
  <c r="G133" i="16"/>
  <c r="F133" i="16"/>
  <c r="E133" i="16"/>
  <c r="H133" i="16" s="1"/>
  <c r="I133" i="16" s="1"/>
  <c r="D133" i="16"/>
  <c r="I132" i="16"/>
  <c r="E132" i="16"/>
  <c r="H132" i="16" s="1"/>
  <c r="D132" i="16"/>
  <c r="F132" i="16" s="1"/>
  <c r="I131" i="16"/>
  <c r="F131" i="16"/>
  <c r="E131" i="16"/>
  <c r="H131" i="16" s="1"/>
  <c r="D131" i="16"/>
  <c r="E130" i="16"/>
  <c r="D130" i="16"/>
  <c r="F130" i="16" s="1"/>
  <c r="G130" i="16" s="1"/>
  <c r="F129" i="16"/>
  <c r="E129" i="16"/>
  <c r="H129" i="16" s="1"/>
  <c r="I129" i="16" s="1"/>
  <c r="D129" i="16"/>
  <c r="E128" i="16"/>
  <c r="H128" i="16" s="1"/>
  <c r="I128" i="16" s="1"/>
  <c r="D128" i="16"/>
  <c r="F128" i="16" s="1"/>
  <c r="I127" i="16"/>
  <c r="G127" i="16"/>
  <c r="F127" i="16"/>
  <c r="E127" i="16"/>
  <c r="H127" i="16" s="1"/>
  <c r="D127" i="16"/>
  <c r="G126" i="16"/>
  <c r="E126" i="16"/>
  <c r="D126" i="16"/>
  <c r="F126" i="16" s="1"/>
  <c r="G125" i="16"/>
  <c r="F125" i="16"/>
  <c r="E125" i="16"/>
  <c r="H125" i="16" s="1"/>
  <c r="I125" i="16" s="1"/>
  <c r="D125" i="16"/>
  <c r="I124" i="16"/>
  <c r="E124" i="16"/>
  <c r="H124" i="16" s="1"/>
  <c r="D124" i="16"/>
  <c r="F124" i="16" s="1"/>
  <c r="I123" i="16"/>
  <c r="F123" i="16"/>
  <c r="E123" i="16"/>
  <c r="H123" i="16" s="1"/>
  <c r="D123" i="16"/>
  <c r="E122" i="16"/>
  <c r="D122" i="16"/>
  <c r="F122" i="16" s="1"/>
  <c r="G122" i="16" s="1"/>
  <c r="F121" i="16"/>
  <c r="E121" i="16"/>
  <c r="H121" i="16" s="1"/>
  <c r="I121" i="16" s="1"/>
  <c r="D121" i="16"/>
  <c r="E120" i="16"/>
  <c r="H120" i="16" s="1"/>
  <c r="I120" i="16" s="1"/>
  <c r="D120" i="16"/>
  <c r="F120" i="16" s="1"/>
  <c r="I119" i="16"/>
  <c r="G119" i="16"/>
  <c r="F119" i="16"/>
  <c r="E119" i="16"/>
  <c r="H119" i="16" s="1"/>
  <c r="D119" i="16"/>
  <c r="G118" i="16"/>
  <c r="E118" i="16"/>
  <c r="D118" i="16"/>
  <c r="F118" i="16" s="1"/>
  <c r="G117" i="16"/>
  <c r="F117" i="16"/>
  <c r="E117" i="16"/>
  <c r="H117" i="16" s="1"/>
  <c r="I117" i="16" s="1"/>
  <c r="D117" i="16"/>
  <c r="I116" i="16"/>
  <c r="E116" i="16"/>
  <c r="H116" i="16" s="1"/>
  <c r="D116" i="16"/>
  <c r="F116" i="16" s="1"/>
  <c r="I115" i="16"/>
  <c r="F115" i="16"/>
  <c r="E115" i="16"/>
  <c r="H115" i="16" s="1"/>
  <c r="D115" i="16"/>
  <c r="E114" i="16"/>
  <c r="D114" i="16"/>
  <c r="F114" i="16" s="1"/>
  <c r="G114" i="16" s="1"/>
  <c r="F113" i="16"/>
  <c r="E113" i="16"/>
  <c r="H113" i="16" s="1"/>
  <c r="I113" i="16" s="1"/>
  <c r="D113" i="16"/>
  <c r="E112" i="16"/>
  <c r="H112" i="16" s="1"/>
  <c r="I112" i="16" s="1"/>
  <c r="D112" i="16"/>
  <c r="F112" i="16" s="1"/>
  <c r="I111" i="16"/>
  <c r="G111" i="16"/>
  <c r="F111" i="16"/>
  <c r="E111" i="16"/>
  <c r="H111" i="16" s="1"/>
  <c r="D111" i="16"/>
  <c r="G110" i="16"/>
  <c r="E110" i="16"/>
  <c r="D110" i="16"/>
  <c r="F110" i="16" s="1"/>
  <c r="G109" i="16"/>
  <c r="F109" i="16"/>
  <c r="E109" i="16"/>
  <c r="H109" i="16" s="1"/>
  <c r="I109" i="16" s="1"/>
  <c r="D109" i="16"/>
  <c r="I108" i="16"/>
  <c r="E108" i="16"/>
  <c r="H108" i="16" s="1"/>
  <c r="D108" i="16"/>
  <c r="F108" i="16" s="1"/>
  <c r="I107" i="16"/>
  <c r="F107" i="16"/>
  <c r="E107" i="16"/>
  <c r="H107" i="16" s="1"/>
  <c r="D107" i="16"/>
  <c r="E106" i="16"/>
  <c r="D106" i="16"/>
  <c r="F106" i="16" s="1"/>
  <c r="G106" i="16" s="1"/>
  <c r="F105" i="16"/>
  <c r="E105" i="16"/>
  <c r="H105" i="16" s="1"/>
  <c r="I105" i="16" s="1"/>
  <c r="D105" i="16"/>
  <c r="E104" i="16"/>
  <c r="H104" i="16" s="1"/>
  <c r="I104" i="16" s="1"/>
  <c r="D104" i="16"/>
  <c r="F104" i="16" s="1"/>
  <c r="I103" i="16"/>
  <c r="G103" i="16"/>
  <c r="F103" i="16"/>
  <c r="E103" i="16"/>
  <c r="H103" i="16" s="1"/>
  <c r="D103" i="16"/>
  <c r="G102" i="16"/>
  <c r="E102" i="16"/>
  <c r="D102" i="16"/>
  <c r="F102" i="16" s="1"/>
  <c r="G101" i="16"/>
  <c r="F101" i="16"/>
  <c r="E101" i="16"/>
  <c r="H101" i="16" s="1"/>
  <c r="I101" i="16" s="1"/>
  <c r="D101" i="16"/>
  <c r="I100" i="16"/>
  <c r="E100" i="16"/>
  <c r="H100" i="16" s="1"/>
  <c r="D100" i="16"/>
  <c r="F100" i="16" s="1"/>
  <c r="I99" i="16"/>
  <c r="F99" i="16"/>
  <c r="E99" i="16"/>
  <c r="H99" i="16" s="1"/>
  <c r="D99" i="16"/>
  <c r="E98" i="16"/>
  <c r="D98" i="16"/>
  <c r="F98" i="16" s="1"/>
  <c r="G98" i="16" s="1"/>
  <c r="F97" i="16"/>
  <c r="E97" i="16"/>
  <c r="H97" i="16" s="1"/>
  <c r="I97" i="16" s="1"/>
  <c r="D97" i="16"/>
  <c r="E96" i="16"/>
  <c r="H96" i="16" s="1"/>
  <c r="I96" i="16" s="1"/>
  <c r="D96" i="16"/>
  <c r="F96" i="16" s="1"/>
  <c r="I95" i="16"/>
  <c r="G95" i="16"/>
  <c r="F95" i="16"/>
  <c r="E95" i="16"/>
  <c r="H95" i="16" s="1"/>
  <c r="D95" i="16"/>
  <c r="G94" i="16"/>
  <c r="E94" i="16"/>
  <c r="D94" i="16"/>
  <c r="F94" i="16" s="1"/>
  <c r="G93" i="16"/>
  <c r="F93" i="16"/>
  <c r="E93" i="16"/>
  <c r="H93" i="16" s="1"/>
  <c r="I93" i="16" s="1"/>
  <c r="D93" i="16"/>
  <c r="I92" i="16"/>
  <c r="E92" i="16"/>
  <c r="H92" i="16" s="1"/>
  <c r="D92" i="16"/>
  <c r="F92" i="16" s="1"/>
  <c r="I91" i="16"/>
  <c r="F91" i="16"/>
  <c r="E91" i="16"/>
  <c r="H91" i="16" s="1"/>
  <c r="D91" i="16"/>
  <c r="E90" i="16"/>
  <c r="D90" i="16"/>
  <c r="F90" i="16" s="1"/>
  <c r="G90" i="16" s="1"/>
  <c r="F89" i="16"/>
  <c r="E89" i="16"/>
  <c r="H89" i="16" s="1"/>
  <c r="I89" i="16" s="1"/>
  <c r="D89" i="16"/>
  <c r="E88" i="16"/>
  <c r="H88" i="16" s="1"/>
  <c r="I88" i="16" s="1"/>
  <c r="D88" i="16"/>
  <c r="F88" i="16" s="1"/>
  <c r="I87" i="16"/>
  <c r="G87" i="16"/>
  <c r="F87" i="16"/>
  <c r="E87" i="16"/>
  <c r="H87" i="16" s="1"/>
  <c r="D87" i="16"/>
  <c r="G86" i="16"/>
  <c r="E86" i="16"/>
  <c r="D86" i="16"/>
  <c r="F86" i="16" s="1"/>
  <c r="G85" i="16"/>
  <c r="F85" i="16"/>
  <c r="E85" i="16"/>
  <c r="H85" i="16" s="1"/>
  <c r="I85" i="16" s="1"/>
  <c r="D85" i="16"/>
  <c r="I84" i="16"/>
  <c r="E84" i="16"/>
  <c r="H84" i="16" s="1"/>
  <c r="D84" i="16"/>
  <c r="F84" i="16" s="1"/>
  <c r="I83" i="16"/>
  <c r="F83" i="16"/>
  <c r="E83" i="16"/>
  <c r="H83" i="16" s="1"/>
  <c r="D83" i="16"/>
  <c r="E82" i="16"/>
  <c r="D82" i="16"/>
  <c r="F82" i="16" s="1"/>
  <c r="G82" i="16" s="1"/>
  <c r="F81" i="16"/>
  <c r="E81" i="16"/>
  <c r="H81" i="16" s="1"/>
  <c r="I81" i="16" s="1"/>
  <c r="D81" i="16"/>
  <c r="E80" i="16"/>
  <c r="H80" i="16" s="1"/>
  <c r="I80" i="16" s="1"/>
  <c r="D80" i="16"/>
  <c r="F80" i="16" s="1"/>
  <c r="I79" i="16"/>
  <c r="G79" i="16"/>
  <c r="F79" i="16"/>
  <c r="E79" i="16"/>
  <c r="H79" i="16" s="1"/>
  <c r="D79" i="16"/>
  <c r="G78" i="16"/>
  <c r="E78" i="16"/>
  <c r="D78" i="16"/>
  <c r="F78" i="16" s="1"/>
  <c r="G77" i="16"/>
  <c r="F77" i="16"/>
  <c r="E77" i="16"/>
  <c r="H77" i="16" s="1"/>
  <c r="I77" i="16" s="1"/>
  <c r="D77" i="16"/>
  <c r="I76" i="16"/>
  <c r="E76" i="16"/>
  <c r="H76" i="16" s="1"/>
  <c r="D76" i="16"/>
  <c r="F76" i="16" s="1"/>
  <c r="I75" i="16"/>
  <c r="F75" i="16"/>
  <c r="E75" i="16"/>
  <c r="H75" i="16" s="1"/>
  <c r="D75" i="16"/>
  <c r="E74" i="16"/>
  <c r="D74" i="16"/>
  <c r="F74" i="16" s="1"/>
  <c r="G74" i="16" s="1"/>
  <c r="F73" i="16"/>
  <c r="E73" i="16"/>
  <c r="H73" i="16" s="1"/>
  <c r="I73" i="16" s="1"/>
  <c r="D73" i="16"/>
  <c r="E72" i="16"/>
  <c r="H72" i="16" s="1"/>
  <c r="I72" i="16" s="1"/>
  <c r="D72" i="16"/>
  <c r="F72" i="16" s="1"/>
  <c r="I71" i="16"/>
  <c r="G71" i="16"/>
  <c r="F71" i="16"/>
  <c r="E71" i="16"/>
  <c r="H71" i="16" s="1"/>
  <c r="D71" i="16"/>
  <c r="G70" i="16"/>
  <c r="E70" i="16"/>
  <c r="D70" i="16"/>
  <c r="F70" i="16" s="1"/>
  <c r="G69" i="16"/>
  <c r="F69" i="16"/>
  <c r="E69" i="16"/>
  <c r="H69" i="16" s="1"/>
  <c r="I69" i="16" s="1"/>
  <c r="D69" i="16"/>
  <c r="I68" i="16"/>
  <c r="E68" i="16"/>
  <c r="H68" i="16" s="1"/>
  <c r="D68" i="16"/>
  <c r="F68" i="16" s="1"/>
  <c r="I67" i="16"/>
  <c r="F67" i="16"/>
  <c r="E67" i="16"/>
  <c r="H67" i="16" s="1"/>
  <c r="D67" i="16"/>
  <c r="E66" i="16"/>
  <c r="D66" i="16"/>
  <c r="F66" i="16" s="1"/>
  <c r="G66" i="16" s="1"/>
  <c r="F65" i="16"/>
  <c r="E65" i="16"/>
  <c r="H65" i="16" s="1"/>
  <c r="I65" i="16" s="1"/>
  <c r="D65" i="16"/>
  <c r="E64" i="16"/>
  <c r="H64" i="16" s="1"/>
  <c r="I64" i="16" s="1"/>
  <c r="D64" i="16"/>
  <c r="F64" i="16" s="1"/>
  <c r="I63" i="16"/>
  <c r="G63" i="16"/>
  <c r="F63" i="16"/>
  <c r="E63" i="16"/>
  <c r="H63" i="16" s="1"/>
  <c r="D63" i="16"/>
  <c r="G62" i="16"/>
  <c r="E62" i="16"/>
  <c r="D62" i="16"/>
  <c r="F62" i="16" s="1"/>
  <c r="G61" i="16"/>
  <c r="F61" i="16"/>
  <c r="E61" i="16"/>
  <c r="H61" i="16" s="1"/>
  <c r="I61" i="16" s="1"/>
  <c r="D61" i="16"/>
  <c r="I60" i="16"/>
  <c r="E60" i="16"/>
  <c r="H60" i="16" s="1"/>
  <c r="D60" i="16"/>
  <c r="F60" i="16" s="1"/>
  <c r="I59" i="16"/>
  <c r="F59" i="16"/>
  <c r="E59" i="16"/>
  <c r="H59" i="16" s="1"/>
  <c r="D59" i="16"/>
  <c r="E58" i="16"/>
  <c r="D58" i="16"/>
  <c r="F58" i="16" s="1"/>
  <c r="G58" i="16" s="1"/>
  <c r="F57" i="16"/>
  <c r="E57" i="16"/>
  <c r="H57" i="16" s="1"/>
  <c r="I57" i="16" s="1"/>
  <c r="D57" i="16"/>
  <c r="E56" i="16"/>
  <c r="H56" i="16" s="1"/>
  <c r="I56" i="16" s="1"/>
  <c r="D56" i="16"/>
  <c r="F56" i="16" s="1"/>
  <c r="I55" i="16"/>
  <c r="G55" i="16"/>
  <c r="F55" i="16"/>
  <c r="E55" i="16"/>
  <c r="H55" i="16" s="1"/>
  <c r="D55" i="16"/>
  <c r="G54" i="16"/>
  <c r="E54" i="16"/>
  <c r="D54" i="16"/>
  <c r="F54" i="16" s="1"/>
  <c r="G53" i="16"/>
  <c r="F53" i="16"/>
  <c r="E53" i="16"/>
  <c r="H53" i="16" s="1"/>
  <c r="I53" i="16" s="1"/>
  <c r="D53" i="16"/>
  <c r="I52" i="16"/>
  <c r="E52" i="16"/>
  <c r="H52" i="16" s="1"/>
  <c r="D52" i="16"/>
  <c r="F52" i="16" s="1"/>
  <c r="I51" i="16"/>
  <c r="F51" i="16"/>
  <c r="E51" i="16"/>
  <c r="H51" i="16" s="1"/>
  <c r="D51" i="16"/>
  <c r="E50" i="16"/>
  <c r="D50" i="16"/>
  <c r="F50" i="16" s="1"/>
  <c r="G50" i="16" s="1"/>
  <c r="F49" i="16"/>
  <c r="E49" i="16"/>
  <c r="H49" i="16" s="1"/>
  <c r="I49" i="16" s="1"/>
  <c r="D49" i="16"/>
  <c r="E48" i="16"/>
  <c r="H48" i="16" s="1"/>
  <c r="I48" i="16" s="1"/>
  <c r="D48" i="16"/>
  <c r="F48" i="16" s="1"/>
  <c r="I47" i="16"/>
  <c r="G47" i="16"/>
  <c r="F47" i="16"/>
  <c r="E47" i="16"/>
  <c r="H47" i="16" s="1"/>
  <c r="D47" i="16"/>
  <c r="G46" i="16"/>
  <c r="E46" i="16"/>
  <c r="D46" i="16"/>
  <c r="F46" i="16" s="1"/>
  <c r="G45" i="16"/>
  <c r="F45" i="16"/>
  <c r="E45" i="16"/>
  <c r="H45" i="16" s="1"/>
  <c r="I45" i="16" s="1"/>
  <c r="D45" i="16"/>
  <c r="I44" i="16"/>
  <c r="E44" i="16"/>
  <c r="H44" i="16" s="1"/>
  <c r="D44" i="16"/>
  <c r="F44" i="16" s="1"/>
  <c r="I43" i="16"/>
  <c r="F43" i="16"/>
  <c r="E43" i="16"/>
  <c r="H43" i="16" s="1"/>
  <c r="D43" i="16"/>
  <c r="E42" i="16"/>
  <c r="D42" i="16"/>
  <c r="F42" i="16" s="1"/>
  <c r="G42" i="16" s="1"/>
  <c r="F41" i="16"/>
  <c r="E41" i="16"/>
  <c r="H41" i="16" s="1"/>
  <c r="I41" i="16" s="1"/>
  <c r="D41" i="16"/>
  <c r="E40" i="16"/>
  <c r="H40" i="16" s="1"/>
  <c r="I40" i="16" s="1"/>
  <c r="D40" i="16"/>
  <c r="F40" i="16" s="1"/>
  <c r="I39" i="16"/>
  <c r="G39" i="16"/>
  <c r="F39" i="16"/>
  <c r="E39" i="16"/>
  <c r="H39" i="16" s="1"/>
  <c r="D39" i="16"/>
  <c r="G38" i="16"/>
  <c r="E38" i="16"/>
  <c r="D38" i="16"/>
  <c r="F38" i="16" s="1"/>
  <c r="G37" i="16"/>
  <c r="F37" i="16"/>
  <c r="E37" i="16"/>
  <c r="H37" i="16" s="1"/>
  <c r="I37" i="16" s="1"/>
  <c r="D37" i="16"/>
  <c r="I36" i="16"/>
  <c r="E36" i="16"/>
  <c r="H36" i="16" s="1"/>
  <c r="D36" i="16"/>
  <c r="F36" i="16" s="1"/>
  <c r="I35" i="16"/>
  <c r="F35" i="16"/>
  <c r="E35" i="16"/>
  <c r="H35" i="16" s="1"/>
  <c r="D35" i="16"/>
  <c r="E34" i="16"/>
  <c r="D34" i="16"/>
  <c r="F34" i="16" s="1"/>
  <c r="G34" i="16" s="1"/>
  <c r="F33" i="16"/>
  <c r="E33" i="16"/>
  <c r="H33" i="16" s="1"/>
  <c r="I33" i="16" s="1"/>
  <c r="D33" i="16"/>
  <c r="E32" i="16"/>
  <c r="H32" i="16" s="1"/>
  <c r="I32" i="16" s="1"/>
  <c r="D32" i="16"/>
  <c r="F32" i="16" s="1"/>
  <c r="I31" i="16"/>
  <c r="G31" i="16"/>
  <c r="F31" i="16"/>
  <c r="E31" i="16"/>
  <c r="H31" i="16" s="1"/>
  <c r="D31" i="16"/>
  <c r="G30" i="16"/>
  <c r="E30" i="16"/>
  <c r="D30" i="16"/>
  <c r="F30" i="16" s="1"/>
  <c r="G29" i="16"/>
  <c r="F29" i="16"/>
  <c r="E29" i="16"/>
  <c r="H29" i="16" s="1"/>
  <c r="I29" i="16" s="1"/>
  <c r="D29" i="16"/>
  <c r="I28" i="16"/>
  <c r="E28" i="16"/>
  <c r="H28" i="16" s="1"/>
  <c r="D28" i="16"/>
  <c r="F28" i="16" s="1"/>
  <c r="I27" i="16"/>
  <c r="F27" i="16"/>
  <c r="E27" i="16"/>
  <c r="H27" i="16" s="1"/>
  <c r="D27" i="16"/>
  <c r="E26" i="16"/>
  <c r="D26" i="16"/>
  <c r="F26" i="16" s="1"/>
  <c r="G26" i="16" s="1"/>
  <c r="F25" i="16"/>
  <c r="E25" i="16"/>
  <c r="H25" i="16" s="1"/>
  <c r="I25" i="16" s="1"/>
  <c r="D25" i="16"/>
  <c r="E24" i="16"/>
  <c r="H24" i="16" s="1"/>
  <c r="I24" i="16" s="1"/>
  <c r="D24" i="16"/>
  <c r="F24" i="16" s="1"/>
  <c r="I23" i="16"/>
  <c r="G23" i="16"/>
  <c r="F23" i="16"/>
  <c r="E23" i="16"/>
  <c r="H23" i="16" s="1"/>
  <c r="D23" i="16"/>
  <c r="G22" i="16"/>
  <c r="E22" i="16"/>
  <c r="D22" i="16"/>
  <c r="F22" i="16" s="1"/>
  <c r="G21" i="16"/>
  <c r="F21" i="16"/>
  <c r="E21" i="16"/>
  <c r="H21" i="16" s="1"/>
  <c r="I21" i="16" s="1"/>
  <c r="D21" i="16"/>
  <c r="I20" i="16"/>
  <c r="E20" i="16"/>
  <c r="H20" i="16" s="1"/>
  <c r="D20" i="16"/>
  <c r="F20" i="16" s="1"/>
  <c r="I19" i="16"/>
  <c r="F19" i="16"/>
  <c r="E19" i="16"/>
  <c r="H19" i="16" s="1"/>
  <c r="D19" i="16"/>
  <c r="E18" i="16"/>
  <c r="D18" i="16"/>
  <c r="F18" i="16" s="1"/>
  <c r="G18" i="16" s="1"/>
  <c r="F17" i="16"/>
  <c r="E17" i="16"/>
  <c r="H17" i="16" s="1"/>
  <c r="I17" i="16" s="1"/>
  <c r="D17" i="16"/>
  <c r="E16" i="16"/>
  <c r="H16" i="16" s="1"/>
  <c r="I16" i="16" s="1"/>
  <c r="D16" i="16"/>
  <c r="F16" i="16" s="1"/>
  <c r="I15" i="16"/>
  <c r="G15" i="16"/>
  <c r="F15" i="16"/>
  <c r="E15" i="16"/>
  <c r="H15" i="16" s="1"/>
  <c r="D15" i="16"/>
  <c r="G14" i="16"/>
  <c r="E14" i="16"/>
  <c r="D14" i="16"/>
  <c r="F14" i="16" s="1"/>
  <c r="G13" i="16"/>
  <c r="F13" i="16"/>
  <c r="E13" i="16"/>
  <c r="H13" i="16" s="1"/>
  <c r="I13" i="16" s="1"/>
  <c r="D13" i="16"/>
  <c r="I12" i="16"/>
  <c r="E12" i="16"/>
  <c r="H12" i="16" s="1"/>
  <c r="D12" i="16"/>
  <c r="F12" i="16" s="1"/>
  <c r="I11" i="16"/>
  <c r="F11" i="16"/>
  <c r="E11" i="16"/>
  <c r="H11" i="16" s="1"/>
  <c r="D11" i="16"/>
  <c r="E10" i="16"/>
  <c r="D10" i="16"/>
  <c r="F10" i="16" s="1"/>
  <c r="G10" i="16" s="1"/>
  <c r="F9" i="16"/>
  <c r="E9" i="16"/>
  <c r="H9" i="16" s="1"/>
  <c r="I9" i="16" s="1"/>
  <c r="D9" i="16"/>
  <c r="E8" i="16"/>
  <c r="H8" i="16" s="1"/>
  <c r="I8" i="16" s="1"/>
  <c r="D8" i="16"/>
  <c r="F8" i="16" s="1"/>
  <c r="I7" i="16"/>
  <c r="G7" i="16"/>
  <c r="F7" i="16"/>
  <c r="E7" i="16"/>
  <c r="H7" i="16" s="1"/>
  <c r="D7" i="16"/>
  <c r="G6" i="16"/>
  <c r="E6" i="16"/>
  <c r="D6" i="16"/>
  <c r="F6" i="16" s="1"/>
  <c r="G5" i="16"/>
  <c r="F5" i="16"/>
  <c r="E5" i="16"/>
  <c r="H5" i="16" s="1"/>
  <c r="I5" i="16" s="1"/>
  <c r="D5" i="16"/>
  <c r="I4" i="16"/>
  <c r="E4" i="16"/>
  <c r="H4" i="16" s="1"/>
  <c r="D4" i="16"/>
  <c r="F4" i="16" s="1"/>
  <c r="I3" i="16"/>
  <c r="F3" i="16"/>
  <c r="E3" i="16"/>
  <c r="H3" i="16" s="1"/>
  <c r="D3" i="16"/>
  <c r="D2" i="16"/>
  <c r="E2" i="16" s="1"/>
  <c r="J2" i="14"/>
  <c r="F1001" i="14"/>
  <c r="E1001" i="14"/>
  <c r="D1001" i="14"/>
  <c r="D1000" i="14"/>
  <c r="F1000" i="14" s="1"/>
  <c r="D999" i="14"/>
  <c r="F999" i="14" s="1"/>
  <c r="D998" i="14"/>
  <c r="D997" i="14"/>
  <c r="E997" i="14" s="1"/>
  <c r="F996" i="14"/>
  <c r="D996" i="14"/>
  <c r="E996" i="14" s="1"/>
  <c r="D995" i="14"/>
  <c r="F995" i="14" s="1"/>
  <c r="D994" i="14"/>
  <c r="E993" i="14"/>
  <c r="D993" i="14"/>
  <c r="F993" i="14" s="1"/>
  <c r="D992" i="14"/>
  <c r="E992" i="14" s="1"/>
  <c r="E991" i="14"/>
  <c r="D991" i="14"/>
  <c r="F991" i="14" s="1"/>
  <c r="D990" i="14"/>
  <c r="F989" i="14"/>
  <c r="E989" i="14"/>
  <c r="D989" i="14"/>
  <c r="D988" i="14"/>
  <c r="E988" i="14" s="1"/>
  <c r="E987" i="14"/>
  <c r="D987" i="14"/>
  <c r="F987" i="14" s="1"/>
  <c r="D986" i="14"/>
  <c r="F985" i="14"/>
  <c r="D985" i="14"/>
  <c r="E985" i="14" s="1"/>
  <c r="F984" i="14"/>
  <c r="D984" i="14"/>
  <c r="E984" i="14" s="1"/>
  <c r="D983" i="14"/>
  <c r="F983" i="14" s="1"/>
  <c r="D982" i="14"/>
  <c r="D981" i="14"/>
  <c r="E981" i="14" s="1"/>
  <c r="F980" i="14"/>
  <c r="D980" i="14"/>
  <c r="E980" i="14" s="1"/>
  <c r="D979" i="14"/>
  <c r="F979" i="14" s="1"/>
  <c r="D978" i="14"/>
  <c r="E977" i="14"/>
  <c r="D977" i="14"/>
  <c r="F977" i="14" s="1"/>
  <c r="D976" i="14"/>
  <c r="E976" i="14" s="1"/>
  <c r="E975" i="14"/>
  <c r="D975" i="14"/>
  <c r="F975" i="14" s="1"/>
  <c r="D974" i="14"/>
  <c r="F973" i="14"/>
  <c r="E973" i="14"/>
  <c r="D973" i="14"/>
  <c r="D972" i="14"/>
  <c r="E972" i="14" s="1"/>
  <c r="E971" i="14"/>
  <c r="D971" i="14"/>
  <c r="F971" i="14" s="1"/>
  <c r="D970" i="14"/>
  <c r="F969" i="14"/>
  <c r="D969" i="14"/>
  <c r="E969" i="14" s="1"/>
  <c r="F968" i="14"/>
  <c r="D968" i="14"/>
  <c r="E968" i="14" s="1"/>
  <c r="D967" i="14"/>
  <c r="F967" i="14" s="1"/>
  <c r="D966" i="14"/>
  <c r="D965" i="14"/>
  <c r="E965" i="14" s="1"/>
  <c r="F964" i="14"/>
  <c r="D964" i="14"/>
  <c r="E964" i="14" s="1"/>
  <c r="D963" i="14"/>
  <c r="F963" i="14" s="1"/>
  <c r="D962" i="14"/>
  <c r="E961" i="14"/>
  <c r="D961" i="14"/>
  <c r="F961" i="14" s="1"/>
  <c r="D960" i="14"/>
  <c r="E960" i="14" s="1"/>
  <c r="E959" i="14"/>
  <c r="D959" i="14"/>
  <c r="F959" i="14" s="1"/>
  <c r="D958" i="14"/>
  <c r="F957" i="14"/>
  <c r="E957" i="14"/>
  <c r="D957" i="14"/>
  <c r="D956" i="14"/>
  <c r="E956" i="14" s="1"/>
  <c r="E955" i="14"/>
  <c r="D955" i="14"/>
  <c r="F955" i="14" s="1"/>
  <c r="D954" i="14"/>
  <c r="E954" i="14" s="1"/>
  <c r="F953" i="14"/>
  <c r="G953" i="14" s="1"/>
  <c r="E953" i="14"/>
  <c r="D953" i="14"/>
  <c r="D952" i="14"/>
  <c r="E952" i="14" s="1"/>
  <c r="D951" i="14"/>
  <c r="D950" i="14"/>
  <c r="E950" i="14" s="1"/>
  <c r="F949" i="14"/>
  <c r="D949" i="14"/>
  <c r="E949" i="14" s="1"/>
  <c r="E948" i="14"/>
  <c r="D948" i="14"/>
  <c r="F948" i="14" s="1"/>
  <c r="D947" i="14"/>
  <c r="F947" i="14" s="1"/>
  <c r="D946" i="14"/>
  <c r="D945" i="14"/>
  <c r="E945" i="14" s="1"/>
  <c r="D944" i="14"/>
  <c r="D943" i="14"/>
  <c r="F943" i="14" s="1"/>
  <c r="F942" i="14"/>
  <c r="G942" i="14" s="1"/>
  <c r="D942" i="14"/>
  <c r="E942" i="14" s="1"/>
  <c r="H942" i="14" s="1"/>
  <c r="I942" i="14" s="1"/>
  <c r="D941" i="14"/>
  <c r="E941" i="14" s="1"/>
  <c r="D940" i="14"/>
  <c r="E940" i="14" s="1"/>
  <c r="E939" i="14"/>
  <c r="D939" i="14"/>
  <c r="F939" i="14" s="1"/>
  <c r="D938" i="14"/>
  <c r="E938" i="14" s="1"/>
  <c r="F937" i="14"/>
  <c r="G937" i="14" s="1"/>
  <c r="E937" i="14"/>
  <c r="D937" i="14"/>
  <c r="D936" i="14"/>
  <c r="E936" i="14" s="1"/>
  <c r="D935" i="14"/>
  <c r="D934" i="14"/>
  <c r="E934" i="14" s="1"/>
  <c r="D933" i="14"/>
  <c r="D932" i="14"/>
  <c r="E932" i="14" s="1"/>
  <c r="F931" i="14"/>
  <c r="D931" i="14"/>
  <c r="E931" i="14" s="1"/>
  <c r="D930" i="14"/>
  <c r="F930" i="14" s="1"/>
  <c r="D929" i="14"/>
  <c r="E928" i="14"/>
  <c r="G928" i="14" s="1"/>
  <c r="D928" i="14"/>
  <c r="F928" i="14" s="1"/>
  <c r="D927" i="14"/>
  <c r="E927" i="14" s="1"/>
  <c r="E926" i="14"/>
  <c r="D926" i="14"/>
  <c r="F926" i="14" s="1"/>
  <c r="D925" i="14"/>
  <c r="F924" i="14"/>
  <c r="E924" i="14"/>
  <c r="D924" i="14"/>
  <c r="D923" i="14"/>
  <c r="E923" i="14" s="1"/>
  <c r="E922" i="14"/>
  <c r="D922" i="14"/>
  <c r="F922" i="14" s="1"/>
  <c r="D921" i="14"/>
  <c r="F920" i="14"/>
  <c r="D920" i="14"/>
  <c r="E920" i="14" s="1"/>
  <c r="F919" i="14"/>
  <c r="D919" i="14"/>
  <c r="E919" i="14" s="1"/>
  <c r="D918" i="14"/>
  <c r="F918" i="14" s="1"/>
  <c r="D917" i="14"/>
  <c r="D916" i="14"/>
  <c r="F915" i="14"/>
  <c r="D915" i="14"/>
  <c r="E915" i="14" s="1"/>
  <c r="D914" i="14"/>
  <c r="D913" i="14"/>
  <c r="E912" i="14"/>
  <c r="D912" i="14"/>
  <c r="F912" i="14" s="1"/>
  <c r="D911" i="14"/>
  <c r="E911" i="14" s="1"/>
  <c r="E910" i="14"/>
  <c r="D910" i="14"/>
  <c r="F910" i="14" s="1"/>
  <c r="D909" i="14"/>
  <c r="F908" i="14"/>
  <c r="E908" i="14"/>
  <c r="D908" i="14"/>
  <c r="D907" i="14"/>
  <c r="E906" i="14"/>
  <c r="D906" i="14"/>
  <c r="F906" i="14" s="1"/>
  <c r="D905" i="14"/>
  <c r="F904" i="14"/>
  <c r="D904" i="14"/>
  <c r="E904" i="14" s="1"/>
  <c r="H904" i="14" s="1"/>
  <c r="I904" i="14" s="1"/>
  <c r="F903" i="14"/>
  <c r="D903" i="14"/>
  <c r="E903" i="14" s="1"/>
  <c r="D902" i="14"/>
  <c r="F902" i="14" s="1"/>
  <c r="D901" i="14"/>
  <c r="D900" i="14"/>
  <c r="F899" i="14"/>
  <c r="D899" i="14"/>
  <c r="E899" i="14" s="1"/>
  <c r="D898" i="14"/>
  <c r="D897" i="14"/>
  <c r="D896" i="14"/>
  <c r="F896" i="14" s="1"/>
  <c r="D895" i="14"/>
  <c r="E895" i="14" s="1"/>
  <c r="E894" i="14"/>
  <c r="D894" i="14"/>
  <c r="F894" i="14" s="1"/>
  <c r="D893" i="14"/>
  <c r="F892" i="14"/>
  <c r="E892" i="14"/>
  <c r="D892" i="14"/>
  <c r="D891" i="14"/>
  <c r="E890" i="14"/>
  <c r="D890" i="14"/>
  <c r="F890" i="14" s="1"/>
  <c r="D889" i="14"/>
  <c r="F888" i="14"/>
  <c r="D888" i="14"/>
  <c r="E888" i="14" s="1"/>
  <c r="H888" i="14" s="1"/>
  <c r="I888" i="14" s="1"/>
  <c r="F887" i="14"/>
  <c r="D887" i="14"/>
  <c r="E887" i="14" s="1"/>
  <c r="D886" i="14"/>
  <c r="D885" i="14"/>
  <c r="E885" i="14" s="1"/>
  <c r="F884" i="14"/>
  <c r="E884" i="14"/>
  <c r="D884" i="14"/>
  <c r="D883" i="14"/>
  <c r="E882" i="14"/>
  <c r="D882" i="14"/>
  <c r="F882" i="14" s="1"/>
  <c r="D881" i="14"/>
  <c r="E881" i="14" s="1"/>
  <c r="G880" i="14"/>
  <c r="F880" i="14"/>
  <c r="D880" i="14"/>
  <c r="E880" i="14" s="1"/>
  <c r="D879" i="14"/>
  <c r="E879" i="14" s="1"/>
  <c r="D878" i="14"/>
  <c r="F878" i="14" s="1"/>
  <c r="D877" i="14"/>
  <c r="D876" i="14"/>
  <c r="D875" i="14"/>
  <c r="E875" i="14" s="1"/>
  <c r="D874" i="14"/>
  <c r="D873" i="14"/>
  <c r="D872" i="14"/>
  <c r="D871" i="14"/>
  <c r="D870" i="14"/>
  <c r="F870" i="14" s="1"/>
  <c r="D869" i="14"/>
  <c r="E869" i="14" s="1"/>
  <c r="D868" i="14"/>
  <c r="D867" i="14"/>
  <c r="E866" i="14"/>
  <c r="D866" i="14"/>
  <c r="F866" i="14" s="1"/>
  <c r="D865" i="14"/>
  <c r="E865" i="14" s="1"/>
  <c r="F864" i="14"/>
  <c r="E864" i="14"/>
  <c r="D864" i="14"/>
  <c r="D863" i="14"/>
  <c r="D862" i="14"/>
  <c r="D861" i="14"/>
  <c r="E861" i="14" s="1"/>
  <c r="G860" i="14"/>
  <c r="F860" i="14"/>
  <c r="D860" i="14"/>
  <c r="E860" i="14" s="1"/>
  <c r="H860" i="14" s="1"/>
  <c r="I860" i="14" s="1"/>
  <c r="E859" i="14"/>
  <c r="D859" i="14"/>
  <c r="F859" i="14" s="1"/>
  <c r="D858" i="14"/>
  <c r="D857" i="14"/>
  <c r="D856" i="14"/>
  <c r="D855" i="14"/>
  <c r="D854" i="14"/>
  <c r="F854" i="14" s="1"/>
  <c r="D853" i="14"/>
  <c r="E853" i="14" s="1"/>
  <c r="D852" i="14"/>
  <c r="D851" i="14"/>
  <c r="E850" i="14"/>
  <c r="D850" i="14"/>
  <c r="F850" i="14" s="1"/>
  <c r="D849" i="14"/>
  <c r="E849" i="14" s="1"/>
  <c r="F848" i="14"/>
  <c r="E848" i="14"/>
  <c r="D848" i="14"/>
  <c r="D847" i="14"/>
  <c r="D846" i="14"/>
  <c r="D845" i="14"/>
  <c r="E845" i="14" s="1"/>
  <c r="G844" i="14"/>
  <c r="F844" i="14"/>
  <c r="D844" i="14"/>
  <c r="E844" i="14" s="1"/>
  <c r="H844" i="14" s="1"/>
  <c r="I844" i="14" s="1"/>
  <c r="E843" i="14"/>
  <c r="D843" i="14"/>
  <c r="F843" i="14" s="1"/>
  <c r="D842" i="14"/>
  <c r="D841" i="14"/>
  <c r="E840" i="14"/>
  <c r="D840" i="14"/>
  <c r="F840" i="14" s="1"/>
  <c r="D839" i="14"/>
  <c r="D838" i="14"/>
  <c r="F838" i="14" s="1"/>
  <c r="H837" i="14"/>
  <c r="I837" i="14" s="1"/>
  <c r="F837" i="14"/>
  <c r="G837" i="14" s="1"/>
  <c r="D837" i="14"/>
  <c r="E837" i="14" s="1"/>
  <c r="D836" i="14"/>
  <c r="F836" i="14" s="1"/>
  <c r="D835" i="14"/>
  <c r="F835" i="14" s="1"/>
  <c r="E834" i="14"/>
  <c r="D834" i="14"/>
  <c r="F834" i="14" s="1"/>
  <c r="D833" i="14"/>
  <c r="E833" i="14" s="1"/>
  <c r="F832" i="14"/>
  <c r="E832" i="14"/>
  <c r="D832" i="14"/>
  <c r="D831" i="14"/>
  <c r="E831" i="14" s="1"/>
  <c r="D830" i="14"/>
  <c r="D829" i="14"/>
  <c r="D828" i="14"/>
  <c r="E828" i="14" s="1"/>
  <c r="E827" i="14"/>
  <c r="D827" i="14"/>
  <c r="F827" i="14" s="1"/>
  <c r="D826" i="14"/>
  <c r="F826" i="14" s="1"/>
  <c r="D825" i="14"/>
  <c r="D824" i="14"/>
  <c r="F824" i="14" s="1"/>
  <c r="D823" i="14"/>
  <c r="D822" i="14"/>
  <c r="F822" i="14" s="1"/>
  <c r="D821" i="14"/>
  <c r="E821" i="14" s="1"/>
  <c r="D820" i="14"/>
  <c r="D819" i="14"/>
  <c r="E818" i="14"/>
  <c r="H818" i="14" s="1"/>
  <c r="I818" i="14" s="1"/>
  <c r="D818" i="14"/>
  <c r="F818" i="14" s="1"/>
  <c r="D817" i="14"/>
  <c r="D816" i="14"/>
  <c r="F815" i="14"/>
  <c r="D815" i="14"/>
  <c r="E815" i="14" s="1"/>
  <c r="F814" i="14"/>
  <c r="E814" i="14"/>
  <c r="H814" i="14" s="1"/>
  <c r="I814" i="14" s="1"/>
  <c r="D814" i="14"/>
  <c r="D813" i="14"/>
  <c r="E813" i="14" s="1"/>
  <c r="D812" i="14"/>
  <c r="F812" i="14" s="1"/>
  <c r="D811" i="14"/>
  <c r="D810" i="14"/>
  <c r="E810" i="14" s="1"/>
  <c r="F809" i="14"/>
  <c r="D809" i="14"/>
  <c r="E809" i="14" s="1"/>
  <c r="D808" i="14"/>
  <c r="D807" i="14"/>
  <c r="E807" i="14" s="1"/>
  <c r="D806" i="14"/>
  <c r="E806" i="14" s="1"/>
  <c r="F805" i="14"/>
  <c r="D805" i="14"/>
  <c r="E805" i="14" s="1"/>
  <c r="D804" i="14"/>
  <c r="D803" i="14"/>
  <c r="E803" i="14" s="1"/>
  <c r="G802" i="14"/>
  <c r="F802" i="14"/>
  <c r="E802" i="14"/>
  <c r="H802" i="14" s="1"/>
  <c r="I802" i="14" s="1"/>
  <c r="D802" i="14"/>
  <c r="D801" i="14"/>
  <c r="F801" i="14" s="1"/>
  <c r="D800" i="14"/>
  <c r="F800" i="14" s="1"/>
  <c r="D799" i="14"/>
  <c r="E798" i="14"/>
  <c r="D798" i="14"/>
  <c r="F798" i="14" s="1"/>
  <c r="D797" i="14"/>
  <c r="D796" i="14"/>
  <c r="D795" i="14"/>
  <c r="E795" i="14" s="1"/>
  <c r="F794" i="14"/>
  <c r="D794" i="14"/>
  <c r="E794" i="14" s="1"/>
  <c r="D793" i="14"/>
  <c r="E793" i="14" s="1"/>
  <c r="D792" i="14"/>
  <c r="F792" i="14" s="1"/>
  <c r="D791" i="14"/>
  <c r="E791" i="14" s="1"/>
  <c r="F790" i="14"/>
  <c r="D790" i="14"/>
  <c r="E790" i="14" s="1"/>
  <c r="E789" i="14"/>
  <c r="D789" i="14"/>
  <c r="F789" i="14" s="1"/>
  <c r="D788" i="14"/>
  <c r="D787" i="14"/>
  <c r="F786" i="14"/>
  <c r="G786" i="14" s="1"/>
  <c r="E786" i="14"/>
  <c r="D786" i="14"/>
  <c r="D785" i="14"/>
  <c r="F785" i="14" s="1"/>
  <c r="D784" i="14"/>
  <c r="F784" i="14" s="1"/>
  <c r="D783" i="14"/>
  <c r="D782" i="14"/>
  <c r="F782" i="14" s="1"/>
  <c r="D781" i="14"/>
  <c r="D780" i="14"/>
  <c r="D779" i="14"/>
  <c r="E779" i="14" s="1"/>
  <c r="D778" i="14"/>
  <c r="E778" i="14" s="1"/>
  <c r="H777" i="14"/>
  <c r="I777" i="14" s="1"/>
  <c r="F777" i="14"/>
  <c r="D777" i="14"/>
  <c r="E777" i="14" s="1"/>
  <c r="D776" i="14"/>
  <c r="F776" i="14" s="1"/>
  <c r="G775" i="14"/>
  <c r="F775" i="14"/>
  <c r="H775" i="14" s="1"/>
  <c r="I775" i="14" s="1"/>
  <c r="D775" i="14"/>
  <c r="E775" i="14" s="1"/>
  <c r="D774" i="14"/>
  <c r="E774" i="14" s="1"/>
  <c r="F773" i="14"/>
  <c r="E773" i="14"/>
  <c r="D773" i="14"/>
  <c r="D772" i="14"/>
  <c r="D771" i="14"/>
  <c r="E771" i="14" s="1"/>
  <c r="F770" i="14"/>
  <c r="G770" i="14" s="1"/>
  <c r="D770" i="14"/>
  <c r="E770" i="14" s="1"/>
  <c r="D769" i="14"/>
  <c r="F769" i="14" s="1"/>
  <c r="D768" i="14"/>
  <c r="F768" i="14" s="1"/>
  <c r="D767" i="14"/>
  <c r="D766" i="14"/>
  <c r="E766" i="14" s="1"/>
  <c r="D765" i="14"/>
  <c r="D764" i="14"/>
  <c r="F764" i="14" s="1"/>
  <c r="D763" i="14"/>
  <c r="E763" i="14" s="1"/>
  <c r="E762" i="14"/>
  <c r="D762" i="14"/>
  <c r="F762" i="14" s="1"/>
  <c r="F761" i="14"/>
  <c r="D761" i="14"/>
  <c r="E761" i="14" s="1"/>
  <c r="D760" i="14"/>
  <c r="F760" i="14" s="1"/>
  <c r="D759" i="14"/>
  <c r="E759" i="14" s="1"/>
  <c r="F758" i="14"/>
  <c r="D758" i="14"/>
  <c r="E758" i="14" s="1"/>
  <c r="F757" i="14"/>
  <c r="E757" i="14"/>
  <c r="D757" i="14"/>
  <c r="D756" i="14"/>
  <c r="F755" i="14"/>
  <c r="D755" i="14"/>
  <c r="E755" i="14" s="1"/>
  <c r="D754" i="14"/>
  <c r="E754" i="14" s="1"/>
  <c r="D753" i="14"/>
  <c r="F753" i="14" s="1"/>
  <c r="D752" i="14"/>
  <c r="F752" i="14" s="1"/>
  <c r="D751" i="14"/>
  <c r="F750" i="14"/>
  <c r="E750" i="14"/>
  <c r="D750" i="14"/>
  <c r="D749" i="14"/>
  <c r="F749" i="14" s="1"/>
  <c r="D748" i="14"/>
  <c r="D747" i="14"/>
  <c r="E747" i="14" s="1"/>
  <c r="F746" i="14"/>
  <c r="E746" i="14"/>
  <c r="D746" i="14"/>
  <c r="D745" i="14"/>
  <c r="F745" i="14" s="1"/>
  <c r="D744" i="14"/>
  <c r="F743" i="14"/>
  <c r="D743" i="14"/>
  <c r="E743" i="14" s="1"/>
  <c r="E742" i="14"/>
  <c r="D742" i="14"/>
  <c r="F742" i="14" s="1"/>
  <c r="D741" i="14"/>
  <c r="F741" i="14" s="1"/>
  <c r="D740" i="14"/>
  <c r="G739" i="14"/>
  <c r="F739" i="14"/>
  <c r="D739" i="14"/>
  <c r="E739" i="14" s="1"/>
  <c r="E738" i="14"/>
  <c r="D738" i="14"/>
  <c r="F738" i="14" s="1"/>
  <c r="D737" i="14"/>
  <c r="F737" i="14" s="1"/>
  <c r="D736" i="14"/>
  <c r="F735" i="14"/>
  <c r="D735" i="14"/>
  <c r="E735" i="14" s="1"/>
  <c r="D734" i="14"/>
  <c r="E734" i="14" s="1"/>
  <c r="D733" i="14"/>
  <c r="F733" i="14" s="1"/>
  <c r="D732" i="14"/>
  <c r="D731" i="14"/>
  <c r="E731" i="14" s="1"/>
  <c r="F730" i="14"/>
  <c r="D730" i="14"/>
  <c r="E730" i="14" s="1"/>
  <c r="H730" i="14" s="1"/>
  <c r="I730" i="14" s="1"/>
  <c r="F729" i="14"/>
  <c r="D729" i="14"/>
  <c r="E729" i="14" s="1"/>
  <c r="D728" i="14"/>
  <c r="F728" i="14" s="1"/>
  <c r="D727" i="14"/>
  <c r="E727" i="14" s="1"/>
  <c r="E726" i="14"/>
  <c r="G726" i="14" s="1"/>
  <c r="D726" i="14"/>
  <c r="F726" i="14" s="1"/>
  <c r="D725" i="14"/>
  <c r="E725" i="14" s="1"/>
  <c r="D724" i="14"/>
  <c r="F724" i="14" s="1"/>
  <c r="D723" i="14"/>
  <c r="E723" i="14" s="1"/>
  <c r="E722" i="14"/>
  <c r="D722" i="14"/>
  <c r="F722" i="14" s="1"/>
  <c r="G722" i="14" s="1"/>
  <c r="D721" i="14"/>
  <c r="E721" i="14" s="1"/>
  <c r="D720" i="14"/>
  <c r="F720" i="14" s="1"/>
  <c r="D719" i="14"/>
  <c r="E719" i="14" s="1"/>
  <c r="F718" i="14"/>
  <c r="D718" i="14"/>
  <c r="E718" i="14" s="1"/>
  <c r="H718" i="14" s="1"/>
  <c r="I718" i="14" s="1"/>
  <c r="D717" i="14"/>
  <c r="F717" i="14" s="1"/>
  <c r="E716" i="14"/>
  <c r="G716" i="14" s="1"/>
  <c r="D716" i="14"/>
  <c r="F716" i="14" s="1"/>
  <c r="D715" i="14"/>
  <c r="E715" i="14" s="1"/>
  <c r="F714" i="14"/>
  <c r="D714" i="14"/>
  <c r="E714" i="14" s="1"/>
  <c r="H714" i="14" s="1"/>
  <c r="I714" i="14" s="1"/>
  <c r="F713" i="14"/>
  <c r="D713" i="14"/>
  <c r="E713" i="14" s="1"/>
  <c r="D712" i="14"/>
  <c r="F712" i="14" s="1"/>
  <c r="D711" i="14"/>
  <c r="E711" i="14" s="1"/>
  <c r="E710" i="14"/>
  <c r="D710" i="14"/>
  <c r="F710" i="14" s="1"/>
  <c r="D709" i="14"/>
  <c r="E709" i="14" s="1"/>
  <c r="D708" i="14"/>
  <c r="F708" i="14" s="1"/>
  <c r="D707" i="14"/>
  <c r="E707" i="14" s="1"/>
  <c r="E706" i="14"/>
  <c r="D706" i="14"/>
  <c r="F706" i="14" s="1"/>
  <c r="G706" i="14" s="1"/>
  <c r="D705" i="14"/>
  <c r="E705" i="14" s="1"/>
  <c r="D704" i="14"/>
  <c r="F704" i="14" s="1"/>
  <c r="F703" i="14"/>
  <c r="E703" i="14"/>
  <c r="D703" i="14"/>
  <c r="D702" i="14"/>
  <c r="E702" i="14" s="1"/>
  <c r="D701" i="14"/>
  <c r="F701" i="14" s="1"/>
  <c r="F700" i="14"/>
  <c r="D700" i="14"/>
  <c r="E700" i="14" s="1"/>
  <c r="E699" i="14"/>
  <c r="D699" i="14"/>
  <c r="F699" i="14" s="1"/>
  <c r="D698" i="14"/>
  <c r="E698" i="14" s="1"/>
  <c r="D697" i="14"/>
  <c r="F697" i="14" s="1"/>
  <c r="F696" i="14"/>
  <c r="D696" i="14"/>
  <c r="E696" i="14" s="1"/>
  <c r="D695" i="14"/>
  <c r="E695" i="14" s="1"/>
  <c r="D694" i="14"/>
  <c r="D693" i="14"/>
  <c r="F693" i="14" s="1"/>
  <c r="D692" i="14"/>
  <c r="E692" i="14" s="1"/>
  <c r="F691" i="14"/>
  <c r="D691" i="14"/>
  <c r="E691" i="14" s="1"/>
  <c r="D690" i="14"/>
  <c r="D689" i="14"/>
  <c r="F689" i="14" s="1"/>
  <c r="D688" i="14"/>
  <c r="E688" i="14" s="1"/>
  <c r="F687" i="14"/>
  <c r="E687" i="14"/>
  <c r="D687" i="14"/>
  <c r="D686" i="14"/>
  <c r="D685" i="14"/>
  <c r="F685" i="14" s="1"/>
  <c r="F684" i="14"/>
  <c r="D684" i="14"/>
  <c r="E684" i="14" s="1"/>
  <c r="E683" i="14"/>
  <c r="D683" i="14"/>
  <c r="F683" i="14" s="1"/>
  <c r="D682" i="14"/>
  <c r="D681" i="14"/>
  <c r="F681" i="14" s="1"/>
  <c r="F680" i="14"/>
  <c r="D680" i="14"/>
  <c r="E680" i="14" s="1"/>
  <c r="D679" i="14"/>
  <c r="E679" i="14" s="1"/>
  <c r="D678" i="14"/>
  <c r="D677" i="14"/>
  <c r="F677" i="14" s="1"/>
  <c r="D676" i="14"/>
  <c r="E676" i="14" s="1"/>
  <c r="F675" i="14"/>
  <c r="D675" i="14"/>
  <c r="E675" i="14" s="1"/>
  <c r="D674" i="14"/>
  <c r="D673" i="14"/>
  <c r="F673" i="14" s="1"/>
  <c r="D672" i="14"/>
  <c r="E672" i="14" s="1"/>
  <c r="F671" i="14"/>
  <c r="E671" i="14"/>
  <c r="D671" i="14"/>
  <c r="D670" i="14"/>
  <c r="D669" i="14"/>
  <c r="F669" i="14" s="1"/>
  <c r="F668" i="14"/>
  <c r="D668" i="14"/>
  <c r="E668" i="14" s="1"/>
  <c r="E667" i="14"/>
  <c r="D667" i="14"/>
  <c r="F667" i="14" s="1"/>
  <c r="D666" i="14"/>
  <c r="D665" i="14"/>
  <c r="F665" i="14" s="1"/>
  <c r="F664" i="14"/>
  <c r="D664" i="14"/>
  <c r="E664" i="14" s="1"/>
  <c r="D663" i="14"/>
  <c r="E663" i="14" s="1"/>
  <c r="D662" i="14"/>
  <c r="F662" i="14" s="1"/>
  <c r="D661" i="14"/>
  <c r="D660" i="14"/>
  <c r="E660" i="14" s="1"/>
  <c r="F659" i="14"/>
  <c r="D659" i="14"/>
  <c r="E659" i="14" s="1"/>
  <c r="H658" i="14"/>
  <c r="I658" i="14" s="1"/>
  <c r="E658" i="14"/>
  <c r="G658" i="14" s="1"/>
  <c r="D658" i="14"/>
  <c r="F658" i="14" s="1"/>
  <c r="D657" i="14"/>
  <c r="F656" i="14"/>
  <c r="G656" i="14" s="1"/>
  <c r="D656" i="14"/>
  <c r="E656" i="14" s="1"/>
  <c r="D655" i="14"/>
  <c r="F655" i="14" s="1"/>
  <c r="D654" i="14"/>
  <c r="F654" i="14" s="1"/>
  <c r="D653" i="14"/>
  <c r="D652" i="14"/>
  <c r="E652" i="14" s="1"/>
  <c r="D651" i="14"/>
  <c r="E651" i="14" s="1"/>
  <c r="D650" i="14"/>
  <c r="F650" i="14" s="1"/>
  <c r="D649" i="14"/>
  <c r="D648" i="14"/>
  <c r="E648" i="14" s="1"/>
  <c r="F647" i="14"/>
  <c r="E647" i="14"/>
  <c r="D647" i="14"/>
  <c r="D646" i="14"/>
  <c r="F646" i="14" s="1"/>
  <c r="D645" i="14"/>
  <c r="F644" i="14"/>
  <c r="D644" i="14"/>
  <c r="E644" i="14" s="1"/>
  <c r="D643" i="14"/>
  <c r="F643" i="14" s="1"/>
  <c r="D642" i="14"/>
  <c r="F642" i="14" s="1"/>
  <c r="D641" i="14"/>
  <c r="D640" i="14"/>
  <c r="E640" i="14" s="1"/>
  <c r="F639" i="14"/>
  <c r="D639" i="14"/>
  <c r="E639" i="14" s="1"/>
  <c r="D638" i="14"/>
  <c r="F638" i="14" s="1"/>
  <c r="D637" i="14"/>
  <c r="D636" i="14"/>
  <c r="E636" i="14" s="1"/>
  <c r="F635" i="14"/>
  <c r="E635" i="14"/>
  <c r="D635" i="14"/>
  <c r="E634" i="14"/>
  <c r="G634" i="14" s="1"/>
  <c r="D634" i="14"/>
  <c r="F634" i="14" s="1"/>
  <c r="D633" i="14"/>
  <c r="F632" i="14"/>
  <c r="D632" i="14"/>
  <c r="E632" i="14" s="1"/>
  <c r="G632" i="14" s="1"/>
  <c r="D631" i="14"/>
  <c r="E631" i="14" s="1"/>
  <c r="D630" i="14"/>
  <c r="F630" i="14" s="1"/>
  <c r="D629" i="14"/>
  <c r="D628" i="14"/>
  <c r="E628" i="14" s="1"/>
  <c r="F627" i="14"/>
  <c r="D627" i="14"/>
  <c r="E627" i="14" s="1"/>
  <c r="H626" i="14"/>
  <c r="I626" i="14" s="1"/>
  <c r="E626" i="14"/>
  <c r="G626" i="14" s="1"/>
  <c r="D626" i="14"/>
  <c r="F626" i="14" s="1"/>
  <c r="D625" i="14"/>
  <c r="F624" i="14"/>
  <c r="G624" i="14" s="1"/>
  <c r="D624" i="14"/>
  <c r="E624" i="14" s="1"/>
  <c r="D623" i="14"/>
  <c r="F623" i="14" s="1"/>
  <c r="D622" i="14"/>
  <c r="F622" i="14" s="1"/>
  <c r="D621" i="14"/>
  <c r="D620" i="14"/>
  <c r="E620" i="14" s="1"/>
  <c r="D619" i="14"/>
  <c r="E619" i="14" s="1"/>
  <c r="D618" i="14"/>
  <c r="F618" i="14" s="1"/>
  <c r="D617" i="14"/>
  <c r="D616" i="14"/>
  <c r="E616" i="14" s="1"/>
  <c r="F615" i="14"/>
  <c r="E615" i="14"/>
  <c r="D615" i="14"/>
  <c r="D614" i="14"/>
  <c r="F614" i="14" s="1"/>
  <c r="D613" i="14"/>
  <c r="F612" i="14"/>
  <c r="D612" i="14"/>
  <c r="E612" i="14" s="1"/>
  <c r="D611" i="14"/>
  <c r="F611" i="14" s="1"/>
  <c r="D610" i="14"/>
  <c r="E610" i="14" s="1"/>
  <c r="D609" i="14"/>
  <c r="F609" i="14" s="1"/>
  <c r="D608" i="14"/>
  <c r="E608" i="14" s="1"/>
  <c r="D607" i="14"/>
  <c r="F607" i="14" s="1"/>
  <c r="D606" i="14"/>
  <c r="E606" i="14" s="1"/>
  <c r="D605" i="14"/>
  <c r="F605" i="14" s="1"/>
  <c r="D604" i="14"/>
  <c r="E604" i="14" s="1"/>
  <c r="D603" i="14"/>
  <c r="F603" i="14" s="1"/>
  <c r="D602" i="14"/>
  <c r="E602" i="14" s="1"/>
  <c r="D601" i="14"/>
  <c r="F601" i="14" s="1"/>
  <c r="D600" i="14"/>
  <c r="E600" i="14" s="1"/>
  <c r="F599" i="14"/>
  <c r="D599" i="14"/>
  <c r="E599" i="14" s="1"/>
  <c r="H599" i="14" s="1"/>
  <c r="I599" i="14" s="1"/>
  <c r="D598" i="14"/>
  <c r="F598" i="14" s="1"/>
  <c r="E597" i="14"/>
  <c r="G597" i="14" s="1"/>
  <c r="D597" i="14"/>
  <c r="F597" i="14" s="1"/>
  <c r="D596" i="14"/>
  <c r="E596" i="14" s="1"/>
  <c r="F595" i="14"/>
  <c r="E595" i="14"/>
  <c r="H595" i="14" s="1"/>
  <c r="I595" i="14" s="1"/>
  <c r="D595" i="14"/>
  <c r="D594" i="14"/>
  <c r="E594" i="14" s="1"/>
  <c r="E593" i="14"/>
  <c r="H593" i="14" s="1"/>
  <c r="I593" i="14" s="1"/>
  <c r="D593" i="14"/>
  <c r="F593" i="14" s="1"/>
  <c r="D592" i="14"/>
  <c r="E592" i="14" s="1"/>
  <c r="D591" i="14"/>
  <c r="F591" i="14" s="1"/>
  <c r="D590" i="14"/>
  <c r="E590" i="14" s="1"/>
  <c r="D589" i="14"/>
  <c r="F589" i="14" s="1"/>
  <c r="D588" i="14"/>
  <c r="E588" i="14" s="1"/>
  <c r="F587" i="14"/>
  <c r="E587" i="14"/>
  <c r="H587" i="14" s="1"/>
  <c r="I587" i="14" s="1"/>
  <c r="D587" i="14"/>
  <c r="D586" i="14"/>
  <c r="E586" i="14" s="1"/>
  <c r="D585" i="14"/>
  <c r="F585" i="14" s="1"/>
  <c r="F584" i="14"/>
  <c r="D584" i="14"/>
  <c r="E584" i="14" s="1"/>
  <c r="D583" i="14"/>
  <c r="F583" i="14" s="1"/>
  <c r="D582" i="14"/>
  <c r="E582" i="14" s="1"/>
  <c r="D581" i="14"/>
  <c r="F581" i="14" s="1"/>
  <c r="D580" i="14"/>
  <c r="D579" i="14"/>
  <c r="E579" i="14" s="1"/>
  <c r="D578" i="14"/>
  <c r="E578" i="14" s="1"/>
  <c r="D577" i="14"/>
  <c r="F577" i="14" s="1"/>
  <c r="D576" i="14"/>
  <c r="E576" i="14" s="1"/>
  <c r="F575" i="14"/>
  <c r="D575" i="14"/>
  <c r="E575" i="14" s="1"/>
  <c r="H575" i="14" s="1"/>
  <c r="I575" i="14" s="1"/>
  <c r="D574" i="14"/>
  <c r="E574" i="14" s="1"/>
  <c r="D573" i="14"/>
  <c r="F573" i="14" s="1"/>
  <c r="D572" i="14"/>
  <c r="E572" i="14" s="1"/>
  <c r="F571" i="14"/>
  <c r="E571" i="14"/>
  <c r="H571" i="14" s="1"/>
  <c r="I571" i="14" s="1"/>
  <c r="D571" i="14"/>
  <c r="D570" i="14"/>
  <c r="E570" i="14" s="1"/>
  <c r="D569" i="14"/>
  <c r="F569" i="14" s="1"/>
  <c r="F568" i="14"/>
  <c r="D568" i="14"/>
  <c r="E568" i="14" s="1"/>
  <c r="D567" i="14"/>
  <c r="F567" i="14" s="1"/>
  <c r="D566" i="14"/>
  <c r="E566" i="14" s="1"/>
  <c r="D565" i="14"/>
  <c r="F565" i="14" s="1"/>
  <c r="D564" i="14"/>
  <c r="E564" i="14" s="1"/>
  <c r="D563" i="14"/>
  <c r="D562" i="14"/>
  <c r="E562" i="14" s="1"/>
  <c r="D561" i="14"/>
  <c r="F561" i="14" s="1"/>
  <c r="D560" i="14"/>
  <c r="F559" i="14"/>
  <c r="D559" i="14"/>
  <c r="E559" i="14" s="1"/>
  <c r="H559" i="14" s="1"/>
  <c r="I559" i="14" s="1"/>
  <c r="D558" i="14"/>
  <c r="E558" i="14" s="1"/>
  <c r="D557" i="14"/>
  <c r="F557" i="14" s="1"/>
  <c r="D556" i="14"/>
  <c r="E556" i="14" s="1"/>
  <c r="F555" i="14"/>
  <c r="E555" i="14"/>
  <c r="H555" i="14" s="1"/>
  <c r="I555" i="14" s="1"/>
  <c r="D555" i="14"/>
  <c r="D554" i="14"/>
  <c r="E554" i="14" s="1"/>
  <c r="D553" i="14"/>
  <c r="F553" i="14" s="1"/>
  <c r="F552" i="14"/>
  <c r="D552" i="14"/>
  <c r="E552" i="14" s="1"/>
  <c r="D551" i="14"/>
  <c r="F551" i="14" s="1"/>
  <c r="D550" i="14"/>
  <c r="E550" i="14" s="1"/>
  <c r="D549" i="14"/>
  <c r="F549" i="14" s="1"/>
  <c r="D548" i="14"/>
  <c r="E548" i="14" s="1"/>
  <c r="D547" i="14"/>
  <c r="D546" i="14"/>
  <c r="E546" i="14" s="1"/>
  <c r="D545" i="14"/>
  <c r="F545" i="14" s="1"/>
  <c r="D544" i="14"/>
  <c r="F543" i="14"/>
  <c r="D543" i="14"/>
  <c r="E543" i="14" s="1"/>
  <c r="H543" i="14" s="1"/>
  <c r="I543" i="14" s="1"/>
  <c r="D542" i="14"/>
  <c r="E542" i="14" s="1"/>
  <c r="D541" i="14"/>
  <c r="F541" i="14" s="1"/>
  <c r="D540" i="14"/>
  <c r="E540" i="14" s="1"/>
  <c r="F539" i="14"/>
  <c r="E539" i="14"/>
  <c r="D539" i="14"/>
  <c r="D538" i="14"/>
  <c r="E538" i="14" s="1"/>
  <c r="D537" i="14"/>
  <c r="F537" i="14" s="1"/>
  <c r="F536" i="14"/>
  <c r="D536" i="14"/>
  <c r="E536" i="14" s="1"/>
  <c r="D535" i="14"/>
  <c r="F535" i="14" s="1"/>
  <c r="D534" i="14"/>
  <c r="E534" i="14" s="1"/>
  <c r="D533" i="14"/>
  <c r="F533" i="14" s="1"/>
  <c r="D532" i="14"/>
  <c r="E532" i="14" s="1"/>
  <c r="D531" i="14"/>
  <c r="D530" i="14"/>
  <c r="E530" i="14" s="1"/>
  <c r="D529" i="14"/>
  <c r="F529" i="14" s="1"/>
  <c r="D528" i="14"/>
  <c r="F527" i="14"/>
  <c r="D527" i="14"/>
  <c r="E527" i="14" s="1"/>
  <c r="H527" i="14" s="1"/>
  <c r="I527" i="14" s="1"/>
  <c r="D526" i="14"/>
  <c r="E526" i="14" s="1"/>
  <c r="D525" i="14"/>
  <c r="F525" i="14" s="1"/>
  <c r="D524" i="14"/>
  <c r="E524" i="14" s="1"/>
  <c r="F523" i="14"/>
  <c r="E523" i="14"/>
  <c r="H523" i="14" s="1"/>
  <c r="I523" i="14" s="1"/>
  <c r="D523" i="14"/>
  <c r="D522" i="14"/>
  <c r="E522" i="14" s="1"/>
  <c r="D521" i="14"/>
  <c r="F521" i="14" s="1"/>
  <c r="F520" i="14"/>
  <c r="D520" i="14"/>
  <c r="E520" i="14" s="1"/>
  <c r="D519" i="14"/>
  <c r="F519" i="14" s="1"/>
  <c r="D518" i="14"/>
  <c r="E518" i="14" s="1"/>
  <c r="D517" i="14"/>
  <c r="F517" i="14" s="1"/>
  <c r="D516" i="14"/>
  <c r="E516" i="14" s="1"/>
  <c r="D515" i="14"/>
  <c r="D514" i="14"/>
  <c r="D513" i="14"/>
  <c r="F513" i="14" s="1"/>
  <c r="D512" i="14"/>
  <c r="F511" i="14"/>
  <c r="D511" i="14"/>
  <c r="E511" i="14" s="1"/>
  <c r="D510" i="14"/>
  <c r="D509" i="14"/>
  <c r="F509" i="14" s="1"/>
  <c r="D508" i="14"/>
  <c r="E508" i="14" s="1"/>
  <c r="F507" i="14"/>
  <c r="E507" i="14"/>
  <c r="D507" i="14"/>
  <c r="D506" i="14"/>
  <c r="D505" i="14"/>
  <c r="F504" i="14"/>
  <c r="D504" i="14"/>
  <c r="E504" i="14" s="1"/>
  <c r="D503" i="14"/>
  <c r="F503" i="14" s="1"/>
  <c r="D502" i="14"/>
  <c r="F502" i="14" s="1"/>
  <c r="D501" i="14"/>
  <c r="F500" i="14"/>
  <c r="D500" i="14"/>
  <c r="E500" i="14" s="1"/>
  <c r="D499" i="14"/>
  <c r="F499" i="14" s="1"/>
  <c r="E498" i="14"/>
  <c r="G498" i="14" s="1"/>
  <c r="D498" i="14"/>
  <c r="F498" i="14" s="1"/>
  <c r="D497" i="14"/>
  <c r="D496" i="14"/>
  <c r="E496" i="14" s="1"/>
  <c r="D495" i="14"/>
  <c r="F495" i="14" s="1"/>
  <c r="E494" i="14"/>
  <c r="D494" i="14"/>
  <c r="F494" i="14" s="1"/>
  <c r="D493" i="14"/>
  <c r="D492" i="14"/>
  <c r="E492" i="14" s="1"/>
  <c r="D491" i="14"/>
  <c r="E491" i="14" s="1"/>
  <c r="D490" i="14"/>
  <c r="F490" i="14" s="1"/>
  <c r="D489" i="14"/>
  <c r="F488" i="14"/>
  <c r="D488" i="14"/>
  <c r="E488" i="14" s="1"/>
  <c r="G488" i="14" s="1"/>
  <c r="F487" i="14"/>
  <c r="D487" i="14"/>
  <c r="E487" i="14" s="1"/>
  <c r="D486" i="14"/>
  <c r="D485" i="14"/>
  <c r="D484" i="14"/>
  <c r="F483" i="14"/>
  <c r="E483" i="14"/>
  <c r="D483" i="14"/>
  <c r="D482" i="14"/>
  <c r="F482" i="14" s="1"/>
  <c r="D481" i="14"/>
  <c r="D480" i="14"/>
  <c r="F479" i="14"/>
  <c r="E479" i="14"/>
  <c r="D479" i="14"/>
  <c r="E478" i="14"/>
  <c r="G478" i="14" s="1"/>
  <c r="D478" i="14"/>
  <c r="F478" i="14" s="1"/>
  <c r="D477" i="14"/>
  <c r="F476" i="14"/>
  <c r="G476" i="14" s="1"/>
  <c r="D476" i="14"/>
  <c r="E476" i="14" s="1"/>
  <c r="D475" i="14"/>
  <c r="F475" i="14" s="1"/>
  <c r="D474" i="14"/>
  <c r="D473" i="14"/>
  <c r="F472" i="14"/>
  <c r="D472" i="14"/>
  <c r="E472" i="14" s="1"/>
  <c r="D471" i="14"/>
  <c r="E471" i="14" s="1"/>
  <c r="D470" i="14"/>
  <c r="F470" i="14" s="1"/>
  <c r="D469" i="14"/>
  <c r="D468" i="14"/>
  <c r="E468" i="14" s="1"/>
  <c r="D467" i="14"/>
  <c r="F467" i="14" s="1"/>
  <c r="E466" i="14"/>
  <c r="G466" i="14" s="1"/>
  <c r="D466" i="14"/>
  <c r="F466" i="14" s="1"/>
  <c r="D465" i="14"/>
  <c r="F464" i="14"/>
  <c r="D464" i="14"/>
  <c r="E464" i="14" s="1"/>
  <c r="D463" i="14"/>
  <c r="F463" i="14" s="1"/>
  <c r="D462" i="14"/>
  <c r="F462" i="14" s="1"/>
  <c r="D461" i="14"/>
  <c r="F460" i="14"/>
  <c r="D460" i="14"/>
  <c r="E460" i="14" s="1"/>
  <c r="D459" i="14"/>
  <c r="E459" i="14" s="1"/>
  <c r="E458" i="14"/>
  <c r="G458" i="14" s="1"/>
  <c r="D458" i="14"/>
  <c r="F458" i="14" s="1"/>
  <c r="D457" i="14"/>
  <c r="D456" i="14"/>
  <c r="E456" i="14" s="1"/>
  <c r="D455" i="14"/>
  <c r="E455" i="14" s="1"/>
  <c r="D454" i="14"/>
  <c r="D453" i="14"/>
  <c r="D452" i="14"/>
  <c r="F451" i="14"/>
  <c r="E451" i="14"/>
  <c r="D451" i="14"/>
  <c r="F450" i="14"/>
  <c r="D450" i="14"/>
  <c r="E450" i="14" s="1"/>
  <c r="H450" i="14" s="1"/>
  <c r="I450" i="14" s="1"/>
  <c r="D449" i="14"/>
  <c r="D448" i="14"/>
  <c r="F448" i="14" s="1"/>
  <c r="D447" i="14"/>
  <c r="F447" i="14" s="1"/>
  <c r="F446" i="14"/>
  <c r="D446" i="14"/>
  <c r="E446" i="14" s="1"/>
  <c r="D445" i="14"/>
  <c r="F445" i="14" s="1"/>
  <c r="D444" i="14"/>
  <c r="F444" i="14" s="1"/>
  <c r="F443" i="14"/>
  <c r="E443" i="14"/>
  <c r="H443" i="14" s="1"/>
  <c r="I443" i="14" s="1"/>
  <c r="D443" i="14"/>
  <c r="D442" i="14"/>
  <c r="E442" i="14" s="1"/>
  <c r="D441" i="14"/>
  <c r="D440" i="14"/>
  <c r="F440" i="14" s="1"/>
  <c r="D439" i="14"/>
  <c r="F439" i="14" s="1"/>
  <c r="D438" i="14"/>
  <c r="E438" i="14" s="1"/>
  <c r="D437" i="14"/>
  <c r="F437" i="14" s="1"/>
  <c r="D436" i="14"/>
  <c r="F436" i="14" s="1"/>
  <c r="F435" i="14"/>
  <c r="E435" i="14"/>
  <c r="H435" i="14" s="1"/>
  <c r="I435" i="14" s="1"/>
  <c r="D435" i="14"/>
  <c r="D434" i="14"/>
  <c r="F434" i="14" s="1"/>
  <c r="D433" i="14"/>
  <c r="D432" i="14"/>
  <c r="F432" i="14" s="1"/>
  <c r="E431" i="14"/>
  <c r="H431" i="14" s="1"/>
  <c r="I431" i="14" s="1"/>
  <c r="D431" i="14"/>
  <c r="F431" i="14" s="1"/>
  <c r="D430" i="14"/>
  <c r="E430" i="14" s="1"/>
  <c r="E429" i="14"/>
  <c r="H429" i="14" s="1"/>
  <c r="I429" i="14" s="1"/>
  <c r="D429" i="14"/>
  <c r="F429" i="14" s="1"/>
  <c r="D428" i="14"/>
  <c r="F428" i="14" s="1"/>
  <c r="F427" i="14"/>
  <c r="G427" i="14" s="1"/>
  <c r="E427" i="14"/>
  <c r="D427" i="14"/>
  <c r="F426" i="14"/>
  <c r="E426" i="14"/>
  <c r="H426" i="14" s="1"/>
  <c r="I426" i="14" s="1"/>
  <c r="D426" i="14"/>
  <c r="D425" i="14"/>
  <c r="D424" i="14"/>
  <c r="F424" i="14" s="1"/>
  <c r="D423" i="14"/>
  <c r="F423" i="14" s="1"/>
  <c r="D422" i="14"/>
  <c r="E422" i="14" s="1"/>
  <c r="D421" i="14"/>
  <c r="F421" i="14" s="1"/>
  <c r="D420" i="14"/>
  <c r="F420" i="14" s="1"/>
  <c r="G419" i="14"/>
  <c r="F419" i="14"/>
  <c r="E419" i="14"/>
  <c r="H419" i="14" s="1"/>
  <c r="I419" i="14" s="1"/>
  <c r="D419" i="14"/>
  <c r="F418" i="14"/>
  <c r="D418" i="14"/>
  <c r="E418" i="14" s="1"/>
  <c r="H418" i="14" s="1"/>
  <c r="I418" i="14" s="1"/>
  <c r="D417" i="14"/>
  <c r="D416" i="14"/>
  <c r="F416" i="14" s="1"/>
  <c r="D415" i="14"/>
  <c r="F415" i="14" s="1"/>
  <c r="F414" i="14"/>
  <c r="D414" i="14"/>
  <c r="E414" i="14" s="1"/>
  <c r="D413" i="14"/>
  <c r="F413" i="14" s="1"/>
  <c r="D412" i="14"/>
  <c r="F412" i="14" s="1"/>
  <c r="F411" i="14"/>
  <c r="E411" i="14"/>
  <c r="H411" i="14" s="1"/>
  <c r="I411" i="14" s="1"/>
  <c r="D411" i="14"/>
  <c r="D410" i="14"/>
  <c r="E410" i="14" s="1"/>
  <c r="D409" i="14"/>
  <c r="D408" i="14"/>
  <c r="F408" i="14" s="1"/>
  <c r="D407" i="14"/>
  <c r="F407" i="14" s="1"/>
  <c r="D406" i="14"/>
  <c r="E406" i="14" s="1"/>
  <c r="D405" i="14"/>
  <c r="F405" i="14" s="1"/>
  <c r="D404" i="14"/>
  <c r="F404" i="14" s="1"/>
  <c r="F403" i="14"/>
  <c r="E403" i="14"/>
  <c r="H403" i="14" s="1"/>
  <c r="I403" i="14" s="1"/>
  <c r="D403" i="14"/>
  <c r="D402" i="14"/>
  <c r="F402" i="14" s="1"/>
  <c r="D401" i="14"/>
  <c r="D400" i="14"/>
  <c r="F400" i="14" s="1"/>
  <c r="E399" i="14"/>
  <c r="H399" i="14" s="1"/>
  <c r="I399" i="14" s="1"/>
  <c r="D399" i="14"/>
  <c r="F399" i="14" s="1"/>
  <c r="D398" i="14"/>
  <c r="E398" i="14" s="1"/>
  <c r="E397" i="14"/>
  <c r="H397" i="14" s="1"/>
  <c r="I397" i="14" s="1"/>
  <c r="D397" i="14"/>
  <c r="F397" i="14" s="1"/>
  <c r="D396" i="14"/>
  <c r="F396" i="14" s="1"/>
  <c r="F395" i="14"/>
  <c r="G395" i="14" s="1"/>
  <c r="E395" i="14"/>
  <c r="D395" i="14"/>
  <c r="F394" i="14"/>
  <c r="E394" i="14"/>
  <c r="H394" i="14" s="1"/>
  <c r="I394" i="14" s="1"/>
  <c r="D394" i="14"/>
  <c r="D393" i="14"/>
  <c r="D392" i="14"/>
  <c r="F392" i="14" s="1"/>
  <c r="D391" i="14"/>
  <c r="E391" i="14" s="1"/>
  <c r="F390" i="14"/>
  <c r="D390" i="14"/>
  <c r="E390" i="14" s="1"/>
  <c r="H390" i="14" s="1"/>
  <c r="I390" i="14" s="1"/>
  <c r="D389" i="14"/>
  <c r="F389" i="14" s="1"/>
  <c r="D388" i="14"/>
  <c r="F388" i="14" s="1"/>
  <c r="F387" i="14"/>
  <c r="E387" i="14"/>
  <c r="H387" i="14" s="1"/>
  <c r="I387" i="14" s="1"/>
  <c r="D387" i="14"/>
  <c r="D386" i="14"/>
  <c r="F386" i="14" s="1"/>
  <c r="D385" i="14"/>
  <c r="F385" i="14" s="1"/>
  <c r="D384" i="14"/>
  <c r="F384" i="14" s="1"/>
  <c r="D383" i="14"/>
  <c r="E383" i="14" s="1"/>
  <c r="F382" i="14"/>
  <c r="D382" i="14"/>
  <c r="E382" i="14" s="1"/>
  <c r="H382" i="14" s="1"/>
  <c r="I382" i="14" s="1"/>
  <c r="D381" i="14"/>
  <c r="F381" i="14" s="1"/>
  <c r="D380" i="14"/>
  <c r="F380" i="14" s="1"/>
  <c r="F379" i="14"/>
  <c r="E379" i="14"/>
  <c r="H379" i="14" s="1"/>
  <c r="I379" i="14" s="1"/>
  <c r="D379" i="14"/>
  <c r="D378" i="14"/>
  <c r="F378" i="14" s="1"/>
  <c r="D377" i="14"/>
  <c r="F377" i="14" s="1"/>
  <c r="D376" i="14"/>
  <c r="F376" i="14" s="1"/>
  <c r="D375" i="14"/>
  <c r="E375" i="14" s="1"/>
  <c r="F374" i="14"/>
  <c r="D374" i="14"/>
  <c r="E374" i="14" s="1"/>
  <c r="H374" i="14" s="1"/>
  <c r="I374" i="14" s="1"/>
  <c r="D373" i="14"/>
  <c r="F373" i="14" s="1"/>
  <c r="D372" i="14"/>
  <c r="F372" i="14" s="1"/>
  <c r="F371" i="14"/>
  <c r="E371" i="14"/>
  <c r="H371" i="14" s="1"/>
  <c r="I371" i="14" s="1"/>
  <c r="D371" i="14"/>
  <c r="D370" i="14"/>
  <c r="F370" i="14" s="1"/>
  <c r="D369" i="14"/>
  <c r="F369" i="14" s="1"/>
  <c r="D368" i="14"/>
  <c r="F368" i="14" s="1"/>
  <c r="D367" i="14"/>
  <c r="E367" i="14" s="1"/>
  <c r="F366" i="14"/>
  <c r="D366" i="14"/>
  <c r="E366" i="14" s="1"/>
  <c r="H366" i="14" s="1"/>
  <c r="I366" i="14" s="1"/>
  <c r="D365" i="14"/>
  <c r="F365" i="14" s="1"/>
  <c r="D364" i="14"/>
  <c r="F364" i="14" s="1"/>
  <c r="F363" i="14"/>
  <c r="E363" i="14"/>
  <c r="H363" i="14" s="1"/>
  <c r="I363" i="14" s="1"/>
  <c r="D363" i="14"/>
  <c r="D362" i="14"/>
  <c r="F362" i="14" s="1"/>
  <c r="D361" i="14"/>
  <c r="F361" i="14" s="1"/>
  <c r="D360" i="14"/>
  <c r="F360" i="14" s="1"/>
  <c r="D359" i="14"/>
  <c r="E359" i="14" s="1"/>
  <c r="F358" i="14"/>
  <c r="D358" i="14"/>
  <c r="E358" i="14" s="1"/>
  <c r="H358" i="14" s="1"/>
  <c r="I358" i="14" s="1"/>
  <c r="D357" i="14"/>
  <c r="F357" i="14" s="1"/>
  <c r="D356" i="14"/>
  <c r="F356" i="14" s="1"/>
  <c r="F355" i="14"/>
  <c r="E355" i="14"/>
  <c r="H355" i="14" s="1"/>
  <c r="I355" i="14" s="1"/>
  <c r="D355" i="14"/>
  <c r="D354" i="14"/>
  <c r="F354" i="14" s="1"/>
  <c r="D353" i="14"/>
  <c r="F353" i="14" s="1"/>
  <c r="D352" i="14"/>
  <c r="F352" i="14" s="1"/>
  <c r="D351" i="14"/>
  <c r="E351" i="14" s="1"/>
  <c r="F350" i="14"/>
  <c r="D350" i="14"/>
  <c r="E350" i="14" s="1"/>
  <c r="H350" i="14" s="1"/>
  <c r="I350" i="14" s="1"/>
  <c r="D349" i="14"/>
  <c r="F349" i="14" s="1"/>
  <c r="D348" i="14"/>
  <c r="F348" i="14" s="1"/>
  <c r="F347" i="14"/>
  <c r="E347" i="14"/>
  <c r="H347" i="14" s="1"/>
  <c r="I347" i="14" s="1"/>
  <c r="D347" i="14"/>
  <c r="D346" i="14"/>
  <c r="F346" i="14" s="1"/>
  <c r="D345" i="14"/>
  <c r="F345" i="14" s="1"/>
  <c r="D344" i="14"/>
  <c r="F344" i="14" s="1"/>
  <c r="D343" i="14"/>
  <c r="E343" i="14" s="1"/>
  <c r="F342" i="14"/>
  <c r="D342" i="14"/>
  <c r="E342" i="14" s="1"/>
  <c r="H342" i="14" s="1"/>
  <c r="I342" i="14" s="1"/>
  <c r="D341" i="14"/>
  <c r="F341" i="14" s="1"/>
  <c r="D340" i="14"/>
  <c r="F340" i="14" s="1"/>
  <c r="F339" i="14"/>
  <c r="E339" i="14"/>
  <c r="H339" i="14" s="1"/>
  <c r="I339" i="14" s="1"/>
  <c r="D339" i="14"/>
  <c r="D338" i="14"/>
  <c r="F338" i="14" s="1"/>
  <c r="D337" i="14"/>
  <c r="F337" i="14" s="1"/>
  <c r="D336" i="14"/>
  <c r="F336" i="14" s="1"/>
  <c r="D335" i="14"/>
  <c r="E335" i="14" s="1"/>
  <c r="F334" i="14"/>
  <c r="D334" i="14"/>
  <c r="E334" i="14" s="1"/>
  <c r="H334" i="14" s="1"/>
  <c r="I334" i="14" s="1"/>
  <c r="D333" i="14"/>
  <c r="F333" i="14" s="1"/>
  <c r="D332" i="14"/>
  <c r="F332" i="14" s="1"/>
  <c r="F331" i="14"/>
  <c r="E331" i="14"/>
  <c r="H331" i="14" s="1"/>
  <c r="I331" i="14" s="1"/>
  <c r="D331" i="14"/>
  <c r="D330" i="14"/>
  <c r="F330" i="14" s="1"/>
  <c r="D329" i="14"/>
  <c r="F329" i="14" s="1"/>
  <c r="D328" i="14"/>
  <c r="F328" i="14" s="1"/>
  <c r="D327" i="14"/>
  <c r="E327" i="14" s="1"/>
  <c r="F326" i="14"/>
  <c r="D326" i="14"/>
  <c r="E326" i="14" s="1"/>
  <c r="H326" i="14" s="1"/>
  <c r="I326" i="14" s="1"/>
  <c r="D325" i="14"/>
  <c r="F325" i="14" s="1"/>
  <c r="D324" i="14"/>
  <c r="F324" i="14" s="1"/>
  <c r="F323" i="14"/>
  <c r="E323" i="14"/>
  <c r="H323" i="14" s="1"/>
  <c r="I323" i="14" s="1"/>
  <c r="D323" i="14"/>
  <c r="D322" i="14"/>
  <c r="F322" i="14" s="1"/>
  <c r="D321" i="14"/>
  <c r="F321" i="14" s="1"/>
  <c r="D320" i="14"/>
  <c r="D319" i="14"/>
  <c r="E319" i="14" s="1"/>
  <c r="F318" i="14"/>
  <c r="D318" i="14"/>
  <c r="E318" i="14" s="1"/>
  <c r="H318" i="14" s="1"/>
  <c r="I318" i="14" s="1"/>
  <c r="D317" i="14"/>
  <c r="F317" i="14" s="1"/>
  <c r="D316" i="14"/>
  <c r="F315" i="14"/>
  <c r="E315" i="14"/>
  <c r="H315" i="14" s="1"/>
  <c r="I315" i="14" s="1"/>
  <c r="D315" i="14"/>
  <c r="D314" i="14"/>
  <c r="F314" i="14" s="1"/>
  <c r="D313" i="14"/>
  <c r="F313" i="14" s="1"/>
  <c r="D312" i="14"/>
  <c r="D311" i="14"/>
  <c r="E311" i="14" s="1"/>
  <c r="F310" i="14"/>
  <c r="D310" i="14"/>
  <c r="E310" i="14" s="1"/>
  <c r="D309" i="14"/>
  <c r="D308" i="14"/>
  <c r="F307" i="14"/>
  <c r="E307" i="14"/>
  <c r="D307" i="14"/>
  <c r="D306" i="14"/>
  <c r="D305" i="14"/>
  <c r="F305" i="14" s="1"/>
  <c r="D304" i="14"/>
  <c r="D303" i="14"/>
  <c r="E303" i="14" s="1"/>
  <c r="F302" i="14"/>
  <c r="D302" i="14"/>
  <c r="E302" i="14" s="1"/>
  <c r="D301" i="14"/>
  <c r="D300" i="14"/>
  <c r="F299" i="14"/>
  <c r="E299" i="14"/>
  <c r="D299" i="14"/>
  <c r="D298" i="14"/>
  <c r="D297" i="14"/>
  <c r="F297" i="14" s="1"/>
  <c r="D296" i="14"/>
  <c r="D295" i="14"/>
  <c r="E295" i="14" s="1"/>
  <c r="F294" i="14"/>
  <c r="D294" i="14"/>
  <c r="E294" i="14" s="1"/>
  <c r="D293" i="14"/>
  <c r="D292" i="14"/>
  <c r="F291" i="14"/>
  <c r="E291" i="14"/>
  <c r="D291" i="14"/>
  <c r="D290" i="14"/>
  <c r="D289" i="14"/>
  <c r="F289" i="14" s="1"/>
  <c r="D288" i="14"/>
  <c r="D287" i="14"/>
  <c r="E287" i="14" s="1"/>
  <c r="F286" i="14"/>
  <c r="D286" i="14"/>
  <c r="E286" i="14" s="1"/>
  <c r="D285" i="14"/>
  <c r="D284" i="14"/>
  <c r="F283" i="14"/>
  <c r="E283" i="14"/>
  <c r="D283" i="14"/>
  <c r="D282" i="14"/>
  <c r="D281" i="14"/>
  <c r="F281" i="14" s="1"/>
  <c r="D280" i="14"/>
  <c r="D279" i="14"/>
  <c r="E279" i="14" s="1"/>
  <c r="F278" i="14"/>
  <c r="D278" i="14"/>
  <c r="E278" i="14" s="1"/>
  <c r="D277" i="14"/>
  <c r="D276" i="14"/>
  <c r="F275" i="14"/>
  <c r="E275" i="14"/>
  <c r="D275" i="14"/>
  <c r="D274" i="14"/>
  <c r="D273" i="14"/>
  <c r="D272" i="14"/>
  <c r="F271" i="14"/>
  <c r="E271" i="14"/>
  <c r="G271" i="14" s="1"/>
  <c r="D271" i="14"/>
  <c r="D270" i="14"/>
  <c r="D269" i="14"/>
  <c r="F269" i="14" s="1"/>
  <c r="D268" i="14"/>
  <c r="D267" i="14"/>
  <c r="D266" i="14"/>
  <c r="E266" i="14" s="1"/>
  <c r="E265" i="14"/>
  <c r="G265" i="14" s="1"/>
  <c r="D265" i="14"/>
  <c r="F265" i="14" s="1"/>
  <c r="D264" i="14"/>
  <c r="F263" i="14"/>
  <c r="E263" i="14"/>
  <c r="D263" i="14"/>
  <c r="D262" i="14"/>
  <c r="D261" i="14"/>
  <c r="F261" i="14" s="1"/>
  <c r="D260" i="14"/>
  <c r="F259" i="14"/>
  <c r="D259" i="14"/>
  <c r="E259" i="14" s="1"/>
  <c r="F258" i="14"/>
  <c r="E258" i="14"/>
  <c r="D258" i="14"/>
  <c r="E257" i="14"/>
  <c r="D257" i="14"/>
  <c r="F257" i="14" s="1"/>
  <c r="D256" i="14"/>
  <c r="F255" i="14"/>
  <c r="D255" i="14"/>
  <c r="E255" i="14" s="1"/>
  <c r="F254" i="14"/>
  <c r="E254" i="14"/>
  <c r="D254" i="14"/>
  <c r="D253" i="14"/>
  <c r="D252" i="14"/>
  <c r="F251" i="14"/>
  <c r="E251" i="14"/>
  <c r="G251" i="14" s="1"/>
  <c r="D251" i="14"/>
  <c r="D250" i="14"/>
  <c r="D249" i="14"/>
  <c r="F249" i="14" s="1"/>
  <c r="D248" i="14"/>
  <c r="F247" i="14"/>
  <c r="G247" i="14" s="1"/>
  <c r="D247" i="14"/>
  <c r="E247" i="14" s="1"/>
  <c r="F246" i="14"/>
  <c r="E246" i="14"/>
  <c r="D246" i="14"/>
  <c r="D245" i="14"/>
  <c r="F245" i="14" s="1"/>
  <c r="D244" i="14"/>
  <c r="D243" i="14"/>
  <c r="E243" i="14" s="1"/>
  <c r="F242" i="14"/>
  <c r="D242" i="14"/>
  <c r="E242" i="14" s="1"/>
  <c r="D241" i="14"/>
  <c r="F241" i="14" s="1"/>
  <c r="D240" i="14"/>
  <c r="D239" i="14"/>
  <c r="E239" i="14" s="1"/>
  <c r="F238" i="14"/>
  <c r="D238" i="14"/>
  <c r="E238" i="14" s="1"/>
  <c r="E237" i="14"/>
  <c r="D237" i="14"/>
  <c r="F237" i="14" s="1"/>
  <c r="D236" i="14"/>
  <c r="F235" i="14"/>
  <c r="D235" i="14"/>
  <c r="E235" i="14" s="1"/>
  <c r="G235" i="14" s="1"/>
  <c r="F234" i="14"/>
  <c r="E234" i="14"/>
  <c r="D234" i="14"/>
  <c r="D233" i="14"/>
  <c r="F233" i="14" s="1"/>
  <c r="D232" i="14"/>
  <c r="D231" i="14"/>
  <c r="E231" i="14" s="1"/>
  <c r="F230" i="14"/>
  <c r="D230" i="14"/>
  <c r="E230" i="14" s="1"/>
  <c r="D229" i="14"/>
  <c r="D228" i="14"/>
  <c r="E228" i="14" s="1"/>
  <c r="D227" i="14"/>
  <c r="E227" i="14" s="1"/>
  <c r="F226" i="14"/>
  <c r="D226" i="14"/>
  <c r="E226" i="14" s="1"/>
  <c r="D225" i="14"/>
  <c r="F225" i="14" s="1"/>
  <c r="F224" i="14"/>
  <c r="D224" i="14"/>
  <c r="E224" i="14" s="1"/>
  <c r="F223" i="14"/>
  <c r="E223" i="14"/>
  <c r="D223" i="14"/>
  <c r="D222" i="14"/>
  <c r="D221" i="14"/>
  <c r="D220" i="14"/>
  <c r="E220" i="14" s="1"/>
  <c r="D219" i="14"/>
  <c r="D218" i="14"/>
  <c r="F218" i="14" s="1"/>
  <c r="D217" i="14"/>
  <c r="D216" i="14"/>
  <c r="F215" i="14"/>
  <c r="D215" i="14"/>
  <c r="E215" i="14" s="1"/>
  <c r="F214" i="14"/>
  <c r="D214" i="14"/>
  <c r="E214" i="14" s="1"/>
  <c r="H214" i="14" s="1"/>
  <c r="I214" i="14" s="1"/>
  <c r="D213" i="14"/>
  <c r="F213" i="14" s="1"/>
  <c r="F212" i="14"/>
  <c r="D212" i="14"/>
  <c r="E212" i="14" s="1"/>
  <c r="E211" i="14"/>
  <c r="H211" i="14" s="1"/>
  <c r="I211" i="14" s="1"/>
  <c r="D211" i="14"/>
  <c r="F211" i="14" s="1"/>
  <c r="D210" i="14"/>
  <c r="F210" i="14" s="1"/>
  <c r="D209" i="14"/>
  <c r="E209" i="14" s="1"/>
  <c r="F208" i="14"/>
  <c r="E208" i="14"/>
  <c r="D208" i="14"/>
  <c r="D207" i="14"/>
  <c r="F207" i="14" s="1"/>
  <c r="D206" i="14"/>
  <c r="F206" i="14" s="1"/>
  <c r="D205" i="14"/>
  <c r="E205" i="14" s="1"/>
  <c r="E204" i="14"/>
  <c r="H204" i="14" s="1"/>
  <c r="I204" i="14" s="1"/>
  <c r="D204" i="14"/>
  <c r="F204" i="14" s="1"/>
  <c r="E203" i="14"/>
  <c r="D203" i="14"/>
  <c r="F203" i="14" s="1"/>
  <c r="D202" i="14"/>
  <c r="F202" i="14" s="1"/>
  <c r="D201" i="14"/>
  <c r="E201" i="14" s="1"/>
  <c r="F200" i="14"/>
  <c r="E200" i="14"/>
  <c r="D200" i="14"/>
  <c r="E199" i="14"/>
  <c r="D199" i="14"/>
  <c r="F199" i="14" s="1"/>
  <c r="D198" i="14"/>
  <c r="F198" i="14" s="1"/>
  <c r="E197" i="14"/>
  <c r="D197" i="14"/>
  <c r="F197" i="14" s="1"/>
  <c r="D196" i="14"/>
  <c r="F196" i="14" s="1"/>
  <c r="E195" i="14"/>
  <c r="D195" i="14"/>
  <c r="F195" i="14" s="1"/>
  <c r="D194" i="14"/>
  <c r="F194" i="14" s="1"/>
  <c r="F193" i="14"/>
  <c r="D193" i="14"/>
  <c r="E193" i="14" s="1"/>
  <c r="G193" i="14" s="1"/>
  <c r="F192" i="14"/>
  <c r="E192" i="14"/>
  <c r="H192" i="14" s="1"/>
  <c r="I192" i="14" s="1"/>
  <c r="D192" i="14"/>
  <c r="E191" i="14"/>
  <c r="D191" i="14"/>
  <c r="F191" i="14" s="1"/>
  <c r="D190" i="14"/>
  <c r="F190" i="14" s="1"/>
  <c r="F189" i="14"/>
  <c r="E189" i="14"/>
  <c r="D189" i="14"/>
  <c r="D188" i="14"/>
  <c r="F188" i="14" s="1"/>
  <c r="E187" i="14"/>
  <c r="D187" i="14"/>
  <c r="F187" i="14" s="1"/>
  <c r="D186" i="14"/>
  <c r="F186" i="14" s="1"/>
  <c r="G185" i="14"/>
  <c r="F185" i="14"/>
  <c r="D185" i="14"/>
  <c r="E185" i="14" s="1"/>
  <c r="F184" i="14"/>
  <c r="E184" i="14"/>
  <c r="H184" i="14" s="1"/>
  <c r="I184" i="14" s="1"/>
  <c r="D184" i="14"/>
  <c r="D183" i="14"/>
  <c r="F183" i="14" s="1"/>
  <c r="D182" i="14"/>
  <c r="F182" i="14" s="1"/>
  <c r="F181" i="14"/>
  <c r="D181" i="14"/>
  <c r="E181" i="14" s="1"/>
  <c r="E180" i="14"/>
  <c r="H180" i="14" s="1"/>
  <c r="I180" i="14" s="1"/>
  <c r="D180" i="14"/>
  <c r="F180" i="14" s="1"/>
  <c r="E179" i="14"/>
  <c r="D179" i="14"/>
  <c r="F179" i="14" s="1"/>
  <c r="D178" i="14"/>
  <c r="F178" i="14" s="1"/>
  <c r="D177" i="14"/>
  <c r="E177" i="14" s="1"/>
  <c r="F176" i="14"/>
  <c r="E176" i="14"/>
  <c r="D176" i="14"/>
  <c r="D175" i="14"/>
  <c r="F175" i="14" s="1"/>
  <c r="D174" i="14"/>
  <c r="F174" i="14" s="1"/>
  <c r="D173" i="14"/>
  <c r="F173" i="14" s="1"/>
  <c r="E172" i="14"/>
  <c r="H172" i="14" s="1"/>
  <c r="I172" i="14" s="1"/>
  <c r="D172" i="14"/>
  <c r="F172" i="14" s="1"/>
  <c r="E171" i="14"/>
  <c r="D171" i="14"/>
  <c r="F171" i="14" s="1"/>
  <c r="D170" i="14"/>
  <c r="F170" i="14" s="1"/>
  <c r="D169" i="14"/>
  <c r="E169" i="14" s="1"/>
  <c r="F168" i="14"/>
  <c r="E168" i="14"/>
  <c r="D168" i="14"/>
  <c r="E167" i="14"/>
  <c r="D167" i="14"/>
  <c r="F167" i="14" s="1"/>
  <c r="D166" i="14"/>
  <c r="F166" i="14" s="1"/>
  <c r="E165" i="14"/>
  <c r="D165" i="14"/>
  <c r="F165" i="14" s="1"/>
  <c r="D164" i="14"/>
  <c r="F164" i="14" s="1"/>
  <c r="E163" i="14"/>
  <c r="D163" i="14"/>
  <c r="F163" i="14" s="1"/>
  <c r="D162" i="14"/>
  <c r="F162" i="14" s="1"/>
  <c r="F161" i="14"/>
  <c r="D161" i="14"/>
  <c r="E161" i="14" s="1"/>
  <c r="F160" i="14"/>
  <c r="E160" i="14"/>
  <c r="H160" i="14" s="1"/>
  <c r="I160" i="14" s="1"/>
  <c r="D160" i="14"/>
  <c r="E159" i="14"/>
  <c r="D159" i="14"/>
  <c r="F159" i="14" s="1"/>
  <c r="D158" i="14"/>
  <c r="F158" i="14" s="1"/>
  <c r="F157" i="14"/>
  <c r="E157" i="14"/>
  <c r="D157" i="14"/>
  <c r="D156" i="14"/>
  <c r="F156" i="14" s="1"/>
  <c r="E155" i="14"/>
  <c r="D155" i="14"/>
  <c r="F155" i="14" s="1"/>
  <c r="D154" i="14"/>
  <c r="F154" i="14" s="1"/>
  <c r="G153" i="14"/>
  <c r="F153" i="14"/>
  <c r="D153" i="14"/>
  <c r="E153" i="14" s="1"/>
  <c r="F152" i="14"/>
  <c r="E152" i="14"/>
  <c r="H152" i="14" s="1"/>
  <c r="I152" i="14" s="1"/>
  <c r="D152" i="14"/>
  <c r="D151" i="14"/>
  <c r="F151" i="14" s="1"/>
  <c r="D150" i="14"/>
  <c r="F150" i="14" s="1"/>
  <c r="F149" i="14"/>
  <c r="D149" i="14"/>
  <c r="E149" i="14" s="1"/>
  <c r="E148" i="14"/>
  <c r="H148" i="14" s="1"/>
  <c r="I148" i="14" s="1"/>
  <c r="D148" i="14"/>
  <c r="F148" i="14" s="1"/>
  <c r="E147" i="14"/>
  <c r="D147" i="14"/>
  <c r="F147" i="14" s="1"/>
  <c r="D146" i="14"/>
  <c r="F146" i="14" s="1"/>
  <c r="D145" i="14"/>
  <c r="E145" i="14" s="1"/>
  <c r="F144" i="14"/>
  <c r="E144" i="14"/>
  <c r="D144" i="14"/>
  <c r="D143" i="14"/>
  <c r="F143" i="14" s="1"/>
  <c r="D142" i="14"/>
  <c r="F142" i="14" s="1"/>
  <c r="D141" i="14"/>
  <c r="F141" i="14" s="1"/>
  <c r="E140" i="14"/>
  <c r="H140" i="14" s="1"/>
  <c r="I140" i="14" s="1"/>
  <c r="D140" i="14"/>
  <c r="F140" i="14" s="1"/>
  <c r="E139" i="14"/>
  <c r="D139" i="14"/>
  <c r="F139" i="14" s="1"/>
  <c r="D138" i="14"/>
  <c r="F138" i="14" s="1"/>
  <c r="D137" i="14"/>
  <c r="E137" i="14" s="1"/>
  <c r="F136" i="14"/>
  <c r="E136" i="14"/>
  <c r="D136" i="14"/>
  <c r="E135" i="14"/>
  <c r="D135" i="14"/>
  <c r="F135" i="14" s="1"/>
  <c r="D134" i="14"/>
  <c r="F134" i="14" s="1"/>
  <c r="E133" i="14"/>
  <c r="D133" i="14"/>
  <c r="F133" i="14" s="1"/>
  <c r="D132" i="14"/>
  <c r="F132" i="14" s="1"/>
  <c r="E131" i="14"/>
  <c r="D131" i="14"/>
  <c r="F131" i="14" s="1"/>
  <c r="D130" i="14"/>
  <c r="F130" i="14" s="1"/>
  <c r="F129" i="14"/>
  <c r="D129" i="14"/>
  <c r="E129" i="14" s="1"/>
  <c r="G129" i="14" s="1"/>
  <c r="F128" i="14"/>
  <c r="E128" i="14"/>
  <c r="H128" i="14" s="1"/>
  <c r="I128" i="14" s="1"/>
  <c r="D128" i="14"/>
  <c r="E127" i="14"/>
  <c r="D127" i="14"/>
  <c r="F127" i="14" s="1"/>
  <c r="D126" i="14"/>
  <c r="F126" i="14" s="1"/>
  <c r="F125" i="14"/>
  <c r="E125" i="14"/>
  <c r="D125" i="14"/>
  <c r="D124" i="14"/>
  <c r="F124" i="14" s="1"/>
  <c r="E123" i="14"/>
  <c r="D123" i="14"/>
  <c r="F123" i="14" s="1"/>
  <c r="D122" i="14"/>
  <c r="F122" i="14" s="1"/>
  <c r="G121" i="14"/>
  <c r="F121" i="14"/>
  <c r="D121" i="14"/>
  <c r="E121" i="14" s="1"/>
  <c r="F120" i="14"/>
  <c r="E120" i="14"/>
  <c r="H120" i="14" s="1"/>
  <c r="I120" i="14" s="1"/>
  <c r="D120" i="14"/>
  <c r="D119" i="14"/>
  <c r="F119" i="14" s="1"/>
  <c r="D118" i="14"/>
  <c r="F118" i="14" s="1"/>
  <c r="F117" i="14"/>
  <c r="D117" i="14"/>
  <c r="E117" i="14" s="1"/>
  <c r="E116" i="14"/>
  <c r="H116" i="14" s="1"/>
  <c r="I116" i="14" s="1"/>
  <c r="D116" i="14"/>
  <c r="F116" i="14" s="1"/>
  <c r="E115" i="14"/>
  <c r="D115" i="14"/>
  <c r="F115" i="14" s="1"/>
  <c r="D114" i="14"/>
  <c r="F114" i="14" s="1"/>
  <c r="D113" i="14"/>
  <c r="E113" i="14" s="1"/>
  <c r="F112" i="14"/>
  <c r="E112" i="14"/>
  <c r="D112" i="14"/>
  <c r="D111" i="14"/>
  <c r="F111" i="14" s="1"/>
  <c r="D110" i="14"/>
  <c r="F110" i="14" s="1"/>
  <c r="D109" i="14"/>
  <c r="F109" i="14" s="1"/>
  <c r="E108" i="14"/>
  <c r="H108" i="14" s="1"/>
  <c r="I108" i="14" s="1"/>
  <c r="D108" i="14"/>
  <c r="F108" i="14" s="1"/>
  <c r="E107" i="14"/>
  <c r="D107" i="14"/>
  <c r="F107" i="14" s="1"/>
  <c r="D106" i="14"/>
  <c r="F106" i="14" s="1"/>
  <c r="D105" i="14"/>
  <c r="E105" i="14" s="1"/>
  <c r="F104" i="14"/>
  <c r="E104" i="14"/>
  <c r="D104" i="14"/>
  <c r="D103" i="14"/>
  <c r="F103" i="14" s="1"/>
  <c r="D102" i="14"/>
  <c r="F102" i="14" s="1"/>
  <c r="D101" i="14"/>
  <c r="E101" i="14" s="1"/>
  <c r="D100" i="14"/>
  <c r="F100" i="14" s="1"/>
  <c r="E99" i="14"/>
  <c r="D99" i="14"/>
  <c r="F99" i="14" s="1"/>
  <c r="D98" i="14"/>
  <c r="F98" i="14" s="1"/>
  <c r="D97" i="14"/>
  <c r="E97" i="14" s="1"/>
  <c r="F96" i="14"/>
  <c r="E96" i="14"/>
  <c r="H96" i="14" s="1"/>
  <c r="I96" i="14" s="1"/>
  <c r="D96" i="14"/>
  <c r="E95" i="14"/>
  <c r="D95" i="14"/>
  <c r="F95" i="14" s="1"/>
  <c r="D94" i="14"/>
  <c r="F94" i="14" s="1"/>
  <c r="F93" i="14"/>
  <c r="E93" i="14"/>
  <c r="D93" i="14"/>
  <c r="D92" i="14"/>
  <c r="F92" i="14" s="1"/>
  <c r="E91" i="14"/>
  <c r="D91" i="14"/>
  <c r="F91" i="14" s="1"/>
  <c r="D90" i="14"/>
  <c r="F90" i="14" s="1"/>
  <c r="F89" i="14"/>
  <c r="G89" i="14" s="1"/>
  <c r="D89" i="14"/>
  <c r="E89" i="14" s="1"/>
  <c r="F88" i="14"/>
  <c r="E88" i="14"/>
  <c r="H88" i="14" s="1"/>
  <c r="I88" i="14" s="1"/>
  <c r="D88" i="14"/>
  <c r="D87" i="14"/>
  <c r="F87" i="14" s="1"/>
  <c r="D86" i="14"/>
  <c r="F86" i="14" s="1"/>
  <c r="F85" i="14"/>
  <c r="D85" i="14"/>
  <c r="E85" i="14" s="1"/>
  <c r="D84" i="14"/>
  <c r="F84" i="14" s="1"/>
  <c r="E83" i="14"/>
  <c r="D83" i="14"/>
  <c r="F83" i="14" s="1"/>
  <c r="D82" i="14"/>
  <c r="F82" i="14" s="1"/>
  <c r="D81" i="14"/>
  <c r="E81" i="14" s="1"/>
  <c r="F80" i="14"/>
  <c r="E80" i="14"/>
  <c r="H80" i="14" s="1"/>
  <c r="I80" i="14" s="1"/>
  <c r="D80" i="14"/>
  <c r="D79" i="14"/>
  <c r="F79" i="14" s="1"/>
  <c r="D78" i="14"/>
  <c r="F78" i="14" s="1"/>
  <c r="D77" i="14"/>
  <c r="F77" i="14" s="1"/>
  <c r="E76" i="14"/>
  <c r="H76" i="14" s="1"/>
  <c r="I76" i="14" s="1"/>
  <c r="D76" i="14"/>
  <c r="F76" i="14" s="1"/>
  <c r="E75" i="14"/>
  <c r="D75" i="14"/>
  <c r="F75" i="14" s="1"/>
  <c r="D74" i="14"/>
  <c r="D73" i="14"/>
  <c r="E73" i="14" s="1"/>
  <c r="F72" i="14"/>
  <c r="E72" i="14"/>
  <c r="D72" i="14"/>
  <c r="D71" i="14"/>
  <c r="F71" i="14" s="1"/>
  <c r="D70" i="14"/>
  <c r="D69" i="14"/>
  <c r="E69" i="14" s="1"/>
  <c r="D68" i="14"/>
  <c r="F68" i="14" s="1"/>
  <c r="E67" i="14"/>
  <c r="D67" i="14"/>
  <c r="F67" i="14" s="1"/>
  <c r="D66" i="14"/>
  <c r="D65" i="14"/>
  <c r="E65" i="14" s="1"/>
  <c r="F64" i="14"/>
  <c r="E64" i="14"/>
  <c r="H64" i="14" s="1"/>
  <c r="I64" i="14" s="1"/>
  <c r="D64" i="14"/>
  <c r="E63" i="14"/>
  <c r="D63" i="14"/>
  <c r="F63" i="14" s="1"/>
  <c r="D62" i="14"/>
  <c r="F61" i="14"/>
  <c r="E61" i="14"/>
  <c r="D61" i="14"/>
  <c r="D60" i="14"/>
  <c r="F60" i="14" s="1"/>
  <c r="E59" i="14"/>
  <c r="D59" i="14"/>
  <c r="F59" i="14" s="1"/>
  <c r="D58" i="14"/>
  <c r="F57" i="14"/>
  <c r="G57" i="14" s="1"/>
  <c r="D57" i="14"/>
  <c r="E57" i="14" s="1"/>
  <c r="F56" i="14"/>
  <c r="E56" i="14"/>
  <c r="H56" i="14" s="1"/>
  <c r="I56" i="14" s="1"/>
  <c r="D56" i="14"/>
  <c r="D55" i="14"/>
  <c r="F55" i="14" s="1"/>
  <c r="D54" i="14"/>
  <c r="F53" i="14"/>
  <c r="D53" i="14"/>
  <c r="E53" i="14" s="1"/>
  <c r="D52" i="14"/>
  <c r="F52" i="14" s="1"/>
  <c r="E51" i="14"/>
  <c r="D51" i="14"/>
  <c r="F51" i="14" s="1"/>
  <c r="D50" i="14"/>
  <c r="D49" i="14"/>
  <c r="E49" i="14" s="1"/>
  <c r="F48" i="14"/>
  <c r="E48" i="14"/>
  <c r="H48" i="14" s="1"/>
  <c r="I48" i="14" s="1"/>
  <c r="D48" i="14"/>
  <c r="D47" i="14"/>
  <c r="F47" i="14" s="1"/>
  <c r="D46" i="14"/>
  <c r="D45" i="14"/>
  <c r="E45" i="14" s="1"/>
  <c r="F44" i="14"/>
  <c r="D44" i="14"/>
  <c r="E44" i="14" s="1"/>
  <c r="H44" i="14" s="1"/>
  <c r="I44" i="14" s="1"/>
  <c r="D43" i="14"/>
  <c r="F43" i="14" s="1"/>
  <c r="D42" i="14"/>
  <c r="F41" i="14"/>
  <c r="E41" i="14"/>
  <c r="H41" i="14" s="1"/>
  <c r="I41" i="14" s="1"/>
  <c r="D41" i="14"/>
  <c r="D40" i="14"/>
  <c r="F40" i="14" s="1"/>
  <c r="D39" i="14"/>
  <c r="F39" i="14" s="1"/>
  <c r="D38" i="14"/>
  <c r="D37" i="14"/>
  <c r="E37" i="14" s="1"/>
  <c r="F36" i="14"/>
  <c r="D36" i="14"/>
  <c r="E36" i="14" s="1"/>
  <c r="H36" i="14" s="1"/>
  <c r="I36" i="14" s="1"/>
  <c r="D35" i="14"/>
  <c r="F35" i="14" s="1"/>
  <c r="D34" i="14"/>
  <c r="F33" i="14"/>
  <c r="E33" i="14"/>
  <c r="H33" i="14" s="1"/>
  <c r="I33" i="14" s="1"/>
  <c r="D33" i="14"/>
  <c r="D32" i="14"/>
  <c r="F32" i="14" s="1"/>
  <c r="D31" i="14"/>
  <c r="F31" i="14" s="1"/>
  <c r="D30" i="14"/>
  <c r="F29" i="14"/>
  <c r="D29" i="14"/>
  <c r="E29" i="14" s="1"/>
  <c r="D28" i="14"/>
  <c r="F28" i="14" s="1"/>
  <c r="D27" i="14"/>
  <c r="F27" i="14" s="1"/>
  <c r="D26" i="14"/>
  <c r="D25" i="14"/>
  <c r="E25" i="14" s="1"/>
  <c r="F24" i="14"/>
  <c r="E24" i="14"/>
  <c r="D24" i="14"/>
  <c r="D23" i="14"/>
  <c r="F23" i="14" s="1"/>
  <c r="D22" i="14"/>
  <c r="D21" i="14"/>
  <c r="E21" i="14" s="1"/>
  <c r="F20" i="14"/>
  <c r="D20" i="14"/>
  <c r="E20" i="14" s="1"/>
  <c r="H20" i="14" s="1"/>
  <c r="I20" i="14" s="1"/>
  <c r="D19" i="14"/>
  <c r="F19" i="14" s="1"/>
  <c r="D18" i="14"/>
  <c r="D17" i="14"/>
  <c r="E17" i="14" s="1"/>
  <c r="F16" i="14"/>
  <c r="D16" i="14"/>
  <c r="E16" i="14" s="1"/>
  <c r="D15" i="14"/>
  <c r="F15" i="14" s="1"/>
  <c r="D14" i="14"/>
  <c r="D13" i="14"/>
  <c r="E13" i="14" s="1"/>
  <c r="F12" i="14"/>
  <c r="E12" i="14"/>
  <c r="D12" i="14"/>
  <c r="D11" i="14"/>
  <c r="F11" i="14" s="1"/>
  <c r="D10" i="14"/>
  <c r="D9" i="14"/>
  <c r="E9" i="14" s="1"/>
  <c r="F8" i="14"/>
  <c r="E8" i="14"/>
  <c r="D8" i="14"/>
  <c r="D7" i="14"/>
  <c r="F7" i="14" s="1"/>
  <c r="D6" i="14"/>
  <c r="F5" i="14"/>
  <c r="D5" i="14"/>
  <c r="E5" i="14" s="1"/>
  <c r="D4" i="14"/>
  <c r="F4" i="14" s="1"/>
  <c r="D3" i="14"/>
  <c r="F3" i="14" s="1"/>
  <c r="D2" i="14"/>
  <c r="F2" i="14" s="1"/>
  <c r="H15" i="18" l="1"/>
  <c r="I15" i="18" s="1"/>
  <c r="J15" i="18" s="1"/>
  <c r="G17" i="18"/>
  <c r="H17" i="18"/>
  <c r="I17" i="18" s="1"/>
  <c r="J17" i="18" s="1"/>
  <c r="H11" i="18"/>
  <c r="I11" i="18" s="1"/>
  <c r="J11" i="18" s="1"/>
  <c r="G13" i="18"/>
  <c r="H13" i="18"/>
  <c r="I13" i="18" s="1"/>
  <c r="J13" i="18" s="1"/>
  <c r="G9" i="18"/>
  <c r="H9" i="18"/>
  <c r="I9" i="18" s="1"/>
  <c r="J9" i="18" s="1"/>
  <c r="H3" i="18"/>
  <c r="I3" i="18" s="1"/>
  <c r="J3" i="18" s="1"/>
  <c r="G5" i="18"/>
  <c r="H5" i="18"/>
  <c r="I5" i="18" s="1"/>
  <c r="J5" i="18" s="1"/>
  <c r="H19" i="18"/>
  <c r="I19" i="18" s="1"/>
  <c r="J19" i="18" s="1"/>
  <c r="G21" i="18"/>
  <c r="H21" i="18"/>
  <c r="I21" i="18" s="1"/>
  <c r="J21" i="18" s="1"/>
  <c r="E2" i="18"/>
  <c r="F3" i="18"/>
  <c r="G3" i="18" s="1"/>
  <c r="G4" i="18"/>
  <c r="E6" i="18"/>
  <c r="F7" i="18"/>
  <c r="H7" i="18" s="1"/>
  <c r="I7" i="18" s="1"/>
  <c r="J7" i="18" s="1"/>
  <c r="G8" i="18"/>
  <c r="E10" i="18"/>
  <c r="F11" i="18"/>
  <c r="G11" i="18" s="1"/>
  <c r="G12" i="18"/>
  <c r="E14" i="18"/>
  <c r="F15" i="18"/>
  <c r="G15" i="18" s="1"/>
  <c r="G16" i="18"/>
  <c r="E18" i="18"/>
  <c r="F19" i="18"/>
  <c r="G19" i="18" s="1"/>
  <c r="G20" i="18"/>
  <c r="E22" i="18"/>
  <c r="H34" i="18"/>
  <c r="I34" i="18" s="1"/>
  <c r="J34" i="18" s="1"/>
  <c r="G53" i="18"/>
  <c r="H53" i="18"/>
  <c r="I53" i="18" s="1"/>
  <c r="J53" i="18" s="1"/>
  <c r="G61" i="18"/>
  <c r="H61" i="18"/>
  <c r="I61" i="18" s="1"/>
  <c r="J61" i="18" s="1"/>
  <c r="G73" i="18"/>
  <c r="H73" i="18"/>
  <c r="I73" i="18" s="1"/>
  <c r="J73" i="18" s="1"/>
  <c r="G81" i="18"/>
  <c r="H81" i="18"/>
  <c r="I81" i="18" s="1"/>
  <c r="J81" i="18" s="1"/>
  <c r="G89" i="18"/>
  <c r="H89" i="18"/>
  <c r="I89" i="18" s="1"/>
  <c r="J89" i="18" s="1"/>
  <c r="G97" i="18"/>
  <c r="H97" i="18"/>
  <c r="I97" i="18" s="1"/>
  <c r="J97" i="18" s="1"/>
  <c r="G105" i="18"/>
  <c r="H105" i="18"/>
  <c r="I105" i="18" s="1"/>
  <c r="J105" i="18" s="1"/>
  <c r="G113" i="18"/>
  <c r="H113" i="18"/>
  <c r="I113" i="18" s="1"/>
  <c r="J113" i="18" s="1"/>
  <c r="H120" i="18"/>
  <c r="I120" i="18" s="1"/>
  <c r="J120" i="18" s="1"/>
  <c r="H128" i="18"/>
  <c r="I128" i="18" s="1"/>
  <c r="J128" i="18" s="1"/>
  <c r="G145" i="18"/>
  <c r="H145" i="18"/>
  <c r="I145" i="18" s="1"/>
  <c r="J145" i="18" s="1"/>
  <c r="G161" i="18"/>
  <c r="H161" i="18"/>
  <c r="I161" i="18" s="1"/>
  <c r="J161" i="18" s="1"/>
  <c r="G181" i="18"/>
  <c r="H181" i="18"/>
  <c r="I181" i="18" s="1"/>
  <c r="J181" i="18" s="1"/>
  <c r="G197" i="18"/>
  <c r="H197" i="18"/>
  <c r="I197" i="18" s="1"/>
  <c r="J197" i="18" s="1"/>
  <c r="H35" i="18"/>
  <c r="I35" i="18" s="1"/>
  <c r="J35" i="18" s="1"/>
  <c r="G35" i="18"/>
  <c r="H48" i="18"/>
  <c r="I48" i="18" s="1"/>
  <c r="J48" i="18" s="1"/>
  <c r="H56" i="18"/>
  <c r="I56" i="18" s="1"/>
  <c r="J56" i="18" s="1"/>
  <c r="G59" i="18"/>
  <c r="H64" i="18"/>
  <c r="I64" i="18" s="1"/>
  <c r="J64" i="18" s="1"/>
  <c r="H66" i="18"/>
  <c r="I66" i="18" s="1"/>
  <c r="J66" i="18" s="1"/>
  <c r="G66" i="18"/>
  <c r="H68" i="18"/>
  <c r="I68" i="18" s="1"/>
  <c r="J68" i="18" s="1"/>
  <c r="H76" i="18"/>
  <c r="I76" i="18" s="1"/>
  <c r="J76" i="18" s="1"/>
  <c r="H79" i="18"/>
  <c r="I79" i="18" s="1"/>
  <c r="J79" i="18" s="1"/>
  <c r="H84" i="18"/>
  <c r="I84" i="18" s="1"/>
  <c r="J84" i="18" s="1"/>
  <c r="G87" i="18"/>
  <c r="H92" i="18"/>
  <c r="I92" i="18" s="1"/>
  <c r="J92" i="18" s="1"/>
  <c r="H100" i="18"/>
  <c r="I100" i="18" s="1"/>
  <c r="J100" i="18" s="1"/>
  <c r="H108" i="18"/>
  <c r="I108" i="18" s="1"/>
  <c r="J108" i="18" s="1"/>
  <c r="H111" i="18"/>
  <c r="I111" i="18" s="1"/>
  <c r="J111" i="18" s="1"/>
  <c r="H116" i="18"/>
  <c r="I116" i="18" s="1"/>
  <c r="J116" i="18" s="1"/>
  <c r="H118" i="18"/>
  <c r="I118" i="18" s="1"/>
  <c r="J118" i="18" s="1"/>
  <c r="G121" i="18"/>
  <c r="H121" i="18"/>
  <c r="I121" i="18" s="1"/>
  <c r="J121" i="18" s="1"/>
  <c r="G129" i="18"/>
  <c r="H129" i="18"/>
  <c r="I129" i="18" s="1"/>
  <c r="J129" i="18" s="1"/>
  <c r="H139" i="18"/>
  <c r="I139" i="18" s="1"/>
  <c r="J139" i="18" s="1"/>
  <c r="G141" i="18"/>
  <c r="H141" i="18"/>
  <c r="I141" i="18" s="1"/>
  <c r="J141" i="18" s="1"/>
  <c r="H155" i="18"/>
  <c r="I155" i="18" s="1"/>
  <c r="J155" i="18" s="1"/>
  <c r="G157" i="18"/>
  <c r="H157" i="18"/>
  <c r="I157" i="18" s="1"/>
  <c r="J157" i="18" s="1"/>
  <c r="H171" i="18"/>
  <c r="I171" i="18" s="1"/>
  <c r="J171" i="18" s="1"/>
  <c r="G173" i="18"/>
  <c r="H173" i="18"/>
  <c r="I173" i="18" s="1"/>
  <c r="J173" i="18" s="1"/>
  <c r="G193" i="18"/>
  <c r="H193" i="18"/>
  <c r="I193" i="18" s="1"/>
  <c r="J193" i="18" s="1"/>
  <c r="H23" i="18"/>
  <c r="I23" i="18" s="1"/>
  <c r="J23" i="18" s="1"/>
  <c r="G49" i="18"/>
  <c r="H49" i="18"/>
  <c r="I49" i="18" s="1"/>
  <c r="J49" i="18" s="1"/>
  <c r="G57" i="18"/>
  <c r="H57" i="18"/>
  <c r="I57" i="18" s="1"/>
  <c r="J57" i="18" s="1"/>
  <c r="G69" i="18"/>
  <c r="H69" i="18"/>
  <c r="I69" i="18" s="1"/>
  <c r="J69" i="18" s="1"/>
  <c r="G77" i="18"/>
  <c r="H77" i="18"/>
  <c r="I77" i="18" s="1"/>
  <c r="J77" i="18" s="1"/>
  <c r="G85" i="18"/>
  <c r="H85" i="18"/>
  <c r="I85" i="18" s="1"/>
  <c r="J85" i="18" s="1"/>
  <c r="G93" i="18"/>
  <c r="H93" i="18"/>
  <c r="I93" i="18" s="1"/>
  <c r="J93" i="18" s="1"/>
  <c r="G101" i="18"/>
  <c r="H101" i="18"/>
  <c r="I101" i="18" s="1"/>
  <c r="J101" i="18" s="1"/>
  <c r="G109" i="18"/>
  <c r="H109" i="18"/>
  <c r="I109" i="18" s="1"/>
  <c r="J109" i="18" s="1"/>
  <c r="G117" i="18"/>
  <c r="H117" i="18"/>
  <c r="I117" i="18" s="1"/>
  <c r="J117" i="18" s="1"/>
  <c r="G137" i="18"/>
  <c r="H137" i="18"/>
  <c r="I137" i="18" s="1"/>
  <c r="J137" i="18" s="1"/>
  <c r="G153" i="18"/>
  <c r="H153" i="18"/>
  <c r="I153" i="18" s="1"/>
  <c r="J153" i="18" s="1"/>
  <c r="G169" i="18"/>
  <c r="H169" i="18"/>
  <c r="I169" i="18" s="1"/>
  <c r="J169" i="18" s="1"/>
  <c r="G189" i="18"/>
  <c r="H189" i="18"/>
  <c r="I189" i="18" s="1"/>
  <c r="J189" i="18" s="1"/>
  <c r="H31" i="18"/>
  <c r="I31" i="18" s="1"/>
  <c r="J31" i="18" s="1"/>
  <c r="G31" i="18"/>
  <c r="H39" i="18"/>
  <c r="I39" i="18" s="1"/>
  <c r="J39" i="18" s="1"/>
  <c r="H47" i="18"/>
  <c r="I47" i="18" s="1"/>
  <c r="J47" i="18" s="1"/>
  <c r="H52" i="18"/>
  <c r="I52" i="18" s="1"/>
  <c r="J52" i="18" s="1"/>
  <c r="G55" i="18"/>
  <c r="H60" i="18"/>
  <c r="I60" i="18" s="1"/>
  <c r="J60" i="18" s="1"/>
  <c r="H72" i="18"/>
  <c r="I72" i="18" s="1"/>
  <c r="J72" i="18" s="1"/>
  <c r="G75" i="18"/>
  <c r="H80" i="18"/>
  <c r="I80" i="18" s="1"/>
  <c r="J80" i="18" s="1"/>
  <c r="H88" i="18"/>
  <c r="I88" i="18" s="1"/>
  <c r="J88" i="18" s="1"/>
  <c r="H96" i="18"/>
  <c r="I96" i="18" s="1"/>
  <c r="J96" i="18" s="1"/>
  <c r="H104" i="18"/>
  <c r="I104" i="18" s="1"/>
  <c r="J104" i="18" s="1"/>
  <c r="G107" i="18"/>
  <c r="H112" i="18"/>
  <c r="I112" i="18" s="1"/>
  <c r="J112" i="18" s="1"/>
  <c r="G125" i="18"/>
  <c r="H125" i="18"/>
  <c r="I125" i="18" s="1"/>
  <c r="J125" i="18" s="1"/>
  <c r="G133" i="18"/>
  <c r="H133" i="18"/>
  <c r="I133" i="18" s="1"/>
  <c r="J133" i="18" s="1"/>
  <c r="H147" i="18"/>
  <c r="I147" i="18" s="1"/>
  <c r="J147" i="18" s="1"/>
  <c r="G149" i="18"/>
  <c r="H149" i="18"/>
  <c r="I149" i="18" s="1"/>
  <c r="J149" i="18" s="1"/>
  <c r="H163" i="18"/>
  <c r="I163" i="18" s="1"/>
  <c r="J163" i="18" s="1"/>
  <c r="G165" i="18"/>
  <c r="H165" i="18"/>
  <c r="I165" i="18" s="1"/>
  <c r="J165" i="18" s="1"/>
  <c r="H183" i="18"/>
  <c r="I183" i="18" s="1"/>
  <c r="J183" i="18" s="1"/>
  <c r="G185" i="18"/>
  <c r="H185" i="18"/>
  <c r="I185" i="18" s="1"/>
  <c r="J185" i="18" s="1"/>
  <c r="H199" i="18"/>
  <c r="I199" i="18" s="1"/>
  <c r="J199" i="18" s="1"/>
  <c r="H215" i="18"/>
  <c r="I215" i="18" s="1"/>
  <c r="J215" i="18" s="1"/>
  <c r="F23" i="18"/>
  <c r="G23" i="18" s="1"/>
  <c r="E26" i="18"/>
  <c r="F27" i="18"/>
  <c r="H27" i="18" s="1"/>
  <c r="I27" i="18" s="1"/>
  <c r="J27" i="18" s="1"/>
  <c r="F39" i="18"/>
  <c r="G39" i="18" s="1"/>
  <c r="E42" i="18"/>
  <c r="F43" i="18"/>
  <c r="H43" i="18" s="1"/>
  <c r="I43" i="18" s="1"/>
  <c r="J43" i="18" s="1"/>
  <c r="E46" i="18"/>
  <c r="F47" i="18"/>
  <c r="G47" i="18" s="1"/>
  <c r="G48" i="18"/>
  <c r="E50" i="18"/>
  <c r="F51" i="18"/>
  <c r="H51" i="18" s="1"/>
  <c r="I51" i="18" s="1"/>
  <c r="J51" i="18" s="1"/>
  <c r="G52" i="18"/>
  <c r="E54" i="18"/>
  <c r="F55" i="18"/>
  <c r="H55" i="18" s="1"/>
  <c r="I55" i="18" s="1"/>
  <c r="J55" i="18" s="1"/>
  <c r="G56" i="18"/>
  <c r="E58" i="18"/>
  <c r="F59" i="18"/>
  <c r="H59" i="18" s="1"/>
  <c r="I59" i="18" s="1"/>
  <c r="J59" i="18" s="1"/>
  <c r="G60" i="18"/>
  <c r="E62" i="18"/>
  <c r="F63" i="18"/>
  <c r="H63" i="18" s="1"/>
  <c r="I63" i="18" s="1"/>
  <c r="J63" i="18" s="1"/>
  <c r="G64" i="18"/>
  <c r="H65" i="18"/>
  <c r="I65" i="18" s="1"/>
  <c r="J65" i="18" s="1"/>
  <c r="F67" i="18"/>
  <c r="H67" i="18" s="1"/>
  <c r="I67" i="18" s="1"/>
  <c r="J67" i="18" s="1"/>
  <c r="G68" i="18"/>
  <c r="E70" i="18"/>
  <c r="F71" i="18"/>
  <c r="H71" i="18" s="1"/>
  <c r="I71" i="18" s="1"/>
  <c r="J71" i="18" s="1"/>
  <c r="G72" i="18"/>
  <c r="E74" i="18"/>
  <c r="F75" i="18"/>
  <c r="H75" i="18" s="1"/>
  <c r="I75" i="18" s="1"/>
  <c r="J75" i="18" s="1"/>
  <c r="G76" i="18"/>
  <c r="E78" i="18"/>
  <c r="F79" i="18"/>
  <c r="G79" i="18" s="1"/>
  <c r="G80" i="18"/>
  <c r="E82" i="18"/>
  <c r="F83" i="18"/>
  <c r="H83" i="18" s="1"/>
  <c r="I83" i="18" s="1"/>
  <c r="J83" i="18" s="1"/>
  <c r="G84" i="18"/>
  <c r="E86" i="18"/>
  <c r="F87" i="18"/>
  <c r="H87" i="18" s="1"/>
  <c r="I87" i="18" s="1"/>
  <c r="J87" i="18" s="1"/>
  <c r="G88" i="18"/>
  <c r="E90" i="18"/>
  <c r="F91" i="18"/>
  <c r="H91" i="18" s="1"/>
  <c r="I91" i="18" s="1"/>
  <c r="J91" i="18" s="1"/>
  <c r="G92" i="18"/>
  <c r="E94" i="18"/>
  <c r="F95" i="18"/>
  <c r="H95" i="18" s="1"/>
  <c r="I95" i="18" s="1"/>
  <c r="J95" i="18" s="1"/>
  <c r="G96" i="18"/>
  <c r="E98" i="18"/>
  <c r="F99" i="18"/>
  <c r="H99" i="18" s="1"/>
  <c r="I99" i="18" s="1"/>
  <c r="J99" i="18" s="1"/>
  <c r="G100" i="18"/>
  <c r="E102" i="18"/>
  <c r="F103" i="18"/>
  <c r="H103" i="18" s="1"/>
  <c r="I103" i="18" s="1"/>
  <c r="J103" i="18" s="1"/>
  <c r="G104" i="18"/>
  <c r="E106" i="18"/>
  <c r="F107" i="18"/>
  <c r="H107" i="18" s="1"/>
  <c r="I107" i="18" s="1"/>
  <c r="J107" i="18" s="1"/>
  <c r="G108" i="18"/>
  <c r="E110" i="18"/>
  <c r="F111" i="18"/>
  <c r="G111" i="18" s="1"/>
  <c r="G112" i="18"/>
  <c r="E114" i="18"/>
  <c r="F115" i="18"/>
  <c r="H115" i="18" s="1"/>
  <c r="I115" i="18" s="1"/>
  <c r="J115" i="18" s="1"/>
  <c r="G116" i="18"/>
  <c r="F119" i="18"/>
  <c r="H119" i="18" s="1"/>
  <c r="I119" i="18" s="1"/>
  <c r="J119" i="18" s="1"/>
  <c r="G120" i="18"/>
  <c r="E122" i="18"/>
  <c r="F123" i="18"/>
  <c r="H123" i="18" s="1"/>
  <c r="I123" i="18" s="1"/>
  <c r="J123" i="18" s="1"/>
  <c r="G124" i="18"/>
  <c r="E126" i="18"/>
  <c r="F127" i="18"/>
  <c r="H127" i="18" s="1"/>
  <c r="I127" i="18" s="1"/>
  <c r="J127" i="18" s="1"/>
  <c r="G128" i="18"/>
  <c r="E130" i="18"/>
  <c r="F131" i="18"/>
  <c r="H131" i="18" s="1"/>
  <c r="I131" i="18" s="1"/>
  <c r="J131" i="18" s="1"/>
  <c r="G132" i="18"/>
  <c r="E134" i="18"/>
  <c r="F135" i="18"/>
  <c r="H135" i="18" s="1"/>
  <c r="I135" i="18" s="1"/>
  <c r="J135" i="18" s="1"/>
  <c r="G136" i="18"/>
  <c r="E138" i="18"/>
  <c r="F139" i="18"/>
  <c r="G139" i="18" s="1"/>
  <c r="G140" i="18"/>
  <c r="E142" i="18"/>
  <c r="F143" i="18"/>
  <c r="G143" i="18" s="1"/>
  <c r="G144" i="18"/>
  <c r="E146" i="18"/>
  <c r="F147" i="18"/>
  <c r="G147" i="18" s="1"/>
  <c r="G148" i="18"/>
  <c r="E150" i="18"/>
  <c r="F151" i="18"/>
  <c r="H151" i="18" s="1"/>
  <c r="I151" i="18" s="1"/>
  <c r="J151" i="18" s="1"/>
  <c r="G152" i="18"/>
  <c r="E154" i="18"/>
  <c r="F155" i="18"/>
  <c r="G155" i="18" s="1"/>
  <c r="G156" i="18"/>
  <c r="E158" i="18"/>
  <c r="F159" i="18"/>
  <c r="G159" i="18" s="1"/>
  <c r="G160" i="18"/>
  <c r="E162" i="18"/>
  <c r="F163" i="18"/>
  <c r="G163" i="18" s="1"/>
  <c r="G164" i="18"/>
  <c r="E166" i="18"/>
  <c r="F167" i="18"/>
  <c r="H167" i="18" s="1"/>
  <c r="I167" i="18" s="1"/>
  <c r="J167" i="18" s="1"/>
  <c r="G168" i="18"/>
  <c r="E170" i="18"/>
  <c r="F171" i="18"/>
  <c r="G171" i="18" s="1"/>
  <c r="G172" i="18"/>
  <c r="E174" i="18"/>
  <c r="F175" i="18"/>
  <c r="G175" i="18" s="1"/>
  <c r="G176" i="18"/>
  <c r="E178" i="18"/>
  <c r="F179" i="18"/>
  <c r="H179" i="18" s="1"/>
  <c r="I179" i="18" s="1"/>
  <c r="J179" i="18" s="1"/>
  <c r="G180" i="18"/>
  <c r="E182" i="18"/>
  <c r="F183" i="18"/>
  <c r="G183" i="18" s="1"/>
  <c r="G184" i="18"/>
  <c r="E186" i="18"/>
  <c r="F187" i="18"/>
  <c r="H187" i="18" s="1"/>
  <c r="I187" i="18" s="1"/>
  <c r="J187" i="18" s="1"/>
  <c r="G188" i="18"/>
  <c r="E190" i="18"/>
  <c r="F191" i="18"/>
  <c r="H191" i="18" s="1"/>
  <c r="I191" i="18" s="1"/>
  <c r="J191" i="18" s="1"/>
  <c r="G192" i="18"/>
  <c r="E194" i="18"/>
  <c r="F195" i="18"/>
  <c r="H195" i="18" s="1"/>
  <c r="I195" i="18" s="1"/>
  <c r="J195" i="18" s="1"/>
  <c r="G196" i="18"/>
  <c r="E198" i="18"/>
  <c r="F199" i="18"/>
  <c r="G199" i="18" s="1"/>
  <c r="G200" i="18"/>
  <c r="E202" i="18"/>
  <c r="F203" i="18"/>
  <c r="H203" i="18" s="1"/>
  <c r="I203" i="18" s="1"/>
  <c r="J203" i="18" s="1"/>
  <c r="G204" i="18"/>
  <c r="E206" i="18"/>
  <c r="F207" i="18"/>
  <c r="H207" i="18" s="1"/>
  <c r="I207" i="18" s="1"/>
  <c r="J207" i="18" s="1"/>
  <c r="G208" i="18"/>
  <c r="E210" i="18"/>
  <c r="F211" i="18"/>
  <c r="H211" i="18" s="1"/>
  <c r="I211" i="18" s="1"/>
  <c r="J211" i="18" s="1"/>
  <c r="G212" i="18"/>
  <c r="E214" i="18"/>
  <c r="F215" i="18"/>
  <c r="G215" i="18" s="1"/>
  <c r="G217" i="18"/>
  <c r="G221" i="18"/>
  <c r="G225" i="18"/>
  <c r="G229" i="18"/>
  <c r="G233" i="18"/>
  <c r="G237" i="18"/>
  <c r="G241" i="18"/>
  <c r="G245" i="18"/>
  <c r="G249" i="18"/>
  <c r="G253" i="18"/>
  <c r="G257" i="18"/>
  <c r="G265" i="18"/>
  <c r="H265" i="18"/>
  <c r="I265" i="18" s="1"/>
  <c r="J265" i="18" s="1"/>
  <c r="H268" i="18"/>
  <c r="I268" i="18" s="1"/>
  <c r="J268" i="18" s="1"/>
  <c r="G268" i="18"/>
  <c r="E271" i="18"/>
  <c r="F271" i="18"/>
  <c r="E275" i="18"/>
  <c r="F275" i="18"/>
  <c r="E279" i="18"/>
  <c r="F279" i="18"/>
  <c r="E283" i="18"/>
  <c r="F283" i="18"/>
  <c r="E287" i="18"/>
  <c r="F287" i="18"/>
  <c r="E291" i="18"/>
  <c r="F291" i="18"/>
  <c r="E295" i="18"/>
  <c r="F295" i="18"/>
  <c r="E299" i="18"/>
  <c r="F299" i="18"/>
  <c r="G309" i="18"/>
  <c r="H309" i="18"/>
  <c r="I309" i="18" s="1"/>
  <c r="J309" i="18" s="1"/>
  <c r="H312" i="18"/>
  <c r="I312" i="18" s="1"/>
  <c r="J312" i="18" s="1"/>
  <c r="G312" i="18"/>
  <c r="E315" i="18"/>
  <c r="F315" i="18"/>
  <c r="H335" i="18"/>
  <c r="I335" i="18" s="1"/>
  <c r="J335" i="18" s="1"/>
  <c r="G337" i="18"/>
  <c r="H337" i="18"/>
  <c r="I337" i="18" s="1"/>
  <c r="J337" i="18" s="1"/>
  <c r="H351" i="18"/>
  <c r="I351" i="18" s="1"/>
  <c r="J351" i="18" s="1"/>
  <c r="G353" i="18"/>
  <c r="H353" i="18"/>
  <c r="I353" i="18" s="1"/>
  <c r="J353" i="18" s="1"/>
  <c r="H367" i="18"/>
  <c r="I367" i="18" s="1"/>
  <c r="J367" i="18" s="1"/>
  <c r="G369" i="18"/>
  <c r="H369" i="18"/>
  <c r="I369" i="18" s="1"/>
  <c r="J369" i="18" s="1"/>
  <c r="H383" i="18"/>
  <c r="I383" i="18" s="1"/>
  <c r="J383" i="18" s="1"/>
  <c r="G385" i="18"/>
  <c r="H385" i="18"/>
  <c r="I385" i="18" s="1"/>
  <c r="J385" i="18" s="1"/>
  <c r="G417" i="18"/>
  <c r="H417" i="18"/>
  <c r="I417" i="18" s="1"/>
  <c r="J417" i="18" s="1"/>
  <c r="G444" i="18"/>
  <c r="E25" i="18"/>
  <c r="E29" i="18"/>
  <c r="E33" i="18"/>
  <c r="E37" i="18"/>
  <c r="E41" i="18"/>
  <c r="E45" i="18"/>
  <c r="G261" i="18"/>
  <c r="H261" i="18"/>
  <c r="I261" i="18" s="1"/>
  <c r="J261" i="18" s="1"/>
  <c r="H264" i="18"/>
  <c r="I264" i="18" s="1"/>
  <c r="J264" i="18" s="1"/>
  <c r="G264" i="18"/>
  <c r="E267" i="18"/>
  <c r="F267" i="18"/>
  <c r="G305" i="18"/>
  <c r="H305" i="18"/>
  <c r="I305" i="18" s="1"/>
  <c r="J305" i="18" s="1"/>
  <c r="H308" i="18"/>
  <c r="I308" i="18" s="1"/>
  <c r="J308" i="18" s="1"/>
  <c r="G308" i="18"/>
  <c r="E311" i="18"/>
  <c r="F311" i="18"/>
  <c r="G325" i="18"/>
  <c r="H325" i="18"/>
  <c r="I325" i="18" s="1"/>
  <c r="J325" i="18" s="1"/>
  <c r="G333" i="18"/>
  <c r="H333" i="18"/>
  <c r="I333" i="18" s="1"/>
  <c r="J333" i="18" s="1"/>
  <c r="G349" i="18"/>
  <c r="H349" i="18"/>
  <c r="I349" i="18" s="1"/>
  <c r="J349" i="18" s="1"/>
  <c r="G365" i="18"/>
  <c r="H365" i="18"/>
  <c r="I365" i="18" s="1"/>
  <c r="J365" i="18" s="1"/>
  <c r="G381" i="18"/>
  <c r="H381" i="18"/>
  <c r="I381" i="18" s="1"/>
  <c r="J381" i="18" s="1"/>
  <c r="G397" i="18"/>
  <c r="H397" i="18"/>
  <c r="I397" i="18" s="1"/>
  <c r="J397" i="18" s="1"/>
  <c r="G409" i="18"/>
  <c r="H409" i="18"/>
  <c r="I409" i="18" s="1"/>
  <c r="J409" i="18" s="1"/>
  <c r="H421" i="18"/>
  <c r="I421" i="18" s="1"/>
  <c r="J421" i="18" s="1"/>
  <c r="E24" i="18"/>
  <c r="E28" i="18"/>
  <c r="G30" i="18"/>
  <c r="E32" i="18"/>
  <c r="G34" i="18"/>
  <c r="E36" i="18"/>
  <c r="G38" i="18"/>
  <c r="E40" i="18"/>
  <c r="E44" i="18"/>
  <c r="H216" i="18"/>
  <c r="I216" i="18" s="1"/>
  <c r="J216" i="18" s="1"/>
  <c r="G216" i="18"/>
  <c r="F218" i="18"/>
  <c r="E218" i="18"/>
  <c r="H220" i="18"/>
  <c r="I220" i="18" s="1"/>
  <c r="J220" i="18" s="1"/>
  <c r="G220" i="18"/>
  <c r="F222" i="18"/>
  <c r="E222" i="18"/>
  <c r="H224" i="18"/>
  <c r="I224" i="18" s="1"/>
  <c r="J224" i="18" s="1"/>
  <c r="G224" i="18"/>
  <c r="F226" i="18"/>
  <c r="E226" i="18"/>
  <c r="H228" i="18"/>
  <c r="I228" i="18" s="1"/>
  <c r="J228" i="18" s="1"/>
  <c r="G228" i="18"/>
  <c r="F230" i="18"/>
  <c r="E230" i="18"/>
  <c r="H232" i="18"/>
  <c r="I232" i="18" s="1"/>
  <c r="J232" i="18" s="1"/>
  <c r="G232" i="18"/>
  <c r="F234" i="18"/>
  <c r="E234" i="18"/>
  <c r="H236" i="18"/>
  <c r="I236" i="18" s="1"/>
  <c r="J236" i="18" s="1"/>
  <c r="G236" i="18"/>
  <c r="F238" i="18"/>
  <c r="E238" i="18"/>
  <c r="H240" i="18"/>
  <c r="I240" i="18" s="1"/>
  <c r="J240" i="18" s="1"/>
  <c r="G240" i="18"/>
  <c r="F242" i="18"/>
  <c r="E242" i="18"/>
  <c r="H244" i="18"/>
  <c r="I244" i="18" s="1"/>
  <c r="J244" i="18" s="1"/>
  <c r="G244" i="18"/>
  <c r="F246" i="18"/>
  <c r="E246" i="18"/>
  <c r="H248" i="18"/>
  <c r="I248" i="18" s="1"/>
  <c r="J248" i="18" s="1"/>
  <c r="G248" i="18"/>
  <c r="F250" i="18"/>
  <c r="E250" i="18"/>
  <c r="H252" i="18"/>
  <c r="I252" i="18" s="1"/>
  <c r="J252" i="18" s="1"/>
  <c r="G252" i="18"/>
  <c r="F254" i="18"/>
  <c r="E254" i="18"/>
  <c r="H256" i="18"/>
  <c r="I256" i="18" s="1"/>
  <c r="J256" i="18" s="1"/>
  <c r="G256" i="18"/>
  <c r="F258" i="18"/>
  <c r="E258" i="18"/>
  <c r="H260" i="18"/>
  <c r="I260" i="18" s="1"/>
  <c r="J260" i="18" s="1"/>
  <c r="G260" i="18"/>
  <c r="E263" i="18"/>
  <c r="F263" i="18"/>
  <c r="G301" i="18"/>
  <c r="H301" i="18"/>
  <c r="I301" i="18" s="1"/>
  <c r="J301" i="18" s="1"/>
  <c r="H304" i="18"/>
  <c r="I304" i="18" s="1"/>
  <c r="J304" i="18" s="1"/>
  <c r="G304" i="18"/>
  <c r="E307" i="18"/>
  <c r="F307" i="18"/>
  <c r="G317" i="18"/>
  <c r="H317" i="18"/>
  <c r="I317" i="18" s="1"/>
  <c r="J317" i="18" s="1"/>
  <c r="H320" i="18"/>
  <c r="I320" i="18" s="1"/>
  <c r="J320" i="18" s="1"/>
  <c r="G320" i="18"/>
  <c r="H324" i="18"/>
  <c r="I324" i="18" s="1"/>
  <c r="J324" i="18" s="1"/>
  <c r="G324" i="18"/>
  <c r="G329" i="18"/>
  <c r="H329" i="18"/>
  <c r="I329" i="18" s="1"/>
  <c r="J329" i="18" s="1"/>
  <c r="G345" i="18"/>
  <c r="H345" i="18"/>
  <c r="I345" i="18" s="1"/>
  <c r="J345" i="18" s="1"/>
  <c r="G361" i="18"/>
  <c r="H361" i="18"/>
  <c r="I361" i="18" s="1"/>
  <c r="J361" i="18" s="1"/>
  <c r="G377" i="18"/>
  <c r="H377" i="18"/>
  <c r="I377" i="18" s="1"/>
  <c r="J377" i="18" s="1"/>
  <c r="G393" i="18"/>
  <c r="H393" i="18"/>
  <c r="I393" i="18" s="1"/>
  <c r="J393" i="18" s="1"/>
  <c r="G401" i="18"/>
  <c r="H401" i="18"/>
  <c r="I401" i="18" s="1"/>
  <c r="J401" i="18" s="1"/>
  <c r="H438" i="18"/>
  <c r="I438" i="18" s="1"/>
  <c r="J438" i="18" s="1"/>
  <c r="H219" i="18"/>
  <c r="I219" i="18" s="1"/>
  <c r="J219" i="18" s="1"/>
  <c r="H223" i="18"/>
  <c r="I223" i="18" s="1"/>
  <c r="J223" i="18" s="1"/>
  <c r="H227" i="18"/>
  <c r="I227" i="18" s="1"/>
  <c r="J227" i="18" s="1"/>
  <c r="H231" i="18"/>
  <c r="I231" i="18" s="1"/>
  <c r="J231" i="18" s="1"/>
  <c r="H235" i="18"/>
  <c r="I235" i="18" s="1"/>
  <c r="J235" i="18" s="1"/>
  <c r="H239" i="18"/>
  <c r="I239" i="18" s="1"/>
  <c r="J239" i="18" s="1"/>
  <c r="H243" i="18"/>
  <c r="I243" i="18" s="1"/>
  <c r="J243" i="18" s="1"/>
  <c r="H247" i="18"/>
  <c r="I247" i="18" s="1"/>
  <c r="J247" i="18" s="1"/>
  <c r="H251" i="18"/>
  <c r="I251" i="18" s="1"/>
  <c r="J251" i="18" s="1"/>
  <c r="H255" i="18"/>
  <c r="I255" i="18" s="1"/>
  <c r="J255" i="18" s="1"/>
  <c r="H259" i="18"/>
  <c r="I259" i="18" s="1"/>
  <c r="J259" i="18" s="1"/>
  <c r="G269" i="18"/>
  <c r="H269" i="18"/>
  <c r="I269" i="18" s="1"/>
  <c r="J269" i="18" s="1"/>
  <c r="H272" i="18"/>
  <c r="I272" i="18" s="1"/>
  <c r="J272" i="18" s="1"/>
  <c r="G272" i="18"/>
  <c r="H276" i="18"/>
  <c r="I276" i="18" s="1"/>
  <c r="J276" i="18" s="1"/>
  <c r="G276" i="18"/>
  <c r="H280" i="18"/>
  <c r="I280" i="18" s="1"/>
  <c r="J280" i="18" s="1"/>
  <c r="G280" i="18"/>
  <c r="H284" i="18"/>
  <c r="I284" i="18" s="1"/>
  <c r="J284" i="18" s="1"/>
  <c r="G284" i="18"/>
  <c r="H288" i="18"/>
  <c r="I288" i="18" s="1"/>
  <c r="J288" i="18" s="1"/>
  <c r="G288" i="18"/>
  <c r="H292" i="18"/>
  <c r="I292" i="18" s="1"/>
  <c r="J292" i="18" s="1"/>
  <c r="G292" i="18"/>
  <c r="H296" i="18"/>
  <c r="I296" i="18" s="1"/>
  <c r="J296" i="18" s="1"/>
  <c r="G296" i="18"/>
  <c r="H300" i="18"/>
  <c r="I300" i="18" s="1"/>
  <c r="J300" i="18" s="1"/>
  <c r="G300" i="18"/>
  <c r="E303" i="18"/>
  <c r="F303" i="18"/>
  <c r="G313" i="18"/>
  <c r="H313" i="18"/>
  <c r="I313" i="18" s="1"/>
  <c r="J313" i="18" s="1"/>
  <c r="H316" i="18"/>
  <c r="I316" i="18" s="1"/>
  <c r="J316" i="18" s="1"/>
  <c r="G316" i="18"/>
  <c r="E319" i="18"/>
  <c r="F319" i="18"/>
  <c r="E323" i="18"/>
  <c r="F323" i="18"/>
  <c r="H339" i="18"/>
  <c r="I339" i="18" s="1"/>
  <c r="J339" i="18" s="1"/>
  <c r="G341" i="18"/>
  <c r="H341" i="18"/>
  <c r="I341" i="18" s="1"/>
  <c r="J341" i="18" s="1"/>
  <c r="H355" i="18"/>
  <c r="I355" i="18" s="1"/>
  <c r="J355" i="18" s="1"/>
  <c r="G357" i="18"/>
  <c r="H357" i="18"/>
  <c r="I357" i="18" s="1"/>
  <c r="J357" i="18" s="1"/>
  <c r="H371" i="18"/>
  <c r="I371" i="18" s="1"/>
  <c r="J371" i="18" s="1"/>
  <c r="G373" i="18"/>
  <c r="H373" i="18"/>
  <c r="I373" i="18" s="1"/>
  <c r="J373" i="18" s="1"/>
  <c r="H387" i="18"/>
  <c r="I387" i="18" s="1"/>
  <c r="J387" i="18" s="1"/>
  <c r="G389" i="18"/>
  <c r="H389" i="18"/>
  <c r="I389" i="18" s="1"/>
  <c r="J389" i="18" s="1"/>
  <c r="G405" i="18"/>
  <c r="G425" i="18"/>
  <c r="H425" i="18"/>
  <c r="I425" i="18" s="1"/>
  <c r="J425" i="18" s="1"/>
  <c r="G442" i="18"/>
  <c r="H442" i="18"/>
  <c r="I442" i="18" s="1"/>
  <c r="J442" i="18" s="1"/>
  <c r="E262" i="18"/>
  <c r="E266" i="18"/>
  <c r="E270" i="18"/>
  <c r="E274" i="18"/>
  <c r="E278" i="18"/>
  <c r="E282" i="18"/>
  <c r="E286" i="18"/>
  <c r="E290" i="18"/>
  <c r="E294" i="18"/>
  <c r="E298" i="18"/>
  <c r="E302" i="18"/>
  <c r="E306" i="18"/>
  <c r="E310" i="18"/>
  <c r="E314" i="18"/>
  <c r="E318" i="18"/>
  <c r="E322" i="18"/>
  <c r="E326" i="18"/>
  <c r="F327" i="18"/>
  <c r="G327" i="18" s="1"/>
  <c r="G328" i="18"/>
  <c r="E330" i="18"/>
  <c r="F331" i="18"/>
  <c r="H331" i="18" s="1"/>
  <c r="I331" i="18" s="1"/>
  <c r="J331" i="18" s="1"/>
  <c r="G332" i="18"/>
  <c r="E334" i="18"/>
  <c r="F335" i="18"/>
  <c r="G335" i="18" s="1"/>
  <c r="G336" i="18"/>
  <c r="E338" i="18"/>
  <c r="F339" i="18"/>
  <c r="G339" i="18" s="1"/>
  <c r="G340" i="18"/>
  <c r="E342" i="18"/>
  <c r="F343" i="18"/>
  <c r="G343" i="18" s="1"/>
  <c r="G344" i="18"/>
  <c r="E346" i="18"/>
  <c r="F347" i="18"/>
  <c r="H347" i="18" s="1"/>
  <c r="I347" i="18" s="1"/>
  <c r="J347" i="18" s="1"/>
  <c r="G348" i="18"/>
  <c r="E350" i="18"/>
  <c r="F351" i="18"/>
  <c r="G351" i="18" s="1"/>
  <c r="G352" i="18"/>
  <c r="E354" i="18"/>
  <c r="F355" i="18"/>
  <c r="G355" i="18" s="1"/>
  <c r="G356" i="18"/>
  <c r="E358" i="18"/>
  <c r="F359" i="18"/>
  <c r="G359" i="18" s="1"/>
  <c r="G360" i="18"/>
  <c r="E362" i="18"/>
  <c r="F363" i="18"/>
  <c r="H363" i="18" s="1"/>
  <c r="I363" i="18" s="1"/>
  <c r="J363" i="18" s="1"/>
  <c r="G364" i="18"/>
  <c r="E366" i="18"/>
  <c r="F367" i="18"/>
  <c r="G367" i="18" s="1"/>
  <c r="G368" i="18"/>
  <c r="E370" i="18"/>
  <c r="F371" i="18"/>
  <c r="G371" i="18" s="1"/>
  <c r="G372" i="18"/>
  <c r="E374" i="18"/>
  <c r="F375" i="18"/>
  <c r="G375" i="18" s="1"/>
  <c r="G376" i="18"/>
  <c r="E378" i="18"/>
  <c r="F379" i="18"/>
  <c r="H379" i="18" s="1"/>
  <c r="I379" i="18" s="1"/>
  <c r="J379" i="18" s="1"/>
  <c r="G380" i="18"/>
  <c r="E382" i="18"/>
  <c r="F383" i="18"/>
  <c r="G383" i="18" s="1"/>
  <c r="G384" i="18"/>
  <c r="E386" i="18"/>
  <c r="F387" i="18"/>
  <c r="G387" i="18" s="1"/>
  <c r="G388" i="18"/>
  <c r="E390" i="18"/>
  <c r="F391" i="18"/>
  <c r="G391" i="18" s="1"/>
  <c r="G392" i="18"/>
  <c r="E394" i="18"/>
  <c r="F395" i="18"/>
  <c r="H395" i="18" s="1"/>
  <c r="I395" i="18" s="1"/>
  <c r="J395" i="18" s="1"/>
  <c r="G396" i="18"/>
  <c r="E398" i="18"/>
  <c r="E400" i="18"/>
  <c r="H404" i="18"/>
  <c r="I404" i="18" s="1"/>
  <c r="J404" i="18" s="1"/>
  <c r="F405" i="18"/>
  <c r="H405" i="18" s="1"/>
  <c r="I405" i="18" s="1"/>
  <c r="J405" i="18" s="1"/>
  <c r="E408" i="18"/>
  <c r="H412" i="18"/>
  <c r="I412" i="18" s="1"/>
  <c r="J412" i="18" s="1"/>
  <c r="F413" i="18"/>
  <c r="G413" i="18" s="1"/>
  <c r="E416" i="18"/>
  <c r="H420" i="18"/>
  <c r="I420" i="18" s="1"/>
  <c r="J420" i="18" s="1"/>
  <c r="F421" i="18"/>
  <c r="G421" i="18" s="1"/>
  <c r="E424" i="18"/>
  <c r="H427" i="18"/>
  <c r="I427" i="18" s="1"/>
  <c r="J427" i="18" s="1"/>
  <c r="G430" i="18"/>
  <c r="H433" i="18"/>
  <c r="I433" i="18" s="1"/>
  <c r="J433" i="18" s="1"/>
  <c r="F436" i="18"/>
  <c r="G436" i="18" s="1"/>
  <c r="E437" i="18"/>
  <c r="F438" i="18"/>
  <c r="H439" i="18"/>
  <c r="I439" i="18" s="1"/>
  <c r="J439" i="18" s="1"/>
  <c r="G439" i="18"/>
  <c r="E440" i="18"/>
  <c r="F440" i="18"/>
  <c r="E448" i="18"/>
  <c r="F448" i="18"/>
  <c r="G450" i="18"/>
  <c r="H450" i="18"/>
  <c r="I450" i="18" s="1"/>
  <c r="J450" i="18" s="1"/>
  <c r="H452" i="18"/>
  <c r="I452" i="18" s="1"/>
  <c r="J452" i="18" s="1"/>
  <c r="E453" i="18"/>
  <c r="G402" i="18"/>
  <c r="F403" i="18"/>
  <c r="H406" i="18"/>
  <c r="I406" i="18" s="1"/>
  <c r="J406" i="18" s="1"/>
  <c r="G410" i="18"/>
  <c r="F411" i="18"/>
  <c r="H414" i="18"/>
  <c r="I414" i="18" s="1"/>
  <c r="J414" i="18" s="1"/>
  <c r="G418" i="18"/>
  <c r="F419" i="18"/>
  <c r="H422" i="18"/>
  <c r="I422" i="18" s="1"/>
  <c r="J422" i="18" s="1"/>
  <c r="G426" i="18"/>
  <c r="F427" i="18"/>
  <c r="G427" i="18" s="1"/>
  <c r="F428" i="18"/>
  <c r="G428" i="18" s="1"/>
  <c r="E429" i="18"/>
  <c r="H431" i="18"/>
  <c r="I431" i="18" s="1"/>
  <c r="J431" i="18" s="1"/>
  <c r="G431" i="18"/>
  <c r="E432" i="18"/>
  <c r="F432" i="18"/>
  <c r="F446" i="18"/>
  <c r="E446" i="18"/>
  <c r="H447" i="18"/>
  <c r="I447" i="18" s="1"/>
  <c r="J447" i="18" s="1"/>
  <c r="G447" i="18"/>
  <c r="E456" i="18"/>
  <c r="F456" i="18"/>
  <c r="G458" i="18"/>
  <c r="H458" i="18"/>
  <c r="I458" i="18" s="1"/>
  <c r="J458" i="18" s="1"/>
  <c r="H460" i="18"/>
  <c r="I460" i="18" s="1"/>
  <c r="J460" i="18" s="1"/>
  <c r="H461" i="18"/>
  <c r="I461" i="18" s="1"/>
  <c r="J461" i="18" s="1"/>
  <c r="G461" i="18"/>
  <c r="G503" i="18"/>
  <c r="H503" i="18"/>
  <c r="I503" i="18" s="1"/>
  <c r="J503" i="18" s="1"/>
  <c r="G511" i="18"/>
  <c r="H511" i="18"/>
  <c r="I511" i="18" s="1"/>
  <c r="J511" i="18" s="1"/>
  <c r="G519" i="18"/>
  <c r="H519" i="18"/>
  <c r="I519" i="18" s="1"/>
  <c r="J519" i="18" s="1"/>
  <c r="G535" i="18"/>
  <c r="H535" i="18"/>
  <c r="I535" i="18" s="1"/>
  <c r="J535" i="18" s="1"/>
  <c r="G551" i="18"/>
  <c r="H551" i="18"/>
  <c r="I551" i="18" s="1"/>
  <c r="J551" i="18" s="1"/>
  <c r="G434" i="18"/>
  <c r="H434" i="18"/>
  <c r="I434" i="18" s="1"/>
  <c r="J434" i="18" s="1"/>
  <c r="F454" i="18"/>
  <c r="E454" i="18"/>
  <c r="H455" i="18"/>
  <c r="I455" i="18" s="1"/>
  <c r="J455" i="18" s="1"/>
  <c r="G455" i="18"/>
  <c r="E464" i="18"/>
  <c r="F464" i="18"/>
  <c r="H500" i="18"/>
  <c r="I500" i="18" s="1"/>
  <c r="J500" i="18" s="1"/>
  <c r="G500" i="18"/>
  <c r="H508" i="18"/>
  <c r="I508" i="18" s="1"/>
  <c r="J508" i="18" s="1"/>
  <c r="G508" i="18"/>
  <c r="F399" i="18"/>
  <c r="H399" i="18" s="1"/>
  <c r="I399" i="18" s="1"/>
  <c r="J399" i="18" s="1"/>
  <c r="F407" i="18"/>
  <c r="H407" i="18" s="1"/>
  <c r="I407" i="18" s="1"/>
  <c r="J407" i="18" s="1"/>
  <c r="F415" i="18"/>
  <c r="G415" i="18" s="1"/>
  <c r="F423" i="18"/>
  <c r="H423" i="18" s="1"/>
  <c r="I423" i="18" s="1"/>
  <c r="J423" i="18" s="1"/>
  <c r="H436" i="18"/>
  <c r="I436" i="18" s="1"/>
  <c r="J436" i="18" s="1"/>
  <c r="G438" i="18"/>
  <c r="F444" i="18"/>
  <c r="H444" i="18" s="1"/>
  <c r="I444" i="18" s="1"/>
  <c r="J444" i="18" s="1"/>
  <c r="E445" i="18"/>
  <c r="F462" i="18"/>
  <c r="E462" i="18"/>
  <c r="H463" i="18"/>
  <c r="I463" i="18" s="1"/>
  <c r="J463" i="18" s="1"/>
  <c r="G463" i="18"/>
  <c r="G499" i="18"/>
  <c r="H499" i="18"/>
  <c r="I499" i="18" s="1"/>
  <c r="J499" i="18" s="1"/>
  <c r="H502" i="18"/>
  <c r="I502" i="18" s="1"/>
  <c r="J502" i="18" s="1"/>
  <c r="G502" i="18"/>
  <c r="G507" i="18"/>
  <c r="H507" i="18"/>
  <c r="I507" i="18" s="1"/>
  <c r="J507" i="18" s="1"/>
  <c r="H510" i="18"/>
  <c r="I510" i="18" s="1"/>
  <c r="J510" i="18" s="1"/>
  <c r="G510" i="18"/>
  <c r="G527" i="18"/>
  <c r="H527" i="18"/>
  <c r="I527" i="18" s="1"/>
  <c r="J527" i="18" s="1"/>
  <c r="G543" i="18"/>
  <c r="H543" i="18"/>
  <c r="I543" i="18" s="1"/>
  <c r="J543" i="18" s="1"/>
  <c r="H435" i="18"/>
  <c r="I435" i="18" s="1"/>
  <c r="J435" i="18" s="1"/>
  <c r="H443" i="18"/>
  <c r="I443" i="18" s="1"/>
  <c r="J443" i="18" s="1"/>
  <c r="H451" i="18"/>
  <c r="I451" i="18" s="1"/>
  <c r="J451" i="18" s="1"/>
  <c r="H459" i="18"/>
  <c r="I459" i="18" s="1"/>
  <c r="J459" i="18" s="1"/>
  <c r="F498" i="18"/>
  <c r="E498" i="18"/>
  <c r="F506" i="18"/>
  <c r="E506" i="18"/>
  <c r="F514" i="18"/>
  <c r="E514" i="18"/>
  <c r="G518" i="18"/>
  <c r="F522" i="18"/>
  <c r="E522" i="18"/>
  <c r="G526" i="18"/>
  <c r="F530" i="18"/>
  <c r="E530" i="18"/>
  <c r="G534" i="18"/>
  <c r="F538" i="18"/>
  <c r="E538" i="18"/>
  <c r="G542" i="18"/>
  <c r="F546" i="18"/>
  <c r="E546" i="18"/>
  <c r="G550" i="18"/>
  <c r="E554" i="18"/>
  <c r="E573" i="18"/>
  <c r="H575" i="18"/>
  <c r="I575" i="18" s="1"/>
  <c r="J575" i="18" s="1"/>
  <c r="G575" i="18"/>
  <c r="F578" i="18"/>
  <c r="E578" i="18"/>
  <c r="H581" i="18"/>
  <c r="I581" i="18" s="1"/>
  <c r="J581" i="18" s="1"/>
  <c r="E586" i="18"/>
  <c r="E605" i="18"/>
  <c r="H607" i="18"/>
  <c r="I607" i="18" s="1"/>
  <c r="J607" i="18" s="1"/>
  <c r="G607" i="18"/>
  <c r="F610" i="18"/>
  <c r="E610" i="18"/>
  <c r="H613" i="18"/>
  <c r="I613" i="18" s="1"/>
  <c r="J613" i="18" s="1"/>
  <c r="E618" i="18"/>
  <c r="F646" i="18"/>
  <c r="G659" i="18"/>
  <c r="H659" i="18"/>
  <c r="I659" i="18" s="1"/>
  <c r="J659" i="18" s="1"/>
  <c r="H680" i="18"/>
  <c r="I680" i="18" s="1"/>
  <c r="J680" i="18" s="1"/>
  <c r="G680" i="18"/>
  <c r="E689" i="18"/>
  <c r="F689" i="18"/>
  <c r="H467" i="18"/>
  <c r="I467" i="18" s="1"/>
  <c r="J467" i="18" s="1"/>
  <c r="G467" i="18"/>
  <c r="H468" i="18"/>
  <c r="I468" i="18" s="1"/>
  <c r="J468" i="18" s="1"/>
  <c r="F469" i="18"/>
  <c r="E469" i="18"/>
  <c r="H471" i="18"/>
  <c r="I471" i="18" s="1"/>
  <c r="J471" i="18" s="1"/>
  <c r="G471" i="18"/>
  <c r="H472" i="18"/>
  <c r="I472" i="18" s="1"/>
  <c r="J472" i="18" s="1"/>
  <c r="F473" i="18"/>
  <c r="E473" i="18"/>
  <c r="H475" i="18"/>
  <c r="I475" i="18" s="1"/>
  <c r="J475" i="18" s="1"/>
  <c r="G475" i="18"/>
  <c r="H476" i="18"/>
  <c r="I476" i="18" s="1"/>
  <c r="J476" i="18" s="1"/>
  <c r="F477" i="18"/>
  <c r="E477" i="18"/>
  <c r="H479" i="18"/>
  <c r="I479" i="18" s="1"/>
  <c r="J479" i="18" s="1"/>
  <c r="G479" i="18"/>
  <c r="H480" i="18"/>
  <c r="I480" i="18" s="1"/>
  <c r="J480" i="18" s="1"/>
  <c r="F481" i="18"/>
  <c r="E481" i="18"/>
  <c r="H483" i="18"/>
  <c r="I483" i="18" s="1"/>
  <c r="J483" i="18" s="1"/>
  <c r="G483" i="18"/>
  <c r="H484" i="18"/>
  <c r="I484" i="18" s="1"/>
  <c r="J484" i="18" s="1"/>
  <c r="F485" i="18"/>
  <c r="E485" i="18"/>
  <c r="H487" i="18"/>
  <c r="I487" i="18" s="1"/>
  <c r="J487" i="18" s="1"/>
  <c r="G487" i="18"/>
  <c r="H488" i="18"/>
  <c r="I488" i="18" s="1"/>
  <c r="J488" i="18" s="1"/>
  <c r="F489" i="18"/>
  <c r="E489" i="18"/>
  <c r="H491" i="18"/>
  <c r="I491" i="18" s="1"/>
  <c r="J491" i="18" s="1"/>
  <c r="G491" i="18"/>
  <c r="H492" i="18"/>
  <c r="I492" i="18" s="1"/>
  <c r="J492" i="18" s="1"/>
  <c r="F493" i="18"/>
  <c r="E493" i="18"/>
  <c r="H495" i="18"/>
  <c r="I495" i="18" s="1"/>
  <c r="J495" i="18" s="1"/>
  <c r="G495" i="18"/>
  <c r="H497" i="18"/>
  <c r="I497" i="18" s="1"/>
  <c r="J497" i="18" s="1"/>
  <c r="G497" i="18"/>
  <c r="H505" i="18"/>
  <c r="I505" i="18" s="1"/>
  <c r="J505" i="18" s="1"/>
  <c r="G505" i="18"/>
  <c r="H513" i="18"/>
  <c r="I513" i="18" s="1"/>
  <c r="J513" i="18" s="1"/>
  <c r="G513" i="18"/>
  <c r="H515" i="18"/>
  <c r="I515" i="18" s="1"/>
  <c r="J515" i="18" s="1"/>
  <c r="H521" i="18"/>
  <c r="I521" i="18" s="1"/>
  <c r="J521" i="18" s="1"/>
  <c r="G521" i="18"/>
  <c r="H523" i="18"/>
  <c r="I523" i="18" s="1"/>
  <c r="J523" i="18" s="1"/>
  <c r="H529" i="18"/>
  <c r="I529" i="18" s="1"/>
  <c r="J529" i="18" s="1"/>
  <c r="G529" i="18"/>
  <c r="H531" i="18"/>
  <c r="I531" i="18" s="1"/>
  <c r="J531" i="18" s="1"/>
  <c r="H537" i="18"/>
  <c r="I537" i="18" s="1"/>
  <c r="J537" i="18" s="1"/>
  <c r="G537" i="18"/>
  <c r="H539" i="18"/>
  <c r="I539" i="18" s="1"/>
  <c r="J539" i="18" s="1"/>
  <c r="H545" i="18"/>
  <c r="I545" i="18" s="1"/>
  <c r="J545" i="18" s="1"/>
  <c r="G545" i="18"/>
  <c r="H547" i="18"/>
  <c r="I547" i="18" s="1"/>
  <c r="J547" i="18" s="1"/>
  <c r="H553" i="18"/>
  <c r="I553" i="18" s="1"/>
  <c r="J553" i="18" s="1"/>
  <c r="G553" i="18"/>
  <c r="E564" i="18"/>
  <c r="F564" i="18"/>
  <c r="E566" i="18"/>
  <c r="F566" i="18"/>
  <c r="H572" i="18"/>
  <c r="I572" i="18" s="1"/>
  <c r="J572" i="18" s="1"/>
  <c r="G572" i="18"/>
  <c r="G574" i="18"/>
  <c r="H574" i="18"/>
  <c r="I574" i="18" s="1"/>
  <c r="J574" i="18" s="1"/>
  <c r="H583" i="18"/>
  <c r="I583" i="18" s="1"/>
  <c r="J583" i="18" s="1"/>
  <c r="G583" i="18"/>
  <c r="E596" i="18"/>
  <c r="F596" i="18"/>
  <c r="E598" i="18"/>
  <c r="F598" i="18"/>
  <c r="H604" i="18"/>
  <c r="I604" i="18" s="1"/>
  <c r="J604" i="18" s="1"/>
  <c r="G604" i="18"/>
  <c r="G606" i="18"/>
  <c r="H606" i="18"/>
  <c r="I606" i="18" s="1"/>
  <c r="J606" i="18" s="1"/>
  <c r="H615" i="18"/>
  <c r="I615" i="18" s="1"/>
  <c r="J615" i="18" s="1"/>
  <c r="G615" i="18"/>
  <c r="E628" i="18"/>
  <c r="F628" i="18"/>
  <c r="E630" i="18"/>
  <c r="F630" i="18"/>
  <c r="E640" i="18"/>
  <c r="F640" i="18"/>
  <c r="G651" i="18"/>
  <c r="H651" i="18"/>
  <c r="I651" i="18" s="1"/>
  <c r="J651" i="18" s="1"/>
  <c r="H585" i="18"/>
  <c r="I585" i="18" s="1"/>
  <c r="J585" i="18" s="1"/>
  <c r="G585" i="18"/>
  <c r="H617" i="18"/>
  <c r="I617" i="18" s="1"/>
  <c r="J617" i="18" s="1"/>
  <c r="G617" i="18"/>
  <c r="E634" i="18"/>
  <c r="F634" i="18"/>
  <c r="E636" i="18"/>
  <c r="F636" i="18"/>
  <c r="G667" i="18"/>
  <c r="H667" i="18"/>
  <c r="I667" i="18" s="1"/>
  <c r="J667" i="18" s="1"/>
  <c r="H516" i="18"/>
  <c r="I516" i="18" s="1"/>
  <c r="J516" i="18" s="1"/>
  <c r="G516" i="18"/>
  <c r="H524" i="18"/>
  <c r="I524" i="18" s="1"/>
  <c r="J524" i="18" s="1"/>
  <c r="G524" i="18"/>
  <c r="H532" i="18"/>
  <c r="I532" i="18" s="1"/>
  <c r="J532" i="18" s="1"/>
  <c r="G532" i="18"/>
  <c r="H540" i="18"/>
  <c r="I540" i="18" s="1"/>
  <c r="J540" i="18" s="1"/>
  <c r="G540" i="18"/>
  <c r="H548" i="18"/>
  <c r="I548" i="18" s="1"/>
  <c r="J548" i="18" s="1"/>
  <c r="G548" i="18"/>
  <c r="G562" i="18"/>
  <c r="H562" i="18"/>
  <c r="I562" i="18" s="1"/>
  <c r="J562" i="18" s="1"/>
  <c r="F565" i="18"/>
  <c r="E565" i="18"/>
  <c r="G570" i="18"/>
  <c r="H570" i="18"/>
  <c r="I570" i="18" s="1"/>
  <c r="J570" i="18" s="1"/>
  <c r="E576" i="18"/>
  <c r="F576" i="18"/>
  <c r="E584" i="18"/>
  <c r="F584" i="18"/>
  <c r="G594" i="18"/>
  <c r="H594" i="18"/>
  <c r="I594" i="18" s="1"/>
  <c r="J594" i="18" s="1"/>
  <c r="F597" i="18"/>
  <c r="E597" i="18"/>
  <c r="G602" i="18"/>
  <c r="H602" i="18"/>
  <c r="I602" i="18" s="1"/>
  <c r="J602" i="18" s="1"/>
  <c r="E608" i="18"/>
  <c r="F608" i="18"/>
  <c r="E616" i="18"/>
  <c r="F616" i="18"/>
  <c r="G626" i="18"/>
  <c r="H626" i="18"/>
  <c r="I626" i="18" s="1"/>
  <c r="J626" i="18" s="1"/>
  <c r="F629" i="18"/>
  <c r="E629" i="18"/>
  <c r="G641" i="18"/>
  <c r="H641" i="18"/>
  <c r="I641" i="18" s="1"/>
  <c r="J641" i="18" s="1"/>
  <c r="G646" i="18"/>
  <c r="H646" i="18"/>
  <c r="I646" i="18" s="1"/>
  <c r="J646" i="18" s="1"/>
  <c r="H706" i="18"/>
  <c r="I706" i="18" s="1"/>
  <c r="J706" i="18" s="1"/>
  <c r="G706" i="18"/>
  <c r="H724" i="18"/>
  <c r="I724" i="18" s="1"/>
  <c r="J724" i="18" s="1"/>
  <c r="G724" i="18"/>
  <c r="F731" i="18"/>
  <c r="E731" i="18"/>
  <c r="F811" i="18"/>
  <c r="E811" i="18"/>
  <c r="H556" i="18"/>
  <c r="I556" i="18" s="1"/>
  <c r="J556" i="18" s="1"/>
  <c r="H567" i="18"/>
  <c r="I567" i="18" s="1"/>
  <c r="J567" i="18" s="1"/>
  <c r="G567" i="18"/>
  <c r="E568" i="18"/>
  <c r="F568" i="18"/>
  <c r="H599" i="18"/>
  <c r="I599" i="18" s="1"/>
  <c r="J599" i="18" s="1"/>
  <c r="G599" i="18"/>
  <c r="E600" i="18"/>
  <c r="F600" i="18"/>
  <c r="G622" i="18"/>
  <c r="H631" i="18"/>
  <c r="I631" i="18" s="1"/>
  <c r="J631" i="18" s="1"/>
  <c r="G631" i="18"/>
  <c r="E632" i="18"/>
  <c r="F632" i="18"/>
  <c r="E644" i="18"/>
  <c r="F644" i="18"/>
  <c r="F739" i="18"/>
  <c r="E739" i="18"/>
  <c r="H828" i="18"/>
  <c r="I828" i="18" s="1"/>
  <c r="J828" i="18" s="1"/>
  <c r="G828" i="18"/>
  <c r="F930" i="18"/>
  <c r="E930" i="18"/>
  <c r="H496" i="18"/>
  <c r="I496" i="18" s="1"/>
  <c r="J496" i="18" s="1"/>
  <c r="F501" i="18"/>
  <c r="H504" i="18"/>
  <c r="I504" i="18" s="1"/>
  <c r="J504" i="18" s="1"/>
  <c r="F509" i="18"/>
  <c r="H512" i="18"/>
  <c r="I512" i="18" s="1"/>
  <c r="J512" i="18" s="1"/>
  <c r="F517" i="18"/>
  <c r="H520" i="18"/>
  <c r="I520" i="18" s="1"/>
  <c r="J520" i="18" s="1"/>
  <c r="F525" i="18"/>
  <c r="H528" i="18"/>
  <c r="I528" i="18" s="1"/>
  <c r="J528" i="18" s="1"/>
  <c r="F533" i="18"/>
  <c r="H536" i="18"/>
  <c r="I536" i="18" s="1"/>
  <c r="J536" i="18" s="1"/>
  <c r="F541" i="18"/>
  <c r="H544" i="18"/>
  <c r="I544" i="18" s="1"/>
  <c r="J544" i="18" s="1"/>
  <c r="F549" i="18"/>
  <c r="H552" i="18"/>
  <c r="I552" i="18" s="1"/>
  <c r="J552" i="18" s="1"/>
  <c r="F556" i="18"/>
  <c r="G556" i="18" s="1"/>
  <c r="E557" i="18"/>
  <c r="F558" i="18"/>
  <c r="H558" i="18" s="1"/>
  <c r="I558" i="18" s="1"/>
  <c r="J558" i="18" s="1"/>
  <c r="H559" i="18"/>
  <c r="I559" i="18" s="1"/>
  <c r="J559" i="18" s="1"/>
  <c r="G559" i="18"/>
  <c r="E560" i="18"/>
  <c r="F560" i="18"/>
  <c r="H580" i="18"/>
  <c r="I580" i="18" s="1"/>
  <c r="J580" i="18" s="1"/>
  <c r="G582" i="18"/>
  <c r="F588" i="18"/>
  <c r="G588" i="18" s="1"/>
  <c r="E589" i="18"/>
  <c r="F590" i="18"/>
  <c r="H590" i="18" s="1"/>
  <c r="I590" i="18" s="1"/>
  <c r="J590" i="18" s="1"/>
  <c r="H591" i="18"/>
  <c r="I591" i="18" s="1"/>
  <c r="J591" i="18" s="1"/>
  <c r="G591" i="18"/>
  <c r="E592" i="18"/>
  <c r="F592" i="18"/>
  <c r="H612" i="18"/>
  <c r="I612" i="18" s="1"/>
  <c r="J612" i="18" s="1"/>
  <c r="G614" i="18"/>
  <c r="F620" i="18"/>
  <c r="G620" i="18" s="1"/>
  <c r="E621" i="18"/>
  <c r="F622" i="18"/>
  <c r="H622" i="18" s="1"/>
  <c r="I622" i="18" s="1"/>
  <c r="J622" i="18" s="1"/>
  <c r="H623" i="18"/>
  <c r="I623" i="18" s="1"/>
  <c r="J623" i="18" s="1"/>
  <c r="G623" i="18"/>
  <c r="E624" i="18"/>
  <c r="F624" i="18"/>
  <c r="F638" i="18"/>
  <c r="G638" i="18" s="1"/>
  <c r="G642" i="18"/>
  <c r="H642" i="18"/>
  <c r="I642" i="18" s="1"/>
  <c r="J642" i="18" s="1"/>
  <c r="H645" i="18"/>
  <c r="I645" i="18" s="1"/>
  <c r="J645" i="18" s="1"/>
  <c r="E648" i="18"/>
  <c r="F648" i="18"/>
  <c r="H658" i="18"/>
  <c r="I658" i="18" s="1"/>
  <c r="J658" i="18" s="1"/>
  <c r="G658" i="18"/>
  <c r="E669" i="18"/>
  <c r="F669" i="18"/>
  <c r="E679" i="18"/>
  <c r="F679" i="18"/>
  <c r="E681" i="18"/>
  <c r="F681" i="18"/>
  <c r="G690" i="18"/>
  <c r="H690" i="18"/>
  <c r="I690" i="18" s="1"/>
  <c r="J690" i="18" s="1"/>
  <c r="E701" i="18"/>
  <c r="F701" i="18"/>
  <c r="G795" i="18"/>
  <c r="H795" i="18"/>
  <c r="I795" i="18" s="1"/>
  <c r="J795" i="18" s="1"/>
  <c r="F802" i="18"/>
  <c r="E802" i="18"/>
  <c r="G694" i="18"/>
  <c r="H694" i="18"/>
  <c r="I694" i="18" s="1"/>
  <c r="J694" i="18" s="1"/>
  <c r="H696" i="18"/>
  <c r="I696" i="18" s="1"/>
  <c r="J696" i="18" s="1"/>
  <c r="G696" i="18"/>
  <c r="H712" i="18"/>
  <c r="I712" i="18" s="1"/>
  <c r="J712" i="18" s="1"/>
  <c r="G712" i="18"/>
  <c r="G737" i="18"/>
  <c r="H737" i="18"/>
  <c r="I737" i="18" s="1"/>
  <c r="J737" i="18" s="1"/>
  <c r="E757" i="18"/>
  <c r="F757" i="18"/>
  <c r="F771" i="18"/>
  <c r="E771" i="18"/>
  <c r="F798" i="18"/>
  <c r="E798" i="18"/>
  <c r="H833" i="18"/>
  <c r="I833" i="18" s="1"/>
  <c r="J833" i="18" s="1"/>
  <c r="G833" i="18"/>
  <c r="F957" i="18"/>
  <c r="E957" i="18"/>
  <c r="H964" i="18"/>
  <c r="I964" i="18" s="1"/>
  <c r="J964" i="18" s="1"/>
  <c r="G964" i="18"/>
  <c r="H971" i="18"/>
  <c r="I971" i="18" s="1"/>
  <c r="J971" i="18" s="1"/>
  <c r="G971" i="18"/>
  <c r="H639" i="18"/>
  <c r="I639" i="18" s="1"/>
  <c r="J639" i="18" s="1"/>
  <c r="H647" i="18"/>
  <c r="I647" i="18" s="1"/>
  <c r="J647" i="18" s="1"/>
  <c r="E665" i="18"/>
  <c r="F665" i="18"/>
  <c r="H688" i="18"/>
  <c r="I688" i="18" s="1"/>
  <c r="J688" i="18" s="1"/>
  <c r="G688" i="18"/>
  <c r="H700" i="18"/>
  <c r="I700" i="18" s="1"/>
  <c r="J700" i="18" s="1"/>
  <c r="G700" i="18"/>
  <c r="G711" i="18"/>
  <c r="H711" i="18"/>
  <c r="I711" i="18" s="1"/>
  <c r="J711" i="18" s="1"/>
  <c r="F715" i="18"/>
  <c r="E715" i="18"/>
  <c r="H716" i="18"/>
  <c r="I716" i="18" s="1"/>
  <c r="J716" i="18" s="1"/>
  <c r="G716" i="18"/>
  <c r="H752" i="18"/>
  <c r="I752" i="18" s="1"/>
  <c r="J752" i="18" s="1"/>
  <c r="G752" i="18"/>
  <c r="G759" i="18"/>
  <c r="H759" i="18"/>
  <c r="I759" i="18" s="1"/>
  <c r="J759" i="18" s="1"/>
  <c r="H762" i="18"/>
  <c r="I762" i="18" s="1"/>
  <c r="J762" i="18" s="1"/>
  <c r="G762" i="18"/>
  <c r="F830" i="18"/>
  <c r="E830" i="18"/>
  <c r="F834" i="18"/>
  <c r="E834" i="18"/>
  <c r="F661" i="18"/>
  <c r="H661" i="18" s="1"/>
  <c r="I661" i="18" s="1"/>
  <c r="J661" i="18" s="1"/>
  <c r="E662" i="18"/>
  <c r="F663" i="18"/>
  <c r="H663" i="18" s="1"/>
  <c r="I663" i="18" s="1"/>
  <c r="J663" i="18" s="1"/>
  <c r="H664" i="18"/>
  <c r="I664" i="18" s="1"/>
  <c r="J664" i="18" s="1"/>
  <c r="G664" i="18"/>
  <c r="G666" i="18"/>
  <c r="E671" i="18"/>
  <c r="F671" i="18"/>
  <c r="G677" i="18"/>
  <c r="E678" i="18"/>
  <c r="F687" i="18"/>
  <c r="G687" i="18" s="1"/>
  <c r="E699" i="18"/>
  <c r="F702" i="18"/>
  <c r="E702" i="18"/>
  <c r="H704" i="18"/>
  <c r="I704" i="18" s="1"/>
  <c r="J704" i="18" s="1"/>
  <c r="G704" i="18"/>
  <c r="G705" i="18"/>
  <c r="H705" i="18"/>
  <c r="I705" i="18" s="1"/>
  <c r="J705" i="18" s="1"/>
  <c r="H723" i="18"/>
  <c r="I723" i="18" s="1"/>
  <c r="J723" i="18" s="1"/>
  <c r="H725" i="18"/>
  <c r="I725" i="18" s="1"/>
  <c r="J725" i="18" s="1"/>
  <c r="F738" i="18"/>
  <c r="E738" i="18"/>
  <c r="F747" i="18"/>
  <c r="E747" i="18"/>
  <c r="H764" i="18"/>
  <c r="I764" i="18" s="1"/>
  <c r="J764" i="18" s="1"/>
  <c r="G764" i="18"/>
  <c r="H769" i="18"/>
  <c r="I769" i="18" s="1"/>
  <c r="J769" i="18" s="1"/>
  <c r="G769" i="18"/>
  <c r="H776" i="18"/>
  <c r="I776" i="18" s="1"/>
  <c r="J776" i="18" s="1"/>
  <c r="G776" i="18"/>
  <c r="H784" i="18"/>
  <c r="I784" i="18" s="1"/>
  <c r="J784" i="18" s="1"/>
  <c r="G784" i="18"/>
  <c r="F789" i="18"/>
  <c r="H789" i="18" s="1"/>
  <c r="I789" i="18" s="1"/>
  <c r="J789" i="18" s="1"/>
  <c r="G791" i="18"/>
  <c r="H791" i="18"/>
  <c r="I791" i="18" s="1"/>
  <c r="J791" i="18" s="1"/>
  <c r="H794" i="18"/>
  <c r="I794" i="18" s="1"/>
  <c r="J794" i="18" s="1"/>
  <c r="G794" i="18"/>
  <c r="E803" i="18"/>
  <c r="H827" i="18"/>
  <c r="I827" i="18" s="1"/>
  <c r="J827" i="18" s="1"/>
  <c r="F845" i="18"/>
  <c r="E845" i="18"/>
  <c r="H847" i="18"/>
  <c r="I847" i="18" s="1"/>
  <c r="J847" i="18" s="1"/>
  <c r="G847" i="18"/>
  <c r="F861" i="18"/>
  <c r="E861" i="18"/>
  <c r="H863" i="18"/>
  <c r="I863" i="18" s="1"/>
  <c r="J863" i="18" s="1"/>
  <c r="G863" i="18"/>
  <c r="F877" i="18"/>
  <c r="E877" i="18"/>
  <c r="H879" i="18"/>
  <c r="I879" i="18" s="1"/>
  <c r="J879" i="18" s="1"/>
  <c r="G879" i="18"/>
  <c r="F893" i="18"/>
  <c r="E893" i="18"/>
  <c r="H895" i="18"/>
  <c r="I895" i="18" s="1"/>
  <c r="J895" i="18" s="1"/>
  <c r="G895" i="18"/>
  <c r="F909" i="18"/>
  <c r="E909" i="18"/>
  <c r="H911" i="18"/>
  <c r="I911" i="18" s="1"/>
  <c r="J911" i="18" s="1"/>
  <c r="G911" i="18"/>
  <c r="H988" i="18"/>
  <c r="I988" i="18" s="1"/>
  <c r="J988" i="18" s="1"/>
  <c r="G988" i="18"/>
  <c r="H555" i="18"/>
  <c r="I555" i="18" s="1"/>
  <c r="J555" i="18" s="1"/>
  <c r="H563" i="18"/>
  <c r="I563" i="18" s="1"/>
  <c r="J563" i="18" s="1"/>
  <c r="H571" i="18"/>
  <c r="I571" i="18" s="1"/>
  <c r="J571" i="18" s="1"/>
  <c r="H579" i="18"/>
  <c r="I579" i="18" s="1"/>
  <c r="J579" i="18" s="1"/>
  <c r="H587" i="18"/>
  <c r="I587" i="18" s="1"/>
  <c r="J587" i="18" s="1"/>
  <c r="H595" i="18"/>
  <c r="I595" i="18" s="1"/>
  <c r="J595" i="18" s="1"/>
  <c r="H603" i="18"/>
  <c r="I603" i="18" s="1"/>
  <c r="J603" i="18" s="1"/>
  <c r="H611" i="18"/>
  <c r="I611" i="18" s="1"/>
  <c r="J611" i="18" s="1"/>
  <c r="H619" i="18"/>
  <c r="I619" i="18" s="1"/>
  <c r="J619" i="18" s="1"/>
  <c r="H627" i="18"/>
  <c r="I627" i="18" s="1"/>
  <c r="J627" i="18" s="1"/>
  <c r="H635" i="18"/>
  <c r="I635" i="18" s="1"/>
  <c r="J635" i="18" s="1"/>
  <c r="G639" i="18"/>
  <c r="H643" i="18"/>
  <c r="I643" i="18" s="1"/>
  <c r="J643" i="18" s="1"/>
  <c r="G647" i="18"/>
  <c r="F653" i="18"/>
  <c r="G653" i="18" s="1"/>
  <c r="E654" i="18"/>
  <c r="F655" i="18"/>
  <c r="H655" i="18" s="1"/>
  <c r="I655" i="18" s="1"/>
  <c r="J655" i="18" s="1"/>
  <c r="H656" i="18"/>
  <c r="I656" i="18" s="1"/>
  <c r="J656" i="18" s="1"/>
  <c r="G656" i="18"/>
  <c r="E657" i="18"/>
  <c r="F657" i="18"/>
  <c r="G661" i="18"/>
  <c r="F670" i="18"/>
  <c r="E670" i="18"/>
  <c r="G675" i="18"/>
  <c r="H675" i="18"/>
  <c r="I675" i="18" s="1"/>
  <c r="J675" i="18" s="1"/>
  <c r="F677" i="18"/>
  <c r="H677" i="18" s="1"/>
  <c r="I677" i="18" s="1"/>
  <c r="J677" i="18" s="1"/>
  <c r="G683" i="18"/>
  <c r="H683" i="18"/>
  <c r="I683" i="18" s="1"/>
  <c r="J683" i="18" s="1"/>
  <c r="H685" i="18"/>
  <c r="I685" i="18" s="1"/>
  <c r="J685" i="18" s="1"/>
  <c r="E686" i="18"/>
  <c r="H687" i="18"/>
  <c r="I687" i="18" s="1"/>
  <c r="J687" i="18" s="1"/>
  <c r="E691" i="18"/>
  <c r="E697" i="18"/>
  <c r="F697" i="18"/>
  <c r="G707" i="18"/>
  <c r="H707" i="18"/>
  <c r="I707" i="18" s="1"/>
  <c r="J707" i="18" s="1"/>
  <c r="F714" i="18"/>
  <c r="E714" i="18"/>
  <c r="G717" i="18"/>
  <c r="G722" i="18"/>
  <c r="F725" i="18"/>
  <c r="G725" i="18" s="1"/>
  <c r="G730" i="18"/>
  <c r="F734" i="18"/>
  <c r="E734" i="18"/>
  <c r="F766" i="18"/>
  <c r="E766" i="18"/>
  <c r="F770" i="18"/>
  <c r="E770" i="18"/>
  <c r="F779" i="18"/>
  <c r="E779" i="18"/>
  <c r="H796" i="18"/>
  <c r="I796" i="18" s="1"/>
  <c r="J796" i="18" s="1"/>
  <c r="G796" i="18"/>
  <c r="H801" i="18"/>
  <c r="I801" i="18" s="1"/>
  <c r="J801" i="18" s="1"/>
  <c r="G801" i="18"/>
  <c r="H808" i="18"/>
  <c r="I808" i="18" s="1"/>
  <c r="J808" i="18" s="1"/>
  <c r="G808" i="18"/>
  <c r="H816" i="18"/>
  <c r="I816" i="18" s="1"/>
  <c r="J816" i="18" s="1"/>
  <c r="G816" i="18"/>
  <c r="F821" i="18"/>
  <c r="G821" i="18" s="1"/>
  <c r="G823" i="18"/>
  <c r="H823" i="18"/>
  <c r="I823" i="18" s="1"/>
  <c r="J823" i="18" s="1"/>
  <c r="H826" i="18"/>
  <c r="I826" i="18" s="1"/>
  <c r="J826" i="18" s="1"/>
  <c r="G826" i="18"/>
  <c r="E835" i="18"/>
  <c r="G838" i="18"/>
  <c r="H838" i="18"/>
  <c r="I838" i="18" s="1"/>
  <c r="J838" i="18" s="1"/>
  <c r="H840" i="18"/>
  <c r="I840" i="18" s="1"/>
  <c r="J840" i="18" s="1"/>
  <c r="G840" i="18"/>
  <c r="G854" i="18"/>
  <c r="H854" i="18"/>
  <c r="I854" i="18" s="1"/>
  <c r="J854" i="18" s="1"/>
  <c r="H856" i="18"/>
  <c r="I856" i="18" s="1"/>
  <c r="J856" i="18" s="1"/>
  <c r="G856" i="18"/>
  <c r="G870" i="18"/>
  <c r="H870" i="18"/>
  <c r="I870" i="18" s="1"/>
  <c r="J870" i="18" s="1"/>
  <c r="H872" i="18"/>
  <c r="I872" i="18" s="1"/>
  <c r="J872" i="18" s="1"/>
  <c r="G872" i="18"/>
  <c r="G886" i="18"/>
  <c r="H886" i="18"/>
  <c r="I886" i="18" s="1"/>
  <c r="J886" i="18" s="1"/>
  <c r="H888" i="18"/>
  <c r="I888" i="18" s="1"/>
  <c r="J888" i="18" s="1"/>
  <c r="G888" i="18"/>
  <c r="G902" i="18"/>
  <c r="H902" i="18"/>
  <c r="I902" i="18" s="1"/>
  <c r="J902" i="18" s="1"/>
  <c r="H904" i="18"/>
  <c r="I904" i="18" s="1"/>
  <c r="J904" i="18" s="1"/>
  <c r="G904" i="18"/>
  <c r="F933" i="18"/>
  <c r="E933" i="18"/>
  <c r="E940" i="18"/>
  <c r="F940" i="18"/>
  <c r="H976" i="18"/>
  <c r="I976" i="18" s="1"/>
  <c r="J976" i="18" s="1"/>
  <c r="G976" i="18"/>
  <c r="H672" i="18"/>
  <c r="I672" i="18" s="1"/>
  <c r="J672" i="18" s="1"/>
  <c r="G672" i="18"/>
  <c r="E673" i="18"/>
  <c r="F673" i="18"/>
  <c r="H693" i="18"/>
  <c r="I693" i="18" s="1"/>
  <c r="J693" i="18" s="1"/>
  <c r="G695" i="18"/>
  <c r="F718" i="18"/>
  <c r="E718" i="18"/>
  <c r="G719" i="18"/>
  <c r="H719" i="18"/>
  <c r="I719" i="18" s="1"/>
  <c r="J719" i="18" s="1"/>
  <c r="F726" i="18"/>
  <c r="E726" i="18"/>
  <c r="E733" i="18"/>
  <c r="F733" i="18"/>
  <c r="G743" i="18"/>
  <c r="H744" i="18"/>
  <c r="I744" i="18" s="1"/>
  <c r="J744" i="18" s="1"/>
  <c r="G744" i="18"/>
  <c r="F746" i="18"/>
  <c r="E746" i="18"/>
  <c r="G751" i="18"/>
  <c r="H751" i="18"/>
  <c r="I751" i="18" s="1"/>
  <c r="J751" i="18" s="1"/>
  <c r="H756" i="18"/>
  <c r="I756" i="18" s="1"/>
  <c r="J756" i="18" s="1"/>
  <c r="G756" i="18"/>
  <c r="F758" i="18"/>
  <c r="E758" i="18"/>
  <c r="E765" i="18"/>
  <c r="F765" i="18"/>
  <c r="F778" i="18"/>
  <c r="E778" i="18"/>
  <c r="G783" i="18"/>
  <c r="H783" i="18"/>
  <c r="I783" i="18" s="1"/>
  <c r="J783" i="18" s="1"/>
  <c r="H788" i="18"/>
  <c r="I788" i="18" s="1"/>
  <c r="J788" i="18" s="1"/>
  <c r="G788" i="18"/>
  <c r="F790" i="18"/>
  <c r="E790" i="18"/>
  <c r="E797" i="18"/>
  <c r="F797" i="18"/>
  <c r="F810" i="18"/>
  <c r="E810" i="18"/>
  <c r="G815" i="18"/>
  <c r="H815" i="18"/>
  <c r="I815" i="18" s="1"/>
  <c r="J815" i="18" s="1"/>
  <c r="H820" i="18"/>
  <c r="I820" i="18" s="1"/>
  <c r="J820" i="18" s="1"/>
  <c r="G820" i="18"/>
  <c r="F822" i="18"/>
  <c r="E822" i="18"/>
  <c r="E829" i="18"/>
  <c r="F829" i="18"/>
  <c r="E837" i="18"/>
  <c r="F837" i="18"/>
  <c r="F961" i="18"/>
  <c r="E961" i="18"/>
  <c r="H968" i="18"/>
  <c r="I968" i="18" s="1"/>
  <c r="J968" i="18" s="1"/>
  <c r="G968" i="18"/>
  <c r="G974" i="18"/>
  <c r="H974" i="18"/>
  <c r="I974" i="18" s="1"/>
  <c r="J974" i="18" s="1"/>
  <c r="F978" i="18"/>
  <c r="E978" i="18"/>
  <c r="F986" i="18"/>
  <c r="E986" i="18"/>
  <c r="H652" i="18"/>
  <c r="I652" i="18" s="1"/>
  <c r="J652" i="18" s="1"/>
  <c r="H660" i="18"/>
  <c r="I660" i="18" s="1"/>
  <c r="J660" i="18" s="1"/>
  <c r="H668" i="18"/>
  <c r="I668" i="18" s="1"/>
  <c r="J668" i="18" s="1"/>
  <c r="H676" i="18"/>
  <c r="I676" i="18" s="1"/>
  <c r="J676" i="18" s="1"/>
  <c r="H684" i="18"/>
  <c r="I684" i="18" s="1"/>
  <c r="J684" i="18" s="1"/>
  <c r="H692" i="18"/>
  <c r="I692" i="18" s="1"/>
  <c r="J692" i="18" s="1"/>
  <c r="G703" i="18"/>
  <c r="H708" i="18"/>
  <c r="I708" i="18" s="1"/>
  <c r="J708" i="18" s="1"/>
  <c r="G709" i="18"/>
  <c r="F710" i="18"/>
  <c r="E710" i="18"/>
  <c r="G735" i="18"/>
  <c r="H740" i="18"/>
  <c r="I740" i="18" s="1"/>
  <c r="J740" i="18" s="1"/>
  <c r="G741" i="18"/>
  <c r="F742" i="18"/>
  <c r="E742" i="18"/>
  <c r="G767" i="18"/>
  <c r="H772" i="18"/>
  <c r="I772" i="18" s="1"/>
  <c r="J772" i="18" s="1"/>
  <c r="G773" i="18"/>
  <c r="F774" i="18"/>
  <c r="E774" i="18"/>
  <c r="G799" i="18"/>
  <c r="H804" i="18"/>
  <c r="I804" i="18" s="1"/>
  <c r="J804" i="18" s="1"/>
  <c r="G805" i="18"/>
  <c r="F806" i="18"/>
  <c r="E806" i="18"/>
  <c r="G831" i="18"/>
  <c r="H836" i="18"/>
  <c r="I836" i="18" s="1"/>
  <c r="J836" i="18" s="1"/>
  <c r="H839" i="18"/>
  <c r="I839" i="18" s="1"/>
  <c r="J839" i="18" s="1"/>
  <c r="G839" i="18"/>
  <c r="G846" i="18"/>
  <c r="H846" i="18"/>
  <c r="I846" i="18" s="1"/>
  <c r="J846" i="18" s="1"/>
  <c r="H848" i="18"/>
  <c r="I848" i="18" s="1"/>
  <c r="J848" i="18" s="1"/>
  <c r="G848" i="18"/>
  <c r="F853" i="18"/>
  <c r="E853" i="18"/>
  <c r="H855" i="18"/>
  <c r="I855" i="18" s="1"/>
  <c r="J855" i="18" s="1"/>
  <c r="G855" i="18"/>
  <c r="G862" i="18"/>
  <c r="H862" i="18"/>
  <c r="I862" i="18" s="1"/>
  <c r="J862" i="18" s="1"/>
  <c r="H864" i="18"/>
  <c r="I864" i="18" s="1"/>
  <c r="J864" i="18" s="1"/>
  <c r="G864" i="18"/>
  <c r="F869" i="18"/>
  <c r="E869" i="18"/>
  <c r="H871" i="18"/>
  <c r="I871" i="18" s="1"/>
  <c r="J871" i="18" s="1"/>
  <c r="G871" i="18"/>
  <c r="G878" i="18"/>
  <c r="H878" i="18"/>
  <c r="I878" i="18" s="1"/>
  <c r="J878" i="18" s="1"/>
  <c r="H880" i="18"/>
  <c r="I880" i="18" s="1"/>
  <c r="J880" i="18" s="1"/>
  <c r="G880" i="18"/>
  <c r="F885" i="18"/>
  <c r="E885" i="18"/>
  <c r="H887" i="18"/>
  <c r="I887" i="18" s="1"/>
  <c r="J887" i="18" s="1"/>
  <c r="G887" i="18"/>
  <c r="G894" i="18"/>
  <c r="H894" i="18"/>
  <c r="I894" i="18" s="1"/>
  <c r="J894" i="18" s="1"/>
  <c r="H896" i="18"/>
  <c r="I896" i="18" s="1"/>
  <c r="J896" i="18" s="1"/>
  <c r="G896" i="18"/>
  <c r="F901" i="18"/>
  <c r="E901" i="18"/>
  <c r="H903" i="18"/>
  <c r="I903" i="18" s="1"/>
  <c r="J903" i="18" s="1"/>
  <c r="G903" i="18"/>
  <c r="G910" i="18"/>
  <c r="H910" i="18"/>
  <c r="I910" i="18" s="1"/>
  <c r="J910" i="18" s="1"/>
  <c r="H912" i="18"/>
  <c r="I912" i="18" s="1"/>
  <c r="J912" i="18" s="1"/>
  <c r="G912" i="18"/>
  <c r="F917" i="18"/>
  <c r="E917" i="18"/>
  <c r="F953" i="18"/>
  <c r="E953" i="18"/>
  <c r="H748" i="18"/>
  <c r="I748" i="18" s="1"/>
  <c r="J748" i="18" s="1"/>
  <c r="G749" i="18"/>
  <c r="F750" i="18"/>
  <c r="E750" i="18"/>
  <c r="G775" i="18"/>
  <c r="H780" i="18"/>
  <c r="I780" i="18" s="1"/>
  <c r="J780" i="18" s="1"/>
  <c r="G781" i="18"/>
  <c r="F782" i="18"/>
  <c r="E782" i="18"/>
  <c r="G807" i="18"/>
  <c r="H812" i="18"/>
  <c r="I812" i="18" s="1"/>
  <c r="J812" i="18" s="1"/>
  <c r="G813" i="18"/>
  <c r="F814" i="18"/>
  <c r="E814" i="18"/>
  <c r="E924" i="18"/>
  <c r="F924" i="18"/>
  <c r="H945" i="18"/>
  <c r="I945" i="18" s="1"/>
  <c r="J945" i="18" s="1"/>
  <c r="G945" i="18"/>
  <c r="G947" i="18"/>
  <c r="H947" i="18"/>
  <c r="I947" i="18" s="1"/>
  <c r="J947" i="18" s="1"/>
  <c r="H844" i="18"/>
  <c r="I844" i="18" s="1"/>
  <c r="J844" i="18" s="1"/>
  <c r="H852" i="18"/>
  <c r="I852" i="18" s="1"/>
  <c r="J852" i="18" s="1"/>
  <c r="H860" i="18"/>
  <c r="I860" i="18" s="1"/>
  <c r="J860" i="18" s="1"/>
  <c r="H868" i="18"/>
  <c r="I868" i="18" s="1"/>
  <c r="J868" i="18" s="1"/>
  <c r="H952" i="18"/>
  <c r="I952" i="18" s="1"/>
  <c r="J952" i="18" s="1"/>
  <c r="G952" i="18"/>
  <c r="F965" i="18"/>
  <c r="E965" i="18"/>
  <c r="F969" i="18"/>
  <c r="E969" i="18"/>
  <c r="H979" i="18"/>
  <c r="I979" i="18" s="1"/>
  <c r="J979" i="18" s="1"/>
  <c r="G979" i="18"/>
  <c r="F982" i="18"/>
  <c r="E982" i="18"/>
  <c r="F841" i="18"/>
  <c r="E841" i="18"/>
  <c r="H843" i="18"/>
  <c r="I843" i="18" s="1"/>
  <c r="J843" i="18" s="1"/>
  <c r="G843" i="18"/>
  <c r="F849" i="18"/>
  <c r="E849" i="18"/>
  <c r="H851" i="18"/>
  <c r="I851" i="18" s="1"/>
  <c r="J851" i="18" s="1"/>
  <c r="G851" i="18"/>
  <c r="F857" i="18"/>
  <c r="E857" i="18"/>
  <c r="H859" i="18"/>
  <c r="I859" i="18" s="1"/>
  <c r="J859" i="18" s="1"/>
  <c r="G859" i="18"/>
  <c r="F865" i="18"/>
  <c r="E865" i="18"/>
  <c r="H867" i="18"/>
  <c r="I867" i="18" s="1"/>
  <c r="J867" i="18" s="1"/>
  <c r="G867" i="18"/>
  <c r="F873" i="18"/>
  <c r="E873" i="18"/>
  <c r="H875" i="18"/>
  <c r="I875" i="18" s="1"/>
  <c r="J875" i="18" s="1"/>
  <c r="G875" i="18"/>
  <c r="F881" i="18"/>
  <c r="E881" i="18"/>
  <c r="H883" i="18"/>
  <c r="I883" i="18" s="1"/>
  <c r="J883" i="18" s="1"/>
  <c r="G883" i="18"/>
  <c r="F889" i="18"/>
  <c r="E889" i="18"/>
  <c r="H891" i="18"/>
  <c r="I891" i="18" s="1"/>
  <c r="J891" i="18" s="1"/>
  <c r="G891" i="18"/>
  <c r="F897" i="18"/>
  <c r="E897" i="18"/>
  <c r="H899" i="18"/>
  <c r="I899" i="18" s="1"/>
  <c r="J899" i="18" s="1"/>
  <c r="G899" i="18"/>
  <c r="F905" i="18"/>
  <c r="E905" i="18"/>
  <c r="H907" i="18"/>
  <c r="I907" i="18" s="1"/>
  <c r="J907" i="18" s="1"/>
  <c r="G907" i="18"/>
  <c r="F913" i="18"/>
  <c r="E913" i="18"/>
  <c r="H915" i="18"/>
  <c r="I915" i="18" s="1"/>
  <c r="J915" i="18" s="1"/>
  <c r="G915" i="18"/>
  <c r="E922" i="18"/>
  <c r="F925" i="18"/>
  <c r="E925" i="18"/>
  <c r="H932" i="18"/>
  <c r="I932" i="18" s="1"/>
  <c r="J932" i="18" s="1"/>
  <c r="G932" i="18"/>
  <c r="E938" i="18"/>
  <c r="F941" i="18"/>
  <c r="E941" i="18"/>
  <c r="G946" i="18"/>
  <c r="H946" i="18"/>
  <c r="I946" i="18" s="1"/>
  <c r="J946" i="18" s="1"/>
  <c r="H948" i="18"/>
  <c r="I948" i="18" s="1"/>
  <c r="J948" i="18" s="1"/>
  <c r="G948" i="18"/>
  <c r="H956" i="18"/>
  <c r="I956" i="18" s="1"/>
  <c r="J956" i="18" s="1"/>
  <c r="G956" i="18"/>
  <c r="H960" i="18"/>
  <c r="I960" i="18" s="1"/>
  <c r="J960" i="18" s="1"/>
  <c r="G960" i="18"/>
  <c r="F998" i="18"/>
  <c r="E998" i="18"/>
  <c r="G918" i="18"/>
  <c r="H919" i="18"/>
  <c r="I919" i="18" s="1"/>
  <c r="J919" i="18" s="1"/>
  <c r="G919" i="18"/>
  <c r="G926" i="18"/>
  <c r="H927" i="18"/>
  <c r="I927" i="18" s="1"/>
  <c r="J927" i="18" s="1"/>
  <c r="G927" i="18"/>
  <c r="G934" i="18"/>
  <c r="H935" i="18"/>
  <c r="I935" i="18" s="1"/>
  <c r="J935" i="18" s="1"/>
  <c r="G935" i="18"/>
  <c r="G943" i="18"/>
  <c r="H943" i="18"/>
  <c r="I943" i="18" s="1"/>
  <c r="J943" i="18" s="1"/>
  <c r="E949" i="18"/>
  <c r="F949" i="18"/>
  <c r="F970" i="18"/>
  <c r="E970" i="18"/>
  <c r="F977" i="18"/>
  <c r="E977" i="18"/>
  <c r="H992" i="18"/>
  <c r="I992" i="18" s="1"/>
  <c r="J992" i="18" s="1"/>
  <c r="G992" i="18"/>
  <c r="H951" i="18"/>
  <c r="I951" i="18" s="1"/>
  <c r="J951" i="18" s="1"/>
  <c r="G951" i="18"/>
  <c r="H955" i="18"/>
  <c r="I955" i="18" s="1"/>
  <c r="J955" i="18" s="1"/>
  <c r="G955" i="18"/>
  <c r="H959" i="18"/>
  <c r="I959" i="18" s="1"/>
  <c r="J959" i="18" s="1"/>
  <c r="G959" i="18"/>
  <c r="H963" i="18"/>
  <c r="I963" i="18" s="1"/>
  <c r="J963" i="18" s="1"/>
  <c r="G963" i="18"/>
  <c r="H967" i="18"/>
  <c r="I967" i="18" s="1"/>
  <c r="J967" i="18" s="1"/>
  <c r="G967" i="18"/>
  <c r="F973" i="18"/>
  <c r="E973" i="18"/>
  <c r="H975" i="18"/>
  <c r="I975" i="18" s="1"/>
  <c r="J975" i="18" s="1"/>
  <c r="G975" i="18"/>
  <c r="H984" i="18"/>
  <c r="I984" i="18" s="1"/>
  <c r="J984" i="18" s="1"/>
  <c r="G984" i="18"/>
  <c r="F994" i="18"/>
  <c r="E994" i="18"/>
  <c r="H1000" i="18"/>
  <c r="I1000" i="18" s="1"/>
  <c r="J1000" i="18" s="1"/>
  <c r="G1000" i="18"/>
  <c r="F920" i="18"/>
  <c r="H923" i="18"/>
  <c r="I923" i="18" s="1"/>
  <c r="J923" i="18" s="1"/>
  <c r="F928" i="18"/>
  <c r="H931" i="18"/>
  <c r="I931" i="18" s="1"/>
  <c r="J931" i="18" s="1"/>
  <c r="F936" i="18"/>
  <c r="H939" i="18"/>
  <c r="I939" i="18" s="1"/>
  <c r="J939" i="18" s="1"/>
  <c r="E954" i="18"/>
  <c r="E958" i="18"/>
  <c r="E962" i="18"/>
  <c r="E966" i="18"/>
  <c r="H972" i="18"/>
  <c r="I972" i="18" s="1"/>
  <c r="J972" i="18" s="1"/>
  <c r="G972" i="18"/>
  <c r="H980" i="18"/>
  <c r="I980" i="18" s="1"/>
  <c r="J980" i="18" s="1"/>
  <c r="G980" i="18"/>
  <c r="F990" i="18"/>
  <c r="E990" i="18"/>
  <c r="H996" i="18"/>
  <c r="I996" i="18" s="1"/>
  <c r="J996" i="18" s="1"/>
  <c r="G996" i="18"/>
  <c r="H944" i="18"/>
  <c r="I944" i="18" s="1"/>
  <c r="J944" i="18" s="1"/>
  <c r="H983" i="18"/>
  <c r="I983" i="18" s="1"/>
  <c r="J983" i="18" s="1"/>
  <c r="G983" i="18"/>
  <c r="H987" i="18"/>
  <c r="I987" i="18" s="1"/>
  <c r="J987" i="18" s="1"/>
  <c r="G987" i="18"/>
  <c r="H991" i="18"/>
  <c r="I991" i="18" s="1"/>
  <c r="J991" i="18" s="1"/>
  <c r="G991" i="18"/>
  <c r="H995" i="18"/>
  <c r="I995" i="18" s="1"/>
  <c r="J995" i="18" s="1"/>
  <c r="G995" i="18"/>
  <c r="H999" i="18"/>
  <c r="I999" i="18" s="1"/>
  <c r="J999" i="18" s="1"/>
  <c r="G999" i="18"/>
  <c r="H203" i="16"/>
  <c r="I203" i="16" s="1"/>
  <c r="G203" i="16"/>
  <c r="H211" i="16"/>
  <c r="I211" i="16" s="1"/>
  <c r="G211" i="16"/>
  <c r="H227" i="16"/>
  <c r="I227" i="16" s="1"/>
  <c r="G227" i="16"/>
  <c r="H235" i="16"/>
  <c r="I235" i="16" s="1"/>
  <c r="G235" i="16"/>
  <c r="H299" i="16"/>
  <c r="I299" i="16" s="1"/>
  <c r="G299" i="16"/>
  <c r="H307" i="16"/>
  <c r="I307" i="16" s="1"/>
  <c r="G307" i="16"/>
  <c r="H315" i="16"/>
  <c r="I315" i="16" s="1"/>
  <c r="G315" i="16"/>
  <c r="H323" i="16"/>
  <c r="I323" i="16" s="1"/>
  <c r="G323" i="16"/>
  <c r="H331" i="16"/>
  <c r="I331" i="16" s="1"/>
  <c r="G331" i="16"/>
  <c r="H339" i="16"/>
  <c r="I339" i="16" s="1"/>
  <c r="G339" i="16"/>
  <c r="H344" i="16"/>
  <c r="I344" i="16" s="1"/>
  <c r="G344" i="16"/>
  <c r="E346" i="16"/>
  <c r="F346" i="16"/>
  <c r="G353" i="16"/>
  <c r="H353" i="16"/>
  <c r="I353" i="16" s="1"/>
  <c r="H360" i="16"/>
  <c r="I360" i="16" s="1"/>
  <c r="G360" i="16"/>
  <c r="E362" i="16"/>
  <c r="F362" i="16"/>
  <c r="G369" i="16"/>
  <c r="H369" i="16"/>
  <c r="I369" i="16" s="1"/>
  <c r="H376" i="16"/>
  <c r="I376" i="16" s="1"/>
  <c r="G376" i="16"/>
  <c r="E378" i="16"/>
  <c r="F378" i="16"/>
  <c r="G385" i="16"/>
  <c r="H385" i="16"/>
  <c r="I385" i="16" s="1"/>
  <c r="H392" i="16"/>
  <c r="I392" i="16" s="1"/>
  <c r="G392" i="16"/>
  <c r="E394" i="16"/>
  <c r="F394" i="16"/>
  <c r="G401" i="16"/>
  <c r="H401" i="16"/>
  <c r="I401" i="16" s="1"/>
  <c r="F424" i="16"/>
  <c r="E424" i="16"/>
  <c r="F432" i="16"/>
  <c r="E432" i="16"/>
  <c r="F440" i="16"/>
  <c r="E440" i="16"/>
  <c r="F448" i="16"/>
  <c r="E448" i="16"/>
  <c r="F456" i="16"/>
  <c r="E456" i="16"/>
  <c r="F464" i="16"/>
  <c r="E464" i="16"/>
  <c r="F516" i="16"/>
  <c r="E516" i="16"/>
  <c r="H195" i="16"/>
  <c r="I195" i="16" s="1"/>
  <c r="G195" i="16"/>
  <c r="H219" i="16"/>
  <c r="I219" i="16" s="1"/>
  <c r="G219" i="16"/>
  <c r="H243" i="16"/>
  <c r="I243" i="16" s="1"/>
  <c r="G243" i="16"/>
  <c r="H251" i="16"/>
  <c r="I251" i="16" s="1"/>
  <c r="G251" i="16"/>
  <c r="H259" i="16"/>
  <c r="I259" i="16" s="1"/>
  <c r="G259" i="16"/>
  <c r="H267" i="16"/>
  <c r="I267" i="16" s="1"/>
  <c r="G267" i="16"/>
  <c r="H275" i="16"/>
  <c r="I275" i="16" s="1"/>
  <c r="G275" i="16"/>
  <c r="H283" i="16"/>
  <c r="I283" i="16" s="1"/>
  <c r="G283" i="16"/>
  <c r="H291" i="16"/>
  <c r="I291" i="16" s="1"/>
  <c r="G291" i="16"/>
  <c r="F2" i="16"/>
  <c r="G2" i="16" s="1"/>
  <c r="G8" i="16"/>
  <c r="H10" i="16"/>
  <c r="I10" i="16" s="1"/>
  <c r="G16" i="16"/>
  <c r="H18" i="16"/>
  <c r="I18" i="16" s="1"/>
  <c r="G24" i="16"/>
  <c r="H26" i="16"/>
  <c r="I26" i="16" s="1"/>
  <c r="G32" i="16"/>
  <c r="H34" i="16"/>
  <c r="I34" i="16" s="1"/>
  <c r="G40" i="16"/>
  <c r="H42" i="16"/>
  <c r="I42" i="16" s="1"/>
  <c r="G48" i="16"/>
  <c r="H50" i="16"/>
  <c r="I50" i="16" s="1"/>
  <c r="G56" i="16"/>
  <c r="H58" i="16"/>
  <c r="I58" i="16" s="1"/>
  <c r="G64" i="16"/>
  <c r="H66" i="16"/>
  <c r="I66" i="16" s="1"/>
  <c r="G72" i="16"/>
  <c r="H74" i="16"/>
  <c r="I74" i="16" s="1"/>
  <c r="G80" i="16"/>
  <c r="H82" i="16"/>
  <c r="I82" i="16" s="1"/>
  <c r="G88" i="16"/>
  <c r="H90" i="16"/>
  <c r="I90" i="16" s="1"/>
  <c r="G96" i="16"/>
  <c r="H98" i="16"/>
  <c r="I98" i="16" s="1"/>
  <c r="G104" i="16"/>
  <c r="H106" i="16"/>
  <c r="I106" i="16" s="1"/>
  <c r="G112" i="16"/>
  <c r="H114" i="16"/>
  <c r="I114" i="16" s="1"/>
  <c r="G120" i="16"/>
  <c r="H122" i="16"/>
  <c r="I122" i="16" s="1"/>
  <c r="G128" i="16"/>
  <c r="H130" i="16"/>
  <c r="I130" i="16" s="1"/>
  <c r="G136" i="16"/>
  <c r="H138" i="16"/>
  <c r="I138" i="16" s="1"/>
  <c r="G144" i="16"/>
  <c r="H146" i="16"/>
  <c r="I146" i="16" s="1"/>
  <c r="G152" i="16"/>
  <c r="H154" i="16"/>
  <c r="I154" i="16" s="1"/>
  <c r="G160" i="16"/>
  <c r="H162" i="16"/>
  <c r="I162" i="16" s="1"/>
  <c r="G168" i="16"/>
  <c r="H170" i="16"/>
  <c r="I170" i="16" s="1"/>
  <c r="G176" i="16"/>
  <c r="H178" i="16"/>
  <c r="I178" i="16" s="1"/>
  <c r="G184" i="16"/>
  <c r="H186" i="16"/>
  <c r="I186" i="16" s="1"/>
  <c r="G192" i="16"/>
  <c r="H194" i="16"/>
  <c r="I194" i="16" s="1"/>
  <c r="H201" i="16"/>
  <c r="I201" i="16" s="1"/>
  <c r="G201" i="16"/>
  <c r="H202" i="16"/>
  <c r="I202" i="16" s="1"/>
  <c r="H209" i="16"/>
  <c r="I209" i="16" s="1"/>
  <c r="G209" i="16"/>
  <c r="H210" i="16"/>
  <c r="I210" i="16" s="1"/>
  <c r="H217" i="16"/>
  <c r="I217" i="16" s="1"/>
  <c r="G217" i="16"/>
  <c r="H218" i="16"/>
  <c r="I218" i="16" s="1"/>
  <c r="H225" i="16"/>
  <c r="I225" i="16" s="1"/>
  <c r="G225" i="16"/>
  <c r="H226" i="16"/>
  <c r="I226" i="16" s="1"/>
  <c r="H233" i="16"/>
  <c r="I233" i="16" s="1"/>
  <c r="G233" i="16"/>
  <c r="H234" i="16"/>
  <c r="I234" i="16" s="1"/>
  <c r="H241" i="16"/>
  <c r="I241" i="16" s="1"/>
  <c r="G241" i="16"/>
  <c r="H242" i="16"/>
  <c r="I242" i="16" s="1"/>
  <c r="H249" i="16"/>
  <c r="I249" i="16" s="1"/>
  <c r="G249" i="16"/>
  <c r="H250" i="16"/>
  <c r="I250" i="16" s="1"/>
  <c r="H257" i="16"/>
  <c r="I257" i="16" s="1"/>
  <c r="G257" i="16"/>
  <c r="H258" i="16"/>
  <c r="I258" i="16" s="1"/>
  <c r="H265" i="16"/>
  <c r="I265" i="16" s="1"/>
  <c r="G265" i="16"/>
  <c r="H266" i="16"/>
  <c r="I266" i="16" s="1"/>
  <c r="H273" i="16"/>
  <c r="I273" i="16" s="1"/>
  <c r="G273" i="16"/>
  <c r="H274" i="16"/>
  <c r="I274" i="16" s="1"/>
  <c r="H281" i="16"/>
  <c r="I281" i="16" s="1"/>
  <c r="G281" i="16"/>
  <c r="H282" i="16"/>
  <c r="I282" i="16" s="1"/>
  <c r="H289" i="16"/>
  <c r="I289" i="16" s="1"/>
  <c r="G289" i="16"/>
  <c r="H290" i="16"/>
  <c r="I290" i="16" s="1"/>
  <c r="H297" i="16"/>
  <c r="I297" i="16" s="1"/>
  <c r="G297" i="16"/>
  <c r="H298" i="16"/>
  <c r="I298" i="16" s="1"/>
  <c r="H305" i="16"/>
  <c r="I305" i="16" s="1"/>
  <c r="G305" i="16"/>
  <c r="H306" i="16"/>
  <c r="I306" i="16" s="1"/>
  <c r="H313" i="16"/>
  <c r="I313" i="16" s="1"/>
  <c r="G313" i="16"/>
  <c r="H314" i="16"/>
  <c r="I314" i="16" s="1"/>
  <c r="H321" i="16"/>
  <c r="I321" i="16" s="1"/>
  <c r="G321" i="16"/>
  <c r="H322" i="16"/>
  <c r="I322" i="16" s="1"/>
  <c r="H329" i="16"/>
  <c r="I329" i="16" s="1"/>
  <c r="G329" i="16"/>
  <c r="H330" i="16"/>
  <c r="I330" i="16" s="1"/>
  <c r="H337" i="16"/>
  <c r="I337" i="16" s="1"/>
  <c r="G337" i="16"/>
  <c r="H338" i="16"/>
  <c r="I338" i="16" s="1"/>
  <c r="G343" i="16"/>
  <c r="H343" i="16"/>
  <c r="I343" i="16" s="1"/>
  <c r="F347" i="16"/>
  <c r="E347" i="16"/>
  <c r="G359" i="16"/>
  <c r="H359" i="16"/>
  <c r="I359" i="16" s="1"/>
  <c r="F363" i="16"/>
  <c r="E363" i="16"/>
  <c r="G375" i="16"/>
  <c r="H375" i="16"/>
  <c r="I375" i="16" s="1"/>
  <c r="F379" i="16"/>
  <c r="E379" i="16"/>
  <c r="G391" i="16"/>
  <c r="H391" i="16"/>
  <c r="I391" i="16" s="1"/>
  <c r="F395" i="16"/>
  <c r="E395" i="16"/>
  <c r="H407" i="16"/>
  <c r="I407" i="16" s="1"/>
  <c r="G407" i="16"/>
  <c r="H410" i="16"/>
  <c r="I410" i="16" s="1"/>
  <c r="G410" i="16"/>
  <c r="F416" i="16"/>
  <c r="E416" i="16"/>
  <c r="F510" i="16"/>
  <c r="E510" i="16"/>
  <c r="F530" i="16"/>
  <c r="E530" i="16"/>
  <c r="G129" i="16"/>
  <c r="H303" i="16"/>
  <c r="I303" i="16" s="1"/>
  <c r="G303" i="16"/>
  <c r="H304" i="16"/>
  <c r="I304" i="16" s="1"/>
  <c r="H311" i="16"/>
  <c r="I311" i="16" s="1"/>
  <c r="G311" i="16"/>
  <c r="H312" i="16"/>
  <c r="I312" i="16" s="1"/>
  <c r="H319" i="16"/>
  <c r="I319" i="16" s="1"/>
  <c r="G319" i="16"/>
  <c r="H320" i="16"/>
  <c r="I320" i="16" s="1"/>
  <c r="H327" i="16"/>
  <c r="I327" i="16" s="1"/>
  <c r="G327" i="16"/>
  <c r="H328" i="16"/>
  <c r="I328" i="16" s="1"/>
  <c r="H335" i="16"/>
  <c r="I335" i="16" s="1"/>
  <c r="G335" i="16"/>
  <c r="H336" i="16"/>
  <c r="I336" i="16" s="1"/>
  <c r="G345" i="16"/>
  <c r="H345" i="16"/>
  <c r="I345" i="16" s="1"/>
  <c r="H352" i="16"/>
  <c r="I352" i="16" s="1"/>
  <c r="G352" i="16"/>
  <c r="E354" i="16"/>
  <c r="F354" i="16"/>
  <c r="G361" i="16"/>
  <c r="H361" i="16"/>
  <c r="I361" i="16" s="1"/>
  <c r="H368" i="16"/>
  <c r="I368" i="16" s="1"/>
  <c r="G368" i="16"/>
  <c r="E370" i="16"/>
  <c r="F370" i="16"/>
  <c r="G377" i="16"/>
  <c r="H377" i="16"/>
  <c r="I377" i="16" s="1"/>
  <c r="H384" i="16"/>
  <c r="I384" i="16" s="1"/>
  <c r="G384" i="16"/>
  <c r="E386" i="16"/>
  <c r="F386" i="16"/>
  <c r="G393" i="16"/>
  <c r="H393" i="16"/>
  <c r="I393" i="16" s="1"/>
  <c r="H400" i="16"/>
  <c r="I400" i="16" s="1"/>
  <c r="G400" i="16"/>
  <c r="E402" i="16"/>
  <c r="F402" i="16"/>
  <c r="G412" i="16"/>
  <c r="H412" i="16"/>
  <c r="I412" i="16" s="1"/>
  <c r="F484" i="16"/>
  <c r="E484" i="16"/>
  <c r="G9" i="16"/>
  <c r="G17" i="16"/>
  <c r="G25" i="16"/>
  <c r="G33" i="16"/>
  <c r="G41" i="16"/>
  <c r="G49" i="16"/>
  <c r="G57" i="16"/>
  <c r="G65" i="16"/>
  <c r="G73" i="16"/>
  <c r="G81" i="16"/>
  <c r="G89" i="16"/>
  <c r="G97" i="16"/>
  <c r="G105" i="16"/>
  <c r="G113" i="16"/>
  <c r="G121" i="16"/>
  <c r="G137" i="16"/>
  <c r="G145" i="16"/>
  <c r="G153" i="16"/>
  <c r="G161" i="16"/>
  <c r="G169" i="16"/>
  <c r="G177" i="16"/>
  <c r="G185" i="16"/>
  <c r="G193" i="16"/>
  <c r="H199" i="16"/>
  <c r="I199" i="16" s="1"/>
  <c r="G199" i="16"/>
  <c r="H207" i="16"/>
  <c r="I207" i="16" s="1"/>
  <c r="G207" i="16"/>
  <c r="H215" i="16"/>
  <c r="I215" i="16" s="1"/>
  <c r="G215" i="16"/>
  <c r="H223" i="16"/>
  <c r="I223" i="16" s="1"/>
  <c r="G223" i="16"/>
  <c r="H231" i="16"/>
  <c r="I231" i="16" s="1"/>
  <c r="G231" i="16"/>
  <c r="H239" i="16"/>
  <c r="I239" i="16" s="1"/>
  <c r="G239" i="16"/>
  <c r="H247" i="16"/>
  <c r="I247" i="16" s="1"/>
  <c r="G247" i="16"/>
  <c r="H255" i="16"/>
  <c r="I255" i="16" s="1"/>
  <c r="G255" i="16"/>
  <c r="H263" i="16"/>
  <c r="I263" i="16" s="1"/>
  <c r="G263" i="16"/>
  <c r="H271" i="16"/>
  <c r="I271" i="16" s="1"/>
  <c r="G271" i="16"/>
  <c r="H279" i="16"/>
  <c r="I279" i="16" s="1"/>
  <c r="G279" i="16"/>
  <c r="H287" i="16"/>
  <c r="I287" i="16" s="1"/>
  <c r="G287" i="16"/>
  <c r="H295" i="16"/>
  <c r="I295" i="16" s="1"/>
  <c r="G295" i="16"/>
  <c r="G3" i="16"/>
  <c r="G4" i="16"/>
  <c r="H6" i="16"/>
  <c r="I6" i="16" s="1"/>
  <c r="G11" i="16"/>
  <c r="G12" i="16"/>
  <c r="H14" i="16"/>
  <c r="I14" i="16" s="1"/>
  <c r="G19" i="16"/>
  <c r="G20" i="16"/>
  <c r="H22" i="16"/>
  <c r="I22" i="16" s="1"/>
  <c r="G27" i="16"/>
  <c r="G28" i="16"/>
  <c r="H30" i="16"/>
  <c r="I30" i="16" s="1"/>
  <c r="G35" i="16"/>
  <c r="G36" i="16"/>
  <c r="H38" i="16"/>
  <c r="I38" i="16" s="1"/>
  <c r="G43" i="16"/>
  <c r="G44" i="16"/>
  <c r="H46" i="16"/>
  <c r="I46" i="16" s="1"/>
  <c r="G51" i="16"/>
  <c r="G52" i="16"/>
  <c r="H54" i="16"/>
  <c r="I54" i="16" s="1"/>
  <c r="G59" i="16"/>
  <c r="G60" i="16"/>
  <c r="H62" i="16"/>
  <c r="I62" i="16" s="1"/>
  <c r="G67" i="16"/>
  <c r="G68" i="16"/>
  <c r="H70" i="16"/>
  <c r="I70" i="16" s="1"/>
  <c r="G75" i="16"/>
  <c r="G76" i="16"/>
  <c r="H78" i="16"/>
  <c r="I78" i="16" s="1"/>
  <c r="G83" i="16"/>
  <c r="G84" i="16"/>
  <c r="H86" i="16"/>
  <c r="I86" i="16" s="1"/>
  <c r="G91" i="16"/>
  <c r="G92" i="16"/>
  <c r="H94" i="16"/>
  <c r="I94" i="16" s="1"/>
  <c r="G99" i="16"/>
  <c r="G100" i="16"/>
  <c r="H102" i="16"/>
  <c r="I102" i="16" s="1"/>
  <c r="G107" i="16"/>
  <c r="G108" i="16"/>
  <c r="H110" i="16"/>
  <c r="I110" i="16" s="1"/>
  <c r="G115" i="16"/>
  <c r="G116" i="16"/>
  <c r="H118" i="16"/>
  <c r="I118" i="16" s="1"/>
  <c r="G123" i="16"/>
  <c r="G124" i="16"/>
  <c r="H126" i="16"/>
  <c r="I126" i="16" s="1"/>
  <c r="G131" i="16"/>
  <c r="G132" i="16"/>
  <c r="H134" i="16"/>
  <c r="I134" i="16" s="1"/>
  <c r="G139" i="16"/>
  <c r="G140" i="16"/>
  <c r="H142" i="16"/>
  <c r="I142" i="16" s="1"/>
  <c r="G147" i="16"/>
  <c r="G148" i="16"/>
  <c r="H150" i="16"/>
  <c r="I150" i="16" s="1"/>
  <c r="G155" i="16"/>
  <c r="G156" i="16"/>
  <c r="H158" i="16"/>
  <c r="I158" i="16" s="1"/>
  <c r="G163" i="16"/>
  <c r="G164" i="16"/>
  <c r="H166" i="16"/>
  <c r="I166" i="16" s="1"/>
  <c r="G171" i="16"/>
  <c r="G172" i="16"/>
  <c r="H174" i="16"/>
  <c r="I174" i="16" s="1"/>
  <c r="G179" i="16"/>
  <c r="G180" i="16"/>
  <c r="H182" i="16"/>
  <c r="I182" i="16" s="1"/>
  <c r="G187" i="16"/>
  <c r="G188" i="16"/>
  <c r="H190" i="16"/>
  <c r="I190" i="16" s="1"/>
  <c r="H197" i="16"/>
  <c r="I197" i="16" s="1"/>
  <c r="G197" i="16"/>
  <c r="H198" i="16"/>
  <c r="I198" i="16" s="1"/>
  <c r="H205" i="16"/>
  <c r="I205" i="16" s="1"/>
  <c r="G205" i="16"/>
  <c r="H206" i="16"/>
  <c r="I206" i="16" s="1"/>
  <c r="H213" i="16"/>
  <c r="I213" i="16" s="1"/>
  <c r="G213" i="16"/>
  <c r="H214" i="16"/>
  <c r="I214" i="16" s="1"/>
  <c r="H221" i="16"/>
  <c r="I221" i="16" s="1"/>
  <c r="G221" i="16"/>
  <c r="H222" i="16"/>
  <c r="I222" i="16" s="1"/>
  <c r="H229" i="16"/>
  <c r="I229" i="16" s="1"/>
  <c r="G229" i="16"/>
  <c r="H230" i="16"/>
  <c r="I230" i="16" s="1"/>
  <c r="H237" i="16"/>
  <c r="I237" i="16" s="1"/>
  <c r="G237" i="16"/>
  <c r="H238" i="16"/>
  <c r="I238" i="16" s="1"/>
  <c r="H245" i="16"/>
  <c r="I245" i="16" s="1"/>
  <c r="G245" i="16"/>
  <c r="H246" i="16"/>
  <c r="I246" i="16" s="1"/>
  <c r="H253" i="16"/>
  <c r="I253" i="16" s="1"/>
  <c r="G253" i="16"/>
  <c r="H254" i="16"/>
  <c r="I254" i="16" s="1"/>
  <c r="H261" i="16"/>
  <c r="I261" i="16" s="1"/>
  <c r="G261" i="16"/>
  <c r="H262" i="16"/>
  <c r="I262" i="16" s="1"/>
  <c r="H269" i="16"/>
  <c r="I269" i="16" s="1"/>
  <c r="G269" i="16"/>
  <c r="H270" i="16"/>
  <c r="I270" i="16" s="1"/>
  <c r="H277" i="16"/>
  <c r="I277" i="16" s="1"/>
  <c r="G277" i="16"/>
  <c r="H278" i="16"/>
  <c r="I278" i="16" s="1"/>
  <c r="H285" i="16"/>
  <c r="I285" i="16" s="1"/>
  <c r="G285" i="16"/>
  <c r="H286" i="16"/>
  <c r="I286" i="16" s="1"/>
  <c r="H293" i="16"/>
  <c r="I293" i="16" s="1"/>
  <c r="G293" i="16"/>
  <c r="H294" i="16"/>
  <c r="I294" i="16" s="1"/>
  <c r="H301" i="16"/>
  <c r="I301" i="16" s="1"/>
  <c r="G301" i="16"/>
  <c r="H302" i="16"/>
  <c r="I302" i="16" s="1"/>
  <c r="H309" i="16"/>
  <c r="I309" i="16" s="1"/>
  <c r="G309" i="16"/>
  <c r="H310" i="16"/>
  <c r="I310" i="16" s="1"/>
  <c r="H317" i="16"/>
  <c r="I317" i="16" s="1"/>
  <c r="G317" i="16"/>
  <c r="H318" i="16"/>
  <c r="I318" i="16" s="1"/>
  <c r="H325" i="16"/>
  <c r="I325" i="16" s="1"/>
  <c r="G325" i="16"/>
  <c r="H326" i="16"/>
  <c r="I326" i="16" s="1"/>
  <c r="H333" i="16"/>
  <c r="I333" i="16" s="1"/>
  <c r="G333" i="16"/>
  <c r="H334" i="16"/>
  <c r="I334" i="16" s="1"/>
  <c r="H341" i="16"/>
  <c r="I341" i="16" s="1"/>
  <c r="G341" i="16"/>
  <c r="H342" i="16"/>
  <c r="I342" i="16" s="1"/>
  <c r="G351" i="16"/>
  <c r="H351" i="16"/>
  <c r="I351" i="16" s="1"/>
  <c r="F355" i="16"/>
  <c r="E355" i="16"/>
  <c r="H358" i="16"/>
  <c r="I358" i="16" s="1"/>
  <c r="G367" i="16"/>
  <c r="H367" i="16"/>
  <c r="I367" i="16" s="1"/>
  <c r="F371" i="16"/>
  <c r="E371" i="16"/>
  <c r="G383" i="16"/>
  <c r="H383" i="16"/>
  <c r="I383" i="16" s="1"/>
  <c r="F387" i="16"/>
  <c r="E387" i="16"/>
  <c r="G399" i="16"/>
  <c r="H399" i="16"/>
  <c r="I399" i="16" s="1"/>
  <c r="F403" i="16"/>
  <c r="E403" i="16"/>
  <c r="H411" i="16"/>
  <c r="I411" i="16" s="1"/>
  <c r="G411" i="16"/>
  <c r="F478" i="16"/>
  <c r="E478" i="16"/>
  <c r="F498" i="16"/>
  <c r="E498" i="16"/>
  <c r="F542" i="16"/>
  <c r="E542" i="16"/>
  <c r="F548" i="16"/>
  <c r="E548" i="16"/>
  <c r="F562" i="16"/>
  <c r="E562" i="16"/>
  <c r="F574" i="16"/>
  <c r="E574" i="16"/>
  <c r="F580" i="16"/>
  <c r="E580" i="16"/>
  <c r="F594" i="16"/>
  <c r="E594" i="16"/>
  <c r="F606" i="16"/>
  <c r="E606" i="16"/>
  <c r="F612" i="16"/>
  <c r="E612" i="16"/>
  <c r="F635" i="16"/>
  <c r="E635" i="16"/>
  <c r="H650" i="16"/>
  <c r="I650" i="16" s="1"/>
  <c r="G650" i="16"/>
  <c r="H663" i="16"/>
  <c r="I663" i="16" s="1"/>
  <c r="G663" i="16"/>
  <c r="H678" i="16"/>
  <c r="I678" i="16" s="1"/>
  <c r="G678" i="16"/>
  <c r="F699" i="16"/>
  <c r="E699" i="16"/>
  <c r="H714" i="16"/>
  <c r="I714" i="16" s="1"/>
  <c r="G714" i="16"/>
  <c r="E727" i="16"/>
  <c r="F727" i="16"/>
  <c r="E733" i="16"/>
  <c r="F733" i="16"/>
  <c r="E738" i="16"/>
  <c r="F738" i="16"/>
  <c r="E749" i="16"/>
  <c r="F749" i="16"/>
  <c r="E753" i="16"/>
  <c r="F753" i="16"/>
  <c r="E796" i="16"/>
  <c r="F796" i="16"/>
  <c r="H415" i="16"/>
  <c r="I415" i="16" s="1"/>
  <c r="G415" i="16"/>
  <c r="F422" i="16"/>
  <c r="E422" i="16"/>
  <c r="F430" i="16"/>
  <c r="E430" i="16"/>
  <c r="F438" i="16"/>
  <c r="E438" i="16"/>
  <c r="F446" i="16"/>
  <c r="E446" i="16"/>
  <c r="F454" i="16"/>
  <c r="E454" i="16"/>
  <c r="F462" i="16"/>
  <c r="E462" i="16"/>
  <c r="F474" i="16"/>
  <c r="E474" i="16"/>
  <c r="F486" i="16"/>
  <c r="E486" i="16"/>
  <c r="F492" i="16"/>
  <c r="E492" i="16"/>
  <c r="F506" i="16"/>
  <c r="E506" i="16"/>
  <c r="F518" i="16"/>
  <c r="E518" i="16"/>
  <c r="F524" i="16"/>
  <c r="E524" i="16"/>
  <c r="F538" i="16"/>
  <c r="E538" i="16"/>
  <c r="F550" i="16"/>
  <c r="E550" i="16"/>
  <c r="F556" i="16"/>
  <c r="E556" i="16"/>
  <c r="F570" i="16"/>
  <c r="E570" i="16"/>
  <c r="F582" i="16"/>
  <c r="E582" i="16"/>
  <c r="F588" i="16"/>
  <c r="E588" i="16"/>
  <c r="F602" i="16"/>
  <c r="E602" i="16"/>
  <c r="F614" i="16"/>
  <c r="E614" i="16"/>
  <c r="F620" i="16"/>
  <c r="E620" i="16"/>
  <c r="E627" i="16"/>
  <c r="H642" i="16"/>
  <c r="I642" i="16" s="1"/>
  <c r="G642" i="16"/>
  <c r="H647" i="16"/>
  <c r="I647" i="16" s="1"/>
  <c r="G647" i="16"/>
  <c r="E655" i="16"/>
  <c r="F667" i="16"/>
  <c r="E667" i="16"/>
  <c r="E675" i="16"/>
  <c r="F683" i="16"/>
  <c r="E683" i="16"/>
  <c r="E691" i="16"/>
  <c r="H706" i="16"/>
  <c r="I706" i="16" s="1"/>
  <c r="G706" i="16"/>
  <c r="H711" i="16"/>
  <c r="I711" i="16" s="1"/>
  <c r="G711" i="16"/>
  <c r="E719" i="16"/>
  <c r="E725" i="16"/>
  <c r="F725" i="16"/>
  <c r="E730" i="16"/>
  <c r="F730" i="16"/>
  <c r="E746" i="16"/>
  <c r="F746" i="16"/>
  <c r="E807" i="16"/>
  <c r="F807" i="16"/>
  <c r="E982" i="16"/>
  <c r="F982" i="16"/>
  <c r="G381" i="16"/>
  <c r="G389" i="16"/>
  <c r="G397" i="16"/>
  <c r="G405" i="16"/>
  <c r="H419" i="16"/>
  <c r="I419" i="16" s="1"/>
  <c r="G419" i="16"/>
  <c r="F428" i="16"/>
  <c r="E428" i="16"/>
  <c r="F436" i="16"/>
  <c r="E436" i="16"/>
  <c r="F444" i="16"/>
  <c r="E444" i="16"/>
  <c r="F452" i="16"/>
  <c r="E452" i="16"/>
  <c r="F460" i="16"/>
  <c r="E460" i="16"/>
  <c r="F468" i="16"/>
  <c r="E468" i="16"/>
  <c r="F482" i="16"/>
  <c r="E482" i="16"/>
  <c r="F494" i="16"/>
  <c r="E494" i="16"/>
  <c r="F500" i="16"/>
  <c r="E500" i="16"/>
  <c r="F514" i="16"/>
  <c r="E514" i="16"/>
  <c r="F526" i="16"/>
  <c r="E526" i="16"/>
  <c r="F532" i="16"/>
  <c r="E532" i="16"/>
  <c r="F546" i="16"/>
  <c r="E546" i="16"/>
  <c r="F558" i="16"/>
  <c r="E558" i="16"/>
  <c r="F564" i="16"/>
  <c r="E564" i="16"/>
  <c r="F578" i="16"/>
  <c r="E578" i="16"/>
  <c r="F590" i="16"/>
  <c r="E590" i="16"/>
  <c r="F596" i="16"/>
  <c r="E596" i="16"/>
  <c r="F610" i="16"/>
  <c r="E610" i="16"/>
  <c r="H631" i="16"/>
  <c r="I631" i="16" s="1"/>
  <c r="G631" i="16"/>
  <c r="H634" i="16"/>
  <c r="I634" i="16" s="1"/>
  <c r="G634" i="16"/>
  <c r="H639" i="16"/>
  <c r="I639" i="16" s="1"/>
  <c r="G639" i="16"/>
  <c r="H646" i="16"/>
  <c r="I646" i="16" s="1"/>
  <c r="G646" i="16"/>
  <c r="H659" i="16"/>
  <c r="I659" i="16" s="1"/>
  <c r="G659" i="16"/>
  <c r="H674" i="16"/>
  <c r="I674" i="16" s="1"/>
  <c r="G674" i="16"/>
  <c r="H695" i="16"/>
  <c r="I695" i="16" s="1"/>
  <c r="G695" i="16"/>
  <c r="H698" i="16"/>
  <c r="I698" i="16" s="1"/>
  <c r="G698" i="16"/>
  <c r="E703" i="16"/>
  <c r="H710" i="16"/>
  <c r="I710" i="16" s="1"/>
  <c r="G710" i="16"/>
  <c r="F931" i="16"/>
  <c r="E931" i="16"/>
  <c r="G349" i="16"/>
  <c r="G357" i="16"/>
  <c r="G365" i="16"/>
  <c r="G373" i="16"/>
  <c r="F350" i="16"/>
  <c r="G350" i="16" s="1"/>
  <c r="F358" i="16"/>
  <c r="G358" i="16" s="1"/>
  <c r="F366" i="16"/>
  <c r="G366" i="16" s="1"/>
  <c r="F374" i="16"/>
  <c r="G374" i="16" s="1"/>
  <c r="F382" i="16"/>
  <c r="G382" i="16" s="1"/>
  <c r="F390" i="16"/>
  <c r="G390" i="16" s="1"/>
  <c r="F398" i="16"/>
  <c r="G398" i="16" s="1"/>
  <c r="F406" i="16"/>
  <c r="G406" i="16" s="1"/>
  <c r="E408" i="16"/>
  <c r="H420" i="16"/>
  <c r="I420" i="16" s="1"/>
  <c r="F426" i="16"/>
  <c r="E426" i="16"/>
  <c r="F434" i="16"/>
  <c r="E434" i="16"/>
  <c r="F442" i="16"/>
  <c r="E442" i="16"/>
  <c r="F450" i="16"/>
  <c r="E450" i="16"/>
  <c r="F458" i="16"/>
  <c r="E458" i="16"/>
  <c r="F466" i="16"/>
  <c r="E466" i="16"/>
  <c r="F470" i="16"/>
  <c r="E470" i="16"/>
  <c r="F476" i="16"/>
  <c r="E476" i="16"/>
  <c r="F490" i="16"/>
  <c r="E490" i="16"/>
  <c r="F502" i="16"/>
  <c r="E502" i="16"/>
  <c r="F508" i="16"/>
  <c r="E508" i="16"/>
  <c r="F522" i="16"/>
  <c r="E522" i="16"/>
  <c r="F534" i="16"/>
  <c r="E534" i="16"/>
  <c r="F540" i="16"/>
  <c r="E540" i="16"/>
  <c r="F554" i="16"/>
  <c r="E554" i="16"/>
  <c r="F566" i="16"/>
  <c r="E566" i="16"/>
  <c r="F572" i="16"/>
  <c r="E572" i="16"/>
  <c r="F586" i="16"/>
  <c r="E586" i="16"/>
  <c r="F598" i="16"/>
  <c r="E598" i="16"/>
  <c r="F604" i="16"/>
  <c r="E604" i="16"/>
  <c r="F618" i="16"/>
  <c r="E618" i="16"/>
  <c r="H623" i="16"/>
  <c r="I623" i="16" s="1"/>
  <c r="G623" i="16"/>
  <c r="H630" i="16"/>
  <c r="I630" i="16" s="1"/>
  <c r="G630" i="16"/>
  <c r="F643" i="16"/>
  <c r="E643" i="16"/>
  <c r="H658" i="16"/>
  <c r="I658" i="16" s="1"/>
  <c r="G658" i="16"/>
  <c r="H666" i="16"/>
  <c r="I666" i="16" s="1"/>
  <c r="G666" i="16"/>
  <c r="F671" i="16"/>
  <c r="E671" i="16"/>
  <c r="H687" i="16"/>
  <c r="I687" i="16" s="1"/>
  <c r="G687" i="16"/>
  <c r="H694" i="16"/>
  <c r="I694" i="16" s="1"/>
  <c r="G694" i="16"/>
  <c r="F707" i="16"/>
  <c r="E707" i="16"/>
  <c r="E735" i="16"/>
  <c r="F735" i="16"/>
  <c r="E741" i="16"/>
  <c r="F741" i="16"/>
  <c r="E766" i="16"/>
  <c r="F766" i="16"/>
  <c r="G782" i="16"/>
  <c r="H782" i="16"/>
  <c r="I782" i="16" s="1"/>
  <c r="G785" i="16"/>
  <c r="H785" i="16"/>
  <c r="I785" i="16" s="1"/>
  <c r="E799" i="16"/>
  <c r="F799" i="16"/>
  <c r="F472" i="16"/>
  <c r="E472" i="16"/>
  <c r="F480" i="16"/>
  <c r="E480" i="16"/>
  <c r="F488" i="16"/>
  <c r="E488" i="16"/>
  <c r="F496" i="16"/>
  <c r="E496" i="16"/>
  <c r="F504" i="16"/>
  <c r="E504" i="16"/>
  <c r="F512" i="16"/>
  <c r="E512" i="16"/>
  <c r="F520" i="16"/>
  <c r="E520" i="16"/>
  <c r="F528" i="16"/>
  <c r="E528" i="16"/>
  <c r="F536" i="16"/>
  <c r="E536" i="16"/>
  <c r="F544" i="16"/>
  <c r="E544" i="16"/>
  <c r="F552" i="16"/>
  <c r="E552" i="16"/>
  <c r="F560" i="16"/>
  <c r="E560" i="16"/>
  <c r="F568" i="16"/>
  <c r="E568" i="16"/>
  <c r="F576" i="16"/>
  <c r="E576" i="16"/>
  <c r="F584" i="16"/>
  <c r="E584" i="16"/>
  <c r="F592" i="16"/>
  <c r="E592" i="16"/>
  <c r="F600" i="16"/>
  <c r="E600" i="16"/>
  <c r="F608" i="16"/>
  <c r="E608" i="16"/>
  <c r="F616" i="16"/>
  <c r="E616" i="16"/>
  <c r="H626" i="16"/>
  <c r="I626" i="16" s="1"/>
  <c r="G626" i="16"/>
  <c r="F651" i="16"/>
  <c r="E651" i="16"/>
  <c r="H662" i="16"/>
  <c r="I662" i="16" s="1"/>
  <c r="G662" i="16"/>
  <c r="H679" i="16"/>
  <c r="I679" i="16" s="1"/>
  <c r="G679" i="16"/>
  <c r="H682" i="16"/>
  <c r="I682" i="16" s="1"/>
  <c r="G682" i="16"/>
  <c r="H690" i="16"/>
  <c r="I690" i="16" s="1"/>
  <c r="G690" i="16"/>
  <c r="F715" i="16"/>
  <c r="E715" i="16"/>
  <c r="G762" i="16"/>
  <c r="H762" i="16"/>
  <c r="I762" i="16" s="1"/>
  <c r="E765" i="16"/>
  <c r="F765" i="16"/>
  <c r="E769" i="16"/>
  <c r="F769" i="16"/>
  <c r="G793" i="16"/>
  <c r="H793" i="16"/>
  <c r="I793" i="16" s="1"/>
  <c r="G810" i="16"/>
  <c r="H810" i="16"/>
  <c r="I810" i="16" s="1"/>
  <c r="G821" i="16"/>
  <c r="G856" i="16"/>
  <c r="H856" i="16"/>
  <c r="I856" i="16" s="1"/>
  <c r="F860" i="16"/>
  <c r="E860" i="16"/>
  <c r="F945" i="16"/>
  <c r="E945" i="16"/>
  <c r="G870" i="16"/>
  <c r="H870" i="16"/>
  <c r="I870" i="16" s="1"/>
  <c r="H409" i="16"/>
  <c r="I409" i="16" s="1"/>
  <c r="H413" i="16"/>
  <c r="I413" i="16" s="1"/>
  <c r="H417" i="16"/>
  <c r="I417" i="16" s="1"/>
  <c r="H421" i="16"/>
  <c r="I421" i="16" s="1"/>
  <c r="H423" i="16"/>
  <c r="I423" i="16" s="1"/>
  <c r="H425" i="16"/>
  <c r="I425" i="16" s="1"/>
  <c r="H427" i="16"/>
  <c r="I427" i="16" s="1"/>
  <c r="H429" i="16"/>
  <c r="I429" i="16" s="1"/>
  <c r="H431" i="16"/>
  <c r="I431" i="16" s="1"/>
  <c r="H433" i="16"/>
  <c r="I433" i="16" s="1"/>
  <c r="H435" i="16"/>
  <c r="I435" i="16" s="1"/>
  <c r="H437" i="16"/>
  <c r="I437" i="16" s="1"/>
  <c r="H439" i="16"/>
  <c r="I439" i="16" s="1"/>
  <c r="H441" i="16"/>
  <c r="I441" i="16" s="1"/>
  <c r="H443" i="16"/>
  <c r="I443" i="16" s="1"/>
  <c r="H445" i="16"/>
  <c r="I445" i="16" s="1"/>
  <c r="H447" i="16"/>
  <c r="I447" i="16" s="1"/>
  <c r="H449" i="16"/>
  <c r="I449" i="16" s="1"/>
  <c r="H451" i="16"/>
  <c r="I451" i="16" s="1"/>
  <c r="H453" i="16"/>
  <c r="I453" i="16" s="1"/>
  <c r="H455" i="16"/>
  <c r="I455" i="16" s="1"/>
  <c r="H457" i="16"/>
  <c r="I457" i="16" s="1"/>
  <c r="H459" i="16"/>
  <c r="I459" i="16" s="1"/>
  <c r="H461" i="16"/>
  <c r="I461" i="16" s="1"/>
  <c r="H463" i="16"/>
  <c r="I463" i="16" s="1"/>
  <c r="H465" i="16"/>
  <c r="I465" i="16" s="1"/>
  <c r="H467" i="16"/>
  <c r="I467" i="16" s="1"/>
  <c r="H469" i="16"/>
  <c r="I469" i="16" s="1"/>
  <c r="H471" i="16"/>
  <c r="I471" i="16" s="1"/>
  <c r="H473" i="16"/>
  <c r="I473" i="16" s="1"/>
  <c r="H475" i="16"/>
  <c r="I475" i="16" s="1"/>
  <c r="H477" i="16"/>
  <c r="I477" i="16" s="1"/>
  <c r="H479" i="16"/>
  <c r="I479" i="16" s="1"/>
  <c r="H481" i="16"/>
  <c r="I481" i="16" s="1"/>
  <c r="H483" i="16"/>
  <c r="I483" i="16" s="1"/>
  <c r="H485" i="16"/>
  <c r="I485" i="16" s="1"/>
  <c r="H487" i="16"/>
  <c r="I487" i="16" s="1"/>
  <c r="H489" i="16"/>
  <c r="I489" i="16" s="1"/>
  <c r="H491" i="16"/>
  <c r="I491" i="16" s="1"/>
  <c r="H493" i="16"/>
  <c r="I493" i="16" s="1"/>
  <c r="H495" i="16"/>
  <c r="I495" i="16" s="1"/>
  <c r="H497" i="16"/>
  <c r="I497" i="16" s="1"/>
  <c r="H499" i="16"/>
  <c r="I499" i="16" s="1"/>
  <c r="H501" i="16"/>
  <c r="I501" i="16" s="1"/>
  <c r="H503" i="16"/>
  <c r="I503" i="16" s="1"/>
  <c r="H505" i="16"/>
  <c r="I505" i="16" s="1"/>
  <c r="H507" i="16"/>
  <c r="I507" i="16" s="1"/>
  <c r="H509" i="16"/>
  <c r="I509" i="16" s="1"/>
  <c r="H511" i="16"/>
  <c r="I511" i="16" s="1"/>
  <c r="H513" i="16"/>
  <c r="I513" i="16" s="1"/>
  <c r="H515" i="16"/>
  <c r="I515" i="16" s="1"/>
  <c r="H517" i="16"/>
  <c r="I517" i="16" s="1"/>
  <c r="H519" i="16"/>
  <c r="I519" i="16" s="1"/>
  <c r="H521" i="16"/>
  <c r="I521" i="16" s="1"/>
  <c r="H523" i="16"/>
  <c r="I523" i="16" s="1"/>
  <c r="H525" i="16"/>
  <c r="I525" i="16" s="1"/>
  <c r="H527" i="16"/>
  <c r="I527" i="16" s="1"/>
  <c r="H529" i="16"/>
  <c r="I529" i="16" s="1"/>
  <c r="H531" i="16"/>
  <c r="I531" i="16" s="1"/>
  <c r="H533" i="16"/>
  <c r="I533" i="16" s="1"/>
  <c r="H535" i="16"/>
  <c r="I535" i="16" s="1"/>
  <c r="H537" i="16"/>
  <c r="I537" i="16" s="1"/>
  <c r="H539" i="16"/>
  <c r="I539" i="16" s="1"/>
  <c r="H541" i="16"/>
  <c r="I541" i="16" s="1"/>
  <c r="H543" i="16"/>
  <c r="I543" i="16" s="1"/>
  <c r="H545" i="16"/>
  <c r="I545" i="16" s="1"/>
  <c r="H547" i="16"/>
  <c r="I547" i="16" s="1"/>
  <c r="H549" i="16"/>
  <c r="I549" i="16" s="1"/>
  <c r="H551" i="16"/>
  <c r="I551" i="16" s="1"/>
  <c r="H553" i="16"/>
  <c r="I553" i="16" s="1"/>
  <c r="H555" i="16"/>
  <c r="I555" i="16" s="1"/>
  <c r="H557" i="16"/>
  <c r="I557" i="16" s="1"/>
  <c r="H559" i="16"/>
  <c r="I559" i="16" s="1"/>
  <c r="H561" i="16"/>
  <c r="I561" i="16" s="1"/>
  <c r="H563" i="16"/>
  <c r="I563" i="16" s="1"/>
  <c r="H565" i="16"/>
  <c r="I565" i="16" s="1"/>
  <c r="H567" i="16"/>
  <c r="I567" i="16" s="1"/>
  <c r="H569" i="16"/>
  <c r="I569" i="16" s="1"/>
  <c r="H571" i="16"/>
  <c r="I571" i="16" s="1"/>
  <c r="H573" i="16"/>
  <c r="I573" i="16" s="1"/>
  <c r="H575" i="16"/>
  <c r="I575" i="16" s="1"/>
  <c r="H577" i="16"/>
  <c r="I577" i="16" s="1"/>
  <c r="H579" i="16"/>
  <c r="I579" i="16" s="1"/>
  <c r="H581" i="16"/>
  <c r="I581" i="16" s="1"/>
  <c r="H583" i="16"/>
  <c r="I583" i="16" s="1"/>
  <c r="H585" i="16"/>
  <c r="I585" i="16" s="1"/>
  <c r="H587" i="16"/>
  <c r="I587" i="16" s="1"/>
  <c r="H589" i="16"/>
  <c r="I589" i="16" s="1"/>
  <c r="H591" i="16"/>
  <c r="I591" i="16" s="1"/>
  <c r="H593" i="16"/>
  <c r="I593" i="16" s="1"/>
  <c r="H595" i="16"/>
  <c r="I595" i="16" s="1"/>
  <c r="H597" i="16"/>
  <c r="I597" i="16" s="1"/>
  <c r="H599" i="16"/>
  <c r="I599" i="16" s="1"/>
  <c r="H601" i="16"/>
  <c r="I601" i="16" s="1"/>
  <c r="H603" i="16"/>
  <c r="I603" i="16" s="1"/>
  <c r="H605" i="16"/>
  <c r="I605" i="16" s="1"/>
  <c r="H607" i="16"/>
  <c r="I607" i="16" s="1"/>
  <c r="H609" i="16"/>
  <c r="I609" i="16" s="1"/>
  <c r="H611" i="16"/>
  <c r="I611" i="16" s="1"/>
  <c r="H613" i="16"/>
  <c r="I613" i="16" s="1"/>
  <c r="H615" i="16"/>
  <c r="I615" i="16" s="1"/>
  <c r="H617" i="16"/>
  <c r="I617" i="16" s="1"/>
  <c r="H619" i="16"/>
  <c r="I619" i="16" s="1"/>
  <c r="H622" i="16"/>
  <c r="I622" i="16" s="1"/>
  <c r="G622" i="16"/>
  <c r="H638" i="16"/>
  <c r="I638" i="16" s="1"/>
  <c r="G638" i="16"/>
  <c r="H654" i="16"/>
  <c r="I654" i="16" s="1"/>
  <c r="G654" i="16"/>
  <c r="H670" i="16"/>
  <c r="I670" i="16" s="1"/>
  <c r="G670" i="16"/>
  <c r="H686" i="16"/>
  <c r="I686" i="16" s="1"/>
  <c r="G686" i="16"/>
  <c r="H702" i="16"/>
  <c r="I702" i="16" s="1"/>
  <c r="G702" i="16"/>
  <c r="H718" i="16"/>
  <c r="I718" i="16" s="1"/>
  <c r="G718" i="16"/>
  <c r="G720" i="16"/>
  <c r="H720" i="16"/>
  <c r="I720" i="16" s="1"/>
  <c r="E722" i="16"/>
  <c r="F722" i="16"/>
  <c r="E750" i="16"/>
  <c r="F750" i="16"/>
  <c r="G778" i="16"/>
  <c r="H778" i="16"/>
  <c r="I778" i="16" s="1"/>
  <c r="G789" i="16"/>
  <c r="G814" i="16"/>
  <c r="H814" i="16"/>
  <c r="I814" i="16" s="1"/>
  <c r="G817" i="16"/>
  <c r="H817" i="16"/>
  <c r="I817" i="16" s="1"/>
  <c r="G842" i="16"/>
  <c r="H842" i="16"/>
  <c r="I842" i="16" s="1"/>
  <c r="G858" i="16"/>
  <c r="H858" i="16"/>
  <c r="I858" i="16" s="1"/>
  <c r="H869" i="16"/>
  <c r="I869" i="16" s="1"/>
  <c r="G869" i="16"/>
  <c r="G880" i="16"/>
  <c r="H880" i="16"/>
  <c r="I880" i="16" s="1"/>
  <c r="G882" i="16"/>
  <c r="H882" i="16"/>
  <c r="I882" i="16" s="1"/>
  <c r="H624" i="16"/>
  <c r="I624" i="16" s="1"/>
  <c r="H628" i="16"/>
  <c r="I628" i="16" s="1"/>
  <c r="H632" i="16"/>
  <c r="I632" i="16" s="1"/>
  <c r="H636" i="16"/>
  <c r="I636" i="16" s="1"/>
  <c r="H640" i="16"/>
  <c r="I640" i="16" s="1"/>
  <c r="H644" i="16"/>
  <c r="I644" i="16" s="1"/>
  <c r="H648" i="16"/>
  <c r="I648" i="16" s="1"/>
  <c r="H652" i="16"/>
  <c r="I652" i="16" s="1"/>
  <c r="H656" i="16"/>
  <c r="I656" i="16" s="1"/>
  <c r="H660" i="16"/>
  <c r="I660" i="16" s="1"/>
  <c r="H664" i="16"/>
  <c r="I664" i="16" s="1"/>
  <c r="H668" i="16"/>
  <c r="I668" i="16" s="1"/>
  <c r="H672" i="16"/>
  <c r="I672" i="16" s="1"/>
  <c r="H676" i="16"/>
  <c r="I676" i="16" s="1"/>
  <c r="H680" i="16"/>
  <c r="I680" i="16" s="1"/>
  <c r="H684" i="16"/>
  <c r="I684" i="16" s="1"/>
  <c r="H688" i="16"/>
  <c r="I688" i="16" s="1"/>
  <c r="H692" i="16"/>
  <c r="I692" i="16" s="1"/>
  <c r="H696" i="16"/>
  <c r="I696" i="16" s="1"/>
  <c r="H700" i="16"/>
  <c r="I700" i="16" s="1"/>
  <c r="H704" i="16"/>
  <c r="I704" i="16" s="1"/>
  <c r="H708" i="16"/>
  <c r="I708" i="16" s="1"/>
  <c r="H712" i="16"/>
  <c r="I712" i="16" s="1"/>
  <c r="H716" i="16"/>
  <c r="I716" i="16" s="1"/>
  <c r="G754" i="16"/>
  <c r="H754" i="16"/>
  <c r="I754" i="16" s="1"/>
  <c r="E757" i="16"/>
  <c r="F757" i="16"/>
  <c r="G770" i="16"/>
  <c r="H770" i="16"/>
  <c r="I770" i="16" s="1"/>
  <c r="E773" i="16"/>
  <c r="F773" i="16"/>
  <c r="G792" i="16"/>
  <c r="H792" i="16"/>
  <c r="I792" i="16" s="1"/>
  <c r="G824" i="16"/>
  <c r="H824" i="16"/>
  <c r="I824" i="16" s="1"/>
  <c r="F828" i="16"/>
  <c r="E828" i="16"/>
  <c r="H833" i="16"/>
  <c r="I833" i="16" s="1"/>
  <c r="G833" i="16"/>
  <c r="E835" i="16"/>
  <c r="F835" i="16"/>
  <c r="G904" i="16"/>
  <c r="H904" i="16"/>
  <c r="I904" i="16" s="1"/>
  <c r="G906" i="16"/>
  <c r="H906" i="16"/>
  <c r="I906" i="16" s="1"/>
  <c r="E721" i="16"/>
  <c r="F721" i="16"/>
  <c r="G723" i="16"/>
  <c r="G726" i="16"/>
  <c r="H726" i="16"/>
  <c r="I726" i="16" s="1"/>
  <c r="E729" i="16"/>
  <c r="F729" i="16"/>
  <c r="G731" i="16"/>
  <c r="G734" i="16"/>
  <c r="H734" i="16"/>
  <c r="I734" i="16" s="1"/>
  <c r="E737" i="16"/>
  <c r="F737" i="16"/>
  <c r="G739" i="16"/>
  <c r="G742" i="16"/>
  <c r="H742" i="16"/>
  <c r="I742" i="16" s="1"/>
  <c r="E745" i="16"/>
  <c r="F745" i="16"/>
  <c r="G758" i="16"/>
  <c r="H758" i="16"/>
  <c r="I758" i="16" s="1"/>
  <c r="E761" i="16"/>
  <c r="F761" i="16"/>
  <c r="G774" i="16"/>
  <c r="H774" i="16"/>
  <c r="I774" i="16" s="1"/>
  <c r="E777" i="16"/>
  <c r="F777" i="16"/>
  <c r="E779" i="16"/>
  <c r="F779" i="16"/>
  <c r="E784" i="16"/>
  <c r="F784" i="16"/>
  <c r="G786" i="16"/>
  <c r="H786" i="16"/>
  <c r="I786" i="16" s="1"/>
  <c r="E788" i="16"/>
  <c r="F788" i="16"/>
  <c r="E803" i="16"/>
  <c r="F803" i="16"/>
  <c r="E811" i="16"/>
  <c r="F811" i="16"/>
  <c r="E816" i="16"/>
  <c r="F816" i="16"/>
  <c r="G818" i="16"/>
  <c r="H818" i="16"/>
  <c r="I818" i="16" s="1"/>
  <c r="E820" i="16"/>
  <c r="F820" i="16"/>
  <c r="G826" i="16"/>
  <c r="H826" i="16"/>
  <c r="I826" i="16" s="1"/>
  <c r="G840" i="16"/>
  <c r="H840" i="16"/>
  <c r="I840" i="16" s="1"/>
  <c r="F844" i="16"/>
  <c r="E844" i="16"/>
  <c r="H849" i="16"/>
  <c r="I849" i="16" s="1"/>
  <c r="G849" i="16"/>
  <c r="E851" i="16"/>
  <c r="F851" i="16"/>
  <c r="G912" i="16"/>
  <c r="H912" i="16"/>
  <c r="I912" i="16" s="1"/>
  <c r="G914" i="16"/>
  <c r="H914" i="16"/>
  <c r="I914" i="16" s="1"/>
  <c r="F921" i="16"/>
  <c r="E921" i="16"/>
  <c r="G724" i="16"/>
  <c r="G728" i="16"/>
  <c r="G732" i="16"/>
  <c r="G736" i="16"/>
  <c r="G740" i="16"/>
  <c r="G744" i="16"/>
  <c r="G748" i="16"/>
  <c r="G752" i="16"/>
  <c r="G756" i="16"/>
  <c r="G760" i="16"/>
  <c r="G764" i="16"/>
  <c r="G768" i="16"/>
  <c r="G772" i="16"/>
  <c r="G776" i="16"/>
  <c r="G780" i="16"/>
  <c r="H780" i="16"/>
  <c r="I780" i="16" s="1"/>
  <c r="E791" i="16"/>
  <c r="F791" i="16"/>
  <c r="E795" i="16"/>
  <c r="F795" i="16"/>
  <c r="G805" i="16"/>
  <c r="G806" i="16"/>
  <c r="G808" i="16"/>
  <c r="H808" i="16"/>
  <c r="I808" i="16" s="1"/>
  <c r="G812" i="16"/>
  <c r="H812" i="16"/>
  <c r="I812" i="16" s="1"/>
  <c r="H823" i="16"/>
  <c r="I823" i="16" s="1"/>
  <c r="G832" i="16"/>
  <c r="H832" i="16"/>
  <c r="I832" i="16" s="1"/>
  <c r="F836" i="16"/>
  <c r="E836" i="16"/>
  <c r="G848" i="16"/>
  <c r="H848" i="16"/>
  <c r="I848" i="16" s="1"/>
  <c r="F852" i="16"/>
  <c r="E852" i="16"/>
  <c r="G888" i="16"/>
  <c r="H888" i="16"/>
  <c r="I888" i="16" s="1"/>
  <c r="G890" i="16"/>
  <c r="H890" i="16"/>
  <c r="I890" i="16" s="1"/>
  <c r="F929" i="16"/>
  <c r="E929" i="16"/>
  <c r="E970" i="16"/>
  <c r="F970" i="16"/>
  <c r="G747" i="16"/>
  <c r="G751" i="16"/>
  <c r="G755" i="16"/>
  <c r="G759" i="16"/>
  <c r="G763" i="16"/>
  <c r="G767" i="16"/>
  <c r="G771" i="16"/>
  <c r="G775" i="16"/>
  <c r="E783" i="16"/>
  <c r="F783" i="16"/>
  <c r="E787" i="16"/>
  <c r="F787" i="16"/>
  <c r="G797" i="16"/>
  <c r="G800" i="16"/>
  <c r="H800" i="16"/>
  <c r="I800" i="16" s="1"/>
  <c r="G804" i="16"/>
  <c r="H804" i="16"/>
  <c r="I804" i="16" s="1"/>
  <c r="E815" i="16"/>
  <c r="F815" i="16"/>
  <c r="E819" i="16"/>
  <c r="F819" i="16"/>
  <c r="H825" i="16"/>
  <c r="I825" i="16" s="1"/>
  <c r="G825" i="16"/>
  <c r="E827" i="16"/>
  <c r="F827" i="16"/>
  <c r="G834" i="16"/>
  <c r="H834" i="16"/>
  <c r="I834" i="16" s="1"/>
  <c r="H841" i="16"/>
  <c r="I841" i="16" s="1"/>
  <c r="G841" i="16"/>
  <c r="E843" i="16"/>
  <c r="F843" i="16"/>
  <c r="G850" i="16"/>
  <c r="H850" i="16"/>
  <c r="I850" i="16" s="1"/>
  <c r="H857" i="16"/>
  <c r="I857" i="16" s="1"/>
  <c r="G857" i="16"/>
  <c r="E859" i="16"/>
  <c r="F859" i="16"/>
  <c r="F864" i="16"/>
  <c r="E864" i="16"/>
  <c r="F872" i="16"/>
  <c r="E872" i="16"/>
  <c r="G896" i="16"/>
  <c r="H896" i="16"/>
  <c r="I896" i="16" s="1"/>
  <c r="G898" i="16"/>
  <c r="H898" i="16"/>
  <c r="I898" i="16" s="1"/>
  <c r="H950" i="16"/>
  <c r="I950" i="16" s="1"/>
  <c r="G950" i="16"/>
  <c r="H863" i="16"/>
  <c r="I863" i="16" s="1"/>
  <c r="F868" i="16"/>
  <c r="E868" i="16"/>
  <c r="F876" i="16"/>
  <c r="E876" i="16"/>
  <c r="H879" i="16"/>
  <c r="I879" i="16" s="1"/>
  <c r="G879" i="16"/>
  <c r="H881" i="16"/>
  <c r="I881" i="16" s="1"/>
  <c r="G881" i="16"/>
  <c r="H887" i="16"/>
  <c r="I887" i="16" s="1"/>
  <c r="G887" i="16"/>
  <c r="H889" i="16"/>
  <c r="I889" i="16" s="1"/>
  <c r="G889" i="16"/>
  <c r="H895" i="16"/>
  <c r="I895" i="16" s="1"/>
  <c r="G895" i="16"/>
  <c r="H897" i="16"/>
  <c r="I897" i="16" s="1"/>
  <c r="G897" i="16"/>
  <c r="H903" i="16"/>
  <c r="I903" i="16" s="1"/>
  <c r="G903" i="16"/>
  <c r="H905" i="16"/>
  <c r="I905" i="16" s="1"/>
  <c r="G905" i="16"/>
  <c r="H911" i="16"/>
  <c r="I911" i="16" s="1"/>
  <c r="G911" i="16"/>
  <c r="H913" i="16"/>
  <c r="I913" i="16" s="1"/>
  <c r="G913" i="16"/>
  <c r="G919" i="16"/>
  <c r="H919" i="16"/>
  <c r="I919" i="16" s="1"/>
  <c r="G933" i="16"/>
  <c r="H933" i="16"/>
  <c r="I933" i="16" s="1"/>
  <c r="E946" i="16"/>
  <c r="F946" i="16"/>
  <c r="G830" i="16"/>
  <c r="G838" i="16"/>
  <c r="G846" i="16"/>
  <c r="G854" i="16"/>
  <c r="H871" i="16"/>
  <c r="I871" i="16" s="1"/>
  <c r="G871" i="16"/>
  <c r="F937" i="16"/>
  <c r="E937" i="16"/>
  <c r="G954" i="16"/>
  <c r="E966" i="16"/>
  <c r="F966" i="16"/>
  <c r="G986" i="16"/>
  <c r="H986" i="16"/>
  <c r="I986" i="16" s="1"/>
  <c r="E998" i="16"/>
  <c r="F998" i="16"/>
  <c r="F823" i="16"/>
  <c r="G823" i="16" s="1"/>
  <c r="F831" i="16"/>
  <c r="G831" i="16" s="1"/>
  <c r="F839" i="16"/>
  <c r="G839" i="16" s="1"/>
  <c r="F847" i="16"/>
  <c r="G847" i="16" s="1"/>
  <c r="F855" i="16"/>
  <c r="G855" i="16" s="1"/>
  <c r="G863" i="16"/>
  <c r="H865" i="16"/>
  <c r="I865" i="16" s="1"/>
  <c r="H873" i="16"/>
  <c r="I873" i="16" s="1"/>
  <c r="F878" i="16"/>
  <c r="E878" i="16"/>
  <c r="F886" i="16"/>
  <c r="E886" i="16"/>
  <c r="F894" i="16"/>
  <c r="E894" i="16"/>
  <c r="F902" i="16"/>
  <c r="E902" i="16"/>
  <c r="F910" i="16"/>
  <c r="E910" i="16"/>
  <c r="E918" i="16"/>
  <c r="F918" i="16"/>
  <c r="G925" i="16"/>
  <c r="H925" i="16"/>
  <c r="I925" i="16" s="1"/>
  <c r="E939" i="16"/>
  <c r="G941" i="16"/>
  <c r="H941" i="16"/>
  <c r="I941" i="16" s="1"/>
  <c r="F954" i="16"/>
  <c r="H954" i="16" s="1"/>
  <c r="I954" i="16" s="1"/>
  <c r="F986" i="16"/>
  <c r="E920" i="16"/>
  <c r="F920" i="16"/>
  <c r="H930" i="16"/>
  <c r="I930" i="16" s="1"/>
  <c r="G930" i="16"/>
  <c r="H932" i="16"/>
  <c r="I932" i="16" s="1"/>
  <c r="G932" i="16"/>
  <c r="H938" i="16"/>
  <c r="I938" i="16" s="1"/>
  <c r="G938" i="16"/>
  <c r="H940" i="16"/>
  <c r="I940" i="16" s="1"/>
  <c r="G940" i="16"/>
  <c r="G949" i="16"/>
  <c r="H949" i="16"/>
  <c r="I949" i="16" s="1"/>
  <c r="G962" i="16"/>
  <c r="G994" i="16"/>
  <c r="H994" i="16"/>
  <c r="I994" i="16" s="1"/>
  <c r="H867" i="16"/>
  <c r="I867" i="16" s="1"/>
  <c r="H875" i="16"/>
  <c r="I875" i="16" s="1"/>
  <c r="H883" i="16"/>
  <c r="I883" i="16" s="1"/>
  <c r="E884" i="16"/>
  <c r="H891" i="16"/>
  <c r="I891" i="16" s="1"/>
  <c r="E892" i="16"/>
  <c r="H899" i="16"/>
  <c r="I899" i="16" s="1"/>
  <c r="E900" i="16"/>
  <c r="H907" i="16"/>
  <c r="I907" i="16" s="1"/>
  <c r="E908" i="16"/>
  <c r="H915" i="16"/>
  <c r="I915" i="16" s="1"/>
  <c r="E916" i="16"/>
  <c r="G924" i="16"/>
  <c r="G958" i="16"/>
  <c r="H958" i="16"/>
  <c r="I958" i="16" s="1"/>
  <c r="F962" i="16"/>
  <c r="H962" i="16" s="1"/>
  <c r="I962" i="16" s="1"/>
  <c r="G974" i="16"/>
  <c r="H974" i="16"/>
  <c r="I974" i="16" s="1"/>
  <c r="F978" i="16"/>
  <c r="H978" i="16" s="1"/>
  <c r="I978" i="16" s="1"/>
  <c r="G990" i="16"/>
  <c r="H990" i="16"/>
  <c r="I990" i="16" s="1"/>
  <c r="F994" i="16"/>
  <c r="F947" i="16"/>
  <c r="E947" i="16"/>
  <c r="F922" i="16"/>
  <c r="H926" i="16"/>
  <c r="I926" i="16" s="1"/>
  <c r="E927" i="16"/>
  <c r="H934" i="16"/>
  <c r="I934" i="16" s="1"/>
  <c r="E935" i="16"/>
  <c r="H942" i="16"/>
  <c r="I942" i="16" s="1"/>
  <c r="E943" i="16"/>
  <c r="E953" i="16"/>
  <c r="F953" i="16"/>
  <c r="E957" i="16"/>
  <c r="F957" i="16"/>
  <c r="E961" i="16"/>
  <c r="F961" i="16"/>
  <c r="E965" i="16"/>
  <c r="F965" i="16"/>
  <c r="E969" i="16"/>
  <c r="F969" i="16"/>
  <c r="E973" i="16"/>
  <c r="F973" i="16"/>
  <c r="E977" i="16"/>
  <c r="F977" i="16"/>
  <c r="E981" i="16"/>
  <c r="F981" i="16"/>
  <c r="E985" i="16"/>
  <c r="F985" i="16"/>
  <c r="E989" i="16"/>
  <c r="F989" i="16"/>
  <c r="E993" i="16"/>
  <c r="F993" i="16"/>
  <c r="E997" i="16"/>
  <c r="F997" i="16"/>
  <c r="E1001" i="16"/>
  <c r="F1001" i="16"/>
  <c r="G960" i="16"/>
  <c r="G976" i="16"/>
  <c r="G992" i="16"/>
  <c r="F948" i="16"/>
  <c r="G951" i="16"/>
  <c r="F952" i="16"/>
  <c r="H952" i="16" s="1"/>
  <c r="I952" i="16" s="1"/>
  <c r="G955" i="16"/>
  <c r="F956" i="16"/>
  <c r="H956" i="16" s="1"/>
  <c r="I956" i="16" s="1"/>
  <c r="G959" i="16"/>
  <c r="F960" i="16"/>
  <c r="H960" i="16" s="1"/>
  <c r="I960" i="16" s="1"/>
  <c r="G963" i="16"/>
  <c r="F964" i="16"/>
  <c r="H964" i="16" s="1"/>
  <c r="I964" i="16" s="1"/>
  <c r="G967" i="16"/>
  <c r="F968" i="16"/>
  <c r="H968" i="16" s="1"/>
  <c r="I968" i="16" s="1"/>
  <c r="G971" i="16"/>
  <c r="F972" i="16"/>
  <c r="H972" i="16" s="1"/>
  <c r="I972" i="16" s="1"/>
  <c r="G975" i="16"/>
  <c r="F976" i="16"/>
  <c r="H976" i="16" s="1"/>
  <c r="I976" i="16" s="1"/>
  <c r="G979" i="16"/>
  <c r="F980" i="16"/>
  <c r="H980" i="16" s="1"/>
  <c r="I980" i="16" s="1"/>
  <c r="G983" i="16"/>
  <c r="F984" i="16"/>
  <c r="H984" i="16" s="1"/>
  <c r="I984" i="16" s="1"/>
  <c r="G987" i="16"/>
  <c r="F988" i="16"/>
  <c r="H988" i="16" s="1"/>
  <c r="I988" i="16" s="1"/>
  <c r="G991" i="16"/>
  <c r="F992" i="16"/>
  <c r="H992" i="16" s="1"/>
  <c r="I992" i="16" s="1"/>
  <c r="G995" i="16"/>
  <c r="F996" i="16"/>
  <c r="H996" i="16" s="1"/>
  <c r="I996" i="16" s="1"/>
  <c r="G999" i="16"/>
  <c r="F1000" i="16"/>
  <c r="H1000" i="16" s="1"/>
  <c r="I1000" i="16" s="1"/>
  <c r="H53" i="14"/>
  <c r="I53" i="14" s="1"/>
  <c r="G53" i="14"/>
  <c r="H149" i="14"/>
  <c r="I149" i="14" s="1"/>
  <c r="G149" i="14"/>
  <c r="H117" i="14"/>
  <c r="I117" i="14" s="1"/>
  <c r="G117" i="14"/>
  <c r="H85" i="14"/>
  <c r="I85" i="14" s="1"/>
  <c r="G85" i="14"/>
  <c r="H181" i="14"/>
  <c r="I181" i="14" s="1"/>
  <c r="G181" i="14"/>
  <c r="H61" i="14"/>
  <c r="I61" i="14" s="1"/>
  <c r="G61" i="14"/>
  <c r="E19" i="14"/>
  <c r="E52" i="14"/>
  <c r="H52" i="14" s="1"/>
  <c r="I52" i="14" s="1"/>
  <c r="E84" i="14"/>
  <c r="H84" i="14" s="1"/>
  <c r="I84" i="14" s="1"/>
  <c r="E103" i="14"/>
  <c r="H13" i="14"/>
  <c r="I13" i="14" s="1"/>
  <c r="F17" i="14"/>
  <c r="G17" i="14" s="1"/>
  <c r="G33" i="14"/>
  <c r="G41" i="14"/>
  <c r="E60" i="14"/>
  <c r="H60" i="14" s="1"/>
  <c r="I60" i="14" s="1"/>
  <c r="F69" i="14"/>
  <c r="H69" i="14" s="1"/>
  <c r="I69" i="14" s="1"/>
  <c r="E77" i="14"/>
  <c r="E79" i="14"/>
  <c r="E92" i="14"/>
  <c r="H92" i="14" s="1"/>
  <c r="I92" i="14" s="1"/>
  <c r="F101" i="14"/>
  <c r="H101" i="14" s="1"/>
  <c r="I101" i="14" s="1"/>
  <c r="E109" i="14"/>
  <c r="E111" i="14"/>
  <c r="F137" i="14"/>
  <c r="G137" i="14" s="1"/>
  <c r="E141" i="14"/>
  <c r="E143" i="14"/>
  <c r="E156" i="14"/>
  <c r="H156" i="14" s="1"/>
  <c r="I156" i="14" s="1"/>
  <c r="E173" i="14"/>
  <c r="E175" i="14"/>
  <c r="E188" i="14"/>
  <c r="H188" i="14" s="1"/>
  <c r="I188" i="14" s="1"/>
  <c r="E207" i="14"/>
  <c r="E3" i="14"/>
  <c r="G3" i="14" s="1"/>
  <c r="H5" i="14"/>
  <c r="I5" i="14" s="1"/>
  <c r="F9" i="14"/>
  <c r="G9" i="14" s="1"/>
  <c r="F13" i="14"/>
  <c r="F25" i="14"/>
  <c r="G25" i="14" s="1"/>
  <c r="E27" i="14"/>
  <c r="H29" i="14"/>
  <c r="I29" i="14" s="1"/>
  <c r="E31" i="14"/>
  <c r="F37" i="14"/>
  <c r="H37" i="14" s="1"/>
  <c r="I37" i="14" s="1"/>
  <c r="E39" i="14"/>
  <c r="F45" i="14"/>
  <c r="G45" i="14" s="1"/>
  <c r="F49" i="14"/>
  <c r="G49" i="14" s="1"/>
  <c r="E55" i="14"/>
  <c r="H57" i="14"/>
  <c r="I57" i="14" s="1"/>
  <c r="E68" i="14"/>
  <c r="H68" i="14" s="1"/>
  <c r="I68" i="14" s="1"/>
  <c r="H72" i="14"/>
  <c r="I72" i="14" s="1"/>
  <c r="F81" i="14"/>
  <c r="G81" i="14" s="1"/>
  <c r="E87" i="14"/>
  <c r="H89" i="14"/>
  <c r="I89" i="14" s="1"/>
  <c r="E100" i="14"/>
  <c r="H100" i="14" s="1"/>
  <c r="I100" i="14" s="1"/>
  <c r="H104" i="14"/>
  <c r="I104" i="14" s="1"/>
  <c r="F113" i="14"/>
  <c r="G113" i="14" s="1"/>
  <c r="E119" i="14"/>
  <c r="H121" i="14"/>
  <c r="I121" i="14" s="1"/>
  <c r="E132" i="14"/>
  <c r="H132" i="14" s="1"/>
  <c r="I132" i="14" s="1"/>
  <c r="H136" i="14"/>
  <c r="I136" i="14" s="1"/>
  <c r="F145" i="14"/>
  <c r="G145" i="14" s="1"/>
  <c r="E151" i="14"/>
  <c r="H153" i="14"/>
  <c r="I153" i="14" s="1"/>
  <c r="E164" i="14"/>
  <c r="H164" i="14" s="1"/>
  <c r="I164" i="14" s="1"/>
  <c r="H168" i="14"/>
  <c r="I168" i="14" s="1"/>
  <c r="F177" i="14"/>
  <c r="G177" i="14" s="1"/>
  <c r="E183" i="14"/>
  <c r="H185" i="14"/>
  <c r="I185" i="14" s="1"/>
  <c r="E196" i="14"/>
  <c r="H196" i="14" s="1"/>
  <c r="I196" i="14" s="1"/>
  <c r="H200" i="14"/>
  <c r="I200" i="14" s="1"/>
  <c r="F205" i="14"/>
  <c r="G205" i="14" s="1"/>
  <c r="F209" i="14"/>
  <c r="G209" i="14" s="1"/>
  <c r="E213" i="14"/>
  <c r="H213" i="14" s="1"/>
  <c r="I213" i="14" s="1"/>
  <c r="H215" i="14"/>
  <c r="I215" i="14" s="1"/>
  <c r="F217" i="14"/>
  <c r="E217" i="14"/>
  <c r="F221" i="14"/>
  <c r="E221" i="14"/>
  <c r="G223" i="14"/>
  <c r="F250" i="14"/>
  <c r="E250" i="14"/>
  <c r="F270" i="14"/>
  <c r="E270" i="14"/>
  <c r="H275" i="14"/>
  <c r="I275" i="14" s="1"/>
  <c r="G275" i="14"/>
  <c r="H278" i="14"/>
  <c r="I278" i="14" s="1"/>
  <c r="H283" i="14"/>
  <c r="I283" i="14" s="1"/>
  <c r="G283" i="14"/>
  <c r="H286" i="14"/>
  <c r="I286" i="14" s="1"/>
  <c r="H291" i="14"/>
  <c r="I291" i="14" s="1"/>
  <c r="G291" i="14"/>
  <c r="H294" i="14"/>
  <c r="I294" i="14" s="1"/>
  <c r="H299" i="14"/>
  <c r="I299" i="14" s="1"/>
  <c r="G299" i="14"/>
  <c r="H302" i="14"/>
  <c r="I302" i="14" s="1"/>
  <c r="H307" i="14"/>
  <c r="I307" i="14" s="1"/>
  <c r="G307" i="14"/>
  <c r="H310" i="14"/>
  <c r="I310" i="14" s="1"/>
  <c r="H93" i="14"/>
  <c r="I93" i="14" s="1"/>
  <c r="G93" i="14"/>
  <c r="H112" i="14"/>
  <c r="I112" i="14" s="1"/>
  <c r="H125" i="14"/>
  <c r="I125" i="14" s="1"/>
  <c r="G125" i="14"/>
  <c r="H129" i="14"/>
  <c r="I129" i="14" s="1"/>
  <c r="H144" i="14"/>
  <c r="I144" i="14" s="1"/>
  <c r="H157" i="14"/>
  <c r="I157" i="14" s="1"/>
  <c r="G157" i="14"/>
  <c r="H161" i="14"/>
  <c r="I161" i="14" s="1"/>
  <c r="H176" i="14"/>
  <c r="I176" i="14" s="1"/>
  <c r="H189" i="14"/>
  <c r="I189" i="14" s="1"/>
  <c r="G189" i="14"/>
  <c r="H193" i="14"/>
  <c r="I193" i="14" s="1"/>
  <c r="H208" i="14"/>
  <c r="I208" i="14" s="1"/>
  <c r="H212" i="14"/>
  <c r="I212" i="14" s="1"/>
  <c r="G212" i="14"/>
  <c r="H226" i="14"/>
  <c r="I226" i="14" s="1"/>
  <c r="F253" i="14"/>
  <c r="E253" i="14"/>
  <c r="G255" i="14"/>
  <c r="G257" i="14"/>
  <c r="H257" i="14"/>
  <c r="I257" i="14" s="1"/>
  <c r="H259" i="14"/>
  <c r="I259" i="14" s="1"/>
  <c r="G259" i="14"/>
  <c r="F262" i="14"/>
  <c r="E262" i="14"/>
  <c r="F267" i="14"/>
  <c r="E267" i="14"/>
  <c r="G267" i="14" s="1"/>
  <c r="F273" i="14"/>
  <c r="E273" i="14"/>
  <c r="E35" i="14"/>
  <c r="E40" i="14"/>
  <c r="H40" i="14" s="1"/>
  <c r="I40" i="14" s="1"/>
  <c r="E43" i="14"/>
  <c r="H133" i="14"/>
  <c r="I133" i="14" s="1"/>
  <c r="G133" i="14"/>
  <c r="H137" i="14"/>
  <c r="I137" i="14" s="1"/>
  <c r="H165" i="14"/>
  <c r="I165" i="14" s="1"/>
  <c r="G165" i="14"/>
  <c r="H197" i="14"/>
  <c r="I197" i="14" s="1"/>
  <c r="G197" i="14"/>
  <c r="H201" i="14"/>
  <c r="I201" i="14" s="1"/>
  <c r="E216" i="14"/>
  <c r="F216" i="14"/>
  <c r="E219" i="14"/>
  <c r="F219" i="14"/>
  <c r="F222" i="14"/>
  <c r="E222" i="14"/>
  <c r="F229" i="14"/>
  <c r="E229" i="14"/>
  <c r="H229" i="14" s="1"/>
  <c r="I229" i="14" s="1"/>
  <c r="F274" i="14"/>
  <c r="E274" i="14"/>
  <c r="F282" i="14"/>
  <c r="E282" i="14"/>
  <c r="F290" i="14"/>
  <c r="E290" i="14"/>
  <c r="H290" i="14" s="1"/>
  <c r="I290" i="14" s="1"/>
  <c r="F298" i="14"/>
  <c r="E298" i="14"/>
  <c r="F306" i="14"/>
  <c r="E306" i="14"/>
  <c r="H306" i="14" s="1"/>
  <c r="I306" i="14" s="1"/>
  <c r="E4" i="14"/>
  <c r="E28" i="14"/>
  <c r="H28" i="14" s="1"/>
  <c r="I28" i="14" s="1"/>
  <c r="E32" i="14"/>
  <c r="H32" i="14" s="1"/>
  <c r="I32" i="14" s="1"/>
  <c r="F65" i="14"/>
  <c r="H65" i="14" s="1"/>
  <c r="I65" i="14" s="1"/>
  <c r="E71" i="14"/>
  <c r="F97" i="14"/>
  <c r="H97" i="14" s="1"/>
  <c r="I97" i="14" s="1"/>
  <c r="E11" i="14"/>
  <c r="G11" i="14" s="1"/>
  <c r="F21" i="14"/>
  <c r="G21" i="14" s="1"/>
  <c r="E23" i="14"/>
  <c r="E47" i="14"/>
  <c r="G65" i="14"/>
  <c r="F73" i="14"/>
  <c r="G73" i="14" s="1"/>
  <c r="H81" i="14"/>
  <c r="I81" i="14" s="1"/>
  <c r="G97" i="14"/>
  <c r="F105" i="14"/>
  <c r="G105" i="14" s="1"/>
  <c r="H113" i="14"/>
  <c r="I113" i="14" s="1"/>
  <c r="E124" i="14"/>
  <c r="H124" i="14" s="1"/>
  <c r="I124" i="14" s="1"/>
  <c r="H145" i="14"/>
  <c r="I145" i="14" s="1"/>
  <c r="G161" i="14"/>
  <c r="F169" i="14"/>
  <c r="G169" i="14" s="1"/>
  <c r="H177" i="14"/>
  <c r="I177" i="14" s="1"/>
  <c r="F201" i="14"/>
  <c r="G201" i="14" s="1"/>
  <c r="H209" i="14"/>
  <c r="I209" i="14" s="1"/>
  <c r="G237" i="14"/>
  <c r="H237" i="14"/>
  <c r="I237" i="14" s="1"/>
  <c r="F277" i="14"/>
  <c r="E277" i="14"/>
  <c r="G279" i="14"/>
  <c r="F285" i="14"/>
  <c r="E285" i="14"/>
  <c r="G287" i="14"/>
  <c r="F293" i="14"/>
  <c r="E293" i="14"/>
  <c r="F301" i="14"/>
  <c r="E301" i="14"/>
  <c r="F309" i="14"/>
  <c r="E309" i="14"/>
  <c r="G311" i="14"/>
  <c r="H343" i="14"/>
  <c r="I343" i="14" s="1"/>
  <c r="H375" i="14"/>
  <c r="I375" i="14" s="1"/>
  <c r="G375" i="14"/>
  <c r="H224" i="14"/>
  <c r="I224" i="14" s="1"/>
  <c r="F227" i="14"/>
  <c r="G227" i="14" s="1"/>
  <c r="F231" i="14"/>
  <c r="G231" i="14" s="1"/>
  <c r="F239" i="14"/>
  <c r="G239" i="14" s="1"/>
  <c r="E241" i="14"/>
  <c r="F243" i="14"/>
  <c r="G243" i="14" s="1"/>
  <c r="E249" i="14"/>
  <c r="G249" i="14" s="1"/>
  <c r="F266" i="14"/>
  <c r="F279" i="14"/>
  <c r="H279" i="14" s="1"/>
  <c r="I279" i="14" s="1"/>
  <c r="E281" i="14"/>
  <c r="F287" i="14"/>
  <c r="H287" i="14" s="1"/>
  <c r="I287" i="14" s="1"/>
  <c r="E289" i="14"/>
  <c r="F295" i="14"/>
  <c r="H295" i="14" s="1"/>
  <c r="I295" i="14" s="1"/>
  <c r="E297" i="14"/>
  <c r="F303" i="14"/>
  <c r="H303" i="14" s="1"/>
  <c r="I303" i="14" s="1"/>
  <c r="E305" i="14"/>
  <c r="F311" i="14"/>
  <c r="H311" i="14" s="1"/>
  <c r="I311" i="14" s="1"/>
  <c r="E313" i="14"/>
  <c r="F319" i="14"/>
  <c r="H319" i="14" s="1"/>
  <c r="I319" i="14" s="1"/>
  <c r="E321" i="14"/>
  <c r="F327" i="14"/>
  <c r="H327" i="14" s="1"/>
  <c r="I327" i="14" s="1"/>
  <c r="E329" i="14"/>
  <c r="F335" i="14"/>
  <c r="H335" i="14" s="1"/>
  <c r="I335" i="14" s="1"/>
  <c r="E337" i="14"/>
  <c r="F343" i="14"/>
  <c r="G343" i="14" s="1"/>
  <c r="E345" i="14"/>
  <c r="F351" i="14"/>
  <c r="H351" i="14" s="1"/>
  <c r="I351" i="14" s="1"/>
  <c r="E353" i="14"/>
  <c r="F359" i="14"/>
  <c r="G359" i="14" s="1"/>
  <c r="E361" i="14"/>
  <c r="F367" i="14"/>
  <c r="G367" i="14" s="1"/>
  <c r="E369" i="14"/>
  <c r="F375" i="14"/>
  <c r="E377" i="14"/>
  <c r="F383" i="14"/>
  <c r="H383" i="14" s="1"/>
  <c r="I383" i="14" s="1"/>
  <c r="E385" i="14"/>
  <c r="F391" i="14"/>
  <c r="H391" i="14" s="1"/>
  <c r="I391" i="14" s="1"/>
  <c r="H395" i="14"/>
  <c r="I395" i="14" s="1"/>
  <c r="F401" i="14"/>
  <c r="E401" i="14"/>
  <c r="F406" i="14"/>
  <c r="F410" i="14"/>
  <c r="H410" i="14" s="1"/>
  <c r="I410" i="14" s="1"/>
  <c r="G411" i="14"/>
  <c r="H414" i="14"/>
  <c r="I414" i="14" s="1"/>
  <c r="E421" i="14"/>
  <c r="H421" i="14" s="1"/>
  <c r="I421" i="14" s="1"/>
  <c r="E423" i="14"/>
  <c r="H427" i="14"/>
  <c r="I427" i="14" s="1"/>
  <c r="F433" i="14"/>
  <c r="E433" i="14"/>
  <c r="F438" i="14"/>
  <c r="F442" i="14"/>
  <c r="H442" i="14" s="1"/>
  <c r="I442" i="14" s="1"/>
  <c r="G443" i="14"/>
  <c r="H446" i="14"/>
  <c r="I446" i="14" s="1"/>
  <c r="F454" i="14"/>
  <c r="E454" i="14"/>
  <c r="F455" i="14"/>
  <c r="G460" i="14"/>
  <c r="E462" i="14"/>
  <c r="G464" i="14"/>
  <c r="F468" i="14"/>
  <c r="G468" i="14" s="1"/>
  <c r="E470" i="14"/>
  <c r="F471" i="14"/>
  <c r="F474" i="14"/>
  <c r="E474" i="14"/>
  <c r="G474" i="14" s="1"/>
  <c r="F491" i="14"/>
  <c r="E495" i="14"/>
  <c r="G500" i="14"/>
  <c r="E502" i="14"/>
  <c r="F516" i="14"/>
  <c r="E519" i="14"/>
  <c r="H519" i="14" s="1"/>
  <c r="I519" i="14" s="1"/>
  <c r="E531" i="14"/>
  <c r="F531" i="14"/>
  <c r="H539" i="14"/>
  <c r="I539" i="14" s="1"/>
  <c r="F548" i="14"/>
  <c r="E551" i="14"/>
  <c r="H551" i="14" s="1"/>
  <c r="I551" i="14" s="1"/>
  <c r="E563" i="14"/>
  <c r="H563" i="14" s="1"/>
  <c r="I563" i="14" s="1"/>
  <c r="F563" i="14"/>
  <c r="H758" i="14"/>
  <c r="I758" i="14" s="1"/>
  <c r="G758" i="14"/>
  <c r="F409" i="14"/>
  <c r="E409" i="14"/>
  <c r="F441" i="14"/>
  <c r="E441" i="14"/>
  <c r="E452" i="14"/>
  <c r="G452" i="14" s="1"/>
  <c r="F452" i="14"/>
  <c r="F486" i="14"/>
  <c r="E486" i="14"/>
  <c r="G494" i="14"/>
  <c r="H494" i="14"/>
  <c r="I494" i="14" s="1"/>
  <c r="G496" i="14"/>
  <c r="E528" i="14"/>
  <c r="F528" i="14"/>
  <c r="E560" i="14"/>
  <c r="F560" i="14"/>
  <c r="H790" i="14"/>
  <c r="I790" i="14" s="1"/>
  <c r="G790" i="14"/>
  <c r="G263" i="14"/>
  <c r="E314" i="14"/>
  <c r="H314" i="14" s="1"/>
  <c r="I314" i="14" s="1"/>
  <c r="E317" i="14"/>
  <c r="E322" i="14"/>
  <c r="H322" i="14" s="1"/>
  <c r="I322" i="14" s="1"/>
  <c r="E325" i="14"/>
  <c r="H325" i="14" s="1"/>
  <c r="I325" i="14" s="1"/>
  <c r="E330" i="14"/>
  <c r="H330" i="14" s="1"/>
  <c r="I330" i="14" s="1"/>
  <c r="E333" i="14"/>
  <c r="H333" i="14" s="1"/>
  <c r="I333" i="14" s="1"/>
  <c r="E338" i="14"/>
  <c r="H338" i="14" s="1"/>
  <c r="I338" i="14" s="1"/>
  <c r="E341" i="14"/>
  <c r="H341" i="14" s="1"/>
  <c r="I341" i="14" s="1"/>
  <c r="E346" i="14"/>
  <c r="H346" i="14" s="1"/>
  <c r="I346" i="14" s="1"/>
  <c r="E349" i="14"/>
  <c r="H349" i="14" s="1"/>
  <c r="I349" i="14" s="1"/>
  <c r="E354" i="14"/>
  <c r="H354" i="14" s="1"/>
  <c r="I354" i="14" s="1"/>
  <c r="E357" i="14"/>
  <c r="H357" i="14" s="1"/>
  <c r="I357" i="14" s="1"/>
  <c r="E362" i="14"/>
  <c r="H362" i="14" s="1"/>
  <c r="I362" i="14" s="1"/>
  <c r="E365" i="14"/>
  <c r="H365" i="14" s="1"/>
  <c r="I365" i="14" s="1"/>
  <c r="E370" i="14"/>
  <c r="H370" i="14" s="1"/>
  <c r="I370" i="14" s="1"/>
  <c r="E373" i="14"/>
  <c r="H373" i="14" s="1"/>
  <c r="I373" i="14" s="1"/>
  <c r="E378" i="14"/>
  <c r="H378" i="14" s="1"/>
  <c r="I378" i="14" s="1"/>
  <c r="E381" i="14"/>
  <c r="H381" i="14" s="1"/>
  <c r="I381" i="14" s="1"/>
  <c r="E386" i="14"/>
  <c r="H386" i="14" s="1"/>
  <c r="I386" i="14" s="1"/>
  <c r="E389" i="14"/>
  <c r="H389" i="14" s="1"/>
  <c r="I389" i="14" s="1"/>
  <c r="G399" i="14"/>
  <c r="E402" i="14"/>
  <c r="H402" i="14" s="1"/>
  <c r="I402" i="14" s="1"/>
  <c r="E405" i="14"/>
  <c r="H405" i="14" s="1"/>
  <c r="I405" i="14" s="1"/>
  <c r="E407" i="14"/>
  <c r="F417" i="14"/>
  <c r="E417" i="14"/>
  <c r="F422" i="14"/>
  <c r="H422" i="14" s="1"/>
  <c r="I422" i="14" s="1"/>
  <c r="G431" i="14"/>
  <c r="E434" i="14"/>
  <c r="H434" i="14" s="1"/>
  <c r="I434" i="14" s="1"/>
  <c r="E437" i="14"/>
  <c r="H437" i="14" s="1"/>
  <c r="I437" i="14" s="1"/>
  <c r="E439" i="14"/>
  <c r="F449" i="14"/>
  <c r="E449" i="14"/>
  <c r="F456" i="14"/>
  <c r="G456" i="14" s="1"/>
  <c r="E467" i="14"/>
  <c r="E475" i="14"/>
  <c r="H478" i="14"/>
  <c r="I478" i="14" s="1"/>
  <c r="E482" i="14"/>
  <c r="G482" i="14" s="1"/>
  <c r="E484" i="14"/>
  <c r="F484" i="14"/>
  <c r="E490" i="14"/>
  <c r="G490" i="14" s="1"/>
  <c r="F492" i="14"/>
  <c r="G492" i="14" s="1"/>
  <c r="F496" i="14"/>
  <c r="E503" i="14"/>
  <c r="E515" i="14"/>
  <c r="F515" i="14"/>
  <c r="F532" i="14"/>
  <c r="E535" i="14"/>
  <c r="H535" i="14" s="1"/>
  <c r="I535" i="14" s="1"/>
  <c r="E547" i="14"/>
  <c r="F547" i="14"/>
  <c r="F564" i="14"/>
  <c r="E567" i="14"/>
  <c r="H567" i="14" s="1"/>
  <c r="I567" i="14" s="1"/>
  <c r="F228" i="14"/>
  <c r="H228" i="14" s="1"/>
  <c r="I228" i="14" s="1"/>
  <c r="E233" i="14"/>
  <c r="G233" i="14" s="1"/>
  <c r="E269" i="14"/>
  <c r="G315" i="14"/>
  <c r="G323" i="14"/>
  <c r="G331" i="14"/>
  <c r="G339" i="14"/>
  <c r="G347" i="14"/>
  <c r="G355" i="14"/>
  <c r="G363" i="14"/>
  <c r="G371" i="14"/>
  <c r="G379" i="14"/>
  <c r="G387" i="14"/>
  <c r="F393" i="14"/>
  <c r="E393" i="14"/>
  <c r="F398" i="14"/>
  <c r="H398" i="14" s="1"/>
  <c r="I398" i="14" s="1"/>
  <c r="G403" i="14"/>
  <c r="H406" i="14"/>
  <c r="I406" i="14" s="1"/>
  <c r="E413" i="14"/>
  <c r="H413" i="14" s="1"/>
  <c r="I413" i="14" s="1"/>
  <c r="E415" i="14"/>
  <c r="F425" i="14"/>
  <c r="E425" i="14"/>
  <c r="F430" i="14"/>
  <c r="H430" i="14" s="1"/>
  <c r="I430" i="14" s="1"/>
  <c r="G435" i="14"/>
  <c r="H438" i="14"/>
  <c r="I438" i="14" s="1"/>
  <c r="E445" i="14"/>
  <c r="H445" i="14" s="1"/>
  <c r="I445" i="14" s="1"/>
  <c r="E447" i="14"/>
  <c r="F459" i="14"/>
  <c r="E463" i="14"/>
  <c r="E480" i="14"/>
  <c r="G480" i="14" s="1"/>
  <c r="F480" i="14"/>
  <c r="E499" i="14"/>
  <c r="E512" i="14"/>
  <c r="F512" i="14"/>
  <c r="E544" i="14"/>
  <c r="F544" i="14"/>
  <c r="E580" i="14"/>
  <c r="F580" i="14"/>
  <c r="G710" i="14"/>
  <c r="G725" i="14"/>
  <c r="G472" i="14"/>
  <c r="G504" i="14"/>
  <c r="F508" i="14"/>
  <c r="F524" i="14"/>
  <c r="F540" i="14"/>
  <c r="F556" i="14"/>
  <c r="F572" i="14"/>
  <c r="F579" i="14"/>
  <c r="H579" i="14" s="1"/>
  <c r="I579" i="14" s="1"/>
  <c r="F588" i="14"/>
  <c r="F590" i="14"/>
  <c r="G590" i="14" s="1"/>
  <c r="F606" i="14"/>
  <c r="H606" i="14" s="1"/>
  <c r="I606" i="14" s="1"/>
  <c r="F610" i="14"/>
  <c r="H612" i="14"/>
  <c r="I612" i="14" s="1"/>
  <c r="F616" i="14"/>
  <c r="G616" i="14" s="1"/>
  <c r="E618" i="14"/>
  <c r="F619" i="14"/>
  <c r="F631" i="14"/>
  <c r="F636" i="14"/>
  <c r="H644" i="14"/>
  <c r="I644" i="14" s="1"/>
  <c r="F648" i="14"/>
  <c r="G648" i="14" s="1"/>
  <c r="E650" i="14"/>
  <c r="F651" i="14"/>
  <c r="F663" i="14"/>
  <c r="F672" i="14"/>
  <c r="F679" i="14"/>
  <c r="F688" i="14"/>
  <c r="F695" i="14"/>
  <c r="H695" i="14" s="1"/>
  <c r="I695" i="14" s="1"/>
  <c r="F709" i="14"/>
  <c r="G709" i="14" s="1"/>
  <c r="F725" i="14"/>
  <c r="F734" i="14"/>
  <c r="H739" i="14"/>
  <c r="I739" i="14" s="1"/>
  <c r="H743" i="14"/>
  <c r="I743" i="14" s="1"/>
  <c r="F747" i="14"/>
  <c r="G747" i="14" s="1"/>
  <c r="F754" i="14"/>
  <c r="G754" i="14" s="1"/>
  <c r="F759" i="14"/>
  <c r="H759" i="14" s="1"/>
  <c r="I759" i="14" s="1"/>
  <c r="E764" i="14"/>
  <c r="H764" i="14" s="1"/>
  <c r="I764" i="14" s="1"/>
  <c r="F766" i="14"/>
  <c r="F774" i="14"/>
  <c r="G774" i="14" s="1"/>
  <c r="E782" i="14"/>
  <c r="F791" i="14"/>
  <c r="H791" i="14" s="1"/>
  <c r="I791" i="14" s="1"/>
  <c r="F804" i="14"/>
  <c r="E804" i="14"/>
  <c r="H804" i="14" s="1"/>
  <c r="I804" i="14" s="1"/>
  <c r="F806" i="14"/>
  <c r="H809" i="14"/>
  <c r="I809" i="14" s="1"/>
  <c r="F810" i="14"/>
  <c r="H810" i="14" s="1"/>
  <c r="I810" i="14" s="1"/>
  <c r="G814" i="14"/>
  <c r="E824" i="14"/>
  <c r="F831" i="14"/>
  <c r="E835" i="14"/>
  <c r="F842" i="14"/>
  <c r="E842" i="14"/>
  <c r="E847" i="14"/>
  <c r="F847" i="14"/>
  <c r="F858" i="14"/>
  <c r="E858" i="14"/>
  <c r="E863" i="14"/>
  <c r="F863" i="14"/>
  <c r="F874" i="14"/>
  <c r="E874" i="14"/>
  <c r="H880" i="14"/>
  <c r="I880" i="14" s="1"/>
  <c r="H884" i="14"/>
  <c r="I884" i="14" s="1"/>
  <c r="G884" i="14"/>
  <c r="H887" i="14"/>
  <c r="I887" i="14" s="1"/>
  <c r="E889" i="14"/>
  <c r="F889" i="14"/>
  <c r="E896" i="14"/>
  <c r="G904" i="14"/>
  <c r="E907" i="14"/>
  <c r="F907" i="14"/>
  <c r="H949" i="14"/>
  <c r="I949" i="14" s="1"/>
  <c r="G949" i="14"/>
  <c r="G961" i="14"/>
  <c r="G977" i="14"/>
  <c r="G993" i="14"/>
  <c r="H703" i="14"/>
  <c r="I703" i="14" s="1"/>
  <c r="H735" i="14"/>
  <c r="I735" i="14" s="1"/>
  <c r="F780" i="14"/>
  <c r="E780" i="14"/>
  <c r="H780" i="14" s="1"/>
  <c r="I780" i="14" s="1"/>
  <c r="H815" i="14"/>
  <c r="I815" i="14" s="1"/>
  <c r="F820" i="14"/>
  <c r="E820" i="14"/>
  <c r="E829" i="14"/>
  <c r="F829" i="14"/>
  <c r="E852" i="14"/>
  <c r="F852" i="14"/>
  <c r="E868" i="14"/>
  <c r="F868" i="14"/>
  <c r="H892" i="14"/>
  <c r="I892" i="14" s="1"/>
  <c r="G892" i="14"/>
  <c r="E900" i="14"/>
  <c r="F900" i="14"/>
  <c r="H912" i="14"/>
  <c r="I912" i="14" s="1"/>
  <c r="G912" i="14"/>
  <c r="E583" i="14"/>
  <c r="H583" i="14" s="1"/>
  <c r="I583" i="14" s="1"/>
  <c r="E591" i="14"/>
  <c r="E603" i="14"/>
  <c r="G603" i="14" s="1"/>
  <c r="E607" i="14"/>
  <c r="E609" i="14"/>
  <c r="H609" i="14" s="1"/>
  <c r="I609" i="14" s="1"/>
  <c r="E611" i="14"/>
  <c r="F620" i="14"/>
  <c r="H620" i="14" s="1"/>
  <c r="I620" i="14" s="1"/>
  <c r="E623" i="14"/>
  <c r="E643" i="14"/>
  <c r="F652" i="14"/>
  <c r="H652" i="14" s="1"/>
  <c r="I652" i="14" s="1"/>
  <c r="E655" i="14"/>
  <c r="H660" i="14"/>
  <c r="I660" i="14" s="1"/>
  <c r="H699" i="14"/>
  <c r="I699" i="14" s="1"/>
  <c r="H710" i="14"/>
  <c r="I710" i="14" s="1"/>
  <c r="H726" i="14"/>
  <c r="I726" i="14" s="1"/>
  <c r="F808" i="14"/>
  <c r="E808" i="14"/>
  <c r="G808" i="14" s="1"/>
  <c r="E856" i="14"/>
  <c r="F856" i="14"/>
  <c r="E872" i="14"/>
  <c r="G872" i="14" s="1"/>
  <c r="F872" i="14"/>
  <c r="E876" i="14"/>
  <c r="H876" i="14" s="1"/>
  <c r="I876" i="14" s="1"/>
  <c r="F876" i="14"/>
  <c r="F898" i="14"/>
  <c r="E898" i="14"/>
  <c r="E916" i="14"/>
  <c r="F916" i="14"/>
  <c r="H932" i="14"/>
  <c r="I932" i="14" s="1"/>
  <c r="G932" i="14"/>
  <c r="H969" i="14"/>
  <c r="I969" i="14" s="1"/>
  <c r="G969" i="14"/>
  <c r="H985" i="14"/>
  <c r="I985" i="14" s="1"/>
  <c r="G985" i="14"/>
  <c r="F576" i="14"/>
  <c r="F592" i="14"/>
  <c r="G592" i="14" s="1"/>
  <c r="F594" i="14"/>
  <c r="F608" i="14"/>
  <c r="H608" i="14" s="1"/>
  <c r="I608" i="14" s="1"/>
  <c r="F628" i="14"/>
  <c r="H628" i="14" s="1"/>
  <c r="I628" i="14" s="1"/>
  <c r="H634" i="14"/>
  <c r="I634" i="14" s="1"/>
  <c r="H636" i="14"/>
  <c r="I636" i="14" s="1"/>
  <c r="F640" i="14"/>
  <c r="G640" i="14" s="1"/>
  <c r="E642" i="14"/>
  <c r="F660" i="14"/>
  <c r="F676" i="14"/>
  <c r="F692" i="14"/>
  <c r="F711" i="14"/>
  <c r="G711" i="14" s="1"/>
  <c r="F727" i="14"/>
  <c r="G727" i="14" s="1"/>
  <c r="H747" i="14"/>
  <c r="I747" i="14" s="1"/>
  <c r="H774" i="14"/>
  <c r="I774" i="14" s="1"/>
  <c r="F778" i="14"/>
  <c r="E787" i="14"/>
  <c r="F787" i="14"/>
  <c r="F793" i="14"/>
  <c r="G793" i="14" s="1"/>
  <c r="F796" i="14"/>
  <c r="E796" i="14"/>
  <c r="F803" i="14"/>
  <c r="H803" i="14" s="1"/>
  <c r="I803" i="14" s="1"/>
  <c r="E812" i="14"/>
  <c r="F816" i="14"/>
  <c r="E816" i="14"/>
  <c r="G818" i="14"/>
  <c r="F821" i="14"/>
  <c r="G821" i="14" s="1"/>
  <c r="E826" i="14"/>
  <c r="F828" i="14"/>
  <c r="G828" i="14" s="1"/>
  <c r="G832" i="14"/>
  <c r="E836" i="14"/>
  <c r="G848" i="14"/>
  <c r="E851" i="14"/>
  <c r="F851" i="14"/>
  <c r="F853" i="14"/>
  <c r="G853" i="14" s="1"/>
  <c r="G864" i="14"/>
  <c r="E867" i="14"/>
  <c r="F867" i="14"/>
  <c r="F869" i="14"/>
  <c r="G869" i="14" s="1"/>
  <c r="F879" i="14"/>
  <c r="H879" i="14" s="1"/>
  <c r="I879" i="14" s="1"/>
  <c r="F886" i="14"/>
  <c r="E886" i="14"/>
  <c r="G886" i="14" s="1"/>
  <c r="E891" i="14"/>
  <c r="F891" i="14"/>
  <c r="F914" i="14"/>
  <c r="E914" i="14"/>
  <c r="H920" i="14"/>
  <c r="I920" i="14" s="1"/>
  <c r="G920" i="14"/>
  <c r="G761" i="14"/>
  <c r="G777" i="14"/>
  <c r="F845" i="14"/>
  <c r="H845" i="14" s="1"/>
  <c r="I845" i="14" s="1"/>
  <c r="F861" i="14"/>
  <c r="H861" i="14" s="1"/>
  <c r="I861" i="14" s="1"/>
  <c r="E878" i="14"/>
  <c r="G878" i="14" s="1"/>
  <c r="F881" i="14"/>
  <c r="F895" i="14"/>
  <c r="E902" i="14"/>
  <c r="F911" i="14"/>
  <c r="E918" i="14"/>
  <c r="F927" i="14"/>
  <c r="F932" i="14"/>
  <c r="F934" i="14"/>
  <c r="H934" i="14" s="1"/>
  <c r="I934" i="14" s="1"/>
  <c r="F940" i="14"/>
  <c r="G940" i="14" s="1"/>
  <c r="F941" i="14"/>
  <c r="F945" i="14"/>
  <c r="G945" i="14" s="1"/>
  <c r="F950" i="14"/>
  <c r="H950" i="14" s="1"/>
  <c r="I950" i="14" s="1"/>
  <c r="F960" i="14"/>
  <c r="F965" i="14"/>
  <c r="H965" i="14" s="1"/>
  <c r="I965" i="14" s="1"/>
  <c r="E967" i="14"/>
  <c r="F976" i="14"/>
  <c r="F981" i="14"/>
  <c r="H981" i="14" s="1"/>
  <c r="I981" i="14" s="1"/>
  <c r="E983" i="14"/>
  <c r="F992" i="14"/>
  <c r="F997" i="14"/>
  <c r="H997" i="14" s="1"/>
  <c r="I997" i="14" s="1"/>
  <c r="E999" i="14"/>
  <c r="H908" i="14"/>
  <c r="I908" i="14" s="1"/>
  <c r="H924" i="14"/>
  <c r="I924" i="14" s="1"/>
  <c r="H957" i="14"/>
  <c r="I957" i="14" s="1"/>
  <c r="H973" i="14"/>
  <c r="I973" i="14" s="1"/>
  <c r="H989" i="14"/>
  <c r="I989" i="14" s="1"/>
  <c r="H1001" i="14"/>
  <c r="I1001" i="14" s="1"/>
  <c r="H928" i="14"/>
  <c r="I928" i="14" s="1"/>
  <c r="H961" i="14"/>
  <c r="I961" i="14" s="1"/>
  <c r="H977" i="14"/>
  <c r="I977" i="14" s="1"/>
  <c r="H993" i="14"/>
  <c r="I993" i="14" s="1"/>
  <c r="E1000" i="14"/>
  <c r="H1000" i="14" s="1"/>
  <c r="I1000" i="14" s="1"/>
  <c r="G845" i="14"/>
  <c r="G861" i="14"/>
  <c r="G908" i="14"/>
  <c r="F923" i="14"/>
  <c r="G924" i="14"/>
  <c r="E930" i="14"/>
  <c r="G934" i="14"/>
  <c r="F936" i="14"/>
  <c r="E947" i="14"/>
  <c r="F952" i="14"/>
  <c r="F956" i="14"/>
  <c r="G957" i="14"/>
  <c r="E963" i="14"/>
  <c r="F972" i="14"/>
  <c r="G973" i="14"/>
  <c r="E979" i="14"/>
  <c r="F988" i="14"/>
  <c r="G989" i="14"/>
  <c r="E995" i="14"/>
  <c r="G1001" i="14"/>
  <c r="H4" i="14"/>
  <c r="I4" i="14" s="1"/>
  <c r="G4" i="14"/>
  <c r="H11" i="14"/>
  <c r="I11" i="14" s="1"/>
  <c r="F14" i="14"/>
  <c r="E14" i="14"/>
  <c r="H31" i="14"/>
  <c r="I31" i="14" s="1"/>
  <c r="G31" i="14"/>
  <c r="F34" i="14"/>
  <c r="E34" i="14"/>
  <c r="F26" i="14"/>
  <c r="E26" i="14"/>
  <c r="H27" i="14"/>
  <c r="I27" i="14" s="1"/>
  <c r="G27" i="14"/>
  <c r="H222" i="14"/>
  <c r="I222" i="14" s="1"/>
  <c r="H19" i="14"/>
  <c r="I19" i="14" s="1"/>
  <c r="G19" i="14"/>
  <c r="H3" i="14"/>
  <c r="I3" i="14" s="1"/>
  <c r="F6" i="14"/>
  <c r="E6" i="14"/>
  <c r="H12" i="14"/>
  <c r="I12" i="14" s="1"/>
  <c r="G12" i="14"/>
  <c r="H39" i="14"/>
  <c r="I39" i="14" s="1"/>
  <c r="G39" i="14"/>
  <c r="E7" i="14"/>
  <c r="E15" i="14"/>
  <c r="E2" i="14"/>
  <c r="G5" i="14"/>
  <c r="H8" i="14"/>
  <c r="I8" i="14" s="1"/>
  <c r="G8" i="14"/>
  <c r="H9" i="14"/>
  <c r="I9" i="14" s="1"/>
  <c r="F10" i="14"/>
  <c r="E10" i="14"/>
  <c r="G13" i="14"/>
  <c r="H16" i="14"/>
  <c r="I16" i="14" s="1"/>
  <c r="G16" i="14"/>
  <c r="H17" i="14"/>
  <c r="I17" i="14" s="1"/>
  <c r="F18" i="14"/>
  <c r="E18" i="14"/>
  <c r="F22" i="14"/>
  <c r="E22" i="14"/>
  <c r="H23" i="14"/>
  <c r="I23" i="14" s="1"/>
  <c r="G23" i="14"/>
  <c r="H24" i="14"/>
  <c r="I24" i="14" s="1"/>
  <c r="G29" i="14"/>
  <c r="H79" i="14"/>
  <c r="I79" i="14" s="1"/>
  <c r="H87" i="14"/>
  <c r="I87" i="14" s="1"/>
  <c r="H95" i="14"/>
  <c r="I95" i="14" s="1"/>
  <c r="H103" i="14"/>
  <c r="I103" i="14" s="1"/>
  <c r="H111" i="14"/>
  <c r="I111" i="14" s="1"/>
  <c r="H119" i="14"/>
  <c r="I119" i="14" s="1"/>
  <c r="H127" i="14"/>
  <c r="I127" i="14" s="1"/>
  <c r="H135" i="14"/>
  <c r="I135" i="14" s="1"/>
  <c r="H143" i="14"/>
  <c r="I143" i="14" s="1"/>
  <c r="H151" i="14"/>
  <c r="I151" i="14" s="1"/>
  <c r="H159" i="14"/>
  <c r="I159" i="14" s="1"/>
  <c r="H167" i="14"/>
  <c r="I167" i="14" s="1"/>
  <c r="H175" i="14"/>
  <c r="I175" i="14" s="1"/>
  <c r="H183" i="14"/>
  <c r="I183" i="14" s="1"/>
  <c r="H191" i="14"/>
  <c r="I191" i="14" s="1"/>
  <c r="H199" i="14"/>
  <c r="I199" i="14" s="1"/>
  <c r="H207" i="14"/>
  <c r="I207" i="14" s="1"/>
  <c r="F30" i="14"/>
  <c r="E30" i="14"/>
  <c r="H35" i="14"/>
  <c r="I35" i="14" s="1"/>
  <c r="G35" i="14"/>
  <c r="F38" i="14"/>
  <c r="E38" i="14"/>
  <c r="F42" i="14"/>
  <c r="E42" i="14"/>
  <c r="H43" i="14"/>
  <c r="I43" i="14" s="1"/>
  <c r="G43" i="14"/>
  <c r="F46" i="14"/>
  <c r="E46" i="14"/>
  <c r="H47" i="14"/>
  <c r="I47" i="14" s="1"/>
  <c r="G47" i="14"/>
  <c r="F50" i="14"/>
  <c r="E50" i="14"/>
  <c r="H51" i="14"/>
  <c r="I51" i="14" s="1"/>
  <c r="G51" i="14"/>
  <c r="F54" i="14"/>
  <c r="E54" i="14"/>
  <c r="H55" i="14"/>
  <c r="I55" i="14" s="1"/>
  <c r="G55" i="14"/>
  <c r="F58" i="14"/>
  <c r="E58" i="14"/>
  <c r="H59" i="14"/>
  <c r="I59" i="14" s="1"/>
  <c r="G59" i="14"/>
  <c r="F62" i="14"/>
  <c r="E62" i="14"/>
  <c r="H63" i="14"/>
  <c r="I63" i="14" s="1"/>
  <c r="G63" i="14"/>
  <c r="F66" i="14"/>
  <c r="E66" i="14"/>
  <c r="H67" i="14"/>
  <c r="I67" i="14" s="1"/>
  <c r="G67" i="14"/>
  <c r="F70" i="14"/>
  <c r="E70" i="14"/>
  <c r="H71" i="14"/>
  <c r="I71" i="14" s="1"/>
  <c r="G71" i="14"/>
  <c r="F74" i="14"/>
  <c r="E74" i="14"/>
  <c r="H75" i="14"/>
  <c r="I75" i="14" s="1"/>
  <c r="H83" i="14"/>
  <c r="I83" i="14" s="1"/>
  <c r="H91" i="14"/>
  <c r="I91" i="14" s="1"/>
  <c r="H99" i="14"/>
  <c r="I99" i="14" s="1"/>
  <c r="H107" i="14"/>
  <c r="I107" i="14" s="1"/>
  <c r="H115" i="14"/>
  <c r="I115" i="14" s="1"/>
  <c r="H123" i="14"/>
  <c r="I123" i="14" s="1"/>
  <c r="H131" i="14"/>
  <c r="I131" i="14" s="1"/>
  <c r="H139" i="14"/>
  <c r="I139" i="14" s="1"/>
  <c r="H147" i="14"/>
  <c r="I147" i="14" s="1"/>
  <c r="H155" i="14"/>
  <c r="I155" i="14" s="1"/>
  <c r="H163" i="14"/>
  <c r="I163" i="14" s="1"/>
  <c r="H171" i="14"/>
  <c r="I171" i="14" s="1"/>
  <c r="H179" i="14"/>
  <c r="I179" i="14" s="1"/>
  <c r="H187" i="14"/>
  <c r="I187" i="14" s="1"/>
  <c r="H195" i="14"/>
  <c r="I195" i="14" s="1"/>
  <c r="H203" i="14"/>
  <c r="I203" i="14" s="1"/>
  <c r="G20" i="14"/>
  <c r="G24" i="14"/>
  <c r="G28" i="14"/>
  <c r="G32" i="14"/>
  <c r="G36" i="14"/>
  <c r="G40" i="14"/>
  <c r="G44" i="14"/>
  <c r="G48" i="14"/>
  <c r="G52" i="14"/>
  <c r="G56" i="14"/>
  <c r="G60" i="14"/>
  <c r="G64" i="14"/>
  <c r="G68" i="14"/>
  <c r="G72" i="14"/>
  <c r="G76" i="14"/>
  <c r="E78" i="14"/>
  <c r="G80" i="14"/>
  <c r="E82" i="14"/>
  <c r="G84" i="14"/>
  <c r="E86" i="14"/>
  <c r="G88" i="14"/>
  <c r="E90" i="14"/>
  <c r="G92" i="14"/>
  <c r="E94" i="14"/>
  <c r="G96" i="14"/>
  <c r="E98" i="14"/>
  <c r="G100" i="14"/>
  <c r="E102" i="14"/>
  <c r="G104" i="14"/>
  <c r="E106" i="14"/>
  <c r="G108" i="14"/>
  <c r="E110" i="14"/>
  <c r="G112" i="14"/>
  <c r="E114" i="14"/>
  <c r="G116" i="14"/>
  <c r="E118" i="14"/>
  <c r="G120" i="14"/>
  <c r="E122" i="14"/>
  <c r="G124" i="14"/>
  <c r="E126" i="14"/>
  <c r="G128" i="14"/>
  <c r="E130" i="14"/>
  <c r="G132" i="14"/>
  <c r="E134" i="14"/>
  <c r="G136" i="14"/>
  <c r="E138" i="14"/>
  <c r="G140" i="14"/>
  <c r="E142" i="14"/>
  <c r="G144" i="14"/>
  <c r="E146" i="14"/>
  <c r="G148" i="14"/>
  <c r="E150" i="14"/>
  <c r="G152" i="14"/>
  <c r="E154" i="14"/>
  <c r="G156" i="14"/>
  <c r="E158" i="14"/>
  <c r="G160" i="14"/>
  <c r="E162" i="14"/>
  <c r="G164" i="14"/>
  <c r="E166" i="14"/>
  <c r="G168" i="14"/>
  <c r="E170" i="14"/>
  <c r="G172" i="14"/>
  <c r="E174" i="14"/>
  <c r="G176" i="14"/>
  <c r="E178" i="14"/>
  <c r="G180" i="14"/>
  <c r="E182" i="14"/>
  <c r="G184" i="14"/>
  <c r="E186" i="14"/>
  <c r="G188" i="14"/>
  <c r="E190" i="14"/>
  <c r="G192" i="14"/>
  <c r="E194" i="14"/>
  <c r="G196" i="14"/>
  <c r="E198" i="14"/>
  <c r="G200" i="14"/>
  <c r="E202" i="14"/>
  <c r="G204" i="14"/>
  <c r="E206" i="14"/>
  <c r="G208" i="14"/>
  <c r="E210" i="14"/>
  <c r="G213" i="14"/>
  <c r="E218" i="14"/>
  <c r="F220" i="14"/>
  <c r="H220" i="14" s="1"/>
  <c r="I220" i="14" s="1"/>
  <c r="G224" i="14"/>
  <c r="E225" i="14"/>
  <c r="H227" i="14"/>
  <c r="I227" i="14" s="1"/>
  <c r="G229" i="14"/>
  <c r="H233" i="14"/>
  <c r="I233" i="14" s="1"/>
  <c r="H234" i="14"/>
  <c r="I234" i="14" s="1"/>
  <c r="G234" i="14"/>
  <c r="H239" i="14"/>
  <c r="I239" i="14" s="1"/>
  <c r="F240" i="14"/>
  <c r="E240" i="14"/>
  <c r="E245" i="14"/>
  <c r="H249" i="14"/>
  <c r="I249" i="14" s="1"/>
  <c r="H250" i="14"/>
  <c r="I250" i="14" s="1"/>
  <c r="G250" i="14"/>
  <c r="H255" i="14"/>
  <c r="I255" i="14" s="1"/>
  <c r="F256" i="14"/>
  <c r="E256" i="14"/>
  <c r="E261" i="14"/>
  <c r="H265" i="14"/>
  <c r="I265" i="14" s="1"/>
  <c r="H266" i="14"/>
  <c r="I266" i="14" s="1"/>
  <c r="G266" i="14"/>
  <c r="H271" i="14"/>
  <c r="I271" i="14" s="1"/>
  <c r="F272" i="14"/>
  <c r="E272" i="14"/>
  <c r="H329" i="14"/>
  <c r="I329" i="14" s="1"/>
  <c r="H337" i="14"/>
  <c r="I337" i="14" s="1"/>
  <c r="H345" i="14"/>
  <c r="I345" i="14" s="1"/>
  <c r="H353" i="14"/>
  <c r="I353" i="14" s="1"/>
  <c r="H361" i="14"/>
  <c r="I361" i="14" s="1"/>
  <c r="H369" i="14"/>
  <c r="I369" i="14" s="1"/>
  <c r="H377" i="14"/>
  <c r="I377" i="14" s="1"/>
  <c r="H385" i="14"/>
  <c r="I385" i="14" s="1"/>
  <c r="H393" i="14"/>
  <c r="I393" i="14" s="1"/>
  <c r="H401" i="14"/>
  <c r="I401" i="14" s="1"/>
  <c r="H409" i="14"/>
  <c r="I409" i="14" s="1"/>
  <c r="H417" i="14"/>
  <c r="I417" i="14" s="1"/>
  <c r="H425" i="14"/>
  <c r="I425" i="14" s="1"/>
  <c r="H433" i="14"/>
  <c r="I433" i="14" s="1"/>
  <c r="H441" i="14"/>
  <c r="I441" i="14" s="1"/>
  <c r="H449" i="14"/>
  <c r="I449" i="14" s="1"/>
  <c r="G75" i="14"/>
  <c r="G79" i="14"/>
  <c r="G83" i="14"/>
  <c r="G87" i="14"/>
  <c r="G91" i="14"/>
  <c r="G95" i="14"/>
  <c r="G99" i="14"/>
  <c r="G103" i="14"/>
  <c r="G107" i="14"/>
  <c r="G111" i="14"/>
  <c r="G115" i="14"/>
  <c r="G119" i="14"/>
  <c r="G123" i="14"/>
  <c r="G127" i="14"/>
  <c r="G131" i="14"/>
  <c r="G135" i="14"/>
  <c r="G139" i="14"/>
  <c r="G143" i="14"/>
  <c r="G147" i="14"/>
  <c r="G151" i="14"/>
  <c r="G155" i="14"/>
  <c r="G159" i="14"/>
  <c r="G163" i="14"/>
  <c r="G167" i="14"/>
  <c r="G171" i="14"/>
  <c r="G175" i="14"/>
  <c r="G179" i="14"/>
  <c r="G183" i="14"/>
  <c r="G187" i="14"/>
  <c r="G191" i="14"/>
  <c r="G195" i="14"/>
  <c r="G199" i="14"/>
  <c r="G203" i="14"/>
  <c r="G207" i="14"/>
  <c r="G211" i="14"/>
  <c r="G214" i="14"/>
  <c r="G215" i="14"/>
  <c r="H223" i="14"/>
  <c r="I223" i="14" s="1"/>
  <c r="H230" i="14"/>
  <c r="I230" i="14" s="1"/>
  <c r="G230" i="14"/>
  <c r="H235" i="14"/>
  <c r="I235" i="14" s="1"/>
  <c r="F236" i="14"/>
  <c r="E236" i="14"/>
  <c r="H246" i="14"/>
  <c r="I246" i="14" s="1"/>
  <c r="G246" i="14"/>
  <c r="H251" i="14"/>
  <c r="I251" i="14" s="1"/>
  <c r="F252" i="14"/>
  <c r="E252" i="14"/>
  <c r="H262" i="14"/>
  <c r="I262" i="14" s="1"/>
  <c r="G262" i="14"/>
  <c r="H267" i="14"/>
  <c r="I267" i="14" s="1"/>
  <c r="F268" i="14"/>
  <c r="E268" i="14"/>
  <c r="H219" i="14"/>
  <c r="I219" i="14" s="1"/>
  <c r="G226" i="14"/>
  <c r="H231" i="14"/>
  <c r="I231" i="14" s="1"/>
  <c r="F232" i="14"/>
  <c r="E232" i="14"/>
  <c r="H242" i="14"/>
  <c r="I242" i="14" s="1"/>
  <c r="G242" i="14"/>
  <c r="H247" i="14"/>
  <c r="I247" i="14" s="1"/>
  <c r="F248" i="14"/>
  <c r="E248" i="14"/>
  <c r="H258" i="14"/>
  <c r="I258" i="14" s="1"/>
  <c r="G258" i="14"/>
  <c r="H263" i="14"/>
  <c r="I263" i="14" s="1"/>
  <c r="F264" i="14"/>
  <c r="E264" i="14"/>
  <c r="H274" i="14"/>
  <c r="I274" i="14" s="1"/>
  <c r="G274" i="14"/>
  <c r="G222" i="14"/>
  <c r="H238" i="14"/>
  <c r="I238" i="14" s="1"/>
  <c r="G238" i="14"/>
  <c r="F244" i="14"/>
  <c r="E244" i="14"/>
  <c r="H254" i="14"/>
  <c r="I254" i="14" s="1"/>
  <c r="G254" i="14"/>
  <c r="F260" i="14"/>
  <c r="E260" i="14"/>
  <c r="H270" i="14"/>
  <c r="I270" i="14" s="1"/>
  <c r="G270" i="14"/>
  <c r="F276" i="14"/>
  <c r="E276" i="14"/>
  <c r="H277" i="14"/>
  <c r="I277" i="14" s="1"/>
  <c r="G277" i="14"/>
  <c r="F280" i="14"/>
  <c r="E280" i="14"/>
  <c r="H281" i="14"/>
  <c r="I281" i="14" s="1"/>
  <c r="G281" i="14"/>
  <c r="F284" i="14"/>
  <c r="E284" i="14"/>
  <c r="H285" i="14"/>
  <c r="I285" i="14" s="1"/>
  <c r="G285" i="14"/>
  <c r="F288" i="14"/>
  <c r="E288" i="14"/>
  <c r="H289" i="14"/>
  <c r="I289" i="14" s="1"/>
  <c r="G289" i="14"/>
  <c r="F292" i="14"/>
  <c r="E292" i="14"/>
  <c r="H293" i="14"/>
  <c r="I293" i="14" s="1"/>
  <c r="G293" i="14"/>
  <c r="F296" i="14"/>
  <c r="E296" i="14"/>
  <c r="H297" i="14"/>
  <c r="I297" i="14" s="1"/>
  <c r="G297" i="14"/>
  <c r="F300" i="14"/>
  <c r="E300" i="14"/>
  <c r="H301" i="14"/>
  <c r="I301" i="14" s="1"/>
  <c r="G301" i="14"/>
  <c r="F304" i="14"/>
  <c r="E304" i="14"/>
  <c r="H305" i="14"/>
  <c r="I305" i="14" s="1"/>
  <c r="G305" i="14"/>
  <c r="F308" i="14"/>
  <c r="E308" i="14"/>
  <c r="H309" i="14"/>
  <c r="I309" i="14" s="1"/>
  <c r="G309" i="14"/>
  <c r="F312" i="14"/>
  <c r="E312" i="14"/>
  <c r="H313" i="14"/>
  <c r="I313" i="14" s="1"/>
  <c r="G313" i="14"/>
  <c r="F316" i="14"/>
  <c r="E316" i="14"/>
  <c r="H317" i="14"/>
  <c r="I317" i="14" s="1"/>
  <c r="G317" i="14"/>
  <c r="F320" i="14"/>
  <c r="E320" i="14"/>
  <c r="H321" i="14"/>
  <c r="I321" i="14" s="1"/>
  <c r="G321" i="14"/>
  <c r="G278" i="14"/>
  <c r="G282" i="14"/>
  <c r="G286" i="14"/>
  <c r="G290" i="14"/>
  <c r="G294" i="14"/>
  <c r="G298" i="14"/>
  <c r="G302" i="14"/>
  <c r="G306" i="14"/>
  <c r="G310" i="14"/>
  <c r="G314" i="14"/>
  <c r="G318" i="14"/>
  <c r="G322" i="14"/>
  <c r="E324" i="14"/>
  <c r="G326" i="14"/>
  <c r="E328" i="14"/>
  <c r="G330" i="14"/>
  <c r="E332" i="14"/>
  <c r="G334" i="14"/>
  <c r="E336" i="14"/>
  <c r="G338" i="14"/>
  <c r="E340" i="14"/>
  <c r="G342" i="14"/>
  <c r="E344" i="14"/>
  <c r="G346" i="14"/>
  <c r="E348" i="14"/>
  <c r="G350" i="14"/>
  <c r="E352" i="14"/>
  <c r="G354" i="14"/>
  <c r="E356" i="14"/>
  <c r="G358" i="14"/>
  <c r="E360" i="14"/>
  <c r="G362" i="14"/>
  <c r="E364" i="14"/>
  <c r="G366" i="14"/>
  <c r="E368" i="14"/>
  <c r="G370" i="14"/>
  <c r="E372" i="14"/>
  <c r="G374" i="14"/>
  <c r="E376" i="14"/>
  <c r="G378" i="14"/>
  <c r="E380" i="14"/>
  <c r="G382" i="14"/>
  <c r="E384" i="14"/>
  <c r="G386" i="14"/>
  <c r="E388" i="14"/>
  <c r="G390" i="14"/>
  <c r="E392" i="14"/>
  <c r="G394" i="14"/>
  <c r="E396" i="14"/>
  <c r="G398" i="14"/>
  <c r="E400" i="14"/>
  <c r="G402" i="14"/>
  <c r="E404" i="14"/>
  <c r="G406" i="14"/>
  <c r="E408" i="14"/>
  <c r="G410" i="14"/>
  <c r="E412" i="14"/>
  <c r="G414" i="14"/>
  <c r="E416" i="14"/>
  <c r="G418" i="14"/>
  <c r="E420" i="14"/>
  <c r="G422" i="14"/>
  <c r="E424" i="14"/>
  <c r="G426" i="14"/>
  <c r="E428" i="14"/>
  <c r="G430" i="14"/>
  <c r="E432" i="14"/>
  <c r="G434" i="14"/>
  <c r="E436" i="14"/>
  <c r="G438" i="14"/>
  <c r="E440" i="14"/>
  <c r="G442" i="14"/>
  <c r="E444" i="14"/>
  <c r="G446" i="14"/>
  <c r="E448" i="14"/>
  <c r="H451" i="14"/>
  <c r="I451" i="14" s="1"/>
  <c r="G451" i="14"/>
  <c r="H452" i="14"/>
  <c r="I452" i="14" s="1"/>
  <c r="F453" i="14"/>
  <c r="E453" i="14"/>
  <c r="H458" i="14"/>
  <c r="I458" i="14" s="1"/>
  <c r="H459" i="14"/>
  <c r="I459" i="14" s="1"/>
  <c r="G459" i="14"/>
  <c r="H460" i="14"/>
  <c r="I460" i="14" s="1"/>
  <c r="F461" i="14"/>
  <c r="E461" i="14"/>
  <c r="H466" i="14"/>
  <c r="I466" i="14" s="1"/>
  <c r="H467" i="14"/>
  <c r="I467" i="14" s="1"/>
  <c r="G467" i="14"/>
  <c r="H468" i="14"/>
  <c r="I468" i="14" s="1"/>
  <c r="F469" i="14"/>
  <c r="E469" i="14"/>
  <c r="H474" i="14"/>
  <c r="I474" i="14" s="1"/>
  <c r="H475" i="14"/>
  <c r="I475" i="14" s="1"/>
  <c r="G475" i="14"/>
  <c r="H476" i="14"/>
  <c r="I476" i="14" s="1"/>
  <c r="F477" i="14"/>
  <c r="E477" i="14"/>
  <c r="H482" i="14"/>
  <c r="I482" i="14" s="1"/>
  <c r="H483" i="14"/>
  <c r="I483" i="14" s="1"/>
  <c r="G483" i="14"/>
  <c r="H484" i="14"/>
  <c r="I484" i="14" s="1"/>
  <c r="F485" i="14"/>
  <c r="E485" i="14"/>
  <c r="H490" i="14"/>
  <c r="I490" i="14" s="1"/>
  <c r="H491" i="14"/>
  <c r="I491" i="14" s="1"/>
  <c r="G491" i="14"/>
  <c r="H492" i="14"/>
  <c r="I492" i="14" s="1"/>
  <c r="F493" i="14"/>
  <c r="E493" i="14"/>
  <c r="H498" i="14"/>
  <c r="I498" i="14" s="1"/>
  <c r="H499" i="14"/>
  <c r="I499" i="14" s="1"/>
  <c r="G499" i="14"/>
  <c r="H500" i="14"/>
  <c r="I500" i="14" s="1"/>
  <c r="F501" i="14"/>
  <c r="E501" i="14"/>
  <c r="G516" i="14"/>
  <c r="H516" i="14"/>
  <c r="I516" i="14" s="1"/>
  <c r="G532" i="14"/>
  <c r="H532" i="14"/>
  <c r="I532" i="14" s="1"/>
  <c r="G548" i="14"/>
  <c r="H548" i="14"/>
  <c r="I548" i="14" s="1"/>
  <c r="G564" i="14"/>
  <c r="H564" i="14"/>
  <c r="I564" i="14" s="1"/>
  <c r="G580" i="14"/>
  <c r="H580" i="14"/>
  <c r="I580" i="14" s="1"/>
  <c r="G610" i="14"/>
  <c r="H610" i="14"/>
  <c r="I610" i="14" s="1"/>
  <c r="G325" i="14"/>
  <c r="G329" i="14"/>
  <c r="G333" i="14"/>
  <c r="G337" i="14"/>
  <c r="G341" i="14"/>
  <c r="G345" i="14"/>
  <c r="G349" i="14"/>
  <c r="G353" i="14"/>
  <c r="G357" i="14"/>
  <c r="G361" i="14"/>
  <c r="G365" i="14"/>
  <c r="G369" i="14"/>
  <c r="G373" i="14"/>
  <c r="G377" i="14"/>
  <c r="G381" i="14"/>
  <c r="G385" i="14"/>
  <c r="G389" i="14"/>
  <c r="G393" i="14"/>
  <c r="G397" i="14"/>
  <c r="G401" i="14"/>
  <c r="G405" i="14"/>
  <c r="G409" i="14"/>
  <c r="G413" i="14"/>
  <c r="G417" i="14"/>
  <c r="G421" i="14"/>
  <c r="G425" i="14"/>
  <c r="G429" i="14"/>
  <c r="G433" i="14"/>
  <c r="G437" i="14"/>
  <c r="G441" i="14"/>
  <c r="G445" i="14"/>
  <c r="G449" i="14"/>
  <c r="E506" i="14"/>
  <c r="F506" i="14"/>
  <c r="H507" i="14"/>
  <c r="I507" i="14" s="1"/>
  <c r="G507" i="14"/>
  <c r="G508" i="14"/>
  <c r="H508" i="14"/>
  <c r="I508" i="14" s="1"/>
  <c r="E514" i="14"/>
  <c r="F514" i="14"/>
  <c r="H515" i="14"/>
  <c r="I515" i="14" s="1"/>
  <c r="G515" i="14"/>
  <c r="G528" i="14"/>
  <c r="H528" i="14"/>
  <c r="I528" i="14" s="1"/>
  <c r="G544" i="14"/>
  <c r="H544" i="14"/>
  <c r="I544" i="14" s="1"/>
  <c r="G560" i="14"/>
  <c r="H560" i="14"/>
  <c r="I560" i="14" s="1"/>
  <c r="G576" i="14"/>
  <c r="H576" i="14"/>
  <c r="I576" i="14" s="1"/>
  <c r="G450" i="14"/>
  <c r="H455" i="14"/>
  <c r="I455" i="14" s="1"/>
  <c r="G455" i="14"/>
  <c r="H456" i="14"/>
  <c r="I456" i="14" s="1"/>
  <c r="F457" i="14"/>
  <c r="E457" i="14"/>
  <c r="H463" i="14"/>
  <c r="I463" i="14" s="1"/>
  <c r="G463" i="14"/>
  <c r="H464" i="14"/>
  <c r="I464" i="14" s="1"/>
  <c r="F465" i="14"/>
  <c r="E465" i="14"/>
  <c r="H471" i="14"/>
  <c r="I471" i="14" s="1"/>
  <c r="G471" i="14"/>
  <c r="H472" i="14"/>
  <c r="I472" i="14" s="1"/>
  <c r="F473" i="14"/>
  <c r="E473" i="14"/>
  <c r="H479" i="14"/>
  <c r="I479" i="14" s="1"/>
  <c r="G479" i="14"/>
  <c r="H480" i="14"/>
  <c r="I480" i="14" s="1"/>
  <c r="F481" i="14"/>
  <c r="E481" i="14"/>
  <c r="H487" i="14"/>
  <c r="I487" i="14" s="1"/>
  <c r="G487" i="14"/>
  <c r="H488" i="14"/>
  <c r="I488" i="14" s="1"/>
  <c r="F489" i="14"/>
  <c r="E489" i="14"/>
  <c r="H495" i="14"/>
  <c r="I495" i="14" s="1"/>
  <c r="G495" i="14"/>
  <c r="H496" i="14"/>
  <c r="I496" i="14" s="1"/>
  <c r="F497" i="14"/>
  <c r="E497" i="14"/>
  <c r="H503" i="14"/>
  <c r="I503" i="14" s="1"/>
  <c r="G503" i="14"/>
  <c r="H504" i="14"/>
  <c r="I504" i="14" s="1"/>
  <c r="F505" i="14"/>
  <c r="E505" i="14"/>
  <c r="G524" i="14"/>
  <c r="H524" i="14"/>
  <c r="I524" i="14" s="1"/>
  <c r="G540" i="14"/>
  <c r="H540" i="14"/>
  <c r="I540" i="14" s="1"/>
  <c r="G556" i="14"/>
  <c r="H556" i="14"/>
  <c r="I556" i="14" s="1"/>
  <c r="G572" i="14"/>
  <c r="H572" i="14"/>
  <c r="I572" i="14" s="1"/>
  <c r="G588" i="14"/>
  <c r="H588" i="14"/>
  <c r="I588" i="14" s="1"/>
  <c r="E510" i="14"/>
  <c r="F510" i="14"/>
  <c r="H511" i="14"/>
  <c r="I511" i="14" s="1"/>
  <c r="G511" i="14"/>
  <c r="G512" i="14"/>
  <c r="H512" i="14"/>
  <c r="I512" i="14" s="1"/>
  <c r="G520" i="14"/>
  <c r="H520" i="14"/>
  <c r="I520" i="14" s="1"/>
  <c r="G536" i="14"/>
  <c r="H536" i="14"/>
  <c r="I536" i="14" s="1"/>
  <c r="G552" i="14"/>
  <c r="H552" i="14"/>
  <c r="I552" i="14" s="1"/>
  <c r="G568" i="14"/>
  <c r="H568" i="14"/>
  <c r="I568" i="14" s="1"/>
  <c r="G584" i="14"/>
  <c r="H584" i="14"/>
  <c r="I584" i="14" s="1"/>
  <c r="G594" i="14"/>
  <c r="H594" i="14"/>
  <c r="I594" i="14" s="1"/>
  <c r="E509" i="14"/>
  <c r="E513" i="14"/>
  <c r="E517" i="14"/>
  <c r="F518" i="14"/>
  <c r="H518" i="14" s="1"/>
  <c r="I518" i="14" s="1"/>
  <c r="G519" i="14"/>
  <c r="E521" i="14"/>
  <c r="F522" i="14"/>
  <c r="H522" i="14" s="1"/>
  <c r="I522" i="14" s="1"/>
  <c r="G523" i="14"/>
  <c r="E525" i="14"/>
  <c r="F526" i="14"/>
  <c r="H526" i="14" s="1"/>
  <c r="I526" i="14" s="1"/>
  <c r="G527" i="14"/>
  <c r="E529" i="14"/>
  <c r="F530" i="14"/>
  <c r="G530" i="14" s="1"/>
  <c r="G531" i="14"/>
  <c r="E533" i="14"/>
  <c r="F534" i="14"/>
  <c r="H534" i="14" s="1"/>
  <c r="I534" i="14" s="1"/>
  <c r="G535" i="14"/>
  <c r="E537" i="14"/>
  <c r="F538" i="14"/>
  <c r="H538" i="14" s="1"/>
  <c r="I538" i="14" s="1"/>
  <c r="G539" i="14"/>
  <c r="E541" i="14"/>
  <c r="F542" i="14"/>
  <c r="H542" i="14" s="1"/>
  <c r="I542" i="14" s="1"/>
  <c r="G543" i="14"/>
  <c r="E545" i="14"/>
  <c r="F546" i="14"/>
  <c r="G546" i="14" s="1"/>
  <c r="G547" i="14"/>
  <c r="E549" i="14"/>
  <c r="F550" i="14"/>
  <c r="H550" i="14" s="1"/>
  <c r="I550" i="14" s="1"/>
  <c r="G551" i="14"/>
  <c r="E553" i="14"/>
  <c r="F554" i="14"/>
  <c r="H554" i="14" s="1"/>
  <c r="I554" i="14" s="1"/>
  <c r="G555" i="14"/>
  <c r="E557" i="14"/>
  <c r="F558" i="14"/>
  <c r="H558" i="14" s="1"/>
  <c r="I558" i="14" s="1"/>
  <c r="G559" i="14"/>
  <c r="E561" i="14"/>
  <c r="F562" i="14"/>
  <c r="G562" i="14" s="1"/>
  <c r="G563" i="14"/>
  <c r="E565" i="14"/>
  <c r="F566" i="14"/>
  <c r="H566" i="14" s="1"/>
  <c r="I566" i="14" s="1"/>
  <c r="G567" i="14"/>
  <c r="E569" i="14"/>
  <c r="F570" i="14"/>
  <c r="H570" i="14" s="1"/>
  <c r="I570" i="14" s="1"/>
  <c r="G571" i="14"/>
  <c r="E573" i="14"/>
  <c r="F574" i="14"/>
  <c r="H574" i="14" s="1"/>
  <c r="I574" i="14" s="1"/>
  <c r="G575" i="14"/>
  <c r="E577" i="14"/>
  <c r="F578" i="14"/>
  <c r="G578" i="14" s="1"/>
  <c r="G579" i="14"/>
  <c r="E581" i="14"/>
  <c r="F582" i="14"/>
  <c r="H582" i="14" s="1"/>
  <c r="I582" i="14" s="1"/>
  <c r="G583" i="14"/>
  <c r="E585" i="14"/>
  <c r="F586" i="14"/>
  <c r="H586" i="14" s="1"/>
  <c r="I586" i="14" s="1"/>
  <c r="G587" i="14"/>
  <c r="E589" i="14"/>
  <c r="H590" i="14"/>
  <c r="I590" i="14" s="1"/>
  <c r="H592" i="14"/>
  <c r="I592" i="14" s="1"/>
  <c r="G593" i="14"/>
  <c r="H597" i="14"/>
  <c r="I597" i="14" s="1"/>
  <c r="E598" i="14"/>
  <c r="G599" i="14"/>
  <c r="F600" i="14"/>
  <c r="H600" i="14" s="1"/>
  <c r="I600" i="14" s="1"/>
  <c r="F602" i="14"/>
  <c r="H602" i="14" s="1"/>
  <c r="I602" i="14" s="1"/>
  <c r="G604" i="14"/>
  <c r="E605" i="14"/>
  <c r="G609" i="14"/>
  <c r="E614" i="14"/>
  <c r="E622" i="14"/>
  <c r="E630" i="14"/>
  <c r="E638" i="14"/>
  <c r="E646" i="14"/>
  <c r="E654" i="14"/>
  <c r="E662" i="14"/>
  <c r="G696" i="14"/>
  <c r="H696" i="14"/>
  <c r="I696" i="14" s="1"/>
  <c r="G595" i="14"/>
  <c r="F596" i="14"/>
  <c r="E601" i="14"/>
  <c r="H603" i="14"/>
  <c r="I603" i="14" s="1"/>
  <c r="G612" i="14"/>
  <c r="H615" i="14"/>
  <c r="I615" i="14" s="1"/>
  <c r="G615" i="14"/>
  <c r="H616" i="14"/>
  <c r="I616" i="14" s="1"/>
  <c r="F617" i="14"/>
  <c r="E617" i="14"/>
  <c r="G620" i="14"/>
  <c r="H623" i="14"/>
  <c r="I623" i="14" s="1"/>
  <c r="G623" i="14"/>
  <c r="H624" i="14"/>
  <c r="I624" i="14" s="1"/>
  <c r="F625" i="14"/>
  <c r="E625" i="14"/>
  <c r="G628" i="14"/>
  <c r="H631" i="14"/>
  <c r="I631" i="14" s="1"/>
  <c r="G631" i="14"/>
  <c r="H632" i="14"/>
  <c r="I632" i="14" s="1"/>
  <c r="F633" i="14"/>
  <c r="E633" i="14"/>
  <c r="G636" i="14"/>
  <c r="H639" i="14"/>
  <c r="I639" i="14" s="1"/>
  <c r="G639" i="14"/>
  <c r="H640" i="14"/>
  <c r="I640" i="14" s="1"/>
  <c r="F641" i="14"/>
  <c r="E641" i="14"/>
  <c r="G644" i="14"/>
  <c r="H647" i="14"/>
  <c r="I647" i="14" s="1"/>
  <c r="G647" i="14"/>
  <c r="H648" i="14"/>
  <c r="I648" i="14" s="1"/>
  <c r="F649" i="14"/>
  <c r="E649" i="14"/>
  <c r="G652" i="14"/>
  <c r="H655" i="14"/>
  <c r="I655" i="14" s="1"/>
  <c r="G655" i="14"/>
  <c r="H656" i="14"/>
  <c r="I656" i="14" s="1"/>
  <c r="F657" i="14"/>
  <c r="E657" i="14"/>
  <c r="G660" i="14"/>
  <c r="H663" i="14"/>
  <c r="I663" i="14" s="1"/>
  <c r="G663" i="14"/>
  <c r="G664" i="14"/>
  <c r="H664" i="14"/>
  <c r="I664" i="14" s="1"/>
  <c r="E670" i="14"/>
  <c r="F670" i="14"/>
  <c r="H671" i="14"/>
  <c r="I671" i="14" s="1"/>
  <c r="G671" i="14"/>
  <c r="G672" i="14"/>
  <c r="H672" i="14"/>
  <c r="I672" i="14" s="1"/>
  <c r="E678" i="14"/>
  <c r="F678" i="14"/>
  <c r="H679" i="14"/>
  <c r="I679" i="14" s="1"/>
  <c r="G679" i="14"/>
  <c r="G680" i="14"/>
  <c r="H680" i="14"/>
  <c r="I680" i="14" s="1"/>
  <c r="E686" i="14"/>
  <c r="F686" i="14"/>
  <c r="H687" i="14"/>
  <c r="I687" i="14" s="1"/>
  <c r="G687" i="14"/>
  <c r="G688" i="14"/>
  <c r="H688" i="14"/>
  <c r="I688" i="14" s="1"/>
  <c r="E694" i="14"/>
  <c r="F694" i="14"/>
  <c r="G713" i="14"/>
  <c r="H713" i="14"/>
  <c r="I713" i="14" s="1"/>
  <c r="G729" i="14"/>
  <c r="H729" i="14"/>
  <c r="I729" i="14" s="1"/>
  <c r="G606" i="14"/>
  <c r="F604" i="14"/>
  <c r="H604" i="14" s="1"/>
  <c r="I604" i="14" s="1"/>
  <c r="H611" i="14"/>
  <c r="I611" i="14" s="1"/>
  <c r="G611" i="14"/>
  <c r="F613" i="14"/>
  <c r="E613" i="14"/>
  <c r="H619" i="14"/>
  <c r="I619" i="14" s="1"/>
  <c r="G619" i="14"/>
  <c r="F621" i="14"/>
  <c r="E621" i="14"/>
  <c r="H627" i="14"/>
  <c r="I627" i="14" s="1"/>
  <c r="G627" i="14"/>
  <c r="F629" i="14"/>
  <c r="E629" i="14"/>
  <c r="H635" i="14"/>
  <c r="I635" i="14" s="1"/>
  <c r="G635" i="14"/>
  <c r="F637" i="14"/>
  <c r="E637" i="14"/>
  <c r="H643" i="14"/>
  <c r="I643" i="14" s="1"/>
  <c r="G643" i="14"/>
  <c r="F645" i="14"/>
  <c r="E645" i="14"/>
  <c r="H651" i="14"/>
  <c r="I651" i="14" s="1"/>
  <c r="G651" i="14"/>
  <c r="F653" i="14"/>
  <c r="E653" i="14"/>
  <c r="H659" i="14"/>
  <c r="I659" i="14" s="1"/>
  <c r="G659" i="14"/>
  <c r="F661" i="14"/>
  <c r="E661" i="14"/>
  <c r="E666" i="14"/>
  <c r="F666" i="14"/>
  <c r="H667" i="14"/>
  <c r="I667" i="14" s="1"/>
  <c r="G667" i="14"/>
  <c r="G668" i="14"/>
  <c r="H668" i="14"/>
  <c r="I668" i="14" s="1"/>
  <c r="E674" i="14"/>
  <c r="F674" i="14"/>
  <c r="H675" i="14"/>
  <c r="I675" i="14" s="1"/>
  <c r="G675" i="14"/>
  <c r="G676" i="14"/>
  <c r="H676" i="14"/>
  <c r="I676" i="14" s="1"/>
  <c r="E682" i="14"/>
  <c r="F682" i="14"/>
  <c r="H683" i="14"/>
  <c r="I683" i="14" s="1"/>
  <c r="G683" i="14"/>
  <c r="G684" i="14"/>
  <c r="H684" i="14"/>
  <c r="I684" i="14" s="1"/>
  <c r="E690" i="14"/>
  <c r="F690" i="14"/>
  <c r="H691" i="14"/>
  <c r="I691" i="14" s="1"/>
  <c r="G691" i="14"/>
  <c r="G692" i="14"/>
  <c r="H692" i="14"/>
  <c r="I692" i="14" s="1"/>
  <c r="G700" i="14"/>
  <c r="H700" i="14"/>
  <c r="I700" i="14" s="1"/>
  <c r="E665" i="14"/>
  <c r="E669" i="14"/>
  <c r="E673" i="14"/>
  <c r="E677" i="14"/>
  <c r="E681" i="14"/>
  <c r="E685" i="14"/>
  <c r="E689" i="14"/>
  <c r="E693" i="14"/>
  <c r="G695" i="14"/>
  <c r="E697" i="14"/>
  <c r="F698" i="14"/>
  <c r="H698" i="14" s="1"/>
  <c r="I698" i="14" s="1"/>
  <c r="G699" i="14"/>
  <c r="E701" i="14"/>
  <c r="F702" i="14"/>
  <c r="G702" i="14" s="1"/>
  <c r="G703" i="14"/>
  <c r="F705" i="14"/>
  <c r="H705" i="14" s="1"/>
  <c r="I705" i="14" s="1"/>
  <c r="E708" i="14"/>
  <c r="H709" i="14"/>
  <c r="I709" i="14" s="1"/>
  <c r="H711" i="14"/>
  <c r="I711" i="14" s="1"/>
  <c r="H716" i="14"/>
  <c r="I716" i="14" s="1"/>
  <c r="E717" i="14"/>
  <c r="G718" i="14"/>
  <c r="F719" i="14"/>
  <c r="H719" i="14" s="1"/>
  <c r="I719" i="14" s="1"/>
  <c r="F721" i="14"/>
  <c r="G721" i="14" s="1"/>
  <c r="E724" i="14"/>
  <c r="H725" i="14"/>
  <c r="I725" i="14" s="1"/>
  <c r="H727" i="14"/>
  <c r="I727" i="14" s="1"/>
  <c r="H731" i="14"/>
  <c r="I731" i="14" s="1"/>
  <c r="F732" i="14"/>
  <c r="E732" i="14"/>
  <c r="G735" i="14"/>
  <c r="H738" i="14"/>
  <c r="I738" i="14" s="1"/>
  <c r="G738" i="14"/>
  <c r="F740" i="14"/>
  <c r="E740" i="14"/>
  <c r="G743" i="14"/>
  <c r="H746" i="14"/>
  <c r="I746" i="14" s="1"/>
  <c r="G746" i="14"/>
  <c r="F748" i="14"/>
  <c r="E748" i="14"/>
  <c r="F756" i="14"/>
  <c r="E756" i="14"/>
  <c r="G759" i="14"/>
  <c r="H761" i="14"/>
  <c r="I761" i="14" s="1"/>
  <c r="H766" i="14"/>
  <c r="I766" i="14" s="1"/>
  <c r="G766" i="14"/>
  <c r="F771" i="14"/>
  <c r="G771" i="14" s="1"/>
  <c r="F788" i="14"/>
  <c r="E788" i="14"/>
  <c r="G791" i="14"/>
  <c r="H793" i="14"/>
  <c r="I793" i="14" s="1"/>
  <c r="H798" i="14"/>
  <c r="I798" i="14" s="1"/>
  <c r="G798" i="14"/>
  <c r="E817" i="14"/>
  <c r="F817" i="14"/>
  <c r="G827" i="14"/>
  <c r="H827" i="14"/>
  <c r="I827" i="14" s="1"/>
  <c r="E704" i="14"/>
  <c r="H706" i="14"/>
  <c r="I706" i="14" s="1"/>
  <c r="G714" i="14"/>
  <c r="F715" i="14"/>
  <c r="E720" i="14"/>
  <c r="H722" i="14"/>
  <c r="I722" i="14" s="1"/>
  <c r="G730" i="14"/>
  <c r="F731" i="14"/>
  <c r="G731" i="14" s="1"/>
  <c r="E733" i="14"/>
  <c r="E741" i="14"/>
  <c r="E749" i="14"/>
  <c r="E751" i="14"/>
  <c r="F751" i="14"/>
  <c r="E753" i="14"/>
  <c r="H755" i="14"/>
  <c r="I755" i="14" s="1"/>
  <c r="G755" i="14"/>
  <c r="G757" i="14"/>
  <c r="H757" i="14"/>
  <c r="I757" i="14" s="1"/>
  <c r="G764" i="14"/>
  <c r="E776" i="14"/>
  <c r="H778" i="14"/>
  <c r="I778" i="14" s="1"/>
  <c r="G778" i="14"/>
  <c r="F781" i="14"/>
  <c r="E781" i="14"/>
  <c r="E783" i="14"/>
  <c r="F783" i="14"/>
  <c r="E785" i="14"/>
  <c r="H787" i="14"/>
  <c r="I787" i="14" s="1"/>
  <c r="G787" i="14"/>
  <c r="G789" i="14"/>
  <c r="H789" i="14"/>
  <c r="I789" i="14" s="1"/>
  <c r="G796" i="14"/>
  <c r="G804" i="14"/>
  <c r="E811" i="14"/>
  <c r="F811" i="14"/>
  <c r="H734" i="14"/>
  <c r="I734" i="14" s="1"/>
  <c r="G734" i="14"/>
  <c r="F736" i="14"/>
  <c r="E736" i="14"/>
  <c r="H742" i="14"/>
  <c r="I742" i="14" s="1"/>
  <c r="G742" i="14"/>
  <c r="F744" i="14"/>
  <c r="E744" i="14"/>
  <c r="H750" i="14"/>
  <c r="I750" i="14" s="1"/>
  <c r="G750" i="14"/>
  <c r="F772" i="14"/>
  <c r="E772" i="14"/>
  <c r="H782" i="14"/>
  <c r="I782" i="14" s="1"/>
  <c r="G782" i="14"/>
  <c r="H816" i="14"/>
  <c r="I816" i="14" s="1"/>
  <c r="G816" i="14"/>
  <c r="F707" i="14"/>
  <c r="G707" i="14" s="1"/>
  <c r="E712" i="14"/>
  <c r="F723" i="14"/>
  <c r="H723" i="14" s="1"/>
  <c r="I723" i="14" s="1"/>
  <c r="E728" i="14"/>
  <c r="E737" i="14"/>
  <c r="E745" i="14"/>
  <c r="E760" i="14"/>
  <c r="H762" i="14"/>
  <c r="I762" i="14" s="1"/>
  <c r="G762" i="14"/>
  <c r="F765" i="14"/>
  <c r="E765" i="14"/>
  <c r="E767" i="14"/>
  <c r="F767" i="14"/>
  <c r="E769" i="14"/>
  <c r="H771" i="14"/>
  <c r="I771" i="14" s="1"/>
  <c r="G773" i="14"/>
  <c r="H773" i="14"/>
  <c r="I773" i="14" s="1"/>
  <c r="G780" i="14"/>
  <c r="E792" i="14"/>
  <c r="H794" i="14"/>
  <c r="I794" i="14" s="1"/>
  <c r="G794" i="14"/>
  <c r="F797" i="14"/>
  <c r="E797" i="14"/>
  <c r="E799" i="14"/>
  <c r="F799" i="14"/>
  <c r="E801" i="14"/>
  <c r="G805" i="14"/>
  <c r="H805" i="14"/>
  <c r="I805" i="14" s="1"/>
  <c r="H806" i="14"/>
  <c r="I806" i="14" s="1"/>
  <c r="G806" i="14"/>
  <c r="G810" i="14"/>
  <c r="H812" i="14"/>
  <c r="I812" i="14" s="1"/>
  <c r="F819" i="14"/>
  <c r="E819" i="14"/>
  <c r="H820" i="14"/>
  <c r="I820" i="14" s="1"/>
  <c r="G820" i="14"/>
  <c r="E825" i="14"/>
  <c r="F825" i="14"/>
  <c r="G831" i="14"/>
  <c r="H831" i="14"/>
  <c r="I831" i="14" s="1"/>
  <c r="H834" i="14"/>
  <c r="I834" i="14" s="1"/>
  <c r="G834" i="14"/>
  <c r="H836" i="14"/>
  <c r="I836" i="14" s="1"/>
  <c r="G836" i="14"/>
  <c r="G843" i="14"/>
  <c r="H843" i="14"/>
  <c r="I843" i="14" s="1"/>
  <c r="F871" i="14"/>
  <c r="E871" i="14"/>
  <c r="E883" i="14"/>
  <c r="F883" i="14"/>
  <c r="E752" i="14"/>
  <c r="H754" i="14"/>
  <c r="I754" i="14" s="1"/>
  <c r="F763" i="14"/>
  <c r="E768" i="14"/>
  <c r="H770" i="14"/>
  <c r="I770" i="14" s="1"/>
  <c r="F779" i="14"/>
  <c r="E784" i="14"/>
  <c r="H786" i="14"/>
  <c r="I786" i="14" s="1"/>
  <c r="F795" i="14"/>
  <c r="E800" i="14"/>
  <c r="G803" i="14"/>
  <c r="F807" i="14"/>
  <c r="H807" i="14" s="1"/>
  <c r="I807" i="14" s="1"/>
  <c r="H808" i="14"/>
  <c r="I808" i="14" s="1"/>
  <c r="G809" i="14"/>
  <c r="G812" i="14"/>
  <c r="F813" i="14"/>
  <c r="H813" i="14" s="1"/>
  <c r="I813" i="14" s="1"/>
  <c r="F823" i="14"/>
  <c r="E823" i="14"/>
  <c r="G824" i="14"/>
  <c r="F830" i="14"/>
  <c r="E830" i="14"/>
  <c r="E841" i="14"/>
  <c r="F841" i="14"/>
  <c r="G847" i="14"/>
  <c r="H847" i="14"/>
  <c r="I847" i="14" s="1"/>
  <c r="H850" i="14"/>
  <c r="I850" i="14" s="1"/>
  <c r="G850" i="14"/>
  <c r="H852" i="14"/>
  <c r="I852" i="14" s="1"/>
  <c r="G852" i="14"/>
  <c r="G859" i="14"/>
  <c r="H859" i="14"/>
  <c r="I859" i="14" s="1"/>
  <c r="E877" i="14"/>
  <c r="F877" i="14"/>
  <c r="G815" i="14"/>
  <c r="G829" i="14"/>
  <c r="F839" i="14"/>
  <c r="E839" i="14"/>
  <c r="G840" i="14"/>
  <c r="F846" i="14"/>
  <c r="E846" i="14"/>
  <c r="E857" i="14"/>
  <c r="F857" i="14"/>
  <c r="G863" i="14"/>
  <c r="H863" i="14"/>
  <c r="I863" i="14" s="1"/>
  <c r="H866" i="14"/>
  <c r="I866" i="14" s="1"/>
  <c r="G866" i="14"/>
  <c r="H868" i="14"/>
  <c r="I868" i="14" s="1"/>
  <c r="G868" i="14"/>
  <c r="H881" i="14"/>
  <c r="I881" i="14" s="1"/>
  <c r="H882" i="14"/>
  <c r="I882" i="14" s="1"/>
  <c r="G882" i="14"/>
  <c r="F855" i="14"/>
  <c r="E855" i="14"/>
  <c r="F862" i="14"/>
  <c r="E862" i="14"/>
  <c r="E873" i="14"/>
  <c r="F873" i="14"/>
  <c r="H895" i="14"/>
  <c r="I895" i="14" s="1"/>
  <c r="G895" i="14"/>
  <c r="F897" i="14"/>
  <c r="E897" i="14"/>
  <c r="H898" i="14"/>
  <c r="I898" i="14" s="1"/>
  <c r="G898" i="14"/>
  <c r="H911" i="14"/>
  <c r="I911" i="14" s="1"/>
  <c r="G911" i="14"/>
  <c r="F913" i="14"/>
  <c r="E913" i="14"/>
  <c r="H914" i="14"/>
  <c r="I914" i="14" s="1"/>
  <c r="G914" i="14"/>
  <c r="H927" i="14"/>
  <c r="I927" i="14" s="1"/>
  <c r="G927" i="14"/>
  <c r="F929" i="14"/>
  <c r="E929" i="14"/>
  <c r="H930" i="14"/>
  <c r="I930" i="14" s="1"/>
  <c r="G930" i="14"/>
  <c r="G936" i="14"/>
  <c r="H936" i="14"/>
  <c r="I936" i="14" s="1"/>
  <c r="H939" i="14"/>
  <c r="I939" i="14" s="1"/>
  <c r="G939" i="14"/>
  <c r="H941" i="14"/>
  <c r="I941" i="14" s="1"/>
  <c r="G941" i="14"/>
  <c r="G948" i="14"/>
  <c r="H948" i="14"/>
  <c r="I948" i="14" s="1"/>
  <c r="H980" i="14"/>
  <c r="I980" i="14" s="1"/>
  <c r="G980" i="14"/>
  <c r="F982" i="14"/>
  <c r="E982" i="14"/>
  <c r="H832" i="14"/>
  <c r="I832" i="14" s="1"/>
  <c r="H848" i="14"/>
  <c r="I848" i="14" s="1"/>
  <c r="H864" i="14"/>
  <c r="I864" i="14" s="1"/>
  <c r="G876" i="14"/>
  <c r="H878" i="14"/>
  <c r="I878" i="14" s="1"/>
  <c r="G879" i="14"/>
  <c r="G889" i="14"/>
  <c r="H891" i="14"/>
  <c r="I891" i="14" s="1"/>
  <c r="G891" i="14"/>
  <c r="F893" i="14"/>
  <c r="E893" i="14"/>
  <c r="H894" i="14"/>
  <c r="I894" i="14" s="1"/>
  <c r="G894" i="14"/>
  <c r="H907" i="14"/>
  <c r="I907" i="14" s="1"/>
  <c r="G907" i="14"/>
  <c r="F909" i="14"/>
  <c r="E909" i="14"/>
  <c r="H910" i="14"/>
  <c r="I910" i="14" s="1"/>
  <c r="G910" i="14"/>
  <c r="H923" i="14"/>
  <c r="I923" i="14" s="1"/>
  <c r="G923" i="14"/>
  <c r="F925" i="14"/>
  <c r="E925" i="14"/>
  <c r="H926" i="14"/>
  <c r="I926" i="14" s="1"/>
  <c r="G926" i="14"/>
  <c r="F935" i="14"/>
  <c r="E935" i="14"/>
  <c r="E946" i="14"/>
  <c r="F946" i="14"/>
  <c r="G952" i="14"/>
  <c r="H952" i="14"/>
  <c r="I952" i="14" s="1"/>
  <c r="H967" i="14"/>
  <c r="I967" i="14" s="1"/>
  <c r="G967" i="14"/>
  <c r="H999" i="14"/>
  <c r="I999" i="14" s="1"/>
  <c r="G999" i="14"/>
  <c r="G875" i="14"/>
  <c r="G888" i="14"/>
  <c r="H890" i="14"/>
  <c r="I890" i="14" s="1"/>
  <c r="G890" i="14"/>
  <c r="H903" i="14"/>
  <c r="I903" i="14" s="1"/>
  <c r="G903" i="14"/>
  <c r="F905" i="14"/>
  <c r="E905" i="14"/>
  <c r="H906" i="14"/>
  <c r="I906" i="14" s="1"/>
  <c r="G906" i="14"/>
  <c r="H919" i="14"/>
  <c r="I919" i="14" s="1"/>
  <c r="G919" i="14"/>
  <c r="F921" i="14"/>
  <c r="E921" i="14"/>
  <c r="H922" i="14"/>
  <c r="I922" i="14" s="1"/>
  <c r="G922" i="14"/>
  <c r="F944" i="14"/>
  <c r="E944" i="14"/>
  <c r="F951" i="14"/>
  <c r="E951" i="14"/>
  <c r="H964" i="14"/>
  <c r="I964" i="14" s="1"/>
  <c r="G964" i="14"/>
  <c r="F966" i="14"/>
  <c r="E966" i="14"/>
  <c r="H996" i="14"/>
  <c r="I996" i="14" s="1"/>
  <c r="G996" i="14"/>
  <c r="F998" i="14"/>
  <c r="E998" i="14"/>
  <c r="E822" i="14"/>
  <c r="H824" i="14"/>
  <c r="I824" i="14" s="1"/>
  <c r="F833" i="14"/>
  <c r="G833" i="14" s="1"/>
  <c r="E838" i="14"/>
  <c r="H840" i="14"/>
  <c r="I840" i="14" s="1"/>
  <c r="F849" i="14"/>
  <c r="G849" i="14" s="1"/>
  <c r="E854" i="14"/>
  <c r="H856" i="14"/>
  <c r="I856" i="14" s="1"/>
  <c r="F865" i="14"/>
  <c r="G865" i="14" s="1"/>
  <c r="E870" i="14"/>
  <c r="H872" i="14"/>
  <c r="I872" i="14" s="1"/>
  <c r="G874" i="14"/>
  <c r="F875" i="14"/>
  <c r="H875" i="14" s="1"/>
  <c r="I875" i="14" s="1"/>
  <c r="G881" i="14"/>
  <c r="F885" i="14"/>
  <c r="H885" i="14" s="1"/>
  <c r="I885" i="14" s="1"/>
  <c r="H886" i="14"/>
  <c r="I886" i="14" s="1"/>
  <c r="G887" i="14"/>
  <c r="H899" i="14"/>
  <c r="I899" i="14" s="1"/>
  <c r="G899" i="14"/>
  <c r="F901" i="14"/>
  <c r="E901" i="14"/>
  <c r="H902" i="14"/>
  <c r="I902" i="14" s="1"/>
  <c r="G902" i="14"/>
  <c r="H915" i="14"/>
  <c r="I915" i="14" s="1"/>
  <c r="G915" i="14"/>
  <c r="F917" i="14"/>
  <c r="E917" i="14"/>
  <c r="H918" i="14"/>
  <c r="I918" i="14" s="1"/>
  <c r="G918" i="14"/>
  <c r="H931" i="14"/>
  <c r="I931" i="14" s="1"/>
  <c r="G931" i="14"/>
  <c r="F933" i="14"/>
  <c r="E933" i="14"/>
  <c r="G950" i="14"/>
  <c r="H983" i="14"/>
  <c r="I983" i="14" s="1"/>
  <c r="G983" i="14"/>
  <c r="H937" i="14"/>
  <c r="I937" i="14" s="1"/>
  <c r="H953" i="14"/>
  <c r="I953" i="14" s="1"/>
  <c r="H960" i="14"/>
  <c r="I960" i="14" s="1"/>
  <c r="G960" i="14"/>
  <c r="F962" i="14"/>
  <c r="E962" i="14"/>
  <c r="H963" i="14"/>
  <c r="I963" i="14" s="1"/>
  <c r="G963" i="14"/>
  <c r="H976" i="14"/>
  <c r="I976" i="14" s="1"/>
  <c r="G976" i="14"/>
  <c r="F978" i="14"/>
  <c r="E978" i="14"/>
  <c r="H979" i="14"/>
  <c r="I979" i="14" s="1"/>
  <c r="G979" i="14"/>
  <c r="H992" i="14"/>
  <c r="I992" i="14" s="1"/>
  <c r="G992" i="14"/>
  <c r="F994" i="14"/>
  <c r="E994" i="14"/>
  <c r="H995" i="14"/>
  <c r="I995" i="14" s="1"/>
  <c r="G995" i="14"/>
  <c r="H956" i="14"/>
  <c r="I956" i="14" s="1"/>
  <c r="G956" i="14"/>
  <c r="F958" i="14"/>
  <c r="E958" i="14"/>
  <c r="H959" i="14"/>
  <c r="I959" i="14" s="1"/>
  <c r="G959" i="14"/>
  <c r="H972" i="14"/>
  <c r="I972" i="14" s="1"/>
  <c r="G972" i="14"/>
  <c r="F974" i="14"/>
  <c r="E974" i="14"/>
  <c r="H975" i="14"/>
  <c r="I975" i="14" s="1"/>
  <c r="G975" i="14"/>
  <c r="H988" i="14"/>
  <c r="I988" i="14" s="1"/>
  <c r="G988" i="14"/>
  <c r="F990" i="14"/>
  <c r="E990" i="14"/>
  <c r="H991" i="14"/>
  <c r="I991" i="14" s="1"/>
  <c r="G991" i="14"/>
  <c r="F938" i="14"/>
  <c r="G938" i="14" s="1"/>
  <c r="E943" i="14"/>
  <c r="H945" i="14"/>
  <c r="I945" i="14" s="1"/>
  <c r="F954" i="14"/>
  <c r="H954" i="14" s="1"/>
  <c r="I954" i="14" s="1"/>
  <c r="H955" i="14"/>
  <c r="I955" i="14" s="1"/>
  <c r="G955" i="14"/>
  <c r="H968" i="14"/>
  <c r="I968" i="14" s="1"/>
  <c r="G968" i="14"/>
  <c r="F970" i="14"/>
  <c r="E970" i="14"/>
  <c r="H971" i="14"/>
  <c r="I971" i="14" s="1"/>
  <c r="G971" i="14"/>
  <c r="H984" i="14"/>
  <c r="I984" i="14" s="1"/>
  <c r="G984" i="14"/>
  <c r="F986" i="14"/>
  <c r="E986" i="14"/>
  <c r="H987" i="14"/>
  <c r="I987" i="14" s="1"/>
  <c r="G987" i="14"/>
  <c r="G1000" i="14"/>
  <c r="J744" i="11"/>
  <c r="D744" i="11"/>
  <c r="F744" i="11" s="1"/>
  <c r="J758" i="11"/>
  <c r="E758" i="11"/>
  <c r="D758" i="11"/>
  <c r="F758" i="11" s="1"/>
  <c r="J425" i="11"/>
  <c r="D425" i="11"/>
  <c r="J466" i="11"/>
  <c r="D466" i="11"/>
  <c r="J482" i="11"/>
  <c r="D482" i="11"/>
  <c r="E482" i="11" s="1"/>
  <c r="J14" i="11"/>
  <c r="D14" i="11"/>
  <c r="E14" i="11" s="1"/>
  <c r="J142" i="11"/>
  <c r="D142" i="11"/>
  <c r="F142" i="11" s="1"/>
  <c r="J830" i="11"/>
  <c r="D830" i="11"/>
  <c r="J680" i="11"/>
  <c r="D680" i="11"/>
  <c r="F680" i="11" s="1"/>
  <c r="J220" i="11"/>
  <c r="D220" i="11"/>
  <c r="J412" i="11"/>
  <c r="D412" i="11"/>
  <c r="F412" i="11" s="1"/>
  <c r="J933" i="11"/>
  <c r="D933" i="11"/>
  <c r="J465" i="11"/>
  <c r="F465" i="11"/>
  <c r="D465" i="11"/>
  <c r="E465" i="11" s="1"/>
  <c r="J939" i="11"/>
  <c r="D939" i="11"/>
  <c r="E939" i="11" s="1"/>
  <c r="J501" i="11"/>
  <c r="D501" i="11"/>
  <c r="J376" i="11"/>
  <c r="D376" i="11"/>
  <c r="J685" i="11"/>
  <c r="F685" i="11"/>
  <c r="D685" i="11"/>
  <c r="E685" i="11" s="1"/>
  <c r="G685" i="11" s="1"/>
  <c r="J25" i="11"/>
  <c r="D25" i="11"/>
  <c r="E25" i="11" s="1"/>
  <c r="J534" i="11"/>
  <c r="D534" i="11"/>
  <c r="F534" i="11" s="1"/>
  <c r="J618" i="11"/>
  <c r="D618" i="11"/>
  <c r="J885" i="11"/>
  <c r="D885" i="11"/>
  <c r="J262" i="11"/>
  <c r="D262" i="11"/>
  <c r="E262" i="11" s="1"/>
  <c r="J923" i="11"/>
  <c r="D923" i="11"/>
  <c r="F923" i="11" s="1"/>
  <c r="J200" i="11"/>
  <c r="D200" i="11"/>
  <c r="J446" i="11"/>
  <c r="D446" i="11"/>
  <c r="F446" i="11" s="1"/>
  <c r="J637" i="11"/>
  <c r="D637" i="11"/>
  <c r="J444" i="11"/>
  <c r="D444" i="11"/>
  <c r="F444" i="11" s="1"/>
  <c r="J696" i="11"/>
  <c r="D696" i="11"/>
  <c r="J455" i="11"/>
  <c r="D455" i="11"/>
  <c r="F455" i="11" s="1"/>
  <c r="J13" i="11"/>
  <c r="D13" i="11"/>
  <c r="E13" i="11" s="1"/>
  <c r="J869" i="11"/>
  <c r="D869" i="11"/>
  <c r="F869" i="11" s="1"/>
  <c r="J80" i="11"/>
  <c r="D80" i="11"/>
  <c r="E80" i="11" s="1"/>
  <c r="J185" i="11"/>
  <c r="D185" i="11"/>
  <c r="E185" i="11" s="1"/>
  <c r="J612" i="11"/>
  <c r="D612" i="11"/>
  <c r="E612" i="11" s="1"/>
  <c r="J40" i="11"/>
  <c r="D40" i="11"/>
  <c r="J814" i="11"/>
  <c r="F814" i="11"/>
  <c r="H814" i="11" s="1"/>
  <c r="I814" i="11" s="1"/>
  <c r="D814" i="11"/>
  <c r="E814" i="11" s="1"/>
  <c r="J137" i="11"/>
  <c r="D137" i="11"/>
  <c r="J979" i="11"/>
  <c r="D979" i="11"/>
  <c r="F979" i="11" s="1"/>
  <c r="J296" i="11"/>
  <c r="D296" i="11"/>
  <c r="F296" i="11" s="1"/>
  <c r="J829" i="11"/>
  <c r="D829" i="11"/>
  <c r="J968" i="11"/>
  <c r="D968" i="11"/>
  <c r="F968" i="11" s="1"/>
  <c r="J497" i="11"/>
  <c r="D497" i="11"/>
  <c r="J424" i="11"/>
  <c r="D424" i="11"/>
  <c r="F424" i="11" s="1"/>
  <c r="J811" i="11"/>
  <c r="D811" i="11"/>
  <c r="E811" i="11" s="1"/>
  <c r="J967" i="11"/>
  <c r="E967" i="11"/>
  <c r="D967" i="11"/>
  <c r="F967" i="11" s="1"/>
  <c r="J98" i="11"/>
  <c r="D98" i="11"/>
  <c r="E98" i="11" s="1"/>
  <c r="J649" i="11"/>
  <c r="D649" i="11"/>
  <c r="F649" i="11" s="1"/>
  <c r="J764" i="11"/>
  <c r="D764" i="11"/>
  <c r="E764" i="11" s="1"/>
  <c r="J3" i="11"/>
  <c r="D3" i="11"/>
  <c r="F3" i="11" s="1"/>
  <c r="J464" i="11"/>
  <c r="D464" i="11"/>
  <c r="E464" i="11" s="1"/>
  <c r="J285" i="11"/>
  <c r="D285" i="11"/>
  <c r="J496" i="11"/>
  <c r="D496" i="11"/>
  <c r="E496" i="11" s="1"/>
  <c r="J714" i="11"/>
  <c r="D714" i="11"/>
  <c r="J862" i="11"/>
  <c r="D862" i="11"/>
  <c r="F862" i="11" s="1"/>
  <c r="J586" i="11"/>
  <c r="D586" i="11"/>
  <c r="F586" i="11" s="1"/>
  <c r="J85" i="11"/>
  <c r="D85" i="11"/>
  <c r="J443" i="11"/>
  <c r="E443" i="11"/>
  <c r="D443" i="11"/>
  <c r="F443" i="11" s="1"/>
  <c r="J673" i="11"/>
  <c r="D673" i="11"/>
  <c r="J605" i="11"/>
  <c r="D605" i="11"/>
  <c r="F605" i="11" s="1"/>
  <c r="J918" i="11"/>
  <c r="D918" i="11"/>
  <c r="E918" i="11" s="1"/>
  <c r="J105" i="11"/>
  <c r="D105" i="11"/>
  <c r="F105" i="11" s="1"/>
  <c r="J495" i="11"/>
  <c r="F495" i="11"/>
  <c r="D495" i="11"/>
  <c r="E495" i="11" s="1"/>
  <c r="J420" i="11"/>
  <c r="D420" i="11"/>
  <c r="F420" i="11" s="1"/>
  <c r="J77" i="11"/>
  <c r="D77" i="11"/>
  <c r="E77" i="11" s="1"/>
  <c r="J975" i="11"/>
  <c r="D975" i="11"/>
  <c r="E975" i="11" s="1"/>
  <c r="J774" i="11"/>
  <c r="D774" i="11"/>
  <c r="E774" i="11" s="1"/>
  <c r="J120" i="11"/>
  <c r="D120" i="11"/>
  <c r="J785" i="11"/>
  <c r="D785" i="11"/>
  <c r="E785" i="11" s="1"/>
  <c r="J93" i="11"/>
  <c r="D93" i="11"/>
  <c r="J343" i="11"/>
  <c r="D343" i="11"/>
  <c r="E343" i="11" s="1"/>
  <c r="J554" i="11"/>
  <c r="D554" i="11"/>
  <c r="E554" i="11" s="1"/>
  <c r="J136" i="11"/>
  <c r="D136" i="11"/>
  <c r="J291" i="11"/>
  <c r="D291" i="11"/>
  <c r="E291" i="11" s="1"/>
  <c r="J463" i="11"/>
  <c r="D463" i="11"/>
  <c r="J313" i="11"/>
  <c r="D313" i="11"/>
  <c r="J668" i="11"/>
  <c r="E668" i="11"/>
  <c r="D668" i="11"/>
  <c r="F668" i="11" s="1"/>
  <c r="J557" i="11"/>
  <c r="D557" i="11"/>
  <c r="J741" i="11"/>
  <c r="D741" i="11"/>
  <c r="F741" i="11" s="1"/>
  <c r="J54" i="11"/>
  <c r="D54" i="11"/>
  <c r="E54" i="11" s="1"/>
  <c r="J246" i="11"/>
  <c r="D246" i="11"/>
  <c r="F246" i="11" s="1"/>
  <c r="J917" i="11"/>
  <c r="D917" i="11"/>
  <c r="E917" i="11" s="1"/>
  <c r="J734" i="11"/>
  <c r="D734" i="11"/>
  <c r="E734" i="11" s="1"/>
  <c r="J597" i="11"/>
  <c r="D597" i="11"/>
  <c r="E597" i="11" s="1"/>
  <c r="J508" i="11"/>
  <c r="D508" i="11"/>
  <c r="F508" i="11" s="1"/>
  <c r="J560" i="11"/>
  <c r="D560" i="11"/>
  <c r="E560" i="11" s="1"/>
  <c r="J807" i="11"/>
  <c r="D807" i="11"/>
  <c r="E807" i="11" s="1"/>
  <c r="J526" i="11"/>
  <c r="D526" i="11"/>
  <c r="J362" i="11"/>
  <c r="D362" i="11"/>
  <c r="J290" i="11"/>
  <c r="D290" i="11"/>
  <c r="E290" i="11" s="1"/>
  <c r="J442" i="11"/>
  <c r="D442" i="11"/>
  <c r="J679" i="11"/>
  <c r="D679" i="11"/>
  <c r="J755" i="11"/>
  <c r="D755" i="11"/>
  <c r="F755" i="11" s="1"/>
  <c r="J594" i="11"/>
  <c r="D594" i="11"/>
  <c r="J12" i="11"/>
  <c r="D12" i="11"/>
  <c r="F12" i="11" s="1"/>
  <c r="J284" i="11"/>
  <c r="D284" i="11"/>
  <c r="E284" i="11" s="1"/>
  <c r="J826" i="11"/>
  <c r="D826" i="11"/>
  <c r="F826" i="11" s="1"/>
  <c r="J11" i="11"/>
  <c r="D11" i="11"/>
  <c r="E11" i="11" s="1"/>
  <c r="J308" i="11"/>
  <c r="D308" i="11"/>
  <c r="E308" i="11" s="1"/>
  <c r="J1000" i="11"/>
  <c r="D1000" i="11"/>
  <c r="E1000" i="11" s="1"/>
  <c r="J174" i="11"/>
  <c r="D174" i="11"/>
  <c r="F174" i="11" s="1"/>
  <c r="J192" i="11"/>
  <c r="F192" i="11"/>
  <c r="D192" i="11"/>
  <c r="E192" i="11" s="1"/>
  <c r="J660" i="11"/>
  <c r="F660" i="11"/>
  <c r="D660" i="11"/>
  <c r="E660" i="11" s="1"/>
  <c r="J146" i="11"/>
  <c r="D146" i="11"/>
  <c r="E146" i="11" s="1"/>
  <c r="J199" i="11"/>
  <c r="D199" i="11"/>
  <c r="J240" i="11"/>
  <c r="D240" i="11"/>
  <c r="J891" i="11"/>
  <c r="D891" i="11"/>
  <c r="F891" i="11" s="1"/>
  <c r="J972" i="11"/>
  <c r="D972" i="11"/>
  <c r="F972" i="11" s="1"/>
  <c r="J166" i="11"/>
  <c r="D166" i="11"/>
  <c r="F166" i="11" s="1"/>
  <c r="J440" i="11"/>
  <c r="D440" i="11"/>
  <c r="J626" i="11"/>
  <c r="D626" i="11"/>
  <c r="F626" i="11" s="1"/>
  <c r="J978" i="11"/>
  <c r="D978" i="11"/>
  <c r="J219" i="11"/>
  <c r="D219" i="11"/>
  <c r="F219" i="11" s="1"/>
  <c r="J667" i="11"/>
  <c r="D667" i="11"/>
  <c r="E667" i="11" s="1"/>
  <c r="J184" i="11"/>
  <c r="D184" i="11"/>
  <c r="E184" i="11" s="1"/>
  <c r="J631" i="11"/>
  <c r="D631" i="11"/>
  <c r="J181" i="11"/>
  <c r="D181" i="11"/>
  <c r="J810" i="11"/>
  <c r="D810" i="11"/>
  <c r="E810" i="11" s="1"/>
  <c r="J238" i="11"/>
  <c r="D238" i="11"/>
  <c r="F238" i="11" s="1"/>
  <c r="J409" i="11"/>
  <c r="D409" i="11"/>
  <c r="F409" i="11" s="1"/>
  <c r="J655" i="11"/>
  <c r="D655" i="11"/>
  <c r="J226" i="11"/>
  <c r="D226" i="11"/>
  <c r="E226" i="11" s="1"/>
  <c r="J71" i="11"/>
  <c r="D71" i="11"/>
  <c r="F71" i="11" s="1"/>
  <c r="J393" i="11"/>
  <c r="D393" i="11"/>
  <c r="F393" i="11" s="1"/>
  <c r="J648" i="11"/>
  <c r="D648" i="11"/>
  <c r="F648" i="11" s="1"/>
  <c r="J666" i="11"/>
  <c r="D666" i="11"/>
  <c r="J577" i="11"/>
  <c r="E577" i="11"/>
  <c r="D577" i="11"/>
  <c r="F577" i="11" s="1"/>
  <c r="J699" i="11"/>
  <c r="D699" i="11"/>
  <c r="J256" i="11"/>
  <c r="D256" i="11"/>
  <c r="F256" i="11" s="1"/>
  <c r="J326" i="11"/>
  <c r="F326" i="11"/>
  <c r="G326" i="11" s="1"/>
  <c r="D326" i="11"/>
  <c r="E326" i="11" s="1"/>
  <c r="J35" i="11"/>
  <c r="E35" i="11"/>
  <c r="D35" i="11"/>
  <c r="F35" i="11" s="1"/>
  <c r="J523" i="11"/>
  <c r="D523" i="11"/>
  <c r="J604" i="11"/>
  <c r="D604" i="11"/>
  <c r="F604" i="11" s="1"/>
  <c r="J302" i="11"/>
  <c r="D302" i="11"/>
  <c r="E302" i="11" s="1"/>
  <c r="J675" i="11"/>
  <c r="D675" i="11"/>
  <c r="F675" i="11" s="1"/>
  <c r="J828" i="11"/>
  <c r="D828" i="11"/>
  <c r="F828" i="11" s="1"/>
  <c r="J462" i="11"/>
  <c r="D462" i="11"/>
  <c r="J883" i="11"/>
  <c r="D883" i="11"/>
  <c r="J37" i="11"/>
  <c r="D37" i="11"/>
  <c r="J307" i="11"/>
  <c r="D307" i="11"/>
  <c r="F307" i="11" s="1"/>
  <c r="J836" i="11"/>
  <c r="D836" i="11"/>
  <c r="J59" i="11"/>
  <c r="D59" i="11"/>
  <c r="J882" i="11"/>
  <c r="D882" i="11"/>
  <c r="E882" i="11" s="1"/>
  <c r="J900" i="11"/>
  <c r="D900" i="11"/>
  <c r="J382" i="11"/>
  <c r="D382" i="11"/>
  <c r="J740" i="11"/>
  <c r="D740" i="11"/>
  <c r="E740" i="11" s="1"/>
  <c r="J92" i="11"/>
  <c r="D92" i="11"/>
  <c r="F92" i="11" s="1"/>
  <c r="J938" i="11"/>
  <c r="D938" i="11"/>
  <c r="F938" i="11" s="1"/>
  <c r="J695" i="11"/>
  <c r="D695" i="11"/>
  <c r="J324" i="11"/>
  <c r="D324" i="11"/>
  <c r="E324" i="11" s="1"/>
  <c r="J198" i="11"/>
  <c r="D198" i="11"/>
  <c r="J912" i="11"/>
  <c r="D912" i="11"/>
  <c r="J323" i="11"/>
  <c r="D323" i="11"/>
  <c r="J801" i="11"/>
  <c r="F801" i="11"/>
  <c r="D801" i="11"/>
  <c r="E801" i="11" s="1"/>
  <c r="J322" i="11"/>
  <c r="D322" i="11"/>
  <c r="E322" i="11" s="1"/>
  <c r="J813" i="11"/>
  <c r="D813" i="11"/>
  <c r="J763" i="11"/>
  <c r="D763" i="11"/>
  <c r="F763" i="11" s="1"/>
  <c r="J111" i="11"/>
  <c r="D111" i="11"/>
  <c r="J654" i="11"/>
  <c r="D654" i="11"/>
  <c r="E654" i="11" s="1"/>
  <c r="J371" i="11"/>
  <c r="D371" i="11"/>
  <c r="J152" i="11"/>
  <c r="D152" i="11"/>
  <c r="F152" i="11" s="1"/>
  <c r="J340" i="11"/>
  <c r="D340" i="11"/>
  <c r="E340" i="11" s="1"/>
  <c r="J481" i="11"/>
  <c r="D481" i="11"/>
  <c r="E481" i="11" s="1"/>
  <c r="J936" i="11"/>
  <c r="D936" i="11"/>
  <c r="E936" i="11" s="1"/>
  <c r="J352" i="11"/>
  <c r="D352" i="11"/>
  <c r="F352" i="11" s="1"/>
  <c r="J665" i="11"/>
  <c r="D665" i="11"/>
  <c r="E665" i="11" s="1"/>
  <c r="J270" i="11"/>
  <c r="F270" i="11"/>
  <c r="D270" i="11"/>
  <c r="E270" i="11" s="1"/>
  <c r="J544" i="11"/>
  <c r="D544" i="11"/>
  <c r="E544" i="11" s="1"/>
  <c r="J500" i="11"/>
  <c r="D500" i="11"/>
  <c r="J84" i="11"/>
  <c r="D84" i="11"/>
  <c r="J301" i="11"/>
  <c r="D301" i="11"/>
  <c r="F301" i="11" s="1"/>
  <c r="J806" i="11"/>
  <c r="D806" i="11"/>
  <c r="F806" i="11" s="1"/>
  <c r="J75" i="11"/>
  <c r="D75" i="11"/>
  <c r="F75" i="11" s="1"/>
  <c r="J392" i="11"/>
  <c r="D392" i="11"/>
  <c r="J261" i="11"/>
  <c r="D261" i="11"/>
  <c r="E261" i="11" s="1"/>
  <c r="J881" i="11"/>
  <c r="D881" i="11"/>
  <c r="E881" i="11" s="1"/>
  <c r="J517" i="11"/>
  <c r="D517" i="11"/>
  <c r="F517" i="11" s="1"/>
  <c r="J248" i="11"/>
  <c r="D248" i="11"/>
  <c r="J34" i="11"/>
  <c r="E34" i="11"/>
  <c r="D34" i="11"/>
  <c r="F34" i="11" s="1"/>
  <c r="J342" i="11"/>
  <c r="D342" i="11"/>
  <c r="J730" i="11"/>
  <c r="D730" i="11"/>
  <c r="F730" i="11" s="1"/>
  <c r="J245" i="11"/>
  <c r="D245" i="11"/>
  <c r="J180" i="11"/>
  <c r="D180" i="11"/>
  <c r="E180" i="11" s="1"/>
  <c r="J278" i="11"/>
  <c r="D278" i="11"/>
  <c r="E278" i="11" s="1"/>
  <c r="J796" i="11"/>
  <c r="D796" i="11"/>
  <c r="F796" i="11" s="1"/>
  <c r="J781" i="11"/>
  <c r="D781" i="11"/>
  <c r="J135" i="11"/>
  <c r="D135" i="11"/>
  <c r="F135" i="11" s="1"/>
  <c r="J780" i="11"/>
  <c r="D780" i="11"/>
  <c r="F780" i="11" s="1"/>
  <c r="J129" i="11"/>
  <c r="D129" i="11"/>
  <c r="J494" i="11"/>
  <c r="D494" i="11"/>
  <c r="J50" i="11"/>
  <c r="D50" i="11"/>
  <c r="F50" i="11" s="1"/>
  <c r="J977" i="11"/>
  <c r="D977" i="11"/>
  <c r="F977" i="11" s="1"/>
  <c r="J339" i="11"/>
  <c r="D339" i="11"/>
  <c r="J950" i="11"/>
  <c r="D950" i="11"/>
  <c r="J603" i="11"/>
  <c r="D603" i="11"/>
  <c r="E603" i="11" s="1"/>
  <c r="J719" i="11"/>
  <c r="D719" i="11"/>
  <c r="J911" i="11"/>
  <c r="D911" i="11"/>
  <c r="J566" i="11"/>
  <c r="F566" i="11"/>
  <c r="H566" i="11" s="1"/>
  <c r="I566" i="11" s="1"/>
  <c r="D566" i="11"/>
  <c r="E566" i="11" s="1"/>
  <c r="J630" i="11"/>
  <c r="D630" i="11"/>
  <c r="F630" i="11" s="1"/>
  <c r="J851" i="11"/>
  <c r="D851" i="11"/>
  <c r="F851" i="11" s="1"/>
  <c r="J710" i="11"/>
  <c r="D710" i="11"/>
  <c r="J914" i="11"/>
  <c r="D914" i="11"/>
  <c r="J617" i="11"/>
  <c r="D617" i="11"/>
  <c r="F617" i="11" s="1"/>
  <c r="J145" i="11"/>
  <c r="D145" i="11"/>
  <c r="J119" i="11"/>
  <c r="D119" i="11"/>
  <c r="J859" i="11"/>
  <c r="D859" i="11"/>
  <c r="J966" i="11"/>
  <c r="D966" i="11"/>
  <c r="E966" i="11" s="1"/>
  <c r="J260" i="11"/>
  <c r="D260" i="11"/>
  <c r="F260" i="11" s="1"/>
  <c r="J516" i="11"/>
  <c r="D516" i="11"/>
  <c r="J698" i="11"/>
  <c r="D698" i="11"/>
  <c r="J325" i="11"/>
  <c r="D325" i="11"/>
  <c r="E325" i="11" s="1"/>
  <c r="J439" i="11"/>
  <c r="D439" i="11"/>
  <c r="E439" i="11" s="1"/>
  <c r="J974" i="11"/>
  <c r="D974" i="11"/>
  <c r="F974" i="11" s="1"/>
  <c r="J269" i="11"/>
  <c r="D269" i="11"/>
  <c r="E269" i="11" s="1"/>
  <c r="J295" i="11"/>
  <c r="D295" i="11"/>
  <c r="E295" i="11" s="1"/>
  <c r="J945" i="11"/>
  <c r="D945" i="11"/>
  <c r="E945" i="11" s="1"/>
  <c r="J191" i="11"/>
  <c r="D191" i="11"/>
  <c r="F191" i="11" s="1"/>
  <c r="J976" i="11"/>
  <c r="D976" i="11"/>
  <c r="J473" i="11"/>
  <c r="F473" i="11"/>
  <c r="D473" i="11"/>
  <c r="E473" i="11" s="1"/>
  <c r="G473" i="11" s="1"/>
  <c r="J283" i="11"/>
  <c r="D283" i="11"/>
  <c r="J651" i="11"/>
  <c r="D651" i="11"/>
  <c r="J67" i="11"/>
  <c r="D67" i="11"/>
  <c r="J913" i="11"/>
  <c r="D913" i="11"/>
  <c r="J233" i="11"/>
  <c r="D233" i="11"/>
  <c r="F233" i="11" s="1"/>
  <c r="J846" i="11"/>
  <c r="D846" i="11"/>
  <c r="J33" i="11"/>
  <c r="D33" i="11"/>
  <c r="J289" i="11"/>
  <c r="D289" i="11"/>
  <c r="F289" i="11" s="1"/>
  <c r="J39" i="11"/>
  <c r="D39" i="11"/>
  <c r="E39" i="11" s="1"/>
  <c r="J385" i="11"/>
  <c r="D385" i="11"/>
  <c r="F385" i="11" s="1"/>
  <c r="J294" i="11"/>
  <c r="D294" i="11"/>
  <c r="J282" i="11"/>
  <c r="D282" i="11"/>
  <c r="J461" i="11"/>
  <c r="D461" i="11"/>
  <c r="F461" i="11" s="1"/>
  <c r="J197" i="11"/>
  <c r="D197" i="11"/>
  <c r="J293" i="11"/>
  <c r="D293" i="11"/>
  <c r="J332" i="11"/>
  <c r="D332" i="11"/>
  <c r="F332" i="11" s="1"/>
  <c r="J688" i="11"/>
  <c r="D688" i="11"/>
  <c r="J842" i="11"/>
  <c r="D842" i="11"/>
  <c r="J922" i="11"/>
  <c r="D922" i="11"/>
  <c r="J850" i="11"/>
  <c r="D850" i="11"/>
  <c r="J408" i="11"/>
  <c r="D408" i="11"/>
  <c r="J762" i="11"/>
  <c r="D762" i="11"/>
  <c r="F762" i="11" s="1"/>
  <c r="J321" i="11"/>
  <c r="D321" i="11"/>
  <c r="J724" i="11"/>
  <c r="D724" i="11"/>
  <c r="F724" i="11" s="1"/>
  <c r="J232" i="11"/>
  <c r="D232" i="11"/>
  <c r="E232" i="11" s="1"/>
  <c r="J629" i="11"/>
  <c r="D629" i="11"/>
  <c r="F629" i="11" s="1"/>
  <c r="J602" i="11"/>
  <c r="D602" i="11"/>
  <c r="E602" i="11" s="1"/>
  <c r="J611" i="11"/>
  <c r="D611" i="11"/>
  <c r="F611" i="11" s="1"/>
  <c r="J1001" i="11"/>
  <c r="D1001" i="11"/>
  <c r="F1001" i="11" s="1"/>
  <c r="J573" i="11"/>
  <c r="D573" i="11"/>
  <c r="F573" i="11" s="1"/>
  <c r="J217" i="11"/>
  <c r="D217" i="11"/>
  <c r="E217" i="11" s="1"/>
  <c r="J391" i="11"/>
  <c r="D391" i="11"/>
  <c r="F391" i="11" s="1"/>
  <c r="J49" i="11"/>
  <c r="D49" i="11"/>
  <c r="F49" i="11" s="1"/>
  <c r="J616" i="11"/>
  <c r="D616" i="11"/>
  <c r="J800" i="11"/>
  <c r="D800" i="11"/>
  <c r="E800" i="11" s="1"/>
  <c r="J779" i="11"/>
  <c r="D779" i="11"/>
  <c r="J926" i="11"/>
  <c r="D926" i="11"/>
  <c r="F926" i="11" s="1"/>
  <c r="J320" i="11"/>
  <c r="D320" i="11"/>
  <c r="F320" i="11" s="1"/>
  <c r="J244" i="11"/>
  <c r="D244" i="11"/>
  <c r="J190" i="11"/>
  <c r="D190" i="11"/>
  <c r="F190" i="11" s="1"/>
  <c r="J729" i="11"/>
  <c r="D729" i="11"/>
  <c r="J971" i="11"/>
  <c r="D971" i="11"/>
  <c r="F971" i="11" s="1"/>
  <c r="J817" i="11"/>
  <c r="D817" i="11"/>
  <c r="E817" i="11" s="1"/>
  <c r="J403" i="11"/>
  <c r="D403" i="11"/>
  <c r="J104" i="11"/>
  <c r="D104" i="11"/>
  <c r="J123" i="11"/>
  <c r="D123" i="11"/>
  <c r="J873" i="11"/>
  <c r="D873" i="11"/>
  <c r="J754" i="11"/>
  <c r="D754" i="11"/>
  <c r="F754" i="11" s="1"/>
  <c r="J207" i="11"/>
  <c r="D207" i="11"/>
  <c r="J664" i="11"/>
  <c r="D664" i="11"/>
  <c r="J417" i="11"/>
  <c r="D417" i="11"/>
  <c r="E417" i="11" s="1"/>
  <c r="J642" i="11"/>
  <c r="D642" i="11"/>
  <c r="E642" i="11" s="1"/>
  <c r="J739" i="11"/>
  <c r="D739" i="11"/>
  <c r="J128" i="11"/>
  <c r="D128" i="11"/>
  <c r="J691" i="11"/>
  <c r="D691" i="11"/>
  <c r="J66" i="11"/>
  <c r="D66" i="11"/>
  <c r="E66" i="11" s="1"/>
  <c r="J370" i="11"/>
  <c r="D370" i="11"/>
  <c r="J349" i="11"/>
  <c r="D349" i="11"/>
  <c r="E349" i="11" s="1"/>
  <c r="J183" i="11"/>
  <c r="D183" i="11"/>
  <c r="F183" i="11" s="1"/>
  <c r="J743" i="11"/>
  <c r="D743" i="11"/>
  <c r="J747" i="11"/>
  <c r="D747" i="11"/>
  <c r="F747" i="11" s="1"/>
  <c r="J306" i="11"/>
  <c r="D306" i="11"/>
  <c r="J990" i="11"/>
  <c r="D990" i="11"/>
  <c r="F990" i="11" s="1"/>
  <c r="J582" i="11"/>
  <c r="D582" i="11"/>
  <c r="J841" i="11"/>
  <c r="D841" i="11"/>
  <c r="F841" i="11" s="1"/>
  <c r="J361" i="11"/>
  <c r="D361" i="11"/>
  <c r="E361" i="11" s="1"/>
  <c r="J960" i="11"/>
  <c r="D960" i="11"/>
  <c r="F960" i="11" s="1"/>
  <c r="J369" i="11"/>
  <c r="D369" i="11"/>
  <c r="J491" i="11"/>
  <c r="D491" i="11"/>
  <c r="J705" i="11"/>
  <c r="D705" i="11"/>
  <c r="E705" i="11" s="1"/>
  <c r="J475" i="11"/>
  <c r="D475" i="11"/>
  <c r="F475" i="11" s="1"/>
  <c r="J795" i="11"/>
  <c r="D795" i="11"/>
  <c r="F795" i="11" s="1"/>
  <c r="J189" i="11"/>
  <c r="D189" i="11"/>
  <c r="J38" i="11"/>
  <c r="D38" i="11"/>
  <c r="J533" i="11"/>
  <c r="D533" i="11"/>
  <c r="J713" i="11"/>
  <c r="D713" i="11"/>
  <c r="F713" i="11" s="1"/>
  <c r="J887" i="11"/>
  <c r="D887" i="11"/>
  <c r="F887" i="11" s="1"/>
  <c r="J507" i="11"/>
  <c r="D507" i="11"/>
  <c r="J835" i="11"/>
  <c r="D835" i="11"/>
  <c r="F835" i="11" s="1"/>
  <c r="J825" i="11"/>
  <c r="D825" i="11"/>
  <c r="J576" i="11"/>
  <c r="D576" i="11"/>
  <c r="J277" i="11"/>
  <c r="D277" i="11"/>
  <c r="E277" i="11" s="1"/>
  <c r="J454" i="11"/>
  <c r="D454" i="11"/>
  <c r="E454" i="11" s="1"/>
  <c r="J532" i="11"/>
  <c r="D532" i="11"/>
  <c r="E532" i="11" s="1"/>
  <c r="J610" i="11"/>
  <c r="D610" i="11"/>
  <c r="F610" i="11" s="1"/>
  <c r="J543" i="11"/>
  <c r="D543" i="11"/>
  <c r="E543" i="11" s="1"/>
  <c r="J959" i="11"/>
  <c r="D959" i="11"/>
  <c r="E959" i="11" s="1"/>
  <c r="J288" i="11"/>
  <c r="D288" i="11"/>
  <c r="E288" i="11" s="1"/>
  <c r="J53" i="11"/>
  <c r="D53" i="11"/>
  <c r="J684" i="11"/>
  <c r="D684" i="11"/>
  <c r="J423" i="11"/>
  <c r="D423" i="11"/>
  <c r="J399" i="11"/>
  <c r="D399" i="11"/>
  <c r="F399" i="11" s="1"/>
  <c r="J21" i="11"/>
  <c r="D21" i="11"/>
  <c r="F21" i="11" s="1"/>
  <c r="J989" i="11"/>
  <c r="D989" i="11"/>
  <c r="J251" i="11"/>
  <c r="D251" i="11"/>
  <c r="F251" i="11" s="1"/>
  <c r="J79" i="11"/>
  <c r="D79" i="11"/>
  <c r="J570" i="11"/>
  <c r="D570" i="11"/>
  <c r="F570" i="11" s="1"/>
  <c r="J622" i="11"/>
  <c r="D622" i="11"/>
  <c r="E622" i="11" s="1"/>
  <c r="J2" i="11"/>
  <c r="D2" i="11"/>
  <c r="E2" i="11" s="1"/>
  <c r="J170" i="11"/>
  <c r="D170" i="11"/>
  <c r="E170" i="11" s="1"/>
  <c r="J114" i="11"/>
  <c r="D114" i="11"/>
  <c r="F114" i="11" s="1"/>
  <c r="J173" i="11"/>
  <c r="D173" i="11"/>
  <c r="J58" i="11"/>
  <c r="D58" i="11"/>
  <c r="E58" i="11" s="1"/>
  <c r="J416" i="11"/>
  <c r="D416" i="11"/>
  <c r="E416" i="11" s="1"/>
  <c r="J935" i="11"/>
  <c r="D935" i="11"/>
  <c r="F935" i="11" s="1"/>
  <c r="J10" i="11"/>
  <c r="D10" i="11"/>
  <c r="J110" i="11"/>
  <c r="D110" i="11"/>
  <c r="J694" i="11"/>
  <c r="D694" i="11"/>
  <c r="J886" i="11"/>
  <c r="D886" i="11"/>
  <c r="F886" i="11" s="1"/>
  <c r="J52" i="11"/>
  <c r="D52" i="11"/>
  <c r="J932" i="11"/>
  <c r="D932" i="11"/>
  <c r="J773" i="11"/>
  <c r="D773" i="11"/>
  <c r="J647" i="11"/>
  <c r="D647" i="11"/>
  <c r="J784" i="11"/>
  <c r="D784" i="11"/>
  <c r="J621" i="11"/>
  <c r="D621" i="11"/>
  <c r="E621" i="11" s="1"/>
  <c r="J91" i="11"/>
  <c r="D91" i="11"/>
  <c r="E91" i="11" s="1"/>
  <c r="J556" i="11"/>
  <c r="D556" i="11"/>
  <c r="F556" i="11" s="1"/>
  <c r="J134" i="11"/>
  <c r="D134" i="11"/>
  <c r="J999" i="11"/>
  <c r="D999" i="11"/>
  <c r="E999" i="11" s="1"/>
  <c r="J144" i="11"/>
  <c r="D144" i="11"/>
  <c r="E144" i="11" s="1"/>
  <c r="J761" i="11"/>
  <c r="D761" i="11"/>
  <c r="F761" i="11" s="1"/>
  <c r="J438" i="11"/>
  <c r="D438" i="11"/>
  <c r="J998" i="11"/>
  <c r="D998" i="11"/>
  <c r="J868" i="11"/>
  <c r="D868" i="11"/>
  <c r="J805" i="11"/>
  <c r="D805" i="11"/>
  <c r="F805" i="11" s="1"/>
  <c r="J593" i="11"/>
  <c r="D593" i="11"/>
  <c r="J452" i="11"/>
  <c r="D452" i="11"/>
  <c r="J163" i="11"/>
  <c r="D163" i="11"/>
  <c r="J609" i="11"/>
  <c r="D609" i="11"/>
  <c r="J799" i="11"/>
  <c r="D799" i="11"/>
  <c r="J36" i="11"/>
  <c r="D36" i="11"/>
  <c r="E36" i="11" s="1"/>
  <c r="J838" i="11"/>
  <c r="D838" i="11"/>
  <c r="E838" i="11" s="1"/>
  <c r="J639" i="11"/>
  <c r="D639" i="11"/>
  <c r="F639" i="11" s="1"/>
  <c r="J415" i="11"/>
  <c r="D415" i="11"/>
  <c r="J614" i="11"/>
  <c r="D614" i="11"/>
  <c r="E614" i="11" s="1"/>
  <c r="J259" i="11"/>
  <c r="D259" i="11"/>
  <c r="E259" i="11" s="1"/>
  <c r="J608" i="11"/>
  <c r="D608" i="11"/>
  <c r="F608" i="11" s="1"/>
  <c r="J109" i="11"/>
  <c r="D109" i="11"/>
  <c r="J20" i="11"/>
  <c r="D20" i="11"/>
  <c r="J601" i="11"/>
  <c r="D601" i="11"/>
  <c r="J965" i="11"/>
  <c r="D965" i="11"/>
  <c r="F965" i="11" s="1"/>
  <c r="J906" i="11"/>
  <c r="D906" i="11"/>
  <c r="J559" i="11"/>
  <c r="D559" i="11"/>
  <c r="J477" i="11"/>
  <c r="D477" i="11"/>
  <c r="J997" i="11"/>
  <c r="D997" i="11"/>
  <c r="J83" i="11"/>
  <c r="D83" i="11"/>
  <c r="J804" i="11"/>
  <c r="D804" i="11"/>
  <c r="E804" i="11" s="1"/>
  <c r="J824" i="11"/>
  <c r="D824" i="11"/>
  <c r="E824" i="11" s="1"/>
  <c r="J375" i="11"/>
  <c r="D375" i="11"/>
  <c r="F375" i="11" s="1"/>
  <c r="J19" i="11"/>
  <c r="D19" i="11"/>
  <c r="J374" i="11"/>
  <c r="D374" i="11"/>
  <c r="E374" i="11" s="1"/>
  <c r="J791" i="11"/>
  <c r="D791" i="11"/>
  <c r="E791" i="11" s="1"/>
  <c r="J542" i="11"/>
  <c r="D542" i="11"/>
  <c r="F542" i="11" s="1"/>
  <c r="J360" i="11"/>
  <c r="D360" i="11"/>
  <c r="J490" i="11"/>
  <c r="D490" i="11"/>
  <c r="J18" i="11"/>
  <c r="D18" i="11"/>
  <c r="J331" i="11"/>
  <c r="D331" i="11"/>
  <c r="F331" i="11" s="1"/>
  <c r="J48" i="11"/>
  <c r="D48" i="11"/>
  <c r="J338" i="11"/>
  <c r="D338" i="11"/>
  <c r="J243" i="11"/>
  <c r="D243" i="11"/>
  <c r="J803" i="11"/>
  <c r="D803" i="11"/>
  <c r="J553" i="11"/>
  <c r="D553" i="11"/>
  <c r="J772" i="11"/>
  <c r="D772" i="11"/>
  <c r="E772" i="11" s="1"/>
  <c r="J867" i="11"/>
  <c r="D867" i="11"/>
  <c r="E867" i="11" s="1"/>
  <c r="J213" i="11"/>
  <c r="D213" i="11"/>
  <c r="F213" i="11" s="1"/>
  <c r="J90" i="11"/>
  <c r="D90" i="11"/>
  <c r="J635" i="11"/>
  <c r="D635" i="11"/>
  <c r="E635" i="11" s="1"/>
  <c r="J118" i="11"/>
  <c r="D118" i="11"/>
  <c r="F118" i="11" s="1"/>
  <c r="J753" i="11"/>
  <c r="D753" i="11"/>
  <c r="F753" i="11" s="1"/>
  <c r="J460" i="11"/>
  <c r="D460" i="11"/>
  <c r="J531" i="11"/>
  <c r="D531" i="11"/>
  <c r="E531" i="11" s="1"/>
  <c r="J704" i="11"/>
  <c r="D704" i="11"/>
  <c r="E704" i="11" s="1"/>
  <c r="J572" i="11"/>
  <c r="D572" i="11"/>
  <c r="F572" i="11" s="1"/>
  <c r="J47" i="11"/>
  <c r="D47" i="11"/>
  <c r="J17" i="11"/>
  <c r="D17" i="11"/>
  <c r="E17" i="11" s="1"/>
  <c r="J430" i="11"/>
  <c r="D430" i="11"/>
  <c r="E430" i="11" s="1"/>
  <c r="J287" i="11"/>
  <c r="D287" i="11"/>
  <c r="F287" i="11" s="1"/>
  <c r="J151" i="11"/>
  <c r="D151" i="11"/>
  <c r="J866" i="11"/>
  <c r="D866" i="11"/>
  <c r="J683" i="11"/>
  <c r="D683" i="11"/>
  <c r="J127" i="11"/>
  <c r="D127" i="11"/>
  <c r="F127" i="11" s="1"/>
  <c r="J964" i="11"/>
  <c r="D964" i="11"/>
  <c r="J474" i="11"/>
  <c r="D474" i="11"/>
  <c r="E474" i="11" s="1"/>
  <c r="J671" i="11"/>
  <c r="D671" i="11"/>
  <c r="E671" i="11" s="1"/>
  <c r="J565" i="11"/>
  <c r="D565" i="11"/>
  <c r="F565" i="11" s="1"/>
  <c r="J411" i="11"/>
  <c r="D411" i="11"/>
  <c r="J728" i="11"/>
  <c r="D728" i="11"/>
  <c r="E728" i="11" s="1"/>
  <c r="J942" i="11"/>
  <c r="D942" i="11"/>
  <c r="F942" i="11" s="1"/>
  <c r="J794" i="11"/>
  <c r="D794" i="11"/>
  <c r="F794" i="11" s="1"/>
  <c r="J300" i="11"/>
  <c r="D300" i="11"/>
  <c r="J771" i="11"/>
  <c r="D771" i="11"/>
  <c r="J834" i="11"/>
  <c r="D834" i="11"/>
  <c r="J996" i="11"/>
  <c r="D996" i="11"/>
  <c r="F996" i="11" s="1"/>
  <c r="J373" i="11"/>
  <c r="D373" i="11"/>
  <c r="J646" i="11"/>
  <c r="D646" i="11"/>
  <c r="J954" i="11"/>
  <c r="D954" i="11"/>
  <c r="J489" i="11"/>
  <c r="D489" i="11"/>
  <c r="F489" i="11" s="1"/>
  <c r="J589" i="11"/>
  <c r="D589" i="11"/>
  <c r="J188" i="11"/>
  <c r="D188" i="11"/>
  <c r="E188" i="11" s="1"/>
  <c r="J169" i="11"/>
  <c r="D169" i="11"/>
  <c r="F169" i="11" s="1"/>
  <c r="J398" i="11"/>
  <c r="D398" i="11"/>
  <c r="F398" i="11" s="1"/>
  <c r="J237" i="11"/>
  <c r="D237" i="11"/>
  <c r="J172" i="11"/>
  <c r="F172" i="11"/>
  <c r="G172" i="11" s="1"/>
  <c r="D172" i="11"/>
  <c r="E172" i="11" s="1"/>
  <c r="J281" i="11"/>
  <c r="E281" i="11"/>
  <c r="D281" i="11"/>
  <c r="F281" i="11" s="1"/>
  <c r="J216" i="11"/>
  <c r="D216" i="11"/>
  <c r="J645" i="11"/>
  <c r="D645" i="11"/>
  <c r="J472" i="11"/>
  <c r="D472" i="11"/>
  <c r="E472" i="11" s="1"/>
  <c r="J693" i="11"/>
  <c r="D693" i="11"/>
  <c r="E693" i="11" s="1"/>
  <c r="J636" i="11"/>
  <c r="D636" i="11"/>
  <c r="F636" i="11" s="1"/>
  <c r="J802" i="11"/>
  <c r="D802" i="11"/>
  <c r="J250" i="11"/>
  <c r="D250" i="11"/>
  <c r="E250" i="11" s="1"/>
  <c r="J280" i="11"/>
  <c r="F280" i="11"/>
  <c r="D280" i="11"/>
  <c r="E280" i="11" s="1"/>
  <c r="J973" i="11"/>
  <c r="D973" i="11"/>
  <c r="J718" i="11"/>
  <c r="D718" i="11"/>
  <c r="J32" i="11"/>
  <c r="D32" i="11"/>
  <c r="E32" i="11" s="1"/>
  <c r="J74" i="11"/>
  <c r="D74" i="11"/>
  <c r="F74" i="11" s="1"/>
  <c r="J206" i="11"/>
  <c r="D206" i="11"/>
  <c r="F206" i="11" s="1"/>
  <c r="J738" i="11"/>
  <c r="D738" i="11"/>
  <c r="J236" i="11"/>
  <c r="D236" i="11"/>
  <c r="E236" i="11" s="1"/>
  <c r="J953" i="11"/>
  <c r="D953" i="11"/>
  <c r="F953" i="11" s="1"/>
  <c r="J701" i="11"/>
  <c r="D701" i="11"/>
  <c r="J921" i="11"/>
  <c r="D921" i="11"/>
  <c r="J837" i="11"/>
  <c r="D837" i="11"/>
  <c r="J958" i="11"/>
  <c r="D958" i="11"/>
  <c r="J242" i="11"/>
  <c r="D242" i="11"/>
  <c r="F242" i="11" s="1"/>
  <c r="J348" i="11"/>
  <c r="D348" i="11"/>
  <c r="J941" i="11"/>
  <c r="D941" i="11"/>
  <c r="J274" i="11"/>
  <c r="D274" i="11"/>
  <c r="J330" i="11"/>
  <c r="D330" i="11"/>
  <c r="F330" i="11" s="1"/>
  <c r="J28" i="11"/>
  <c r="D28" i="11"/>
  <c r="J57" i="11"/>
  <c r="D57" i="11"/>
  <c r="E57" i="11" s="1"/>
  <c r="J725" i="11"/>
  <c r="D725" i="11"/>
  <c r="F725" i="11" s="1"/>
  <c r="J337" i="11"/>
  <c r="D337" i="11"/>
  <c r="F337" i="11" s="1"/>
  <c r="J890" i="11"/>
  <c r="D890" i="11"/>
  <c r="F890" i="11" s="1"/>
  <c r="J899" i="11"/>
  <c r="D899" i="11"/>
  <c r="J790" i="11"/>
  <c r="D790" i="11"/>
  <c r="E790" i="11" s="1"/>
  <c r="J872" i="11"/>
  <c r="D872" i="11"/>
  <c r="J299" i="11"/>
  <c r="D299" i="11"/>
  <c r="F299" i="11" s="1"/>
  <c r="J103" i="11"/>
  <c r="D103" i="11"/>
  <c r="E103" i="11" s="1"/>
  <c r="J525" i="11"/>
  <c r="D525" i="11"/>
  <c r="F525" i="11" s="1"/>
  <c r="J400" i="11"/>
  <c r="D400" i="11"/>
  <c r="E400" i="11" s="1"/>
  <c r="J235" i="11"/>
  <c r="D235" i="11"/>
  <c r="F235" i="11" s="1"/>
  <c r="J255" i="11"/>
  <c r="D255" i="11"/>
  <c r="J9" i="11"/>
  <c r="D9" i="11"/>
  <c r="E9" i="11" s="1"/>
  <c r="J286" i="11"/>
  <c r="D286" i="11"/>
  <c r="F286" i="11" s="1"/>
  <c r="J678" i="11"/>
  <c r="D678" i="11"/>
  <c r="F678" i="11" s="1"/>
  <c r="J414" i="11"/>
  <c r="D414" i="11"/>
  <c r="E414" i="11" s="1"/>
  <c r="J737" i="11"/>
  <c r="D737" i="11"/>
  <c r="E737" i="11" s="1"/>
  <c r="J995" i="11"/>
  <c r="D995" i="11"/>
  <c r="E995" i="11" s="1"/>
  <c r="J778" i="11"/>
  <c r="D778" i="11"/>
  <c r="J312" i="11"/>
  <c r="D312" i="11"/>
  <c r="E312" i="11" s="1"/>
  <c r="J179" i="11"/>
  <c r="D179" i="11"/>
  <c r="F179" i="11" s="1"/>
  <c r="J625" i="11"/>
  <c r="D625" i="11"/>
  <c r="F625" i="11" s="1"/>
  <c r="J564" i="11"/>
  <c r="D564" i="11"/>
  <c r="F564" i="11" s="1"/>
  <c r="J877" i="11"/>
  <c r="D877" i="11"/>
  <c r="J727" i="11"/>
  <c r="D727" i="11"/>
  <c r="F727" i="11" s="1"/>
  <c r="J419" i="11"/>
  <c r="D419" i="11"/>
  <c r="E419" i="11" s="1"/>
  <c r="J78" i="11"/>
  <c r="D78" i="11"/>
  <c r="F78" i="11" s="1"/>
  <c r="J70" i="11"/>
  <c r="D70" i="11"/>
  <c r="E70" i="11" s="1"/>
  <c r="J305" i="11"/>
  <c r="F305" i="11"/>
  <c r="D305" i="11"/>
  <c r="E305" i="11" s="1"/>
  <c r="J46" i="11"/>
  <c r="D46" i="11"/>
  <c r="E46" i="11" s="1"/>
  <c r="J581" i="11"/>
  <c r="D581" i="11"/>
  <c r="F581" i="11" s="1"/>
  <c r="J726" i="11"/>
  <c r="D726" i="11"/>
  <c r="E726" i="11" s="1"/>
  <c r="J402" i="11"/>
  <c r="D402" i="11"/>
  <c r="E402" i="11" s="1"/>
  <c r="J690" i="11"/>
  <c r="F690" i="11"/>
  <c r="D690" i="11"/>
  <c r="E690" i="11" s="1"/>
  <c r="J459" i="11"/>
  <c r="D459" i="11"/>
  <c r="J162" i="11"/>
  <c r="D162" i="11"/>
  <c r="E162" i="11" s="1"/>
  <c r="J218" i="11"/>
  <c r="F218" i="11"/>
  <c r="E218" i="11"/>
  <c r="D218" i="11"/>
  <c r="J390" i="11"/>
  <c r="D390" i="11"/>
  <c r="F390" i="11" s="1"/>
  <c r="J827" i="11"/>
  <c r="D827" i="11"/>
  <c r="J752" i="11"/>
  <c r="D752" i="11"/>
  <c r="J225" i="11"/>
  <c r="D225" i="11"/>
  <c r="E225" i="11" s="1"/>
  <c r="J336" i="11"/>
  <c r="D336" i="11"/>
  <c r="E336" i="11" s="1"/>
  <c r="J187" i="11"/>
  <c r="D187" i="11"/>
  <c r="F187" i="11" s="1"/>
  <c r="J150" i="11"/>
  <c r="D150" i="11"/>
  <c r="J335" i="11"/>
  <c r="D335" i="11"/>
  <c r="E335" i="11" s="1"/>
  <c r="J102" i="11"/>
  <c r="D102" i="11"/>
  <c r="E102" i="11" s="1"/>
  <c r="J384" i="11"/>
  <c r="D384" i="11"/>
  <c r="F384" i="11" s="1"/>
  <c r="J451" i="11"/>
  <c r="D451" i="11"/>
  <c r="E451" i="11" s="1"/>
  <c r="J82" i="11"/>
  <c r="D82" i="11"/>
  <c r="E82" i="11" s="1"/>
  <c r="J865" i="11"/>
  <c r="D865" i="11"/>
  <c r="E865" i="11" s="1"/>
  <c r="J117" i="11"/>
  <c r="D117" i="11"/>
  <c r="J89" i="11"/>
  <c r="D89" i="11"/>
  <c r="E89" i="11" s="1"/>
  <c r="J613" i="11"/>
  <c r="E613" i="11"/>
  <c r="D613" i="11"/>
  <c r="F613" i="11" s="1"/>
  <c r="J746" i="11"/>
  <c r="E746" i="11"/>
  <c r="D746" i="11"/>
  <c r="F746" i="11" s="1"/>
  <c r="J522" i="11"/>
  <c r="D522" i="11"/>
  <c r="F522" i="11" s="1"/>
  <c r="J770" i="11"/>
  <c r="D770" i="11"/>
  <c r="J889" i="11"/>
  <c r="D889" i="11"/>
  <c r="J854" i="11"/>
  <c r="D854" i="11"/>
  <c r="J769" i="11"/>
  <c r="D769" i="11"/>
  <c r="F769" i="11" s="1"/>
  <c r="J916" i="11"/>
  <c r="D916" i="11"/>
  <c r="E916" i="11" s="1"/>
  <c r="J580" i="11"/>
  <c r="D580" i="11"/>
  <c r="E580" i="11" s="1"/>
  <c r="J898" i="11"/>
  <c r="D898" i="11"/>
  <c r="E898" i="11" s="1"/>
  <c r="J450" i="11"/>
  <c r="D450" i="11"/>
  <c r="J712" i="11"/>
  <c r="D712" i="11"/>
  <c r="E712" i="11" s="1"/>
  <c r="J429" i="11"/>
  <c r="D429" i="11"/>
  <c r="E429" i="11" s="1"/>
  <c r="J437" i="11"/>
  <c r="D437" i="11"/>
  <c r="E437" i="11" s="1"/>
  <c r="J816" i="11"/>
  <c r="D816" i="11"/>
  <c r="J760" i="11"/>
  <c r="D760" i="11"/>
  <c r="J155" i="11"/>
  <c r="D155" i="11"/>
  <c r="E155" i="11" s="1"/>
  <c r="J876" i="11"/>
  <c r="D876" i="11"/>
  <c r="J620" i="11"/>
  <c r="D620" i="11"/>
  <c r="F620" i="11" s="1"/>
  <c r="J650" i="11"/>
  <c r="D650" i="11"/>
  <c r="E650" i="11" s="1"/>
  <c r="J905" i="11"/>
  <c r="D905" i="11"/>
  <c r="F905" i="11" s="1"/>
  <c r="J81" i="11"/>
  <c r="D81" i="11"/>
  <c r="F81" i="11" s="1"/>
  <c r="J65" i="11"/>
  <c r="D65" i="11"/>
  <c r="F65" i="11" s="1"/>
  <c r="J88" i="11"/>
  <c r="D88" i="11"/>
  <c r="J994" i="11"/>
  <c r="D994" i="11"/>
  <c r="F994" i="11" s="1"/>
  <c r="J812" i="11"/>
  <c r="D812" i="11"/>
  <c r="J389" i="11"/>
  <c r="D389" i="11"/>
  <c r="F389" i="11" s="1"/>
  <c r="J888" i="11"/>
  <c r="D888" i="11"/>
  <c r="E888" i="11" s="1"/>
  <c r="J381" i="11"/>
  <c r="D381" i="11"/>
  <c r="J904" i="11"/>
  <c r="D904" i="11"/>
  <c r="E904" i="11" s="1"/>
  <c r="J205" i="11"/>
  <c r="D205" i="11"/>
  <c r="J789" i="11"/>
  <c r="D789" i="11"/>
  <c r="E789" i="11" s="1"/>
  <c r="J541" i="11"/>
  <c r="D541" i="11"/>
  <c r="F541" i="11" s="1"/>
  <c r="J276" i="11"/>
  <c r="D276" i="11"/>
  <c r="J993" i="11"/>
  <c r="D993" i="11"/>
  <c r="J558" i="11"/>
  <c r="D558" i="11"/>
  <c r="E558" i="11" s="1"/>
  <c r="J154" i="11"/>
  <c r="D154" i="11"/>
  <c r="F154" i="11" s="1"/>
  <c r="J428" i="11"/>
  <c r="D428" i="11"/>
  <c r="F428" i="11" s="1"/>
  <c r="J45" i="11"/>
  <c r="D45" i="11"/>
  <c r="F45" i="11" s="1"/>
  <c r="J153" i="11"/>
  <c r="D153" i="11"/>
  <c r="J563" i="11"/>
  <c r="D563" i="11"/>
  <c r="F563" i="11" s="1"/>
  <c r="J677" i="11"/>
  <c r="D677" i="11"/>
  <c r="J983" i="11"/>
  <c r="D983" i="11"/>
  <c r="F983" i="11" s="1"/>
  <c r="J733" i="11"/>
  <c r="D733" i="11"/>
  <c r="E733" i="11" s="1"/>
  <c r="J422" i="11"/>
  <c r="D422" i="11"/>
  <c r="J273" i="11"/>
  <c r="D273" i="11"/>
  <c r="E273" i="11" s="1"/>
  <c r="J509" i="11"/>
  <c r="D509" i="11"/>
  <c r="F509" i="11" s="1"/>
  <c r="J458" i="11"/>
  <c r="D458" i="11"/>
  <c r="J275" i="11"/>
  <c r="D275" i="11"/>
  <c r="F275" i="11" s="1"/>
  <c r="J506" i="11"/>
  <c r="D506" i="11"/>
  <c r="F506" i="11" s="1"/>
  <c r="J292" i="11"/>
  <c r="D292" i="11"/>
  <c r="J73" i="11"/>
  <c r="D73" i="11"/>
  <c r="E73" i="11" s="1"/>
  <c r="J552" i="11"/>
  <c r="D552" i="11"/>
  <c r="J347" i="11"/>
  <c r="F347" i="11"/>
  <c r="D347" i="11"/>
  <c r="E347" i="11" s="1"/>
  <c r="J44" i="11"/>
  <c r="D44" i="11"/>
  <c r="J329" i="11"/>
  <c r="D329" i="11"/>
  <c r="J149" i="11"/>
  <c r="D149" i="11"/>
  <c r="E149" i="11" s="1"/>
  <c r="J530" i="11"/>
  <c r="D530" i="11"/>
  <c r="E530" i="11" s="1"/>
  <c r="J575" i="11"/>
  <c r="D575" i="11"/>
  <c r="F575" i="11" s="1"/>
  <c r="J670" i="11"/>
  <c r="D670" i="11"/>
  <c r="J641" i="11"/>
  <c r="D641" i="11"/>
  <c r="E641" i="11" s="1"/>
  <c r="J628" i="11"/>
  <c r="D628" i="11"/>
  <c r="J434" i="11"/>
  <c r="D434" i="11"/>
  <c r="E434" i="11" s="1"/>
  <c r="J318" i="11"/>
  <c r="D318" i="11"/>
  <c r="J427" i="11"/>
  <c r="D427" i="11"/>
  <c r="J540" i="11"/>
  <c r="D540" i="11"/>
  <c r="E540" i="11" s="1"/>
  <c r="J717" i="11"/>
  <c r="D717" i="11"/>
  <c r="J963" i="11"/>
  <c r="D963" i="11"/>
  <c r="F963" i="11" s="1"/>
  <c r="J418" i="11"/>
  <c r="D418" i="11"/>
  <c r="E418" i="11" s="1"/>
  <c r="J788" i="11"/>
  <c r="D788" i="11"/>
  <c r="J298" i="11"/>
  <c r="D298" i="11"/>
  <c r="F298" i="11" s="1"/>
  <c r="J160" i="11"/>
  <c r="D160" i="11"/>
  <c r="F160" i="11" s="1"/>
  <c r="J488" i="11"/>
  <c r="D488" i="11"/>
  <c r="E488" i="11" s="1"/>
  <c r="J503" i="11"/>
  <c r="D503" i="11"/>
  <c r="F503" i="11" s="1"/>
  <c r="J480" i="11"/>
  <c r="D480" i="11"/>
  <c r="E480" i="11" s="1"/>
  <c r="J903" i="11"/>
  <c r="D903" i="11"/>
  <c r="F903" i="11" s="1"/>
  <c r="J304" i="11"/>
  <c r="D304" i="11"/>
  <c r="E304" i="11" s="1"/>
  <c r="J529" i="11"/>
  <c r="D529" i="11"/>
  <c r="E529" i="11" s="1"/>
  <c r="J133" i="11"/>
  <c r="D133" i="11"/>
  <c r="E133" i="11" s="1"/>
  <c r="J585" i="11"/>
  <c r="D585" i="11"/>
  <c r="F585" i="11" s="1"/>
  <c r="J311" i="11"/>
  <c r="D311" i="11"/>
  <c r="E311" i="11" s="1"/>
  <c r="J359" i="11"/>
  <c r="D359" i="11"/>
  <c r="F359" i="11" s="1"/>
  <c r="J486" i="11"/>
  <c r="D486" i="11"/>
  <c r="F486" i="11" s="1"/>
  <c r="J902" i="11"/>
  <c r="D902" i="11"/>
  <c r="F902" i="11" s="1"/>
  <c r="J487" i="11"/>
  <c r="D487" i="11"/>
  <c r="E487" i="11" s="1"/>
  <c r="J777" i="11"/>
  <c r="D777" i="11"/>
  <c r="F777" i="11" s="1"/>
  <c r="J931" i="11"/>
  <c r="D931" i="11"/>
  <c r="F931" i="11" s="1"/>
  <c r="J141" i="11"/>
  <c r="D141" i="11"/>
  <c r="F141" i="11" s="1"/>
  <c r="J539" i="11"/>
  <c r="D539" i="11"/>
  <c r="E539" i="11" s="1"/>
  <c r="J864" i="11"/>
  <c r="D864" i="11"/>
  <c r="E864" i="11" s="1"/>
  <c r="J383" i="11"/>
  <c r="D383" i="11"/>
  <c r="E383" i="11" s="1"/>
  <c r="J56" i="11"/>
  <c r="D56" i="11"/>
  <c r="F56" i="11" s="1"/>
  <c r="J988" i="11"/>
  <c r="D988" i="11"/>
  <c r="E988" i="11" s="1"/>
  <c r="J116" i="11"/>
  <c r="D116" i="11"/>
  <c r="E116" i="11" s="1"/>
  <c r="J388" i="11"/>
  <c r="D388" i="11"/>
  <c r="E388" i="11" s="1"/>
  <c r="J449" i="11"/>
  <c r="D449" i="11"/>
  <c r="F449" i="11" s="1"/>
  <c r="J485" i="11"/>
  <c r="D485" i="11"/>
  <c r="E485" i="11" s="1"/>
  <c r="J579" i="11"/>
  <c r="F579" i="11"/>
  <c r="D579" i="11"/>
  <c r="E579" i="11" s="1"/>
  <c r="J159" i="11"/>
  <c r="D159" i="11"/>
  <c r="E159" i="11" s="1"/>
  <c r="J821" i="11"/>
  <c r="D821" i="11"/>
  <c r="F821" i="11" s="1"/>
  <c r="J538" i="11"/>
  <c r="D538" i="11"/>
  <c r="E538" i="11" s="1"/>
  <c r="J380" i="11"/>
  <c r="D380" i="11"/>
  <c r="F380" i="11" s="1"/>
  <c r="J592" i="11"/>
  <c r="D592" i="11"/>
  <c r="F592" i="11" s="1"/>
  <c r="J368" i="11"/>
  <c r="D368" i="11"/>
  <c r="F368" i="11" s="1"/>
  <c r="J126" i="11"/>
  <c r="D126" i="11"/>
  <c r="E126" i="11" s="1"/>
  <c r="J537" i="11"/>
  <c r="D537" i="11"/>
  <c r="E537" i="11" s="1"/>
  <c r="J736" i="11"/>
  <c r="D736" i="11"/>
  <c r="E736" i="11" s="1"/>
  <c r="J101" i="11"/>
  <c r="D101" i="11"/>
  <c r="F101" i="11" s="1"/>
  <c r="J397" i="11"/>
  <c r="D397" i="11"/>
  <c r="E397" i="11" s="1"/>
  <c r="J457" i="11"/>
  <c r="F457" i="11"/>
  <c r="D457" i="11"/>
  <c r="E457" i="11" s="1"/>
  <c r="J51" i="11"/>
  <c r="D51" i="11"/>
  <c r="E51" i="11" s="1"/>
  <c r="J709" i="11"/>
  <c r="D709" i="11"/>
  <c r="F709" i="11" s="1"/>
  <c r="J143" i="11"/>
  <c r="D143" i="11"/>
  <c r="E143" i="11" s="1"/>
  <c r="J168" i="11"/>
  <c r="D168" i="11"/>
  <c r="E168" i="11" s="1"/>
  <c r="J893" i="11"/>
  <c r="D893" i="11"/>
  <c r="E893" i="11" s="1"/>
  <c r="J672" i="11"/>
  <c r="D672" i="11"/>
  <c r="F672" i="11" s="1"/>
  <c r="J387" i="11"/>
  <c r="D387" i="11"/>
  <c r="E387" i="11" s="1"/>
  <c r="J484" i="11"/>
  <c r="D484" i="11"/>
  <c r="F484" i="11" s="1"/>
  <c r="J987" i="11"/>
  <c r="D987" i="11"/>
  <c r="F987" i="11" s="1"/>
  <c r="J407" i="11"/>
  <c r="D407" i="11"/>
  <c r="F407" i="11" s="1"/>
  <c r="J76" i="11"/>
  <c r="D76" i="11"/>
  <c r="E76" i="11" s="1"/>
  <c r="J231" i="11"/>
  <c r="D231" i="11"/>
  <c r="F231" i="11" s="1"/>
  <c r="J863" i="11"/>
  <c r="D863" i="11"/>
  <c r="E863" i="11" s="1"/>
  <c r="J158" i="11"/>
  <c r="D158" i="11"/>
  <c r="F158" i="11" s="1"/>
  <c r="J212" i="11"/>
  <c r="D212" i="11"/>
  <c r="E212" i="11" s="1"/>
  <c r="J122" i="11"/>
  <c r="D122" i="11"/>
  <c r="F122" i="11" s="1"/>
  <c r="J230" i="11"/>
  <c r="F230" i="11"/>
  <c r="D230" i="11"/>
  <c r="E230" i="11" s="1"/>
  <c r="J317" i="11"/>
  <c r="D317" i="11"/>
  <c r="F317" i="11" s="1"/>
  <c r="J272" i="11"/>
  <c r="D272" i="11"/>
  <c r="E272" i="11" s="1"/>
  <c r="J708" i="11"/>
  <c r="D708" i="11"/>
  <c r="F708" i="11" s="1"/>
  <c r="J367" i="11"/>
  <c r="D367" i="11"/>
  <c r="F367" i="11" s="1"/>
  <c r="J732" i="11"/>
  <c r="D732" i="11"/>
  <c r="F732" i="11" s="1"/>
  <c r="J254" i="11"/>
  <c r="D254" i="11"/>
  <c r="E254" i="11" s="1"/>
  <c r="J858" i="11"/>
  <c r="D858" i="11"/>
  <c r="E858" i="11" s="1"/>
  <c r="J962" i="11"/>
  <c r="D962" i="11"/>
  <c r="F962" i="11" s="1"/>
  <c r="J366" i="11"/>
  <c r="D366" i="11"/>
  <c r="F366" i="11" s="1"/>
  <c r="J723" i="11"/>
  <c r="D723" i="11"/>
  <c r="E723" i="11" s="1"/>
  <c r="J448" i="11"/>
  <c r="D448" i="11"/>
  <c r="F448" i="11" s="1"/>
  <c r="J925" i="11"/>
  <c r="D925" i="11"/>
  <c r="E925" i="11" s="1"/>
  <c r="J986" i="11"/>
  <c r="D986" i="11"/>
  <c r="F986" i="11" s="1"/>
  <c r="J239" i="11"/>
  <c r="D239" i="11"/>
  <c r="E239" i="11" s="1"/>
  <c r="J982" i="11"/>
  <c r="D982" i="11"/>
  <c r="F982" i="11" s="1"/>
  <c r="J524" i="11"/>
  <c r="D524" i="11"/>
  <c r="E524" i="11" s="1"/>
  <c r="J521" i="11"/>
  <c r="D521" i="11"/>
  <c r="F521" i="11" s="1"/>
  <c r="J100" i="11"/>
  <c r="D100" i="11"/>
  <c r="E100" i="11" s="1"/>
  <c r="J596" i="11"/>
  <c r="D596" i="11"/>
  <c r="F596" i="11" s="1"/>
  <c r="J783" i="11"/>
  <c r="D783" i="11"/>
  <c r="F783" i="11" s="1"/>
  <c r="J303" i="11"/>
  <c r="D303" i="11"/>
  <c r="F303" i="11" s="1"/>
  <c r="J31" i="11"/>
  <c r="D31" i="11"/>
  <c r="E31" i="11" s="1"/>
  <c r="J861" i="11"/>
  <c r="D861" i="11"/>
  <c r="F861" i="11" s="1"/>
  <c r="J171" i="11"/>
  <c r="D171" i="11"/>
  <c r="F171" i="11" s="1"/>
  <c r="J271" i="11"/>
  <c r="D271" i="11"/>
  <c r="F271" i="11" s="1"/>
  <c r="J43" i="11"/>
  <c r="D43" i="11"/>
  <c r="E43" i="11" s="1"/>
  <c r="J528" i="11"/>
  <c r="D528" i="11"/>
  <c r="E528" i="11" s="1"/>
  <c r="J64" i="11"/>
  <c r="D64" i="11"/>
  <c r="E64" i="11" s="1"/>
  <c r="J445" i="11"/>
  <c r="D445" i="11"/>
  <c r="F445" i="11" s="1"/>
  <c r="J880" i="11"/>
  <c r="D880" i="11"/>
  <c r="E880" i="11" s="1"/>
  <c r="J703" i="11"/>
  <c r="D703" i="11"/>
  <c r="E703" i="11" s="1"/>
  <c r="J682" i="11"/>
  <c r="D682" i="11"/>
  <c r="E682" i="11" s="1"/>
  <c r="J334" i="11"/>
  <c r="D334" i="11"/>
  <c r="F334" i="11" s="1"/>
  <c r="J253" i="11"/>
  <c r="D253" i="11"/>
  <c r="E253" i="11" s="1"/>
  <c r="J505" i="11"/>
  <c r="D505" i="11"/>
  <c r="E505" i="11" s="1"/>
  <c r="J624" i="11"/>
  <c r="D624" i="11"/>
  <c r="E624" i="11" s="1"/>
  <c r="J659" i="11"/>
  <c r="D659" i="11"/>
  <c r="F659" i="11" s="1"/>
  <c r="J809" i="11"/>
  <c r="D809" i="11"/>
  <c r="E809" i="11" s="1"/>
  <c r="J69" i="11"/>
  <c r="D69" i="11"/>
  <c r="F69" i="11" s="1"/>
  <c r="J687" i="11"/>
  <c r="D687" i="11"/>
  <c r="F687" i="11" s="1"/>
  <c r="J910" i="11"/>
  <c r="D910" i="11"/>
  <c r="F910" i="11" s="1"/>
  <c r="J845" i="11"/>
  <c r="D845" i="11"/>
  <c r="E845" i="11" s="1"/>
  <c r="J595" i="11"/>
  <c r="E595" i="11"/>
  <c r="D595" i="11"/>
  <c r="F595" i="11" s="1"/>
  <c r="J897" i="11"/>
  <c r="D897" i="11"/>
  <c r="F897" i="11" s="1"/>
  <c r="J787" i="11"/>
  <c r="D787" i="11"/>
  <c r="E787" i="11" s="1"/>
  <c r="J627" i="11"/>
  <c r="D627" i="11"/>
  <c r="E627" i="11" s="1"/>
  <c r="J60" i="11"/>
  <c r="D60" i="11"/>
  <c r="F60" i="11" s="1"/>
  <c r="J8" i="11"/>
  <c r="D8" i="11"/>
  <c r="F8" i="11" s="1"/>
  <c r="J896" i="11"/>
  <c r="D896" i="11"/>
  <c r="J483" i="11"/>
  <c r="D483" i="11"/>
  <c r="E483" i="11" s="1"/>
  <c r="J279" i="11"/>
  <c r="D279" i="11"/>
  <c r="E279" i="11" s="1"/>
  <c r="J853" i="11"/>
  <c r="D853" i="11"/>
  <c r="F853" i="11" s="1"/>
  <c r="J852" i="11"/>
  <c r="D852" i="11"/>
  <c r="J653" i="11"/>
  <c r="D653" i="11"/>
  <c r="E653" i="11" s="1"/>
  <c r="J957" i="11"/>
  <c r="D957" i="11"/>
  <c r="F957" i="11" s="1"/>
  <c r="J178" i="11"/>
  <c r="D178" i="11"/>
  <c r="F178" i="11" s="1"/>
  <c r="J949" i="11"/>
  <c r="D949" i="11"/>
  <c r="J346" i="11"/>
  <c r="D346" i="11"/>
  <c r="E346" i="11" s="1"/>
  <c r="J177" i="11"/>
  <c r="D177" i="11"/>
  <c r="F177" i="11" s="1"/>
  <c r="J504" i="11"/>
  <c r="D504" i="11"/>
  <c r="F504" i="11" s="1"/>
  <c r="J549" i="11"/>
  <c r="D549" i="11"/>
  <c r="J165" i="11"/>
  <c r="D165" i="11"/>
  <c r="E165" i="11" s="1"/>
  <c r="J658" i="11"/>
  <c r="D658" i="11"/>
  <c r="F658" i="11" s="1"/>
  <c r="J433" i="11"/>
  <c r="D433" i="11"/>
  <c r="F433" i="11" s="1"/>
  <c r="J992" i="11"/>
  <c r="D992" i="11"/>
  <c r="J985" i="11"/>
  <c r="D985" i="11"/>
  <c r="E985" i="11" s="1"/>
  <c r="J471" i="11"/>
  <c r="D471" i="11"/>
  <c r="F471" i="11" s="1"/>
  <c r="J379" i="11"/>
  <c r="D379" i="11"/>
  <c r="F379" i="11" s="1"/>
  <c r="J722" i="11"/>
  <c r="D722" i="11"/>
  <c r="J432" i="11"/>
  <c r="D432" i="11"/>
  <c r="E432" i="11" s="1"/>
  <c r="J584" i="11"/>
  <c r="D584" i="11"/>
  <c r="F584" i="11" s="1"/>
  <c r="J30" i="11"/>
  <c r="D30" i="11"/>
  <c r="F30" i="11" s="1"/>
  <c r="J776" i="11"/>
  <c r="D776" i="11"/>
  <c r="J520" i="11"/>
  <c r="D520" i="11"/>
  <c r="E520" i="11" s="1"/>
  <c r="J952" i="11"/>
  <c r="D952" i="11"/>
  <c r="F952" i="11" s="1"/>
  <c r="J768" i="11"/>
  <c r="D768" i="11"/>
  <c r="F768" i="11" s="1"/>
  <c r="J548" i="11"/>
  <c r="D548" i="11"/>
  <c r="J692" i="11"/>
  <c r="D692" i="11"/>
  <c r="E692" i="11" s="1"/>
  <c r="J820" i="11"/>
  <c r="D820" i="11"/>
  <c r="F820" i="11" s="1"/>
  <c r="J948" i="11"/>
  <c r="D948" i="11"/>
  <c r="F948" i="11" s="1"/>
  <c r="J849" i="11"/>
  <c r="D849" i="11"/>
  <c r="J157" i="11"/>
  <c r="D157" i="11"/>
  <c r="E157" i="11" s="1"/>
  <c r="J574" i="11"/>
  <c r="D574" i="11"/>
  <c r="F574" i="11" s="1"/>
  <c r="J447" i="11"/>
  <c r="D447" i="11"/>
  <c r="F447" i="11" s="1"/>
  <c r="J431" i="11"/>
  <c r="D431" i="11"/>
  <c r="J358" i="11"/>
  <c r="D358" i="11"/>
  <c r="E358" i="11" s="1"/>
  <c r="J981" i="11"/>
  <c r="D981" i="11"/>
  <c r="E981" i="11" s="1"/>
  <c r="J499" i="11"/>
  <c r="D499" i="11"/>
  <c r="F499" i="11" s="1"/>
  <c r="J909" i="11"/>
  <c r="D909" i="11"/>
  <c r="J951" i="11"/>
  <c r="D951" i="11"/>
  <c r="E951" i="11" s="1"/>
  <c r="J908" i="11"/>
  <c r="D908" i="11"/>
  <c r="F908" i="11" s="1"/>
  <c r="J907" i="11"/>
  <c r="D907" i="11"/>
  <c r="F907" i="11" s="1"/>
  <c r="J767" i="11"/>
  <c r="D767" i="11"/>
  <c r="J961" i="11"/>
  <c r="D961" i="11"/>
  <c r="E961" i="11" s="1"/>
  <c r="J547" i="11"/>
  <c r="D547" i="11"/>
  <c r="E547" i="11" s="1"/>
  <c r="J607" i="11"/>
  <c r="D607" i="11"/>
  <c r="F607" i="11" s="1"/>
  <c r="J319" i="11"/>
  <c r="D319" i="11"/>
  <c r="J108" i="11"/>
  <c r="D108" i="11"/>
  <c r="E108" i="11" s="1"/>
  <c r="J268" i="11"/>
  <c r="D268" i="11"/>
  <c r="E268" i="11" s="1"/>
  <c r="J819" i="11"/>
  <c r="D819" i="11"/>
  <c r="F819" i="11" s="1"/>
  <c r="J328" i="11"/>
  <c r="D328" i="11"/>
  <c r="J937" i="11"/>
  <c r="D937" i="11"/>
  <c r="E937" i="11" s="1"/>
  <c r="J944" i="11"/>
  <c r="D944" i="11"/>
  <c r="F944" i="11" s="1"/>
  <c r="J857" i="11"/>
  <c r="D857" i="11"/>
  <c r="E857" i="11" s="1"/>
  <c r="J333" i="11"/>
  <c r="D333" i="11"/>
  <c r="F333" i="11" s="1"/>
  <c r="J657" i="11"/>
  <c r="D657" i="11"/>
  <c r="E657" i="11" s="1"/>
  <c r="J396" i="11"/>
  <c r="D396" i="11"/>
  <c r="E396" i="11" s="1"/>
  <c r="J663" i="11"/>
  <c r="D663" i="11"/>
  <c r="E663" i="11" s="1"/>
  <c r="J479" i="11"/>
  <c r="D479" i="11"/>
  <c r="F479" i="11" s="1"/>
  <c r="J470" i="11"/>
  <c r="D470" i="11"/>
  <c r="E470" i="11" s="1"/>
  <c r="J934" i="11"/>
  <c r="D934" i="11"/>
  <c r="E934" i="11" s="1"/>
  <c r="J901" i="11"/>
  <c r="D901" i="11"/>
  <c r="F901" i="11" s="1"/>
  <c r="J241" i="11"/>
  <c r="D241" i="11"/>
  <c r="F241" i="11" s="1"/>
  <c r="J731" i="11"/>
  <c r="D731" i="11"/>
  <c r="E731" i="11" s="1"/>
  <c r="J551" i="11"/>
  <c r="D551" i="11"/>
  <c r="F551" i="11" s="1"/>
  <c r="J7" i="11"/>
  <c r="D7" i="11"/>
  <c r="E7" i="11" s="1"/>
  <c r="J786" i="11"/>
  <c r="D786" i="11"/>
  <c r="F786" i="11" s="1"/>
  <c r="J357" i="11"/>
  <c r="D357" i="11"/>
  <c r="E357" i="11" s="1"/>
  <c r="J72" i="11"/>
  <c r="D72" i="11"/>
  <c r="F72" i="11" s="1"/>
  <c r="J63" i="11"/>
  <c r="D63" i="11"/>
  <c r="E63" i="11" s="1"/>
  <c r="J947" i="11"/>
  <c r="D947" i="11"/>
  <c r="F947" i="11" s="1"/>
  <c r="J167" i="11"/>
  <c r="D167" i="11"/>
  <c r="E167" i="11" s="1"/>
  <c r="J316" i="11"/>
  <c r="D316" i="11"/>
  <c r="F316" i="11" s="1"/>
  <c r="J662" i="11"/>
  <c r="D662" i="11"/>
  <c r="F662" i="11" s="1"/>
  <c r="J24" i="11"/>
  <c r="D24" i="11"/>
  <c r="F24" i="11" s="1"/>
  <c r="J798" i="11"/>
  <c r="D798" i="11"/>
  <c r="E798" i="11" s="1"/>
  <c r="J920" i="11"/>
  <c r="E920" i="11"/>
  <c r="D920" i="11"/>
  <c r="F920" i="11" s="1"/>
  <c r="J196" i="11"/>
  <c r="D196" i="11"/>
  <c r="F196" i="11" s="1"/>
  <c r="J571" i="11"/>
  <c r="D571" i="11"/>
  <c r="F571" i="11" s="1"/>
  <c r="J345" i="11"/>
  <c r="D345" i="11"/>
  <c r="E345" i="11" s="1"/>
  <c r="J757" i="11"/>
  <c r="D757" i="11"/>
  <c r="F757" i="11" s="1"/>
  <c r="J395" i="11"/>
  <c r="D395" i="11"/>
  <c r="E395" i="11" s="1"/>
  <c r="J453" i="11"/>
  <c r="D453" i="11"/>
  <c r="F453" i="11" s="1"/>
  <c r="J229" i="11"/>
  <c r="D229" i="11"/>
  <c r="E229" i="11" s="1"/>
  <c r="J844" i="11"/>
  <c r="D844" i="11"/>
  <c r="F844" i="11" s="1"/>
  <c r="J265" i="11"/>
  <c r="D265" i="11"/>
  <c r="E265" i="11" s="1"/>
  <c r="J984" i="11"/>
  <c r="D984" i="11"/>
  <c r="F984" i="11" s="1"/>
  <c r="J386" i="11"/>
  <c r="D386" i="11"/>
  <c r="E386" i="11" s="1"/>
  <c r="J818" i="11"/>
  <c r="D818" i="11"/>
  <c r="E818" i="11" s="1"/>
  <c r="J848" i="11"/>
  <c r="D848" i="11"/>
  <c r="E848" i="11" s="1"/>
  <c r="J394" i="11"/>
  <c r="D394" i="11"/>
  <c r="F394" i="11" s="1"/>
  <c r="J224" i="11"/>
  <c r="D224" i="11"/>
  <c r="E224" i="11" s="1"/>
  <c r="J721" i="11"/>
  <c r="D721" i="11"/>
  <c r="E721" i="11" s="1"/>
  <c r="J833" i="11"/>
  <c r="D833" i="11"/>
  <c r="F833" i="11" s="1"/>
  <c r="J27" i="11"/>
  <c r="D27" i="11"/>
  <c r="F27" i="11" s="1"/>
  <c r="J546" i="11"/>
  <c r="D546" i="11"/>
  <c r="E546" i="11" s="1"/>
  <c r="J623" i="11"/>
  <c r="D623" i="11"/>
  <c r="F623" i="11" s="1"/>
  <c r="J456" i="11"/>
  <c r="D456" i="11"/>
  <c r="E456" i="11" s="1"/>
  <c r="J365" i="11"/>
  <c r="D365" i="11"/>
  <c r="F365" i="11" s="1"/>
  <c r="J228" i="11"/>
  <c r="D228" i="11"/>
  <c r="E228" i="11" s="1"/>
  <c r="J204" i="11"/>
  <c r="D204" i="11"/>
  <c r="F204" i="11" s="1"/>
  <c r="J132" i="11"/>
  <c r="D132" i="11"/>
  <c r="E132" i="11" s="1"/>
  <c r="J930" i="11"/>
  <c r="D930" i="11"/>
  <c r="F930" i="11" s="1"/>
  <c r="J356" i="11"/>
  <c r="D356" i="11"/>
  <c r="E356" i="11" s="1"/>
  <c r="J258" i="11"/>
  <c r="D258" i="11"/>
  <c r="F258" i="11" s="1"/>
  <c r="J600" i="11"/>
  <c r="D600" i="11"/>
  <c r="F600" i="11" s="1"/>
  <c r="J716" i="11"/>
  <c r="D716" i="11"/>
  <c r="F716" i="11" s="1"/>
  <c r="J264" i="11"/>
  <c r="D264" i="11"/>
  <c r="E264" i="11" s="1"/>
  <c r="J203" i="11"/>
  <c r="D203" i="11"/>
  <c r="F203" i="11" s="1"/>
  <c r="J113" i="11"/>
  <c r="D113" i="11"/>
  <c r="F113" i="11" s="1"/>
  <c r="J436" i="11"/>
  <c r="D436" i="11"/>
  <c r="F436" i="11" s="1"/>
  <c r="J476" i="11"/>
  <c r="D476" i="11"/>
  <c r="E476" i="11" s="1"/>
  <c r="J536" i="11"/>
  <c r="D536" i="11"/>
  <c r="F536" i="11" s="1"/>
  <c r="J644" i="11"/>
  <c r="D644" i="11"/>
  <c r="E644" i="11" s="1"/>
  <c r="J467" i="11"/>
  <c r="D467" i="11"/>
  <c r="F467" i="11" s="1"/>
  <c r="J62" i="11"/>
  <c r="D62" i="11"/>
  <c r="E62" i="11" s="1"/>
  <c r="J6" i="11"/>
  <c r="D6" i="11"/>
  <c r="F6" i="11" s="1"/>
  <c r="J643" i="11"/>
  <c r="D643" i="11"/>
  <c r="E643" i="11" s="1"/>
  <c r="J875" i="11"/>
  <c r="D875" i="11"/>
  <c r="F875" i="11" s="1"/>
  <c r="J202" i="11"/>
  <c r="D202" i="11"/>
  <c r="E202" i="11" s="1"/>
  <c r="J257" i="11"/>
  <c r="D257" i="11"/>
  <c r="E257" i="11" s="1"/>
  <c r="J87" i="11"/>
  <c r="D87" i="11"/>
  <c r="E87" i="11" s="1"/>
  <c r="J956" i="11"/>
  <c r="D956" i="11"/>
  <c r="F956" i="11" s="1"/>
  <c r="J515" i="11"/>
  <c r="D515" i="11"/>
  <c r="E515" i="11" s="1"/>
  <c r="J351" i="11"/>
  <c r="D351" i="11"/>
  <c r="E351" i="11" s="1"/>
  <c r="J186" i="11"/>
  <c r="D186" i="11"/>
  <c r="F186" i="11" s="1"/>
  <c r="J211" i="11"/>
  <c r="D211" i="11"/>
  <c r="F211" i="11" s="1"/>
  <c r="J99" i="11"/>
  <c r="D99" i="11"/>
  <c r="E99" i="11" s="1"/>
  <c r="J16" i="11"/>
  <c r="D16" i="11"/>
  <c r="F16" i="11" s="1"/>
  <c r="J156" i="11"/>
  <c r="D156" i="11"/>
  <c r="E156" i="11" s="1"/>
  <c r="J514" i="11"/>
  <c r="D514" i="11"/>
  <c r="F514" i="11" s="1"/>
  <c r="J832" i="11"/>
  <c r="D832" i="11"/>
  <c r="E832" i="11" s="1"/>
  <c r="J519" i="11"/>
  <c r="D519" i="11"/>
  <c r="F519" i="11" s="1"/>
  <c r="J355" i="11"/>
  <c r="D355" i="11"/>
  <c r="E355" i="11" s="1"/>
  <c r="J310" i="11"/>
  <c r="D310" i="11"/>
  <c r="F310" i="11" s="1"/>
  <c r="J107" i="11"/>
  <c r="D107" i="11"/>
  <c r="E107" i="11" s="1"/>
  <c r="J140" i="11"/>
  <c r="D140" i="11"/>
  <c r="F140" i="11" s="1"/>
  <c r="J652" i="11"/>
  <c r="D652" i="11"/>
  <c r="F652" i="11" s="1"/>
  <c r="J940" i="11"/>
  <c r="D940" i="11"/>
  <c r="F940" i="11" s="1"/>
  <c r="J656" i="11"/>
  <c r="D656" i="11"/>
  <c r="E656" i="11" s="1"/>
  <c r="J929" i="11"/>
  <c r="D929" i="11"/>
  <c r="F929" i="11" s="1"/>
  <c r="J919" i="11"/>
  <c r="D919" i="11"/>
  <c r="F919" i="11" s="1"/>
  <c r="J766" i="11"/>
  <c r="D766" i="11"/>
  <c r="F766" i="11" s="1"/>
  <c r="J884" i="11"/>
  <c r="D884" i="11"/>
  <c r="E884" i="11" s="1"/>
  <c r="J615" i="11"/>
  <c r="D615" i="11"/>
  <c r="F615" i="11" s="1"/>
  <c r="J583" i="11"/>
  <c r="D583" i="11"/>
  <c r="E583" i="11" s="1"/>
  <c r="J871" i="11"/>
  <c r="D871" i="11"/>
  <c r="F871" i="11" s="1"/>
  <c r="J879" i="11"/>
  <c r="D879" i="11"/>
  <c r="E879" i="11" s="1"/>
  <c r="J364" i="11"/>
  <c r="D364" i="11"/>
  <c r="F364" i="11" s="1"/>
  <c r="J195" i="11"/>
  <c r="D195" i="11"/>
  <c r="E195" i="11" s="1"/>
  <c r="J426" i="11"/>
  <c r="D426" i="11"/>
  <c r="F426" i="11" s="1"/>
  <c r="J148" i="11"/>
  <c r="D148" i="11"/>
  <c r="E148" i="11" s="1"/>
  <c r="J469" i="11"/>
  <c r="D469" i="11"/>
  <c r="E469" i="11" s="1"/>
  <c r="J215" i="11"/>
  <c r="D215" i="11"/>
  <c r="E215" i="11" s="1"/>
  <c r="J928" i="11"/>
  <c r="D928" i="11"/>
  <c r="F928" i="11" s="1"/>
  <c r="J139" i="11"/>
  <c r="D139" i="11"/>
  <c r="E139" i="11" s="1"/>
  <c r="J138" i="11"/>
  <c r="D138" i="11"/>
  <c r="E138" i="11" s="1"/>
  <c r="J591" i="11"/>
  <c r="D591" i="11"/>
  <c r="F591" i="11" s="1"/>
  <c r="J210" i="11"/>
  <c r="D210" i="11"/>
  <c r="F210" i="11" s="1"/>
  <c r="J562" i="11"/>
  <c r="D562" i="11"/>
  <c r="E562" i="11" s="1"/>
  <c r="J535" i="11"/>
  <c r="D535" i="11"/>
  <c r="F535" i="11" s="1"/>
  <c r="J176" i="11"/>
  <c r="D176" i="11"/>
  <c r="E176" i="11" s="1"/>
  <c r="J267" i="11"/>
  <c r="D267" i="11"/>
  <c r="F267" i="11" s="1"/>
  <c r="J4" i="11"/>
  <c r="D4" i="11"/>
  <c r="E4" i="11" s="1"/>
  <c r="J194" i="11"/>
  <c r="E194" i="11"/>
  <c r="D194" i="11"/>
  <c r="F194" i="11" s="1"/>
  <c r="J401" i="11"/>
  <c r="D401" i="11"/>
  <c r="E401" i="11" s="1"/>
  <c r="J782" i="11"/>
  <c r="D782" i="11"/>
  <c r="F782" i="11" s="1"/>
  <c r="J97" i="11"/>
  <c r="D97" i="11"/>
  <c r="F97" i="11" s="1"/>
  <c r="J980" i="11"/>
  <c r="D980" i="11"/>
  <c r="E980" i="11" s="1"/>
  <c r="J410" i="11"/>
  <c r="D410" i="11"/>
  <c r="E410" i="11" s="1"/>
  <c r="J924" i="11"/>
  <c r="D924" i="11"/>
  <c r="F924" i="11" s="1"/>
  <c r="J131" i="11"/>
  <c r="D131" i="11"/>
  <c r="F131" i="11" s="1"/>
  <c r="J793" i="11"/>
  <c r="D793" i="11"/>
  <c r="E793" i="11" s="1"/>
  <c r="J498" i="11"/>
  <c r="D498" i="11"/>
  <c r="E498" i="11" s="1"/>
  <c r="J843" i="11"/>
  <c r="D843" i="11"/>
  <c r="E843" i="11" s="1"/>
  <c r="J588" i="11"/>
  <c r="D588" i="11"/>
  <c r="F588" i="11" s="1"/>
  <c r="J587" i="11"/>
  <c r="D587" i="11"/>
  <c r="E587" i="11" s="1"/>
  <c r="J263" i="11"/>
  <c r="D263" i="11"/>
  <c r="E263" i="11" s="1"/>
  <c r="J550" i="11"/>
  <c r="D550" i="11"/>
  <c r="F550" i="11" s="1"/>
  <c r="J42" i="11"/>
  <c r="D42" i="11"/>
  <c r="F42" i="11" s="1"/>
  <c r="J765" i="11"/>
  <c r="D765" i="11"/>
  <c r="E765" i="11" s="1"/>
  <c r="J23" i="11"/>
  <c r="D23" i="11"/>
  <c r="E23" i="11" s="1"/>
  <c r="J247" i="11"/>
  <c r="D247" i="11"/>
  <c r="F247" i="11" s="1"/>
  <c r="J674" i="11"/>
  <c r="D674" i="11"/>
  <c r="F674" i="11" s="1"/>
  <c r="J855" i="11"/>
  <c r="D855" i="11"/>
  <c r="E855" i="11" s="1"/>
  <c r="J378" i="11"/>
  <c r="F378" i="11"/>
  <c r="D378" i="11"/>
  <c r="E378" i="11" s="1"/>
  <c r="J344" i="11"/>
  <c r="E344" i="11"/>
  <c r="D344" i="11"/>
  <c r="F344" i="11" s="1"/>
  <c r="J561" i="11"/>
  <c r="D561" i="11"/>
  <c r="F561" i="11" s="1"/>
  <c r="J634" i="11"/>
  <c r="D634" i="11"/>
  <c r="E634" i="11" s="1"/>
  <c r="J68" i="11"/>
  <c r="D68" i="11"/>
  <c r="E68" i="11" s="1"/>
  <c r="J689" i="11"/>
  <c r="D689" i="11"/>
  <c r="E689" i="11" s="1"/>
  <c r="J182" i="11"/>
  <c r="D182" i="11"/>
  <c r="F182" i="11" s="1"/>
  <c r="J130" i="11"/>
  <c r="D130" i="11"/>
  <c r="E130" i="11" s="1"/>
  <c r="J686" i="11"/>
  <c r="D686" i="11"/>
  <c r="E686" i="11" s="1"/>
  <c r="J711" i="11"/>
  <c r="D711" i="11"/>
  <c r="F711" i="11" s="1"/>
  <c r="J775" i="11"/>
  <c r="D775" i="11"/>
  <c r="F775" i="11" s="1"/>
  <c r="J96" i="11"/>
  <c r="D96" i="11"/>
  <c r="E96" i="11" s="1"/>
  <c r="J715" i="11"/>
  <c r="D715" i="11"/>
  <c r="E715" i="11" s="1"/>
  <c r="J638" i="11"/>
  <c r="D638" i="11"/>
  <c r="F638" i="11" s="1"/>
  <c r="J493" i="11"/>
  <c r="D493" i="11"/>
  <c r="F493" i="11" s="1"/>
  <c r="J840" i="11"/>
  <c r="D840" i="11"/>
  <c r="E840" i="11" s="1"/>
  <c r="J55" i="11"/>
  <c r="D55" i="11"/>
  <c r="E55" i="11" s="1"/>
  <c r="J223" i="11"/>
  <c r="D223" i="11"/>
  <c r="F223" i="11" s="1"/>
  <c r="J707" i="11"/>
  <c r="D707" i="11"/>
  <c r="F707" i="11" s="1"/>
  <c r="J895" i="11"/>
  <c r="D895" i="11"/>
  <c r="E895" i="11" s="1"/>
  <c r="J315" i="11"/>
  <c r="D315" i="11"/>
  <c r="E315" i="11" s="1"/>
  <c r="J234" i="11"/>
  <c r="D234" i="11"/>
  <c r="E234" i="11" s="1"/>
  <c r="J252" i="11"/>
  <c r="D252" i="11"/>
  <c r="F252" i="11" s="1"/>
  <c r="J702" i="11"/>
  <c r="D702" i="11"/>
  <c r="E702" i="11" s="1"/>
  <c r="J502" i="11"/>
  <c r="D502" i="11"/>
  <c r="E502" i="11" s="1"/>
  <c r="J406" i="11"/>
  <c r="D406" i="11"/>
  <c r="F406" i="11" s="1"/>
  <c r="J590" i="11"/>
  <c r="D590" i="11"/>
  <c r="F590" i="11" s="1"/>
  <c r="J569" i="11"/>
  <c r="D569" i="11"/>
  <c r="E569" i="11" s="1"/>
  <c r="J95" i="11"/>
  <c r="D95" i="11"/>
  <c r="E95" i="11" s="1"/>
  <c r="J441" i="11"/>
  <c r="D441" i="11"/>
  <c r="F441" i="11" s="1"/>
  <c r="J706" i="11"/>
  <c r="D706" i="11"/>
  <c r="F706" i="11" s="1"/>
  <c r="J759" i="11"/>
  <c r="D759" i="11"/>
  <c r="E759" i="11" s="1"/>
  <c r="J720" i="11"/>
  <c r="D720" i="11"/>
  <c r="E720" i="11" s="1"/>
  <c r="J209" i="11"/>
  <c r="D209" i="11"/>
  <c r="F209" i="11" s="1"/>
  <c r="J742" i="11"/>
  <c r="D742" i="11"/>
  <c r="F742" i="11" s="1"/>
  <c r="J125" i="11"/>
  <c r="D125" i="11"/>
  <c r="E125" i="11" s="1"/>
  <c r="J991" i="11"/>
  <c r="D991" i="11"/>
  <c r="E991" i="11" s="1"/>
  <c r="J823" i="11"/>
  <c r="D823" i="11"/>
  <c r="E823" i="11" s="1"/>
  <c r="J94" i="11"/>
  <c r="D94" i="11"/>
  <c r="F94" i="11" s="1"/>
  <c r="J435" i="11"/>
  <c r="D435" i="11"/>
  <c r="E435" i="11" s="1"/>
  <c r="J669" i="11"/>
  <c r="D669" i="11"/>
  <c r="E669" i="11" s="1"/>
  <c r="J578" i="11"/>
  <c r="D578" i="11"/>
  <c r="F578" i="11" s="1"/>
  <c r="J115" i="11"/>
  <c r="D115" i="11"/>
  <c r="F115" i="11" s="1"/>
  <c r="J745" i="11"/>
  <c r="D745" i="11"/>
  <c r="E745" i="11" s="1"/>
  <c r="J421" i="11"/>
  <c r="D421" i="11"/>
  <c r="E421" i="11" s="1"/>
  <c r="J61" i="11"/>
  <c r="D61" i="11"/>
  <c r="F61" i="11" s="1"/>
  <c r="J606" i="11"/>
  <c r="D606" i="11"/>
  <c r="F606" i="11" s="1"/>
  <c r="J568" i="11"/>
  <c r="D568" i="11"/>
  <c r="E568" i="11" s="1"/>
  <c r="J513" i="11"/>
  <c r="D513" i="11"/>
  <c r="E513" i="11" s="1"/>
  <c r="J831" i="11"/>
  <c r="D831" i="11"/>
  <c r="F831" i="11" s="1"/>
  <c r="J676" i="11"/>
  <c r="D676" i="11"/>
  <c r="F676" i="11" s="1"/>
  <c r="J946" i="11"/>
  <c r="D946" i="11"/>
  <c r="E946" i="11" s="1"/>
  <c r="J147" i="11"/>
  <c r="D147" i="11"/>
  <c r="E147" i="11" s="1"/>
  <c r="J468" i="11"/>
  <c r="D468" i="11"/>
  <c r="E468" i="11" s="1"/>
  <c r="J870" i="11"/>
  <c r="D870" i="11"/>
  <c r="F870" i="11" s="1"/>
  <c r="J518" i="11"/>
  <c r="D518" i="11"/>
  <c r="E518" i="11" s="1"/>
  <c r="J792" i="11"/>
  <c r="D792" i="11"/>
  <c r="E792" i="11" s="1"/>
  <c r="J751" i="11"/>
  <c r="D751" i="11"/>
  <c r="F751" i="11" s="1"/>
  <c r="J26" i="11"/>
  <c r="D26" i="11"/>
  <c r="F26" i="11" s="1"/>
  <c r="J124" i="11"/>
  <c r="D124" i="11"/>
  <c r="E124" i="11" s="1"/>
  <c r="J227" i="11"/>
  <c r="D227" i="11"/>
  <c r="E227" i="11" s="1"/>
  <c r="J161" i="11"/>
  <c r="D161" i="11"/>
  <c r="F161" i="11" s="1"/>
  <c r="J5" i="11"/>
  <c r="D5" i="11"/>
  <c r="F5" i="11" s="1"/>
  <c r="J619" i="11"/>
  <c r="D619" i="11"/>
  <c r="E619" i="11" s="1"/>
  <c r="J700" i="11"/>
  <c r="F700" i="11"/>
  <c r="D700" i="11"/>
  <c r="E700" i="11" s="1"/>
  <c r="J661" i="11"/>
  <c r="E661" i="11"/>
  <c r="D661" i="11"/>
  <c r="F661" i="11" s="1"/>
  <c r="J309" i="11"/>
  <c r="D309" i="11"/>
  <c r="F309" i="11" s="1"/>
  <c r="J927" i="11"/>
  <c r="D927" i="11"/>
  <c r="E927" i="11" s="1"/>
  <c r="J545" i="11"/>
  <c r="D545" i="11"/>
  <c r="E545" i="11" s="1"/>
  <c r="J892" i="11"/>
  <c r="D892" i="11"/>
  <c r="E892" i="11" s="1"/>
  <c r="J354" i="11"/>
  <c r="D354" i="11"/>
  <c r="F354" i="11" s="1"/>
  <c r="J405" i="11"/>
  <c r="D405" i="11"/>
  <c r="E405" i="11" s="1"/>
  <c r="J567" i="11"/>
  <c r="D567" i="11"/>
  <c r="E567" i="11" s="1"/>
  <c r="J797" i="11"/>
  <c r="D797" i="11"/>
  <c r="F797" i="11" s="1"/>
  <c r="J193" i="11"/>
  <c r="D193" i="11"/>
  <c r="F193" i="11" s="1"/>
  <c r="J106" i="11"/>
  <c r="D106" i="11"/>
  <c r="E106" i="11" s="1"/>
  <c r="J201" i="11"/>
  <c r="D201" i="11"/>
  <c r="E201" i="11" s="1"/>
  <c r="J756" i="11"/>
  <c r="D756" i="11"/>
  <c r="F756" i="11" s="1"/>
  <c r="J856" i="11"/>
  <c r="D856" i="11"/>
  <c r="F856" i="11" s="1"/>
  <c r="J112" i="11"/>
  <c r="D112" i="11"/>
  <c r="E112" i="11" s="1"/>
  <c r="J266" i="11"/>
  <c r="D266" i="11"/>
  <c r="E266" i="11" s="1"/>
  <c r="J377" i="11"/>
  <c r="D377" i="11"/>
  <c r="F377" i="11" s="1"/>
  <c r="J363" i="11"/>
  <c r="D363" i="11"/>
  <c r="F363" i="11" s="1"/>
  <c r="J735" i="11"/>
  <c r="D735" i="11"/>
  <c r="E735" i="11" s="1"/>
  <c r="J164" i="11"/>
  <c r="D164" i="11"/>
  <c r="E164" i="11" s="1"/>
  <c r="J512" i="11"/>
  <c r="D512" i="11"/>
  <c r="E512" i="11" s="1"/>
  <c r="J29" i="11"/>
  <c r="D29" i="11"/>
  <c r="F29" i="11" s="1"/>
  <c r="J222" i="11"/>
  <c r="D222" i="11"/>
  <c r="E222" i="11" s="1"/>
  <c r="J970" i="11"/>
  <c r="D970" i="11"/>
  <c r="E970" i="11" s="1"/>
  <c r="J681" i="11"/>
  <c r="D681" i="11"/>
  <c r="F681" i="11" s="1"/>
  <c r="J86" i="11"/>
  <c r="D86" i="11"/>
  <c r="F86" i="11" s="1"/>
  <c r="J915" i="11"/>
  <c r="D915" i="11"/>
  <c r="E915" i="11" s="1"/>
  <c r="J874" i="11"/>
  <c r="D874" i="11"/>
  <c r="E874" i="11" s="1"/>
  <c r="J878" i="11"/>
  <c r="D878" i="11"/>
  <c r="F878" i="11" s="1"/>
  <c r="J341" i="11"/>
  <c r="D341" i="11"/>
  <c r="F341" i="11" s="1"/>
  <c r="J121" i="11"/>
  <c r="D121" i="11"/>
  <c r="E121" i="11" s="1"/>
  <c r="J839" i="11"/>
  <c r="D839" i="11"/>
  <c r="E839" i="11" s="1"/>
  <c r="J969" i="11"/>
  <c r="D969" i="11"/>
  <c r="F969" i="11" s="1"/>
  <c r="J413" i="11"/>
  <c r="D413" i="11"/>
  <c r="F413" i="11" s="1"/>
  <c r="J943" i="11"/>
  <c r="D943" i="11"/>
  <c r="E943" i="11" s="1"/>
  <c r="J478" i="11"/>
  <c r="D478" i="11"/>
  <c r="E478" i="11" s="1"/>
  <c r="J214" i="11"/>
  <c r="D214" i="11"/>
  <c r="E214" i="11" s="1"/>
  <c r="J599" i="11"/>
  <c r="D599" i="11"/>
  <c r="F599" i="11" s="1"/>
  <c r="J633" i="11"/>
  <c r="D633" i="11"/>
  <c r="E633" i="11" s="1"/>
  <c r="J492" i="11"/>
  <c r="D492" i="11"/>
  <c r="E492" i="11" s="1"/>
  <c r="J894" i="11"/>
  <c r="D894" i="11"/>
  <c r="F894" i="11" s="1"/>
  <c r="J208" i="11"/>
  <c r="D208" i="11"/>
  <c r="F208" i="11" s="1"/>
  <c r="J511" i="11"/>
  <c r="D511" i="11"/>
  <c r="E511" i="11" s="1"/>
  <c r="J297" i="11"/>
  <c r="D297" i="11"/>
  <c r="E297" i="11" s="1"/>
  <c r="J404" i="11"/>
  <c r="D404" i="11"/>
  <c r="F404" i="11" s="1"/>
  <c r="J640" i="11"/>
  <c r="D640" i="11"/>
  <c r="F640" i="11" s="1"/>
  <c r="J598" i="11"/>
  <c r="D598" i="11"/>
  <c r="E598" i="11" s="1"/>
  <c r="J314" i="11"/>
  <c r="D314" i="11"/>
  <c r="E314" i="11" s="1"/>
  <c r="J353" i="11"/>
  <c r="D353" i="11"/>
  <c r="F353" i="11" s="1"/>
  <c r="J822" i="11"/>
  <c r="D822" i="11"/>
  <c r="F822" i="11" s="1"/>
  <c r="J15" i="11"/>
  <c r="D15" i="11"/>
  <c r="E15" i="11" s="1"/>
  <c r="J41" i="11"/>
  <c r="D41" i="11"/>
  <c r="E41" i="11" s="1"/>
  <c r="J750" i="11"/>
  <c r="D750" i="11"/>
  <c r="E750" i="11" s="1"/>
  <c r="J175" i="11"/>
  <c r="D175" i="11"/>
  <c r="F175" i="11" s="1"/>
  <c r="J372" i="11"/>
  <c r="D372" i="11"/>
  <c r="E372" i="11" s="1"/>
  <c r="J697" i="11"/>
  <c r="D697" i="11"/>
  <c r="E697" i="11" s="1"/>
  <c r="J749" i="11"/>
  <c r="D749" i="11"/>
  <c r="F749" i="11" s="1"/>
  <c r="J555" i="11"/>
  <c r="D555" i="11"/>
  <c r="F555" i="11" s="1"/>
  <c r="J748" i="11"/>
  <c r="D748" i="11"/>
  <c r="E748" i="11" s="1"/>
  <c r="J510" i="11"/>
  <c r="D510" i="11"/>
  <c r="E510" i="11" s="1"/>
  <c r="J860" i="11"/>
  <c r="D860" i="11"/>
  <c r="F860" i="11" s="1"/>
  <c r="J22" i="11"/>
  <c r="D22" i="11"/>
  <c r="F22" i="11" s="1"/>
  <c r="J815" i="11"/>
  <c r="D815" i="11"/>
  <c r="E815" i="11" s="1"/>
  <c r="J221" i="11"/>
  <c r="F221" i="11"/>
  <c r="D221" i="11"/>
  <c r="E221" i="11" s="1"/>
  <c r="J527" i="11"/>
  <c r="E527" i="11"/>
  <c r="D527" i="11"/>
  <c r="F527" i="11" s="1"/>
  <c r="J249" i="11"/>
  <c r="D249" i="11"/>
  <c r="F249" i="11" s="1"/>
  <c r="J808" i="11"/>
  <c r="D808" i="11"/>
  <c r="E808" i="11" s="1"/>
  <c r="J632" i="11"/>
  <c r="D632" i="11"/>
  <c r="E632" i="11" s="1"/>
  <c r="J847" i="11"/>
  <c r="D847" i="11"/>
  <c r="E847" i="11" s="1"/>
  <c r="J350" i="11"/>
  <c r="D350" i="11"/>
  <c r="F350" i="11" s="1"/>
  <c r="J327" i="11"/>
  <c r="D327" i="11"/>
  <c r="E327" i="11" s="1"/>
  <c r="J955" i="11"/>
  <c r="D955" i="11"/>
  <c r="E955" i="11" s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2" i="9"/>
  <c r="D1001" i="9"/>
  <c r="F1001" i="9" s="1"/>
  <c r="D1000" i="9"/>
  <c r="F1000" i="9" s="1"/>
  <c r="D999" i="9"/>
  <c r="D998" i="9"/>
  <c r="D997" i="9"/>
  <c r="D996" i="9"/>
  <c r="F996" i="9" s="1"/>
  <c r="D995" i="9"/>
  <c r="D994" i="9"/>
  <c r="D993" i="9"/>
  <c r="D992" i="9"/>
  <c r="F992" i="9" s="1"/>
  <c r="E991" i="9"/>
  <c r="G991" i="9" s="1"/>
  <c r="D991" i="9"/>
  <c r="F991" i="9" s="1"/>
  <c r="D990" i="9"/>
  <c r="D989" i="9"/>
  <c r="D988" i="9"/>
  <c r="F988" i="9" s="1"/>
  <c r="E987" i="9"/>
  <c r="G987" i="9" s="1"/>
  <c r="D987" i="9"/>
  <c r="F987" i="9" s="1"/>
  <c r="D986" i="9"/>
  <c r="D985" i="9"/>
  <c r="D984" i="9"/>
  <c r="F984" i="9" s="1"/>
  <c r="D983" i="9"/>
  <c r="D982" i="9"/>
  <c r="D981" i="9"/>
  <c r="D980" i="9"/>
  <c r="F980" i="9" s="1"/>
  <c r="D979" i="9"/>
  <c r="F979" i="9" s="1"/>
  <c r="D978" i="9"/>
  <c r="D977" i="9"/>
  <c r="D976" i="9"/>
  <c r="F976" i="9" s="1"/>
  <c r="D975" i="9"/>
  <c r="F975" i="9" s="1"/>
  <c r="D974" i="9"/>
  <c r="D973" i="9"/>
  <c r="D972" i="9"/>
  <c r="F972" i="9" s="1"/>
  <c r="D971" i="9"/>
  <c r="D970" i="9"/>
  <c r="D969" i="9"/>
  <c r="D968" i="9"/>
  <c r="F968" i="9" s="1"/>
  <c r="D967" i="9"/>
  <c r="D966" i="9"/>
  <c r="D965" i="9"/>
  <c r="D964" i="9"/>
  <c r="F964" i="9" s="1"/>
  <c r="D963" i="9"/>
  <c r="F963" i="9" s="1"/>
  <c r="D962" i="9"/>
  <c r="D961" i="9"/>
  <c r="D960" i="9"/>
  <c r="F960" i="9" s="1"/>
  <c r="D959" i="9"/>
  <c r="F959" i="9" s="1"/>
  <c r="D958" i="9"/>
  <c r="D957" i="9"/>
  <c r="D956" i="9"/>
  <c r="F956" i="9" s="1"/>
  <c r="D955" i="9"/>
  <c r="F955" i="9" s="1"/>
  <c r="D954" i="9"/>
  <c r="D953" i="9"/>
  <c r="F953" i="9" s="1"/>
  <c r="D952" i="9"/>
  <c r="F952" i="9" s="1"/>
  <c r="E951" i="9"/>
  <c r="G951" i="9" s="1"/>
  <c r="D951" i="9"/>
  <c r="F951" i="9" s="1"/>
  <c r="D950" i="9"/>
  <c r="D949" i="9"/>
  <c r="D948" i="9"/>
  <c r="F948" i="9" s="1"/>
  <c r="D947" i="9"/>
  <c r="D946" i="9"/>
  <c r="D945" i="9"/>
  <c r="D944" i="9"/>
  <c r="F944" i="9" s="1"/>
  <c r="D943" i="9"/>
  <c r="D942" i="9"/>
  <c r="D941" i="9"/>
  <c r="D940" i="9"/>
  <c r="F940" i="9" s="1"/>
  <c r="D939" i="9"/>
  <c r="F939" i="9" s="1"/>
  <c r="D938" i="9"/>
  <c r="D937" i="9"/>
  <c r="D936" i="9"/>
  <c r="F936" i="9" s="1"/>
  <c r="D935" i="9"/>
  <c r="F935" i="9" s="1"/>
  <c r="D934" i="9"/>
  <c r="D933" i="9"/>
  <c r="D932" i="9"/>
  <c r="F932" i="9" s="1"/>
  <c r="D931" i="9"/>
  <c r="D930" i="9"/>
  <c r="E929" i="9"/>
  <c r="D929" i="9"/>
  <c r="F929" i="9" s="1"/>
  <c r="D928" i="9"/>
  <c r="F928" i="9" s="1"/>
  <c r="D927" i="9"/>
  <c r="F927" i="9" s="1"/>
  <c r="D926" i="9"/>
  <c r="D925" i="9"/>
  <c r="D924" i="9"/>
  <c r="F924" i="9" s="1"/>
  <c r="E923" i="9"/>
  <c r="G923" i="9" s="1"/>
  <c r="D923" i="9"/>
  <c r="F923" i="9" s="1"/>
  <c r="D922" i="9"/>
  <c r="D921" i="9"/>
  <c r="F921" i="9" s="1"/>
  <c r="D920" i="9"/>
  <c r="F920" i="9" s="1"/>
  <c r="E919" i="9"/>
  <c r="G919" i="9" s="1"/>
  <c r="D919" i="9"/>
  <c r="F919" i="9" s="1"/>
  <c r="D918" i="9"/>
  <c r="D917" i="9"/>
  <c r="D916" i="9"/>
  <c r="E916" i="9" s="1"/>
  <c r="D915" i="9"/>
  <c r="D914" i="9"/>
  <c r="F913" i="9"/>
  <c r="G913" i="9" s="1"/>
  <c r="D913" i="9"/>
  <c r="E913" i="9" s="1"/>
  <c r="D912" i="9"/>
  <c r="E912" i="9" s="1"/>
  <c r="D911" i="9"/>
  <c r="D910" i="9"/>
  <c r="D909" i="9"/>
  <c r="E909" i="9" s="1"/>
  <c r="D908" i="9"/>
  <c r="E908" i="9" s="1"/>
  <c r="D907" i="9"/>
  <c r="D906" i="9"/>
  <c r="F905" i="9"/>
  <c r="G905" i="9" s="1"/>
  <c r="D905" i="9"/>
  <c r="E905" i="9" s="1"/>
  <c r="D904" i="9"/>
  <c r="E904" i="9" s="1"/>
  <c r="D903" i="9"/>
  <c r="E903" i="9" s="1"/>
  <c r="D902" i="9"/>
  <c r="D901" i="9"/>
  <c r="E901" i="9" s="1"/>
  <c r="D900" i="9"/>
  <c r="D899" i="9"/>
  <c r="D898" i="9"/>
  <c r="D897" i="9"/>
  <c r="D896" i="9"/>
  <c r="D895" i="9"/>
  <c r="E895" i="9" s="1"/>
  <c r="D894" i="9"/>
  <c r="F893" i="9"/>
  <c r="G893" i="9" s="1"/>
  <c r="D893" i="9"/>
  <c r="E893" i="9" s="1"/>
  <c r="D892" i="9"/>
  <c r="D891" i="9"/>
  <c r="D890" i="9"/>
  <c r="F889" i="9"/>
  <c r="G889" i="9" s="1"/>
  <c r="D889" i="9"/>
  <c r="E889" i="9" s="1"/>
  <c r="D888" i="9"/>
  <c r="F887" i="9"/>
  <c r="D887" i="9"/>
  <c r="E887" i="9" s="1"/>
  <c r="D886" i="9"/>
  <c r="D885" i="9"/>
  <c r="D884" i="9"/>
  <c r="D883" i="9"/>
  <c r="D882" i="9"/>
  <c r="F881" i="9"/>
  <c r="G881" i="9" s="1"/>
  <c r="D881" i="9"/>
  <c r="E881" i="9" s="1"/>
  <c r="D880" i="9"/>
  <c r="D879" i="9"/>
  <c r="D878" i="9"/>
  <c r="D877" i="9"/>
  <c r="E877" i="9" s="1"/>
  <c r="D876" i="9"/>
  <c r="D875" i="9"/>
  <c r="D874" i="9"/>
  <c r="F873" i="9"/>
  <c r="G873" i="9" s="1"/>
  <c r="D873" i="9"/>
  <c r="E873" i="9" s="1"/>
  <c r="D872" i="9"/>
  <c r="D871" i="9"/>
  <c r="E871" i="9" s="1"/>
  <c r="D870" i="9"/>
  <c r="D869" i="9"/>
  <c r="E869" i="9" s="1"/>
  <c r="D868" i="9"/>
  <c r="D867" i="9"/>
  <c r="D866" i="9"/>
  <c r="D865" i="9"/>
  <c r="D864" i="9"/>
  <c r="D863" i="9"/>
  <c r="E863" i="9" s="1"/>
  <c r="D862" i="9"/>
  <c r="F861" i="9"/>
  <c r="G861" i="9" s="1"/>
  <c r="D861" i="9"/>
  <c r="E861" i="9" s="1"/>
  <c r="D860" i="9"/>
  <c r="D859" i="9"/>
  <c r="D858" i="9"/>
  <c r="F857" i="9"/>
  <c r="G857" i="9" s="1"/>
  <c r="D857" i="9"/>
  <c r="E857" i="9" s="1"/>
  <c r="D856" i="9"/>
  <c r="F855" i="9"/>
  <c r="D855" i="9"/>
  <c r="E855" i="9" s="1"/>
  <c r="D854" i="9"/>
  <c r="D853" i="9"/>
  <c r="D852" i="9"/>
  <c r="D851" i="9"/>
  <c r="D850" i="9"/>
  <c r="F849" i="9"/>
  <c r="G849" i="9" s="1"/>
  <c r="D849" i="9"/>
  <c r="E849" i="9" s="1"/>
  <c r="D848" i="9"/>
  <c r="D847" i="9"/>
  <c r="D846" i="9"/>
  <c r="D845" i="9"/>
  <c r="E845" i="9" s="1"/>
  <c r="D844" i="9"/>
  <c r="D843" i="9"/>
  <c r="D842" i="9"/>
  <c r="F842" i="9" s="1"/>
  <c r="E841" i="9"/>
  <c r="D841" i="9"/>
  <c r="F841" i="9" s="1"/>
  <c r="E840" i="9"/>
  <c r="G840" i="9" s="1"/>
  <c r="D840" i="9"/>
  <c r="F840" i="9" s="1"/>
  <c r="D839" i="9"/>
  <c r="D838" i="9"/>
  <c r="F838" i="9" s="1"/>
  <c r="D837" i="9"/>
  <c r="E836" i="9"/>
  <c r="G836" i="9" s="1"/>
  <c r="D836" i="9"/>
  <c r="F836" i="9" s="1"/>
  <c r="D835" i="9"/>
  <c r="D834" i="9"/>
  <c r="D833" i="9"/>
  <c r="E832" i="9"/>
  <c r="G832" i="9" s="1"/>
  <c r="D832" i="9"/>
  <c r="F832" i="9" s="1"/>
  <c r="D831" i="9"/>
  <c r="E830" i="9"/>
  <c r="G830" i="9" s="1"/>
  <c r="D830" i="9"/>
  <c r="F830" i="9" s="1"/>
  <c r="D829" i="9"/>
  <c r="E828" i="9"/>
  <c r="G828" i="9" s="1"/>
  <c r="D828" i="9"/>
  <c r="F828" i="9" s="1"/>
  <c r="D827" i="9"/>
  <c r="D826" i="9"/>
  <c r="D825" i="9"/>
  <c r="E824" i="9"/>
  <c r="G824" i="9" s="1"/>
  <c r="D824" i="9"/>
  <c r="F824" i="9" s="1"/>
  <c r="D823" i="9"/>
  <c r="E822" i="9"/>
  <c r="G822" i="9" s="1"/>
  <c r="D822" i="9"/>
  <c r="F822" i="9" s="1"/>
  <c r="D821" i="9"/>
  <c r="D820" i="9"/>
  <c r="F820" i="9" s="1"/>
  <c r="D819" i="9"/>
  <c r="D818" i="9"/>
  <c r="D817" i="9"/>
  <c r="D816" i="9"/>
  <c r="D815" i="9"/>
  <c r="D814" i="9"/>
  <c r="F814" i="9" s="1"/>
  <c r="D813" i="9"/>
  <c r="D812" i="9"/>
  <c r="F812" i="9" s="1"/>
  <c r="D811" i="9"/>
  <c r="D810" i="9"/>
  <c r="D809" i="9"/>
  <c r="D808" i="9"/>
  <c r="F808" i="9" s="1"/>
  <c r="D807" i="9"/>
  <c r="D806" i="9"/>
  <c r="F806" i="9" s="1"/>
  <c r="D805" i="9"/>
  <c r="E804" i="9"/>
  <c r="D804" i="9"/>
  <c r="F804" i="9" s="1"/>
  <c r="D803" i="9"/>
  <c r="D802" i="9"/>
  <c r="D801" i="9"/>
  <c r="D800" i="9"/>
  <c r="F800" i="9" s="1"/>
  <c r="D799" i="9"/>
  <c r="D798" i="9"/>
  <c r="F798" i="9" s="1"/>
  <c r="D797" i="9"/>
  <c r="E796" i="9"/>
  <c r="G796" i="9" s="1"/>
  <c r="D796" i="9"/>
  <c r="F796" i="9" s="1"/>
  <c r="D795" i="9"/>
  <c r="E794" i="9"/>
  <c r="D794" i="9"/>
  <c r="F794" i="9" s="1"/>
  <c r="D793" i="9"/>
  <c r="D792" i="9"/>
  <c r="F792" i="9" s="1"/>
  <c r="D791" i="9"/>
  <c r="D790" i="9"/>
  <c r="F790" i="9" s="1"/>
  <c r="D789" i="9"/>
  <c r="E788" i="9"/>
  <c r="D788" i="9"/>
  <c r="F788" i="9" s="1"/>
  <c r="D787" i="9"/>
  <c r="D786" i="9"/>
  <c r="D785" i="9"/>
  <c r="D784" i="9"/>
  <c r="F784" i="9" s="1"/>
  <c r="D783" i="9"/>
  <c r="D782" i="9"/>
  <c r="D781" i="9"/>
  <c r="D780" i="9"/>
  <c r="F780" i="9" s="1"/>
  <c r="D779" i="9"/>
  <c r="D778" i="9"/>
  <c r="D777" i="9"/>
  <c r="E776" i="9"/>
  <c r="G776" i="9" s="1"/>
  <c r="D776" i="9"/>
  <c r="F776" i="9" s="1"/>
  <c r="D775" i="9"/>
  <c r="D774" i="9"/>
  <c r="D773" i="9"/>
  <c r="E772" i="9"/>
  <c r="D772" i="9"/>
  <c r="F772" i="9" s="1"/>
  <c r="D771" i="9"/>
  <c r="D770" i="9"/>
  <c r="D769" i="9"/>
  <c r="D768" i="9"/>
  <c r="F768" i="9" s="1"/>
  <c r="D767" i="9"/>
  <c r="D766" i="9"/>
  <c r="D765" i="9"/>
  <c r="D764" i="9"/>
  <c r="F764" i="9" s="1"/>
  <c r="D763" i="9"/>
  <c r="D762" i="9"/>
  <c r="D761" i="9"/>
  <c r="D760" i="9"/>
  <c r="D759" i="9"/>
  <c r="D758" i="9"/>
  <c r="D757" i="9"/>
  <c r="E756" i="9"/>
  <c r="D756" i="9"/>
  <c r="F756" i="9" s="1"/>
  <c r="D755" i="9"/>
  <c r="D754" i="9"/>
  <c r="D753" i="9"/>
  <c r="D752" i="9"/>
  <c r="F752" i="9" s="1"/>
  <c r="D751" i="9"/>
  <c r="D750" i="9"/>
  <c r="D749" i="9"/>
  <c r="D748" i="9"/>
  <c r="F748" i="9" s="1"/>
  <c r="D747" i="9"/>
  <c r="D746" i="9"/>
  <c r="D745" i="9"/>
  <c r="E744" i="9"/>
  <c r="G744" i="9" s="1"/>
  <c r="D744" i="9"/>
  <c r="F744" i="9" s="1"/>
  <c r="D743" i="9"/>
  <c r="D742" i="9"/>
  <c r="D741" i="9"/>
  <c r="E740" i="9"/>
  <c r="D740" i="9"/>
  <c r="F740" i="9" s="1"/>
  <c r="D739" i="9"/>
  <c r="D738" i="9"/>
  <c r="D737" i="9"/>
  <c r="D736" i="9"/>
  <c r="F736" i="9" s="1"/>
  <c r="D735" i="9"/>
  <c r="D734" i="9"/>
  <c r="D733" i="9"/>
  <c r="D732" i="9"/>
  <c r="F732" i="9" s="1"/>
  <c r="D731" i="9"/>
  <c r="D730" i="9"/>
  <c r="D729" i="9"/>
  <c r="D728" i="9"/>
  <c r="D727" i="9"/>
  <c r="D726" i="9"/>
  <c r="D725" i="9"/>
  <c r="E724" i="9"/>
  <c r="D724" i="9"/>
  <c r="F724" i="9" s="1"/>
  <c r="D723" i="9"/>
  <c r="D722" i="9"/>
  <c r="D721" i="9"/>
  <c r="D720" i="9"/>
  <c r="F720" i="9" s="1"/>
  <c r="D719" i="9"/>
  <c r="D718" i="9"/>
  <c r="D717" i="9"/>
  <c r="D716" i="9"/>
  <c r="F716" i="9" s="1"/>
  <c r="D715" i="9"/>
  <c r="D714" i="9"/>
  <c r="D713" i="9"/>
  <c r="F712" i="9"/>
  <c r="G712" i="9" s="1"/>
  <c r="D712" i="9"/>
  <c r="E712" i="9" s="1"/>
  <c r="D711" i="9"/>
  <c r="D710" i="9"/>
  <c r="E710" i="9" s="1"/>
  <c r="D709" i="9"/>
  <c r="D708" i="9"/>
  <c r="E708" i="9" s="1"/>
  <c r="D707" i="9"/>
  <c r="F706" i="9"/>
  <c r="D706" i="9"/>
  <c r="E706" i="9" s="1"/>
  <c r="D705" i="9"/>
  <c r="D704" i="9"/>
  <c r="D703" i="9"/>
  <c r="D702" i="9"/>
  <c r="D701" i="9"/>
  <c r="D700" i="9"/>
  <c r="E700" i="9" s="1"/>
  <c r="D699" i="9"/>
  <c r="F698" i="9"/>
  <c r="D698" i="9"/>
  <c r="E698" i="9" s="1"/>
  <c r="D697" i="9"/>
  <c r="F696" i="9"/>
  <c r="G696" i="9" s="1"/>
  <c r="D696" i="9"/>
  <c r="E696" i="9" s="1"/>
  <c r="D695" i="9"/>
  <c r="D694" i="9"/>
  <c r="D693" i="9"/>
  <c r="D692" i="9"/>
  <c r="E692" i="9" s="1"/>
  <c r="D691" i="9"/>
  <c r="F690" i="9"/>
  <c r="D690" i="9"/>
  <c r="E690" i="9" s="1"/>
  <c r="D689" i="9"/>
  <c r="D688" i="9"/>
  <c r="D687" i="9"/>
  <c r="D686" i="9"/>
  <c r="D685" i="9"/>
  <c r="D684" i="9"/>
  <c r="E684" i="9" s="1"/>
  <c r="D683" i="9"/>
  <c r="F682" i="9"/>
  <c r="D682" i="9"/>
  <c r="E682" i="9" s="1"/>
  <c r="D681" i="9"/>
  <c r="F680" i="9"/>
  <c r="G680" i="9" s="1"/>
  <c r="D680" i="9"/>
  <c r="E680" i="9" s="1"/>
  <c r="D679" i="9"/>
  <c r="D678" i="9"/>
  <c r="D677" i="9"/>
  <c r="D676" i="9"/>
  <c r="E676" i="9" s="1"/>
  <c r="D675" i="9"/>
  <c r="F674" i="9"/>
  <c r="D674" i="9"/>
  <c r="E674" i="9" s="1"/>
  <c r="D673" i="9"/>
  <c r="F672" i="9"/>
  <c r="D672" i="9"/>
  <c r="E672" i="9" s="1"/>
  <c r="G672" i="9" s="1"/>
  <c r="D671" i="9"/>
  <c r="D670" i="9"/>
  <c r="D669" i="9"/>
  <c r="D668" i="9"/>
  <c r="D667" i="9"/>
  <c r="F666" i="9"/>
  <c r="D666" i="9"/>
  <c r="E666" i="9" s="1"/>
  <c r="D665" i="9"/>
  <c r="G664" i="9"/>
  <c r="F664" i="9"/>
  <c r="D664" i="9"/>
  <c r="E664" i="9" s="1"/>
  <c r="D663" i="9"/>
  <c r="F662" i="9"/>
  <c r="D662" i="9"/>
  <c r="E662" i="9" s="1"/>
  <c r="D661" i="9"/>
  <c r="G660" i="9"/>
  <c r="F660" i="9"/>
  <c r="D660" i="9"/>
  <c r="E660" i="9" s="1"/>
  <c r="D659" i="9"/>
  <c r="F658" i="9"/>
  <c r="D658" i="9"/>
  <c r="E658" i="9" s="1"/>
  <c r="D657" i="9"/>
  <c r="F656" i="9"/>
  <c r="D656" i="9"/>
  <c r="E656" i="9" s="1"/>
  <c r="G656" i="9" s="1"/>
  <c r="D655" i="9"/>
  <c r="D654" i="9"/>
  <c r="D653" i="9"/>
  <c r="D652" i="9"/>
  <c r="D651" i="9"/>
  <c r="F650" i="9"/>
  <c r="D650" i="9"/>
  <c r="E650" i="9" s="1"/>
  <c r="D649" i="9"/>
  <c r="G648" i="9"/>
  <c r="F648" i="9"/>
  <c r="D648" i="9"/>
  <c r="E648" i="9" s="1"/>
  <c r="D647" i="9"/>
  <c r="F646" i="9"/>
  <c r="D646" i="9"/>
  <c r="E646" i="9" s="1"/>
  <c r="D645" i="9"/>
  <c r="G644" i="9"/>
  <c r="F644" i="9"/>
  <c r="D644" i="9"/>
  <c r="E644" i="9" s="1"/>
  <c r="D643" i="9"/>
  <c r="F642" i="9"/>
  <c r="D642" i="9"/>
  <c r="E642" i="9" s="1"/>
  <c r="D641" i="9"/>
  <c r="F640" i="9"/>
  <c r="D640" i="9"/>
  <c r="E640" i="9" s="1"/>
  <c r="G640" i="9" s="1"/>
  <c r="D639" i="9"/>
  <c r="D638" i="9"/>
  <c r="D637" i="9"/>
  <c r="D636" i="9"/>
  <c r="D635" i="9"/>
  <c r="F634" i="9"/>
  <c r="D634" i="9"/>
  <c r="E634" i="9" s="1"/>
  <c r="D633" i="9"/>
  <c r="G632" i="9"/>
  <c r="F632" i="9"/>
  <c r="D632" i="9"/>
  <c r="E632" i="9" s="1"/>
  <c r="F631" i="9"/>
  <c r="D631" i="9"/>
  <c r="E631" i="9" s="1"/>
  <c r="F630" i="9"/>
  <c r="D630" i="9"/>
  <c r="E630" i="9" s="1"/>
  <c r="D629" i="9"/>
  <c r="D628" i="9"/>
  <c r="E628" i="9" s="1"/>
  <c r="F627" i="9"/>
  <c r="D627" i="9"/>
  <c r="E627" i="9" s="1"/>
  <c r="D626" i="9"/>
  <c r="E626" i="9" s="1"/>
  <c r="D625" i="9"/>
  <c r="D624" i="9"/>
  <c r="E624" i="9" s="1"/>
  <c r="G623" i="9"/>
  <c r="F623" i="9"/>
  <c r="D623" i="9"/>
  <c r="E623" i="9" s="1"/>
  <c r="D622" i="9"/>
  <c r="D621" i="9"/>
  <c r="D620" i="9"/>
  <c r="D619" i="9"/>
  <c r="E619" i="9" s="1"/>
  <c r="D618" i="9"/>
  <c r="D617" i="9"/>
  <c r="D616" i="9"/>
  <c r="F615" i="9"/>
  <c r="D615" i="9"/>
  <c r="E615" i="9" s="1"/>
  <c r="G615" i="9" s="1"/>
  <c r="D614" i="9"/>
  <c r="E614" i="9" s="1"/>
  <c r="D613" i="9"/>
  <c r="D612" i="9"/>
  <c r="E612" i="9" s="1"/>
  <c r="D611" i="9"/>
  <c r="E611" i="9" s="1"/>
  <c r="D610" i="9"/>
  <c r="E610" i="9" s="1"/>
  <c r="D609" i="9"/>
  <c r="D608" i="9"/>
  <c r="E608" i="9" s="1"/>
  <c r="D607" i="9"/>
  <c r="F606" i="9"/>
  <c r="D606" i="9"/>
  <c r="E606" i="9" s="1"/>
  <c r="D605" i="9"/>
  <c r="F604" i="9"/>
  <c r="D604" i="9"/>
  <c r="E604" i="9" s="1"/>
  <c r="D603" i="9"/>
  <c r="D602" i="9"/>
  <c r="D601" i="9"/>
  <c r="D600" i="9"/>
  <c r="E600" i="9" s="1"/>
  <c r="D599" i="9"/>
  <c r="E599" i="9" s="1"/>
  <c r="F598" i="9"/>
  <c r="D598" i="9"/>
  <c r="E598" i="9" s="1"/>
  <c r="D597" i="9"/>
  <c r="F596" i="9"/>
  <c r="G596" i="9" s="1"/>
  <c r="D596" i="9"/>
  <c r="E596" i="9" s="1"/>
  <c r="D595" i="9"/>
  <c r="E595" i="9" s="1"/>
  <c r="D594" i="9"/>
  <c r="D593" i="9"/>
  <c r="D592" i="9"/>
  <c r="E592" i="9" s="1"/>
  <c r="D591" i="9"/>
  <c r="E591" i="9" s="1"/>
  <c r="D590" i="9"/>
  <c r="D589" i="9"/>
  <c r="D588" i="9"/>
  <c r="D587" i="9"/>
  <c r="E587" i="9" s="1"/>
  <c r="D586" i="9"/>
  <c r="D585" i="9"/>
  <c r="D584" i="9"/>
  <c r="E584" i="9" s="1"/>
  <c r="D583" i="9"/>
  <c r="E583" i="9" s="1"/>
  <c r="D582" i="9"/>
  <c r="E582" i="9" s="1"/>
  <c r="D581" i="9"/>
  <c r="D580" i="9"/>
  <c r="E580" i="9" s="1"/>
  <c r="D579" i="9"/>
  <c r="E579" i="9" s="1"/>
  <c r="D578" i="9"/>
  <c r="E578" i="9" s="1"/>
  <c r="D577" i="9"/>
  <c r="D576" i="9"/>
  <c r="E576" i="9" s="1"/>
  <c r="D575" i="9"/>
  <c r="E575" i="9" s="1"/>
  <c r="F574" i="9"/>
  <c r="D574" i="9"/>
  <c r="E574" i="9" s="1"/>
  <c r="D573" i="9"/>
  <c r="F572" i="9"/>
  <c r="G572" i="9" s="1"/>
  <c r="D572" i="9"/>
  <c r="E572" i="9" s="1"/>
  <c r="D571" i="9"/>
  <c r="E571" i="9" s="1"/>
  <c r="D570" i="9"/>
  <c r="D569" i="9"/>
  <c r="D568" i="9"/>
  <c r="E568" i="9" s="1"/>
  <c r="D567" i="9"/>
  <c r="E567" i="9" s="1"/>
  <c r="D566" i="9"/>
  <c r="E566" i="9" s="1"/>
  <c r="D565" i="9"/>
  <c r="E565" i="9" s="1"/>
  <c r="D564" i="9"/>
  <c r="D563" i="9"/>
  <c r="E563" i="9" s="1"/>
  <c r="D562" i="9"/>
  <c r="E562" i="9" s="1"/>
  <c r="F561" i="9"/>
  <c r="D561" i="9"/>
  <c r="E561" i="9" s="1"/>
  <c r="D560" i="9"/>
  <c r="F559" i="9"/>
  <c r="G559" i="9" s="1"/>
  <c r="D559" i="9"/>
  <c r="E559" i="9" s="1"/>
  <c r="D558" i="9"/>
  <c r="E558" i="9" s="1"/>
  <c r="D557" i="9"/>
  <c r="E557" i="9" s="1"/>
  <c r="D556" i="9"/>
  <c r="D555" i="9"/>
  <c r="E555" i="9" s="1"/>
  <c r="D554" i="9"/>
  <c r="E554" i="9" s="1"/>
  <c r="D553" i="9"/>
  <c r="E553" i="9" s="1"/>
  <c r="D552" i="9"/>
  <c r="D551" i="9"/>
  <c r="E551" i="9" s="1"/>
  <c r="D550" i="9"/>
  <c r="E550" i="9" s="1"/>
  <c r="D549" i="9"/>
  <c r="E549" i="9" s="1"/>
  <c r="D548" i="9"/>
  <c r="D547" i="9"/>
  <c r="E547" i="9" s="1"/>
  <c r="D546" i="9"/>
  <c r="E546" i="9" s="1"/>
  <c r="F545" i="9"/>
  <c r="D545" i="9"/>
  <c r="E545" i="9" s="1"/>
  <c r="D544" i="9"/>
  <c r="D543" i="9"/>
  <c r="D542" i="9"/>
  <c r="E542" i="9" s="1"/>
  <c r="D541" i="9"/>
  <c r="E541" i="9" s="1"/>
  <c r="D540" i="9"/>
  <c r="D539" i="9"/>
  <c r="E539" i="9" s="1"/>
  <c r="F538" i="9"/>
  <c r="G538" i="9" s="1"/>
  <c r="D538" i="9"/>
  <c r="E538" i="9" s="1"/>
  <c r="D537" i="9"/>
  <c r="E537" i="9" s="1"/>
  <c r="D536" i="9"/>
  <c r="D535" i="9"/>
  <c r="E535" i="9" s="1"/>
  <c r="D534" i="9"/>
  <c r="E534" i="9" s="1"/>
  <c r="D533" i="9"/>
  <c r="E533" i="9" s="1"/>
  <c r="D532" i="9"/>
  <c r="D531" i="9"/>
  <c r="E531" i="9" s="1"/>
  <c r="D530" i="9"/>
  <c r="E530" i="9" s="1"/>
  <c r="D529" i="9"/>
  <c r="D528" i="9"/>
  <c r="F527" i="9"/>
  <c r="G527" i="9" s="1"/>
  <c r="D527" i="9"/>
  <c r="E527" i="9" s="1"/>
  <c r="D526" i="9"/>
  <c r="E526" i="9" s="1"/>
  <c r="D525" i="9"/>
  <c r="E525" i="9" s="1"/>
  <c r="D524" i="9"/>
  <c r="D523" i="9"/>
  <c r="E523" i="9" s="1"/>
  <c r="F522" i="9"/>
  <c r="G522" i="9" s="1"/>
  <c r="D522" i="9"/>
  <c r="E522" i="9" s="1"/>
  <c r="D521" i="9"/>
  <c r="E521" i="9" s="1"/>
  <c r="D520" i="9"/>
  <c r="D519" i="9"/>
  <c r="E519" i="9" s="1"/>
  <c r="D518" i="9"/>
  <c r="E518" i="9" s="1"/>
  <c r="D517" i="9"/>
  <c r="E517" i="9" s="1"/>
  <c r="D516" i="9"/>
  <c r="D515" i="9"/>
  <c r="E515" i="9" s="1"/>
  <c r="D514" i="9"/>
  <c r="E514" i="9" s="1"/>
  <c r="F513" i="9"/>
  <c r="D513" i="9"/>
  <c r="E513" i="9" s="1"/>
  <c r="D512" i="9"/>
  <c r="F511" i="9"/>
  <c r="G511" i="9" s="1"/>
  <c r="D511" i="9"/>
  <c r="E511" i="9" s="1"/>
  <c r="D510" i="9"/>
  <c r="E510" i="9" s="1"/>
  <c r="D509" i="9"/>
  <c r="E509" i="9" s="1"/>
  <c r="D508" i="9"/>
  <c r="D507" i="9"/>
  <c r="E507" i="9" s="1"/>
  <c r="D506" i="9"/>
  <c r="D505" i="9"/>
  <c r="E505" i="9" s="1"/>
  <c r="D504" i="9"/>
  <c r="D503" i="9"/>
  <c r="E503" i="9" s="1"/>
  <c r="D502" i="9"/>
  <c r="E502" i="9" s="1"/>
  <c r="D501" i="9"/>
  <c r="E501" i="9" s="1"/>
  <c r="D500" i="9"/>
  <c r="D499" i="9"/>
  <c r="E499" i="9" s="1"/>
  <c r="D498" i="9"/>
  <c r="E498" i="9" s="1"/>
  <c r="F497" i="9"/>
  <c r="D497" i="9"/>
  <c r="E497" i="9" s="1"/>
  <c r="D496" i="9"/>
  <c r="F495" i="9"/>
  <c r="G495" i="9" s="1"/>
  <c r="D495" i="9"/>
  <c r="E495" i="9" s="1"/>
  <c r="D494" i="9"/>
  <c r="E494" i="9" s="1"/>
  <c r="D493" i="9"/>
  <c r="E493" i="9" s="1"/>
  <c r="D492" i="9"/>
  <c r="D491" i="9"/>
  <c r="E491" i="9" s="1"/>
  <c r="F490" i="9"/>
  <c r="G490" i="9" s="1"/>
  <c r="D490" i="9"/>
  <c r="E490" i="9" s="1"/>
  <c r="D489" i="9"/>
  <c r="E489" i="9" s="1"/>
  <c r="D488" i="9"/>
  <c r="D487" i="9"/>
  <c r="E487" i="9" s="1"/>
  <c r="D486" i="9"/>
  <c r="E486" i="9" s="1"/>
  <c r="D485" i="9"/>
  <c r="E485" i="9" s="1"/>
  <c r="D484" i="9"/>
  <c r="D483" i="9"/>
  <c r="E483" i="9" s="1"/>
  <c r="D482" i="9"/>
  <c r="E482" i="9" s="1"/>
  <c r="F481" i="9"/>
  <c r="D481" i="9"/>
  <c r="E481" i="9" s="1"/>
  <c r="D480" i="9"/>
  <c r="D479" i="9"/>
  <c r="D478" i="9"/>
  <c r="E478" i="9" s="1"/>
  <c r="D477" i="9"/>
  <c r="E477" i="9" s="1"/>
  <c r="D476" i="9"/>
  <c r="D475" i="9"/>
  <c r="E475" i="9" s="1"/>
  <c r="F474" i="9"/>
  <c r="G474" i="9" s="1"/>
  <c r="D474" i="9"/>
  <c r="E474" i="9" s="1"/>
  <c r="D473" i="9"/>
  <c r="E473" i="9" s="1"/>
  <c r="D472" i="9"/>
  <c r="D471" i="9"/>
  <c r="E471" i="9" s="1"/>
  <c r="D470" i="9"/>
  <c r="E470" i="9" s="1"/>
  <c r="E469" i="9"/>
  <c r="D469" i="9"/>
  <c r="F469" i="9" s="1"/>
  <c r="D468" i="9"/>
  <c r="F468" i="9" s="1"/>
  <c r="D467" i="9"/>
  <c r="E467" i="9" s="1"/>
  <c r="F466" i="9"/>
  <c r="D466" i="9"/>
  <c r="E466" i="9" s="1"/>
  <c r="D465" i="9"/>
  <c r="D464" i="9"/>
  <c r="F464" i="9" s="1"/>
  <c r="D463" i="9"/>
  <c r="E463" i="9" s="1"/>
  <c r="D462" i="9"/>
  <c r="F461" i="9"/>
  <c r="E461" i="9"/>
  <c r="D461" i="9"/>
  <c r="D460" i="9"/>
  <c r="F460" i="9" s="1"/>
  <c r="D459" i="9"/>
  <c r="E459" i="9" s="1"/>
  <c r="F458" i="9"/>
  <c r="D458" i="9"/>
  <c r="E458" i="9" s="1"/>
  <c r="F457" i="9"/>
  <c r="E457" i="9"/>
  <c r="D457" i="9"/>
  <c r="D456" i="9"/>
  <c r="F456" i="9" s="1"/>
  <c r="D455" i="9"/>
  <c r="E455" i="9" s="1"/>
  <c r="F454" i="9"/>
  <c r="D454" i="9"/>
  <c r="E454" i="9" s="1"/>
  <c r="E453" i="9"/>
  <c r="D453" i="9"/>
  <c r="F453" i="9" s="1"/>
  <c r="D452" i="9"/>
  <c r="F452" i="9" s="1"/>
  <c r="D451" i="9"/>
  <c r="E451" i="9" s="1"/>
  <c r="F450" i="9"/>
  <c r="D450" i="9"/>
  <c r="E450" i="9" s="1"/>
  <c r="D449" i="9"/>
  <c r="D448" i="9"/>
  <c r="F448" i="9" s="1"/>
  <c r="D447" i="9"/>
  <c r="E447" i="9" s="1"/>
  <c r="D446" i="9"/>
  <c r="F445" i="9"/>
  <c r="E445" i="9"/>
  <c r="D445" i="9"/>
  <c r="D444" i="9"/>
  <c r="F444" i="9" s="1"/>
  <c r="D443" i="9"/>
  <c r="E443" i="9" s="1"/>
  <c r="F442" i="9"/>
  <c r="D442" i="9"/>
  <c r="E442" i="9" s="1"/>
  <c r="F441" i="9"/>
  <c r="E441" i="9"/>
  <c r="D441" i="9"/>
  <c r="D440" i="9"/>
  <c r="F440" i="9" s="1"/>
  <c r="D439" i="9"/>
  <c r="E439" i="9" s="1"/>
  <c r="F438" i="9"/>
  <c r="D438" i="9"/>
  <c r="E438" i="9" s="1"/>
  <c r="E437" i="9"/>
  <c r="D437" i="9"/>
  <c r="F437" i="9" s="1"/>
  <c r="D436" i="9"/>
  <c r="F436" i="9" s="1"/>
  <c r="D435" i="9"/>
  <c r="E435" i="9" s="1"/>
  <c r="F434" i="9"/>
  <c r="D434" i="9"/>
  <c r="E434" i="9" s="1"/>
  <c r="D433" i="9"/>
  <c r="D432" i="9"/>
  <c r="F432" i="9" s="1"/>
  <c r="D431" i="9"/>
  <c r="E431" i="9" s="1"/>
  <c r="D430" i="9"/>
  <c r="F429" i="9"/>
  <c r="E429" i="9"/>
  <c r="D429" i="9"/>
  <c r="D428" i="9"/>
  <c r="F428" i="9" s="1"/>
  <c r="D427" i="9"/>
  <c r="E427" i="9" s="1"/>
  <c r="F426" i="9"/>
  <c r="D426" i="9"/>
  <c r="E426" i="9" s="1"/>
  <c r="F425" i="9"/>
  <c r="D425" i="9"/>
  <c r="E425" i="9" s="1"/>
  <c r="D424" i="9"/>
  <c r="F424" i="9" s="1"/>
  <c r="D423" i="9"/>
  <c r="E423" i="9" s="1"/>
  <c r="D422" i="9"/>
  <c r="E422" i="9" s="1"/>
  <c r="E421" i="9"/>
  <c r="D421" i="9"/>
  <c r="F421" i="9" s="1"/>
  <c r="D420" i="9"/>
  <c r="F420" i="9" s="1"/>
  <c r="D419" i="9"/>
  <c r="E419" i="9" s="1"/>
  <c r="F418" i="9"/>
  <c r="D418" i="9"/>
  <c r="E418" i="9" s="1"/>
  <c r="D417" i="9"/>
  <c r="D416" i="9"/>
  <c r="F416" i="9" s="1"/>
  <c r="D415" i="9"/>
  <c r="E415" i="9" s="1"/>
  <c r="D414" i="9"/>
  <c r="F413" i="9"/>
  <c r="E413" i="9"/>
  <c r="D413" i="9"/>
  <c r="D412" i="9"/>
  <c r="F412" i="9" s="1"/>
  <c r="D411" i="9"/>
  <c r="E411" i="9" s="1"/>
  <c r="F410" i="9"/>
  <c r="D410" i="9"/>
  <c r="E410" i="9" s="1"/>
  <c r="F409" i="9"/>
  <c r="D409" i="9"/>
  <c r="E409" i="9" s="1"/>
  <c r="D408" i="9"/>
  <c r="F408" i="9" s="1"/>
  <c r="D407" i="9"/>
  <c r="E407" i="9" s="1"/>
  <c r="D406" i="9"/>
  <c r="E406" i="9" s="1"/>
  <c r="E405" i="9"/>
  <c r="D405" i="9"/>
  <c r="F405" i="9" s="1"/>
  <c r="D404" i="9"/>
  <c r="F404" i="9" s="1"/>
  <c r="D403" i="9"/>
  <c r="E403" i="9" s="1"/>
  <c r="F402" i="9"/>
  <c r="D402" i="9"/>
  <c r="E402" i="9" s="1"/>
  <c r="D401" i="9"/>
  <c r="D400" i="9"/>
  <c r="F400" i="9" s="1"/>
  <c r="D399" i="9"/>
  <c r="E399" i="9" s="1"/>
  <c r="D398" i="9"/>
  <c r="F397" i="9"/>
  <c r="E397" i="9"/>
  <c r="D397" i="9"/>
  <c r="D396" i="9"/>
  <c r="F396" i="9" s="1"/>
  <c r="D395" i="9"/>
  <c r="E395" i="9" s="1"/>
  <c r="F394" i="9"/>
  <c r="D394" i="9"/>
  <c r="E394" i="9" s="1"/>
  <c r="F393" i="9"/>
  <c r="D393" i="9"/>
  <c r="E393" i="9" s="1"/>
  <c r="D392" i="9"/>
  <c r="F392" i="9" s="1"/>
  <c r="D391" i="9"/>
  <c r="E391" i="9" s="1"/>
  <c r="D390" i="9"/>
  <c r="E390" i="9" s="1"/>
  <c r="E389" i="9"/>
  <c r="D389" i="9"/>
  <c r="F389" i="9" s="1"/>
  <c r="D388" i="9"/>
  <c r="F388" i="9" s="1"/>
  <c r="D387" i="9"/>
  <c r="E387" i="9" s="1"/>
  <c r="F386" i="9"/>
  <c r="D386" i="9"/>
  <c r="E386" i="9" s="1"/>
  <c r="D385" i="9"/>
  <c r="D384" i="9"/>
  <c r="F384" i="9" s="1"/>
  <c r="D383" i="9"/>
  <c r="E383" i="9" s="1"/>
  <c r="D382" i="9"/>
  <c r="F381" i="9"/>
  <c r="E381" i="9"/>
  <c r="D381" i="9"/>
  <c r="D380" i="9"/>
  <c r="F380" i="9" s="1"/>
  <c r="D379" i="9"/>
  <c r="E379" i="9" s="1"/>
  <c r="F378" i="9"/>
  <c r="D378" i="9"/>
  <c r="E378" i="9" s="1"/>
  <c r="F377" i="9"/>
  <c r="D377" i="9"/>
  <c r="E377" i="9" s="1"/>
  <c r="D376" i="9"/>
  <c r="F376" i="9" s="1"/>
  <c r="D375" i="9"/>
  <c r="E375" i="9" s="1"/>
  <c r="D374" i="9"/>
  <c r="E374" i="9" s="1"/>
  <c r="E373" i="9"/>
  <c r="D373" i="9"/>
  <c r="F373" i="9" s="1"/>
  <c r="D372" i="9"/>
  <c r="F372" i="9" s="1"/>
  <c r="D371" i="9"/>
  <c r="E371" i="9" s="1"/>
  <c r="F370" i="9"/>
  <c r="D370" i="9"/>
  <c r="E370" i="9" s="1"/>
  <c r="D369" i="9"/>
  <c r="D368" i="9"/>
  <c r="F368" i="9" s="1"/>
  <c r="D367" i="9"/>
  <c r="E367" i="9" s="1"/>
  <c r="D366" i="9"/>
  <c r="F365" i="9"/>
  <c r="E365" i="9"/>
  <c r="D365" i="9"/>
  <c r="D364" i="9"/>
  <c r="F364" i="9" s="1"/>
  <c r="D363" i="9"/>
  <c r="E363" i="9" s="1"/>
  <c r="F362" i="9"/>
  <c r="D362" i="9"/>
  <c r="E362" i="9" s="1"/>
  <c r="F361" i="9"/>
  <c r="D361" i="9"/>
  <c r="E361" i="9" s="1"/>
  <c r="D360" i="9"/>
  <c r="F360" i="9" s="1"/>
  <c r="D359" i="9"/>
  <c r="E359" i="9" s="1"/>
  <c r="D358" i="9"/>
  <c r="E358" i="9" s="1"/>
  <c r="E357" i="9"/>
  <c r="D357" i="9"/>
  <c r="F357" i="9" s="1"/>
  <c r="D356" i="9"/>
  <c r="F356" i="9" s="1"/>
  <c r="D355" i="9"/>
  <c r="E355" i="9" s="1"/>
  <c r="F354" i="9"/>
  <c r="D354" i="9"/>
  <c r="E354" i="9" s="1"/>
  <c r="D353" i="9"/>
  <c r="D352" i="9"/>
  <c r="F352" i="9" s="1"/>
  <c r="D351" i="9"/>
  <c r="E351" i="9" s="1"/>
  <c r="D350" i="9"/>
  <c r="F349" i="9"/>
  <c r="E349" i="9"/>
  <c r="D349" i="9"/>
  <c r="D348" i="9"/>
  <c r="F348" i="9" s="1"/>
  <c r="D347" i="9"/>
  <c r="E347" i="9" s="1"/>
  <c r="F346" i="9"/>
  <c r="D346" i="9"/>
  <c r="E346" i="9" s="1"/>
  <c r="F345" i="9"/>
  <c r="D345" i="9"/>
  <c r="E345" i="9" s="1"/>
  <c r="D344" i="9"/>
  <c r="F344" i="9" s="1"/>
  <c r="D343" i="9"/>
  <c r="E343" i="9" s="1"/>
  <c r="D342" i="9"/>
  <c r="E342" i="9" s="1"/>
  <c r="E341" i="9"/>
  <c r="D341" i="9"/>
  <c r="F341" i="9" s="1"/>
  <c r="D340" i="9"/>
  <c r="F340" i="9" s="1"/>
  <c r="D339" i="9"/>
  <c r="E339" i="9" s="1"/>
  <c r="F338" i="9"/>
  <c r="D338" i="9"/>
  <c r="E338" i="9" s="1"/>
  <c r="D337" i="9"/>
  <c r="D336" i="9"/>
  <c r="F336" i="9" s="1"/>
  <c r="D335" i="9"/>
  <c r="E335" i="9" s="1"/>
  <c r="D334" i="9"/>
  <c r="F333" i="9"/>
  <c r="E333" i="9"/>
  <c r="D333" i="9"/>
  <c r="D332" i="9"/>
  <c r="F332" i="9" s="1"/>
  <c r="D331" i="9"/>
  <c r="E331" i="9" s="1"/>
  <c r="D330" i="9"/>
  <c r="F329" i="9"/>
  <c r="E329" i="9"/>
  <c r="D329" i="9"/>
  <c r="D328" i="9"/>
  <c r="F328" i="9" s="1"/>
  <c r="D327" i="9"/>
  <c r="E327" i="9" s="1"/>
  <c r="D326" i="9"/>
  <c r="F325" i="9"/>
  <c r="E325" i="9"/>
  <c r="D325" i="9"/>
  <c r="D324" i="9"/>
  <c r="F324" i="9" s="1"/>
  <c r="D323" i="9"/>
  <c r="F323" i="9" s="1"/>
  <c r="D322" i="9"/>
  <c r="F322" i="9" s="1"/>
  <c r="E321" i="9"/>
  <c r="D321" i="9"/>
  <c r="F321" i="9" s="1"/>
  <c r="D320" i="9"/>
  <c r="F320" i="9" s="1"/>
  <c r="D319" i="9"/>
  <c r="D318" i="9"/>
  <c r="E317" i="9"/>
  <c r="D317" i="9"/>
  <c r="F317" i="9" s="1"/>
  <c r="D316" i="9"/>
  <c r="D315" i="9"/>
  <c r="F315" i="9" s="1"/>
  <c r="D314" i="9"/>
  <c r="D313" i="9"/>
  <c r="F313" i="9" s="1"/>
  <c r="D312" i="9"/>
  <c r="F312" i="9" s="1"/>
  <c r="D311" i="9"/>
  <c r="E310" i="9"/>
  <c r="H310" i="9" s="1"/>
  <c r="I310" i="9" s="1"/>
  <c r="D310" i="9"/>
  <c r="F310" i="9" s="1"/>
  <c r="D309" i="9"/>
  <c r="F309" i="9" s="1"/>
  <c r="D308" i="9"/>
  <c r="F308" i="9" s="1"/>
  <c r="D307" i="9"/>
  <c r="F307" i="9" s="1"/>
  <c r="D306" i="9"/>
  <c r="D305" i="9"/>
  <c r="F305" i="9" s="1"/>
  <c r="D304" i="9"/>
  <c r="D303" i="9"/>
  <c r="D302" i="9"/>
  <c r="D301" i="9"/>
  <c r="D300" i="9"/>
  <c r="F300" i="9" s="1"/>
  <c r="D299" i="9"/>
  <c r="F299" i="9" s="1"/>
  <c r="D298" i="9"/>
  <c r="D297" i="9"/>
  <c r="F297" i="9" s="1"/>
  <c r="D296" i="9"/>
  <c r="F296" i="9" s="1"/>
  <c r="D295" i="9"/>
  <c r="F295" i="9" s="1"/>
  <c r="D294" i="9"/>
  <c r="D293" i="9"/>
  <c r="F293" i="9" s="1"/>
  <c r="D292" i="9"/>
  <c r="D291" i="9"/>
  <c r="F291" i="9" s="1"/>
  <c r="D290" i="9"/>
  <c r="D289" i="9"/>
  <c r="F289" i="9" s="1"/>
  <c r="D288" i="9"/>
  <c r="D287" i="9"/>
  <c r="D286" i="9"/>
  <c r="D285" i="9"/>
  <c r="E284" i="9"/>
  <c r="H284" i="9" s="1"/>
  <c r="I284" i="9" s="1"/>
  <c r="D284" i="9"/>
  <c r="F284" i="9" s="1"/>
  <c r="D283" i="9"/>
  <c r="D282" i="9"/>
  <c r="E281" i="9"/>
  <c r="D281" i="9"/>
  <c r="F281" i="9" s="1"/>
  <c r="D280" i="9"/>
  <c r="D279" i="9"/>
  <c r="F279" i="9" s="1"/>
  <c r="D278" i="9"/>
  <c r="D277" i="9"/>
  <c r="D276" i="9"/>
  <c r="F276" i="9" s="1"/>
  <c r="D275" i="9"/>
  <c r="D274" i="9"/>
  <c r="D273" i="9"/>
  <c r="F273" i="9" s="1"/>
  <c r="D272" i="9"/>
  <c r="D271" i="9"/>
  <c r="F271" i="9" s="1"/>
  <c r="D270" i="9"/>
  <c r="D269" i="9"/>
  <c r="F269" i="9" s="1"/>
  <c r="D268" i="9"/>
  <c r="F268" i="9" s="1"/>
  <c r="D267" i="9"/>
  <c r="D266" i="9"/>
  <c r="D265" i="9"/>
  <c r="F265" i="9" s="1"/>
  <c r="D264" i="9"/>
  <c r="D263" i="9"/>
  <c r="F263" i="9" s="1"/>
  <c r="D262" i="9"/>
  <c r="D261" i="9"/>
  <c r="D260" i="9"/>
  <c r="F260" i="9" s="1"/>
  <c r="D259" i="9"/>
  <c r="D258" i="9"/>
  <c r="D257" i="9"/>
  <c r="D256" i="9"/>
  <c r="D255" i="9"/>
  <c r="F255" i="9" s="1"/>
  <c r="D254" i="9"/>
  <c r="D253" i="9"/>
  <c r="F253" i="9" s="1"/>
  <c r="D252" i="9"/>
  <c r="F252" i="9" s="1"/>
  <c r="D251" i="9"/>
  <c r="D250" i="9"/>
  <c r="D249" i="9"/>
  <c r="F249" i="9" s="1"/>
  <c r="D248" i="9"/>
  <c r="D247" i="9"/>
  <c r="F247" i="9" s="1"/>
  <c r="D246" i="9"/>
  <c r="D245" i="9"/>
  <c r="D244" i="9"/>
  <c r="F244" i="9" s="1"/>
  <c r="D243" i="9"/>
  <c r="D242" i="9"/>
  <c r="D241" i="9"/>
  <c r="F241" i="9" s="1"/>
  <c r="D240" i="9"/>
  <c r="D239" i="9"/>
  <c r="F239" i="9" s="1"/>
  <c r="D238" i="9"/>
  <c r="E237" i="9"/>
  <c r="D237" i="9"/>
  <c r="F237" i="9" s="1"/>
  <c r="D236" i="9"/>
  <c r="F236" i="9" s="1"/>
  <c r="D235" i="9"/>
  <c r="D234" i="9"/>
  <c r="D233" i="9"/>
  <c r="F233" i="9" s="1"/>
  <c r="D232" i="9"/>
  <c r="D231" i="9"/>
  <c r="F231" i="9" s="1"/>
  <c r="D230" i="9"/>
  <c r="D229" i="9"/>
  <c r="D228" i="9"/>
  <c r="F228" i="9" s="1"/>
  <c r="D227" i="9"/>
  <c r="D226" i="9"/>
  <c r="D225" i="9"/>
  <c r="F225" i="9" s="1"/>
  <c r="D224" i="9"/>
  <c r="D223" i="9"/>
  <c r="F223" i="9" s="1"/>
  <c r="D222" i="9"/>
  <c r="D221" i="9"/>
  <c r="F221" i="9" s="1"/>
  <c r="D220" i="9"/>
  <c r="F220" i="9" s="1"/>
  <c r="D219" i="9"/>
  <c r="D218" i="9"/>
  <c r="E217" i="9"/>
  <c r="D217" i="9"/>
  <c r="F217" i="9" s="1"/>
  <c r="D216" i="9"/>
  <c r="D215" i="9"/>
  <c r="F215" i="9" s="1"/>
  <c r="D214" i="9"/>
  <c r="D213" i="9"/>
  <c r="D212" i="9"/>
  <c r="F212" i="9" s="1"/>
  <c r="D211" i="9"/>
  <c r="D210" i="9"/>
  <c r="D209" i="9"/>
  <c r="F209" i="9" s="1"/>
  <c r="D208" i="9"/>
  <c r="D207" i="9"/>
  <c r="F207" i="9" s="1"/>
  <c r="D206" i="9"/>
  <c r="D205" i="9"/>
  <c r="F205" i="9" s="1"/>
  <c r="D204" i="9"/>
  <c r="F204" i="9" s="1"/>
  <c r="D203" i="9"/>
  <c r="D202" i="9"/>
  <c r="D201" i="9"/>
  <c r="F201" i="9" s="1"/>
  <c r="D200" i="9"/>
  <c r="D199" i="9"/>
  <c r="F199" i="9" s="1"/>
  <c r="D198" i="9"/>
  <c r="D197" i="9"/>
  <c r="D196" i="9"/>
  <c r="F196" i="9" s="1"/>
  <c r="D195" i="9"/>
  <c r="D194" i="9"/>
  <c r="E193" i="9"/>
  <c r="D193" i="9"/>
  <c r="F193" i="9" s="1"/>
  <c r="D192" i="9"/>
  <c r="D191" i="9"/>
  <c r="F191" i="9" s="1"/>
  <c r="D190" i="9"/>
  <c r="D189" i="9"/>
  <c r="F189" i="9" s="1"/>
  <c r="D188" i="9"/>
  <c r="F188" i="9" s="1"/>
  <c r="D187" i="9"/>
  <c r="D186" i="9"/>
  <c r="D185" i="9"/>
  <c r="F185" i="9" s="1"/>
  <c r="D184" i="9"/>
  <c r="D183" i="9"/>
  <c r="F183" i="9" s="1"/>
  <c r="D182" i="9"/>
  <c r="D181" i="9"/>
  <c r="D180" i="9"/>
  <c r="F180" i="9" s="1"/>
  <c r="D179" i="9"/>
  <c r="D178" i="9"/>
  <c r="D177" i="9"/>
  <c r="F177" i="9" s="1"/>
  <c r="D176" i="9"/>
  <c r="D175" i="9"/>
  <c r="F175" i="9" s="1"/>
  <c r="D174" i="9"/>
  <c r="D173" i="9"/>
  <c r="D172" i="9"/>
  <c r="F172" i="9" s="1"/>
  <c r="D171" i="9"/>
  <c r="D170" i="9"/>
  <c r="D169" i="9"/>
  <c r="F169" i="9" s="1"/>
  <c r="D168" i="9"/>
  <c r="D167" i="9"/>
  <c r="F167" i="9" s="1"/>
  <c r="D166" i="9"/>
  <c r="D165" i="9"/>
  <c r="D164" i="9"/>
  <c r="D163" i="9"/>
  <c r="D162" i="9"/>
  <c r="D161" i="9"/>
  <c r="F161" i="9" s="1"/>
  <c r="D160" i="9"/>
  <c r="D159" i="9"/>
  <c r="D158" i="9"/>
  <c r="D157" i="9"/>
  <c r="F157" i="9" s="1"/>
  <c r="D156" i="9"/>
  <c r="D155" i="9"/>
  <c r="D154" i="9"/>
  <c r="E153" i="9"/>
  <c r="D153" i="9"/>
  <c r="F153" i="9" s="1"/>
  <c r="D152" i="9"/>
  <c r="D151" i="9"/>
  <c r="D150" i="9"/>
  <c r="D149" i="9"/>
  <c r="D148" i="9"/>
  <c r="D147" i="9"/>
  <c r="D146" i="9"/>
  <c r="D145" i="9"/>
  <c r="F145" i="9" s="1"/>
  <c r="D144" i="9"/>
  <c r="D143" i="9"/>
  <c r="D142" i="9"/>
  <c r="D141" i="9"/>
  <c r="F141" i="9" s="1"/>
  <c r="D140" i="9"/>
  <c r="D139" i="9"/>
  <c r="D138" i="9"/>
  <c r="D137" i="9"/>
  <c r="F137" i="9" s="1"/>
  <c r="D136" i="9"/>
  <c r="D135" i="9"/>
  <c r="D134" i="9"/>
  <c r="F134" i="9" s="1"/>
  <c r="D133" i="9"/>
  <c r="D132" i="9"/>
  <c r="F132" i="9" s="1"/>
  <c r="D131" i="9"/>
  <c r="D130" i="9"/>
  <c r="F130" i="9" s="1"/>
  <c r="D129" i="9"/>
  <c r="F129" i="9" s="1"/>
  <c r="D128" i="9"/>
  <c r="D127" i="9"/>
  <c r="D126" i="9"/>
  <c r="D125" i="9"/>
  <c r="F125" i="9" s="1"/>
  <c r="D124" i="9"/>
  <c r="F124" i="9" s="1"/>
  <c r="D123" i="9"/>
  <c r="D122" i="9"/>
  <c r="F122" i="9" s="1"/>
  <c r="D121" i="9"/>
  <c r="F121" i="9" s="1"/>
  <c r="D120" i="9"/>
  <c r="F120" i="9" s="1"/>
  <c r="D119" i="9"/>
  <c r="D118" i="9"/>
  <c r="F118" i="9" s="1"/>
  <c r="D117" i="9"/>
  <c r="F117" i="9" s="1"/>
  <c r="D116" i="9"/>
  <c r="F116" i="9" s="1"/>
  <c r="D115" i="9"/>
  <c r="D114" i="9"/>
  <c r="F114" i="9" s="1"/>
  <c r="D113" i="9"/>
  <c r="F113" i="9" s="1"/>
  <c r="D112" i="9"/>
  <c r="D111" i="9"/>
  <c r="D110" i="9"/>
  <c r="D109" i="9"/>
  <c r="D108" i="9"/>
  <c r="F108" i="9" s="1"/>
  <c r="D107" i="9"/>
  <c r="D106" i="9"/>
  <c r="D105" i="9"/>
  <c r="F105" i="9" s="1"/>
  <c r="D104" i="9"/>
  <c r="F104" i="9" s="1"/>
  <c r="D103" i="9"/>
  <c r="D102" i="9"/>
  <c r="F102" i="9" s="1"/>
  <c r="D101" i="9"/>
  <c r="F101" i="9" s="1"/>
  <c r="D100" i="9"/>
  <c r="F100" i="9" s="1"/>
  <c r="D99" i="9"/>
  <c r="D98" i="9"/>
  <c r="F98" i="9" s="1"/>
  <c r="D97" i="9"/>
  <c r="F97" i="9" s="1"/>
  <c r="D96" i="9"/>
  <c r="D95" i="9"/>
  <c r="D94" i="9"/>
  <c r="D93" i="9"/>
  <c r="F93" i="9" s="1"/>
  <c r="D92" i="9"/>
  <c r="F92" i="9" s="1"/>
  <c r="D91" i="9"/>
  <c r="D90" i="9"/>
  <c r="F90" i="9" s="1"/>
  <c r="D89" i="9"/>
  <c r="F89" i="9" s="1"/>
  <c r="D88" i="9"/>
  <c r="F88" i="9" s="1"/>
  <c r="D87" i="9"/>
  <c r="D86" i="9"/>
  <c r="F86" i="9" s="1"/>
  <c r="D85" i="9"/>
  <c r="F85" i="9" s="1"/>
  <c r="D84" i="9"/>
  <c r="F84" i="9" s="1"/>
  <c r="D83" i="9"/>
  <c r="D82" i="9"/>
  <c r="F82" i="9" s="1"/>
  <c r="D81" i="9"/>
  <c r="F81" i="9" s="1"/>
  <c r="D80" i="9"/>
  <c r="D79" i="9"/>
  <c r="D78" i="9"/>
  <c r="D77" i="9"/>
  <c r="D76" i="9"/>
  <c r="F76" i="9" s="1"/>
  <c r="D75" i="9"/>
  <c r="E74" i="9"/>
  <c r="D74" i="9"/>
  <c r="F74" i="9" s="1"/>
  <c r="D73" i="9"/>
  <c r="F73" i="9" s="1"/>
  <c r="D72" i="9"/>
  <c r="F72" i="9" s="1"/>
  <c r="D71" i="9"/>
  <c r="D70" i="9"/>
  <c r="F70" i="9" s="1"/>
  <c r="D69" i="9"/>
  <c r="F69" i="9" s="1"/>
  <c r="D68" i="9"/>
  <c r="F68" i="9" s="1"/>
  <c r="D67" i="9"/>
  <c r="D66" i="9"/>
  <c r="F66" i="9" s="1"/>
  <c r="D65" i="9"/>
  <c r="F65" i="9" s="1"/>
  <c r="D64" i="9"/>
  <c r="D63" i="9"/>
  <c r="D62" i="9"/>
  <c r="E61" i="9"/>
  <c r="H61" i="9" s="1"/>
  <c r="I61" i="9" s="1"/>
  <c r="D61" i="9"/>
  <c r="F61" i="9" s="1"/>
  <c r="D60" i="9"/>
  <c r="F60" i="9" s="1"/>
  <c r="D59" i="9"/>
  <c r="E58" i="9"/>
  <c r="D58" i="9"/>
  <c r="F58" i="9" s="1"/>
  <c r="D57" i="9"/>
  <c r="F57" i="9" s="1"/>
  <c r="D56" i="9"/>
  <c r="F56" i="9" s="1"/>
  <c r="D55" i="9"/>
  <c r="D54" i="9"/>
  <c r="F54" i="9" s="1"/>
  <c r="D53" i="9"/>
  <c r="F53" i="9" s="1"/>
  <c r="D52" i="9"/>
  <c r="F52" i="9" s="1"/>
  <c r="D51" i="9"/>
  <c r="D50" i="9"/>
  <c r="F50" i="9" s="1"/>
  <c r="D49" i="9"/>
  <c r="D48" i="9"/>
  <c r="E48" i="9" s="1"/>
  <c r="F47" i="9"/>
  <c r="E47" i="9"/>
  <c r="H47" i="9" s="1"/>
  <c r="I47" i="9" s="1"/>
  <c r="D47" i="9"/>
  <c r="D46" i="9"/>
  <c r="F46" i="9" s="1"/>
  <c r="D45" i="9"/>
  <c r="D44" i="9"/>
  <c r="E44" i="9" s="1"/>
  <c r="D43" i="9"/>
  <c r="E43" i="9" s="1"/>
  <c r="D42" i="9"/>
  <c r="F42" i="9" s="1"/>
  <c r="D41" i="9"/>
  <c r="D40" i="9"/>
  <c r="F40" i="9" s="1"/>
  <c r="D39" i="9"/>
  <c r="E39" i="9" s="1"/>
  <c r="D38" i="9"/>
  <c r="F38" i="9" s="1"/>
  <c r="D37" i="9"/>
  <c r="F36" i="9"/>
  <c r="D36" i="9"/>
  <c r="E36" i="9" s="1"/>
  <c r="H36" i="9" s="1"/>
  <c r="I36" i="9" s="1"/>
  <c r="D35" i="9"/>
  <c r="F35" i="9" s="1"/>
  <c r="D34" i="9"/>
  <c r="F34" i="9" s="1"/>
  <c r="D33" i="9"/>
  <c r="F32" i="9"/>
  <c r="D32" i="9"/>
  <c r="E32" i="9" s="1"/>
  <c r="F31" i="9"/>
  <c r="D31" i="9"/>
  <c r="E31" i="9" s="1"/>
  <c r="H31" i="9" s="1"/>
  <c r="I31" i="9" s="1"/>
  <c r="D30" i="9"/>
  <c r="F30" i="9" s="1"/>
  <c r="D29" i="9"/>
  <c r="D28" i="9"/>
  <c r="E28" i="9" s="1"/>
  <c r="F27" i="9"/>
  <c r="D27" i="9"/>
  <c r="E27" i="9" s="1"/>
  <c r="D26" i="9"/>
  <c r="F26" i="9" s="1"/>
  <c r="D25" i="9"/>
  <c r="D24" i="9"/>
  <c r="F24" i="9" s="1"/>
  <c r="D23" i="9"/>
  <c r="E23" i="9" s="1"/>
  <c r="E22" i="9"/>
  <c r="D22" i="9"/>
  <c r="F22" i="9" s="1"/>
  <c r="D21" i="9"/>
  <c r="E20" i="9"/>
  <c r="D20" i="9"/>
  <c r="F20" i="9" s="1"/>
  <c r="D19" i="9"/>
  <c r="F19" i="9" s="1"/>
  <c r="D18" i="9"/>
  <c r="F18" i="9" s="1"/>
  <c r="D17" i="9"/>
  <c r="D16" i="9"/>
  <c r="E16" i="9" s="1"/>
  <c r="E15" i="9"/>
  <c r="D15" i="9"/>
  <c r="F15" i="9" s="1"/>
  <c r="D14" i="9"/>
  <c r="F14" i="9" s="1"/>
  <c r="D13" i="9"/>
  <c r="D12" i="9"/>
  <c r="E12" i="9" s="1"/>
  <c r="D11" i="9"/>
  <c r="E11" i="9" s="1"/>
  <c r="D10" i="9"/>
  <c r="F10" i="9" s="1"/>
  <c r="D9" i="9"/>
  <c r="D8" i="9"/>
  <c r="F8" i="9" s="1"/>
  <c r="D7" i="9"/>
  <c r="E7" i="9" s="1"/>
  <c r="D6" i="9"/>
  <c r="F6" i="9" s="1"/>
  <c r="D5" i="9"/>
  <c r="D4" i="9"/>
  <c r="F4" i="9" s="1"/>
  <c r="D3" i="9"/>
  <c r="F3" i="9" s="1"/>
  <c r="D2" i="9"/>
  <c r="F2" i="9" s="1"/>
  <c r="F20" i="6"/>
  <c r="D3" i="6"/>
  <c r="F3" i="6" s="1"/>
  <c r="D4" i="6"/>
  <c r="D5" i="6"/>
  <c r="D6" i="6"/>
  <c r="F6" i="6" s="1"/>
  <c r="D7" i="6"/>
  <c r="F7" i="6" s="1"/>
  <c r="D8" i="6"/>
  <c r="D9" i="6"/>
  <c r="D10" i="6"/>
  <c r="F10" i="6" s="1"/>
  <c r="D11" i="6"/>
  <c r="F11" i="6" s="1"/>
  <c r="D12" i="6"/>
  <c r="D13" i="6"/>
  <c r="D14" i="6"/>
  <c r="F14" i="6" s="1"/>
  <c r="D15" i="6"/>
  <c r="F15" i="6" s="1"/>
  <c r="D16" i="6"/>
  <c r="D17" i="6"/>
  <c r="D18" i="6"/>
  <c r="F18" i="6" s="1"/>
  <c r="D19" i="6"/>
  <c r="F19" i="6" s="1"/>
  <c r="D20" i="6"/>
  <c r="E20" i="6" s="1"/>
  <c r="D21" i="6"/>
  <c r="D22" i="6"/>
  <c r="F22" i="6" s="1"/>
  <c r="D23" i="6"/>
  <c r="F23" i="6" s="1"/>
  <c r="D24" i="6"/>
  <c r="D25" i="6"/>
  <c r="D26" i="6"/>
  <c r="F26" i="6" s="1"/>
  <c r="D27" i="6"/>
  <c r="F27" i="6" s="1"/>
  <c r="D28" i="6"/>
  <c r="D29" i="6"/>
  <c r="D30" i="6"/>
  <c r="F30" i="6" s="1"/>
  <c r="D31" i="6"/>
  <c r="F31" i="6" s="1"/>
  <c r="D32" i="6"/>
  <c r="D33" i="6"/>
  <c r="D34" i="6"/>
  <c r="F34" i="6" s="1"/>
  <c r="D35" i="6"/>
  <c r="F35" i="6" s="1"/>
  <c r="D36" i="6"/>
  <c r="D37" i="6"/>
  <c r="D38" i="6"/>
  <c r="F38" i="6" s="1"/>
  <c r="D39" i="6"/>
  <c r="F39" i="6" s="1"/>
  <c r="D40" i="6"/>
  <c r="D41" i="6"/>
  <c r="D42" i="6"/>
  <c r="F42" i="6" s="1"/>
  <c r="D43" i="6"/>
  <c r="F43" i="6" s="1"/>
  <c r="D44" i="6"/>
  <c r="D45" i="6"/>
  <c r="D46" i="6"/>
  <c r="F46" i="6" s="1"/>
  <c r="D47" i="6"/>
  <c r="F47" i="6" s="1"/>
  <c r="D48" i="6"/>
  <c r="D49" i="6"/>
  <c r="D50" i="6"/>
  <c r="F50" i="6" s="1"/>
  <c r="D51" i="6"/>
  <c r="F51" i="6" s="1"/>
  <c r="D52" i="6"/>
  <c r="E52" i="6" s="1"/>
  <c r="D53" i="6"/>
  <c r="D54" i="6"/>
  <c r="F54" i="6" s="1"/>
  <c r="D55" i="6"/>
  <c r="F55" i="6" s="1"/>
  <c r="D56" i="6"/>
  <c r="D57" i="6"/>
  <c r="D58" i="6"/>
  <c r="F58" i="6" s="1"/>
  <c r="D59" i="6"/>
  <c r="F59" i="6" s="1"/>
  <c r="D60" i="6"/>
  <c r="D61" i="6"/>
  <c r="D62" i="6"/>
  <c r="F62" i="6" s="1"/>
  <c r="D63" i="6"/>
  <c r="F63" i="6" s="1"/>
  <c r="D64" i="6"/>
  <c r="D65" i="6"/>
  <c r="D66" i="6"/>
  <c r="F66" i="6" s="1"/>
  <c r="D67" i="6"/>
  <c r="F67" i="6" s="1"/>
  <c r="D68" i="6"/>
  <c r="D69" i="6"/>
  <c r="D70" i="6"/>
  <c r="F70" i="6" s="1"/>
  <c r="D71" i="6"/>
  <c r="F71" i="6" s="1"/>
  <c r="D72" i="6"/>
  <c r="D73" i="6"/>
  <c r="D74" i="6"/>
  <c r="F74" i="6" s="1"/>
  <c r="D75" i="6"/>
  <c r="F75" i="6" s="1"/>
  <c r="D76" i="6"/>
  <c r="D77" i="6"/>
  <c r="D78" i="6"/>
  <c r="F78" i="6" s="1"/>
  <c r="D79" i="6"/>
  <c r="F79" i="6" s="1"/>
  <c r="D80" i="6"/>
  <c r="D81" i="6"/>
  <c r="D82" i="6"/>
  <c r="F82" i="6" s="1"/>
  <c r="D83" i="6"/>
  <c r="F83" i="6" s="1"/>
  <c r="D84" i="6"/>
  <c r="E84" i="6" s="1"/>
  <c r="D85" i="6"/>
  <c r="D86" i="6"/>
  <c r="F86" i="6" s="1"/>
  <c r="D87" i="6"/>
  <c r="F87" i="6" s="1"/>
  <c r="D88" i="6"/>
  <c r="D89" i="6"/>
  <c r="D90" i="6"/>
  <c r="F90" i="6" s="1"/>
  <c r="D91" i="6"/>
  <c r="F91" i="6" s="1"/>
  <c r="D92" i="6"/>
  <c r="D93" i="6"/>
  <c r="D94" i="6"/>
  <c r="F94" i="6" s="1"/>
  <c r="D95" i="6"/>
  <c r="F95" i="6" s="1"/>
  <c r="D96" i="6"/>
  <c r="D97" i="6"/>
  <c r="D98" i="6"/>
  <c r="F98" i="6" s="1"/>
  <c r="D99" i="6"/>
  <c r="F99" i="6" s="1"/>
  <c r="D100" i="6"/>
  <c r="D101" i="6"/>
  <c r="D102" i="6"/>
  <c r="F102" i="6" s="1"/>
  <c r="D103" i="6"/>
  <c r="F103" i="6" s="1"/>
  <c r="D104" i="6"/>
  <c r="D105" i="6"/>
  <c r="D106" i="6"/>
  <c r="F106" i="6" s="1"/>
  <c r="D107" i="6"/>
  <c r="F107" i="6" s="1"/>
  <c r="D108" i="6"/>
  <c r="D109" i="6"/>
  <c r="D110" i="6"/>
  <c r="F110" i="6" s="1"/>
  <c r="D111" i="6"/>
  <c r="F111" i="6" s="1"/>
  <c r="D112" i="6"/>
  <c r="D113" i="6"/>
  <c r="D114" i="6"/>
  <c r="F114" i="6" s="1"/>
  <c r="D115" i="6"/>
  <c r="F115" i="6" s="1"/>
  <c r="D116" i="6"/>
  <c r="E116" i="6" s="1"/>
  <c r="D117" i="6"/>
  <c r="D118" i="6"/>
  <c r="F118" i="6" s="1"/>
  <c r="D119" i="6"/>
  <c r="F119" i="6" s="1"/>
  <c r="D120" i="6"/>
  <c r="D121" i="6"/>
  <c r="D122" i="6"/>
  <c r="F122" i="6" s="1"/>
  <c r="D123" i="6"/>
  <c r="F123" i="6" s="1"/>
  <c r="D124" i="6"/>
  <c r="D125" i="6"/>
  <c r="D126" i="6"/>
  <c r="F126" i="6" s="1"/>
  <c r="D127" i="6"/>
  <c r="F127" i="6" s="1"/>
  <c r="D128" i="6"/>
  <c r="D129" i="6"/>
  <c r="D130" i="6"/>
  <c r="F130" i="6" s="1"/>
  <c r="D131" i="6"/>
  <c r="F131" i="6" s="1"/>
  <c r="D132" i="6"/>
  <c r="D133" i="6"/>
  <c r="D134" i="6"/>
  <c r="F134" i="6" s="1"/>
  <c r="D135" i="6"/>
  <c r="F135" i="6" s="1"/>
  <c r="D136" i="6"/>
  <c r="D137" i="6"/>
  <c r="D138" i="6"/>
  <c r="F138" i="6" s="1"/>
  <c r="D139" i="6"/>
  <c r="F139" i="6" s="1"/>
  <c r="D140" i="6"/>
  <c r="D141" i="6"/>
  <c r="D142" i="6"/>
  <c r="F142" i="6" s="1"/>
  <c r="D143" i="6"/>
  <c r="F143" i="6" s="1"/>
  <c r="D144" i="6"/>
  <c r="D145" i="6"/>
  <c r="D146" i="6"/>
  <c r="F146" i="6" s="1"/>
  <c r="D147" i="6"/>
  <c r="F147" i="6" s="1"/>
  <c r="D148" i="6"/>
  <c r="E148" i="6" s="1"/>
  <c r="D149" i="6"/>
  <c r="D150" i="6"/>
  <c r="F150" i="6" s="1"/>
  <c r="D151" i="6"/>
  <c r="F151" i="6" s="1"/>
  <c r="D152" i="6"/>
  <c r="D153" i="6"/>
  <c r="D154" i="6"/>
  <c r="F154" i="6" s="1"/>
  <c r="D155" i="6"/>
  <c r="F155" i="6" s="1"/>
  <c r="D156" i="6"/>
  <c r="D157" i="6"/>
  <c r="D158" i="6"/>
  <c r="F158" i="6" s="1"/>
  <c r="D159" i="6"/>
  <c r="F159" i="6" s="1"/>
  <c r="D160" i="6"/>
  <c r="D161" i="6"/>
  <c r="D162" i="6"/>
  <c r="F162" i="6" s="1"/>
  <c r="D163" i="6"/>
  <c r="F163" i="6" s="1"/>
  <c r="D164" i="6"/>
  <c r="D165" i="6"/>
  <c r="D166" i="6"/>
  <c r="F166" i="6" s="1"/>
  <c r="D167" i="6"/>
  <c r="F167" i="6" s="1"/>
  <c r="D168" i="6"/>
  <c r="D169" i="6"/>
  <c r="D170" i="6"/>
  <c r="F170" i="6" s="1"/>
  <c r="D171" i="6"/>
  <c r="F171" i="6" s="1"/>
  <c r="D172" i="6"/>
  <c r="D173" i="6"/>
  <c r="D174" i="6"/>
  <c r="F174" i="6" s="1"/>
  <c r="D175" i="6"/>
  <c r="F175" i="6" s="1"/>
  <c r="D176" i="6"/>
  <c r="D177" i="6"/>
  <c r="D178" i="6"/>
  <c r="F178" i="6" s="1"/>
  <c r="D179" i="6"/>
  <c r="F179" i="6" s="1"/>
  <c r="D180" i="6"/>
  <c r="E180" i="6" s="1"/>
  <c r="D181" i="6"/>
  <c r="D182" i="6"/>
  <c r="F182" i="6" s="1"/>
  <c r="D183" i="6"/>
  <c r="F183" i="6" s="1"/>
  <c r="D184" i="6"/>
  <c r="D185" i="6"/>
  <c r="D186" i="6"/>
  <c r="F186" i="6" s="1"/>
  <c r="D187" i="6"/>
  <c r="F187" i="6" s="1"/>
  <c r="D188" i="6"/>
  <c r="D189" i="6"/>
  <c r="D190" i="6"/>
  <c r="F190" i="6" s="1"/>
  <c r="D191" i="6"/>
  <c r="F191" i="6" s="1"/>
  <c r="D192" i="6"/>
  <c r="D193" i="6"/>
  <c r="D194" i="6"/>
  <c r="F194" i="6" s="1"/>
  <c r="D195" i="6"/>
  <c r="F195" i="6" s="1"/>
  <c r="D196" i="6"/>
  <c r="D197" i="6"/>
  <c r="D198" i="6"/>
  <c r="F198" i="6" s="1"/>
  <c r="D199" i="6"/>
  <c r="F199" i="6" s="1"/>
  <c r="D200" i="6"/>
  <c r="D201" i="6"/>
  <c r="D202" i="6"/>
  <c r="F202" i="6" s="1"/>
  <c r="D203" i="6"/>
  <c r="F203" i="6" s="1"/>
  <c r="D204" i="6"/>
  <c r="E204" i="6" s="1"/>
  <c r="D205" i="6"/>
  <c r="D206" i="6"/>
  <c r="F206" i="6" s="1"/>
  <c r="D207" i="6"/>
  <c r="F207" i="6" s="1"/>
  <c r="D208" i="6"/>
  <c r="D209" i="6"/>
  <c r="D210" i="6"/>
  <c r="F210" i="6" s="1"/>
  <c r="D211" i="6"/>
  <c r="F211" i="6" s="1"/>
  <c r="D212" i="6"/>
  <c r="D213" i="6"/>
  <c r="D214" i="6"/>
  <c r="F214" i="6" s="1"/>
  <c r="D215" i="6"/>
  <c r="F215" i="6" s="1"/>
  <c r="D216" i="6"/>
  <c r="D217" i="6"/>
  <c r="D218" i="6"/>
  <c r="F218" i="6" s="1"/>
  <c r="D219" i="6"/>
  <c r="F219" i="6" s="1"/>
  <c r="D220" i="6"/>
  <c r="E220" i="6" s="1"/>
  <c r="D221" i="6"/>
  <c r="D222" i="6"/>
  <c r="F222" i="6" s="1"/>
  <c r="D223" i="6"/>
  <c r="F223" i="6" s="1"/>
  <c r="D224" i="6"/>
  <c r="D225" i="6"/>
  <c r="D226" i="6"/>
  <c r="F226" i="6" s="1"/>
  <c r="D227" i="6"/>
  <c r="F227" i="6" s="1"/>
  <c r="D228" i="6"/>
  <c r="D229" i="6"/>
  <c r="D230" i="6"/>
  <c r="F230" i="6" s="1"/>
  <c r="D231" i="6"/>
  <c r="F231" i="6" s="1"/>
  <c r="D232" i="6"/>
  <c r="D233" i="6"/>
  <c r="D234" i="6"/>
  <c r="F234" i="6" s="1"/>
  <c r="D235" i="6"/>
  <c r="F235" i="6" s="1"/>
  <c r="D236" i="6"/>
  <c r="E236" i="6" s="1"/>
  <c r="D237" i="6"/>
  <c r="D238" i="6"/>
  <c r="F238" i="6" s="1"/>
  <c r="D239" i="6"/>
  <c r="F239" i="6" s="1"/>
  <c r="D240" i="6"/>
  <c r="D241" i="6"/>
  <c r="D242" i="6"/>
  <c r="F242" i="6" s="1"/>
  <c r="D243" i="6"/>
  <c r="F243" i="6" s="1"/>
  <c r="D244" i="6"/>
  <c r="D245" i="6"/>
  <c r="D246" i="6"/>
  <c r="F246" i="6" s="1"/>
  <c r="D247" i="6"/>
  <c r="F247" i="6" s="1"/>
  <c r="D248" i="6"/>
  <c r="D249" i="6"/>
  <c r="D250" i="6"/>
  <c r="F250" i="6" s="1"/>
  <c r="D251" i="6"/>
  <c r="F251" i="6" s="1"/>
  <c r="D252" i="6"/>
  <c r="E252" i="6" s="1"/>
  <c r="D253" i="6"/>
  <c r="D254" i="6"/>
  <c r="F254" i="6" s="1"/>
  <c r="D255" i="6"/>
  <c r="F255" i="6" s="1"/>
  <c r="D256" i="6"/>
  <c r="D257" i="6"/>
  <c r="D258" i="6"/>
  <c r="F258" i="6" s="1"/>
  <c r="D259" i="6"/>
  <c r="F259" i="6" s="1"/>
  <c r="D260" i="6"/>
  <c r="D261" i="6"/>
  <c r="D262" i="6"/>
  <c r="F262" i="6" s="1"/>
  <c r="D263" i="6"/>
  <c r="F263" i="6" s="1"/>
  <c r="D264" i="6"/>
  <c r="D265" i="6"/>
  <c r="D266" i="6"/>
  <c r="F266" i="6" s="1"/>
  <c r="D267" i="6"/>
  <c r="F267" i="6" s="1"/>
  <c r="D268" i="6"/>
  <c r="E268" i="6" s="1"/>
  <c r="D269" i="6"/>
  <c r="D270" i="6"/>
  <c r="F270" i="6" s="1"/>
  <c r="D271" i="6"/>
  <c r="F271" i="6" s="1"/>
  <c r="D272" i="6"/>
  <c r="D273" i="6"/>
  <c r="D274" i="6"/>
  <c r="F274" i="6" s="1"/>
  <c r="D275" i="6"/>
  <c r="F275" i="6" s="1"/>
  <c r="D276" i="6"/>
  <c r="D277" i="6"/>
  <c r="D278" i="6"/>
  <c r="F278" i="6" s="1"/>
  <c r="D279" i="6"/>
  <c r="F279" i="6" s="1"/>
  <c r="D280" i="6"/>
  <c r="D281" i="6"/>
  <c r="D282" i="6"/>
  <c r="F282" i="6" s="1"/>
  <c r="D283" i="6"/>
  <c r="F283" i="6" s="1"/>
  <c r="D284" i="6"/>
  <c r="E284" i="6" s="1"/>
  <c r="D285" i="6"/>
  <c r="D286" i="6"/>
  <c r="F286" i="6" s="1"/>
  <c r="D287" i="6"/>
  <c r="F287" i="6" s="1"/>
  <c r="D288" i="6"/>
  <c r="D289" i="6"/>
  <c r="D290" i="6"/>
  <c r="F290" i="6" s="1"/>
  <c r="D291" i="6"/>
  <c r="F291" i="6" s="1"/>
  <c r="D292" i="6"/>
  <c r="D293" i="6"/>
  <c r="D294" i="6"/>
  <c r="F294" i="6" s="1"/>
  <c r="D295" i="6"/>
  <c r="F295" i="6" s="1"/>
  <c r="D296" i="6"/>
  <c r="D297" i="6"/>
  <c r="D298" i="6"/>
  <c r="F298" i="6" s="1"/>
  <c r="D299" i="6"/>
  <c r="F299" i="6" s="1"/>
  <c r="D300" i="6"/>
  <c r="E300" i="6" s="1"/>
  <c r="D301" i="6"/>
  <c r="D302" i="6"/>
  <c r="F302" i="6" s="1"/>
  <c r="D303" i="6"/>
  <c r="F303" i="6" s="1"/>
  <c r="D304" i="6"/>
  <c r="D305" i="6"/>
  <c r="D306" i="6"/>
  <c r="F306" i="6" s="1"/>
  <c r="D307" i="6"/>
  <c r="F307" i="6" s="1"/>
  <c r="D308" i="6"/>
  <c r="D309" i="6"/>
  <c r="D310" i="6"/>
  <c r="F310" i="6" s="1"/>
  <c r="D311" i="6"/>
  <c r="F311" i="6" s="1"/>
  <c r="D312" i="6"/>
  <c r="D313" i="6"/>
  <c r="D314" i="6"/>
  <c r="F314" i="6" s="1"/>
  <c r="D315" i="6"/>
  <c r="F315" i="6" s="1"/>
  <c r="D316" i="6"/>
  <c r="E316" i="6" s="1"/>
  <c r="D317" i="6"/>
  <c r="D318" i="6"/>
  <c r="F318" i="6" s="1"/>
  <c r="D319" i="6"/>
  <c r="F319" i="6" s="1"/>
  <c r="D320" i="6"/>
  <c r="D321" i="6"/>
  <c r="D322" i="6"/>
  <c r="F322" i="6" s="1"/>
  <c r="D323" i="6"/>
  <c r="F323" i="6" s="1"/>
  <c r="D324" i="6"/>
  <c r="E324" i="6" s="1"/>
  <c r="D325" i="6"/>
  <c r="D326" i="6"/>
  <c r="F326" i="6" s="1"/>
  <c r="D327" i="6"/>
  <c r="F327" i="6" s="1"/>
  <c r="D328" i="6"/>
  <c r="D329" i="6"/>
  <c r="D330" i="6"/>
  <c r="F330" i="6" s="1"/>
  <c r="D331" i="6"/>
  <c r="F331" i="6" s="1"/>
  <c r="D332" i="6"/>
  <c r="E332" i="6" s="1"/>
  <c r="D333" i="6"/>
  <c r="D334" i="6"/>
  <c r="F334" i="6" s="1"/>
  <c r="D335" i="6"/>
  <c r="F335" i="6" s="1"/>
  <c r="D336" i="6"/>
  <c r="D337" i="6"/>
  <c r="D338" i="6"/>
  <c r="F338" i="6" s="1"/>
  <c r="D339" i="6"/>
  <c r="F339" i="6" s="1"/>
  <c r="D340" i="6"/>
  <c r="E340" i="6" s="1"/>
  <c r="D341" i="6"/>
  <c r="D342" i="6"/>
  <c r="F342" i="6" s="1"/>
  <c r="D343" i="6"/>
  <c r="F343" i="6" s="1"/>
  <c r="D344" i="6"/>
  <c r="D345" i="6"/>
  <c r="D346" i="6"/>
  <c r="F346" i="6" s="1"/>
  <c r="D347" i="6"/>
  <c r="F347" i="6" s="1"/>
  <c r="D348" i="6"/>
  <c r="E348" i="6" s="1"/>
  <c r="D349" i="6"/>
  <c r="D350" i="6"/>
  <c r="F350" i="6" s="1"/>
  <c r="D351" i="6"/>
  <c r="F351" i="6" s="1"/>
  <c r="D352" i="6"/>
  <c r="D353" i="6"/>
  <c r="D354" i="6"/>
  <c r="F354" i="6" s="1"/>
  <c r="D355" i="6"/>
  <c r="F355" i="6" s="1"/>
  <c r="D356" i="6"/>
  <c r="E356" i="6" s="1"/>
  <c r="D357" i="6"/>
  <c r="D358" i="6"/>
  <c r="F358" i="6" s="1"/>
  <c r="D359" i="6"/>
  <c r="F359" i="6" s="1"/>
  <c r="D360" i="6"/>
  <c r="D361" i="6"/>
  <c r="D362" i="6"/>
  <c r="F362" i="6" s="1"/>
  <c r="D363" i="6"/>
  <c r="F363" i="6" s="1"/>
  <c r="D364" i="6"/>
  <c r="E364" i="6" s="1"/>
  <c r="D365" i="6"/>
  <c r="D366" i="6"/>
  <c r="F366" i="6" s="1"/>
  <c r="D367" i="6"/>
  <c r="F367" i="6" s="1"/>
  <c r="D368" i="6"/>
  <c r="D369" i="6"/>
  <c r="D370" i="6"/>
  <c r="F370" i="6" s="1"/>
  <c r="D371" i="6"/>
  <c r="F371" i="6" s="1"/>
  <c r="D372" i="6"/>
  <c r="E372" i="6" s="1"/>
  <c r="D373" i="6"/>
  <c r="D374" i="6"/>
  <c r="F374" i="6" s="1"/>
  <c r="D375" i="6"/>
  <c r="F375" i="6" s="1"/>
  <c r="D376" i="6"/>
  <c r="D377" i="6"/>
  <c r="D378" i="6"/>
  <c r="F378" i="6" s="1"/>
  <c r="D379" i="6"/>
  <c r="F379" i="6" s="1"/>
  <c r="D380" i="6"/>
  <c r="E380" i="6" s="1"/>
  <c r="D381" i="6"/>
  <c r="D382" i="6"/>
  <c r="F382" i="6" s="1"/>
  <c r="D383" i="6"/>
  <c r="F383" i="6" s="1"/>
  <c r="D384" i="6"/>
  <c r="D385" i="6"/>
  <c r="D386" i="6"/>
  <c r="F386" i="6" s="1"/>
  <c r="D387" i="6"/>
  <c r="F387" i="6" s="1"/>
  <c r="D388" i="6"/>
  <c r="E388" i="6" s="1"/>
  <c r="D389" i="6"/>
  <c r="D390" i="6"/>
  <c r="F390" i="6" s="1"/>
  <c r="D391" i="6"/>
  <c r="F391" i="6" s="1"/>
  <c r="D392" i="6"/>
  <c r="D393" i="6"/>
  <c r="D394" i="6"/>
  <c r="F394" i="6" s="1"/>
  <c r="D395" i="6"/>
  <c r="F395" i="6" s="1"/>
  <c r="D396" i="6"/>
  <c r="E396" i="6" s="1"/>
  <c r="D397" i="6"/>
  <c r="D398" i="6"/>
  <c r="F398" i="6" s="1"/>
  <c r="D399" i="6"/>
  <c r="F399" i="6" s="1"/>
  <c r="D400" i="6"/>
  <c r="D401" i="6"/>
  <c r="D402" i="6"/>
  <c r="F402" i="6" s="1"/>
  <c r="D403" i="6"/>
  <c r="F403" i="6" s="1"/>
  <c r="D404" i="6"/>
  <c r="E404" i="6" s="1"/>
  <c r="D405" i="6"/>
  <c r="D406" i="6"/>
  <c r="F406" i="6" s="1"/>
  <c r="D407" i="6"/>
  <c r="F407" i="6" s="1"/>
  <c r="D408" i="6"/>
  <c r="D409" i="6"/>
  <c r="D410" i="6"/>
  <c r="F410" i="6" s="1"/>
  <c r="D411" i="6"/>
  <c r="F411" i="6" s="1"/>
  <c r="D412" i="6"/>
  <c r="E412" i="6" s="1"/>
  <c r="D413" i="6"/>
  <c r="D414" i="6"/>
  <c r="F414" i="6" s="1"/>
  <c r="D415" i="6"/>
  <c r="F415" i="6" s="1"/>
  <c r="D416" i="6"/>
  <c r="D417" i="6"/>
  <c r="D418" i="6"/>
  <c r="F418" i="6" s="1"/>
  <c r="D419" i="6"/>
  <c r="F419" i="6" s="1"/>
  <c r="D420" i="6"/>
  <c r="E420" i="6" s="1"/>
  <c r="D421" i="6"/>
  <c r="D422" i="6"/>
  <c r="F422" i="6" s="1"/>
  <c r="D423" i="6"/>
  <c r="F423" i="6" s="1"/>
  <c r="D424" i="6"/>
  <c r="D425" i="6"/>
  <c r="D426" i="6"/>
  <c r="F426" i="6" s="1"/>
  <c r="D427" i="6"/>
  <c r="F427" i="6" s="1"/>
  <c r="D428" i="6"/>
  <c r="E428" i="6" s="1"/>
  <c r="D429" i="6"/>
  <c r="D430" i="6"/>
  <c r="F430" i="6" s="1"/>
  <c r="D431" i="6"/>
  <c r="F431" i="6" s="1"/>
  <c r="D432" i="6"/>
  <c r="D433" i="6"/>
  <c r="D434" i="6"/>
  <c r="F434" i="6" s="1"/>
  <c r="D435" i="6"/>
  <c r="F435" i="6" s="1"/>
  <c r="D436" i="6"/>
  <c r="E436" i="6" s="1"/>
  <c r="D437" i="6"/>
  <c r="D438" i="6"/>
  <c r="F438" i="6" s="1"/>
  <c r="D439" i="6"/>
  <c r="F439" i="6" s="1"/>
  <c r="D440" i="6"/>
  <c r="D441" i="6"/>
  <c r="D442" i="6"/>
  <c r="F442" i="6" s="1"/>
  <c r="D443" i="6"/>
  <c r="F443" i="6" s="1"/>
  <c r="D444" i="6"/>
  <c r="E444" i="6" s="1"/>
  <c r="D445" i="6"/>
  <c r="D446" i="6"/>
  <c r="F446" i="6" s="1"/>
  <c r="D447" i="6"/>
  <c r="F447" i="6" s="1"/>
  <c r="D448" i="6"/>
  <c r="D449" i="6"/>
  <c r="D450" i="6"/>
  <c r="F450" i="6" s="1"/>
  <c r="D451" i="6"/>
  <c r="F451" i="6" s="1"/>
  <c r="D452" i="6"/>
  <c r="E452" i="6" s="1"/>
  <c r="D453" i="6"/>
  <c r="D454" i="6"/>
  <c r="F454" i="6" s="1"/>
  <c r="D455" i="6"/>
  <c r="F455" i="6" s="1"/>
  <c r="D456" i="6"/>
  <c r="D457" i="6"/>
  <c r="D458" i="6"/>
  <c r="F458" i="6" s="1"/>
  <c r="D459" i="6"/>
  <c r="F459" i="6" s="1"/>
  <c r="D460" i="6"/>
  <c r="E460" i="6" s="1"/>
  <c r="D461" i="6"/>
  <c r="D462" i="6"/>
  <c r="F462" i="6" s="1"/>
  <c r="D463" i="6"/>
  <c r="F463" i="6" s="1"/>
  <c r="D464" i="6"/>
  <c r="D465" i="6"/>
  <c r="D466" i="6"/>
  <c r="F466" i="6" s="1"/>
  <c r="D467" i="6"/>
  <c r="F467" i="6" s="1"/>
  <c r="D468" i="6"/>
  <c r="E468" i="6" s="1"/>
  <c r="D469" i="6"/>
  <c r="D470" i="6"/>
  <c r="F470" i="6" s="1"/>
  <c r="D471" i="6"/>
  <c r="F471" i="6" s="1"/>
  <c r="D472" i="6"/>
  <c r="D473" i="6"/>
  <c r="D474" i="6"/>
  <c r="F474" i="6" s="1"/>
  <c r="D475" i="6"/>
  <c r="F475" i="6" s="1"/>
  <c r="D476" i="6"/>
  <c r="E476" i="6" s="1"/>
  <c r="D477" i="6"/>
  <c r="D478" i="6"/>
  <c r="F478" i="6" s="1"/>
  <c r="D479" i="6"/>
  <c r="F479" i="6" s="1"/>
  <c r="D480" i="6"/>
  <c r="D481" i="6"/>
  <c r="D482" i="6"/>
  <c r="F482" i="6" s="1"/>
  <c r="D483" i="6"/>
  <c r="F483" i="6" s="1"/>
  <c r="D484" i="6"/>
  <c r="E484" i="6" s="1"/>
  <c r="D485" i="6"/>
  <c r="D486" i="6"/>
  <c r="F486" i="6" s="1"/>
  <c r="D487" i="6"/>
  <c r="F487" i="6" s="1"/>
  <c r="D488" i="6"/>
  <c r="D489" i="6"/>
  <c r="D490" i="6"/>
  <c r="F490" i="6" s="1"/>
  <c r="D491" i="6"/>
  <c r="F491" i="6" s="1"/>
  <c r="D492" i="6"/>
  <c r="E492" i="6" s="1"/>
  <c r="D493" i="6"/>
  <c r="D494" i="6"/>
  <c r="F494" i="6" s="1"/>
  <c r="D495" i="6"/>
  <c r="F495" i="6" s="1"/>
  <c r="D496" i="6"/>
  <c r="D497" i="6"/>
  <c r="D498" i="6"/>
  <c r="F498" i="6" s="1"/>
  <c r="D499" i="6"/>
  <c r="F499" i="6" s="1"/>
  <c r="D500" i="6"/>
  <c r="E500" i="6" s="1"/>
  <c r="D501" i="6"/>
  <c r="D502" i="6"/>
  <c r="F502" i="6" s="1"/>
  <c r="D503" i="6"/>
  <c r="F503" i="6" s="1"/>
  <c r="D504" i="6"/>
  <c r="D505" i="6"/>
  <c r="D506" i="6"/>
  <c r="F506" i="6" s="1"/>
  <c r="D507" i="6"/>
  <c r="F507" i="6" s="1"/>
  <c r="D508" i="6"/>
  <c r="E508" i="6" s="1"/>
  <c r="D509" i="6"/>
  <c r="D510" i="6"/>
  <c r="F510" i="6" s="1"/>
  <c r="D511" i="6"/>
  <c r="F511" i="6" s="1"/>
  <c r="D512" i="6"/>
  <c r="D513" i="6"/>
  <c r="D514" i="6"/>
  <c r="F514" i="6" s="1"/>
  <c r="D515" i="6"/>
  <c r="F515" i="6" s="1"/>
  <c r="D516" i="6"/>
  <c r="E516" i="6" s="1"/>
  <c r="D517" i="6"/>
  <c r="D518" i="6"/>
  <c r="F518" i="6" s="1"/>
  <c r="D519" i="6"/>
  <c r="F519" i="6" s="1"/>
  <c r="D520" i="6"/>
  <c r="D521" i="6"/>
  <c r="D522" i="6"/>
  <c r="F522" i="6" s="1"/>
  <c r="D523" i="6"/>
  <c r="F523" i="6" s="1"/>
  <c r="D524" i="6"/>
  <c r="E524" i="6" s="1"/>
  <c r="D525" i="6"/>
  <c r="D526" i="6"/>
  <c r="F526" i="6" s="1"/>
  <c r="D527" i="6"/>
  <c r="F527" i="6" s="1"/>
  <c r="D528" i="6"/>
  <c r="D529" i="6"/>
  <c r="D530" i="6"/>
  <c r="F530" i="6" s="1"/>
  <c r="D531" i="6"/>
  <c r="F531" i="6" s="1"/>
  <c r="D532" i="6"/>
  <c r="E532" i="6" s="1"/>
  <c r="D533" i="6"/>
  <c r="D534" i="6"/>
  <c r="F534" i="6" s="1"/>
  <c r="D535" i="6"/>
  <c r="F535" i="6" s="1"/>
  <c r="D536" i="6"/>
  <c r="D537" i="6"/>
  <c r="D538" i="6"/>
  <c r="F538" i="6" s="1"/>
  <c r="D539" i="6"/>
  <c r="F539" i="6" s="1"/>
  <c r="D540" i="6"/>
  <c r="E540" i="6" s="1"/>
  <c r="D541" i="6"/>
  <c r="D542" i="6"/>
  <c r="F542" i="6" s="1"/>
  <c r="D543" i="6"/>
  <c r="F543" i="6" s="1"/>
  <c r="D544" i="6"/>
  <c r="D545" i="6"/>
  <c r="D546" i="6"/>
  <c r="F546" i="6" s="1"/>
  <c r="D547" i="6"/>
  <c r="F547" i="6" s="1"/>
  <c r="D548" i="6"/>
  <c r="E548" i="6" s="1"/>
  <c r="D549" i="6"/>
  <c r="D550" i="6"/>
  <c r="F550" i="6" s="1"/>
  <c r="D551" i="6"/>
  <c r="F551" i="6" s="1"/>
  <c r="D552" i="6"/>
  <c r="D553" i="6"/>
  <c r="D554" i="6"/>
  <c r="F554" i="6" s="1"/>
  <c r="D555" i="6"/>
  <c r="F555" i="6" s="1"/>
  <c r="D556" i="6"/>
  <c r="E556" i="6" s="1"/>
  <c r="D557" i="6"/>
  <c r="D558" i="6"/>
  <c r="F558" i="6" s="1"/>
  <c r="D559" i="6"/>
  <c r="F559" i="6" s="1"/>
  <c r="D560" i="6"/>
  <c r="D561" i="6"/>
  <c r="D562" i="6"/>
  <c r="F562" i="6" s="1"/>
  <c r="D563" i="6"/>
  <c r="F563" i="6" s="1"/>
  <c r="D564" i="6"/>
  <c r="E564" i="6" s="1"/>
  <c r="D565" i="6"/>
  <c r="D566" i="6"/>
  <c r="F566" i="6" s="1"/>
  <c r="D567" i="6"/>
  <c r="F567" i="6" s="1"/>
  <c r="D568" i="6"/>
  <c r="D569" i="6"/>
  <c r="D570" i="6"/>
  <c r="F570" i="6" s="1"/>
  <c r="D571" i="6"/>
  <c r="F571" i="6" s="1"/>
  <c r="D572" i="6"/>
  <c r="E572" i="6" s="1"/>
  <c r="D573" i="6"/>
  <c r="D574" i="6"/>
  <c r="F574" i="6" s="1"/>
  <c r="D575" i="6"/>
  <c r="F575" i="6" s="1"/>
  <c r="D576" i="6"/>
  <c r="D577" i="6"/>
  <c r="D578" i="6"/>
  <c r="F578" i="6" s="1"/>
  <c r="D579" i="6"/>
  <c r="F579" i="6" s="1"/>
  <c r="D580" i="6"/>
  <c r="E580" i="6" s="1"/>
  <c r="D581" i="6"/>
  <c r="D582" i="6"/>
  <c r="F582" i="6" s="1"/>
  <c r="D583" i="6"/>
  <c r="F583" i="6" s="1"/>
  <c r="D584" i="6"/>
  <c r="D585" i="6"/>
  <c r="D586" i="6"/>
  <c r="F586" i="6" s="1"/>
  <c r="D587" i="6"/>
  <c r="F587" i="6" s="1"/>
  <c r="D588" i="6"/>
  <c r="E588" i="6" s="1"/>
  <c r="D589" i="6"/>
  <c r="D590" i="6"/>
  <c r="F590" i="6" s="1"/>
  <c r="D591" i="6"/>
  <c r="F591" i="6" s="1"/>
  <c r="D592" i="6"/>
  <c r="D593" i="6"/>
  <c r="D594" i="6"/>
  <c r="F594" i="6" s="1"/>
  <c r="D595" i="6"/>
  <c r="F595" i="6" s="1"/>
  <c r="D596" i="6"/>
  <c r="E596" i="6" s="1"/>
  <c r="D597" i="6"/>
  <c r="D598" i="6"/>
  <c r="F598" i="6" s="1"/>
  <c r="D599" i="6"/>
  <c r="F599" i="6" s="1"/>
  <c r="D600" i="6"/>
  <c r="D601" i="6"/>
  <c r="D602" i="6"/>
  <c r="F602" i="6" s="1"/>
  <c r="D603" i="6"/>
  <c r="F603" i="6" s="1"/>
  <c r="D604" i="6"/>
  <c r="E604" i="6" s="1"/>
  <c r="D605" i="6"/>
  <c r="D606" i="6"/>
  <c r="F606" i="6" s="1"/>
  <c r="D607" i="6"/>
  <c r="F607" i="6" s="1"/>
  <c r="D608" i="6"/>
  <c r="D609" i="6"/>
  <c r="D610" i="6"/>
  <c r="F610" i="6" s="1"/>
  <c r="D611" i="6"/>
  <c r="F611" i="6" s="1"/>
  <c r="D612" i="6"/>
  <c r="E612" i="6" s="1"/>
  <c r="D613" i="6"/>
  <c r="D614" i="6"/>
  <c r="F614" i="6" s="1"/>
  <c r="D615" i="6"/>
  <c r="F615" i="6" s="1"/>
  <c r="D616" i="6"/>
  <c r="D617" i="6"/>
  <c r="D618" i="6"/>
  <c r="F618" i="6" s="1"/>
  <c r="D619" i="6"/>
  <c r="F619" i="6" s="1"/>
  <c r="D620" i="6"/>
  <c r="E620" i="6" s="1"/>
  <c r="D621" i="6"/>
  <c r="D622" i="6"/>
  <c r="F622" i="6" s="1"/>
  <c r="D623" i="6"/>
  <c r="F623" i="6" s="1"/>
  <c r="D624" i="6"/>
  <c r="D625" i="6"/>
  <c r="D626" i="6"/>
  <c r="F626" i="6" s="1"/>
  <c r="D627" i="6"/>
  <c r="F627" i="6" s="1"/>
  <c r="D628" i="6"/>
  <c r="E628" i="6" s="1"/>
  <c r="D629" i="6"/>
  <c r="D630" i="6"/>
  <c r="F630" i="6" s="1"/>
  <c r="D631" i="6"/>
  <c r="F631" i="6" s="1"/>
  <c r="D632" i="6"/>
  <c r="D633" i="6"/>
  <c r="D634" i="6"/>
  <c r="F634" i="6" s="1"/>
  <c r="D635" i="6"/>
  <c r="F635" i="6" s="1"/>
  <c r="D636" i="6"/>
  <c r="E636" i="6" s="1"/>
  <c r="D637" i="6"/>
  <c r="D638" i="6"/>
  <c r="F638" i="6" s="1"/>
  <c r="D639" i="6"/>
  <c r="F639" i="6" s="1"/>
  <c r="D640" i="6"/>
  <c r="D641" i="6"/>
  <c r="D642" i="6"/>
  <c r="F642" i="6" s="1"/>
  <c r="D643" i="6"/>
  <c r="F643" i="6" s="1"/>
  <c r="D644" i="6"/>
  <c r="E644" i="6" s="1"/>
  <c r="D645" i="6"/>
  <c r="D646" i="6"/>
  <c r="F646" i="6" s="1"/>
  <c r="D647" i="6"/>
  <c r="F647" i="6" s="1"/>
  <c r="D648" i="6"/>
  <c r="D649" i="6"/>
  <c r="D650" i="6"/>
  <c r="F650" i="6" s="1"/>
  <c r="D651" i="6"/>
  <c r="F651" i="6" s="1"/>
  <c r="D652" i="6"/>
  <c r="E652" i="6" s="1"/>
  <c r="D653" i="6"/>
  <c r="D654" i="6"/>
  <c r="F654" i="6" s="1"/>
  <c r="D655" i="6"/>
  <c r="F655" i="6" s="1"/>
  <c r="D656" i="6"/>
  <c r="D657" i="6"/>
  <c r="D658" i="6"/>
  <c r="F658" i="6" s="1"/>
  <c r="D659" i="6"/>
  <c r="F659" i="6" s="1"/>
  <c r="D660" i="6"/>
  <c r="E660" i="6" s="1"/>
  <c r="D661" i="6"/>
  <c r="D662" i="6"/>
  <c r="F662" i="6" s="1"/>
  <c r="D663" i="6"/>
  <c r="F663" i="6" s="1"/>
  <c r="D664" i="6"/>
  <c r="D665" i="6"/>
  <c r="D666" i="6"/>
  <c r="F666" i="6" s="1"/>
  <c r="D667" i="6"/>
  <c r="F667" i="6" s="1"/>
  <c r="D668" i="6"/>
  <c r="E668" i="6" s="1"/>
  <c r="D669" i="6"/>
  <c r="D670" i="6"/>
  <c r="F670" i="6" s="1"/>
  <c r="D671" i="6"/>
  <c r="F671" i="6" s="1"/>
  <c r="D672" i="6"/>
  <c r="D673" i="6"/>
  <c r="D674" i="6"/>
  <c r="F674" i="6" s="1"/>
  <c r="D675" i="6"/>
  <c r="F675" i="6" s="1"/>
  <c r="D676" i="6"/>
  <c r="E676" i="6" s="1"/>
  <c r="D677" i="6"/>
  <c r="D678" i="6"/>
  <c r="F678" i="6" s="1"/>
  <c r="D679" i="6"/>
  <c r="F679" i="6" s="1"/>
  <c r="D680" i="6"/>
  <c r="D681" i="6"/>
  <c r="D682" i="6"/>
  <c r="F682" i="6" s="1"/>
  <c r="D683" i="6"/>
  <c r="F683" i="6" s="1"/>
  <c r="D684" i="6"/>
  <c r="E684" i="6" s="1"/>
  <c r="D685" i="6"/>
  <c r="D686" i="6"/>
  <c r="F686" i="6" s="1"/>
  <c r="D687" i="6"/>
  <c r="F687" i="6" s="1"/>
  <c r="D688" i="6"/>
  <c r="D689" i="6"/>
  <c r="D690" i="6"/>
  <c r="F690" i="6" s="1"/>
  <c r="D691" i="6"/>
  <c r="F691" i="6" s="1"/>
  <c r="D692" i="6"/>
  <c r="E692" i="6" s="1"/>
  <c r="D693" i="6"/>
  <c r="D694" i="6"/>
  <c r="F694" i="6" s="1"/>
  <c r="D695" i="6"/>
  <c r="F695" i="6" s="1"/>
  <c r="D696" i="6"/>
  <c r="D697" i="6"/>
  <c r="D698" i="6"/>
  <c r="F698" i="6" s="1"/>
  <c r="D699" i="6"/>
  <c r="F699" i="6" s="1"/>
  <c r="D700" i="6"/>
  <c r="E700" i="6" s="1"/>
  <c r="D701" i="6"/>
  <c r="D702" i="6"/>
  <c r="F702" i="6" s="1"/>
  <c r="D703" i="6"/>
  <c r="F703" i="6" s="1"/>
  <c r="D704" i="6"/>
  <c r="D705" i="6"/>
  <c r="D706" i="6"/>
  <c r="F706" i="6" s="1"/>
  <c r="D707" i="6"/>
  <c r="F707" i="6" s="1"/>
  <c r="D708" i="6"/>
  <c r="E708" i="6" s="1"/>
  <c r="D709" i="6"/>
  <c r="D710" i="6"/>
  <c r="F710" i="6" s="1"/>
  <c r="D711" i="6"/>
  <c r="F711" i="6" s="1"/>
  <c r="D712" i="6"/>
  <c r="D713" i="6"/>
  <c r="D714" i="6"/>
  <c r="F714" i="6" s="1"/>
  <c r="D715" i="6"/>
  <c r="F715" i="6" s="1"/>
  <c r="D716" i="6"/>
  <c r="E716" i="6" s="1"/>
  <c r="D717" i="6"/>
  <c r="D718" i="6"/>
  <c r="F718" i="6" s="1"/>
  <c r="D719" i="6"/>
  <c r="F719" i="6" s="1"/>
  <c r="D720" i="6"/>
  <c r="D721" i="6"/>
  <c r="D722" i="6"/>
  <c r="F722" i="6" s="1"/>
  <c r="D723" i="6"/>
  <c r="F723" i="6" s="1"/>
  <c r="D724" i="6"/>
  <c r="E724" i="6" s="1"/>
  <c r="D725" i="6"/>
  <c r="D726" i="6"/>
  <c r="F726" i="6" s="1"/>
  <c r="D727" i="6"/>
  <c r="F727" i="6" s="1"/>
  <c r="D728" i="6"/>
  <c r="D729" i="6"/>
  <c r="D730" i="6"/>
  <c r="F730" i="6" s="1"/>
  <c r="D731" i="6"/>
  <c r="F731" i="6" s="1"/>
  <c r="D732" i="6"/>
  <c r="E732" i="6" s="1"/>
  <c r="D733" i="6"/>
  <c r="D734" i="6"/>
  <c r="F734" i="6" s="1"/>
  <c r="D735" i="6"/>
  <c r="F735" i="6" s="1"/>
  <c r="D736" i="6"/>
  <c r="D737" i="6"/>
  <c r="D738" i="6"/>
  <c r="F738" i="6" s="1"/>
  <c r="D739" i="6"/>
  <c r="F739" i="6" s="1"/>
  <c r="D740" i="6"/>
  <c r="E740" i="6" s="1"/>
  <c r="D741" i="6"/>
  <c r="D742" i="6"/>
  <c r="F742" i="6" s="1"/>
  <c r="D743" i="6"/>
  <c r="F743" i="6" s="1"/>
  <c r="D744" i="6"/>
  <c r="D745" i="6"/>
  <c r="D746" i="6"/>
  <c r="F746" i="6" s="1"/>
  <c r="D747" i="6"/>
  <c r="F747" i="6" s="1"/>
  <c r="D748" i="6"/>
  <c r="E748" i="6" s="1"/>
  <c r="D749" i="6"/>
  <c r="D750" i="6"/>
  <c r="F750" i="6" s="1"/>
  <c r="D751" i="6"/>
  <c r="F751" i="6" s="1"/>
  <c r="D752" i="6"/>
  <c r="D753" i="6"/>
  <c r="D754" i="6"/>
  <c r="F754" i="6" s="1"/>
  <c r="D755" i="6"/>
  <c r="F755" i="6" s="1"/>
  <c r="D756" i="6"/>
  <c r="E756" i="6" s="1"/>
  <c r="D757" i="6"/>
  <c r="D758" i="6"/>
  <c r="F758" i="6" s="1"/>
  <c r="D759" i="6"/>
  <c r="F759" i="6" s="1"/>
  <c r="D760" i="6"/>
  <c r="D761" i="6"/>
  <c r="D762" i="6"/>
  <c r="F762" i="6" s="1"/>
  <c r="D763" i="6"/>
  <c r="F763" i="6" s="1"/>
  <c r="D764" i="6"/>
  <c r="E764" i="6" s="1"/>
  <c r="D765" i="6"/>
  <c r="D766" i="6"/>
  <c r="F766" i="6" s="1"/>
  <c r="D767" i="6"/>
  <c r="F767" i="6" s="1"/>
  <c r="D768" i="6"/>
  <c r="D769" i="6"/>
  <c r="D770" i="6"/>
  <c r="F770" i="6" s="1"/>
  <c r="D771" i="6"/>
  <c r="F771" i="6" s="1"/>
  <c r="D772" i="6"/>
  <c r="E772" i="6" s="1"/>
  <c r="D773" i="6"/>
  <c r="D774" i="6"/>
  <c r="F774" i="6" s="1"/>
  <c r="D775" i="6"/>
  <c r="F775" i="6" s="1"/>
  <c r="D776" i="6"/>
  <c r="D777" i="6"/>
  <c r="D778" i="6"/>
  <c r="F778" i="6" s="1"/>
  <c r="D779" i="6"/>
  <c r="F779" i="6" s="1"/>
  <c r="D780" i="6"/>
  <c r="E780" i="6" s="1"/>
  <c r="D781" i="6"/>
  <c r="D782" i="6"/>
  <c r="F782" i="6" s="1"/>
  <c r="D783" i="6"/>
  <c r="F783" i="6" s="1"/>
  <c r="D784" i="6"/>
  <c r="D785" i="6"/>
  <c r="D786" i="6"/>
  <c r="F786" i="6" s="1"/>
  <c r="D787" i="6"/>
  <c r="F787" i="6" s="1"/>
  <c r="D788" i="6"/>
  <c r="E788" i="6" s="1"/>
  <c r="D789" i="6"/>
  <c r="D790" i="6"/>
  <c r="F790" i="6" s="1"/>
  <c r="D791" i="6"/>
  <c r="F791" i="6" s="1"/>
  <c r="D792" i="6"/>
  <c r="D793" i="6"/>
  <c r="D794" i="6"/>
  <c r="F794" i="6" s="1"/>
  <c r="D795" i="6"/>
  <c r="F795" i="6" s="1"/>
  <c r="D796" i="6"/>
  <c r="E796" i="6" s="1"/>
  <c r="D797" i="6"/>
  <c r="D798" i="6"/>
  <c r="F798" i="6" s="1"/>
  <c r="D799" i="6"/>
  <c r="F799" i="6" s="1"/>
  <c r="D800" i="6"/>
  <c r="D801" i="6"/>
  <c r="D802" i="6"/>
  <c r="F802" i="6" s="1"/>
  <c r="D803" i="6"/>
  <c r="F803" i="6" s="1"/>
  <c r="D804" i="6"/>
  <c r="D805" i="6"/>
  <c r="D806" i="6"/>
  <c r="E806" i="6" s="1"/>
  <c r="D807" i="6"/>
  <c r="F807" i="6" s="1"/>
  <c r="D808" i="6"/>
  <c r="D809" i="6"/>
  <c r="D810" i="6"/>
  <c r="F810" i="6" s="1"/>
  <c r="D811" i="6"/>
  <c r="F811" i="6" s="1"/>
  <c r="D812" i="6"/>
  <c r="D813" i="6"/>
  <c r="D814" i="6"/>
  <c r="F814" i="6" s="1"/>
  <c r="D815" i="6"/>
  <c r="F815" i="6" s="1"/>
  <c r="D816" i="6"/>
  <c r="D817" i="6"/>
  <c r="D818" i="6"/>
  <c r="F818" i="6" s="1"/>
  <c r="D819" i="6"/>
  <c r="F819" i="6" s="1"/>
  <c r="D820" i="6"/>
  <c r="D821" i="6"/>
  <c r="D822" i="6"/>
  <c r="E822" i="6" s="1"/>
  <c r="D823" i="6"/>
  <c r="F823" i="6" s="1"/>
  <c r="D824" i="6"/>
  <c r="F824" i="6" s="1"/>
  <c r="D825" i="6"/>
  <c r="D826" i="6"/>
  <c r="E826" i="6" s="1"/>
  <c r="D827" i="6"/>
  <c r="F827" i="6" s="1"/>
  <c r="D828" i="6"/>
  <c r="F828" i="6" s="1"/>
  <c r="D829" i="6"/>
  <c r="D830" i="6"/>
  <c r="F830" i="6" s="1"/>
  <c r="D831" i="6"/>
  <c r="F831" i="6" s="1"/>
  <c r="D832" i="6"/>
  <c r="F832" i="6" s="1"/>
  <c r="D833" i="6"/>
  <c r="D834" i="6"/>
  <c r="E834" i="6" s="1"/>
  <c r="D835" i="6"/>
  <c r="F835" i="6" s="1"/>
  <c r="D836" i="6"/>
  <c r="F836" i="6" s="1"/>
  <c r="D837" i="6"/>
  <c r="D838" i="6"/>
  <c r="E838" i="6" s="1"/>
  <c r="D839" i="6"/>
  <c r="F839" i="6" s="1"/>
  <c r="D840" i="6"/>
  <c r="F840" i="6" s="1"/>
  <c r="D841" i="6"/>
  <c r="D842" i="6"/>
  <c r="E842" i="6" s="1"/>
  <c r="D843" i="6"/>
  <c r="F843" i="6" s="1"/>
  <c r="D844" i="6"/>
  <c r="F844" i="6" s="1"/>
  <c r="D845" i="6"/>
  <c r="D846" i="6"/>
  <c r="F846" i="6" s="1"/>
  <c r="D847" i="6"/>
  <c r="F847" i="6" s="1"/>
  <c r="D848" i="6"/>
  <c r="F848" i="6" s="1"/>
  <c r="D849" i="6"/>
  <c r="D850" i="6"/>
  <c r="E850" i="6" s="1"/>
  <c r="D851" i="6"/>
  <c r="F851" i="6" s="1"/>
  <c r="D852" i="6"/>
  <c r="F852" i="6" s="1"/>
  <c r="D853" i="6"/>
  <c r="D854" i="6"/>
  <c r="E854" i="6" s="1"/>
  <c r="D855" i="6"/>
  <c r="F855" i="6" s="1"/>
  <c r="D856" i="6"/>
  <c r="F856" i="6" s="1"/>
  <c r="D857" i="6"/>
  <c r="D858" i="6"/>
  <c r="E858" i="6" s="1"/>
  <c r="D859" i="6"/>
  <c r="F859" i="6" s="1"/>
  <c r="D860" i="6"/>
  <c r="F860" i="6" s="1"/>
  <c r="D861" i="6"/>
  <c r="D862" i="6"/>
  <c r="F862" i="6" s="1"/>
  <c r="D863" i="6"/>
  <c r="F863" i="6" s="1"/>
  <c r="D864" i="6"/>
  <c r="F864" i="6" s="1"/>
  <c r="D865" i="6"/>
  <c r="D866" i="6"/>
  <c r="E866" i="6" s="1"/>
  <c r="D867" i="6"/>
  <c r="F867" i="6" s="1"/>
  <c r="D868" i="6"/>
  <c r="F868" i="6" s="1"/>
  <c r="D869" i="6"/>
  <c r="D870" i="6"/>
  <c r="E870" i="6" s="1"/>
  <c r="D871" i="6"/>
  <c r="F871" i="6" s="1"/>
  <c r="D872" i="6"/>
  <c r="F872" i="6" s="1"/>
  <c r="D873" i="6"/>
  <c r="D874" i="6"/>
  <c r="E874" i="6" s="1"/>
  <c r="D875" i="6"/>
  <c r="F875" i="6" s="1"/>
  <c r="D876" i="6"/>
  <c r="F876" i="6" s="1"/>
  <c r="D877" i="6"/>
  <c r="D878" i="6"/>
  <c r="F878" i="6" s="1"/>
  <c r="D879" i="6"/>
  <c r="F879" i="6" s="1"/>
  <c r="D880" i="6"/>
  <c r="F880" i="6" s="1"/>
  <c r="D881" i="6"/>
  <c r="D882" i="6"/>
  <c r="E882" i="6" s="1"/>
  <c r="D883" i="6"/>
  <c r="F883" i="6" s="1"/>
  <c r="D884" i="6"/>
  <c r="F884" i="6" s="1"/>
  <c r="D885" i="6"/>
  <c r="D886" i="6"/>
  <c r="E886" i="6" s="1"/>
  <c r="D887" i="6"/>
  <c r="F887" i="6" s="1"/>
  <c r="D888" i="6"/>
  <c r="F888" i="6" s="1"/>
  <c r="D889" i="6"/>
  <c r="D890" i="6"/>
  <c r="E890" i="6" s="1"/>
  <c r="D891" i="6"/>
  <c r="F891" i="6" s="1"/>
  <c r="D892" i="6"/>
  <c r="F892" i="6" s="1"/>
  <c r="D893" i="6"/>
  <c r="D894" i="6"/>
  <c r="F894" i="6" s="1"/>
  <c r="D895" i="6"/>
  <c r="F895" i="6" s="1"/>
  <c r="D896" i="6"/>
  <c r="F896" i="6" s="1"/>
  <c r="D897" i="6"/>
  <c r="D898" i="6"/>
  <c r="E898" i="6" s="1"/>
  <c r="D899" i="6"/>
  <c r="F899" i="6" s="1"/>
  <c r="D900" i="6"/>
  <c r="F900" i="6" s="1"/>
  <c r="D901" i="6"/>
  <c r="D902" i="6"/>
  <c r="E902" i="6" s="1"/>
  <c r="D903" i="6"/>
  <c r="F903" i="6" s="1"/>
  <c r="D904" i="6"/>
  <c r="F904" i="6" s="1"/>
  <c r="D905" i="6"/>
  <c r="D906" i="6"/>
  <c r="E906" i="6" s="1"/>
  <c r="D907" i="6"/>
  <c r="F907" i="6" s="1"/>
  <c r="D908" i="6"/>
  <c r="F908" i="6" s="1"/>
  <c r="D909" i="6"/>
  <c r="D910" i="6"/>
  <c r="F910" i="6" s="1"/>
  <c r="D911" i="6"/>
  <c r="F911" i="6" s="1"/>
  <c r="D912" i="6"/>
  <c r="F912" i="6" s="1"/>
  <c r="D913" i="6"/>
  <c r="D914" i="6"/>
  <c r="E914" i="6" s="1"/>
  <c r="D915" i="6"/>
  <c r="F915" i="6" s="1"/>
  <c r="D916" i="6"/>
  <c r="F916" i="6" s="1"/>
  <c r="D917" i="6"/>
  <c r="D918" i="6"/>
  <c r="E918" i="6" s="1"/>
  <c r="D919" i="6"/>
  <c r="F919" i="6" s="1"/>
  <c r="D920" i="6"/>
  <c r="F920" i="6" s="1"/>
  <c r="D921" i="6"/>
  <c r="D922" i="6"/>
  <c r="E922" i="6" s="1"/>
  <c r="D923" i="6"/>
  <c r="F923" i="6" s="1"/>
  <c r="D924" i="6"/>
  <c r="F924" i="6" s="1"/>
  <c r="D925" i="6"/>
  <c r="D926" i="6"/>
  <c r="F926" i="6" s="1"/>
  <c r="D927" i="6"/>
  <c r="F927" i="6" s="1"/>
  <c r="D928" i="6"/>
  <c r="F928" i="6" s="1"/>
  <c r="D929" i="6"/>
  <c r="D930" i="6"/>
  <c r="E930" i="6" s="1"/>
  <c r="D931" i="6"/>
  <c r="F931" i="6" s="1"/>
  <c r="D932" i="6"/>
  <c r="F932" i="6" s="1"/>
  <c r="D933" i="6"/>
  <c r="D934" i="6"/>
  <c r="E934" i="6" s="1"/>
  <c r="D935" i="6"/>
  <c r="F935" i="6" s="1"/>
  <c r="D936" i="6"/>
  <c r="F936" i="6" s="1"/>
  <c r="D937" i="6"/>
  <c r="D938" i="6"/>
  <c r="E938" i="6" s="1"/>
  <c r="D939" i="6"/>
  <c r="F939" i="6" s="1"/>
  <c r="D940" i="6"/>
  <c r="F940" i="6" s="1"/>
  <c r="D941" i="6"/>
  <c r="D942" i="6"/>
  <c r="F942" i="6" s="1"/>
  <c r="D943" i="6"/>
  <c r="F943" i="6" s="1"/>
  <c r="D944" i="6"/>
  <c r="F944" i="6" s="1"/>
  <c r="D945" i="6"/>
  <c r="D946" i="6"/>
  <c r="E946" i="6" s="1"/>
  <c r="D947" i="6"/>
  <c r="E947" i="6" s="1"/>
  <c r="D948" i="6"/>
  <c r="F948" i="6" s="1"/>
  <c r="D949" i="6"/>
  <c r="D950" i="6"/>
  <c r="E950" i="6" s="1"/>
  <c r="D951" i="6"/>
  <c r="F951" i="6" s="1"/>
  <c r="D952" i="6"/>
  <c r="F952" i="6" s="1"/>
  <c r="D953" i="6"/>
  <c r="D954" i="6"/>
  <c r="E954" i="6" s="1"/>
  <c r="D955" i="6"/>
  <c r="E955" i="6" s="1"/>
  <c r="D956" i="6"/>
  <c r="F956" i="6" s="1"/>
  <c r="D957" i="6"/>
  <c r="D958" i="6"/>
  <c r="E958" i="6" s="1"/>
  <c r="D959" i="6"/>
  <c r="F959" i="6" s="1"/>
  <c r="D960" i="6"/>
  <c r="F960" i="6" s="1"/>
  <c r="D961" i="6"/>
  <c r="D962" i="6"/>
  <c r="E962" i="6" s="1"/>
  <c r="D963" i="6"/>
  <c r="E963" i="6" s="1"/>
  <c r="D964" i="6"/>
  <c r="F964" i="6" s="1"/>
  <c r="D965" i="6"/>
  <c r="D966" i="6"/>
  <c r="E966" i="6" s="1"/>
  <c r="D967" i="6"/>
  <c r="F967" i="6" s="1"/>
  <c r="D968" i="6"/>
  <c r="F968" i="6" s="1"/>
  <c r="D969" i="6"/>
  <c r="D970" i="6"/>
  <c r="E970" i="6" s="1"/>
  <c r="D971" i="6"/>
  <c r="E971" i="6" s="1"/>
  <c r="D972" i="6"/>
  <c r="F972" i="6" s="1"/>
  <c r="D973" i="6"/>
  <c r="D974" i="6"/>
  <c r="E974" i="6" s="1"/>
  <c r="D975" i="6"/>
  <c r="F975" i="6" s="1"/>
  <c r="D976" i="6"/>
  <c r="F976" i="6" s="1"/>
  <c r="D977" i="6"/>
  <c r="D978" i="6"/>
  <c r="E978" i="6" s="1"/>
  <c r="D979" i="6"/>
  <c r="E979" i="6" s="1"/>
  <c r="D980" i="6"/>
  <c r="F980" i="6" s="1"/>
  <c r="D981" i="6"/>
  <c r="D982" i="6"/>
  <c r="E982" i="6" s="1"/>
  <c r="D983" i="6"/>
  <c r="F983" i="6" s="1"/>
  <c r="D984" i="6"/>
  <c r="F984" i="6" s="1"/>
  <c r="D985" i="6"/>
  <c r="D986" i="6"/>
  <c r="E986" i="6" s="1"/>
  <c r="D987" i="6"/>
  <c r="E987" i="6" s="1"/>
  <c r="D988" i="6"/>
  <c r="F988" i="6" s="1"/>
  <c r="D989" i="6"/>
  <c r="D990" i="6"/>
  <c r="E990" i="6" s="1"/>
  <c r="D991" i="6"/>
  <c r="F991" i="6" s="1"/>
  <c r="D992" i="6"/>
  <c r="F992" i="6" s="1"/>
  <c r="D993" i="6"/>
  <c r="D994" i="6"/>
  <c r="E994" i="6" s="1"/>
  <c r="D995" i="6"/>
  <c r="E995" i="6" s="1"/>
  <c r="D996" i="6"/>
  <c r="F996" i="6" s="1"/>
  <c r="D997" i="6"/>
  <c r="D998" i="6"/>
  <c r="E998" i="6" s="1"/>
  <c r="D999" i="6"/>
  <c r="F999" i="6" s="1"/>
  <c r="D1000" i="6"/>
  <c r="F1000" i="6" s="1"/>
  <c r="D1001" i="6"/>
  <c r="D2" i="6"/>
  <c r="E2" i="6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F2" i="5" s="1"/>
  <c r="G962" i="18" l="1"/>
  <c r="H962" i="18"/>
  <c r="I962" i="18" s="1"/>
  <c r="J962" i="18" s="1"/>
  <c r="H936" i="18"/>
  <c r="I936" i="18" s="1"/>
  <c r="J936" i="18" s="1"/>
  <c r="G936" i="18"/>
  <c r="H920" i="18"/>
  <c r="I920" i="18" s="1"/>
  <c r="J920" i="18" s="1"/>
  <c r="G920" i="18"/>
  <c r="H949" i="18"/>
  <c r="I949" i="18" s="1"/>
  <c r="J949" i="18" s="1"/>
  <c r="G949" i="18"/>
  <c r="G998" i="18"/>
  <c r="H998" i="18"/>
  <c r="I998" i="18" s="1"/>
  <c r="J998" i="18" s="1"/>
  <c r="G938" i="18"/>
  <c r="H938" i="18"/>
  <c r="I938" i="18" s="1"/>
  <c r="J938" i="18" s="1"/>
  <c r="H913" i="18"/>
  <c r="I913" i="18" s="1"/>
  <c r="J913" i="18" s="1"/>
  <c r="G913" i="18"/>
  <c r="G905" i="18"/>
  <c r="H905" i="18"/>
  <c r="I905" i="18" s="1"/>
  <c r="J905" i="18" s="1"/>
  <c r="H897" i="18"/>
  <c r="I897" i="18" s="1"/>
  <c r="J897" i="18" s="1"/>
  <c r="G897" i="18"/>
  <c r="G889" i="18"/>
  <c r="H889" i="18"/>
  <c r="I889" i="18" s="1"/>
  <c r="J889" i="18" s="1"/>
  <c r="H881" i="18"/>
  <c r="I881" i="18" s="1"/>
  <c r="J881" i="18" s="1"/>
  <c r="G881" i="18"/>
  <c r="G873" i="18"/>
  <c r="H873" i="18"/>
  <c r="I873" i="18" s="1"/>
  <c r="J873" i="18" s="1"/>
  <c r="H865" i="18"/>
  <c r="I865" i="18" s="1"/>
  <c r="J865" i="18" s="1"/>
  <c r="G865" i="18"/>
  <c r="G857" i="18"/>
  <c r="H857" i="18"/>
  <c r="I857" i="18" s="1"/>
  <c r="J857" i="18" s="1"/>
  <c r="H849" i="18"/>
  <c r="I849" i="18" s="1"/>
  <c r="J849" i="18" s="1"/>
  <c r="G849" i="18"/>
  <c r="G841" i="18"/>
  <c r="H841" i="18"/>
  <c r="I841" i="18" s="1"/>
  <c r="J841" i="18" s="1"/>
  <c r="H965" i="18"/>
  <c r="I965" i="18" s="1"/>
  <c r="J965" i="18" s="1"/>
  <c r="G965" i="18"/>
  <c r="G750" i="18"/>
  <c r="H750" i="18"/>
  <c r="I750" i="18" s="1"/>
  <c r="J750" i="18" s="1"/>
  <c r="H953" i="18"/>
  <c r="I953" i="18" s="1"/>
  <c r="J953" i="18" s="1"/>
  <c r="G953" i="18"/>
  <c r="G806" i="18"/>
  <c r="H806" i="18"/>
  <c r="I806" i="18" s="1"/>
  <c r="J806" i="18" s="1"/>
  <c r="G978" i="18"/>
  <c r="H978" i="18"/>
  <c r="I978" i="18" s="1"/>
  <c r="J978" i="18" s="1"/>
  <c r="H822" i="18"/>
  <c r="I822" i="18" s="1"/>
  <c r="J822" i="18" s="1"/>
  <c r="G822" i="18"/>
  <c r="H778" i="18"/>
  <c r="I778" i="18" s="1"/>
  <c r="J778" i="18" s="1"/>
  <c r="G778" i="18"/>
  <c r="H758" i="18"/>
  <c r="I758" i="18" s="1"/>
  <c r="J758" i="18" s="1"/>
  <c r="G758" i="18"/>
  <c r="G733" i="18"/>
  <c r="H733" i="18"/>
  <c r="I733" i="18" s="1"/>
  <c r="J733" i="18" s="1"/>
  <c r="H940" i="18"/>
  <c r="I940" i="18" s="1"/>
  <c r="J940" i="18" s="1"/>
  <c r="G940" i="18"/>
  <c r="G670" i="18"/>
  <c r="H670" i="18"/>
  <c r="I670" i="18" s="1"/>
  <c r="J670" i="18" s="1"/>
  <c r="H821" i="18"/>
  <c r="I821" i="18" s="1"/>
  <c r="J821" i="18" s="1"/>
  <c r="G747" i="18"/>
  <c r="H747" i="18"/>
  <c r="I747" i="18" s="1"/>
  <c r="J747" i="18" s="1"/>
  <c r="G662" i="18"/>
  <c r="H662" i="18"/>
  <c r="I662" i="18" s="1"/>
  <c r="J662" i="18" s="1"/>
  <c r="G789" i="18"/>
  <c r="G663" i="18"/>
  <c r="H957" i="18"/>
  <c r="I957" i="18" s="1"/>
  <c r="J957" i="18" s="1"/>
  <c r="G957" i="18"/>
  <c r="H798" i="18"/>
  <c r="I798" i="18" s="1"/>
  <c r="J798" i="18" s="1"/>
  <c r="G798" i="18"/>
  <c r="H648" i="18"/>
  <c r="I648" i="18" s="1"/>
  <c r="J648" i="18" s="1"/>
  <c r="G648" i="18"/>
  <c r="H560" i="18"/>
  <c r="I560" i="18" s="1"/>
  <c r="J560" i="18" s="1"/>
  <c r="G560" i="18"/>
  <c r="G557" i="18"/>
  <c r="H557" i="18"/>
  <c r="I557" i="18" s="1"/>
  <c r="J557" i="18" s="1"/>
  <c r="H644" i="18"/>
  <c r="I644" i="18" s="1"/>
  <c r="J644" i="18" s="1"/>
  <c r="G644" i="18"/>
  <c r="G632" i="18"/>
  <c r="H632" i="18"/>
  <c r="I632" i="18" s="1"/>
  <c r="J632" i="18" s="1"/>
  <c r="H620" i="18"/>
  <c r="I620" i="18" s="1"/>
  <c r="J620" i="18" s="1"/>
  <c r="G568" i="18"/>
  <c r="H568" i="18"/>
  <c r="I568" i="18" s="1"/>
  <c r="J568" i="18" s="1"/>
  <c r="H608" i="18"/>
  <c r="I608" i="18" s="1"/>
  <c r="J608" i="18" s="1"/>
  <c r="G608" i="18"/>
  <c r="H584" i="18"/>
  <c r="I584" i="18" s="1"/>
  <c r="J584" i="18" s="1"/>
  <c r="G584" i="18"/>
  <c r="G634" i="18"/>
  <c r="H634" i="18"/>
  <c r="I634" i="18" s="1"/>
  <c r="J634" i="18" s="1"/>
  <c r="H640" i="18"/>
  <c r="I640" i="18" s="1"/>
  <c r="J640" i="18" s="1"/>
  <c r="G640" i="18"/>
  <c r="H628" i="18"/>
  <c r="I628" i="18" s="1"/>
  <c r="J628" i="18" s="1"/>
  <c r="G628" i="18"/>
  <c r="G598" i="18"/>
  <c r="H598" i="18"/>
  <c r="I598" i="18" s="1"/>
  <c r="J598" i="18" s="1"/>
  <c r="H564" i="18"/>
  <c r="I564" i="18" s="1"/>
  <c r="J564" i="18" s="1"/>
  <c r="G564" i="18"/>
  <c r="H493" i="18"/>
  <c r="I493" i="18" s="1"/>
  <c r="J493" i="18" s="1"/>
  <c r="G493" i="18"/>
  <c r="H477" i="18"/>
  <c r="I477" i="18" s="1"/>
  <c r="J477" i="18" s="1"/>
  <c r="G477" i="18"/>
  <c r="H689" i="18"/>
  <c r="I689" i="18" s="1"/>
  <c r="J689" i="18" s="1"/>
  <c r="G689" i="18"/>
  <c r="G610" i="18"/>
  <c r="H610" i="18"/>
  <c r="I610" i="18" s="1"/>
  <c r="J610" i="18" s="1"/>
  <c r="G605" i="18"/>
  <c r="H605" i="18"/>
  <c r="I605" i="18" s="1"/>
  <c r="J605" i="18" s="1"/>
  <c r="G554" i="18"/>
  <c r="H554" i="18"/>
  <c r="I554" i="18" s="1"/>
  <c r="J554" i="18" s="1"/>
  <c r="G530" i="18"/>
  <c r="H530" i="18"/>
  <c r="I530" i="18" s="1"/>
  <c r="J530" i="18" s="1"/>
  <c r="G506" i="18"/>
  <c r="H506" i="18"/>
  <c r="I506" i="18" s="1"/>
  <c r="J506" i="18" s="1"/>
  <c r="H445" i="18"/>
  <c r="I445" i="18" s="1"/>
  <c r="J445" i="18" s="1"/>
  <c r="G445" i="18"/>
  <c r="G454" i="18"/>
  <c r="H454" i="18"/>
  <c r="I454" i="18" s="1"/>
  <c r="J454" i="18" s="1"/>
  <c r="G446" i="18"/>
  <c r="H446" i="18"/>
  <c r="I446" i="18" s="1"/>
  <c r="J446" i="18" s="1"/>
  <c r="G448" i="18"/>
  <c r="H448" i="18"/>
  <c r="I448" i="18" s="1"/>
  <c r="J448" i="18" s="1"/>
  <c r="H424" i="18"/>
  <c r="I424" i="18" s="1"/>
  <c r="J424" i="18" s="1"/>
  <c r="G424" i="18"/>
  <c r="H416" i="18"/>
  <c r="I416" i="18" s="1"/>
  <c r="J416" i="18" s="1"/>
  <c r="G416" i="18"/>
  <c r="H408" i="18"/>
  <c r="I408" i="18" s="1"/>
  <c r="J408" i="18" s="1"/>
  <c r="G408" i="18"/>
  <c r="H400" i="18"/>
  <c r="I400" i="18" s="1"/>
  <c r="J400" i="18" s="1"/>
  <c r="G400" i="18"/>
  <c r="H390" i="18"/>
  <c r="I390" i="18" s="1"/>
  <c r="J390" i="18" s="1"/>
  <c r="G390" i="18"/>
  <c r="H374" i="18"/>
  <c r="I374" i="18" s="1"/>
  <c r="J374" i="18" s="1"/>
  <c r="G374" i="18"/>
  <c r="H358" i="18"/>
  <c r="I358" i="18" s="1"/>
  <c r="J358" i="18" s="1"/>
  <c r="G358" i="18"/>
  <c r="H342" i="18"/>
  <c r="I342" i="18" s="1"/>
  <c r="J342" i="18" s="1"/>
  <c r="G342" i="18"/>
  <c r="H326" i="18"/>
  <c r="I326" i="18" s="1"/>
  <c r="J326" i="18" s="1"/>
  <c r="G326" i="18"/>
  <c r="H310" i="18"/>
  <c r="I310" i="18" s="1"/>
  <c r="J310" i="18" s="1"/>
  <c r="G310" i="18"/>
  <c r="H294" i="18"/>
  <c r="I294" i="18" s="1"/>
  <c r="J294" i="18" s="1"/>
  <c r="G294" i="18"/>
  <c r="H278" i="18"/>
  <c r="I278" i="18" s="1"/>
  <c r="J278" i="18" s="1"/>
  <c r="G278" i="18"/>
  <c r="H262" i="18"/>
  <c r="I262" i="18" s="1"/>
  <c r="J262" i="18" s="1"/>
  <c r="G262" i="18"/>
  <c r="H415" i="18"/>
  <c r="I415" i="18" s="1"/>
  <c r="J415" i="18" s="1"/>
  <c r="H391" i="18"/>
  <c r="I391" i="18" s="1"/>
  <c r="J391" i="18" s="1"/>
  <c r="H375" i="18"/>
  <c r="I375" i="18" s="1"/>
  <c r="J375" i="18" s="1"/>
  <c r="H359" i="18"/>
  <c r="I359" i="18" s="1"/>
  <c r="J359" i="18" s="1"/>
  <c r="H343" i="18"/>
  <c r="I343" i="18" s="1"/>
  <c r="J343" i="18" s="1"/>
  <c r="H327" i="18"/>
  <c r="I327" i="18" s="1"/>
  <c r="J327" i="18" s="1"/>
  <c r="G307" i="18"/>
  <c r="H307" i="18"/>
  <c r="I307" i="18" s="1"/>
  <c r="J307" i="18" s="1"/>
  <c r="H36" i="18"/>
  <c r="I36" i="18" s="1"/>
  <c r="J36" i="18" s="1"/>
  <c r="G36" i="18"/>
  <c r="H28" i="18"/>
  <c r="I28" i="18" s="1"/>
  <c r="J28" i="18" s="1"/>
  <c r="G28" i="18"/>
  <c r="G267" i="18"/>
  <c r="H267" i="18"/>
  <c r="I267" i="18" s="1"/>
  <c r="J267" i="18" s="1"/>
  <c r="G33" i="18"/>
  <c r="H33" i="18"/>
  <c r="I33" i="18" s="1"/>
  <c r="J33" i="18" s="1"/>
  <c r="H206" i="18"/>
  <c r="I206" i="18" s="1"/>
  <c r="J206" i="18" s="1"/>
  <c r="G206" i="18"/>
  <c r="H190" i="18"/>
  <c r="I190" i="18" s="1"/>
  <c r="J190" i="18" s="1"/>
  <c r="G190" i="18"/>
  <c r="H174" i="18"/>
  <c r="I174" i="18" s="1"/>
  <c r="J174" i="18" s="1"/>
  <c r="G174" i="18"/>
  <c r="H158" i="18"/>
  <c r="I158" i="18" s="1"/>
  <c r="J158" i="18" s="1"/>
  <c r="G158" i="18"/>
  <c r="H142" i="18"/>
  <c r="I142" i="18" s="1"/>
  <c r="J142" i="18" s="1"/>
  <c r="G142" i="18"/>
  <c r="H126" i="18"/>
  <c r="I126" i="18" s="1"/>
  <c r="J126" i="18" s="1"/>
  <c r="G126" i="18"/>
  <c r="H114" i="18"/>
  <c r="I114" i="18" s="1"/>
  <c r="J114" i="18" s="1"/>
  <c r="G114" i="18"/>
  <c r="H98" i="18"/>
  <c r="I98" i="18" s="1"/>
  <c r="J98" i="18" s="1"/>
  <c r="G98" i="18"/>
  <c r="H82" i="18"/>
  <c r="I82" i="18" s="1"/>
  <c r="J82" i="18" s="1"/>
  <c r="G82" i="18"/>
  <c r="H50" i="18"/>
  <c r="I50" i="18" s="1"/>
  <c r="J50" i="18" s="1"/>
  <c r="G50" i="18"/>
  <c r="H26" i="18"/>
  <c r="I26" i="18" s="1"/>
  <c r="J26" i="18" s="1"/>
  <c r="G26" i="18"/>
  <c r="G211" i="18"/>
  <c r="G203" i="18"/>
  <c r="G115" i="18"/>
  <c r="G83" i="18"/>
  <c r="G63" i="18"/>
  <c r="G43" i="18"/>
  <c r="G187" i="18"/>
  <c r="G167" i="18"/>
  <c r="G151" i="18"/>
  <c r="G135" i="18"/>
  <c r="G119" i="18"/>
  <c r="G27" i="18"/>
  <c r="G95" i="18"/>
  <c r="H175" i="18"/>
  <c r="I175" i="18" s="1"/>
  <c r="J175" i="18" s="1"/>
  <c r="H159" i="18"/>
  <c r="I159" i="18" s="1"/>
  <c r="J159" i="18" s="1"/>
  <c r="H143" i="18"/>
  <c r="I143" i="18" s="1"/>
  <c r="J143" i="18" s="1"/>
  <c r="G123" i="18"/>
  <c r="H22" i="18"/>
  <c r="I22" i="18" s="1"/>
  <c r="J22" i="18" s="1"/>
  <c r="G22" i="18"/>
  <c r="H6" i="18"/>
  <c r="I6" i="18" s="1"/>
  <c r="J6" i="18" s="1"/>
  <c r="G6" i="18"/>
  <c r="G990" i="18"/>
  <c r="H990" i="18"/>
  <c r="I990" i="18" s="1"/>
  <c r="J990" i="18" s="1"/>
  <c r="G958" i="18"/>
  <c r="H958" i="18"/>
  <c r="I958" i="18" s="1"/>
  <c r="J958" i="18" s="1"/>
  <c r="H973" i="18"/>
  <c r="I973" i="18" s="1"/>
  <c r="J973" i="18" s="1"/>
  <c r="G973" i="18"/>
  <c r="G970" i="18"/>
  <c r="H970" i="18"/>
  <c r="I970" i="18" s="1"/>
  <c r="J970" i="18" s="1"/>
  <c r="G922" i="18"/>
  <c r="H922" i="18"/>
  <c r="I922" i="18" s="1"/>
  <c r="J922" i="18" s="1"/>
  <c r="H924" i="18"/>
  <c r="I924" i="18" s="1"/>
  <c r="J924" i="18" s="1"/>
  <c r="G924" i="18"/>
  <c r="G774" i="18"/>
  <c r="H774" i="18"/>
  <c r="I774" i="18" s="1"/>
  <c r="J774" i="18" s="1"/>
  <c r="H837" i="18"/>
  <c r="I837" i="18" s="1"/>
  <c r="J837" i="18" s="1"/>
  <c r="G837" i="18"/>
  <c r="G797" i="18"/>
  <c r="H797" i="18"/>
  <c r="I797" i="18" s="1"/>
  <c r="J797" i="18" s="1"/>
  <c r="H726" i="18"/>
  <c r="I726" i="18" s="1"/>
  <c r="J726" i="18" s="1"/>
  <c r="G726" i="18"/>
  <c r="G718" i="18"/>
  <c r="H718" i="18"/>
  <c r="I718" i="18" s="1"/>
  <c r="J718" i="18" s="1"/>
  <c r="G933" i="18"/>
  <c r="H933" i="18"/>
  <c r="I933" i="18" s="1"/>
  <c r="J933" i="18" s="1"/>
  <c r="G779" i="18"/>
  <c r="H779" i="18"/>
  <c r="I779" i="18" s="1"/>
  <c r="J779" i="18" s="1"/>
  <c r="H766" i="18"/>
  <c r="I766" i="18" s="1"/>
  <c r="J766" i="18" s="1"/>
  <c r="G766" i="18"/>
  <c r="H714" i="18"/>
  <c r="I714" i="18" s="1"/>
  <c r="J714" i="18" s="1"/>
  <c r="G714" i="18"/>
  <c r="G686" i="18"/>
  <c r="H686" i="18"/>
  <c r="I686" i="18" s="1"/>
  <c r="J686" i="18" s="1"/>
  <c r="H657" i="18"/>
  <c r="I657" i="18" s="1"/>
  <c r="J657" i="18" s="1"/>
  <c r="G657" i="18"/>
  <c r="G654" i="18"/>
  <c r="H654" i="18"/>
  <c r="I654" i="18" s="1"/>
  <c r="J654" i="18" s="1"/>
  <c r="H909" i="18"/>
  <c r="I909" i="18" s="1"/>
  <c r="J909" i="18" s="1"/>
  <c r="G909" i="18"/>
  <c r="H893" i="18"/>
  <c r="I893" i="18" s="1"/>
  <c r="J893" i="18" s="1"/>
  <c r="G893" i="18"/>
  <c r="H877" i="18"/>
  <c r="I877" i="18" s="1"/>
  <c r="J877" i="18" s="1"/>
  <c r="G877" i="18"/>
  <c r="H861" i="18"/>
  <c r="I861" i="18" s="1"/>
  <c r="J861" i="18" s="1"/>
  <c r="G861" i="18"/>
  <c r="H845" i="18"/>
  <c r="I845" i="18" s="1"/>
  <c r="J845" i="18" s="1"/>
  <c r="G845" i="18"/>
  <c r="G699" i="18"/>
  <c r="H699" i="18"/>
  <c r="I699" i="18" s="1"/>
  <c r="J699" i="18" s="1"/>
  <c r="H830" i="18"/>
  <c r="I830" i="18" s="1"/>
  <c r="J830" i="18" s="1"/>
  <c r="G830" i="18"/>
  <c r="G715" i="18"/>
  <c r="H715" i="18"/>
  <c r="I715" i="18" s="1"/>
  <c r="J715" i="18" s="1"/>
  <c r="G757" i="18"/>
  <c r="H757" i="18"/>
  <c r="I757" i="18" s="1"/>
  <c r="J757" i="18" s="1"/>
  <c r="G679" i="18"/>
  <c r="H679" i="18"/>
  <c r="I679" i="18" s="1"/>
  <c r="J679" i="18" s="1"/>
  <c r="H541" i="18"/>
  <c r="I541" i="18" s="1"/>
  <c r="J541" i="18" s="1"/>
  <c r="G541" i="18"/>
  <c r="H525" i="18"/>
  <c r="I525" i="18" s="1"/>
  <c r="J525" i="18" s="1"/>
  <c r="G525" i="18"/>
  <c r="H509" i="18"/>
  <c r="I509" i="18" s="1"/>
  <c r="J509" i="18" s="1"/>
  <c r="G509" i="18"/>
  <c r="G930" i="18"/>
  <c r="H930" i="18"/>
  <c r="I930" i="18" s="1"/>
  <c r="J930" i="18" s="1"/>
  <c r="G739" i="18"/>
  <c r="H739" i="18"/>
  <c r="I739" i="18" s="1"/>
  <c r="J739" i="18" s="1"/>
  <c r="H638" i="18"/>
  <c r="I638" i="18" s="1"/>
  <c r="J638" i="18" s="1"/>
  <c r="G590" i="18"/>
  <c r="G811" i="18"/>
  <c r="H811" i="18"/>
  <c r="I811" i="18" s="1"/>
  <c r="J811" i="18" s="1"/>
  <c r="G629" i="18"/>
  <c r="H629" i="18"/>
  <c r="I629" i="18" s="1"/>
  <c r="J629" i="18" s="1"/>
  <c r="G565" i="18"/>
  <c r="H565" i="18"/>
  <c r="I565" i="18" s="1"/>
  <c r="J565" i="18" s="1"/>
  <c r="G489" i="18"/>
  <c r="H489" i="18"/>
  <c r="I489" i="18" s="1"/>
  <c r="J489" i="18" s="1"/>
  <c r="G473" i="18"/>
  <c r="H473" i="18"/>
  <c r="I473" i="18" s="1"/>
  <c r="J473" i="18" s="1"/>
  <c r="G586" i="18"/>
  <c r="H586" i="18"/>
  <c r="I586" i="18" s="1"/>
  <c r="J586" i="18" s="1"/>
  <c r="G538" i="18"/>
  <c r="H538" i="18"/>
  <c r="I538" i="18" s="1"/>
  <c r="J538" i="18" s="1"/>
  <c r="G464" i="18"/>
  <c r="H464" i="18"/>
  <c r="I464" i="18" s="1"/>
  <c r="J464" i="18" s="1"/>
  <c r="G456" i="18"/>
  <c r="H456" i="18"/>
  <c r="I456" i="18" s="1"/>
  <c r="J456" i="18" s="1"/>
  <c r="H403" i="18"/>
  <c r="I403" i="18" s="1"/>
  <c r="J403" i="18" s="1"/>
  <c r="G403" i="18"/>
  <c r="G423" i="18"/>
  <c r="G407" i="18"/>
  <c r="G399" i="18"/>
  <c r="H394" i="18"/>
  <c r="I394" i="18" s="1"/>
  <c r="J394" i="18" s="1"/>
  <c r="G394" i="18"/>
  <c r="H378" i="18"/>
  <c r="I378" i="18" s="1"/>
  <c r="J378" i="18" s="1"/>
  <c r="G378" i="18"/>
  <c r="H362" i="18"/>
  <c r="I362" i="18" s="1"/>
  <c r="J362" i="18" s="1"/>
  <c r="G362" i="18"/>
  <c r="H346" i="18"/>
  <c r="I346" i="18" s="1"/>
  <c r="J346" i="18" s="1"/>
  <c r="G346" i="18"/>
  <c r="H330" i="18"/>
  <c r="I330" i="18" s="1"/>
  <c r="J330" i="18" s="1"/>
  <c r="G330" i="18"/>
  <c r="H322" i="18"/>
  <c r="I322" i="18" s="1"/>
  <c r="J322" i="18" s="1"/>
  <c r="G322" i="18"/>
  <c r="H306" i="18"/>
  <c r="I306" i="18" s="1"/>
  <c r="J306" i="18" s="1"/>
  <c r="G306" i="18"/>
  <c r="H290" i="18"/>
  <c r="I290" i="18" s="1"/>
  <c r="J290" i="18" s="1"/>
  <c r="G290" i="18"/>
  <c r="H274" i="18"/>
  <c r="I274" i="18" s="1"/>
  <c r="J274" i="18" s="1"/>
  <c r="G274" i="18"/>
  <c r="G323" i="18"/>
  <c r="H323" i="18"/>
  <c r="I323" i="18" s="1"/>
  <c r="J323" i="18" s="1"/>
  <c r="G303" i="18"/>
  <c r="H303" i="18"/>
  <c r="I303" i="18" s="1"/>
  <c r="J303" i="18" s="1"/>
  <c r="H413" i="18"/>
  <c r="I413" i="18" s="1"/>
  <c r="J413" i="18" s="1"/>
  <c r="G258" i="18"/>
  <c r="H258" i="18"/>
  <c r="I258" i="18" s="1"/>
  <c r="J258" i="18" s="1"/>
  <c r="G254" i="18"/>
  <c r="H254" i="18"/>
  <c r="I254" i="18" s="1"/>
  <c r="J254" i="18" s="1"/>
  <c r="G250" i="18"/>
  <c r="H250" i="18"/>
  <c r="I250" i="18" s="1"/>
  <c r="J250" i="18" s="1"/>
  <c r="G246" i="18"/>
  <c r="H246" i="18"/>
  <c r="I246" i="18" s="1"/>
  <c r="J246" i="18" s="1"/>
  <c r="G242" i="18"/>
  <c r="H242" i="18"/>
  <c r="I242" i="18" s="1"/>
  <c r="J242" i="18" s="1"/>
  <c r="G238" i="18"/>
  <c r="H238" i="18"/>
  <c r="I238" i="18" s="1"/>
  <c r="J238" i="18" s="1"/>
  <c r="G234" i="18"/>
  <c r="H234" i="18"/>
  <c r="I234" i="18" s="1"/>
  <c r="J234" i="18" s="1"/>
  <c r="G230" i="18"/>
  <c r="H230" i="18"/>
  <c r="I230" i="18" s="1"/>
  <c r="J230" i="18" s="1"/>
  <c r="G226" i="18"/>
  <c r="H226" i="18"/>
  <c r="I226" i="18" s="1"/>
  <c r="J226" i="18" s="1"/>
  <c r="G222" i="18"/>
  <c r="H222" i="18"/>
  <c r="I222" i="18" s="1"/>
  <c r="J222" i="18" s="1"/>
  <c r="G218" i="18"/>
  <c r="H218" i="18"/>
  <c r="I218" i="18" s="1"/>
  <c r="J218" i="18" s="1"/>
  <c r="H44" i="18"/>
  <c r="I44" i="18" s="1"/>
  <c r="J44" i="18" s="1"/>
  <c r="G44" i="18"/>
  <c r="H24" i="18"/>
  <c r="I24" i="18" s="1"/>
  <c r="J24" i="18" s="1"/>
  <c r="G24" i="18"/>
  <c r="G395" i="18"/>
  <c r="G379" i="18"/>
  <c r="G363" i="18"/>
  <c r="G347" i="18"/>
  <c r="G331" i="18"/>
  <c r="G45" i="18"/>
  <c r="H45" i="18"/>
  <c r="I45" i="18" s="1"/>
  <c r="J45" i="18" s="1"/>
  <c r="G29" i="18"/>
  <c r="H29" i="18"/>
  <c r="I29" i="18" s="1"/>
  <c r="J29" i="18" s="1"/>
  <c r="G315" i="18"/>
  <c r="H315" i="18"/>
  <c r="I315" i="18" s="1"/>
  <c r="J315" i="18" s="1"/>
  <c r="G295" i="18"/>
  <c r="H295" i="18"/>
  <c r="I295" i="18" s="1"/>
  <c r="J295" i="18" s="1"/>
  <c r="G287" i="18"/>
  <c r="H287" i="18"/>
  <c r="I287" i="18" s="1"/>
  <c r="J287" i="18" s="1"/>
  <c r="G279" i="18"/>
  <c r="H279" i="18"/>
  <c r="I279" i="18" s="1"/>
  <c r="J279" i="18" s="1"/>
  <c r="G271" i="18"/>
  <c r="H271" i="18"/>
  <c r="I271" i="18" s="1"/>
  <c r="J271" i="18" s="1"/>
  <c r="H210" i="18"/>
  <c r="I210" i="18" s="1"/>
  <c r="J210" i="18" s="1"/>
  <c r="G210" i="18"/>
  <c r="H194" i="18"/>
  <c r="I194" i="18" s="1"/>
  <c r="J194" i="18" s="1"/>
  <c r="G194" i="18"/>
  <c r="H178" i="18"/>
  <c r="I178" i="18" s="1"/>
  <c r="J178" i="18" s="1"/>
  <c r="G178" i="18"/>
  <c r="H162" i="18"/>
  <c r="I162" i="18" s="1"/>
  <c r="J162" i="18" s="1"/>
  <c r="G162" i="18"/>
  <c r="H146" i="18"/>
  <c r="I146" i="18" s="1"/>
  <c r="J146" i="18" s="1"/>
  <c r="G146" i="18"/>
  <c r="H130" i="18"/>
  <c r="I130" i="18" s="1"/>
  <c r="J130" i="18" s="1"/>
  <c r="G130" i="18"/>
  <c r="H102" i="18"/>
  <c r="I102" i="18" s="1"/>
  <c r="J102" i="18" s="1"/>
  <c r="G102" i="18"/>
  <c r="H86" i="18"/>
  <c r="I86" i="18" s="1"/>
  <c r="J86" i="18" s="1"/>
  <c r="G86" i="18"/>
  <c r="H70" i="18"/>
  <c r="I70" i="18" s="1"/>
  <c r="J70" i="18" s="1"/>
  <c r="G70" i="18"/>
  <c r="H54" i="18"/>
  <c r="I54" i="18" s="1"/>
  <c r="J54" i="18" s="1"/>
  <c r="G54" i="18"/>
  <c r="H42" i="18"/>
  <c r="I42" i="18" s="1"/>
  <c r="J42" i="18" s="1"/>
  <c r="G42" i="18"/>
  <c r="G91" i="18"/>
  <c r="G103" i="18"/>
  <c r="G71" i="18"/>
  <c r="G195" i="18"/>
  <c r="G179" i="18"/>
  <c r="G131" i="18"/>
  <c r="H10" i="18"/>
  <c r="I10" i="18" s="1"/>
  <c r="J10" i="18" s="1"/>
  <c r="G10" i="18"/>
  <c r="G954" i="18"/>
  <c r="H954" i="18"/>
  <c r="I954" i="18" s="1"/>
  <c r="J954" i="18" s="1"/>
  <c r="G928" i="18"/>
  <c r="H928" i="18"/>
  <c r="I928" i="18" s="1"/>
  <c r="J928" i="18" s="1"/>
  <c r="G941" i="18"/>
  <c r="H941" i="18"/>
  <c r="I941" i="18" s="1"/>
  <c r="J941" i="18" s="1"/>
  <c r="G982" i="18"/>
  <c r="H982" i="18"/>
  <c r="I982" i="18" s="1"/>
  <c r="J982" i="18" s="1"/>
  <c r="H969" i="18"/>
  <c r="I969" i="18" s="1"/>
  <c r="J969" i="18" s="1"/>
  <c r="G969" i="18"/>
  <c r="H814" i="18"/>
  <c r="I814" i="18" s="1"/>
  <c r="J814" i="18" s="1"/>
  <c r="G814" i="18"/>
  <c r="G917" i="18"/>
  <c r="H917" i="18"/>
  <c r="I917" i="18" s="1"/>
  <c r="J917" i="18" s="1"/>
  <c r="H901" i="18"/>
  <c r="I901" i="18" s="1"/>
  <c r="J901" i="18" s="1"/>
  <c r="G901" i="18"/>
  <c r="H885" i="18"/>
  <c r="I885" i="18" s="1"/>
  <c r="J885" i="18" s="1"/>
  <c r="G885" i="18"/>
  <c r="H869" i="18"/>
  <c r="I869" i="18" s="1"/>
  <c r="J869" i="18" s="1"/>
  <c r="G869" i="18"/>
  <c r="H853" i="18"/>
  <c r="I853" i="18" s="1"/>
  <c r="J853" i="18" s="1"/>
  <c r="G853" i="18"/>
  <c r="G742" i="18"/>
  <c r="H742" i="18"/>
  <c r="I742" i="18" s="1"/>
  <c r="J742" i="18" s="1"/>
  <c r="G986" i="18"/>
  <c r="H986" i="18"/>
  <c r="I986" i="18" s="1"/>
  <c r="J986" i="18" s="1"/>
  <c r="H961" i="18"/>
  <c r="I961" i="18" s="1"/>
  <c r="J961" i="18" s="1"/>
  <c r="G961" i="18"/>
  <c r="H810" i="18"/>
  <c r="I810" i="18" s="1"/>
  <c r="J810" i="18" s="1"/>
  <c r="G810" i="18"/>
  <c r="H790" i="18"/>
  <c r="I790" i="18" s="1"/>
  <c r="J790" i="18" s="1"/>
  <c r="G790" i="18"/>
  <c r="H746" i="18"/>
  <c r="I746" i="18" s="1"/>
  <c r="J746" i="18" s="1"/>
  <c r="G746" i="18"/>
  <c r="G673" i="18"/>
  <c r="H673" i="18"/>
  <c r="I673" i="18" s="1"/>
  <c r="J673" i="18" s="1"/>
  <c r="H697" i="18"/>
  <c r="I697" i="18" s="1"/>
  <c r="J697" i="18" s="1"/>
  <c r="G697" i="18"/>
  <c r="G803" i="18"/>
  <c r="H803" i="18"/>
  <c r="I803" i="18" s="1"/>
  <c r="J803" i="18" s="1"/>
  <c r="H738" i="18"/>
  <c r="I738" i="18" s="1"/>
  <c r="J738" i="18" s="1"/>
  <c r="G738" i="18"/>
  <c r="G655" i="18"/>
  <c r="G771" i="18"/>
  <c r="H771" i="18"/>
  <c r="I771" i="18" s="1"/>
  <c r="J771" i="18" s="1"/>
  <c r="H802" i="18"/>
  <c r="I802" i="18" s="1"/>
  <c r="J802" i="18" s="1"/>
  <c r="G802" i="18"/>
  <c r="H653" i="18"/>
  <c r="I653" i="18" s="1"/>
  <c r="J653" i="18" s="1"/>
  <c r="H624" i="18"/>
  <c r="I624" i="18" s="1"/>
  <c r="J624" i="18" s="1"/>
  <c r="G624" i="18"/>
  <c r="G621" i="18"/>
  <c r="H621" i="18"/>
  <c r="I621" i="18" s="1"/>
  <c r="J621" i="18" s="1"/>
  <c r="G600" i="18"/>
  <c r="H600" i="18"/>
  <c r="I600" i="18" s="1"/>
  <c r="J600" i="18" s="1"/>
  <c r="H588" i="18"/>
  <c r="I588" i="18" s="1"/>
  <c r="J588" i="18" s="1"/>
  <c r="H616" i="18"/>
  <c r="I616" i="18" s="1"/>
  <c r="J616" i="18" s="1"/>
  <c r="G616" i="18"/>
  <c r="H576" i="18"/>
  <c r="I576" i="18" s="1"/>
  <c r="J576" i="18" s="1"/>
  <c r="G576" i="18"/>
  <c r="H636" i="18"/>
  <c r="I636" i="18" s="1"/>
  <c r="J636" i="18" s="1"/>
  <c r="G636" i="18"/>
  <c r="G630" i="18"/>
  <c r="H630" i="18"/>
  <c r="I630" i="18" s="1"/>
  <c r="J630" i="18" s="1"/>
  <c r="H596" i="18"/>
  <c r="I596" i="18" s="1"/>
  <c r="J596" i="18" s="1"/>
  <c r="G596" i="18"/>
  <c r="G566" i="18"/>
  <c r="H566" i="18"/>
  <c r="I566" i="18" s="1"/>
  <c r="J566" i="18" s="1"/>
  <c r="H485" i="18"/>
  <c r="I485" i="18" s="1"/>
  <c r="J485" i="18" s="1"/>
  <c r="G485" i="18"/>
  <c r="H469" i="18"/>
  <c r="I469" i="18" s="1"/>
  <c r="J469" i="18" s="1"/>
  <c r="G469" i="18"/>
  <c r="G618" i="18"/>
  <c r="H618" i="18"/>
  <c r="I618" i="18" s="1"/>
  <c r="J618" i="18" s="1"/>
  <c r="G546" i="18"/>
  <c r="H546" i="18"/>
  <c r="I546" i="18" s="1"/>
  <c r="J546" i="18" s="1"/>
  <c r="G514" i="18"/>
  <c r="H514" i="18"/>
  <c r="I514" i="18" s="1"/>
  <c r="J514" i="18" s="1"/>
  <c r="G498" i="18"/>
  <c r="H498" i="18"/>
  <c r="I498" i="18" s="1"/>
  <c r="J498" i="18" s="1"/>
  <c r="G462" i="18"/>
  <c r="H462" i="18"/>
  <c r="I462" i="18" s="1"/>
  <c r="J462" i="18" s="1"/>
  <c r="G429" i="18"/>
  <c r="H429" i="18"/>
  <c r="I429" i="18" s="1"/>
  <c r="J429" i="18" s="1"/>
  <c r="H411" i="18"/>
  <c r="I411" i="18" s="1"/>
  <c r="J411" i="18" s="1"/>
  <c r="G411" i="18"/>
  <c r="H440" i="18"/>
  <c r="I440" i="18" s="1"/>
  <c r="J440" i="18" s="1"/>
  <c r="G440" i="18"/>
  <c r="G437" i="18"/>
  <c r="H437" i="18"/>
  <c r="I437" i="18" s="1"/>
  <c r="J437" i="18" s="1"/>
  <c r="H428" i="18"/>
  <c r="I428" i="18" s="1"/>
  <c r="J428" i="18" s="1"/>
  <c r="H398" i="18"/>
  <c r="I398" i="18" s="1"/>
  <c r="J398" i="18" s="1"/>
  <c r="G398" i="18"/>
  <c r="H382" i="18"/>
  <c r="I382" i="18" s="1"/>
  <c r="J382" i="18" s="1"/>
  <c r="G382" i="18"/>
  <c r="H366" i="18"/>
  <c r="I366" i="18" s="1"/>
  <c r="J366" i="18" s="1"/>
  <c r="G366" i="18"/>
  <c r="H350" i="18"/>
  <c r="I350" i="18" s="1"/>
  <c r="J350" i="18" s="1"/>
  <c r="G350" i="18"/>
  <c r="H334" i="18"/>
  <c r="I334" i="18" s="1"/>
  <c r="J334" i="18" s="1"/>
  <c r="G334" i="18"/>
  <c r="H318" i="18"/>
  <c r="I318" i="18" s="1"/>
  <c r="J318" i="18" s="1"/>
  <c r="G318" i="18"/>
  <c r="H302" i="18"/>
  <c r="I302" i="18" s="1"/>
  <c r="J302" i="18" s="1"/>
  <c r="G302" i="18"/>
  <c r="H286" i="18"/>
  <c r="I286" i="18" s="1"/>
  <c r="J286" i="18" s="1"/>
  <c r="G286" i="18"/>
  <c r="H270" i="18"/>
  <c r="I270" i="18" s="1"/>
  <c r="J270" i="18" s="1"/>
  <c r="G270" i="18"/>
  <c r="G263" i="18"/>
  <c r="H263" i="18"/>
  <c r="I263" i="18" s="1"/>
  <c r="J263" i="18" s="1"/>
  <c r="H40" i="18"/>
  <c r="I40" i="18" s="1"/>
  <c r="J40" i="18" s="1"/>
  <c r="G40" i="18"/>
  <c r="H32" i="18"/>
  <c r="I32" i="18" s="1"/>
  <c r="J32" i="18" s="1"/>
  <c r="G32" i="18"/>
  <c r="G311" i="18"/>
  <c r="H311" i="18"/>
  <c r="I311" i="18" s="1"/>
  <c r="J311" i="18" s="1"/>
  <c r="G41" i="18"/>
  <c r="H41" i="18"/>
  <c r="I41" i="18" s="1"/>
  <c r="J41" i="18" s="1"/>
  <c r="G25" i="18"/>
  <c r="H25" i="18"/>
  <c r="I25" i="18" s="1"/>
  <c r="J25" i="18" s="1"/>
  <c r="H214" i="18"/>
  <c r="I214" i="18" s="1"/>
  <c r="J214" i="18" s="1"/>
  <c r="G214" i="18"/>
  <c r="H198" i="18"/>
  <c r="I198" i="18" s="1"/>
  <c r="J198" i="18" s="1"/>
  <c r="G198" i="18"/>
  <c r="H182" i="18"/>
  <c r="I182" i="18" s="1"/>
  <c r="J182" i="18" s="1"/>
  <c r="G182" i="18"/>
  <c r="H166" i="18"/>
  <c r="I166" i="18" s="1"/>
  <c r="J166" i="18" s="1"/>
  <c r="G166" i="18"/>
  <c r="H150" i="18"/>
  <c r="I150" i="18" s="1"/>
  <c r="J150" i="18" s="1"/>
  <c r="G150" i="18"/>
  <c r="H134" i="18"/>
  <c r="I134" i="18" s="1"/>
  <c r="J134" i="18" s="1"/>
  <c r="G134" i="18"/>
  <c r="H106" i="18"/>
  <c r="I106" i="18" s="1"/>
  <c r="J106" i="18" s="1"/>
  <c r="G106" i="18"/>
  <c r="H90" i="18"/>
  <c r="I90" i="18" s="1"/>
  <c r="J90" i="18" s="1"/>
  <c r="G90" i="18"/>
  <c r="H74" i="18"/>
  <c r="I74" i="18" s="1"/>
  <c r="J74" i="18" s="1"/>
  <c r="G74" i="18"/>
  <c r="H58" i="18"/>
  <c r="I58" i="18" s="1"/>
  <c r="J58" i="18" s="1"/>
  <c r="G58" i="18"/>
  <c r="G207" i="18"/>
  <c r="G99" i="18"/>
  <c r="G67" i="18"/>
  <c r="G127" i="18"/>
  <c r="G191" i="18"/>
  <c r="G51" i="18"/>
  <c r="H14" i="18"/>
  <c r="I14" i="18" s="1"/>
  <c r="J14" i="18" s="1"/>
  <c r="G14" i="18"/>
  <c r="G7" i="18"/>
  <c r="G966" i="18"/>
  <c r="H966" i="18"/>
  <c r="I966" i="18" s="1"/>
  <c r="J966" i="18" s="1"/>
  <c r="G994" i="18"/>
  <c r="H994" i="18"/>
  <c r="I994" i="18" s="1"/>
  <c r="J994" i="18" s="1"/>
  <c r="H977" i="18"/>
  <c r="I977" i="18" s="1"/>
  <c r="J977" i="18" s="1"/>
  <c r="G977" i="18"/>
  <c r="G925" i="18"/>
  <c r="H925" i="18"/>
  <c r="I925" i="18" s="1"/>
  <c r="J925" i="18" s="1"/>
  <c r="H782" i="18"/>
  <c r="I782" i="18" s="1"/>
  <c r="J782" i="18" s="1"/>
  <c r="G782" i="18"/>
  <c r="H710" i="18"/>
  <c r="I710" i="18" s="1"/>
  <c r="J710" i="18" s="1"/>
  <c r="G710" i="18"/>
  <c r="G829" i="18"/>
  <c r="H829" i="18"/>
  <c r="I829" i="18" s="1"/>
  <c r="J829" i="18" s="1"/>
  <c r="G765" i="18"/>
  <c r="H765" i="18"/>
  <c r="I765" i="18" s="1"/>
  <c r="J765" i="18" s="1"/>
  <c r="G835" i="18"/>
  <c r="H835" i="18"/>
  <c r="I835" i="18" s="1"/>
  <c r="J835" i="18" s="1"/>
  <c r="H770" i="18"/>
  <c r="I770" i="18" s="1"/>
  <c r="J770" i="18" s="1"/>
  <c r="G770" i="18"/>
  <c r="G734" i="18"/>
  <c r="H734" i="18"/>
  <c r="I734" i="18" s="1"/>
  <c r="J734" i="18" s="1"/>
  <c r="G691" i="18"/>
  <c r="H691" i="18"/>
  <c r="I691" i="18" s="1"/>
  <c r="J691" i="18" s="1"/>
  <c r="G702" i="18"/>
  <c r="H702" i="18"/>
  <c r="I702" i="18" s="1"/>
  <c r="J702" i="18" s="1"/>
  <c r="G678" i="18"/>
  <c r="H678" i="18"/>
  <c r="I678" i="18" s="1"/>
  <c r="J678" i="18" s="1"/>
  <c r="G671" i="18"/>
  <c r="H671" i="18"/>
  <c r="I671" i="18" s="1"/>
  <c r="J671" i="18" s="1"/>
  <c r="H834" i="18"/>
  <c r="I834" i="18" s="1"/>
  <c r="J834" i="18" s="1"/>
  <c r="G834" i="18"/>
  <c r="H665" i="18"/>
  <c r="I665" i="18" s="1"/>
  <c r="J665" i="18" s="1"/>
  <c r="G665" i="18"/>
  <c r="G701" i="18"/>
  <c r="H701" i="18"/>
  <c r="I701" i="18" s="1"/>
  <c r="J701" i="18" s="1"/>
  <c r="G681" i="18"/>
  <c r="H681" i="18"/>
  <c r="I681" i="18" s="1"/>
  <c r="J681" i="18" s="1"/>
  <c r="H669" i="18"/>
  <c r="I669" i="18" s="1"/>
  <c r="J669" i="18" s="1"/>
  <c r="G669" i="18"/>
  <c r="H592" i="18"/>
  <c r="I592" i="18" s="1"/>
  <c r="J592" i="18" s="1"/>
  <c r="G592" i="18"/>
  <c r="G589" i="18"/>
  <c r="H589" i="18"/>
  <c r="I589" i="18" s="1"/>
  <c r="J589" i="18" s="1"/>
  <c r="H549" i="18"/>
  <c r="I549" i="18" s="1"/>
  <c r="J549" i="18" s="1"/>
  <c r="G549" i="18"/>
  <c r="H533" i="18"/>
  <c r="I533" i="18" s="1"/>
  <c r="J533" i="18" s="1"/>
  <c r="G533" i="18"/>
  <c r="H517" i="18"/>
  <c r="I517" i="18" s="1"/>
  <c r="J517" i="18" s="1"/>
  <c r="G517" i="18"/>
  <c r="H501" i="18"/>
  <c r="I501" i="18" s="1"/>
  <c r="J501" i="18" s="1"/>
  <c r="G501" i="18"/>
  <c r="G558" i="18"/>
  <c r="G731" i="18"/>
  <c r="H731" i="18"/>
  <c r="I731" i="18" s="1"/>
  <c r="J731" i="18" s="1"/>
  <c r="G597" i="18"/>
  <c r="H597" i="18"/>
  <c r="I597" i="18" s="1"/>
  <c r="J597" i="18" s="1"/>
  <c r="G481" i="18"/>
  <c r="H481" i="18"/>
  <c r="I481" i="18" s="1"/>
  <c r="J481" i="18" s="1"/>
  <c r="G578" i="18"/>
  <c r="H578" i="18"/>
  <c r="I578" i="18" s="1"/>
  <c r="J578" i="18" s="1"/>
  <c r="G573" i="18"/>
  <c r="H573" i="18"/>
  <c r="I573" i="18" s="1"/>
  <c r="J573" i="18" s="1"/>
  <c r="G522" i="18"/>
  <c r="H522" i="18"/>
  <c r="I522" i="18" s="1"/>
  <c r="J522" i="18" s="1"/>
  <c r="H432" i="18"/>
  <c r="I432" i="18" s="1"/>
  <c r="J432" i="18" s="1"/>
  <c r="G432" i="18"/>
  <c r="H419" i="18"/>
  <c r="I419" i="18" s="1"/>
  <c r="J419" i="18" s="1"/>
  <c r="G419" i="18"/>
  <c r="H453" i="18"/>
  <c r="I453" i="18" s="1"/>
  <c r="J453" i="18" s="1"/>
  <c r="G453" i="18"/>
  <c r="H386" i="18"/>
  <c r="I386" i="18" s="1"/>
  <c r="J386" i="18" s="1"/>
  <c r="G386" i="18"/>
  <c r="H370" i="18"/>
  <c r="I370" i="18" s="1"/>
  <c r="J370" i="18" s="1"/>
  <c r="G370" i="18"/>
  <c r="H354" i="18"/>
  <c r="I354" i="18" s="1"/>
  <c r="J354" i="18" s="1"/>
  <c r="G354" i="18"/>
  <c r="H338" i="18"/>
  <c r="I338" i="18" s="1"/>
  <c r="J338" i="18" s="1"/>
  <c r="G338" i="18"/>
  <c r="H314" i="18"/>
  <c r="I314" i="18" s="1"/>
  <c r="J314" i="18" s="1"/>
  <c r="G314" i="18"/>
  <c r="H298" i="18"/>
  <c r="I298" i="18" s="1"/>
  <c r="J298" i="18" s="1"/>
  <c r="G298" i="18"/>
  <c r="H282" i="18"/>
  <c r="I282" i="18" s="1"/>
  <c r="J282" i="18" s="1"/>
  <c r="G282" i="18"/>
  <c r="H266" i="18"/>
  <c r="I266" i="18" s="1"/>
  <c r="J266" i="18" s="1"/>
  <c r="G266" i="18"/>
  <c r="G319" i="18"/>
  <c r="H319" i="18"/>
  <c r="I319" i="18" s="1"/>
  <c r="J319" i="18" s="1"/>
  <c r="G37" i="18"/>
  <c r="H37" i="18"/>
  <c r="I37" i="18" s="1"/>
  <c r="J37" i="18" s="1"/>
  <c r="G299" i="18"/>
  <c r="H299" i="18"/>
  <c r="I299" i="18" s="1"/>
  <c r="J299" i="18" s="1"/>
  <c r="G291" i="18"/>
  <c r="H291" i="18"/>
  <c r="I291" i="18" s="1"/>
  <c r="J291" i="18" s="1"/>
  <c r="G283" i="18"/>
  <c r="H283" i="18"/>
  <c r="I283" i="18" s="1"/>
  <c r="J283" i="18" s="1"/>
  <c r="G275" i="18"/>
  <c r="H275" i="18"/>
  <c r="I275" i="18" s="1"/>
  <c r="J275" i="18" s="1"/>
  <c r="H202" i="18"/>
  <c r="I202" i="18" s="1"/>
  <c r="J202" i="18" s="1"/>
  <c r="G202" i="18"/>
  <c r="H186" i="18"/>
  <c r="I186" i="18" s="1"/>
  <c r="J186" i="18" s="1"/>
  <c r="G186" i="18"/>
  <c r="H170" i="18"/>
  <c r="I170" i="18" s="1"/>
  <c r="J170" i="18" s="1"/>
  <c r="G170" i="18"/>
  <c r="H154" i="18"/>
  <c r="I154" i="18" s="1"/>
  <c r="J154" i="18" s="1"/>
  <c r="G154" i="18"/>
  <c r="H138" i="18"/>
  <c r="I138" i="18" s="1"/>
  <c r="J138" i="18" s="1"/>
  <c r="G138" i="18"/>
  <c r="H122" i="18"/>
  <c r="I122" i="18" s="1"/>
  <c r="J122" i="18" s="1"/>
  <c r="G122" i="18"/>
  <c r="H110" i="18"/>
  <c r="I110" i="18" s="1"/>
  <c r="J110" i="18" s="1"/>
  <c r="G110" i="18"/>
  <c r="H94" i="18"/>
  <c r="I94" i="18" s="1"/>
  <c r="J94" i="18" s="1"/>
  <c r="G94" i="18"/>
  <c r="H78" i="18"/>
  <c r="I78" i="18" s="1"/>
  <c r="J78" i="18" s="1"/>
  <c r="G78" i="18"/>
  <c r="H62" i="18"/>
  <c r="I62" i="18" s="1"/>
  <c r="J62" i="18" s="1"/>
  <c r="G62" i="18"/>
  <c r="H46" i="18"/>
  <c r="I46" i="18" s="1"/>
  <c r="J46" i="18" s="1"/>
  <c r="G46" i="18"/>
  <c r="H18" i="18"/>
  <c r="I18" i="18" s="1"/>
  <c r="J18" i="18" s="1"/>
  <c r="G18" i="18"/>
  <c r="H2" i="18"/>
  <c r="I2" i="18" s="1"/>
  <c r="J2" i="18" s="1"/>
  <c r="G2" i="18"/>
  <c r="G996" i="16"/>
  <c r="G980" i="16"/>
  <c r="G964" i="16"/>
  <c r="G935" i="16"/>
  <c r="H935" i="16"/>
  <c r="I935" i="16" s="1"/>
  <c r="G922" i="16"/>
  <c r="H922" i="16"/>
  <c r="I922" i="16" s="1"/>
  <c r="G978" i="16"/>
  <c r="G910" i="16"/>
  <c r="H910" i="16"/>
  <c r="I910" i="16" s="1"/>
  <c r="G894" i="16"/>
  <c r="H894" i="16"/>
  <c r="I894" i="16" s="1"/>
  <c r="G878" i="16"/>
  <c r="H878" i="16"/>
  <c r="I878" i="16" s="1"/>
  <c r="G876" i="16"/>
  <c r="H876" i="16"/>
  <c r="I876" i="16" s="1"/>
  <c r="H859" i="16"/>
  <c r="I859" i="16" s="1"/>
  <c r="G859" i="16"/>
  <c r="H827" i="16"/>
  <c r="I827" i="16" s="1"/>
  <c r="G827" i="16"/>
  <c r="H819" i="16"/>
  <c r="I819" i="16" s="1"/>
  <c r="G819" i="16"/>
  <c r="H855" i="16"/>
  <c r="I855" i="16" s="1"/>
  <c r="H791" i="16"/>
  <c r="I791" i="16" s="1"/>
  <c r="G791" i="16"/>
  <c r="H851" i="16"/>
  <c r="I851" i="16" s="1"/>
  <c r="G851" i="16"/>
  <c r="H811" i="16"/>
  <c r="I811" i="16" s="1"/>
  <c r="G811" i="16"/>
  <c r="G788" i="16"/>
  <c r="H788" i="16"/>
  <c r="I788" i="16" s="1"/>
  <c r="G784" i="16"/>
  <c r="H784" i="16"/>
  <c r="I784" i="16" s="1"/>
  <c r="G777" i="16"/>
  <c r="H777" i="16"/>
  <c r="I777" i="16" s="1"/>
  <c r="G761" i="16"/>
  <c r="H761" i="16"/>
  <c r="I761" i="16" s="1"/>
  <c r="G745" i="16"/>
  <c r="H745" i="16"/>
  <c r="I745" i="16" s="1"/>
  <c r="H847" i="16"/>
  <c r="I847" i="16" s="1"/>
  <c r="G773" i="16"/>
  <c r="H773" i="16"/>
  <c r="I773" i="16" s="1"/>
  <c r="G757" i="16"/>
  <c r="H757" i="16"/>
  <c r="I757" i="16" s="1"/>
  <c r="G765" i="16"/>
  <c r="H765" i="16"/>
  <c r="I765" i="16" s="1"/>
  <c r="H799" i="16"/>
  <c r="I799" i="16" s="1"/>
  <c r="G799" i="16"/>
  <c r="G741" i="16"/>
  <c r="H741" i="16"/>
  <c r="I741" i="16" s="1"/>
  <c r="G408" i="16"/>
  <c r="H408" i="16"/>
  <c r="I408" i="16" s="1"/>
  <c r="G596" i="16"/>
  <c r="H596" i="16"/>
  <c r="I596" i="16" s="1"/>
  <c r="G578" i="16"/>
  <c r="H578" i="16"/>
  <c r="I578" i="16" s="1"/>
  <c r="G558" i="16"/>
  <c r="H558" i="16"/>
  <c r="I558" i="16" s="1"/>
  <c r="G532" i="16"/>
  <c r="H532" i="16"/>
  <c r="I532" i="16" s="1"/>
  <c r="G514" i="16"/>
  <c r="H514" i="16"/>
  <c r="I514" i="16" s="1"/>
  <c r="G494" i="16"/>
  <c r="H494" i="16"/>
  <c r="I494" i="16" s="1"/>
  <c r="G468" i="16"/>
  <c r="H468" i="16"/>
  <c r="I468" i="16" s="1"/>
  <c r="G452" i="16"/>
  <c r="H452" i="16"/>
  <c r="I452" i="16" s="1"/>
  <c r="G436" i="16"/>
  <c r="H436" i="16"/>
  <c r="I436" i="16" s="1"/>
  <c r="H719" i="16"/>
  <c r="I719" i="16" s="1"/>
  <c r="G719" i="16"/>
  <c r="H675" i="16"/>
  <c r="I675" i="16" s="1"/>
  <c r="G675" i="16"/>
  <c r="H627" i="16"/>
  <c r="I627" i="16" s="1"/>
  <c r="G627" i="16"/>
  <c r="G753" i="16"/>
  <c r="H753" i="16"/>
  <c r="I753" i="16" s="1"/>
  <c r="G738" i="16"/>
  <c r="H738" i="16"/>
  <c r="I738" i="16" s="1"/>
  <c r="G727" i="16"/>
  <c r="H727" i="16"/>
  <c r="I727" i="16" s="1"/>
  <c r="G403" i="16"/>
  <c r="H403" i="16"/>
  <c r="I403" i="16" s="1"/>
  <c r="H390" i="16"/>
  <c r="I390" i="16" s="1"/>
  <c r="G510" i="16"/>
  <c r="H510" i="16"/>
  <c r="I510" i="16" s="1"/>
  <c r="H398" i="16"/>
  <c r="I398" i="16" s="1"/>
  <c r="G347" i="16"/>
  <c r="H347" i="16"/>
  <c r="I347" i="16" s="1"/>
  <c r="H378" i="16"/>
  <c r="I378" i="16" s="1"/>
  <c r="G378" i="16"/>
  <c r="H346" i="16"/>
  <c r="I346" i="16" s="1"/>
  <c r="G346" i="16"/>
  <c r="G1001" i="16"/>
  <c r="H1001" i="16"/>
  <c r="I1001" i="16" s="1"/>
  <c r="G993" i="16"/>
  <c r="H993" i="16"/>
  <c r="I993" i="16" s="1"/>
  <c r="G985" i="16"/>
  <c r="H985" i="16"/>
  <c r="I985" i="16" s="1"/>
  <c r="G977" i="16"/>
  <c r="H977" i="16"/>
  <c r="I977" i="16" s="1"/>
  <c r="G969" i="16"/>
  <c r="H969" i="16"/>
  <c r="I969" i="16" s="1"/>
  <c r="G961" i="16"/>
  <c r="H961" i="16"/>
  <c r="I961" i="16" s="1"/>
  <c r="G953" i="16"/>
  <c r="H953" i="16"/>
  <c r="I953" i="16" s="1"/>
  <c r="G947" i="16"/>
  <c r="H947" i="16"/>
  <c r="I947" i="16" s="1"/>
  <c r="G916" i="16"/>
  <c r="H916" i="16"/>
  <c r="I916" i="16" s="1"/>
  <c r="G900" i="16"/>
  <c r="H900" i="16"/>
  <c r="I900" i="16" s="1"/>
  <c r="G884" i="16"/>
  <c r="H884" i="16"/>
  <c r="I884" i="16" s="1"/>
  <c r="G864" i="16"/>
  <c r="H864" i="16"/>
  <c r="I864" i="16" s="1"/>
  <c r="H787" i="16"/>
  <c r="I787" i="16" s="1"/>
  <c r="G787" i="16"/>
  <c r="G970" i="16"/>
  <c r="H970" i="16"/>
  <c r="I970" i="16" s="1"/>
  <c r="G852" i="16"/>
  <c r="H852" i="16"/>
  <c r="I852" i="16" s="1"/>
  <c r="H839" i="16"/>
  <c r="I839" i="16" s="1"/>
  <c r="G921" i="16"/>
  <c r="H921" i="16"/>
  <c r="I921" i="16" s="1"/>
  <c r="G737" i="16"/>
  <c r="H737" i="16"/>
  <c r="I737" i="16" s="1"/>
  <c r="G828" i="16"/>
  <c r="H828" i="16"/>
  <c r="I828" i="16" s="1"/>
  <c r="G750" i="16"/>
  <c r="H750" i="16"/>
  <c r="I750" i="16" s="1"/>
  <c r="G945" i="16"/>
  <c r="H945" i="16"/>
  <c r="I945" i="16" s="1"/>
  <c r="H651" i="16"/>
  <c r="I651" i="16" s="1"/>
  <c r="G651" i="16"/>
  <c r="G616" i="16"/>
  <c r="H616" i="16"/>
  <c r="I616" i="16" s="1"/>
  <c r="G600" i="16"/>
  <c r="H600" i="16"/>
  <c r="I600" i="16" s="1"/>
  <c r="G584" i="16"/>
  <c r="H584" i="16"/>
  <c r="I584" i="16" s="1"/>
  <c r="G568" i="16"/>
  <c r="H568" i="16"/>
  <c r="I568" i="16" s="1"/>
  <c r="G552" i="16"/>
  <c r="H552" i="16"/>
  <c r="I552" i="16" s="1"/>
  <c r="G536" i="16"/>
  <c r="H536" i="16"/>
  <c r="I536" i="16" s="1"/>
  <c r="G520" i="16"/>
  <c r="H520" i="16"/>
  <c r="I520" i="16" s="1"/>
  <c r="G504" i="16"/>
  <c r="H504" i="16"/>
  <c r="I504" i="16" s="1"/>
  <c r="G488" i="16"/>
  <c r="H488" i="16"/>
  <c r="I488" i="16" s="1"/>
  <c r="G472" i="16"/>
  <c r="H472" i="16"/>
  <c r="I472" i="16" s="1"/>
  <c r="H671" i="16"/>
  <c r="I671" i="16" s="1"/>
  <c r="G671" i="16"/>
  <c r="G618" i="16"/>
  <c r="H618" i="16"/>
  <c r="I618" i="16" s="1"/>
  <c r="G598" i="16"/>
  <c r="H598" i="16"/>
  <c r="I598" i="16" s="1"/>
  <c r="G572" i="16"/>
  <c r="H572" i="16"/>
  <c r="I572" i="16" s="1"/>
  <c r="G554" i="16"/>
  <c r="H554" i="16"/>
  <c r="I554" i="16" s="1"/>
  <c r="G534" i="16"/>
  <c r="H534" i="16"/>
  <c r="I534" i="16" s="1"/>
  <c r="G508" i="16"/>
  <c r="H508" i="16"/>
  <c r="I508" i="16" s="1"/>
  <c r="G490" i="16"/>
  <c r="H490" i="16"/>
  <c r="I490" i="16" s="1"/>
  <c r="G470" i="16"/>
  <c r="H470" i="16"/>
  <c r="I470" i="16" s="1"/>
  <c r="G458" i="16"/>
  <c r="H458" i="16"/>
  <c r="I458" i="16" s="1"/>
  <c r="G442" i="16"/>
  <c r="H442" i="16"/>
  <c r="I442" i="16" s="1"/>
  <c r="G426" i="16"/>
  <c r="H426" i="16"/>
  <c r="I426" i="16" s="1"/>
  <c r="G931" i="16"/>
  <c r="H931" i="16"/>
  <c r="I931" i="16" s="1"/>
  <c r="H703" i="16"/>
  <c r="I703" i="16" s="1"/>
  <c r="G703" i="16"/>
  <c r="H807" i="16"/>
  <c r="I807" i="16" s="1"/>
  <c r="G807" i="16"/>
  <c r="G730" i="16"/>
  <c r="H730" i="16"/>
  <c r="I730" i="16" s="1"/>
  <c r="H691" i="16"/>
  <c r="I691" i="16" s="1"/>
  <c r="G691" i="16"/>
  <c r="H667" i="16"/>
  <c r="I667" i="16" s="1"/>
  <c r="G667" i="16"/>
  <c r="G620" i="16"/>
  <c r="H620" i="16"/>
  <c r="I620" i="16" s="1"/>
  <c r="G602" i="16"/>
  <c r="H602" i="16"/>
  <c r="I602" i="16" s="1"/>
  <c r="G582" i="16"/>
  <c r="H582" i="16"/>
  <c r="I582" i="16" s="1"/>
  <c r="G556" i="16"/>
  <c r="H556" i="16"/>
  <c r="I556" i="16" s="1"/>
  <c r="G538" i="16"/>
  <c r="H538" i="16"/>
  <c r="I538" i="16" s="1"/>
  <c r="G518" i="16"/>
  <c r="H518" i="16"/>
  <c r="I518" i="16" s="1"/>
  <c r="G492" i="16"/>
  <c r="H492" i="16"/>
  <c r="I492" i="16" s="1"/>
  <c r="G474" i="16"/>
  <c r="H474" i="16"/>
  <c r="I474" i="16" s="1"/>
  <c r="G454" i="16"/>
  <c r="H454" i="16"/>
  <c r="I454" i="16" s="1"/>
  <c r="G438" i="16"/>
  <c r="H438" i="16"/>
  <c r="I438" i="16" s="1"/>
  <c r="G422" i="16"/>
  <c r="H422" i="16"/>
  <c r="I422" i="16" s="1"/>
  <c r="G612" i="16"/>
  <c r="H612" i="16"/>
  <c r="I612" i="16" s="1"/>
  <c r="G594" i="16"/>
  <c r="H594" i="16"/>
  <c r="I594" i="16" s="1"/>
  <c r="G574" i="16"/>
  <c r="H574" i="16"/>
  <c r="I574" i="16" s="1"/>
  <c r="G548" i="16"/>
  <c r="H548" i="16"/>
  <c r="I548" i="16" s="1"/>
  <c r="G498" i="16"/>
  <c r="H498" i="16"/>
  <c r="I498" i="16" s="1"/>
  <c r="G387" i="16"/>
  <c r="H387" i="16"/>
  <c r="I387" i="16" s="1"/>
  <c r="H374" i="16"/>
  <c r="I374" i="16" s="1"/>
  <c r="H2" i="16"/>
  <c r="I2" i="16" s="1"/>
  <c r="H386" i="16"/>
  <c r="I386" i="16" s="1"/>
  <c r="G386" i="16"/>
  <c r="H354" i="16"/>
  <c r="I354" i="16" s="1"/>
  <c r="G354" i="16"/>
  <c r="G395" i="16"/>
  <c r="H395" i="16"/>
  <c r="I395" i="16" s="1"/>
  <c r="H382" i="16"/>
  <c r="I382" i="16" s="1"/>
  <c r="G516" i="16"/>
  <c r="H516" i="16"/>
  <c r="I516" i="16" s="1"/>
  <c r="G456" i="16"/>
  <c r="H456" i="16"/>
  <c r="I456" i="16" s="1"/>
  <c r="G440" i="16"/>
  <c r="H440" i="16"/>
  <c r="I440" i="16" s="1"/>
  <c r="G424" i="16"/>
  <c r="H424" i="16"/>
  <c r="I424" i="16" s="1"/>
  <c r="H948" i="16"/>
  <c r="I948" i="16" s="1"/>
  <c r="G948" i="16"/>
  <c r="G988" i="16"/>
  <c r="G972" i="16"/>
  <c r="G956" i="16"/>
  <c r="G943" i="16"/>
  <c r="H943" i="16"/>
  <c r="I943" i="16" s="1"/>
  <c r="G927" i="16"/>
  <c r="H927" i="16"/>
  <c r="I927" i="16" s="1"/>
  <c r="G920" i="16"/>
  <c r="H920" i="16"/>
  <c r="I920" i="16" s="1"/>
  <c r="G902" i="16"/>
  <c r="H902" i="16"/>
  <c r="I902" i="16" s="1"/>
  <c r="G886" i="16"/>
  <c r="H886" i="16"/>
  <c r="I886" i="16" s="1"/>
  <c r="G937" i="16"/>
  <c r="H937" i="16"/>
  <c r="I937" i="16" s="1"/>
  <c r="G868" i="16"/>
  <c r="H868" i="16"/>
  <c r="I868" i="16" s="1"/>
  <c r="H843" i="16"/>
  <c r="I843" i="16" s="1"/>
  <c r="G843" i="16"/>
  <c r="H815" i="16"/>
  <c r="I815" i="16" s="1"/>
  <c r="G815" i="16"/>
  <c r="G929" i="16"/>
  <c r="H929" i="16"/>
  <c r="I929" i="16" s="1"/>
  <c r="G836" i="16"/>
  <c r="H836" i="16"/>
  <c r="I836" i="16" s="1"/>
  <c r="H795" i="16"/>
  <c r="I795" i="16" s="1"/>
  <c r="G795" i="16"/>
  <c r="G820" i="16"/>
  <c r="H820" i="16"/>
  <c r="I820" i="16" s="1"/>
  <c r="G816" i="16"/>
  <c r="H816" i="16"/>
  <c r="I816" i="16" s="1"/>
  <c r="H803" i="16"/>
  <c r="I803" i="16" s="1"/>
  <c r="G803" i="16"/>
  <c r="H779" i="16"/>
  <c r="I779" i="16" s="1"/>
  <c r="G779" i="16"/>
  <c r="G729" i="16"/>
  <c r="H729" i="16"/>
  <c r="I729" i="16" s="1"/>
  <c r="H835" i="16"/>
  <c r="I835" i="16" s="1"/>
  <c r="G835" i="16"/>
  <c r="G769" i="16"/>
  <c r="H769" i="16"/>
  <c r="I769" i="16" s="1"/>
  <c r="G766" i="16"/>
  <c r="H766" i="16"/>
  <c r="I766" i="16" s="1"/>
  <c r="G735" i="16"/>
  <c r="H735" i="16"/>
  <c r="I735" i="16" s="1"/>
  <c r="G610" i="16"/>
  <c r="H610" i="16"/>
  <c r="I610" i="16" s="1"/>
  <c r="G590" i="16"/>
  <c r="H590" i="16"/>
  <c r="I590" i="16" s="1"/>
  <c r="G564" i="16"/>
  <c r="H564" i="16"/>
  <c r="I564" i="16" s="1"/>
  <c r="G546" i="16"/>
  <c r="H546" i="16"/>
  <c r="I546" i="16" s="1"/>
  <c r="G526" i="16"/>
  <c r="H526" i="16"/>
  <c r="I526" i="16" s="1"/>
  <c r="G500" i="16"/>
  <c r="H500" i="16"/>
  <c r="I500" i="16" s="1"/>
  <c r="G482" i="16"/>
  <c r="H482" i="16"/>
  <c r="I482" i="16" s="1"/>
  <c r="G460" i="16"/>
  <c r="H460" i="16"/>
  <c r="I460" i="16" s="1"/>
  <c r="G444" i="16"/>
  <c r="H444" i="16"/>
  <c r="I444" i="16" s="1"/>
  <c r="G428" i="16"/>
  <c r="H428" i="16"/>
  <c r="I428" i="16" s="1"/>
  <c r="H683" i="16"/>
  <c r="I683" i="16" s="1"/>
  <c r="G683" i="16"/>
  <c r="G796" i="16"/>
  <c r="H796" i="16"/>
  <c r="I796" i="16" s="1"/>
  <c r="G749" i="16"/>
  <c r="H749" i="16"/>
  <c r="I749" i="16" s="1"/>
  <c r="G733" i="16"/>
  <c r="H733" i="16"/>
  <c r="I733" i="16" s="1"/>
  <c r="G371" i="16"/>
  <c r="H371" i="16"/>
  <c r="I371" i="16" s="1"/>
  <c r="G484" i="16"/>
  <c r="H484" i="16"/>
  <c r="I484" i="16" s="1"/>
  <c r="G530" i="16"/>
  <c r="H530" i="16"/>
  <c r="I530" i="16" s="1"/>
  <c r="G416" i="16"/>
  <c r="H416" i="16"/>
  <c r="I416" i="16" s="1"/>
  <c r="G379" i="16"/>
  <c r="H379" i="16"/>
  <c r="I379" i="16" s="1"/>
  <c r="H366" i="16"/>
  <c r="I366" i="16" s="1"/>
  <c r="H394" i="16"/>
  <c r="I394" i="16" s="1"/>
  <c r="G394" i="16"/>
  <c r="H362" i="16"/>
  <c r="I362" i="16" s="1"/>
  <c r="G362" i="16"/>
  <c r="G1000" i="16"/>
  <c r="G984" i="16"/>
  <c r="G968" i="16"/>
  <c r="G952" i="16"/>
  <c r="G997" i="16"/>
  <c r="H997" i="16"/>
  <c r="I997" i="16" s="1"/>
  <c r="G989" i="16"/>
  <c r="H989" i="16"/>
  <c r="I989" i="16" s="1"/>
  <c r="G981" i="16"/>
  <c r="H981" i="16"/>
  <c r="I981" i="16" s="1"/>
  <c r="G973" i="16"/>
  <c r="H973" i="16"/>
  <c r="I973" i="16" s="1"/>
  <c r="G965" i="16"/>
  <c r="H965" i="16"/>
  <c r="I965" i="16" s="1"/>
  <c r="G957" i="16"/>
  <c r="H957" i="16"/>
  <c r="I957" i="16" s="1"/>
  <c r="G908" i="16"/>
  <c r="H908" i="16"/>
  <c r="I908" i="16" s="1"/>
  <c r="G892" i="16"/>
  <c r="H892" i="16"/>
  <c r="I892" i="16" s="1"/>
  <c r="G939" i="16"/>
  <c r="H939" i="16"/>
  <c r="I939" i="16" s="1"/>
  <c r="H918" i="16"/>
  <c r="I918" i="16" s="1"/>
  <c r="G918" i="16"/>
  <c r="G998" i="16"/>
  <c r="H998" i="16"/>
  <c r="I998" i="16" s="1"/>
  <c r="G966" i="16"/>
  <c r="H966" i="16"/>
  <c r="I966" i="16" s="1"/>
  <c r="G946" i="16"/>
  <c r="H946" i="16"/>
  <c r="I946" i="16" s="1"/>
  <c r="G872" i="16"/>
  <c r="H872" i="16"/>
  <c r="I872" i="16" s="1"/>
  <c r="H783" i="16"/>
  <c r="I783" i="16" s="1"/>
  <c r="G783" i="16"/>
  <c r="G844" i="16"/>
  <c r="H844" i="16"/>
  <c r="I844" i="16" s="1"/>
  <c r="G721" i="16"/>
  <c r="H721" i="16"/>
  <c r="I721" i="16" s="1"/>
  <c r="G722" i="16"/>
  <c r="H722" i="16"/>
  <c r="I722" i="16" s="1"/>
  <c r="G860" i="16"/>
  <c r="H860" i="16"/>
  <c r="I860" i="16" s="1"/>
  <c r="H831" i="16"/>
  <c r="I831" i="16" s="1"/>
  <c r="H715" i="16"/>
  <c r="I715" i="16" s="1"/>
  <c r="G715" i="16"/>
  <c r="G608" i="16"/>
  <c r="H608" i="16"/>
  <c r="I608" i="16" s="1"/>
  <c r="G592" i="16"/>
  <c r="H592" i="16"/>
  <c r="I592" i="16" s="1"/>
  <c r="G576" i="16"/>
  <c r="H576" i="16"/>
  <c r="I576" i="16" s="1"/>
  <c r="G560" i="16"/>
  <c r="H560" i="16"/>
  <c r="I560" i="16" s="1"/>
  <c r="G544" i="16"/>
  <c r="H544" i="16"/>
  <c r="I544" i="16" s="1"/>
  <c r="G528" i="16"/>
  <c r="H528" i="16"/>
  <c r="I528" i="16" s="1"/>
  <c r="G512" i="16"/>
  <c r="H512" i="16"/>
  <c r="I512" i="16" s="1"/>
  <c r="G496" i="16"/>
  <c r="H496" i="16"/>
  <c r="I496" i="16" s="1"/>
  <c r="G480" i="16"/>
  <c r="H480" i="16"/>
  <c r="I480" i="16" s="1"/>
  <c r="H707" i="16"/>
  <c r="I707" i="16" s="1"/>
  <c r="G707" i="16"/>
  <c r="H643" i="16"/>
  <c r="I643" i="16" s="1"/>
  <c r="G643" i="16"/>
  <c r="G604" i="16"/>
  <c r="H604" i="16"/>
  <c r="I604" i="16" s="1"/>
  <c r="G586" i="16"/>
  <c r="H586" i="16"/>
  <c r="I586" i="16" s="1"/>
  <c r="G566" i="16"/>
  <c r="H566" i="16"/>
  <c r="I566" i="16" s="1"/>
  <c r="G540" i="16"/>
  <c r="H540" i="16"/>
  <c r="I540" i="16" s="1"/>
  <c r="G522" i="16"/>
  <c r="H522" i="16"/>
  <c r="I522" i="16" s="1"/>
  <c r="G502" i="16"/>
  <c r="H502" i="16"/>
  <c r="I502" i="16" s="1"/>
  <c r="G476" i="16"/>
  <c r="H476" i="16"/>
  <c r="I476" i="16" s="1"/>
  <c r="G466" i="16"/>
  <c r="H466" i="16"/>
  <c r="I466" i="16" s="1"/>
  <c r="G450" i="16"/>
  <c r="H450" i="16"/>
  <c r="I450" i="16" s="1"/>
  <c r="G434" i="16"/>
  <c r="H434" i="16"/>
  <c r="I434" i="16" s="1"/>
  <c r="G982" i="16"/>
  <c r="H982" i="16"/>
  <c r="I982" i="16" s="1"/>
  <c r="G746" i="16"/>
  <c r="H746" i="16"/>
  <c r="I746" i="16" s="1"/>
  <c r="G725" i="16"/>
  <c r="H725" i="16"/>
  <c r="I725" i="16" s="1"/>
  <c r="H655" i="16"/>
  <c r="I655" i="16" s="1"/>
  <c r="G655" i="16"/>
  <c r="G614" i="16"/>
  <c r="H614" i="16"/>
  <c r="I614" i="16" s="1"/>
  <c r="G588" i="16"/>
  <c r="H588" i="16"/>
  <c r="I588" i="16" s="1"/>
  <c r="G570" i="16"/>
  <c r="H570" i="16"/>
  <c r="I570" i="16" s="1"/>
  <c r="G550" i="16"/>
  <c r="H550" i="16"/>
  <c r="I550" i="16" s="1"/>
  <c r="G524" i="16"/>
  <c r="H524" i="16"/>
  <c r="I524" i="16" s="1"/>
  <c r="G506" i="16"/>
  <c r="H506" i="16"/>
  <c r="I506" i="16" s="1"/>
  <c r="G486" i="16"/>
  <c r="H486" i="16"/>
  <c r="I486" i="16" s="1"/>
  <c r="G462" i="16"/>
  <c r="H462" i="16"/>
  <c r="I462" i="16" s="1"/>
  <c r="G446" i="16"/>
  <c r="H446" i="16"/>
  <c r="I446" i="16" s="1"/>
  <c r="G430" i="16"/>
  <c r="H430" i="16"/>
  <c r="I430" i="16" s="1"/>
  <c r="H699" i="16"/>
  <c r="I699" i="16" s="1"/>
  <c r="G699" i="16"/>
  <c r="H635" i="16"/>
  <c r="I635" i="16" s="1"/>
  <c r="G635" i="16"/>
  <c r="G606" i="16"/>
  <c r="H606" i="16"/>
  <c r="I606" i="16" s="1"/>
  <c r="G580" i="16"/>
  <c r="H580" i="16"/>
  <c r="I580" i="16" s="1"/>
  <c r="G562" i="16"/>
  <c r="H562" i="16"/>
  <c r="I562" i="16" s="1"/>
  <c r="G542" i="16"/>
  <c r="H542" i="16"/>
  <c r="I542" i="16" s="1"/>
  <c r="G478" i="16"/>
  <c r="H478" i="16"/>
  <c r="I478" i="16" s="1"/>
  <c r="H406" i="16"/>
  <c r="I406" i="16" s="1"/>
  <c r="G355" i="16"/>
  <c r="H355" i="16"/>
  <c r="I355" i="16" s="1"/>
  <c r="H402" i="16"/>
  <c r="I402" i="16" s="1"/>
  <c r="G402" i="16"/>
  <c r="H370" i="16"/>
  <c r="I370" i="16" s="1"/>
  <c r="G370" i="16"/>
  <c r="G363" i="16"/>
  <c r="H363" i="16"/>
  <c r="I363" i="16" s="1"/>
  <c r="H350" i="16"/>
  <c r="I350" i="16" s="1"/>
  <c r="G464" i="16"/>
  <c r="H464" i="16"/>
  <c r="I464" i="16" s="1"/>
  <c r="G448" i="16"/>
  <c r="H448" i="16"/>
  <c r="I448" i="16" s="1"/>
  <c r="G432" i="16"/>
  <c r="H432" i="16"/>
  <c r="I432" i="16" s="1"/>
  <c r="G954" i="14"/>
  <c r="G885" i="14"/>
  <c r="H578" i="14"/>
  <c r="I578" i="14" s="1"/>
  <c r="G602" i="14"/>
  <c r="G570" i="14"/>
  <c r="G220" i="14"/>
  <c r="G867" i="14"/>
  <c r="H867" i="14"/>
  <c r="I867" i="14" s="1"/>
  <c r="G851" i="14"/>
  <c r="H851" i="14"/>
  <c r="I851" i="14" s="1"/>
  <c r="H796" i="14"/>
  <c r="I796" i="14" s="1"/>
  <c r="H869" i="14"/>
  <c r="I869" i="14" s="1"/>
  <c r="H828" i="14"/>
  <c r="I828" i="14" s="1"/>
  <c r="H607" i="14"/>
  <c r="I607" i="14" s="1"/>
  <c r="G607" i="14"/>
  <c r="G997" i="14"/>
  <c r="G965" i="14"/>
  <c r="H874" i="14"/>
  <c r="I874" i="14" s="1"/>
  <c r="G858" i="14"/>
  <c r="H858" i="14"/>
  <c r="I858" i="14" s="1"/>
  <c r="G842" i="14"/>
  <c r="H842" i="14"/>
  <c r="I842" i="14" s="1"/>
  <c r="G618" i="14"/>
  <c r="H618" i="14"/>
  <c r="I618" i="14" s="1"/>
  <c r="G484" i="14"/>
  <c r="H439" i="14"/>
  <c r="I439" i="14" s="1"/>
  <c r="G439" i="14"/>
  <c r="H407" i="14"/>
  <c r="I407" i="14" s="1"/>
  <c r="G407" i="14"/>
  <c r="H821" i="14"/>
  <c r="I821" i="14" s="1"/>
  <c r="G470" i="14"/>
  <c r="H470" i="14"/>
  <c r="I470" i="14" s="1"/>
  <c r="G241" i="14"/>
  <c r="H241" i="14"/>
  <c r="I241" i="14" s="1"/>
  <c r="G295" i="14"/>
  <c r="G351" i="14"/>
  <c r="H298" i="14"/>
  <c r="I298" i="14" s="1"/>
  <c r="G219" i="14"/>
  <c r="H105" i="14"/>
  <c r="I105" i="14" s="1"/>
  <c r="H21" i="14"/>
  <c r="I21" i="14" s="1"/>
  <c r="H359" i="14"/>
  <c r="I359" i="14" s="1"/>
  <c r="H243" i="14"/>
  <c r="I243" i="14" s="1"/>
  <c r="H367" i="14"/>
  <c r="I367" i="14" s="1"/>
  <c r="H49" i="14"/>
  <c r="I49" i="14" s="1"/>
  <c r="H73" i="14"/>
  <c r="I73" i="14" s="1"/>
  <c r="G69" i="14"/>
  <c r="H205" i="14"/>
  <c r="I205" i="14" s="1"/>
  <c r="G37" i="14"/>
  <c r="H45" i="14"/>
  <c r="I45" i="14" s="1"/>
  <c r="G723" i="14"/>
  <c r="H707" i="14"/>
  <c r="I707" i="14" s="1"/>
  <c r="H721" i="14"/>
  <c r="I721" i="14" s="1"/>
  <c r="H530" i="14"/>
  <c r="I530" i="14" s="1"/>
  <c r="G586" i="14"/>
  <c r="G522" i="14"/>
  <c r="G947" i="14"/>
  <c r="H947" i="14"/>
  <c r="I947" i="14" s="1"/>
  <c r="G826" i="14"/>
  <c r="H826" i="14"/>
  <c r="I826" i="14" s="1"/>
  <c r="G642" i="14"/>
  <c r="H642" i="14"/>
  <c r="I642" i="14" s="1"/>
  <c r="H916" i="14"/>
  <c r="I916" i="14" s="1"/>
  <c r="G916" i="14"/>
  <c r="H896" i="14"/>
  <c r="I896" i="14" s="1"/>
  <c r="G896" i="14"/>
  <c r="H415" i="14"/>
  <c r="I415" i="14" s="1"/>
  <c r="G415" i="14"/>
  <c r="G486" i="14"/>
  <c r="H486" i="14"/>
  <c r="I486" i="14" s="1"/>
  <c r="G502" i="14"/>
  <c r="H502" i="14"/>
  <c r="I502" i="14" s="1"/>
  <c r="G303" i="14"/>
  <c r="G391" i="14"/>
  <c r="G327" i="14"/>
  <c r="G228" i="14"/>
  <c r="G335" i="14"/>
  <c r="H217" i="14"/>
  <c r="I217" i="14" s="1"/>
  <c r="G217" i="14"/>
  <c r="H109" i="14"/>
  <c r="I109" i="14" s="1"/>
  <c r="G109" i="14"/>
  <c r="H77" i="14"/>
  <c r="I77" i="14" s="1"/>
  <c r="G77" i="14"/>
  <c r="G101" i="14"/>
  <c r="H702" i="14"/>
  <c r="I702" i="14" s="1"/>
  <c r="H546" i="14"/>
  <c r="I546" i="14" s="1"/>
  <c r="G538" i="14"/>
  <c r="G856" i="14"/>
  <c r="H591" i="14"/>
  <c r="I591" i="14" s="1"/>
  <c r="G591" i="14"/>
  <c r="G981" i="14"/>
  <c r="H940" i="14"/>
  <c r="I940" i="14" s="1"/>
  <c r="H829" i="14"/>
  <c r="I829" i="14" s="1"/>
  <c r="H889" i="14"/>
  <c r="I889" i="14" s="1"/>
  <c r="G835" i="14"/>
  <c r="H835" i="14"/>
  <c r="I835" i="14" s="1"/>
  <c r="G650" i="14"/>
  <c r="H650" i="14"/>
  <c r="I650" i="14" s="1"/>
  <c r="G608" i="14"/>
  <c r="H447" i="14"/>
  <c r="I447" i="14" s="1"/>
  <c r="G447" i="14"/>
  <c r="G269" i="14"/>
  <c r="H269" i="14"/>
  <c r="I269" i="14" s="1"/>
  <c r="H547" i="14"/>
  <c r="I547" i="14" s="1"/>
  <c r="H531" i="14"/>
  <c r="I531" i="14" s="1"/>
  <c r="G454" i="14"/>
  <c r="H454" i="14"/>
  <c r="I454" i="14" s="1"/>
  <c r="G383" i="14"/>
  <c r="G319" i="14"/>
  <c r="H282" i="14"/>
  <c r="I282" i="14" s="1"/>
  <c r="G216" i="14"/>
  <c r="H216" i="14"/>
  <c r="I216" i="14" s="1"/>
  <c r="H169" i="14"/>
  <c r="I169" i="14" s="1"/>
  <c r="G253" i="14"/>
  <c r="H253" i="14"/>
  <c r="I253" i="14" s="1"/>
  <c r="H141" i="14"/>
  <c r="I141" i="14" s="1"/>
  <c r="G141" i="14"/>
  <c r="H938" i="14"/>
  <c r="I938" i="14" s="1"/>
  <c r="H833" i="14"/>
  <c r="I833" i="14" s="1"/>
  <c r="G698" i="14"/>
  <c r="H562" i="14"/>
  <c r="I562" i="14" s="1"/>
  <c r="G554" i="14"/>
  <c r="H853" i="14"/>
  <c r="I853" i="14" s="1"/>
  <c r="H900" i="14"/>
  <c r="I900" i="14" s="1"/>
  <c r="G900" i="14"/>
  <c r="G462" i="14"/>
  <c r="H462" i="14"/>
  <c r="I462" i="14" s="1"/>
  <c r="H423" i="14"/>
  <c r="I423" i="14" s="1"/>
  <c r="G423" i="14"/>
  <c r="G273" i="14"/>
  <c r="H273" i="14"/>
  <c r="I273" i="14" s="1"/>
  <c r="G221" i="14"/>
  <c r="H221" i="14"/>
  <c r="I221" i="14" s="1"/>
  <c r="H173" i="14"/>
  <c r="I173" i="14" s="1"/>
  <c r="G173" i="14"/>
  <c r="H25" i="14"/>
  <c r="I25" i="14" s="1"/>
  <c r="G978" i="14"/>
  <c r="H978" i="14"/>
  <c r="I978" i="14" s="1"/>
  <c r="H838" i="14"/>
  <c r="I838" i="14" s="1"/>
  <c r="G838" i="14"/>
  <c r="G998" i="14"/>
  <c r="H998" i="14"/>
  <c r="I998" i="14" s="1"/>
  <c r="G966" i="14"/>
  <c r="H966" i="14"/>
  <c r="I966" i="14" s="1"/>
  <c r="H951" i="14"/>
  <c r="I951" i="14" s="1"/>
  <c r="G951" i="14"/>
  <c r="G905" i="14"/>
  <c r="H905" i="14"/>
  <c r="I905" i="14" s="1"/>
  <c r="H946" i="14"/>
  <c r="I946" i="14" s="1"/>
  <c r="G946" i="14"/>
  <c r="G982" i="14"/>
  <c r="H982" i="14"/>
  <c r="I982" i="14" s="1"/>
  <c r="H873" i="14"/>
  <c r="I873" i="14" s="1"/>
  <c r="G873" i="14"/>
  <c r="H865" i="14"/>
  <c r="I865" i="14" s="1"/>
  <c r="H857" i="14"/>
  <c r="I857" i="14" s="1"/>
  <c r="G857" i="14"/>
  <c r="G839" i="14"/>
  <c r="H839" i="14"/>
  <c r="I839" i="14" s="1"/>
  <c r="H849" i="14"/>
  <c r="I849" i="14" s="1"/>
  <c r="H841" i="14"/>
  <c r="I841" i="14" s="1"/>
  <c r="G841" i="14"/>
  <c r="G823" i="14"/>
  <c r="H823" i="14"/>
  <c r="I823" i="14" s="1"/>
  <c r="G800" i="14"/>
  <c r="H800" i="14"/>
  <c r="I800" i="14" s="1"/>
  <c r="H779" i="14"/>
  <c r="I779" i="14" s="1"/>
  <c r="G779" i="14"/>
  <c r="G871" i="14"/>
  <c r="H871" i="14"/>
  <c r="I871" i="14" s="1"/>
  <c r="H825" i="14"/>
  <c r="I825" i="14" s="1"/>
  <c r="G825" i="14"/>
  <c r="G807" i="14"/>
  <c r="G797" i="14"/>
  <c r="H797" i="14"/>
  <c r="I797" i="14" s="1"/>
  <c r="H792" i="14"/>
  <c r="I792" i="14" s="1"/>
  <c r="G792" i="14"/>
  <c r="G767" i="14"/>
  <c r="H767" i="14"/>
  <c r="I767" i="14" s="1"/>
  <c r="H728" i="14"/>
  <c r="I728" i="14" s="1"/>
  <c r="G728" i="14"/>
  <c r="G772" i="14"/>
  <c r="H772" i="14"/>
  <c r="I772" i="14" s="1"/>
  <c r="G744" i="14"/>
  <c r="H744" i="14"/>
  <c r="I744" i="14" s="1"/>
  <c r="G736" i="14"/>
  <c r="H736" i="14"/>
  <c r="I736" i="14" s="1"/>
  <c r="G785" i="14"/>
  <c r="H785" i="14"/>
  <c r="I785" i="14" s="1"/>
  <c r="G749" i="14"/>
  <c r="H749" i="14"/>
  <c r="I749" i="14" s="1"/>
  <c r="H748" i="14"/>
  <c r="I748" i="14" s="1"/>
  <c r="G748" i="14"/>
  <c r="G717" i="14"/>
  <c r="H717" i="14"/>
  <c r="I717" i="14" s="1"/>
  <c r="H708" i="14"/>
  <c r="I708" i="14" s="1"/>
  <c r="G708" i="14"/>
  <c r="H697" i="14"/>
  <c r="I697" i="14" s="1"/>
  <c r="G697" i="14"/>
  <c r="H685" i="14"/>
  <c r="I685" i="14" s="1"/>
  <c r="G685" i="14"/>
  <c r="H669" i="14"/>
  <c r="I669" i="14" s="1"/>
  <c r="G669" i="14"/>
  <c r="H661" i="14"/>
  <c r="I661" i="14" s="1"/>
  <c r="G661" i="14"/>
  <c r="H653" i="14"/>
  <c r="I653" i="14" s="1"/>
  <c r="G653" i="14"/>
  <c r="H645" i="14"/>
  <c r="I645" i="14" s="1"/>
  <c r="G645" i="14"/>
  <c r="H637" i="14"/>
  <c r="I637" i="14" s="1"/>
  <c r="G637" i="14"/>
  <c r="H629" i="14"/>
  <c r="I629" i="14" s="1"/>
  <c r="G629" i="14"/>
  <c r="H621" i="14"/>
  <c r="I621" i="14" s="1"/>
  <c r="G621" i="14"/>
  <c r="H613" i="14"/>
  <c r="I613" i="14" s="1"/>
  <c r="G613" i="14"/>
  <c r="H601" i="14"/>
  <c r="I601" i="14" s="1"/>
  <c r="G601" i="14"/>
  <c r="G705" i="14"/>
  <c r="G638" i="14"/>
  <c r="H638" i="14"/>
  <c r="I638" i="14" s="1"/>
  <c r="H577" i="14"/>
  <c r="I577" i="14" s="1"/>
  <c r="G577" i="14"/>
  <c r="H561" i="14"/>
  <c r="I561" i="14" s="1"/>
  <c r="G561" i="14"/>
  <c r="H545" i="14"/>
  <c r="I545" i="14" s="1"/>
  <c r="G545" i="14"/>
  <c r="H529" i="14"/>
  <c r="I529" i="14" s="1"/>
  <c r="G529" i="14"/>
  <c r="G481" i="14"/>
  <c r="H481" i="14"/>
  <c r="I481" i="14" s="1"/>
  <c r="G582" i="14"/>
  <c r="G566" i="14"/>
  <c r="G550" i="14"/>
  <c r="G534" i="14"/>
  <c r="G518" i="14"/>
  <c r="H493" i="14"/>
  <c r="I493" i="14" s="1"/>
  <c r="G493" i="14"/>
  <c r="H477" i="14"/>
  <c r="I477" i="14" s="1"/>
  <c r="G477" i="14"/>
  <c r="H461" i="14"/>
  <c r="I461" i="14" s="1"/>
  <c r="G461" i="14"/>
  <c r="G320" i="14"/>
  <c r="H320" i="14"/>
  <c r="I320" i="14" s="1"/>
  <c r="G316" i="14"/>
  <c r="H316" i="14"/>
  <c r="I316" i="14" s="1"/>
  <c r="G312" i="14"/>
  <c r="H312" i="14"/>
  <c r="I312" i="14" s="1"/>
  <c r="G308" i="14"/>
  <c r="H308" i="14"/>
  <c r="I308" i="14" s="1"/>
  <c r="G304" i="14"/>
  <c r="H304" i="14"/>
  <c r="I304" i="14" s="1"/>
  <c r="G300" i="14"/>
  <c r="H300" i="14"/>
  <c r="I300" i="14" s="1"/>
  <c r="G296" i="14"/>
  <c r="H296" i="14"/>
  <c r="I296" i="14" s="1"/>
  <c r="G292" i="14"/>
  <c r="H292" i="14"/>
  <c r="I292" i="14" s="1"/>
  <c r="G288" i="14"/>
  <c r="H288" i="14"/>
  <c r="I288" i="14" s="1"/>
  <c r="G284" i="14"/>
  <c r="H284" i="14"/>
  <c r="I284" i="14" s="1"/>
  <c r="G280" i="14"/>
  <c r="H280" i="14"/>
  <c r="I280" i="14" s="1"/>
  <c r="G276" i="14"/>
  <c r="H276" i="14"/>
  <c r="I276" i="14" s="1"/>
  <c r="H260" i="14"/>
  <c r="I260" i="14" s="1"/>
  <c r="G260" i="14"/>
  <c r="H244" i="14"/>
  <c r="I244" i="14" s="1"/>
  <c r="G244" i="14"/>
  <c r="G248" i="14"/>
  <c r="H248" i="14"/>
  <c r="I248" i="14" s="1"/>
  <c r="H236" i="14"/>
  <c r="I236" i="14" s="1"/>
  <c r="G236" i="14"/>
  <c r="H272" i="14"/>
  <c r="I272" i="14" s="1"/>
  <c r="G272" i="14"/>
  <c r="G38" i="14"/>
  <c r="H38" i="14"/>
  <c r="I38" i="14" s="1"/>
  <c r="G30" i="14"/>
  <c r="H30" i="14"/>
  <c r="I30" i="14" s="1"/>
  <c r="H6" i="14"/>
  <c r="I6" i="14" s="1"/>
  <c r="G6" i="14"/>
  <c r="G986" i="14"/>
  <c r="H986" i="14"/>
  <c r="I986" i="14" s="1"/>
  <c r="G974" i="14"/>
  <c r="H974" i="14"/>
  <c r="I974" i="14" s="1"/>
  <c r="G917" i="14"/>
  <c r="H917" i="14"/>
  <c r="I917" i="14" s="1"/>
  <c r="H854" i="14"/>
  <c r="I854" i="14" s="1"/>
  <c r="G854" i="14"/>
  <c r="H935" i="14"/>
  <c r="I935" i="14" s="1"/>
  <c r="G935" i="14"/>
  <c r="G925" i="14"/>
  <c r="H925" i="14"/>
  <c r="I925" i="14" s="1"/>
  <c r="G893" i="14"/>
  <c r="H893" i="14"/>
  <c r="I893" i="14" s="1"/>
  <c r="G913" i="14"/>
  <c r="H913" i="14"/>
  <c r="I913" i="14" s="1"/>
  <c r="H862" i="14"/>
  <c r="I862" i="14" s="1"/>
  <c r="G862" i="14"/>
  <c r="H846" i="14"/>
  <c r="I846" i="14" s="1"/>
  <c r="G846" i="14"/>
  <c r="G877" i="14"/>
  <c r="H877" i="14"/>
  <c r="I877" i="14" s="1"/>
  <c r="H830" i="14"/>
  <c r="I830" i="14" s="1"/>
  <c r="G830" i="14"/>
  <c r="H795" i="14"/>
  <c r="I795" i="14" s="1"/>
  <c r="G795" i="14"/>
  <c r="H752" i="14"/>
  <c r="I752" i="14" s="1"/>
  <c r="G752" i="14"/>
  <c r="G813" i="14"/>
  <c r="G801" i="14"/>
  <c r="H801" i="14"/>
  <c r="I801" i="14" s="1"/>
  <c r="G765" i="14"/>
  <c r="H765" i="14"/>
  <c r="I765" i="14" s="1"/>
  <c r="H760" i="14"/>
  <c r="I760" i="14" s="1"/>
  <c r="G760" i="14"/>
  <c r="G811" i="14"/>
  <c r="H811" i="14"/>
  <c r="I811" i="14" s="1"/>
  <c r="G753" i="14"/>
  <c r="H753" i="14"/>
  <c r="I753" i="14" s="1"/>
  <c r="G741" i="14"/>
  <c r="H741" i="14"/>
  <c r="I741" i="14" s="1"/>
  <c r="H740" i="14"/>
  <c r="I740" i="14" s="1"/>
  <c r="G740" i="14"/>
  <c r="H701" i="14"/>
  <c r="I701" i="14" s="1"/>
  <c r="G701" i="14"/>
  <c r="H681" i="14"/>
  <c r="I681" i="14" s="1"/>
  <c r="G681" i="14"/>
  <c r="H665" i="14"/>
  <c r="I665" i="14" s="1"/>
  <c r="G665" i="14"/>
  <c r="G690" i="14"/>
  <c r="H690" i="14"/>
  <c r="I690" i="14" s="1"/>
  <c r="G674" i="14"/>
  <c r="H674" i="14"/>
  <c r="I674" i="14" s="1"/>
  <c r="G686" i="14"/>
  <c r="H686" i="14"/>
  <c r="I686" i="14" s="1"/>
  <c r="G670" i="14"/>
  <c r="H670" i="14"/>
  <c r="I670" i="14" s="1"/>
  <c r="H649" i="14"/>
  <c r="I649" i="14" s="1"/>
  <c r="G649" i="14"/>
  <c r="H633" i="14"/>
  <c r="I633" i="14" s="1"/>
  <c r="G633" i="14"/>
  <c r="H617" i="14"/>
  <c r="I617" i="14" s="1"/>
  <c r="G617" i="14"/>
  <c r="G600" i="14"/>
  <c r="G662" i="14"/>
  <c r="H662" i="14"/>
  <c r="I662" i="14" s="1"/>
  <c r="G630" i="14"/>
  <c r="H630" i="14"/>
  <c r="I630" i="14" s="1"/>
  <c r="H605" i="14"/>
  <c r="I605" i="14" s="1"/>
  <c r="G605" i="14"/>
  <c r="H581" i="14"/>
  <c r="I581" i="14" s="1"/>
  <c r="G581" i="14"/>
  <c r="H565" i="14"/>
  <c r="I565" i="14" s="1"/>
  <c r="G565" i="14"/>
  <c r="H549" i="14"/>
  <c r="I549" i="14" s="1"/>
  <c r="G549" i="14"/>
  <c r="H533" i="14"/>
  <c r="I533" i="14" s="1"/>
  <c r="G533" i="14"/>
  <c r="H517" i="14"/>
  <c r="I517" i="14" s="1"/>
  <c r="G517" i="14"/>
  <c r="G574" i="14"/>
  <c r="G558" i="14"/>
  <c r="G542" i="14"/>
  <c r="G526" i="14"/>
  <c r="H505" i="14"/>
  <c r="I505" i="14" s="1"/>
  <c r="G505" i="14"/>
  <c r="G473" i="14"/>
  <c r="H473" i="14"/>
  <c r="I473" i="14" s="1"/>
  <c r="G514" i="14"/>
  <c r="H514" i="14"/>
  <c r="I514" i="14" s="1"/>
  <c r="H444" i="14"/>
  <c r="I444" i="14" s="1"/>
  <c r="G444" i="14"/>
  <c r="H436" i="14"/>
  <c r="I436" i="14" s="1"/>
  <c r="G436" i="14"/>
  <c r="H428" i="14"/>
  <c r="I428" i="14" s="1"/>
  <c r="G428" i="14"/>
  <c r="H420" i="14"/>
  <c r="I420" i="14" s="1"/>
  <c r="G420" i="14"/>
  <c r="H412" i="14"/>
  <c r="I412" i="14" s="1"/>
  <c r="G412" i="14"/>
  <c r="H404" i="14"/>
  <c r="I404" i="14" s="1"/>
  <c r="G404" i="14"/>
  <c r="H396" i="14"/>
  <c r="I396" i="14" s="1"/>
  <c r="G396" i="14"/>
  <c r="H388" i="14"/>
  <c r="I388" i="14" s="1"/>
  <c r="G388" i="14"/>
  <c r="H380" i="14"/>
  <c r="I380" i="14" s="1"/>
  <c r="G380" i="14"/>
  <c r="H372" i="14"/>
  <c r="I372" i="14" s="1"/>
  <c r="G372" i="14"/>
  <c r="H364" i="14"/>
  <c r="I364" i="14" s="1"/>
  <c r="G364" i="14"/>
  <c r="H356" i="14"/>
  <c r="I356" i="14" s="1"/>
  <c r="G356" i="14"/>
  <c r="H348" i="14"/>
  <c r="I348" i="14" s="1"/>
  <c r="G348" i="14"/>
  <c r="H340" i="14"/>
  <c r="I340" i="14" s="1"/>
  <c r="G340" i="14"/>
  <c r="H332" i="14"/>
  <c r="I332" i="14" s="1"/>
  <c r="G332" i="14"/>
  <c r="H324" i="14"/>
  <c r="I324" i="14" s="1"/>
  <c r="G324" i="14"/>
  <c r="G232" i="14"/>
  <c r="H232" i="14"/>
  <c r="I232" i="14" s="1"/>
  <c r="G245" i="14"/>
  <c r="H245" i="14"/>
  <c r="I245" i="14" s="1"/>
  <c r="G218" i="14"/>
  <c r="H218" i="14"/>
  <c r="I218" i="14" s="1"/>
  <c r="H206" i="14"/>
  <c r="I206" i="14" s="1"/>
  <c r="G206" i="14"/>
  <c r="H198" i="14"/>
  <c r="I198" i="14" s="1"/>
  <c r="G198" i="14"/>
  <c r="H190" i="14"/>
  <c r="I190" i="14" s="1"/>
  <c r="G190" i="14"/>
  <c r="H182" i="14"/>
  <c r="I182" i="14" s="1"/>
  <c r="G182" i="14"/>
  <c r="H174" i="14"/>
  <c r="I174" i="14" s="1"/>
  <c r="G174" i="14"/>
  <c r="H166" i="14"/>
  <c r="I166" i="14" s="1"/>
  <c r="G166" i="14"/>
  <c r="H158" i="14"/>
  <c r="I158" i="14" s="1"/>
  <c r="G158" i="14"/>
  <c r="H150" i="14"/>
  <c r="I150" i="14" s="1"/>
  <c r="G150" i="14"/>
  <c r="H142" i="14"/>
  <c r="I142" i="14" s="1"/>
  <c r="G142" i="14"/>
  <c r="H134" i="14"/>
  <c r="I134" i="14" s="1"/>
  <c r="G134" i="14"/>
  <c r="H126" i="14"/>
  <c r="I126" i="14" s="1"/>
  <c r="G126" i="14"/>
  <c r="H118" i="14"/>
  <c r="I118" i="14" s="1"/>
  <c r="G118" i="14"/>
  <c r="H110" i="14"/>
  <c r="I110" i="14" s="1"/>
  <c r="G110" i="14"/>
  <c r="H102" i="14"/>
  <c r="I102" i="14" s="1"/>
  <c r="G102" i="14"/>
  <c r="H94" i="14"/>
  <c r="I94" i="14" s="1"/>
  <c r="G94" i="14"/>
  <c r="H86" i="14"/>
  <c r="I86" i="14" s="1"/>
  <c r="G86" i="14"/>
  <c r="H78" i="14"/>
  <c r="I78" i="14" s="1"/>
  <c r="G78" i="14"/>
  <c r="H18" i="14"/>
  <c r="I18" i="14" s="1"/>
  <c r="G18" i="14"/>
  <c r="G2" i="14"/>
  <c r="H2" i="14"/>
  <c r="I2" i="14" s="1"/>
  <c r="G26" i="14"/>
  <c r="H26" i="14"/>
  <c r="I26" i="14" s="1"/>
  <c r="G994" i="14"/>
  <c r="H994" i="14"/>
  <c r="I994" i="14" s="1"/>
  <c r="G962" i="14"/>
  <c r="H962" i="14"/>
  <c r="I962" i="14" s="1"/>
  <c r="H870" i="14"/>
  <c r="I870" i="14" s="1"/>
  <c r="G870" i="14"/>
  <c r="G944" i="14"/>
  <c r="H944" i="14"/>
  <c r="I944" i="14" s="1"/>
  <c r="G921" i="14"/>
  <c r="H921" i="14"/>
  <c r="I921" i="14" s="1"/>
  <c r="G768" i="14"/>
  <c r="H768" i="14"/>
  <c r="I768" i="14" s="1"/>
  <c r="G769" i="14"/>
  <c r="H769" i="14"/>
  <c r="I769" i="14" s="1"/>
  <c r="G745" i="14"/>
  <c r="H745" i="14"/>
  <c r="I745" i="14" s="1"/>
  <c r="H712" i="14"/>
  <c r="I712" i="14" s="1"/>
  <c r="G712" i="14"/>
  <c r="G783" i="14"/>
  <c r="H783" i="14"/>
  <c r="I783" i="14" s="1"/>
  <c r="G733" i="14"/>
  <c r="H733" i="14"/>
  <c r="I733" i="14" s="1"/>
  <c r="H720" i="14"/>
  <c r="I720" i="14" s="1"/>
  <c r="G720" i="14"/>
  <c r="H704" i="14"/>
  <c r="I704" i="14" s="1"/>
  <c r="G704" i="14"/>
  <c r="G817" i="14"/>
  <c r="H817" i="14"/>
  <c r="I817" i="14" s="1"/>
  <c r="G756" i="14"/>
  <c r="H756" i="14"/>
  <c r="I756" i="14" s="1"/>
  <c r="H732" i="14"/>
  <c r="I732" i="14" s="1"/>
  <c r="G732" i="14"/>
  <c r="H693" i="14"/>
  <c r="I693" i="14" s="1"/>
  <c r="G693" i="14"/>
  <c r="H677" i="14"/>
  <c r="I677" i="14" s="1"/>
  <c r="G677" i="14"/>
  <c r="H596" i="14"/>
  <c r="I596" i="14" s="1"/>
  <c r="G596" i="14"/>
  <c r="G719" i="14"/>
  <c r="G654" i="14"/>
  <c r="H654" i="14"/>
  <c r="I654" i="14" s="1"/>
  <c r="G622" i="14"/>
  <c r="H622" i="14"/>
  <c r="I622" i="14" s="1"/>
  <c r="G598" i="14"/>
  <c r="H598" i="14"/>
  <c r="I598" i="14" s="1"/>
  <c r="H585" i="14"/>
  <c r="I585" i="14" s="1"/>
  <c r="G585" i="14"/>
  <c r="H569" i="14"/>
  <c r="I569" i="14" s="1"/>
  <c r="G569" i="14"/>
  <c r="H553" i="14"/>
  <c r="I553" i="14" s="1"/>
  <c r="G553" i="14"/>
  <c r="H537" i="14"/>
  <c r="I537" i="14" s="1"/>
  <c r="G537" i="14"/>
  <c r="H521" i="14"/>
  <c r="I521" i="14" s="1"/>
  <c r="G521" i="14"/>
  <c r="H513" i="14"/>
  <c r="I513" i="14" s="1"/>
  <c r="G513" i="14"/>
  <c r="G510" i="14"/>
  <c r="H510" i="14"/>
  <c r="I510" i="14" s="1"/>
  <c r="G497" i="14"/>
  <c r="H497" i="14"/>
  <c r="I497" i="14" s="1"/>
  <c r="G465" i="14"/>
  <c r="H465" i="14"/>
  <c r="I465" i="14" s="1"/>
  <c r="H501" i="14"/>
  <c r="I501" i="14" s="1"/>
  <c r="G501" i="14"/>
  <c r="H485" i="14"/>
  <c r="I485" i="14" s="1"/>
  <c r="G485" i="14"/>
  <c r="H469" i="14"/>
  <c r="I469" i="14" s="1"/>
  <c r="G469" i="14"/>
  <c r="H453" i="14"/>
  <c r="I453" i="14" s="1"/>
  <c r="G453" i="14"/>
  <c r="H268" i="14"/>
  <c r="I268" i="14" s="1"/>
  <c r="G268" i="14"/>
  <c r="G261" i="14"/>
  <c r="H261" i="14"/>
  <c r="I261" i="14" s="1"/>
  <c r="H240" i="14"/>
  <c r="I240" i="14" s="1"/>
  <c r="G240" i="14"/>
  <c r="H225" i="14"/>
  <c r="I225" i="14" s="1"/>
  <c r="G225" i="14"/>
  <c r="G74" i="14"/>
  <c r="H74" i="14"/>
  <c r="I74" i="14" s="1"/>
  <c r="G70" i="14"/>
  <c r="H70" i="14"/>
  <c r="I70" i="14" s="1"/>
  <c r="G66" i="14"/>
  <c r="H66" i="14"/>
  <c r="I66" i="14" s="1"/>
  <c r="G62" i="14"/>
  <c r="H62" i="14"/>
  <c r="I62" i="14" s="1"/>
  <c r="G58" i="14"/>
  <c r="H58" i="14"/>
  <c r="I58" i="14" s="1"/>
  <c r="G54" i="14"/>
  <c r="H54" i="14"/>
  <c r="I54" i="14" s="1"/>
  <c r="G50" i="14"/>
  <c r="H50" i="14"/>
  <c r="I50" i="14" s="1"/>
  <c r="G46" i="14"/>
  <c r="H46" i="14"/>
  <c r="I46" i="14" s="1"/>
  <c r="G42" i="14"/>
  <c r="H42" i="14"/>
  <c r="I42" i="14" s="1"/>
  <c r="G15" i="14"/>
  <c r="H15" i="14"/>
  <c r="I15" i="14" s="1"/>
  <c r="G970" i="14"/>
  <c r="H970" i="14"/>
  <c r="I970" i="14" s="1"/>
  <c r="H943" i="14"/>
  <c r="I943" i="14" s="1"/>
  <c r="G943" i="14"/>
  <c r="G990" i="14"/>
  <c r="H990" i="14"/>
  <c r="I990" i="14" s="1"/>
  <c r="G958" i="14"/>
  <c r="H958" i="14"/>
  <c r="I958" i="14" s="1"/>
  <c r="G933" i="14"/>
  <c r="H933" i="14"/>
  <c r="I933" i="14" s="1"/>
  <c r="G901" i="14"/>
  <c r="H901" i="14"/>
  <c r="I901" i="14" s="1"/>
  <c r="H822" i="14"/>
  <c r="I822" i="14" s="1"/>
  <c r="G822" i="14"/>
  <c r="G909" i="14"/>
  <c r="H909" i="14"/>
  <c r="I909" i="14" s="1"/>
  <c r="G929" i="14"/>
  <c r="H929" i="14"/>
  <c r="I929" i="14" s="1"/>
  <c r="G897" i="14"/>
  <c r="H897" i="14"/>
  <c r="I897" i="14" s="1"/>
  <c r="G855" i="14"/>
  <c r="H855" i="14"/>
  <c r="I855" i="14" s="1"/>
  <c r="H784" i="14"/>
  <c r="I784" i="14" s="1"/>
  <c r="G784" i="14"/>
  <c r="H763" i="14"/>
  <c r="I763" i="14" s="1"/>
  <c r="G763" i="14"/>
  <c r="G883" i="14"/>
  <c r="H883" i="14"/>
  <c r="I883" i="14" s="1"/>
  <c r="G819" i="14"/>
  <c r="H819" i="14"/>
  <c r="I819" i="14" s="1"/>
  <c r="G799" i="14"/>
  <c r="H799" i="14"/>
  <c r="I799" i="14" s="1"/>
  <c r="G737" i="14"/>
  <c r="H737" i="14"/>
  <c r="I737" i="14" s="1"/>
  <c r="G781" i="14"/>
  <c r="H781" i="14"/>
  <c r="I781" i="14" s="1"/>
  <c r="H776" i="14"/>
  <c r="I776" i="14" s="1"/>
  <c r="G776" i="14"/>
  <c r="G751" i="14"/>
  <c r="H751" i="14"/>
  <c r="I751" i="14" s="1"/>
  <c r="H715" i="14"/>
  <c r="I715" i="14" s="1"/>
  <c r="G715" i="14"/>
  <c r="G788" i="14"/>
  <c r="H788" i="14"/>
  <c r="I788" i="14" s="1"/>
  <c r="H724" i="14"/>
  <c r="I724" i="14" s="1"/>
  <c r="G724" i="14"/>
  <c r="H689" i="14"/>
  <c r="I689" i="14" s="1"/>
  <c r="G689" i="14"/>
  <c r="H673" i="14"/>
  <c r="I673" i="14" s="1"/>
  <c r="G673" i="14"/>
  <c r="G682" i="14"/>
  <c r="H682" i="14"/>
  <c r="I682" i="14" s="1"/>
  <c r="G666" i="14"/>
  <c r="H666" i="14"/>
  <c r="I666" i="14" s="1"/>
  <c r="G694" i="14"/>
  <c r="H694" i="14"/>
  <c r="I694" i="14" s="1"/>
  <c r="G678" i="14"/>
  <c r="H678" i="14"/>
  <c r="I678" i="14" s="1"/>
  <c r="H657" i="14"/>
  <c r="I657" i="14" s="1"/>
  <c r="G657" i="14"/>
  <c r="H641" i="14"/>
  <c r="I641" i="14" s="1"/>
  <c r="G641" i="14"/>
  <c r="H625" i="14"/>
  <c r="I625" i="14" s="1"/>
  <c r="G625" i="14"/>
  <c r="G646" i="14"/>
  <c r="H646" i="14"/>
  <c r="I646" i="14" s="1"/>
  <c r="G614" i="14"/>
  <c r="H614" i="14"/>
  <c r="I614" i="14" s="1"/>
  <c r="H589" i="14"/>
  <c r="I589" i="14" s="1"/>
  <c r="G589" i="14"/>
  <c r="H573" i="14"/>
  <c r="I573" i="14" s="1"/>
  <c r="G573" i="14"/>
  <c r="H557" i="14"/>
  <c r="I557" i="14" s="1"/>
  <c r="G557" i="14"/>
  <c r="H541" i="14"/>
  <c r="I541" i="14" s="1"/>
  <c r="G541" i="14"/>
  <c r="H525" i="14"/>
  <c r="I525" i="14" s="1"/>
  <c r="G525" i="14"/>
  <c r="H509" i="14"/>
  <c r="I509" i="14" s="1"/>
  <c r="G509" i="14"/>
  <c r="G489" i="14"/>
  <c r="H489" i="14"/>
  <c r="I489" i="14" s="1"/>
  <c r="G457" i="14"/>
  <c r="H457" i="14"/>
  <c r="I457" i="14" s="1"/>
  <c r="G506" i="14"/>
  <c r="H506" i="14"/>
  <c r="I506" i="14" s="1"/>
  <c r="H448" i="14"/>
  <c r="I448" i="14" s="1"/>
  <c r="G448" i="14"/>
  <c r="H440" i="14"/>
  <c r="I440" i="14" s="1"/>
  <c r="G440" i="14"/>
  <c r="H432" i="14"/>
  <c r="I432" i="14" s="1"/>
  <c r="G432" i="14"/>
  <c r="H424" i="14"/>
  <c r="I424" i="14" s="1"/>
  <c r="G424" i="14"/>
  <c r="H416" i="14"/>
  <c r="I416" i="14" s="1"/>
  <c r="G416" i="14"/>
  <c r="H408" i="14"/>
  <c r="I408" i="14" s="1"/>
  <c r="G408" i="14"/>
  <c r="H400" i="14"/>
  <c r="I400" i="14" s="1"/>
  <c r="G400" i="14"/>
  <c r="H392" i="14"/>
  <c r="I392" i="14" s="1"/>
  <c r="G392" i="14"/>
  <c r="H384" i="14"/>
  <c r="I384" i="14" s="1"/>
  <c r="G384" i="14"/>
  <c r="H376" i="14"/>
  <c r="I376" i="14" s="1"/>
  <c r="G376" i="14"/>
  <c r="H368" i="14"/>
  <c r="I368" i="14" s="1"/>
  <c r="G368" i="14"/>
  <c r="H360" i="14"/>
  <c r="I360" i="14" s="1"/>
  <c r="G360" i="14"/>
  <c r="H352" i="14"/>
  <c r="I352" i="14" s="1"/>
  <c r="G352" i="14"/>
  <c r="H344" i="14"/>
  <c r="I344" i="14" s="1"/>
  <c r="G344" i="14"/>
  <c r="H336" i="14"/>
  <c r="I336" i="14" s="1"/>
  <c r="G336" i="14"/>
  <c r="H328" i="14"/>
  <c r="I328" i="14" s="1"/>
  <c r="G328" i="14"/>
  <c r="G264" i="14"/>
  <c r="H264" i="14"/>
  <c r="I264" i="14" s="1"/>
  <c r="H252" i="14"/>
  <c r="I252" i="14" s="1"/>
  <c r="G252" i="14"/>
  <c r="H256" i="14"/>
  <c r="I256" i="14" s="1"/>
  <c r="G256" i="14"/>
  <c r="H210" i="14"/>
  <c r="I210" i="14" s="1"/>
  <c r="G210" i="14"/>
  <c r="H202" i="14"/>
  <c r="I202" i="14" s="1"/>
  <c r="G202" i="14"/>
  <c r="H194" i="14"/>
  <c r="I194" i="14" s="1"/>
  <c r="G194" i="14"/>
  <c r="H186" i="14"/>
  <c r="I186" i="14" s="1"/>
  <c r="G186" i="14"/>
  <c r="H178" i="14"/>
  <c r="I178" i="14" s="1"/>
  <c r="G178" i="14"/>
  <c r="H170" i="14"/>
  <c r="I170" i="14" s="1"/>
  <c r="G170" i="14"/>
  <c r="H162" i="14"/>
  <c r="I162" i="14" s="1"/>
  <c r="G162" i="14"/>
  <c r="H154" i="14"/>
  <c r="I154" i="14" s="1"/>
  <c r="G154" i="14"/>
  <c r="H146" i="14"/>
  <c r="I146" i="14" s="1"/>
  <c r="G146" i="14"/>
  <c r="H138" i="14"/>
  <c r="I138" i="14" s="1"/>
  <c r="G138" i="14"/>
  <c r="H130" i="14"/>
  <c r="I130" i="14" s="1"/>
  <c r="G130" i="14"/>
  <c r="H122" i="14"/>
  <c r="I122" i="14" s="1"/>
  <c r="G122" i="14"/>
  <c r="H114" i="14"/>
  <c r="I114" i="14" s="1"/>
  <c r="G114" i="14"/>
  <c r="H106" i="14"/>
  <c r="I106" i="14" s="1"/>
  <c r="G106" i="14"/>
  <c r="H98" i="14"/>
  <c r="I98" i="14" s="1"/>
  <c r="G98" i="14"/>
  <c r="H90" i="14"/>
  <c r="I90" i="14" s="1"/>
  <c r="G90" i="14"/>
  <c r="H82" i="14"/>
  <c r="I82" i="14" s="1"/>
  <c r="G82" i="14"/>
  <c r="G22" i="14"/>
  <c r="H22" i="14"/>
  <c r="I22" i="14" s="1"/>
  <c r="H10" i="14"/>
  <c r="I10" i="14" s="1"/>
  <c r="G10" i="14"/>
  <c r="G7" i="14"/>
  <c r="H7" i="14"/>
  <c r="I7" i="14" s="1"/>
  <c r="G34" i="14"/>
  <c r="H34" i="14"/>
  <c r="I34" i="14" s="1"/>
  <c r="H14" i="14"/>
  <c r="I14" i="14" s="1"/>
  <c r="G14" i="14"/>
  <c r="E140" i="11"/>
  <c r="F386" i="11"/>
  <c r="H386" i="11" s="1"/>
  <c r="I386" i="11" s="1"/>
  <c r="F934" i="11"/>
  <c r="E948" i="11"/>
  <c r="G948" i="11" s="1"/>
  <c r="E957" i="11"/>
  <c r="F653" i="11"/>
  <c r="F538" i="11"/>
  <c r="E359" i="11"/>
  <c r="E983" i="11"/>
  <c r="H983" i="11" s="1"/>
  <c r="I983" i="11" s="1"/>
  <c r="E179" i="11"/>
  <c r="E286" i="11"/>
  <c r="E525" i="11"/>
  <c r="E375" i="11"/>
  <c r="F966" i="11"/>
  <c r="F654" i="11"/>
  <c r="E307" i="11"/>
  <c r="E3" i="11"/>
  <c r="F98" i="11"/>
  <c r="F482" i="11"/>
  <c r="F215" i="11"/>
  <c r="F257" i="11"/>
  <c r="F268" i="11"/>
  <c r="F165" i="11"/>
  <c r="F528" i="11"/>
  <c r="F225" i="11"/>
  <c r="F70" i="11"/>
  <c r="F737" i="11"/>
  <c r="F790" i="11"/>
  <c r="F671" i="11"/>
  <c r="E556" i="11"/>
  <c r="F269" i="11"/>
  <c r="H269" i="11" s="1"/>
  <c r="I269" i="11" s="1"/>
  <c r="F308" i="11"/>
  <c r="E862" i="11"/>
  <c r="E894" i="11"/>
  <c r="E578" i="11"/>
  <c r="F682" i="11"/>
  <c r="F858" i="11"/>
  <c r="F143" i="11"/>
  <c r="H143" i="11" s="1"/>
  <c r="I143" i="11" s="1"/>
  <c r="H218" i="11"/>
  <c r="I218" i="11" s="1"/>
  <c r="E475" i="11"/>
  <c r="F512" i="11"/>
  <c r="F234" i="11"/>
  <c r="E519" i="11"/>
  <c r="F87" i="11"/>
  <c r="G87" i="11" s="1"/>
  <c r="E258" i="11"/>
  <c r="F818" i="11"/>
  <c r="F657" i="11"/>
  <c r="H657" i="11" s="1"/>
  <c r="I657" i="11" s="1"/>
  <c r="F981" i="11"/>
  <c r="E658" i="11"/>
  <c r="E504" i="11"/>
  <c r="F168" i="11"/>
  <c r="H168" i="11" s="1"/>
  <c r="I168" i="11" s="1"/>
  <c r="F537" i="11"/>
  <c r="F159" i="11"/>
  <c r="E777" i="11"/>
  <c r="G777" i="11" s="1"/>
  <c r="E486" i="11"/>
  <c r="H486" i="11" s="1"/>
  <c r="I486" i="11" s="1"/>
  <c r="F529" i="11"/>
  <c r="E81" i="11"/>
  <c r="F82" i="11"/>
  <c r="G82" i="11" s="1"/>
  <c r="E953" i="11"/>
  <c r="H953" i="11" s="1"/>
  <c r="I953" i="11" s="1"/>
  <c r="E565" i="11"/>
  <c r="G565" i="11" s="1"/>
  <c r="F430" i="11"/>
  <c r="E753" i="11"/>
  <c r="E965" i="11"/>
  <c r="G965" i="11" s="1"/>
  <c r="E886" i="11"/>
  <c r="E795" i="11"/>
  <c r="E960" i="11"/>
  <c r="F66" i="11"/>
  <c r="H66" i="11" s="1"/>
  <c r="I66" i="11" s="1"/>
  <c r="E724" i="11"/>
  <c r="E630" i="11"/>
  <c r="E352" i="11"/>
  <c r="E763" i="11"/>
  <c r="G763" i="11" s="1"/>
  <c r="E938" i="11"/>
  <c r="F882" i="11"/>
  <c r="E828" i="11"/>
  <c r="E675" i="11"/>
  <c r="G675" i="11" s="1"/>
  <c r="H326" i="11"/>
  <c r="I326" i="11" s="1"/>
  <c r="E648" i="11"/>
  <c r="G648" i="11" s="1"/>
  <c r="E166" i="11"/>
  <c r="E12" i="11"/>
  <c r="G12" i="11" s="1"/>
  <c r="F290" i="11"/>
  <c r="F54" i="11"/>
  <c r="E420" i="11"/>
  <c r="F918" i="11"/>
  <c r="G918" i="11" s="1"/>
  <c r="E586" i="11"/>
  <c r="G586" i="11" s="1"/>
  <c r="F496" i="11"/>
  <c r="H496" i="11" s="1"/>
  <c r="I496" i="11" s="1"/>
  <c r="E296" i="11"/>
  <c r="G296" i="11" s="1"/>
  <c r="E444" i="11"/>
  <c r="H444" i="11" s="1"/>
  <c r="I444" i="11" s="1"/>
  <c r="F262" i="11"/>
  <c r="F939" i="11"/>
  <c r="E412" i="11"/>
  <c r="F14" i="11"/>
  <c r="H14" i="11" s="1"/>
  <c r="I14" i="11" s="1"/>
  <c r="F955" i="11"/>
  <c r="F567" i="11"/>
  <c r="F138" i="11"/>
  <c r="G138" i="11" s="1"/>
  <c r="E652" i="11"/>
  <c r="E969" i="11"/>
  <c r="F839" i="11"/>
  <c r="E797" i="11"/>
  <c r="G797" i="11" s="1"/>
  <c r="E209" i="11"/>
  <c r="F720" i="11"/>
  <c r="E711" i="11"/>
  <c r="F148" i="11"/>
  <c r="H148" i="11" s="1"/>
  <c r="I148" i="11" s="1"/>
  <c r="E929" i="11"/>
  <c r="F351" i="11"/>
  <c r="E536" i="11"/>
  <c r="E600" i="11"/>
  <c r="H600" i="11" s="1"/>
  <c r="I600" i="11" s="1"/>
  <c r="E204" i="11"/>
  <c r="F848" i="11"/>
  <c r="G848" i="11" s="1"/>
  <c r="E316" i="11"/>
  <c r="F396" i="11"/>
  <c r="E908" i="11"/>
  <c r="F951" i="11"/>
  <c r="G951" i="11" s="1"/>
  <c r="F432" i="11"/>
  <c r="E521" i="11"/>
  <c r="G521" i="11" s="1"/>
  <c r="F893" i="11"/>
  <c r="E903" i="11"/>
  <c r="H903" i="11" s="1"/>
  <c r="I903" i="11" s="1"/>
  <c r="E389" i="11"/>
  <c r="F437" i="11"/>
  <c r="E187" i="11"/>
  <c r="E727" i="11"/>
  <c r="G727" i="11" s="1"/>
  <c r="E74" i="11"/>
  <c r="E942" i="11"/>
  <c r="F704" i="11"/>
  <c r="F635" i="11"/>
  <c r="G635" i="11" s="1"/>
  <c r="E639" i="11"/>
  <c r="E114" i="11"/>
  <c r="E399" i="11"/>
  <c r="F454" i="11"/>
  <c r="H454" i="11" s="1"/>
  <c r="I454" i="11" s="1"/>
  <c r="E990" i="11"/>
  <c r="E754" i="11"/>
  <c r="G754" i="11" s="1"/>
  <c r="E49" i="11"/>
  <c r="E391" i="11"/>
  <c r="H391" i="11" s="1"/>
  <c r="I391" i="11" s="1"/>
  <c r="E1001" i="11"/>
  <c r="H1001" i="11" s="1"/>
  <c r="I1001" i="11" s="1"/>
  <c r="E611" i="11"/>
  <c r="F602" i="11"/>
  <c r="G602" i="11" s="1"/>
  <c r="E301" i="11"/>
  <c r="H301" i="11" s="1"/>
  <c r="I301" i="11" s="1"/>
  <c r="F665" i="11"/>
  <c r="F481" i="11"/>
  <c r="F740" i="11"/>
  <c r="H740" i="11" s="1"/>
  <c r="I740" i="11" s="1"/>
  <c r="E71" i="11"/>
  <c r="H71" i="11" s="1"/>
  <c r="I71" i="11" s="1"/>
  <c r="E409" i="11"/>
  <c r="E238" i="11"/>
  <c r="G238" i="11" s="1"/>
  <c r="E174" i="11"/>
  <c r="F284" i="11"/>
  <c r="G284" i="11" s="1"/>
  <c r="E755" i="11"/>
  <c r="F560" i="11"/>
  <c r="F734" i="11"/>
  <c r="F785" i="11"/>
  <c r="H785" i="11" s="1"/>
  <c r="I785" i="11" s="1"/>
  <c r="F811" i="11"/>
  <c r="G811" i="11" s="1"/>
  <c r="F13" i="11"/>
  <c r="E446" i="11"/>
  <c r="E680" i="11"/>
  <c r="H680" i="11" s="1"/>
  <c r="I680" i="11" s="1"/>
  <c r="E744" i="11"/>
  <c r="H529" i="11"/>
  <c r="I529" i="11" s="1"/>
  <c r="F686" i="11"/>
  <c r="H686" i="11" s="1"/>
  <c r="I686" i="11" s="1"/>
  <c r="E615" i="11"/>
  <c r="F750" i="11"/>
  <c r="F492" i="11"/>
  <c r="F468" i="11"/>
  <c r="H468" i="11" s="1"/>
  <c r="I468" i="11" s="1"/>
  <c r="F669" i="11"/>
  <c r="F843" i="11"/>
  <c r="G215" i="11"/>
  <c r="F469" i="11"/>
  <c r="H469" i="11" s="1"/>
  <c r="I469" i="11" s="1"/>
  <c r="F202" i="11"/>
  <c r="H202" i="11" s="1"/>
  <c r="I202" i="11" s="1"/>
  <c r="E203" i="11"/>
  <c r="F721" i="11"/>
  <c r="E757" i="11"/>
  <c r="H757" i="11" s="1"/>
  <c r="I757" i="11" s="1"/>
  <c r="E662" i="11"/>
  <c r="E72" i="11"/>
  <c r="F663" i="11"/>
  <c r="G663" i="11" s="1"/>
  <c r="E607" i="11"/>
  <c r="G607" i="11" s="1"/>
  <c r="E584" i="11"/>
  <c r="F279" i="11"/>
  <c r="G279" i="11" s="1"/>
  <c r="E687" i="11"/>
  <c r="F703" i="11"/>
  <c r="G703" i="11" s="1"/>
  <c r="F100" i="11"/>
  <c r="H100" i="11" s="1"/>
  <c r="I100" i="11" s="1"/>
  <c r="E982" i="11"/>
  <c r="F254" i="11"/>
  <c r="E484" i="11"/>
  <c r="G484" i="11" s="1"/>
  <c r="F530" i="11"/>
  <c r="E275" i="11"/>
  <c r="H275" i="11" s="1"/>
  <c r="I275" i="11" s="1"/>
  <c r="F789" i="11"/>
  <c r="H789" i="11" s="1"/>
  <c r="I789" i="11" s="1"/>
  <c r="H613" i="11"/>
  <c r="I613" i="11" s="1"/>
  <c r="H305" i="11"/>
  <c r="I305" i="11" s="1"/>
  <c r="G286" i="11"/>
  <c r="E331" i="11"/>
  <c r="E805" i="11"/>
  <c r="G805" i="11" s="1"/>
  <c r="E251" i="11"/>
  <c r="F543" i="11"/>
  <c r="H543" i="11" s="1"/>
  <c r="I543" i="11" s="1"/>
  <c r="G475" i="11"/>
  <c r="E320" i="11"/>
  <c r="H320" i="11" s="1"/>
  <c r="I320" i="11" s="1"/>
  <c r="E289" i="11"/>
  <c r="E796" i="11"/>
  <c r="E806" i="11"/>
  <c r="E604" i="11"/>
  <c r="H604" i="11" s="1"/>
  <c r="I604" i="11" s="1"/>
  <c r="E891" i="11"/>
  <c r="F597" i="11"/>
  <c r="F554" i="11"/>
  <c r="E869" i="11"/>
  <c r="H869" i="11" s="1"/>
  <c r="I869" i="11" s="1"/>
  <c r="H818" i="11"/>
  <c r="I818" i="11" s="1"/>
  <c r="G818" i="11"/>
  <c r="G168" i="11"/>
  <c r="H396" i="11"/>
  <c r="I396" i="11" s="1"/>
  <c r="G396" i="11"/>
  <c r="G469" i="11"/>
  <c r="H257" i="11"/>
  <c r="I257" i="11" s="1"/>
  <c r="G257" i="11"/>
  <c r="G527" i="11"/>
  <c r="G750" i="11"/>
  <c r="G969" i="11"/>
  <c r="G512" i="11"/>
  <c r="G661" i="11"/>
  <c r="G468" i="11"/>
  <c r="G209" i="11"/>
  <c r="G234" i="11"/>
  <c r="G344" i="11"/>
  <c r="G843" i="11"/>
  <c r="G957" i="11"/>
  <c r="G858" i="11"/>
  <c r="H457" i="11"/>
  <c r="I457" i="11" s="1"/>
  <c r="E788" i="11"/>
  <c r="H788" i="11" s="1"/>
  <c r="I788" i="11" s="1"/>
  <c r="F788" i="11"/>
  <c r="F422" i="11"/>
  <c r="E422" i="11"/>
  <c r="F889" i="11"/>
  <c r="H889" i="11" s="1"/>
  <c r="I889" i="11" s="1"/>
  <c r="E889" i="11"/>
  <c r="G652" i="11"/>
  <c r="H140" i="11"/>
  <c r="I140" i="11" s="1"/>
  <c r="G600" i="11"/>
  <c r="H258" i="11"/>
  <c r="I258" i="11" s="1"/>
  <c r="G662" i="11"/>
  <c r="H316" i="11"/>
  <c r="I316" i="11" s="1"/>
  <c r="E458" i="11"/>
  <c r="F458" i="11"/>
  <c r="H458" i="11" s="1"/>
  <c r="I458" i="11" s="1"/>
  <c r="F381" i="11"/>
  <c r="E381" i="11"/>
  <c r="H381" i="11" s="1"/>
  <c r="I381" i="11" s="1"/>
  <c r="E876" i="11"/>
  <c r="F876" i="11"/>
  <c r="F697" i="11"/>
  <c r="H697" i="11" s="1"/>
  <c r="I697" i="11" s="1"/>
  <c r="E353" i="11"/>
  <c r="G353" i="11" s="1"/>
  <c r="F314" i="11"/>
  <c r="F970" i="11"/>
  <c r="H970" i="11" s="1"/>
  <c r="I970" i="11" s="1"/>
  <c r="E377" i="11"/>
  <c r="G377" i="11" s="1"/>
  <c r="F266" i="11"/>
  <c r="F792" i="11"/>
  <c r="H792" i="11" s="1"/>
  <c r="I792" i="11" s="1"/>
  <c r="E831" i="11"/>
  <c r="G831" i="11" s="1"/>
  <c r="F513" i="11"/>
  <c r="F502" i="11"/>
  <c r="H502" i="11" s="1"/>
  <c r="I502" i="11" s="1"/>
  <c r="E223" i="11"/>
  <c r="G223" i="11" s="1"/>
  <c r="F55" i="11"/>
  <c r="F263" i="11"/>
  <c r="H263" i="11" s="1"/>
  <c r="I263" i="11" s="1"/>
  <c r="E924" i="11"/>
  <c r="G924" i="11" s="1"/>
  <c r="F410" i="11"/>
  <c r="E535" i="11"/>
  <c r="F107" i="11"/>
  <c r="H107" i="11" s="1"/>
  <c r="I107" i="11" s="1"/>
  <c r="E16" i="11"/>
  <c r="F356" i="11"/>
  <c r="H356" i="11" s="1"/>
  <c r="I356" i="11" s="1"/>
  <c r="E623" i="11"/>
  <c r="F167" i="11"/>
  <c r="H167" i="11" s="1"/>
  <c r="I167" i="11" s="1"/>
  <c r="E551" i="11"/>
  <c r="F937" i="11"/>
  <c r="F520" i="11"/>
  <c r="G520" i="11" s="1"/>
  <c r="F985" i="11"/>
  <c r="H985" i="11" s="1"/>
  <c r="I985" i="11" s="1"/>
  <c r="E60" i="11"/>
  <c r="G60" i="11" s="1"/>
  <c r="F627" i="11"/>
  <c r="F809" i="11"/>
  <c r="F505" i="11"/>
  <c r="H505" i="11" s="1"/>
  <c r="I505" i="11" s="1"/>
  <c r="E861" i="11"/>
  <c r="G861" i="11" s="1"/>
  <c r="E596" i="11"/>
  <c r="E986" i="11"/>
  <c r="H986" i="11" s="1"/>
  <c r="I986" i="11" s="1"/>
  <c r="E962" i="11"/>
  <c r="G962" i="11" s="1"/>
  <c r="E101" i="11"/>
  <c r="H101" i="11" s="1"/>
  <c r="I101" i="11" s="1"/>
  <c r="F116" i="11"/>
  <c r="H116" i="11" s="1"/>
  <c r="I116" i="11" s="1"/>
  <c r="E585" i="11"/>
  <c r="G585" i="11" s="1"/>
  <c r="E503" i="11"/>
  <c r="G503" i="11" s="1"/>
  <c r="E298" i="11"/>
  <c r="F540" i="11"/>
  <c r="F628" i="11"/>
  <c r="E628" i="11"/>
  <c r="G983" i="11"/>
  <c r="F276" i="11"/>
  <c r="E276" i="11"/>
  <c r="H389" i="11"/>
  <c r="I389" i="11" s="1"/>
  <c r="G389" i="11"/>
  <c r="F847" i="11"/>
  <c r="H847" i="11" s="1"/>
  <c r="I847" i="11" s="1"/>
  <c r="E749" i="11"/>
  <c r="F214" i="11"/>
  <c r="G214" i="11" s="1"/>
  <c r="E681" i="11"/>
  <c r="F892" i="11"/>
  <c r="H892" i="11" s="1"/>
  <c r="I892" i="11" s="1"/>
  <c r="E751" i="11"/>
  <c r="F823" i="11"/>
  <c r="G823" i="11" s="1"/>
  <c r="E406" i="11"/>
  <c r="F689" i="11"/>
  <c r="H689" i="11" s="1"/>
  <c r="I689" i="11" s="1"/>
  <c r="E550" i="11"/>
  <c r="E364" i="11"/>
  <c r="G140" i="11"/>
  <c r="E6" i="11"/>
  <c r="H6" i="11" s="1"/>
  <c r="I6" i="11" s="1"/>
  <c r="G258" i="11"/>
  <c r="E844" i="11"/>
  <c r="G316" i="11"/>
  <c r="E944" i="11"/>
  <c r="H944" i="11" s="1"/>
  <c r="I944" i="11" s="1"/>
  <c r="F547" i="11"/>
  <c r="F358" i="11"/>
  <c r="E952" i="11"/>
  <c r="E471" i="11"/>
  <c r="H471" i="11" s="1"/>
  <c r="I471" i="11" s="1"/>
  <c r="G165" i="11"/>
  <c r="F483" i="11"/>
  <c r="F624" i="11"/>
  <c r="H703" i="11"/>
  <c r="I703" i="11" s="1"/>
  <c r="E783" i="11"/>
  <c r="E448" i="11"/>
  <c r="G143" i="11"/>
  <c r="E709" i="11"/>
  <c r="G709" i="11" s="1"/>
  <c r="E592" i="11"/>
  <c r="F388" i="11"/>
  <c r="F864" i="11"/>
  <c r="F311" i="11"/>
  <c r="H311" i="11" s="1"/>
  <c r="I311" i="11" s="1"/>
  <c r="F418" i="11"/>
  <c r="E717" i="11"/>
  <c r="F717" i="11"/>
  <c r="E154" i="11"/>
  <c r="G154" i="11" s="1"/>
  <c r="G891" i="11"/>
  <c r="H482" i="11"/>
  <c r="I482" i="11" s="1"/>
  <c r="G482" i="11"/>
  <c r="F2" i="11"/>
  <c r="F288" i="11"/>
  <c r="F959" i="11"/>
  <c r="H959" i="11" s="1"/>
  <c r="I959" i="11" s="1"/>
  <c r="F642" i="11"/>
  <c r="G642" i="11" s="1"/>
  <c r="F295" i="11"/>
  <c r="H295" i="11" s="1"/>
  <c r="I295" i="11" s="1"/>
  <c r="G966" i="11"/>
  <c r="F184" i="11"/>
  <c r="F807" i="11"/>
  <c r="H807" i="11" s="1"/>
  <c r="I807" i="11" s="1"/>
  <c r="F975" i="11"/>
  <c r="F185" i="11"/>
  <c r="H685" i="11"/>
  <c r="I685" i="11" s="1"/>
  <c r="E390" i="11"/>
  <c r="G390" i="11" s="1"/>
  <c r="F419" i="11"/>
  <c r="H419" i="11" s="1"/>
  <c r="I419" i="11" s="1"/>
  <c r="E564" i="11"/>
  <c r="G564" i="11" s="1"/>
  <c r="F312" i="11"/>
  <c r="F9" i="11"/>
  <c r="H9" i="11" s="1"/>
  <c r="I9" i="11" s="1"/>
  <c r="E725" i="11"/>
  <c r="F57" i="11"/>
  <c r="F32" i="11"/>
  <c r="F693" i="11"/>
  <c r="G693" i="11" s="1"/>
  <c r="E169" i="11"/>
  <c r="F188" i="11"/>
  <c r="F867" i="11"/>
  <c r="F824" i="11"/>
  <c r="H824" i="11" s="1"/>
  <c r="I824" i="11" s="1"/>
  <c r="F838" i="11"/>
  <c r="F91" i="11"/>
  <c r="E570" i="11"/>
  <c r="E835" i="11"/>
  <c r="H835" i="11" s="1"/>
  <c r="I835" i="11" s="1"/>
  <c r="E713" i="11"/>
  <c r="E183" i="11"/>
  <c r="G183" i="11" s="1"/>
  <c r="H602" i="11"/>
  <c r="I602" i="11" s="1"/>
  <c r="G270" i="11"/>
  <c r="G660" i="11"/>
  <c r="H286" i="11"/>
  <c r="I286" i="11" s="1"/>
  <c r="H475" i="11"/>
  <c r="I475" i="11" s="1"/>
  <c r="E762" i="11"/>
  <c r="E461" i="11"/>
  <c r="E191" i="11"/>
  <c r="G191" i="11" s="1"/>
  <c r="E617" i="11"/>
  <c r="G617" i="11" s="1"/>
  <c r="E851" i="11"/>
  <c r="E780" i="11"/>
  <c r="E135" i="11"/>
  <c r="G135" i="11" s="1"/>
  <c r="F180" i="11"/>
  <c r="H180" i="11" s="1"/>
  <c r="I180" i="11" s="1"/>
  <c r="F261" i="11"/>
  <c r="G261" i="11" s="1"/>
  <c r="F335" i="11"/>
  <c r="F336" i="11"/>
  <c r="G336" i="11" s="1"/>
  <c r="F402" i="11"/>
  <c r="G402" i="11" s="1"/>
  <c r="F414" i="11"/>
  <c r="E299" i="11"/>
  <c r="H299" i="11" s="1"/>
  <c r="I299" i="11" s="1"/>
  <c r="F236" i="11"/>
  <c r="G236" i="11" s="1"/>
  <c r="F728" i="11"/>
  <c r="F474" i="11"/>
  <c r="F531" i="11"/>
  <c r="G531" i="11" s="1"/>
  <c r="E118" i="11"/>
  <c r="H118" i="11" s="1"/>
  <c r="I118" i="11" s="1"/>
  <c r="F791" i="11"/>
  <c r="F259" i="11"/>
  <c r="F144" i="11"/>
  <c r="F416" i="11"/>
  <c r="H416" i="11" s="1"/>
  <c r="I416" i="11" s="1"/>
  <c r="E610" i="11"/>
  <c r="F705" i="11"/>
  <c r="H705" i="11" s="1"/>
  <c r="I705" i="11" s="1"/>
  <c r="E841" i="11"/>
  <c r="H841" i="11" s="1"/>
  <c r="I841" i="11" s="1"/>
  <c r="E190" i="11"/>
  <c r="H190" i="11" s="1"/>
  <c r="I190" i="11" s="1"/>
  <c r="E926" i="11"/>
  <c r="E332" i="11"/>
  <c r="F39" i="11"/>
  <c r="H39" i="11" s="1"/>
  <c r="I39" i="11" s="1"/>
  <c r="F325" i="11"/>
  <c r="H325" i="11" s="1"/>
  <c r="I325" i="11" s="1"/>
  <c r="E50" i="11"/>
  <c r="G50" i="11" s="1"/>
  <c r="E730" i="11"/>
  <c r="G34" i="11"/>
  <c r="F881" i="11"/>
  <c r="H881" i="11" s="1"/>
  <c r="I881" i="11" s="1"/>
  <c r="E75" i="11"/>
  <c r="G75" i="11" s="1"/>
  <c r="F544" i="11"/>
  <c r="F936" i="11"/>
  <c r="H936" i="11" s="1"/>
  <c r="I936" i="11" s="1"/>
  <c r="E152" i="11"/>
  <c r="H152" i="11" s="1"/>
  <c r="I152" i="11" s="1"/>
  <c r="F322" i="11"/>
  <c r="G322" i="11" s="1"/>
  <c r="F324" i="11"/>
  <c r="G324" i="11" s="1"/>
  <c r="E92" i="11"/>
  <c r="H648" i="11"/>
  <c r="I648" i="11" s="1"/>
  <c r="F667" i="11"/>
  <c r="G667" i="11" s="1"/>
  <c r="E626" i="11"/>
  <c r="F146" i="11"/>
  <c r="F1000" i="11"/>
  <c r="H1000" i="11" s="1"/>
  <c r="I1000" i="11" s="1"/>
  <c r="H560" i="11"/>
  <c r="I560" i="11" s="1"/>
  <c r="E508" i="11"/>
  <c r="H54" i="11"/>
  <c r="I54" i="11" s="1"/>
  <c r="E741" i="11"/>
  <c r="H741" i="11" s="1"/>
  <c r="I741" i="11" s="1"/>
  <c r="F291" i="11"/>
  <c r="F343" i="11"/>
  <c r="E105" i="11"/>
  <c r="E649" i="11"/>
  <c r="H649" i="11" s="1"/>
  <c r="I649" i="11" s="1"/>
  <c r="H811" i="11"/>
  <c r="I811" i="11" s="1"/>
  <c r="E968" i="11"/>
  <c r="E979" i="11"/>
  <c r="E455" i="11"/>
  <c r="H455" i="11" s="1"/>
  <c r="I455" i="11" s="1"/>
  <c r="E534" i="11"/>
  <c r="H579" i="11"/>
  <c r="I579" i="11" s="1"/>
  <c r="G579" i="11"/>
  <c r="H540" i="11"/>
  <c r="I540" i="11" s="1"/>
  <c r="G540" i="11"/>
  <c r="G681" i="11"/>
  <c r="G406" i="11"/>
  <c r="G711" i="11"/>
  <c r="H16" i="11"/>
  <c r="I16" i="11" s="1"/>
  <c r="H536" i="11"/>
  <c r="I536" i="11" s="1"/>
  <c r="H623" i="11"/>
  <c r="I623" i="11" s="1"/>
  <c r="H72" i="11"/>
  <c r="I72" i="11" s="1"/>
  <c r="H359" i="11"/>
  <c r="I359" i="11" s="1"/>
  <c r="H628" i="11"/>
  <c r="I628" i="11" s="1"/>
  <c r="E150" i="11"/>
  <c r="F150" i="11"/>
  <c r="E338" i="11"/>
  <c r="F338" i="11"/>
  <c r="F477" i="11"/>
  <c r="E477" i="11"/>
  <c r="F609" i="11"/>
  <c r="E609" i="11"/>
  <c r="F533" i="11"/>
  <c r="E533" i="11"/>
  <c r="E369" i="11"/>
  <c r="F369" i="11"/>
  <c r="F123" i="11"/>
  <c r="E123" i="11"/>
  <c r="G13" i="11"/>
  <c r="H13" i="11"/>
  <c r="I13" i="11" s="1"/>
  <c r="H465" i="11"/>
  <c r="I465" i="11" s="1"/>
  <c r="G465" i="11"/>
  <c r="E220" i="11"/>
  <c r="F220" i="11"/>
  <c r="H220" i="11" s="1"/>
  <c r="I220" i="11" s="1"/>
  <c r="F425" i="11"/>
  <c r="E425" i="11"/>
  <c r="H194" i="11"/>
  <c r="I194" i="11" s="1"/>
  <c r="H535" i="11"/>
  <c r="I535" i="11" s="1"/>
  <c r="H519" i="11"/>
  <c r="I519" i="11" s="1"/>
  <c r="H204" i="11"/>
  <c r="I204" i="11" s="1"/>
  <c r="H844" i="11"/>
  <c r="I844" i="11" s="1"/>
  <c r="H551" i="11"/>
  <c r="I551" i="11" s="1"/>
  <c r="H596" i="11"/>
  <c r="I596" i="11" s="1"/>
  <c r="H982" i="11"/>
  <c r="I982" i="11" s="1"/>
  <c r="F44" i="11"/>
  <c r="E44" i="11"/>
  <c r="E760" i="11"/>
  <c r="F760" i="11"/>
  <c r="H187" i="11"/>
  <c r="I187" i="11" s="1"/>
  <c r="G187" i="11"/>
  <c r="E646" i="11"/>
  <c r="F646" i="11"/>
  <c r="E771" i="11"/>
  <c r="F771" i="11"/>
  <c r="F683" i="11"/>
  <c r="E683" i="11"/>
  <c r="G753" i="11"/>
  <c r="H753" i="11"/>
  <c r="I753" i="11" s="1"/>
  <c r="F803" i="11"/>
  <c r="E803" i="11"/>
  <c r="E452" i="11"/>
  <c r="F452" i="11"/>
  <c r="F773" i="11"/>
  <c r="E773" i="11"/>
  <c r="F423" i="11"/>
  <c r="E423" i="11"/>
  <c r="F403" i="11"/>
  <c r="E403" i="11"/>
  <c r="E245" i="11"/>
  <c r="F245" i="11"/>
  <c r="G495" i="11"/>
  <c r="H495" i="11"/>
  <c r="I495" i="11" s="1"/>
  <c r="F714" i="11"/>
  <c r="E714" i="11"/>
  <c r="E860" i="11"/>
  <c r="G860" i="11" s="1"/>
  <c r="F510" i="11"/>
  <c r="H510" i="11" s="1"/>
  <c r="I510" i="11" s="1"/>
  <c r="E404" i="11"/>
  <c r="G404" i="11" s="1"/>
  <c r="F297" i="11"/>
  <c r="G297" i="11" s="1"/>
  <c r="E878" i="11"/>
  <c r="G878" i="11" s="1"/>
  <c r="F874" i="11"/>
  <c r="G874" i="11" s="1"/>
  <c r="E756" i="11"/>
  <c r="G756" i="11" s="1"/>
  <c r="F201" i="11"/>
  <c r="G201" i="11" s="1"/>
  <c r="E161" i="11"/>
  <c r="G161" i="11" s="1"/>
  <c r="F227" i="11"/>
  <c r="H227" i="11" s="1"/>
  <c r="I227" i="11" s="1"/>
  <c r="E61" i="11"/>
  <c r="G61" i="11" s="1"/>
  <c r="F421" i="11"/>
  <c r="G421" i="11" s="1"/>
  <c r="E441" i="11"/>
  <c r="G441" i="11" s="1"/>
  <c r="F95" i="11"/>
  <c r="H95" i="11" s="1"/>
  <c r="I95" i="11" s="1"/>
  <c r="E638" i="11"/>
  <c r="G638" i="11" s="1"/>
  <c r="F715" i="11"/>
  <c r="G715" i="11" s="1"/>
  <c r="E247" i="11"/>
  <c r="G247" i="11" s="1"/>
  <c r="F23" i="11"/>
  <c r="H23" i="11" s="1"/>
  <c r="I23" i="11" s="1"/>
  <c r="E782" i="11"/>
  <c r="G782" i="11" s="1"/>
  <c r="F401" i="11"/>
  <c r="H401" i="11" s="1"/>
  <c r="I401" i="11" s="1"/>
  <c r="F195" i="11"/>
  <c r="F355" i="11"/>
  <c r="G355" i="11" s="1"/>
  <c r="F643" i="11"/>
  <c r="F132" i="11"/>
  <c r="H132" i="11" s="1"/>
  <c r="I132" i="11" s="1"/>
  <c r="F265" i="11"/>
  <c r="F63" i="11"/>
  <c r="G63" i="11" s="1"/>
  <c r="F857" i="11"/>
  <c r="H358" i="11"/>
  <c r="I358" i="11" s="1"/>
  <c r="E574" i="11"/>
  <c r="F157" i="11"/>
  <c r="G157" i="11" s="1"/>
  <c r="E820" i="11"/>
  <c r="F692" i="11"/>
  <c r="H692" i="11" s="1"/>
  <c r="I692" i="11" s="1"/>
  <c r="E30" i="11"/>
  <c r="G30" i="11" s="1"/>
  <c r="E379" i="11"/>
  <c r="G379" i="11" s="1"/>
  <c r="E433" i="11"/>
  <c r="E177" i="11"/>
  <c r="F346" i="11"/>
  <c r="H346" i="11" s="1"/>
  <c r="I346" i="11" s="1"/>
  <c r="H653" i="11"/>
  <c r="I653" i="11" s="1"/>
  <c r="H483" i="11"/>
  <c r="I483" i="11" s="1"/>
  <c r="E69" i="11"/>
  <c r="G69" i="11" s="1"/>
  <c r="G809" i="11"/>
  <c r="F253" i="11"/>
  <c r="H253" i="11" s="1"/>
  <c r="I253" i="11" s="1"/>
  <c r="E334" i="11"/>
  <c r="G334" i="11" s="1"/>
  <c r="E445" i="11"/>
  <c r="F524" i="11"/>
  <c r="E367" i="11"/>
  <c r="G367" i="11" s="1"/>
  <c r="E708" i="11"/>
  <c r="E122" i="11"/>
  <c r="H122" i="11" s="1"/>
  <c r="I122" i="11" s="1"/>
  <c r="E231" i="11"/>
  <c r="E987" i="11"/>
  <c r="H987" i="11" s="1"/>
  <c r="I987" i="11" s="1"/>
  <c r="F387" i="11"/>
  <c r="G387" i="11" s="1"/>
  <c r="G101" i="11"/>
  <c r="E380" i="11"/>
  <c r="G380" i="11" s="1"/>
  <c r="G538" i="11"/>
  <c r="F485" i="11"/>
  <c r="H485" i="11" s="1"/>
  <c r="I485" i="11" s="1"/>
  <c r="E449" i="11"/>
  <c r="G449" i="11" s="1"/>
  <c r="E56" i="11"/>
  <c r="F133" i="11"/>
  <c r="G133" i="11" s="1"/>
  <c r="F434" i="11"/>
  <c r="F670" i="11"/>
  <c r="E670" i="11"/>
  <c r="E506" i="11"/>
  <c r="G506" i="11" s="1"/>
  <c r="G275" i="11"/>
  <c r="E563" i="11"/>
  <c r="F904" i="11"/>
  <c r="G904" i="11" s="1"/>
  <c r="E905" i="11"/>
  <c r="G905" i="11" s="1"/>
  <c r="F650" i="11"/>
  <c r="G650" i="11" s="1"/>
  <c r="F155" i="11"/>
  <c r="H155" i="11" s="1"/>
  <c r="I155" i="11" s="1"/>
  <c r="F429" i="11"/>
  <c r="H429" i="11" s="1"/>
  <c r="I429" i="11" s="1"/>
  <c r="F450" i="11"/>
  <c r="E450" i="11"/>
  <c r="F854" i="11"/>
  <c r="E854" i="11"/>
  <c r="F865" i="11"/>
  <c r="G865" i="11" s="1"/>
  <c r="H335" i="11"/>
  <c r="I335" i="11" s="1"/>
  <c r="G737" i="11"/>
  <c r="E255" i="11"/>
  <c r="F255" i="11"/>
  <c r="F274" i="11"/>
  <c r="E274" i="11"/>
  <c r="F958" i="11"/>
  <c r="E958" i="11"/>
  <c r="G728" i="11"/>
  <c r="E490" i="11"/>
  <c r="F490" i="11"/>
  <c r="F601" i="11"/>
  <c r="E601" i="11"/>
  <c r="E998" i="11"/>
  <c r="F998" i="11"/>
  <c r="F694" i="11"/>
  <c r="E694" i="11"/>
  <c r="H570" i="11"/>
  <c r="I570" i="11" s="1"/>
  <c r="G570" i="11"/>
  <c r="F576" i="11"/>
  <c r="E576" i="11"/>
  <c r="F207" i="11"/>
  <c r="E207" i="11"/>
  <c r="F779" i="11"/>
  <c r="E779" i="11"/>
  <c r="F408" i="11"/>
  <c r="E408" i="11"/>
  <c r="E688" i="11"/>
  <c r="F688" i="11"/>
  <c r="F282" i="11"/>
  <c r="E282" i="11"/>
  <c r="F913" i="11"/>
  <c r="E913" i="11"/>
  <c r="E976" i="11"/>
  <c r="F976" i="11"/>
  <c r="E494" i="11"/>
  <c r="F494" i="11"/>
  <c r="F198" i="11"/>
  <c r="E198" i="11"/>
  <c r="F382" i="11"/>
  <c r="E382" i="11"/>
  <c r="E883" i="11"/>
  <c r="F883" i="11"/>
  <c r="G749" i="11"/>
  <c r="G894" i="11"/>
  <c r="G751" i="11"/>
  <c r="G578" i="11"/>
  <c r="G550" i="11"/>
  <c r="H364" i="11"/>
  <c r="I364" i="11" s="1"/>
  <c r="G346" i="11"/>
  <c r="G596" i="11"/>
  <c r="G359" i="11"/>
  <c r="F318" i="11"/>
  <c r="E318" i="11"/>
  <c r="E552" i="11"/>
  <c r="F552" i="11"/>
  <c r="F205" i="11"/>
  <c r="E205" i="11"/>
  <c r="G613" i="11"/>
  <c r="F827" i="11"/>
  <c r="E827" i="11"/>
  <c r="G70" i="11"/>
  <c r="H70" i="11"/>
  <c r="I70" i="11" s="1"/>
  <c r="F954" i="11"/>
  <c r="E954" i="11"/>
  <c r="H954" i="11" s="1"/>
  <c r="I954" i="11" s="1"/>
  <c r="F834" i="11"/>
  <c r="E834" i="11"/>
  <c r="E866" i="11"/>
  <c r="F866" i="11"/>
  <c r="H866" i="11" s="1"/>
  <c r="I866" i="11" s="1"/>
  <c r="F243" i="11"/>
  <c r="E243" i="11"/>
  <c r="F997" i="11"/>
  <c r="E997" i="11"/>
  <c r="E559" i="11"/>
  <c r="F559" i="11"/>
  <c r="F163" i="11"/>
  <c r="E163" i="11"/>
  <c r="H163" i="11" s="1"/>
  <c r="I163" i="11" s="1"/>
  <c r="F647" i="11"/>
  <c r="E647" i="11"/>
  <c r="E932" i="11"/>
  <c r="F932" i="11"/>
  <c r="G932" i="11" s="1"/>
  <c r="E38" i="11"/>
  <c r="F38" i="11"/>
  <c r="E873" i="11"/>
  <c r="F873" i="11"/>
  <c r="H873" i="11" s="1"/>
  <c r="I873" i="11" s="1"/>
  <c r="F104" i="11"/>
  <c r="E104" i="11"/>
  <c r="F145" i="11"/>
  <c r="E145" i="11"/>
  <c r="G145" i="11" s="1"/>
  <c r="F442" i="11"/>
  <c r="E442" i="11"/>
  <c r="H615" i="11"/>
  <c r="I615" i="11" s="1"/>
  <c r="F632" i="11"/>
  <c r="H632" i="11" s="1"/>
  <c r="I632" i="11" s="1"/>
  <c r="F41" i="11"/>
  <c r="G41" i="11" s="1"/>
  <c r="F478" i="11"/>
  <c r="F164" i="11"/>
  <c r="G164" i="11" s="1"/>
  <c r="F545" i="11"/>
  <c r="H545" i="11" s="1"/>
  <c r="I545" i="11" s="1"/>
  <c r="F147" i="11"/>
  <c r="G147" i="11" s="1"/>
  <c r="F991" i="11"/>
  <c r="F315" i="11"/>
  <c r="G315" i="11" s="1"/>
  <c r="F68" i="11"/>
  <c r="H68" i="11" s="1"/>
  <c r="I68" i="11" s="1"/>
  <c r="F498" i="11"/>
  <c r="G498" i="11" s="1"/>
  <c r="E267" i="11"/>
  <c r="H267" i="11" s="1"/>
  <c r="I267" i="11" s="1"/>
  <c r="E871" i="11"/>
  <c r="H871" i="11" s="1"/>
  <c r="I871" i="11" s="1"/>
  <c r="G929" i="11"/>
  <c r="E514" i="11"/>
  <c r="H514" i="11" s="1"/>
  <c r="I514" i="11" s="1"/>
  <c r="G351" i="11"/>
  <c r="E467" i="11"/>
  <c r="H467" i="11" s="1"/>
  <c r="I467" i="11" s="1"/>
  <c r="G203" i="11"/>
  <c r="E365" i="11"/>
  <c r="H365" i="11" s="1"/>
  <c r="I365" i="11" s="1"/>
  <c r="G721" i="11"/>
  <c r="E453" i="11"/>
  <c r="H453" i="11" s="1"/>
  <c r="I453" i="11" s="1"/>
  <c r="G920" i="11"/>
  <c r="E786" i="11"/>
  <c r="H786" i="11" s="1"/>
  <c r="I786" i="11" s="1"/>
  <c r="G934" i="11"/>
  <c r="H937" i="11"/>
  <c r="I937" i="11" s="1"/>
  <c r="F108" i="11"/>
  <c r="G108" i="11" s="1"/>
  <c r="F961" i="11"/>
  <c r="H961" i="11" s="1"/>
  <c r="I961" i="11" s="1"/>
  <c r="E499" i="11"/>
  <c r="G499" i="11" s="1"/>
  <c r="H432" i="11"/>
  <c r="I432" i="11" s="1"/>
  <c r="H165" i="11"/>
  <c r="I165" i="11" s="1"/>
  <c r="E178" i="11"/>
  <c r="E853" i="11"/>
  <c r="G853" i="11" s="1"/>
  <c r="E8" i="11"/>
  <c r="H8" i="11" s="1"/>
  <c r="I8" i="11" s="1"/>
  <c r="E897" i="11"/>
  <c r="H897" i="11" s="1"/>
  <c r="I897" i="11" s="1"/>
  <c r="E171" i="11"/>
  <c r="H171" i="11" s="1"/>
  <c r="I171" i="11" s="1"/>
  <c r="F31" i="11"/>
  <c r="G31" i="11" s="1"/>
  <c r="G100" i="11"/>
  <c r="G986" i="11"/>
  <c r="G254" i="11"/>
  <c r="F272" i="11"/>
  <c r="E317" i="11"/>
  <c r="G317" i="11" s="1"/>
  <c r="E158" i="11"/>
  <c r="F51" i="11"/>
  <c r="E931" i="11"/>
  <c r="H931" i="11" s="1"/>
  <c r="I931" i="11" s="1"/>
  <c r="F487" i="11"/>
  <c r="G487" i="11" s="1"/>
  <c r="E427" i="11"/>
  <c r="F427" i="11"/>
  <c r="F149" i="11"/>
  <c r="G149" i="11" s="1"/>
  <c r="F273" i="11"/>
  <c r="H273" i="11" s="1"/>
  <c r="I273" i="11" s="1"/>
  <c r="F558" i="11"/>
  <c r="E541" i="11"/>
  <c r="E994" i="11"/>
  <c r="G994" i="11" s="1"/>
  <c r="F816" i="11"/>
  <c r="E816" i="11"/>
  <c r="F580" i="11"/>
  <c r="H580" i="11" s="1"/>
  <c r="I580" i="11" s="1"/>
  <c r="E770" i="11"/>
  <c r="G770" i="11" s="1"/>
  <c r="F770" i="11"/>
  <c r="F102" i="11"/>
  <c r="F46" i="11"/>
  <c r="H46" i="11" s="1"/>
  <c r="I46" i="11" s="1"/>
  <c r="E941" i="11"/>
  <c r="F941" i="11"/>
  <c r="E837" i="11"/>
  <c r="F837" i="11"/>
  <c r="H837" i="11" s="1"/>
  <c r="I837" i="11" s="1"/>
  <c r="F18" i="11"/>
  <c r="G18" i="11" s="1"/>
  <c r="E18" i="11"/>
  <c r="E20" i="11"/>
  <c r="F20" i="11"/>
  <c r="H20" i="11" s="1"/>
  <c r="I20" i="11" s="1"/>
  <c r="F868" i="11"/>
  <c r="G868" i="11" s="1"/>
  <c r="E868" i="11"/>
  <c r="E110" i="11"/>
  <c r="F110" i="11"/>
  <c r="H110" i="11" s="1"/>
  <c r="I110" i="11" s="1"/>
  <c r="G543" i="11"/>
  <c r="F128" i="11"/>
  <c r="E128" i="11"/>
  <c r="H762" i="11"/>
  <c r="I762" i="11" s="1"/>
  <c r="G762" i="11"/>
  <c r="F850" i="11"/>
  <c r="E850" i="11"/>
  <c r="G332" i="11"/>
  <c r="H461" i="11"/>
  <c r="I461" i="11" s="1"/>
  <c r="E294" i="11"/>
  <c r="F294" i="11"/>
  <c r="E67" i="11"/>
  <c r="F67" i="11"/>
  <c r="H730" i="11"/>
  <c r="I730" i="11" s="1"/>
  <c r="G730" i="11"/>
  <c r="G418" i="11"/>
  <c r="H172" i="11"/>
  <c r="I172" i="11" s="1"/>
  <c r="H188" i="11"/>
  <c r="I188" i="11" s="1"/>
  <c r="F710" i="11"/>
  <c r="E710" i="11"/>
  <c r="H710" i="11" s="1"/>
  <c r="I710" i="11" s="1"/>
  <c r="G566" i="11"/>
  <c r="F911" i="11"/>
  <c r="E911" i="11"/>
  <c r="E781" i="11"/>
  <c r="F781" i="11"/>
  <c r="F695" i="11"/>
  <c r="E695" i="11"/>
  <c r="G740" i="11"/>
  <c r="F836" i="11"/>
  <c r="E836" i="11"/>
  <c r="F631" i="11"/>
  <c r="E631" i="11"/>
  <c r="G631" i="11" s="1"/>
  <c r="G192" i="11"/>
  <c r="F362" i="11"/>
  <c r="E362" i="11"/>
  <c r="F463" i="11"/>
  <c r="E463" i="11"/>
  <c r="F516" i="11"/>
  <c r="E516" i="11"/>
  <c r="E914" i="11"/>
  <c r="F914" i="11"/>
  <c r="H763" i="11"/>
  <c r="I763" i="11" s="1"/>
  <c r="F912" i="11"/>
  <c r="E912" i="11"/>
  <c r="F37" i="11"/>
  <c r="H37" i="11" s="1"/>
  <c r="I37" i="11" s="1"/>
  <c r="E37" i="11"/>
  <c r="F523" i="11"/>
  <c r="E523" i="11"/>
  <c r="E679" i="11"/>
  <c r="G679" i="11" s="1"/>
  <c r="F679" i="11"/>
  <c r="H508" i="11"/>
  <c r="I508" i="11" s="1"/>
  <c r="G508" i="11"/>
  <c r="F136" i="11"/>
  <c r="H136" i="11" s="1"/>
  <c r="I136" i="11" s="1"/>
  <c r="E136" i="11"/>
  <c r="G98" i="11"/>
  <c r="H98" i="11"/>
  <c r="I98" i="11" s="1"/>
  <c r="F137" i="11"/>
  <c r="E137" i="11"/>
  <c r="H446" i="11"/>
  <c r="I446" i="11" s="1"/>
  <c r="G446" i="11"/>
  <c r="H744" i="11"/>
  <c r="I744" i="11" s="1"/>
  <c r="G744" i="11"/>
  <c r="H564" i="11"/>
  <c r="I564" i="11" s="1"/>
  <c r="E678" i="11"/>
  <c r="G678" i="11" s="1"/>
  <c r="E337" i="11"/>
  <c r="G337" i="11" s="1"/>
  <c r="G725" i="11"/>
  <c r="F250" i="11"/>
  <c r="G250" i="11" s="1"/>
  <c r="F472" i="11"/>
  <c r="G472" i="11" s="1"/>
  <c r="H565" i="11"/>
  <c r="I565" i="11" s="1"/>
  <c r="E287" i="11"/>
  <c r="F17" i="11"/>
  <c r="G17" i="11" s="1"/>
  <c r="F772" i="11"/>
  <c r="G772" i="11" s="1"/>
  <c r="E542" i="11"/>
  <c r="F374" i="11"/>
  <c r="F804" i="11"/>
  <c r="G804" i="11" s="1"/>
  <c r="E608" i="11"/>
  <c r="F614" i="11"/>
  <c r="F36" i="11"/>
  <c r="G36" i="11" s="1"/>
  <c r="E761" i="11"/>
  <c r="F999" i="11"/>
  <c r="H999" i="11" s="1"/>
  <c r="I999" i="11" s="1"/>
  <c r="F621" i="11"/>
  <c r="G621" i="11" s="1"/>
  <c r="E935" i="11"/>
  <c r="F58" i="11"/>
  <c r="H58" i="11" s="1"/>
  <c r="I58" i="11" s="1"/>
  <c r="F170" i="11"/>
  <c r="G170" i="11" s="1"/>
  <c r="F532" i="11"/>
  <c r="H532" i="11" s="1"/>
  <c r="I532" i="11" s="1"/>
  <c r="G841" i="11"/>
  <c r="F417" i="11"/>
  <c r="H417" i="11" s="1"/>
  <c r="I417" i="11" s="1"/>
  <c r="F817" i="11"/>
  <c r="E971" i="11"/>
  <c r="E629" i="11"/>
  <c r="F232" i="11"/>
  <c r="H232" i="11" s="1"/>
  <c r="I232" i="11" s="1"/>
  <c r="F846" i="11"/>
  <c r="E846" i="11"/>
  <c r="F945" i="11"/>
  <c r="G945" i="11" s="1"/>
  <c r="E859" i="11"/>
  <c r="F859" i="11"/>
  <c r="H851" i="11"/>
  <c r="I851" i="11" s="1"/>
  <c r="F603" i="11"/>
  <c r="H603" i="11" s="1"/>
  <c r="I603" i="11" s="1"/>
  <c r="F339" i="11"/>
  <c r="E339" i="11"/>
  <c r="F278" i="11"/>
  <c r="H278" i="11" s="1"/>
  <c r="I278" i="11" s="1"/>
  <c r="G665" i="11"/>
  <c r="H938" i="11"/>
  <c r="I938" i="11" s="1"/>
  <c r="H284" i="11"/>
  <c r="I284" i="11" s="1"/>
  <c r="E313" i="11"/>
  <c r="F313" i="11"/>
  <c r="H343" i="11"/>
  <c r="I343" i="11" s="1"/>
  <c r="G343" i="11"/>
  <c r="E637" i="11"/>
  <c r="F637" i="11"/>
  <c r="F885" i="11"/>
  <c r="E885" i="11"/>
  <c r="F501" i="11"/>
  <c r="E501" i="11"/>
  <c r="G680" i="11"/>
  <c r="H758" i="11"/>
  <c r="I758" i="11" s="1"/>
  <c r="G755" i="11"/>
  <c r="G668" i="11"/>
  <c r="G496" i="11"/>
  <c r="G814" i="11"/>
  <c r="E517" i="11"/>
  <c r="H75" i="11"/>
  <c r="I75" i="11" s="1"/>
  <c r="F340" i="11"/>
  <c r="G340" i="11" s="1"/>
  <c r="F302" i="11"/>
  <c r="G302" i="11" s="1"/>
  <c r="E256" i="11"/>
  <c r="H256" i="11" s="1"/>
  <c r="I256" i="11" s="1"/>
  <c r="E393" i="11"/>
  <c r="G71" i="11"/>
  <c r="F810" i="11"/>
  <c r="G810" i="11" s="1"/>
  <c r="E219" i="11"/>
  <c r="E972" i="11"/>
  <c r="F11" i="11"/>
  <c r="H11" i="11" s="1"/>
  <c r="I11" i="11" s="1"/>
  <c r="E826" i="11"/>
  <c r="F917" i="11"/>
  <c r="H917" i="11" s="1"/>
  <c r="I917" i="11" s="1"/>
  <c r="E246" i="11"/>
  <c r="F774" i="11"/>
  <c r="G774" i="11" s="1"/>
  <c r="G975" i="11"/>
  <c r="H586" i="11"/>
  <c r="I586" i="11" s="1"/>
  <c r="F464" i="11"/>
  <c r="G3" i="11"/>
  <c r="H296" i="11"/>
  <c r="I296" i="11" s="1"/>
  <c r="F612" i="11"/>
  <c r="G185" i="11"/>
  <c r="E923" i="11"/>
  <c r="H923" i="11" s="1"/>
  <c r="I923" i="11" s="1"/>
  <c r="F25" i="11"/>
  <c r="E142" i="11"/>
  <c r="G632" i="11"/>
  <c r="H41" i="11"/>
  <c r="I41" i="11" s="1"/>
  <c r="H478" i="11"/>
  <c r="I478" i="11" s="1"/>
  <c r="G478" i="11"/>
  <c r="H164" i="11"/>
  <c r="I164" i="11" s="1"/>
  <c r="H991" i="11"/>
  <c r="I991" i="11" s="1"/>
  <c r="G991" i="11"/>
  <c r="H315" i="11"/>
  <c r="I315" i="11" s="1"/>
  <c r="H498" i="11"/>
  <c r="I498" i="11" s="1"/>
  <c r="H955" i="11"/>
  <c r="I955" i="11" s="1"/>
  <c r="G955" i="11"/>
  <c r="G697" i="11"/>
  <c r="H492" i="11"/>
  <c r="I492" i="11" s="1"/>
  <c r="G492" i="11"/>
  <c r="G970" i="11"/>
  <c r="H567" i="11"/>
  <c r="I567" i="11" s="1"/>
  <c r="G567" i="11"/>
  <c r="G792" i="11"/>
  <c r="H669" i="11"/>
  <c r="I669" i="11" s="1"/>
  <c r="G669" i="11"/>
  <c r="G502" i="11"/>
  <c r="G263" i="11"/>
  <c r="H297" i="11"/>
  <c r="I297" i="11" s="1"/>
  <c r="H874" i="11"/>
  <c r="I874" i="11" s="1"/>
  <c r="H201" i="11"/>
  <c r="I201" i="11" s="1"/>
  <c r="G227" i="11"/>
  <c r="H421" i="11"/>
  <c r="I421" i="11" s="1"/>
  <c r="H715" i="11"/>
  <c r="I715" i="11" s="1"/>
  <c r="G401" i="11"/>
  <c r="G195" i="11"/>
  <c r="H195" i="11"/>
  <c r="I195" i="11" s="1"/>
  <c r="G643" i="11"/>
  <c r="H643" i="11"/>
  <c r="I643" i="11" s="1"/>
  <c r="G132" i="11"/>
  <c r="G265" i="11"/>
  <c r="H265" i="11"/>
  <c r="I265" i="11" s="1"/>
  <c r="G857" i="11"/>
  <c r="H857" i="11"/>
  <c r="I857" i="11" s="1"/>
  <c r="H221" i="11"/>
  <c r="I221" i="11" s="1"/>
  <c r="G221" i="11"/>
  <c r="H314" i="11"/>
  <c r="I314" i="11" s="1"/>
  <c r="G314" i="11"/>
  <c r="H839" i="11"/>
  <c r="I839" i="11" s="1"/>
  <c r="G839" i="11"/>
  <c r="H266" i="11"/>
  <c r="I266" i="11" s="1"/>
  <c r="G266" i="11"/>
  <c r="H700" i="11"/>
  <c r="I700" i="11" s="1"/>
  <c r="G700" i="11"/>
  <c r="H513" i="11"/>
  <c r="I513" i="11" s="1"/>
  <c r="G513" i="11"/>
  <c r="H720" i="11"/>
  <c r="I720" i="11" s="1"/>
  <c r="G720" i="11"/>
  <c r="H55" i="11"/>
  <c r="I55" i="11" s="1"/>
  <c r="G55" i="11"/>
  <c r="H378" i="11"/>
  <c r="I378" i="11" s="1"/>
  <c r="G378" i="11"/>
  <c r="H410" i="11"/>
  <c r="I410" i="11" s="1"/>
  <c r="G410" i="11"/>
  <c r="F327" i="11"/>
  <c r="H327" i="11" s="1"/>
  <c r="I327" i="11" s="1"/>
  <c r="F808" i="11"/>
  <c r="G808" i="11" s="1"/>
  <c r="H527" i="11"/>
  <c r="I527" i="11" s="1"/>
  <c r="F815" i="11"/>
  <c r="H815" i="11" s="1"/>
  <c r="I815" i="11" s="1"/>
  <c r="H860" i="11"/>
  <c r="I860" i="11" s="1"/>
  <c r="F748" i="11"/>
  <c r="H748" i="11" s="1"/>
  <c r="I748" i="11" s="1"/>
  <c r="H749" i="11"/>
  <c r="I749" i="11" s="1"/>
  <c r="F372" i="11"/>
  <c r="H372" i="11" s="1"/>
  <c r="I372" i="11" s="1"/>
  <c r="H750" i="11"/>
  <c r="I750" i="11" s="1"/>
  <c r="F15" i="11"/>
  <c r="G15" i="11" s="1"/>
  <c r="H353" i="11"/>
  <c r="I353" i="11" s="1"/>
  <c r="F598" i="11"/>
  <c r="H598" i="11" s="1"/>
  <c r="I598" i="11" s="1"/>
  <c r="H404" i="11"/>
  <c r="I404" i="11" s="1"/>
  <c r="F511" i="11"/>
  <c r="H511" i="11" s="1"/>
  <c r="I511" i="11" s="1"/>
  <c r="H894" i="11"/>
  <c r="I894" i="11" s="1"/>
  <c r="F633" i="11"/>
  <c r="H633" i="11" s="1"/>
  <c r="I633" i="11" s="1"/>
  <c r="H214" i="11"/>
  <c r="I214" i="11" s="1"/>
  <c r="F943" i="11"/>
  <c r="G943" i="11" s="1"/>
  <c r="H969" i="11"/>
  <c r="I969" i="11" s="1"/>
  <c r="F121" i="11"/>
  <c r="H121" i="11" s="1"/>
  <c r="I121" i="11" s="1"/>
  <c r="H878" i="11"/>
  <c r="I878" i="11" s="1"/>
  <c r="F915" i="11"/>
  <c r="H915" i="11" s="1"/>
  <c r="I915" i="11" s="1"/>
  <c r="H681" i="11"/>
  <c r="I681" i="11" s="1"/>
  <c r="F222" i="11"/>
  <c r="H222" i="11" s="1"/>
  <c r="I222" i="11" s="1"/>
  <c r="H512" i="11"/>
  <c r="I512" i="11" s="1"/>
  <c r="F735" i="11"/>
  <c r="G735" i="11" s="1"/>
  <c r="H377" i="11"/>
  <c r="I377" i="11" s="1"/>
  <c r="F112" i="11"/>
  <c r="H112" i="11" s="1"/>
  <c r="I112" i="11" s="1"/>
  <c r="H756" i="11"/>
  <c r="I756" i="11" s="1"/>
  <c r="F106" i="11"/>
  <c r="H106" i="11" s="1"/>
  <c r="I106" i="11" s="1"/>
  <c r="H797" i="11"/>
  <c r="I797" i="11" s="1"/>
  <c r="F405" i="11"/>
  <c r="H405" i="11" s="1"/>
  <c r="I405" i="11" s="1"/>
  <c r="F927" i="11"/>
  <c r="G927" i="11" s="1"/>
  <c r="H661" i="11"/>
  <c r="I661" i="11" s="1"/>
  <c r="F619" i="11"/>
  <c r="H619" i="11" s="1"/>
  <c r="I619" i="11" s="1"/>
  <c r="H161" i="11"/>
  <c r="I161" i="11" s="1"/>
  <c r="F124" i="11"/>
  <c r="H124" i="11" s="1"/>
  <c r="I124" i="11" s="1"/>
  <c r="H751" i="11"/>
  <c r="I751" i="11" s="1"/>
  <c r="F518" i="11"/>
  <c r="H518" i="11" s="1"/>
  <c r="I518" i="11" s="1"/>
  <c r="F946" i="11"/>
  <c r="G946" i="11" s="1"/>
  <c r="H831" i="11"/>
  <c r="I831" i="11" s="1"/>
  <c r="F568" i="11"/>
  <c r="H568" i="11" s="1"/>
  <c r="I568" i="11" s="1"/>
  <c r="H61" i="11"/>
  <c r="I61" i="11" s="1"/>
  <c r="F745" i="11"/>
  <c r="H745" i="11" s="1"/>
  <c r="I745" i="11" s="1"/>
  <c r="H578" i="11"/>
  <c r="I578" i="11" s="1"/>
  <c r="F435" i="11"/>
  <c r="H435" i="11" s="1"/>
  <c r="I435" i="11" s="1"/>
  <c r="H823" i="11"/>
  <c r="I823" i="11" s="1"/>
  <c r="F125" i="11"/>
  <c r="G125" i="11" s="1"/>
  <c r="H209" i="11"/>
  <c r="I209" i="11" s="1"/>
  <c r="F759" i="11"/>
  <c r="H759" i="11" s="1"/>
  <c r="I759" i="11" s="1"/>
  <c r="H441" i="11"/>
  <c r="I441" i="11" s="1"/>
  <c r="F569" i="11"/>
  <c r="H569" i="11" s="1"/>
  <c r="I569" i="11" s="1"/>
  <c r="H406" i="11"/>
  <c r="I406" i="11" s="1"/>
  <c r="F702" i="11"/>
  <c r="H702" i="11" s="1"/>
  <c r="I702" i="11" s="1"/>
  <c r="H234" i="11"/>
  <c r="I234" i="11" s="1"/>
  <c r="F895" i="11"/>
  <c r="G895" i="11" s="1"/>
  <c r="H223" i="11"/>
  <c r="I223" i="11" s="1"/>
  <c r="F840" i="11"/>
  <c r="H840" i="11" s="1"/>
  <c r="I840" i="11" s="1"/>
  <c r="H638" i="11"/>
  <c r="I638" i="11" s="1"/>
  <c r="F96" i="11"/>
  <c r="H96" i="11" s="1"/>
  <c r="I96" i="11" s="1"/>
  <c r="H711" i="11"/>
  <c r="I711" i="11" s="1"/>
  <c r="F130" i="11"/>
  <c r="H130" i="11" s="1"/>
  <c r="I130" i="11" s="1"/>
  <c r="F634" i="11"/>
  <c r="G634" i="11" s="1"/>
  <c r="H344" i="11"/>
  <c r="I344" i="11" s="1"/>
  <c r="F855" i="11"/>
  <c r="H855" i="11" s="1"/>
  <c r="I855" i="11" s="1"/>
  <c r="H247" i="11"/>
  <c r="I247" i="11" s="1"/>
  <c r="F765" i="11"/>
  <c r="H765" i="11" s="1"/>
  <c r="I765" i="11" s="1"/>
  <c r="H550" i="11"/>
  <c r="I550" i="11" s="1"/>
  <c r="F587" i="11"/>
  <c r="H587" i="11" s="1"/>
  <c r="I587" i="11" s="1"/>
  <c r="H843" i="11"/>
  <c r="I843" i="11" s="1"/>
  <c r="F793" i="11"/>
  <c r="G793" i="11" s="1"/>
  <c r="H924" i="11"/>
  <c r="I924" i="11" s="1"/>
  <c r="F980" i="11"/>
  <c r="H980" i="11" s="1"/>
  <c r="I980" i="11" s="1"/>
  <c r="H782" i="11"/>
  <c r="I782" i="11" s="1"/>
  <c r="G194" i="11"/>
  <c r="F4" i="11"/>
  <c r="F176" i="11"/>
  <c r="H176" i="11" s="1"/>
  <c r="I176" i="11" s="1"/>
  <c r="E210" i="11"/>
  <c r="G364" i="11"/>
  <c r="F879" i="11"/>
  <c r="F583" i="11"/>
  <c r="G583" i="11" s="1"/>
  <c r="E766" i="11"/>
  <c r="H929" i="11"/>
  <c r="I929" i="11" s="1"/>
  <c r="G519" i="11"/>
  <c r="F832" i="11"/>
  <c r="F156" i="11"/>
  <c r="G156" i="11" s="1"/>
  <c r="E211" i="11"/>
  <c r="H351" i="11"/>
  <c r="I351" i="11" s="1"/>
  <c r="F62" i="11"/>
  <c r="F644" i="11"/>
  <c r="G644" i="11" s="1"/>
  <c r="E436" i="11"/>
  <c r="H203" i="11"/>
  <c r="I203" i="11" s="1"/>
  <c r="G204" i="11"/>
  <c r="F228" i="11"/>
  <c r="F456" i="11"/>
  <c r="H456" i="11" s="1"/>
  <c r="I456" i="11" s="1"/>
  <c r="E27" i="11"/>
  <c r="H721" i="11"/>
  <c r="I721" i="11" s="1"/>
  <c r="G844" i="11"/>
  <c r="F229" i="11"/>
  <c r="F395" i="11"/>
  <c r="G395" i="11" s="1"/>
  <c r="E571" i="11"/>
  <c r="H920" i="11"/>
  <c r="I920" i="11" s="1"/>
  <c r="G72" i="11"/>
  <c r="F357" i="11"/>
  <c r="F7" i="11"/>
  <c r="G7" i="11" s="1"/>
  <c r="E241" i="11"/>
  <c r="H934" i="11"/>
  <c r="I934" i="11" s="1"/>
  <c r="G937" i="11"/>
  <c r="G268" i="11"/>
  <c r="H268" i="11"/>
  <c r="I268" i="11" s="1"/>
  <c r="E319" i="11"/>
  <c r="F319" i="11"/>
  <c r="G961" i="11"/>
  <c r="G908" i="11"/>
  <c r="H908" i="11"/>
  <c r="I908" i="11" s="1"/>
  <c r="H951" i="11"/>
  <c r="I951" i="11" s="1"/>
  <c r="E909" i="11"/>
  <c r="F909" i="11"/>
  <c r="G358" i="11"/>
  <c r="G574" i="11"/>
  <c r="H574" i="11"/>
  <c r="I574" i="11" s="1"/>
  <c r="H157" i="11"/>
  <c r="I157" i="11" s="1"/>
  <c r="E849" i="11"/>
  <c r="F849" i="11"/>
  <c r="G952" i="11"/>
  <c r="H952" i="11"/>
  <c r="I952" i="11" s="1"/>
  <c r="H520" i="11"/>
  <c r="I520" i="11" s="1"/>
  <c r="E776" i="11"/>
  <c r="F776" i="11"/>
  <c r="G432" i="11"/>
  <c r="E549" i="11"/>
  <c r="F549" i="11"/>
  <c r="H504" i="11"/>
  <c r="I504" i="11" s="1"/>
  <c r="G504" i="11"/>
  <c r="G177" i="11"/>
  <c r="G653" i="11"/>
  <c r="H687" i="11"/>
  <c r="I687" i="11" s="1"/>
  <c r="G51" i="11"/>
  <c r="H51" i="11"/>
  <c r="I51" i="11" s="1"/>
  <c r="H592" i="11"/>
  <c r="I592" i="11" s="1"/>
  <c r="E992" i="11"/>
  <c r="F992" i="11"/>
  <c r="H433" i="11"/>
  <c r="I433" i="11" s="1"/>
  <c r="G433" i="11"/>
  <c r="G658" i="11"/>
  <c r="E896" i="11"/>
  <c r="F896" i="11"/>
  <c r="G682" i="11"/>
  <c r="H682" i="11"/>
  <c r="I682" i="11" s="1"/>
  <c r="G388" i="11"/>
  <c r="H388" i="11"/>
  <c r="I388" i="11" s="1"/>
  <c r="E350" i="11"/>
  <c r="E249" i="11"/>
  <c r="E22" i="11"/>
  <c r="E555" i="11"/>
  <c r="E175" i="11"/>
  <c r="E822" i="11"/>
  <c r="E640" i="11"/>
  <c r="E208" i="11"/>
  <c r="E599" i="11"/>
  <c r="E413" i="11"/>
  <c r="E341" i="11"/>
  <c r="E86" i="11"/>
  <c r="E29" i="11"/>
  <c r="E363" i="11"/>
  <c r="E856" i="11"/>
  <c r="E193" i="11"/>
  <c r="E354" i="11"/>
  <c r="E309" i="11"/>
  <c r="E5" i="11"/>
  <c r="E26" i="11"/>
  <c r="E870" i="11"/>
  <c r="E676" i="11"/>
  <c r="E606" i="11"/>
  <c r="E115" i="11"/>
  <c r="E94" i="11"/>
  <c r="E742" i="11"/>
  <c r="E706" i="11"/>
  <c r="E590" i="11"/>
  <c r="E252" i="11"/>
  <c r="E707" i="11"/>
  <c r="E493" i="11"/>
  <c r="E775" i="11"/>
  <c r="E182" i="11"/>
  <c r="E561" i="11"/>
  <c r="E674" i="11"/>
  <c r="E42" i="11"/>
  <c r="E588" i="11"/>
  <c r="E131" i="11"/>
  <c r="E97" i="11"/>
  <c r="G267" i="11"/>
  <c r="E591" i="11"/>
  <c r="F139" i="11"/>
  <c r="H139" i="11" s="1"/>
  <c r="I139" i="11" s="1"/>
  <c r="G148" i="11"/>
  <c r="E426" i="11"/>
  <c r="E919" i="11"/>
  <c r="F656" i="11"/>
  <c r="G656" i="11" s="1"/>
  <c r="E310" i="11"/>
  <c r="G514" i="11"/>
  <c r="E186" i="11"/>
  <c r="F515" i="11"/>
  <c r="G515" i="11" s="1"/>
  <c r="G202" i="11"/>
  <c r="E875" i="11"/>
  <c r="G467" i="11"/>
  <c r="E113" i="11"/>
  <c r="F264" i="11"/>
  <c r="H264" i="11" s="1"/>
  <c r="I264" i="11" s="1"/>
  <c r="G356" i="11"/>
  <c r="E930" i="11"/>
  <c r="G365" i="11"/>
  <c r="E833" i="11"/>
  <c r="F224" i="11"/>
  <c r="H224" i="11" s="1"/>
  <c r="I224" i="11" s="1"/>
  <c r="G386" i="11"/>
  <c r="E984" i="11"/>
  <c r="E196" i="11"/>
  <c r="F798" i="11"/>
  <c r="G798" i="11" s="1"/>
  <c r="E947" i="11"/>
  <c r="G786" i="11"/>
  <c r="E901" i="11"/>
  <c r="F470" i="11"/>
  <c r="G470" i="11" s="1"/>
  <c r="E333" i="11"/>
  <c r="G944" i="11"/>
  <c r="E328" i="11"/>
  <c r="F328" i="11"/>
  <c r="H607" i="11"/>
  <c r="I607" i="11" s="1"/>
  <c r="G547" i="11"/>
  <c r="H547" i="11"/>
  <c r="I547" i="11" s="1"/>
  <c r="E767" i="11"/>
  <c r="F767" i="11"/>
  <c r="H499" i="11"/>
  <c r="I499" i="11" s="1"/>
  <c r="G981" i="11"/>
  <c r="H981" i="11"/>
  <c r="I981" i="11" s="1"/>
  <c r="E431" i="11"/>
  <c r="F431" i="11"/>
  <c r="H948" i="11"/>
  <c r="I948" i="11" s="1"/>
  <c r="G820" i="11"/>
  <c r="H820" i="11"/>
  <c r="I820" i="11" s="1"/>
  <c r="E548" i="11"/>
  <c r="F548" i="11"/>
  <c r="H30" i="11"/>
  <c r="I30" i="11" s="1"/>
  <c r="G584" i="11"/>
  <c r="H584" i="11"/>
  <c r="I584" i="11" s="1"/>
  <c r="E722" i="11"/>
  <c r="F722" i="11"/>
  <c r="H379" i="11"/>
  <c r="I379" i="11" s="1"/>
  <c r="E852" i="11"/>
  <c r="F852" i="11"/>
  <c r="H853" i="11"/>
  <c r="I853" i="11" s="1"/>
  <c r="G524" i="11"/>
  <c r="H524" i="11"/>
  <c r="I524" i="11" s="1"/>
  <c r="H962" i="11"/>
  <c r="I962" i="11" s="1"/>
  <c r="H298" i="11"/>
  <c r="I298" i="11" s="1"/>
  <c r="G535" i="11"/>
  <c r="F562" i="11"/>
  <c r="H562" i="11" s="1"/>
  <c r="I562" i="11" s="1"/>
  <c r="E928" i="11"/>
  <c r="H215" i="11"/>
  <c r="I215" i="11" s="1"/>
  <c r="G615" i="11"/>
  <c r="F884" i="11"/>
  <c r="H884" i="11" s="1"/>
  <c r="I884" i="11" s="1"/>
  <c r="E940" i="11"/>
  <c r="H652" i="11"/>
  <c r="I652" i="11" s="1"/>
  <c r="G16" i="11"/>
  <c r="F99" i="11"/>
  <c r="H99" i="11" s="1"/>
  <c r="I99" i="11" s="1"/>
  <c r="E956" i="11"/>
  <c r="G536" i="11"/>
  <c r="F476" i="11"/>
  <c r="H476" i="11" s="1"/>
  <c r="I476" i="11" s="1"/>
  <c r="E716" i="11"/>
  <c r="G623" i="11"/>
  <c r="F546" i="11"/>
  <c r="H546" i="11" s="1"/>
  <c r="I546" i="11" s="1"/>
  <c r="E394" i="11"/>
  <c r="H848" i="11"/>
  <c r="I848" i="11" s="1"/>
  <c r="G757" i="11"/>
  <c r="F345" i="11"/>
  <c r="H345" i="11" s="1"/>
  <c r="I345" i="11" s="1"/>
  <c r="E24" i="11"/>
  <c r="H662" i="11"/>
  <c r="I662" i="11" s="1"/>
  <c r="G551" i="11"/>
  <c r="F731" i="11"/>
  <c r="H731" i="11" s="1"/>
  <c r="I731" i="11" s="1"/>
  <c r="E479" i="11"/>
  <c r="H663" i="11"/>
  <c r="I663" i="11" s="1"/>
  <c r="E819" i="11"/>
  <c r="E907" i="11"/>
  <c r="E447" i="11"/>
  <c r="E768" i="11"/>
  <c r="G985" i="11"/>
  <c r="E949" i="11"/>
  <c r="F949" i="11"/>
  <c r="H178" i="11"/>
  <c r="I178" i="11" s="1"/>
  <c r="G178" i="11"/>
  <c r="G483" i="11"/>
  <c r="H627" i="11"/>
  <c r="I627" i="11" s="1"/>
  <c r="G627" i="11"/>
  <c r="G230" i="11"/>
  <c r="H230" i="11"/>
  <c r="I230" i="11" s="1"/>
  <c r="G434" i="11"/>
  <c r="H434" i="11"/>
  <c r="I434" i="11" s="1"/>
  <c r="H658" i="11"/>
  <c r="I658" i="11" s="1"/>
  <c r="H177" i="11"/>
  <c r="I177" i="11" s="1"/>
  <c r="H957" i="11"/>
  <c r="I957" i="11" s="1"/>
  <c r="H279" i="11"/>
  <c r="I279" i="11" s="1"/>
  <c r="H60" i="11"/>
  <c r="I60" i="11" s="1"/>
  <c r="F787" i="11"/>
  <c r="H787" i="11" s="1"/>
  <c r="I787" i="11" s="1"/>
  <c r="G897" i="11"/>
  <c r="E910" i="11"/>
  <c r="H69" i="11"/>
  <c r="I69" i="11" s="1"/>
  <c r="H809" i="11"/>
  <c r="I809" i="11" s="1"/>
  <c r="H334" i="11"/>
  <c r="I334" i="11" s="1"/>
  <c r="F880" i="11"/>
  <c r="F64" i="11"/>
  <c r="G64" i="11" s="1"/>
  <c r="E271" i="11"/>
  <c r="H861" i="11"/>
  <c r="I861" i="11" s="1"/>
  <c r="H521" i="11"/>
  <c r="I521" i="11" s="1"/>
  <c r="G982" i="11"/>
  <c r="F239" i="11"/>
  <c r="F925" i="11"/>
  <c r="G925" i="11" s="1"/>
  <c r="E366" i="11"/>
  <c r="H858" i="11"/>
  <c r="I858" i="11" s="1"/>
  <c r="H254" i="11"/>
  <c r="I254" i="11" s="1"/>
  <c r="H317" i="11"/>
  <c r="I317" i="11" s="1"/>
  <c r="G122" i="11"/>
  <c r="F212" i="11"/>
  <c r="F863" i="11"/>
  <c r="G863" i="11" s="1"/>
  <c r="E407" i="11"/>
  <c r="H387" i="11"/>
  <c r="I387" i="11" s="1"/>
  <c r="G457" i="11"/>
  <c r="F397" i="11"/>
  <c r="F736" i="11"/>
  <c r="G736" i="11" s="1"/>
  <c r="E368" i="11"/>
  <c r="H380" i="11"/>
  <c r="I380" i="11" s="1"/>
  <c r="H538" i="11"/>
  <c r="I538" i="11" s="1"/>
  <c r="G116" i="11"/>
  <c r="F988" i="11"/>
  <c r="F383" i="11"/>
  <c r="G383" i="11" s="1"/>
  <c r="E141" i="11"/>
  <c r="H777" i="11"/>
  <c r="I777" i="11" s="1"/>
  <c r="H487" i="11"/>
  <c r="I487" i="11" s="1"/>
  <c r="H585" i="11"/>
  <c r="I585" i="11" s="1"/>
  <c r="G529" i="11"/>
  <c r="F304" i="11"/>
  <c r="F480" i="11"/>
  <c r="G480" i="11" s="1"/>
  <c r="E160" i="11"/>
  <c r="H418" i="11"/>
  <c r="I418" i="11" s="1"/>
  <c r="F641" i="11"/>
  <c r="G530" i="11"/>
  <c r="H530" i="11"/>
  <c r="I530" i="11" s="1"/>
  <c r="H149" i="11"/>
  <c r="I149" i="11" s="1"/>
  <c r="E329" i="11"/>
  <c r="F329" i="11"/>
  <c r="G552" i="11"/>
  <c r="E509" i="11"/>
  <c r="H422" i="11"/>
  <c r="I422" i="11" s="1"/>
  <c r="G422" i="11"/>
  <c r="E677" i="11"/>
  <c r="F677" i="11"/>
  <c r="E153" i="11"/>
  <c r="F153" i="11"/>
  <c r="E428" i="11"/>
  <c r="G558" i="11"/>
  <c r="H558" i="11"/>
  <c r="I558" i="11" s="1"/>
  <c r="G276" i="11"/>
  <c r="H276" i="11"/>
  <c r="I276" i="11" s="1"/>
  <c r="G81" i="11"/>
  <c r="H81" i="11"/>
  <c r="I81" i="11" s="1"/>
  <c r="H595" i="11"/>
  <c r="I595" i="11" s="1"/>
  <c r="G624" i="11"/>
  <c r="H528" i="11"/>
  <c r="I528" i="11" s="1"/>
  <c r="G783" i="11"/>
  <c r="H448" i="11"/>
  <c r="I448" i="11" s="1"/>
  <c r="H231" i="11"/>
  <c r="I231" i="11" s="1"/>
  <c r="G893" i="11"/>
  <c r="H537" i="11"/>
  <c r="I537" i="11" s="1"/>
  <c r="G159" i="11"/>
  <c r="H864" i="11"/>
  <c r="I864" i="11" s="1"/>
  <c r="H503" i="11"/>
  <c r="I503" i="11" s="1"/>
  <c r="G717" i="11"/>
  <c r="F292" i="11"/>
  <c r="E292" i="11"/>
  <c r="H563" i="11"/>
  <c r="I563" i="11" s="1"/>
  <c r="G563" i="11"/>
  <c r="G437" i="11"/>
  <c r="H437" i="11"/>
  <c r="I437" i="11" s="1"/>
  <c r="G690" i="11"/>
  <c r="H690" i="11"/>
  <c r="I690" i="11" s="1"/>
  <c r="G687" i="11"/>
  <c r="G171" i="11"/>
  <c r="G592" i="11"/>
  <c r="G298" i="11"/>
  <c r="G347" i="11"/>
  <c r="H347" i="11"/>
  <c r="I347" i="11" s="1"/>
  <c r="H205" i="11"/>
  <c r="I205" i="11" s="1"/>
  <c r="E88" i="11"/>
  <c r="F88" i="11"/>
  <c r="G595" i="11"/>
  <c r="F845" i="11"/>
  <c r="H845" i="11" s="1"/>
  <c r="I845" i="11" s="1"/>
  <c r="E659" i="11"/>
  <c r="H624" i="11"/>
  <c r="I624" i="11" s="1"/>
  <c r="G528" i="11"/>
  <c r="F43" i="11"/>
  <c r="G43" i="11" s="1"/>
  <c r="E303" i="11"/>
  <c r="H783" i="11"/>
  <c r="I783" i="11" s="1"/>
  <c r="G448" i="11"/>
  <c r="F723" i="11"/>
  <c r="G723" i="11" s="1"/>
  <c r="E732" i="11"/>
  <c r="G231" i="11"/>
  <c r="F76" i="11"/>
  <c r="G76" i="11" s="1"/>
  <c r="E672" i="11"/>
  <c r="H893" i="11"/>
  <c r="I893" i="11" s="1"/>
  <c r="G537" i="11"/>
  <c r="F126" i="11"/>
  <c r="G126" i="11" s="1"/>
  <c r="E821" i="11"/>
  <c r="H159" i="11"/>
  <c r="I159" i="11" s="1"/>
  <c r="G864" i="11"/>
  <c r="F539" i="11"/>
  <c r="G539" i="11" s="1"/>
  <c r="E902" i="11"/>
  <c r="F488" i="11"/>
  <c r="G488" i="11" s="1"/>
  <c r="E963" i="11"/>
  <c r="H717" i="11"/>
  <c r="I717" i="11" s="1"/>
  <c r="E575" i="11"/>
  <c r="F73" i="11"/>
  <c r="H73" i="11" s="1"/>
  <c r="I73" i="11" s="1"/>
  <c r="F993" i="11"/>
  <c r="E993" i="11"/>
  <c r="G789" i="11"/>
  <c r="E812" i="11"/>
  <c r="F812" i="11"/>
  <c r="F733" i="11"/>
  <c r="E45" i="11"/>
  <c r="H154" i="11"/>
  <c r="I154" i="11" s="1"/>
  <c r="F888" i="11"/>
  <c r="E65" i="11"/>
  <c r="H650" i="11"/>
  <c r="I650" i="11" s="1"/>
  <c r="H816" i="11"/>
  <c r="I816" i="11" s="1"/>
  <c r="G429" i="11"/>
  <c r="F712" i="11"/>
  <c r="F898" i="11"/>
  <c r="H898" i="11" s="1"/>
  <c r="I898" i="11" s="1"/>
  <c r="E769" i="11"/>
  <c r="H770" i="11"/>
  <c r="I770" i="11" s="1"/>
  <c r="F89" i="11"/>
  <c r="H89" i="11" s="1"/>
  <c r="I89" i="11" s="1"/>
  <c r="F451" i="11"/>
  <c r="G451" i="11" s="1"/>
  <c r="E384" i="11"/>
  <c r="G335" i="11"/>
  <c r="G218" i="11"/>
  <c r="E78" i="11"/>
  <c r="G419" i="11"/>
  <c r="E625" i="11"/>
  <c r="F995" i="11"/>
  <c r="G995" i="11" s="1"/>
  <c r="F400" i="11"/>
  <c r="H400" i="11" s="1"/>
  <c r="I400" i="11" s="1"/>
  <c r="F28" i="11"/>
  <c r="E28" i="11"/>
  <c r="E330" i="11"/>
  <c r="F921" i="11"/>
  <c r="E921" i="11"/>
  <c r="H74" i="11"/>
  <c r="I74" i="11" s="1"/>
  <c r="G74" i="11"/>
  <c r="F973" i="11"/>
  <c r="E973" i="11"/>
  <c r="F645" i="11"/>
  <c r="E645" i="11"/>
  <c r="H994" i="11"/>
  <c r="I994" i="11" s="1"/>
  <c r="G876" i="11"/>
  <c r="G746" i="11"/>
  <c r="H865" i="11"/>
  <c r="I865" i="11" s="1"/>
  <c r="G102" i="11"/>
  <c r="H179" i="11"/>
  <c r="I179" i="11" s="1"/>
  <c r="G312" i="11"/>
  <c r="F778" i="11"/>
  <c r="E778" i="11"/>
  <c r="H414" i="11"/>
  <c r="I414" i="11" s="1"/>
  <c r="H525" i="11"/>
  <c r="I525" i="11" s="1"/>
  <c r="G525" i="11"/>
  <c r="E872" i="11"/>
  <c r="F872" i="11"/>
  <c r="E899" i="11"/>
  <c r="F899" i="11"/>
  <c r="H57" i="11"/>
  <c r="I57" i="11" s="1"/>
  <c r="G57" i="11"/>
  <c r="H472" i="11"/>
  <c r="I472" i="11" s="1"/>
  <c r="F459" i="11"/>
  <c r="E459" i="11"/>
  <c r="H727" i="11"/>
  <c r="I727" i="11" s="1"/>
  <c r="E877" i="11"/>
  <c r="F877" i="11"/>
  <c r="H790" i="11"/>
  <c r="I790" i="11" s="1"/>
  <c r="G790" i="11"/>
  <c r="F701" i="11"/>
  <c r="E701" i="11"/>
  <c r="F718" i="11"/>
  <c r="E718" i="11"/>
  <c r="H693" i="11"/>
  <c r="I693" i="11" s="1"/>
  <c r="F216" i="11"/>
  <c r="E216" i="11"/>
  <c r="E620" i="11"/>
  <c r="H876" i="11"/>
  <c r="I876" i="11" s="1"/>
  <c r="F916" i="11"/>
  <c r="H916" i="11" s="1"/>
  <c r="I916" i="11" s="1"/>
  <c r="E522" i="11"/>
  <c r="H746" i="11"/>
  <c r="I746" i="11" s="1"/>
  <c r="F117" i="11"/>
  <c r="E117" i="11"/>
  <c r="H451" i="11"/>
  <c r="I451" i="11" s="1"/>
  <c r="H102" i="11"/>
  <c r="I102" i="11" s="1"/>
  <c r="H225" i="11"/>
  <c r="I225" i="11" s="1"/>
  <c r="G225" i="11"/>
  <c r="E752" i="11"/>
  <c r="F752" i="11"/>
  <c r="F162" i="11"/>
  <c r="H162" i="11" s="1"/>
  <c r="I162" i="11" s="1"/>
  <c r="F726" i="11"/>
  <c r="H726" i="11" s="1"/>
  <c r="I726" i="11" s="1"/>
  <c r="E581" i="11"/>
  <c r="G305" i="11"/>
  <c r="G179" i="11"/>
  <c r="H312" i="11"/>
  <c r="I312" i="11" s="1"/>
  <c r="G414" i="11"/>
  <c r="E235" i="11"/>
  <c r="G299" i="11"/>
  <c r="H32" i="11"/>
  <c r="I32" i="11" s="1"/>
  <c r="G32" i="11"/>
  <c r="H82" i="11"/>
  <c r="I82" i="11" s="1"/>
  <c r="H402" i="11"/>
  <c r="I402" i="11" s="1"/>
  <c r="H737" i="11"/>
  <c r="I737" i="11" s="1"/>
  <c r="F103" i="11"/>
  <c r="E890" i="11"/>
  <c r="H725" i="11"/>
  <c r="I725" i="11" s="1"/>
  <c r="E242" i="11"/>
  <c r="E206" i="11"/>
  <c r="E636" i="11"/>
  <c r="E398" i="11"/>
  <c r="E996" i="11"/>
  <c r="H474" i="11"/>
  <c r="I474" i="11" s="1"/>
  <c r="G474" i="11"/>
  <c r="H17" i="11"/>
  <c r="I17" i="11" s="1"/>
  <c r="H635" i="11"/>
  <c r="I635" i="11" s="1"/>
  <c r="H374" i="11"/>
  <c r="I374" i="11" s="1"/>
  <c r="G374" i="11"/>
  <c r="H559" i="11"/>
  <c r="I559" i="11" s="1"/>
  <c r="H614" i="11"/>
  <c r="I614" i="11" s="1"/>
  <c r="G614" i="11"/>
  <c r="H452" i="11"/>
  <c r="I452" i="11" s="1"/>
  <c r="H932" i="11"/>
  <c r="I932" i="11" s="1"/>
  <c r="G58" i="11"/>
  <c r="F79" i="11"/>
  <c r="E79" i="11"/>
  <c r="E684" i="11"/>
  <c r="F684" i="11"/>
  <c r="H610" i="11"/>
  <c r="I610" i="11" s="1"/>
  <c r="G610" i="11"/>
  <c r="F825" i="11"/>
  <c r="E825" i="11"/>
  <c r="E507" i="11"/>
  <c r="F507" i="11"/>
  <c r="G713" i="11"/>
  <c r="H713" i="11"/>
  <c r="I713" i="11" s="1"/>
  <c r="G38" i="11"/>
  <c r="G795" i="11"/>
  <c r="H795" i="11"/>
  <c r="I795" i="11" s="1"/>
  <c r="F491" i="11"/>
  <c r="E491" i="11"/>
  <c r="F743" i="11"/>
  <c r="E743" i="11"/>
  <c r="H169" i="11"/>
  <c r="I169" i="11" s="1"/>
  <c r="G169" i="11"/>
  <c r="F589" i="11"/>
  <c r="E589" i="11"/>
  <c r="G834" i="11"/>
  <c r="F300" i="11"/>
  <c r="E300" i="11"/>
  <c r="H671" i="11"/>
  <c r="I671" i="11" s="1"/>
  <c r="G671" i="11"/>
  <c r="H430" i="11"/>
  <c r="I430" i="11" s="1"/>
  <c r="G430" i="11"/>
  <c r="G118" i="11"/>
  <c r="H243" i="11"/>
  <c r="I243" i="11" s="1"/>
  <c r="H791" i="11"/>
  <c r="I791" i="11" s="1"/>
  <c r="G791" i="11"/>
  <c r="H477" i="11"/>
  <c r="I477" i="11" s="1"/>
  <c r="H259" i="11"/>
  <c r="I259" i="11" s="1"/>
  <c r="G259" i="11"/>
  <c r="G163" i="11"/>
  <c r="H144" i="11"/>
  <c r="I144" i="11" s="1"/>
  <c r="G144" i="11"/>
  <c r="G773" i="11"/>
  <c r="H170" i="11"/>
  <c r="I170" i="11" s="1"/>
  <c r="H2" i="11"/>
  <c r="I2" i="11" s="1"/>
  <c r="G2" i="11"/>
  <c r="G399" i="11"/>
  <c r="H399" i="11"/>
  <c r="I399" i="11" s="1"/>
  <c r="F370" i="11"/>
  <c r="E370" i="11"/>
  <c r="H104" i="11"/>
  <c r="I104" i="11" s="1"/>
  <c r="E729" i="11"/>
  <c r="F729" i="11"/>
  <c r="H611" i="11"/>
  <c r="I611" i="11" s="1"/>
  <c r="G611" i="11"/>
  <c r="F842" i="11"/>
  <c r="E842" i="11"/>
  <c r="E489" i="11"/>
  <c r="E794" i="11"/>
  <c r="F53" i="11"/>
  <c r="E53" i="11"/>
  <c r="G288" i="11"/>
  <c r="H288" i="11"/>
  <c r="I288" i="11" s="1"/>
  <c r="H369" i="11"/>
  <c r="I369" i="11" s="1"/>
  <c r="H128" i="11"/>
  <c r="I128" i="11" s="1"/>
  <c r="G128" i="11"/>
  <c r="F348" i="11"/>
  <c r="E348" i="11"/>
  <c r="F738" i="11"/>
  <c r="E738" i="11"/>
  <c r="H280" i="11"/>
  <c r="I280" i="11" s="1"/>
  <c r="G280" i="11"/>
  <c r="F802" i="11"/>
  <c r="E802" i="11"/>
  <c r="H281" i="11"/>
  <c r="I281" i="11" s="1"/>
  <c r="G281" i="11"/>
  <c r="F237" i="11"/>
  <c r="E237" i="11"/>
  <c r="G188" i="11"/>
  <c r="F373" i="11"/>
  <c r="E373" i="11"/>
  <c r="F964" i="11"/>
  <c r="E964" i="11"/>
  <c r="E127" i="11"/>
  <c r="F47" i="11"/>
  <c r="E47" i="11"/>
  <c r="E572" i="11"/>
  <c r="F90" i="11"/>
  <c r="E90" i="11"/>
  <c r="E213" i="11"/>
  <c r="F48" i="11"/>
  <c r="E48" i="11"/>
  <c r="G331" i="11"/>
  <c r="H331" i="11"/>
  <c r="I331" i="11" s="1"/>
  <c r="F19" i="11"/>
  <c r="E19" i="11"/>
  <c r="G375" i="11"/>
  <c r="H375" i="11"/>
  <c r="I375" i="11" s="1"/>
  <c r="F906" i="11"/>
  <c r="E906" i="11"/>
  <c r="F415" i="11"/>
  <c r="E415" i="11"/>
  <c r="G639" i="11"/>
  <c r="H639" i="11"/>
  <c r="I639" i="11" s="1"/>
  <c r="F593" i="11"/>
  <c r="E593" i="11"/>
  <c r="F134" i="11"/>
  <c r="E134" i="11"/>
  <c r="G556" i="11"/>
  <c r="H556" i="11"/>
  <c r="I556" i="11" s="1"/>
  <c r="F52" i="11"/>
  <c r="E52" i="11"/>
  <c r="G886" i="11"/>
  <c r="H886" i="11"/>
  <c r="I886" i="11" s="1"/>
  <c r="F173" i="11"/>
  <c r="E173" i="11"/>
  <c r="H114" i="11"/>
  <c r="I114" i="11" s="1"/>
  <c r="G114" i="11"/>
  <c r="E989" i="11"/>
  <c r="F989" i="11"/>
  <c r="E691" i="11"/>
  <c r="F691" i="11"/>
  <c r="H942" i="11"/>
  <c r="I942" i="11" s="1"/>
  <c r="G942" i="11"/>
  <c r="H728" i="11"/>
  <c r="I728" i="11" s="1"/>
  <c r="F411" i="11"/>
  <c r="E411" i="11"/>
  <c r="H683" i="11"/>
  <c r="I683" i="11" s="1"/>
  <c r="F151" i="11"/>
  <c r="E151" i="11"/>
  <c r="H704" i="11"/>
  <c r="I704" i="11" s="1"/>
  <c r="G704" i="11"/>
  <c r="H531" i="11"/>
  <c r="I531" i="11" s="1"/>
  <c r="F460" i="11"/>
  <c r="E460" i="11"/>
  <c r="H867" i="11"/>
  <c r="I867" i="11" s="1"/>
  <c r="G867" i="11"/>
  <c r="H772" i="11"/>
  <c r="I772" i="11" s="1"/>
  <c r="F553" i="11"/>
  <c r="E553" i="11"/>
  <c r="H18" i="11"/>
  <c r="I18" i="11" s="1"/>
  <c r="F360" i="11"/>
  <c r="E360" i="11"/>
  <c r="H804" i="11"/>
  <c r="I804" i="11" s="1"/>
  <c r="F83" i="11"/>
  <c r="E83" i="11"/>
  <c r="G601" i="11"/>
  <c r="F109" i="11"/>
  <c r="E109" i="11"/>
  <c r="H838" i="11"/>
  <c r="I838" i="11" s="1"/>
  <c r="G838" i="11"/>
  <c r="H36" i="11"/>
  <c r="I36" i="11" s="1"/>
  <c r="F799" i="11"/>
  <c r="E799" i="11"/>
  <c r="H868" i="11"/>
  <c r="I868" i="11" s="1"/>
  <c r="F438" i="11"/>
  <c r="E438" i="11"/>
  <c r="H91" i="11"/>
  <c r="I91" i="11" s="1"/>
  <c r="G91" i="11"/>
  <c r="H621" i="11"/>
  <c r="I621" i="11" s="1"/>
  <c r="F784" i="11"/>
  <c r="E784" i="11"/>
  <c r="F10" i="11"/>
  <c r="E10" i="11"/>
  <c r="H251" i="11"/>
  <c r="I251" i="11" s="1"/>
  <c r="G251" i="11"/>
  <c r="G532" i="11"/>
  <c r="F189" i="11"/>
  <c r="E189" i="11"/>
  <c r="G705" i="11"/>
  <c r="H990" i="11"/>
  <c r="I990" i="11" s="1"/>
  <c r="G990" i="11"/>
  <c r="F349" i="11"/>
  <c r="H349" i="11" s="1"/>
  <c r="I349" i="11" s="1"/>
  <c r="F739" i="11"/>
  <c r="E739" i="11"/>
  <c r="H207" i="11"/>
  <c r="I207" i="11" s="1"/>
  <c r="G926" i="11"/>
  <c r="H926" i="11"/>
  <c r="I926" i="11" s="1"/>
  <c r="E922" i="11"/>
  <c r="F922" i="11"/>
  <c r="E293" i="11"/>
  <c r="F293" i="11"/>
  <c r="E33" i="11"/>
  <c r="F33" i="11"/>
  <c r="H850" i="11"/>
  <c r="I850" i="11" s="1"/>
  <c r="G850" i="11"/>
  <c r="H289" i="11"/>
  <c r="I289" i="11" s="1"/>
  <c r="G289" i="11"/>
  <c r="F197" i="11"/>
  <c r="E197" i="11"/>
  <c r="H960" i="11"/>
  <c r="I960" i="11" s="1"/>
  <c r="G960" i="11"/>
  <c r="F582" i="11"/>
  <c r="E582" i="11"/>
  <c r="E306" i="11"/>
  <c r="F306" i="11"/>
  <c r="G349" i="11"/>
  <c r="H971" i="11"/>
  <c r="I971" i="11" s="1"/>
  <c r="G971" i="11"/>
  <c r="F283" i="11"/>
  <c r="E283" i="11"/>
  <c r="H145" i="11"/>
  <c r="I145" i="11" s="1"/>
  <c r="H630" i="11"/>
  <c r="I630" i="11" s="1"/>
  <c r="G630" i="11"/>
  <c r="H796" i="11"/>
  <c r="I796" i="11" s="1"/>
  <c r="G796" i="11"/>
  <c r="H806" i="11"/>
  <c r="I806" i="11" s="1"/>
  <c r="G806" i="11"/>
  <c r="E84" i="11"/>
  <c r="F84" i="11"/>
  <c r="F323" i="11"/>
  <c r="E323" i="11"/>
  <c r="G409" i="11"/>
  <c r="H409" i="11"/>
  <c r="I409" i="11" s="1"/>
  <c r="F181" i="11"/>
  <c r="E181" i="11"/>
  <c r="F978" i="11"/>
  <c r="E978" i="11"/>
  <c r="H626" i="11"/>
  <c r="I626" i="11" s="1"/>
  <c r="G626" i="11"/>
  <c r="G972" i="11"/>
  <c r="H972" i="11"/>
  <c r="I972" i="11" s="1"/>
  <c r="H308" i="11"/>
  <c r="I308" i="11" s="1"/>
  <c r="G308" i="11"/>
  <c r="E594" i="11"/>
  <c r="F594" i="11"/>
  <c r="F830" i="11"/>
  <c r="E830" i="11"/>
  <c r="F616" i="11"/>
  <c r="E616" i="11"/>
  <c r="H724" i="11"/>
  <c r="I724" i="11" s="1"/>
  <c r="G724" i="11"/>
  <c r="E321" i="11"/>
  <c r="F321" i="11"/>
  <c r="G282" i="11"/>
  <c r="H191" i="11"/>
  <c r="I191" i="11" s="1"/>
  <c r="G269" i="11"/>
  <c r="E974" i="11"/>
  <c r="E260" i="11"/>
  <c r="F719" i="11"/>
  <c r="E719" i="11"/>
  <c r="E950" i="11"/>
  <c r="F950" i="11"/>
  <c r="F129" i="11"/>
  <c r="E129" i="11"/>
  <c r="G180" i="11"/>
  <c r="H481" i="11"/>
  <c r="I481" i="11" s="1"/>
  <c r="G481" i="11"/>
  <c r="F371" i="11"/>
  <c r="E371" i="11"/>
  <c r="H695" i="11"/>
  <c r="I695" i="11" s="1"/>
  <c r="G695" i="11"/>
  <c r="H92" i="11"/>
  <c r="I92" i="11" s="1"/>
  <c r="G92" i="11"/>
  <c r="H577" i="11"/>
  <c r="I577" i="11" s="1"/>
  <c r="G577" i="11"/>
  <c r="G393" i="11"/>
  <c r="H393" i="11"/>
  <c r="I393" i="11" s="1"/>
  <c r="F226" i="11"/>
  <c r="H226" i="11" s="1"/>
  <c r="I226" i="11" s="1"/>
  <c r="F199" i="11"/>
  <c r="E199" i="11"/>
  <c r="G146" i="11"/>
  <c r="H146" i="11"/>
  <c r="I146" i="11" s="1"/>
  <c r="F622" i="11"/>
  <c r="E21" i="11"/>
  <c r="H423" i="11"/>
  <c r="I423" i="11" s="1"/>
  <c r="F277" i="11"/>
  <c r="E887" i="11"/>
  <c r="H533" i="11"/>
  <c r="I533" i="11" s="1"/>
  <c r="F361" i="11"/>
  <c r="E747" i="11"/>
  <c r="H183" i="11"/>
  <c r="I183" i="11" s="1"/>
  <c r="F664" i="11"/>
  <c r="E664" i="11"/>
  <c r="G190" i="11"/>
  <c r="E244" i="11"/>
  <c r="F244" i="11"/>
  <c r="F800" i="11"/>
  <c r="H800" i="11" s="1"/>
  <c r="I800" i="11" s="1"/>
  <c r="F217" i="11"/>
  <c r="G217" i="11" s="1"/>
  <c r="E573" i="11"/>
  <c r="G461" i="11"/>
  <c r="E385" i="11"/>
  <c r="G39" i="11"/>
  <c r="E233" i="11"/>
  <c r="F439" i="11"/>
  <c r="H439" i="11" s="1"/>
  <c r="I439" i="11" s="1"/>
  <c r="H966" i="11"/>
  <c r="I966" i="11" s="1"/>
  <c r="G859" i="11"/>
  <c r="F119" i="11"/>
  <c r="E119" i="11"/>
  <c r="G603" i="11"/>
  <c r="E977" i="11"/>
  <c r="G780" i="11"/>
  <c r="H780" i="11"/>
  <c r="I780" i="11" s="1"/>
  <c r="F342" i="11"/>
  <c r="E342" i="11"/>
  <c r="F500" i="11"/>
  <c r="E500" i="11"/>
  <c r="G544" i="11"/>
  <c r="H544" i="11"/>
  <c r="I544" i="11" s="1"/>
  <c r="F813" i="11"/>
  <c r="E813" i="11"/>
  <c r="G256" i="11"/>
  <c r="H219" i="11"/>
  <c r="I219" i="11" s="1"/>
  <c r="G219" i="11"/>
  <c r="H554" i="11"/>
  <c r="I554" i="11" s="1"/>
  <c r="G554" i="11"/>
  <c r="F93" i="11"/>
  <c r="E93" i="11"/>
  <c r="G49" i="11"/>
  <c r="H49" i="11"/>
  <c r="I49" i="11" s="1"/>
  <c r="G1001" i="11"/>
  <c r="G232" i="11"/>
  <c r="G67" i="11"/>
  <c r="F651" i="11"/>
  <c r="E651" i="11"/>
  <c r="G325" i="11"/>
  <c r="E698" i="11"/>
  <c r="F698" i="11"/>
  <c r="G710" i="11"/>
  <c r="E111" i="11"/>
  <c r="F111" i="11"/>
  <c r="E440" i="11"/>
  <c r="F440" i="11"/>
  <c r="E240" i="11"/>
  <c r="F240" i="11"/>
  <c r="G290" i="11"/>
  <c r="H290" i="11"/>
  <c r="I290" i="11" s="1"/>
  <c r="H362" i="11"/>
  <c r="I362" i="11" s="1"/>
  <c r="G362" i="11"/>
  <c r="G741" i="11"/>
  <c r="H754" i="11"/>
  <c r="I754" i="11" s="1"/>
  <c r="H332" i="11"/>
  <c r="I332" i="11" s="1"/>
  <c r="H473" i="11"/>
  <c r="I473" i="11" s="1"/>
  <c r="H135" i="11"/>
  <c r="I135" i="11" s="1"/>
  <c r="H261" i="11"/>
  <c r="I261" i="11" s="1"/>
  <c r="F392" i="11"/>
  <c r="E392" i="11"/>
  <c r="H665" i="11"/>
  <c r="I665" i="11" s="1"/>
  <c r="H654" i="11"/>
  <c r="I654" i="11" s="1"/>
  <c r="G654" i="11"/>
  <c r="H801" i="11"/>
  <c r="I801" i="11" s="1"/>
  <c r="G801" i="11"/>
  <c r="F900" i="11"/>
  <c r="E900" i="11"/>
  <c r="E59" i="11"/>
  <c r="F59" i="11"/>
  <c r="F462" i="11"/>
  <c r="E462" i="11"/>
  <c r="H35" i="11"/>
  <c r="I35" i="11" s="1"/>
  <c r="G35" i="11"/>
  <c r="H192" i="11"/>
  <c r="I192" i="11" s="1"/>
  <c r="H12" i="11"/>
  <c r="I12" i="11" s="1"/>
  <c r="E526" i="11"/>
  <c r="F526" i="11"/>
  <c r="G597" i="11"/>
  <c r="H597" i="11"/>
  <c r="I597" i="11" s="1"/>
  <c r="H734" i="11"/>
  <c r="I734" i="11" s="1"/>
  <c r="G734" i="11"/>
  <c r="G291" i="11"/>
  <c r="H291" i="11"/>
  <c r="I291" i="11" s="1"/>
  <c r="H420" i="11"/>
  <c r="I420" i="11" s="1"/>
  <c r="G420" i="11"/>
  <c r="H105" i="11"/>
  <c r="I105" i="11" s="1"/>
  <c r="G105" i="11"/>
  <c r="G862" i="11"/>
  <c r="H862" i="11"/>
  <c r="I862" i="11" s="1"/>
  <c r="G851" i="11"/>
  <c r="H50" i="11"/>
  <c r="I50" i="11" s="1"/>
  <c r="G278" i="11"/>
  <c r="H34" i="11"/>
  <c r="I34" i="11" s="1"/>
  <c r="F248" i="11"/>
  <c r="E248" i="11"/>
  <c r="H352" i="11"/>
  <c r="I352" i="11" s="1"/>
  <c r="G352" i="11"/>
  <c r="H324" i="11"/>
  <c r="I324" i="11" s="1"/>
  <c r="H882" i="11"/>
  <c r="I882" i="11" s="1"/>
  <c r="G882" i="11"/>
  <c r="G307" i="11"/>
  <c r="H307" i="11"/>
  <c r="I307" i="11" s="1"/>
  <c r="H883" i="11"/>
  <c r="I883" i="11" s="1"/>
  <c r="G883" i="11"/>
  <c r="G828" i="11"/>
  <c r="H828" i="11"/>
  <c r="I828" i="11" s="1"/>
  <c r="F699" i="11"/>
  <c r="E699" i="11"/>
  <c r="E666" i="11"/>
  <c r="F666" i="11"/>
  <c r="F655" i="11"/>
  <c r="E655" i="11"/>
  <c r="H184" i="11"/>
  <c r="I184" i="11" s="1"/>
  <c r="G184" i="11"/>
  <c r="H174" i="11"/>
  <c r="I174" i="11" s="1"/>
  <c r="G174" i="11"/>
  <c r="E557" i="11"/>
  <c r="F557" i="11"/>
  <c r="F497" i="11"/>
  <c r="E497" i="11"/>
  <c r="G968" i="11"/>
  <c r="F40" i="11"/>
  <c r="E40" i="11"/>
  <c r="H142" i="11"/>
  <c r="I142" i="11" s="1"/>
  <c r="G142" i="11"/>
  <c r="H270" i="11"/>
  <c r="I270" i="11" s="1"/>
  <c r="H198" i="11"/>
  <c r="I198" i="11" s="1"/>
  <c r="H675" i="11"/>
  <c r="I675" i="11" s="1"/>
  <c r="H238" i="11"/>
  <c r="I238" i="11" s="1"/>
  <c r="H660" i="11"/>
  <c r="I660" i="11" s="1"/>
  <c r="H755" i="11"/>
  <c r="I755" i="11" s="1"/>
  <c r="G917" i="11"/>
  <c r="H668" i="11"/>
  <c r="I668" i="11" s="1"/>
  <c r="G313" i="11"/>
  <c r="F120" i="11"/>
  <c r="E120" i="11"/>
  <c r="E85" i="11"/>
  <c r="F85" i="11"/>
  <c r="G464" i="11"/>
  <c r="H464" i="11"/>
  <c r="I464" i="11" s="1"/>
  <c r="G649" i="11"/>
  <c r="H967" i="11"/>
  <c r="I967" i="11" s="1"/>
  <c r="G967" i="11"/>
  <c r="G979" i="11"/>
  <c r="H979" i="11"/>
  <c r="I979" i="11" s="1"/>
  <c r="H425" i="11"/>
  <c r="I425" i="11" s="1"/>
  <c r="G425" i="11"/>
  <c r="G936" i="11"/>
  <c r="H322" i="11"/>
  <c r="I322" i="11" s="1"/>
  <c r="G938" i="11"/>
  <c r="H891" i="11"/>
  <c r="I891" i="11" s="1"/>
  <c r="G560" i="11"/>
  <c r="G54" i="11"/>
  <c r="F673" i="11"/>
  <c r="E673" i="11"/>
  <c r="G443" i="11"/>
  <c r="F285" i="11"/>
  <c r="E285" i="11"/>
  <c r="E829" i="11"/>
  <c r="F829" i="11"/>
  <c r="G612" i="11"/>
  <c r="H612" i="11"/>
  <c r="I612" i="11" s="1"/>
  <c r="G869" i="11"/>
  <c r="H637" i="11"/>
  <c r="I637" i="11" s="1"/>
  <c r="F200" i="11"/>
  <c r="E200" i="11"/>
  <c r="F466" i="11"/>
  <c r="E466" i="11"/>
  <c r="H975" i="11"/>
  <c r="I975" i="11" s="1"/>
  <c r="H3" i="11"/>
  <c r="I3" i="11" s="1"/>
  <c r="H185" i="11"/>
  <c r="I185" i="11" s="1"/>
  <c r="F696" i="11"/>
  <c r="E696" i="11"/>
  <c r="H939" i="11"/>
  <c r="I939" i="11" s="1"/>
  <c r="G939" i="11"/>
  <c r="F933" i="11"/>
  <c r="E933" i="11"/>
  <c r="H412" i="11"/>
  <c r="I412" i="11" s="1"/>
  <c r="G412" i="11"/>
  <c r="H25" i="11"/>
  <c r="I25" i="11" s="1"/>
  <c r="G25" i="11"/>
  <c r="F376" i="11"/>
  <c r="E376" i="11"/>
  <c r="H501" i="11"/>
  <c r="I501" i="11" s="1"/>
  <c r="G501" i="11"/>
  <c r="F77" i="11"/>
  <c r="G77" i="11" s="1"/>
  <c r="E605" i="11"/>
  <c r="H443" i="11"/>
  <c r="I443" i="11" s="1"/>
  <c r="F764" i="11"/>
  <c r="G764" i="11" s="1"/>
  <c r="E424" i="11"/>
  <c r="H968" i="11"/>
  <c r="I968" i="11" s="1"/>
  <c r="F80" i="11"/>
  <c r="G80" i="11" s="1"/>
  <c r="H262" i="11"/>
  <c r="I262" i="11" s="1"/>
  <c r="G262" i="11"/>
  <c r="F618" i="11"/>
  <c r="E618" i="11"/>
  <c r="H534" i="11"/>
  <c r="I534" i="11" s="1"/>
  <c r="G534" i="11"/>
  <c r="G14" i="11"/>
  <c r="G758" i="11"/>
  <c r="H15" i="9"/>
  <c r="I15" i="9" s="1"/>
  <c r="E350" i="9"/>
  <c r="F350" i="9"/>
  <c r="G350" i="9" s="1"/>
  <c r="E414" i="9"/>
  <c r="F414" i="9"/>
  <c r="E670" i="9"/>
  <c r="F670" i="9"/>
  <c r="E847" i="9"/>
  <c r="F847" i="9"/>
  <c r="E885" i="9"/>
  <c r="F885" i="9"/>
  <c r="G885" i="9" s="1"/>
  <c r="F945" i="9"/>
  <c r="E945" i="9"/>
  <c r="E4" i="9"/>
  <c r="H4" i="9" s="1"/>
  <c r="I4" i="9" s="1"/>
  <c r="E6" i="9"/>
  <c r="G6" i="9" s="1"/>
  <c r="H27" i="9"/>
  <c r="I27" i="9" s="1"/>
  <c r="H32" i="9"/>
  <c r="I32" i="9" s="1"/>
  <c r="F43" i="9"/>
  <c r="F48" i="9"/>
  <c r="H48" i="9" s="1"/>
  <c r="I48" i="9" s="1"/>
  <c r="F77" i="9"/>
  <c r="E77" i="9"/>
  <c r="H77" i="9" s="1"/>
  <c r="I77" i="9" s="1"/>
  <c r="E122" i="9"/>
  <c r="E125" i="9"/>
  <c r="H125" i="9" s="1"/>
  <c r="I125" i="9" s="1"/>
  <c r="F257" i="9"/>
  <c r="E257" i="9"/>
  <c r="G257" i="9" s="1"/>
  <c r="F337" i="9"/>
  <c r="E337" i="9"/>
  <c r="G337" i="9" s="1"/>
  <c r="F369" i="9"/>
  <c r="E369" i="9"/>
  <c r="F401" i="9"/>
  <c r="E401" i="9"/>
  <c r="G401" i="9" s="1"/>
  <c r="F433" i="9"/>
  <c r="E433" i="9"/>
  <c r="G433" i="9" s="1"/>
  <c r="F449" i="9"/>
  <c r="E449" i="9"/>
  <c r="H449" i="9" s="1"/>
  <c r="I449" i="9" s="1"/>
  <c r="F465" i="9"/>
  <c r="E465" i="9"/>
  <c r="E506" i="9"/>
  <c r="F506" i="9"/>
  <c r="G506" i="9" s="1"/>
  <c r="E570" i="9"/>
  <c r="F570" i="9"/>
  <c r="E602" i="9"/>
  <c r="F602" i="9"/>
  <c r="G602" i="9" s="1"/>
  <c r="E704" i="9"/>
  <c r="F704" i="9"/>
  <c r="G704" i="9" s="1"/>
  <c r="F816" i="9"/>
  <c r="E816" i="9"/>
  <c r="G816" i="9" s="1"/>
  <c r="E879" i="9"/>
  <c r="F879" i="9"/>
  <c r="F995" i="9"/>
  <c r="E995" i="9"/>
  <c r="G995" i="9" s="1"/>
  <c r="H43" i="9"/>
  <c r="I43" i="9" s="1"/>
  <c r="F319" i="9"/>
  <c r="E319" i="9"/>
  <c r="E382" i="9"/>
  <c r="H382" i="9" s="1"/>
  <c r="I382" i="9" s="1"/>
  <c r="F382" i="9"/>
  <c r="E654" i="9"/>
  <c r="H654" i="9" s="1"/>
  <c r="I654" i="9" s="1"/>
  <c r="F654" i="9"/>
  <c r="F728" i="9"/>
  <c r="H728" i="9" s="1"/>
  <c r="I728" i="9" s="1"/>
  <c r="E728" i="9"/>
  <c r="H11" i="9"/>
  <c r="I11" i="9" s="1"/>
  <c r="F173" i="9"/>
  <c r="G173" i="9" s="1"/>
  <c r="E173" i="9"/>
  <c r="F292" i="9"/>
  <c r="E292" i="9"/>
  <c r="F303" i="9"/>
  <c r="G303" i="9" s="1"/>
  <c r="E303" i="9"/>
  <c r="F326" i="9"/>
  <c r="E326" i="9"/>
  <c r="E334" i="9"/>
  <c r="H334" i="9" s="1"/>
  <c r="I334" i="9" s="1"/>
  <c r="F334" i="9"/>
  <c r="E366" i="9"/>
  <c r="H366" i="9" s="1"/>
  <c r="I366" i="9" s="1"/>
  <c r="F366" i="9"/>
  <c r="E398" i="9"/>
  <c r="H398" i="9" s="1"/>
  <c r="I398" i="9" s="1"/>
  <c r="F398" i="9"/>
  <c r="E430" i="9"/>
  <c r="H430" i="9" s="1"/>
  <c r="I430" i="9" s="1"/>
  <c r="F430" i="9"/>
  <c r="E446" i="9"/>
  <c r="H446" i="9" s="1"/>
  <c r="I446" i="9" s="1"/>
  <c r="F446" i="9"/>
  <c r="E462" i="9"/>
  <c r="H462" i="9" s="1"/>
  <c r="I462" i="9" s="1"/>
  <c r="F462" i="9"/>
  <c r="E479" i="9"/>
  <c r="F479" i="9"/>
  <c r="E636" i="9"/>
  <c r="F636" i="9"/>
  <c r="E652" i="9"/>
  <c r="F652" i="9"/>
  <c r="E668" i="9"/>
  <c r="F668" i="9"/>
  <c r="E688" i="9"/>
  <c r="H688" i="9" s="1"/>
  <c r="I688" i="9" s="1"/>
  <c r="F688" i="9"/>
  <c r="F802" i="9"/>
  <c r="E802" i="9"/>
  <c r="E865" i="9"/>
  <c r="H865" i="9" s="1"/>
  <c r="I865" i="9" s="1"/>
  <c r="F865" i="9"/>
  <c r="E911" i="9"/>
  <c r="F911" i="9"/>
  <c r="H20" i="9"/>
  <c r="I20" i="9" s="1"/>
  <c r="F106" i="9"/>
  <c r="E106" i="9"/>
  <c r="F330" i="9"/>
  <c r="E330" i="9"/>
  <c r="G330" i="9" s="1"/>
  <c r="E529" i="9"/>
  <c r="F529" i="9"/>
  <c r="E638" i="9"/>
  <c r="F638" i="9"/>
  <c r="F11" i="9"/>
  <c r="F16" i="9"/>
  <c r="H16" i="9" s="1"/>
  <c r="I16" i="9" s="1"/>
  <c r="E38" i="9"/>
  <c r="E90" i="9"/>
  <c r="G90" i="9" s="1"/>
  <c r="E93" i="9"/>
  <c r="H93" i="9" s="1"/>
  <c r="I93" i="9" s="1"/>
  <c r="F109" i="9"/>
  <c r="E109" i="9"/>
  <c r="F301" i="9"/>
  <c r="E301" i="9"/>
  <c r="F353" i="9"/>
  <c r="E353" i="9"/>
  <c r="F385" i="9"/>
  <c r="G385" i="9" s="1"/>
  <c r="E385" i="9"/>
  <c r="F417" i="9"/>
  <c r="G417" i="9" s="1"/>
  <c r="E417" i="9"/>
  <c r="E543" i="9"/>
  <c r="H543" i="9" s="1"/>
  <c r="I543" i="9" s="1"/>
  <c r="F543" i="9"/>
  <c r="E594" i="9"/>
  <c r="F594" i="9"/>
  <c r="G604" i="9"/>
  <c r="F760" i="9"/>
  <c r="E760" i="9"/>
  <c r="G760" i="9" s="1"/>
  <c r="E853" i="9"/>
  <c r="F853" i="9"/>
  <c r="G853" i="9" s="1"/>
  <c r="E897" i="9"/>
  <c r="F897" i="9"/>
  <c r="G897" i="9" s="1"/>
  <c r="F971" i="9"/>
  <c r="E971" i="9"/>
  <c r="G971" i="9" s="1"/>
  <c r="H346" i="9"/>
  <c r="I346" i="9" s="1"/>
  <c r="H362" i="9"/>
  <c r="I362" i="9" s="1"/>
  <c r="H378" i="9"/>
  <c r="I378" i="9" s="1"/>
  <c r="H394" i="9"/>
  <c r="I394" i="9" s="1"/>
  <c r="H410" i="9"/>
  <c r="I410" i="9" s="1"/>
  <c r="H426" i="9"/>
  <c r="I426" i="9" s="1"/>
  <c r="H442" i="9"/>
  <c r="I442" i="9" s="1"/>
  <c r="H458" i="9"/>
  <c r="I458" i="9" s="1"/>
  <c r="H630" i="9"/>
  <c r="I630" i="9" s="1"/>
  <c r="H632" i="9"/>
  <c r="I632" i="9" s="1"/>
  <c r="H648" i="9"/>
  <c r="I648" i="9" s="1"/>
  <c r="H664" i="9"/>
  <c r="I664" i="9" s="1"/>
  <c r="H358" i="9"/>
  <c r="I358" i="9" s="1"/>
  <c r="H422" i="9"/>
  <c r="I422" i="9" s="1"/>
  <c r="H438" i="9"/>
  <c r="I438" i="9" s="1"/>
  <c r="H454" i="9"/>
  <c r="I454" i="9" s="1"/>
  <c r="F554" i="9"/>
  <c r="G554" i="9" s="1"/>
  <c r="F592" i="9"/>
  <c r="G592" i="9" s="1"/>
  <c r="F600" i="9"/>
  <c r="G600" i="9" s="1"/>
  <c r="F611" i="9"/>
  <c r="F614" i="9"/>
  <c r="F619" i="9"/>
  <c r="G619" i="9" s="1"/>
  <c r="F624" i="9"/>
  <c r="G624" i="9" s="1"/>
  <c r="F626" i="9"/>
  <c r="H626" i="9" s="1"/>
  <c r="I626" i="9" s="1"/>
  <c r="F628" i="9"/>
  <c r="G628" i="9" s="1"/>
  <c r="H646" i="9"/>
  <c r="I646" i="9" s="1"/>
  <c r="H662" i="9"/>
  <c r="I662" i="9" s="1"/>
  <c r="H680" i="9"/>
  <c r="I680" i="9" s="1"/>
  <c r="H696" i="9"/>
  <c r="I696" i="9" s="1"/>
  <c r="H712" i="9"/>
  <c r="I712" i="9" s="1"/>
  <c r="H857" i="9"/>
  <c r="I857" i="9" s="1"/>
  <c r="H889" i="9"/>
  <c r="I889" i="9" s="1"/>
  <c r="E935" i="9"/>
  <c r="G935" i="9" s="1"/>
  <c r="E975" i="9"/>
  <c r="G975" i="9" s="1"/>
  <c r="E308" i="9"/>
  <c r="E323" i="9"/>
  <c r="H323" i="9" s="1"/>
  <c r="I323" i="9" s="1"/>
  <c r="H338" i="9"/>
  <c r="I338" i="9" s="1"/>
  <c r="F342" i="9"/>
  <c r="H342" i="9" s="1"/>
  <c r="I342" i="9" s="1"/>
  <c r="H354" i="9"/>
  <c r="I354" i="9" s="1"/>
  <c r="F358" i="9"/>
  <c r="H370" i="9"/>
  <c r="I370" i="9" s="1"/>
  <c r="F374" i="9"/>
  <c r="H374" i="9" s="1"/>
  <c r="I374" i="9" s="1"/>
  <c r="H386" i="9"/>
  <c r="I386" i="9" s="1"/>
  <c r="F390" i="9"/>
  <c r="H390" i="9" s="1"/>
  <c r="I390" i="9" s="1"/>
  <c r="H402" i="9"/>
  <c r="I402" i="9" s="1"/>
  <c r="F406" i="9"/>
  <c r="H406" i="9" s="1"/>
  <c r="I406" i="9" s="1"/>
  <c r="H418" i="9"/>
  <c r="I418" i="9" s="1"/>
  <c r="F422" i="9"/>
  <c r="H434" i="9"/>
  <c r="I434" i="9" s="1"/>
  <c r="H450" i="9"/>
  <c r="I450" i="9" s="1"/>
  <c r="H466" i="9"/>
  <c r="I466" i="9" s="1"/>
  <c r="H604" i="9"/>
  <c r="I604" i="9" s="1"/>
  <c r="H606" i="9"/>
  <c r="I606" i="9" s="1"/>
  <c r="H615" i="9"/>
  <c r="I615" i="9" s="1"/>
  <c r="H631" i="9"/>
  <c r="I631" i="9" s="1"/>
  <c r="H640" i="9"/>
  <c r="I640" i="9" s="1"/>
  <c r="H642" i="9"/>
  <c r="I642" i="9" s="1"/>
  <c r="H656" i="9"/>
  <c r="I656" i="9" s="1"/>
  <c r="H658" i="9"/>
  <c r="I658" i="9" s="1"/>
  <c r="H672" i="9"/>
  <c r="I672" i="9" s="1"/>
  <c r="H674" i="9"/>
  <c r="I674" i="9" s="1"/>
  <c r="H690" i="9"/>
  <c r="I690" i="9" s="1"/>
  <c r="H706" i="9"/>
  <c r="I706" i="9" s="1"/>
  <c r="H855" i="9"/>
  <c r="I855" i="9" s="1"/>
  <c r="H887" i="9"/>
  <c r="I887" i="9" s="1"/>
  <c r="F724" i="6"/>
  <c r="G367" i="9"/>
  <c r="G331" i="9"/>
  <c r="G395" i="9"/>
  <c r="G459" i="9"/>
  <c r="G22" i="9"/>
  <c r="H22" i="9"/>
  <c r="I22" i="9" s="1"/>
  <c r="G193" i="9"/>
  <c r="H193" i="9"/>
  <c r="I193" i="9" s="1"/>
  <c r="H257" i="9"/>
  <c r="I257" i="9" s="1"/>
  <c r="G369" i="9"/>
  <c r="H369" i="9"/>
  <c r="I369" i="9" s="1"/>
  <c r="G373" i="9"/>
  <c r="H373" i="9"/>
  <c r="I373" i="9" s="1"/>
  <c r="G389" i="9"/>
  <c r="H389" i="9"/>
  <c r="I389" i="9" s="1"/>
  <c r="G393" i="9"/>
  <c r="H393" i="9"/>
  <c r="I393" i="9" s="1"/>
  <c r="G405" i="9"/>
  <c r="H405" i="9"/>
  <c r="I405" i="9" s="1"/>
  <c r="G413" i="9"/>
  <c r="H413" i="9"/>
  <c r="I413" i="9" s="1"/>
  <c r="H417" i="9"/>
  <c r="I417" i="9" s="1"/>
  <c r="G421" i="9"/>
  <c r="H421" i="9"/>
  <c r="I421" i="9" s="1"/>
  <c r="G425" i="9"/>
  <c r="H425" i="9"/>
  <c r="I425" i="9" s="1"/>
  <c r="G429" i="9"/>
  <c r="H429" i="9"/>
  <c r="I429" i="9" s="1"/>
  <c r="H433" i="9"/>
  <c r="I433" i="9" s="1"/>
  <c r="G437" i="9"/>
  <c r="H437" i="9"/>
  <c r="I437" i="9" s="1"/>
  <c r="G461" i="9"/>
  <c r="H461" i="9"/>
  <c r="I461" i="9" s="1"/>
  <c r="G465" i="9"/>
  <c r="H465" i="9"/>
  <c r="I465" i="9" s="1"/>
  <c r="G469" i="9"/>
  <c r="H469" i="9"/>
  <c r="I469" i="9" s="1"/>
  <c r="E607" i="9"/>
  <c r="F607" i="9"/>
  <c r="E702" i="9"/>
  <c r="F702" i="9"/>
  <c r="E54" i="9"/>
  <c r="E56" i="9"/>
  <c r="G61" i="9"/>
  <c r="E70" i="9"/>
  <c r="E86" i="9"/>
  <c r="E88" i="9"/>
  <c r="G93" i="9"/>
  <c r="E102" i="9"/>
  <c r="E118" i="9"/>
  <c r="E120" i="9"/>
  <c r="E221" i="9"/>
  <c r="E265" i="9"/>
  <c r="G284" i="9"/>
  <c r="E295" i="9"/>
  <c r="E315" i="9"/>
  <c r="E328" i="9"/>
  <c r="H328" i="9" s="1"/>
  <c r="I328" i="9" s="1"/>
  <c r="E332" i="9"/>
  <c r="H332" i="9" s="1"/>
  <c r="I332" i="9" s="1"/>
  <c r="E340" i="9"/>
  <c r="H340" i="9" s="1"/>
  <c r="I340" i="9" s="1"/>
  <c r="E344" i="9"/>
  <c r="H344" i="9" s="1"/>
  <c r="I344" i="9" s="1"/>
  <c r="E352" i="9"/>
  <c r="H352" i="9" s="1"/>
  <c r="I352" i="9" s="1"/>
  <c r="E360" i="9"/>
  <c r="H360" i="9" s="1"/>
  <c r="I360" i="9" s="1"/>
  <c r="E364" i="9"/>
  <c r="H364" i="9" s="1"/>
  <c r="I364" i="9" s="1"/>
  <c r="E372" i="9"/>
  <c r="H372" i="9" s="1"/>
  <c r="I372" i="9" s="1"/>
  <c r="E388" i="9"/>
  <c r="H388" i="9" s="1"/>
  <c r="I388" i="9" s="1"/>
  <c r="E392" i="9"/>
  <c r="H392" i="9" s="1"/>
  <c r="I392" i="9" s="1"/>
  <c r="E396" i="9"/>
  <c r="H396" i="9" s="1"/>
  <c r="I396" i="9" s="1"/>
  <c r="E400" i="9"/>
  <c r="H400" i="9" s="1"/>
  <c r="I400" i="9" s="1"/>
  <c r="E408" i="9"/>
  <c r="H408" i="9" s="1"/>
  <c r="I408" i="9" s="1"/>
  <c r="E416" i="9"/>
  <c r="H416" i="9" s="1"/>
  <c r="I416" i="9" s="1"/>
  <c r="E420" i="9"/>
  <c r="H420" i="9" s="1"/>
  <c r="I420" i="9" s="1"/>
  <c r="E428" i="9"/>
  <c r="H428" i="9" s="1"/>
  <c r="I428" i="9" s="1"/>
  <c r="E432" i="9"/>
  <c r="H432" i="9" s="1"/>
  <c r="I432" i="9" s="1"/>
  <c r="E448" i="9"/>
  <c r="H448" i="9" s="1"/>
  <c r="I448" i="9" s="1"/>
  <c r="E460" i="9"/>
  <c r="H460" i="9" s="1"/>
  <c r="I460" i="9" s="1"/>
  <c r="E464" i="9"/>
  <c r="H464" i="9" s="1"/>
  <c r="I464" i="9" s="1"/>
  <c r="F478" i="9"/>
  <c r="H478" i="9" s="1"/>
  <c r="I478" i="9" s="1"/>
  <c r="F483" i="9"/>
  <c r="H483" i="9" s="1"/>
  <c r="I483" i="9" s="1"/>
  <c r="H498" i="9"/>
  <c r="I498" i="9" s="1"/>
  <c r="F501" i="9"/>
  <c r="H501" i="9" s="1"/>
  <c r="I501" i="9" s="1"/>
  <c r="F517" i="9"/>
  <c r="H517" i="9" s="1"/>
  <c r="I517" i="9" s="1"/>
  <c r="F526" i="9"/>
  <c r="G526" i="9" s="1"/>
  <c r="F531" i="9"/>
  <c r="H531" i="9" s="1"/>
  <c r="I531" i="9" s="1"/>
  <c r="F549" i="9"/>
  <c r="F558" i="9"/>
  <c r="G558" i="9" s="1"/>
  <c r="F568" i="9"/>
  <c r="F576" i="9"/>
  <c r="H576" i="9" s="1"/>
  <c r="I576" i="9" s="1"/>
  <c r="F578" i="9"/>
  <c r="H578" i="9" s="1"/>
  <c r="I578" i="9" s="1"/>
  <c r="F580" i="9"/>
  <c r="F582" i="9"/>
  <c r="H582" i="9" s="1"/>
  <c r="I582" i="9" s="1"/>
  <c r="E586" i="9"/>
  <c r="F586" i="9"/>
  <c r="G586" i="9" s="1"/>
  <c r="F591" i="9"/>
  <c r="H591" i="9" s="1"/>
  <c r="I591" i="9" s="1"/>
  <c r="E603" i="9"/>
  <c r="F603" i="9"/>
  <c r="E2" i="9"/>
  <c r="H2" i="9" s="1"/>
  <c r="I2" i="9" s="1"/>
  <c r="F7" i="9"/>
  <c r="H7" i="9" s="1"/>
  <c r="I7" i="9" s="1"/>
  <c r="F12" i="9"/>
  <c r="H12" i="9" s="1"/>
  <c r="I12" i="9" s="1"/>
  <c r="E18" i="9"/>
  <c r="H18" i="9" s="1"/>
  <c r="I18" i="9" s="1"/>
  <c r="F23" i="9"/>
  <c r="H23" i="9" s="1"/>
  <c r="I23" i="9" s="1"/>
  <c r="F28" i="9"/>
  <c r="H28" i="9" s="1"/>
  <c r="I28" i="9" s="1"/>
  <c r="E34" i="9"/>
  <c r="H34" i="9" s="1"/>
  <c r="I34" i="9" s="1"/>
  <c r="F39" i="9"/>
  <c r="H39" i="9" s="1"/>
  <c r="I39" i="9" s="1"/>
  <c r="F44" i="9"/>
  <c r="H44" i="9" s="1"/>
  <c r="I44" i="9" s="1"/>
  <c r="E50" i="9"/>
  <c r="E53" i="9"/>
  <c r="E66" i="9"/>
  <c r="E69" i="9"/>
  <c r="E82" i="9"/>
  <c r="E85" i="9"/>
  <c r="E98" i="9"/>
  <c r="E101" i="9"/>
  <c r="E114" i="9"/>
  <c r="E117" i="9"/>
  <c r="E130" i="9"/>
  <c r="E145" i="9"/>
  <c r="E169" i="9"/>
  <c r="E189" i="9"/>
  <c r="E209" i="9"/>
  <c r="E233" i="9"/>
  <c r="E253" i="9"/>
  <c r="E273" i="9"/>
  <c r="E289" i="9"/>
  <c r="E296" i="9"/>
  <c r="G308" i="9"/>
  <c r="H308" i="9"/>
  <c r="I308" i="9" s="1"/>
  <c r="G319" i="9"/>
  <c r="H319" i="9"/>
  <c r="I319" i="9" s="1"/>
  <c r="G321" i="9"/>
  <c r="H321" i="9"/>
  <c r="I321" i="9" s="1"/>
  <c r="H326" i="9"/>
  <c r="I326" i="9" s="1"/>
  <c r="F327" i="9"/>
  <c r="G327" i="9" s="1"/>
  <c r="H330" i="9"/>
  <c r="I330" i="9" s="1"/>
  <c r="F331" i="9"/>
  <c r="H331" i="9" s="1"/>
  <c r="I331" i="9" s="1"/>
  <c r="F335" i="9"/>
  <c r="H335" i="9" s="1"/>
  <c r="I335" i="9" s="1"/>
  <c r="F339" i="9"/>
  <c r="G339" i="9" s="1"/>
  <c r="F343" i="9"/>
  <c r="G343" i="9" s="1"/>
  <c r="F347" i="9"/>
  <c r="G347" i="9" s="1"/>
  <c r="F351" i="9"/>
  <c r="G351" i="9" s="1"/>
  <c r="F355" i="9"/>
  <c r="H355" i="9" s="1"/>
  <c r="I355" i="9" s="1"/>
  <c r="F359" i="9"/>
  <c r="G359" i="9" s="1"/>
  <c r="F363" i="9"/>
  <c r="H363" i="9" s="1"/>
  <c r="I363" i="9" s="1"/>
  <c r="F367" i="9"/>
  <c r="H367" i="9" s="1"/>
  <c r="I367" i="9" s="1"/>
  <c r="F371" i="9"/>
  <c r="G371" i="9" s="1"/>
  <c r="F375" i="9"/>
  <c r="H375" i="9" s="1"/>
  <c r="I375" i="9" s="1"/>
  <c r="F379" i="9"/>
  <c r="G379" i="9" s="1"/>
  <c r="F383" i="9"/>
  <c r="G383" i="9" s="1"/>
  <c r="F387" i="9"/>
  <c r="H387" i="9" s="1"/>
  <c r="I387" i="9" s="1"/>
  <c r="F391" i="9"/>
  <c r="G391" i="9" s="1"/>
  <c r="F395" i="9"/>
  <c r="H395" i="9" s="1"/>
  <c r="I395" i="9" s="1"/>
  <c r="F399" i="9"/>
  <c r="H399" i="9" s="1"/>
  <c r="I399" i="9" s="1"/>
  <c r="F403" i="9"/>
  <c r="G403" i="9" s="1"/>
  <c r="F407" i="9"/>
  <c r="H407" i="9" s="1"/>
  <c r="I407" i="9" s="1"/>
  <c r="F411" i="9"/>
  <c r="G411" i="9" s="1"/>
  <c r="F415" i="9"/>
  <c r="G415" i="9" s="1"/>
  <c r="F419" i="9"/>
  <c r="H419" i="9" s="1"/>
  <c r="I419" i="9" s="1"/>
  <c r="F423" i="9"/>
  <c r="G423" i="9" s="1"/>
  <c r="F427" i="9"/>
  <c r="H427" i="9" s="1"/>
  <c r="I427" i="9" s="1"/>
  <c r="F431" i="9"/>
  <c r="H431" i="9" s="1"/>
  <c r="I431" i="9" s="1"/>
  <c r="F435" i="9"/>
  <c r="G435" i="9" s="1"/>
  <c r="F439" i="9"/>
  <c r="H439" i="9" s="1"/>
  <c r="I439" i="9" s="1"/>
  <c r="F443" i="9"/>
  <c r="G443" i="9" s="1"/>
  <c r="F447" i="9"/>
  <c r="G447" i="9" s="1"/>
  <c r="F451" i="9"/>
  <c r="H451" i="9" s="1"/>
  <c r="I451" i="9" s="1"/>
  <c r="F455" i="9"/>
  <c r="G455" i="9" s="1"/>
  <c r="F459" i="9"/>
  <c r="H459" i="9" s="1"/>
  <c r="I459" i="9" s="1"/>
  <c r="F463" i="9"/>
  <c r="H463" i="9" s="1"/>
  <c r="I463" i="9" s="1"/>
  <c r="F467" i="9"/>
  <c r="G467" i="9" s="1"/>
  <c r="F470" i="9"/>
  <c r="G470" i="9" s="1"/>
  <c r="H474" i="9"/>
  <c r="I474" i="9" s="1"/>
  <c r="F475" i="9"/>
  <c r="G475" i="9" s="1"/>
  <c r="F477" i="9"/>
  <c r="G477" i="9" s="1"/>
  <c r="H479" i="9"/>
  <c r="I479" i="9" s="1"/>
  <c r="H481" i="9"/>
  <c r="I481" i="9" s="1"/>
  <c r="F486" i="9"/>
  <c r="G486" i="9" s="1"/>
  <c r="H490" i="9"/>
  <c r="I490" i="9" s="1"/>
  <c r="F491" i="9"/>
  <c r="G491" i="9" s="1"/>
  <c r="F493" i="9"/>
  <c r="H495" i="9"/>
  <c r="I495" i="9" s="1"/>
  <c r="H497" i="9"/>
  <c r="I497" i="9" s="1"/>
  <c r="F502" i="9"/>
  <c r="G502" i="9" s="1"/>
  <c r="F507" i="9"/>
  <c r="G507" i="9" s="1"/>
  <c r="F509" i="9"/>
  <c r="H509" i="9" s="1"/>
  <c r="I509" i="9" s="1"/>
  <c r="H511" i="9"/>
  <c r="I511" i="9" s="1"/>
  <c r="H513" i="9"/>
  <c r="I513" i="9" s="1"/>
  <c r="F518" i="9"/>
  <c r="G518" i="9" s="1"/>
  <c r="H522" i="9"/>
  <c r="I522" i="9" s="1"/>
  <c r="F523" i="9"/>
  <c r="G523" i="9" s="1"/>
  <c r="F525" i="9"/>
  <c r="H525" i="9" s="1"/>
  <c r="I525" i="9" s="1"/>
  <c r="H527" i="9"/>
  <c r="I527" i="9" s="1"/>
  <c r="H529" i="9"/>
  <c r="I529" i="9" s="1"/>
  <c r="F534" i="9"/>
  <c r="G534" i="9" s="1"/>
  <c r="H538" i="9"/>
  <c r="I538" i="9" s="1"/>
  <c r="F539" i="9"/>
  <c r="G539" i="9" s="1"/>
  <c r="F541" i="9"/>
  <c r="H545" i="9"/>
  <c r="I545" i="9" s="1"/>
  <c r="F550" i="9"/>
  <c r="G550" i="9" s="1"/>
  <c r="H554" i="9"/>
  <c r="I554" i="9" s="1"/>
  <c r="F555" i="9"/>
  <c r="G555" i="9" s="1"/>
  <c r="F557" i="9"/>
  <c r="H559" i="9"/>
  <c r="I559" i="9" s="1"/>
  <c r="H561" i="9"/>
  <c r="I561" i="9" s="1"/>
  <c r="F566" i="9"/>
  <c r="G566" i="9" s="1"/>
  <c r="H570" i="9"/>
  <c r="I570" i="9" s="1"/>
  <c r="H572" i="9"/>
  <c r="I572" i="9" s="1"/>
  <c r="H574" i="9"/>
  <c r="I574" i="9" s="1"/>
  <c r="F579" i="9"/>
  <c r="H579" i="9" s="1"/>
  <c r="I579" i="9" s="1"/>
  <c r="F583" i="9"/>
  <c r="G583" i="9" s="1"/>
  <c r="F587" i="9"/>
  <c r="G587" i="9" s="1"/>
  <c r="E590" i="9"/>
  <c r="F590" i="9"/>
  <c r="H594" i="9"/>
  <c r="I594" i="9" s="1"/>
  <c r="H598" i="9"/>
  <c r="I598" i="9" s="1"/>
  <c r="H600" i="9"/>
  <c r="I600" i="9" s="1"/>
  <c r="H614" i="9"/>
  <c r="I614" i="9" s="1"/>
  <c r="E622" i="9"/>
  <c r="H622" i="9" s="1"/>
  <c r="I622" i="9" s="1"/>
  <c r="F622" i="9"/>
  <c r="E643" i="9"/>
  <c r="F643" i="9"/>
  <c r="E659" i="9"/>
  <c r="H659" i="9" s="1"/>
  <c r="I659" i="9" s="1"/>
  <c r="F659" i="9"/>
  <c r="G38" i="9"/>
  <c r="H38" i="9"/>
  <c r="I38" i="9" s="1"/>
  <c r="G74" i="9"/>
  <c r="H74" i="9"/>
  <c r="I74" i="9" s="1"/>
  <c r="G281" i="9"/>
  <c r="H281" i="9"/>
  <c r="I281" i="9" s="1"/>
  <c r="G317" i="9"/>
  <c r="H317" i="9"/>
  <c r="I317" i="9" s="1"/>
  <c r="G325" i="9"/>
  <c r="H325" i="9"/>
  <c r="I325" i="9" s="1"/>
  <c r="G345" i="9"/>
  <c r="H345" i="9"/>
  <c r="I345" i="9" s="1"/>
  <c r="G365" i="9"/>
  <c r="H365" i="9"/>
  <c r="I365" i="9" s="1"/>
  <c r="G377" i="9"/>
  <c r="H377" i="9"/>
  <c r="I377" i="9" s="1"/>
  <c r="G453" i="9"/>
  <c r="H453" i="9"/>
  <c r="I453" i="9" s="1"/>
  <c r="G457" i="9"/>
  <c r="H457" i="9"/>
  <c r="I457" i="9" s="1"/>
  <c r="H526" i="9"/>
  <c r="I526" i="9" s="1"/>
  <c r="G549" i="9"/>
  <c r="H549" i="9"/>
  <c r="I549" i="9" s="1"/>
  <c r="H580" i="9"/>
  <c r="I580" i="9" s="1"/>
  <c r="G237" i="9"/>
  <c r="H237" i="9"/>
  <c r="I237" i="9" s="1"/>
  <c r="G333" i="9"/>
  <c r="H333" i="9"/>
  <c r="I333" i="9" s="1"/>
  <c r="H337" i="9"/>
  <c r="I337" i="9" s="1"/>
  <c r="G349" i="9"/>
  <c r="H349" i="9"/>
  <c r="I349" i="9" s="1"/>
  <c r="G353" i="9"/>
  <c r="H353" i="9"/>
  <c r="I353" i="9" s="1"/>
  <c r="G357" i="9"/>
  <c r="H357" i="9"/>
  <c r="I357" i="9" s="1"/>
  <c r="G381" i="9"/>
  <c r="H381" i="9"/>
  <c r="I381" i="9" s="1"/>
  <c r="E651" i="9"/>
  <c r="F651" i="9"/>
  <c r="E667" i="9"/>
  <c r="F667" i="9"/>
  <c r="G58" i="9"/>
  <c r="H58" i="9"/>
  <c r="I58" i="9" s="1"/>
  <c r="G106" i="9"/>
  <c r="H106" i="9"/>
  <c r="I106" i="9" s="1"/>
  <c r="G122" i="9"/>
  <c r="H122" i="9"/>
  <c r="I122" i="9" s="1"/>
  <c r="G153" i="9"/>
  <c r="H153" i="9"/>
  <c r="I153" i="9" s="1"/>
  <c r="G217" i="9"/>
  <c r="H217" i="9"/>
  <c r="I217" i="9" s="1"/>
  <c r="G292" i="9"/>
  <c r="H292" i="9"/>
  <c r="I292" i="9" s="1"/>
  <c r="G329" i="9"/>
  <c r="H329" i="9"/>
  <c r="I329" i="9" s="1"/>
  <c r="G341" i="9"/>
  <c r="H341" i="9"/>
  <c r="I341" i="9" s="1"/>
  <c r="G361" i="9"/>
  <c r="H361" i="9"/>
  <c r="I361" i="9" s="1"/>
  <c r="G397" i="9"/>
  <c r="H397" i="9"/>
  <c r="I397" i="9" s="1"/>
  <c r="G409" i="9"/>
  <c r="H409" i="9"/>
  <c r="I409" i="9" s="1"/>
  <c r="G441" i="9"/>
  <c r="H441" i="9"/>
  <c r="I441" i="9" s="1"/>
  <c r="G445" i="9"/>
  <c r="H445" i="9"/>
  <c r="I445" i="9" s="1"/>
  <c r="G449" i="9"/>
  <c r="G568" i="9"/>
  <c r="H568" i="9"/>
  <c r="I568" i="9" s="1"/>
  <c r="E588" i="9"/>
  <c r="F588" i="9"/>
  <c r="G612" i="9"/>
  <c r="E616" i="9"/>
  <c r="F616" i="9"/>
  <c r="E639" i="9"/>
  <c r="F639" i="9"/>
  <c r="G639" i="9" s="1"/>
  <c r="E655" i="9"/>
  <c r="F655" i="9"/>
  <c r="E671" i="9"/>
  <c r="F671" i="9"/>
  <c r="G671" i="9" s="1"/>
  <c r="E686" i="9"/>
  <c r="F686" i="9"/>
  <c r="E3" i="9"/>
  <c r="H3" i="9" s="1"/>
  <c r="I3" i="9" s="1"/>
  <c r="E8" i="9"/>
  <c r="H8" i="9" s="1"/>
  <c r="I8" i="9" s="1"/>
  <c r="E10" i="9"/>
  <c r="H10" i="9" s="1"/>
  <c r="I10" i="9" s="1"/>
  <c r="E19" i="9"/>
  <c r="H19" i="9" s="1"/>
  <c r="I19" i="9" s="1"/>
  <c r="E24" i="9"/>
  <c r="H24" i="9" s="1"/>
  <c r="I24" i="9" s="1"/>
  <c r="E26" i="9"/>
  <c r="H26" i="9" s="1"/>
  <c r="I26" i="9" s="1"/>
  <c r="E35" i="9"/>
  <c r="H35" i="9" s="1"/>
  <c r="I35" i="9" s="1"/>
  <c r="E40" i="9"/>
  <c r="H40" i="9" s="1"/>
  <c r="I40" i="9" s="1"/>
  <c r="E42" i="9"/>
  <c r="H42" i="9" s="1"/>
  <c r="I42" i="9" s="1"/>
  <c r="E72" i="9"/>
  <c r="G77" i="9"/>
  <c r="E104" i="9"/>
  <c r="G109" i="9"/>
  <c r="G125" i="9"/>
  <c r="E134" i="9"/>
  <c r="E137" i="9"/>
  <c r="E157" i="9"/>
  <c r="E177" i="9"/>
  <c r="E201" i="9"/>
  <c r="E241" i="9"/>
  <c r="E297" i="9"/>
  <c r="E300" i="9"/>
  <c r="E307" i="9"/>
  <c r="H307" i="9" s="1"/>
  <c r="I307" i="9" s="1"/>
  <c r="E309" i="9"/>
  <c r="E313" i="9"/>
  <c r="E320" i="9"/>
  <c r="H320" i="9" s="1"/>
  <c r="I320" i="9" s="1"/>
  <c r="E322" i="9"/>
  <c r="E336" i="9"/>
  <c r="H336" i="9" s="1"/>
  <c r="I336" i="9" s="1"/>
  <c r="E348" i="9"/>
  <c r="H348" i="9" s="1"/>
  <c r="I348" i="9" s="1"/>
  <c r="E356" i="9"/>
  <c r="H356" i="9" s="1"/>
  <c r="I356" i="9" s="1"/>
  <c r="E368" i="9"/>
  <c r="H368" i="9" s="1"/>
  <c r="I368" i="9" s="1"/>
  <c r="E376" i="9"/>
  <c r="H376" i="9" s="1"/>
  <c r="I376" i="9" s="1"/>
  <c r="E380" i="9"/>
  <c r="H380" i="9" s="1"/>
  <c r="I380" i="9" s="1"/>
  <c r="E384" i="9"/>
  <c r="H384" i="9" s="1"/>
  <c r="I384" i="9" s="1"/>
  <c r="E404" i="9"/>
  <c r="H404" i="9" s="1"/>
  <c r="I404" i="9" s="1"/>
  <c r="E412" i="9"/>
  <c r="H412" i="9" s="1"/>
  <c r="I412" i="9" s="1"/>
  <c r="E424" i="9"/>
  <c r="H424" i="9" s="1"/>
  <c r="I424" i="9" s="1"/>
  <c r="E436" i="9"/>
  <c r="H436" i="9" s="1"/>
  <c r="I436" i="9" s="1"/>
  <c r="E440" i="9"/>
  <c r="H440" i="9" s="1"/>
  <c r="I440" i="9" s="1"/>
  <c r="E444" i="9"/>
  <c r="H444" i="9" s="1"/>
  <c r="I444" i="9" s="1"/>
  <c r="E452" i="9"/>
  <c r="H452" i="9" s="1"/>
  <c r="I452" i="9" s="1"/>
  <c r="E456" i="9"/>
  <c r="H456" i="9" s="1"/>
  <c r="I456" i="9" s="1"/>
  <c r="E468" i="9"/>
  <c r="H468" i="9" s="1"/>
  <c r="I468" i="9" s="1"/>
  <c r="F485" i="9"/>
  <c r="G485" i="9" s="1"/>
  <c r="F494" i="9"/>
  <c r="G494" i="9" s="1"/>
  <c r="F499" i="9"/>
  <c r="H499" i="9" s="1"/>
  <c r="I499" i="9" s="1"/>
  <c r="F510" i="9"/>
  <c r="H510" i="9" s="1"/>
  <c r="I510" i="9" s="1"/>
  <c r="F515" i="9"/>
  <c r="H515" i="9" s="1"/>
  <c r="I515" i="9" s="1"/>
  <c r="F533" i="9"/>
  <c r="H533" i="9" s="1"/>
  <c r="I533" i="9" s="1"/>
  <c r="F542" i="9"/>
  <c r="H542" i="9" s="1"/>
  <c r="I542" i="9" s="1"/>
  <c r="F547" i="9"/>
  <c r="G547" i="9" s="1"/>
  <c r="F563" i="9"/>
  <c r="H563" i="9" s="1"/>
  <c r="I563" i="9" s="1"/>
  <c r="F565" i="9"/>
  <c r="G565" i="9" s="1"/>
  <c r="F610" i="9"/>
  <c r="H610" i="9" s="1"/>
  <c r="I610" i="9" s="1"/>
  <c r="F612" i="9"/>
  <c r="H612" i="9" s="1"/>
  <c r="I612" i="9" s="1"/>
  <c r="E620" i="9"/>
  <c r="F620" i="9"/>
  <c r="E635" i="9"/>
  <c r="F635" i="9"/>
  <c r="E14" i="9"/>
  <c r="E30" i="9"/>
  <c r="E46" i="9"/>
  <c r="E132" i="9"/>
  <c r="E141" i="9"/>
  <c r="E161" i="9"/>
  <c r="E185" i="9"/>
  <c r="E205" i="9"/>
  <c r="E225" i="9"/>
  <c r="E249" i="9"/>
  <c r="E269" i="9"/>
  <c r="E291" i="9"/>
  <c r="E293" i="9"/>
  <c r="E305" i="9"/>
  <c r="E312" i="9"/>
  <c r="E324" i="9"/>
  <c r="F471" i="9"/>
  <c r="G471" i="9" s="1"/>
  <c r="F473" i="9"/>
  <c r="H473" i="9" s="1"/>
  <c r="I473" i="9" s="1"/>
  <c r="G478" i="9"/>
  <c r="F482" i="9"/>
  <c r="G482" i="9" s="1"/>
  <c r="G483" i="9"/>
  <c r="H486" i="9"/>
  <c r="I486" i="9" s="1"/>
  <c r="F487" i="9"/>
  <c r="H487" i="9" s="1"/>
  <c r="I487" i="9" s="1"/>
  <c r="F489" i="9"/>
  <c r="H489" i="9" s="1"/>
  <c r="I489" i="9" s="1"/>
  <c r="G493" i="9"/>
  <c r="H493" i="9"/>
  <c r="I493" i="9" s="1"/>
  <c r="F498" i="9"/>
  <c r="G498" i="9" s="1"/>
  <c r="H502" i="9"/>
  <c r="I502" i="9" s="1"/>
  <c r="F503" i="9"/>
  <c r="H503" i="9" s="1"/>
  <c r="I503" i="9" s="1"/>
  <c r="F505" i="9"/>
  <c r="H505" i="9" s="1"/>
  <c r="I505" i="9" s="1"/>
  <c r="H507" i="9"/>
  <c r="I507" i="9" s="1"/>
  <c r="G509" i="9"/>
  <c r="G510" i="9"/>
  <c r="F514" i="9"/>
  <c r="H514" i="9" s="1"/>
  <c r="I514" i="9" s="1"/>
  <c r="F519" i="9"/>
  <c r="H519" i="9" s="1"/>
  <c r="I519" i="9" s="1"/>
  <c r="F521" i="9"/>
  <c r="H521" i="9" s="1"/>
  <c r="I521" i="9" s="1"/>
  <c r="H523" i="9"/>
  <c r="I523" i="9" s="1"/>
  <c r="F530" i="9"/>
  <c r="G530" i="9" s="1"/>
  <c r="G531" i="9"/>
  <c r="H534" i="9"/>
  <c r="I534" i="9" s="1"/>
  <c r="F535" i="9"/>
  <c r="H535" i="9" s="1"/>
  <c r="I535" i="9" s="1"/>
  <c r="F537" i="9"/>
  <c r="H537" i="9" s="1"/>
  <c r="I537" i="9" s="1"/>
  <c r="G541" i="9"/>
  <c r="H541" i="9"/>
  <c r="I541" i="9" s="1"/>
  <c r="G542" i="9"/>
  <c r="F546" i="9"/>
  <c r="G546" i="9" s="1"/>
  <c r="F551" i="9"/>
  <c r="G551" i="9" s="1"/>
  <c r="F553" i="9"/>
  <c r="H553" i="9" s="1"/>
  <c r="I553" i="9" s="1"/>
  <c r="G557" i="9"/>
  <c r="H557" i="9"/>
  <c r="I557" i="9" s="1"/>
  <c r="F562" i="9"/>
  <c r="H562" i="9" s="1"/>
  <c r="I562" i="9" s="1"/>
  <c r="G563" i="9"/>
  <c r="H566" i="9"/>
  <c r="I566" i="9" s="1"/>
  <c r="F567" i="9"/>
  <c r="G567" i="9" s="1"/>
  <c r="F571" i="9"/>
  <c r="H571" i="9" s="1"/>
  <c r="I571" i="9" s="1"/>
  <c r="F575" i="9"/>
  <c r="H575" i="9" s="1"/>
  <c r="I575" i="9" s="1"/>
  <c r="G576" i="9"/>
  <c r="G579" i="9"/>
  <c r="G580" i="9"/>
  <c r="H583" i="9"/>
  <c r="I583" i="9" s="1"/>
  <c r="F584" i="9"/>
  <c r="G584" i="9" s="1"/>
  <c r="G591" i="9"/>
  <c r="F595" i="9"/>
  <c r="H595" i="9" s="1"/>
  <c r="I595" i="9" s="1"/>
  <c r="F599" i="9"/>
  <c r="H599" i="9" s="1"/>
  <c r="I599" i="9" s="1"/>
  <c r="F608" i="9"/>
  <c r="H608" i="9" s="1"/>
  <c r="I608" i="9" s="1"/>
  <c r="E618" i="9"/>
  <c r="F618" i="9"/>
  <c r="G618" i="9" s="1"/>
  <c r="E647" i="9"/>
  <c r="F647" i="9"/>
  <c r="G647" i="9" s="1"/>
  <c r="E663" i="9"/>
  <c r="F663" i="9"/>
  <c r="E678" i="9"/>
  <c r="F678" i="9"/>
  <c r="E694" i="9"/>
  <c r="F694" i="9"/>
  <c r="H710" i="9"/>
  <c r="I710" i="9" s="1"/>
  <c r="H596" i="9"/>
  <c r="I596" i="9" s="1"/>
  <c r="G611" i="9"/>
  <c r="H628" i="9"/>
  <c r="I628" i="9" s="1"/>
  <c r="G631" i="9"/>
  <c r="H708" i="9"/>
  <c r="I708" i="9" s="1"/>
  <c r="F710" i="9"/>
  <c r="E716" i="9"/>
  <c r="E732" i="9"/>
  <c r="E748" i="9"/>
  <c r="E764" i="9"/>
  <c r="E780" i="9"/>
  <c r="E792" i="9"/>
  <c r="E800" i="9"/>
  <c r="E808" i="9"/>
  <c r="E814" i="9"/>
  <c r="E820" i="9"/>
  <c r="F826" i="9"/>
  <c r="E826" i="9"/>
  <c r="E842" i="9"/>
  <c r="F845" i="9"/>
  <c r="G845" i="9" s="1"/>
  <c r="E851" i="9"/>
  <c r="F851" i="9"/>
  <c r="F871" i="9"/>
  <c r="H871" i="9" s="1"/>
  <c r="I871" i="9" s="1"/>
  <c r="F877" i="9"/>
  <c r="G877" i="9" s="1"/>
  <c r="E883" i="9"/>
  <c r="F883" i="9"/>
  <c r="G895" i="9"/>
  <c r="F903" i="9"/>
  <c r="H903" i="9" s="1"/>
  <c r="I903" i="9" s="1"/>
  <c r="F909" i="9"/>
  <c r="G909" i="9" s="1"/>
  <c r="E915" i="9"/>
  <c r="F915" i="9"/>
  <c r="G945" i="9"/>
  <c r="H945" i="9"/>
  <c r="I945" i="9" s="1"/>
  <c r="E955" i="9"/>
  <c r="E979" i="9"/>
  <c r="F983" i="9"/>
  <c r="E983" i="9"/>
  <c r="H951" i="9"/>
  <c r="I951" i="9" s="1"/>
  <c r="H935" i="9"/>
  <c r="I935" i="9" s="1"/>
  <c r="H919" i="9"/>
  <c r="I919" i="9" s="1"/>
  <c r="H828" i="9"/>
  <c r="I828" i="9" s="1"/>
  <c r="H802" i="9"/>
  <c r="I802" i="9" s="1"/>
  <c r="H744" i="9"/>
  <c r="I744" i="9" s="1"/>
  <c r="H602" i="9"/>
  <c r="I602" i="9" s="1"/>
  <c r="H623" i="9"/>
  <c r="I623" i="9" s="1"/>
  <c r="H634" i="9"/>
  <c r="I634" i="9" s="1"/>
  <c r="H644" i="9"/>
  <c r="I644" i="9" s="1"/>
  <c r="H650" i="9"/>
  <c r="I650" i="9" s="1"/>
  <c r="H660" i="9"/>
  <c r="I660" i="9" s="1"/>
  <c r="H666" i="9"/>
  <c r="I666" i="9" s="1"/>
  <c r="F676" i="9"/>
  <c r="G676" i="9" s="1"/>
  <c r="H682" i="9"/>
  <c r="I682" i="9" s="1"/>
  <c r="F684" i="9"/>
  <c r="G684" i="9" s="1"/>
  <c r="F692" i="9"/>
  <c r="G692" i="9" s="1"/>
  <c r="H698" i="9"/>
  <c r="I698" i="9" s="1"/>
  <c r="F700" i="9"/>
  <c r="G700" i="9" s="1"/>
  <c r="F708" i="9"/>
  <c r="G708" i="9" s="1"/>
  <c r="E720" i="9"/>
  <c r="E736" i="9"/>
  <c r="E752" i="9"/>
  <c r="E768" i="9"/>
  <c r="E784" i="9"/>
  <c r="E790" i="9"/>
  <c r="E798" i="9"/>
  <c r="E806" i="9"/>
  <c r="E812" i="9"/>
  <c r="F818" i="9"/>
  <c r="E818" i="9"/>
  <c r="E838" i="9"/>
  <c r="E843" i="9"/>
  <c r="F843" i="9"/>
  <c r="H849" i="9"/>
  <c r="I849" i="9" s="1"/>
  <c r="G855" i="9"/>
  <c r="H861" i="9"/>
  <c r="I861" i="9" s="1"/>
  <c r="F863" i="9"/>
  <c r="G863" i="9" s="1"/>
  <c r="F869" i="9"/>
  <c r="G869" i="9" s="1"/>
  <c r="E875" i="9"/>
  <c r="F875" i="9"/>
  <c r="H881" i="9"/>
  <c r="I881" i="9" s="1"/>
  <c r="G887" i="9"/>
  <c r="H893" i="9"/>
  <c r="I893" i="9" s="1"/>
  <c r="F895" i="9"/>
  <c r="F901" i="9"/>
  <c r="G901" i="9" s="1"/>
  <c r="E907" i="9"/>
  <c r="F907" i="9"/>
  <c r="H913" i="9"/>
  <c r="I913" i="9" s="1"/>
  <c r="G929" i="9"/>
  <c r="H929" i="9"/>
  <c r="I929" i="9" s="1"/>
  <c r="E939" i="9"/>
  <c r="E963" i="9"/>
  <c r="F967" i="9"/>
  <c r="E967" i="9"/>
  <c r="H987" i="9"/>
  <c r="I987" i="9" s="1"/>
  <c r="H923" i="9"/>
  <c r="I923" i="9" s="1"/>
  <c r="H832" i="9"/>
  <c r="I832" i="9" s="1"/>
  <c r="H822" i="9"/>
  <c r="I822" i="9" s="1"/>
  <c r="G627" i="9"/>
  <c r="G724" i="9"/>
  <c r="H724" i="9"/>
  <c r="I724" i="9" s="1"/>
  <c r="G740" i="9"/>
  <c r="H740" i="9"/>
  <c r="I740" i="9" s="1"/>
  <c r="G756" i="9"/>
  <c r="H756" i="9"/>
  <c r="I756" i="9" s="1"/>
  <c r="G772" i="9"/>
  <c r="H772" i="9"/>
  <c r="I772" i="9" s="1"/>
  <c r="G788" i="9"/>
  <c r="H788" i="9"/>
  <c r="I788" i="9" s="1"/>
  <c r="G804" i="9"/>
  <c r="H804" i="9"/>
  <c r="I804" i="9" s="1"/>
  <c r="F810" i="9"/>
  <c r="E810" i="9"/>
  <c r="H841" i="9"/>
  <c r="I841" i="9" s="1"/>
  <c r="G841" i="9"/>
  <c r="G847" i="9"/>
  <c r="E867" i="9"/>
  <c r="F867" i="9"/>
  <c r="H873" i="9"/>
  <c r="I873" i="9" s="1"/>
  <c r="G879" i="9"/>
  <c r="E899" i="9"/>
  <c r="F899" i="9"/>
  <c r="H905" i="9"/>
  <c r="I905" i="9" s="1"/>
  <c r="G911" i="9"/>
  <c r="F947" i="9"/>
  <c r="E947" i="9"/>
  <c r="H991" i="9"/>
  <c r="I991" i="9" s="1"/>
  <c r="H911" i="9"/>
  <c r="I911" i="9" s="1"/>
  <c r="H895" i="9"/>
  <c r="I895" i="9" s="1"/>
  <c r="H879" i="9"/>
  <c r="I879" i="9" s="1"/>
  <c r="H847" i="9"/>
  <c r="I847" i="9" s="1"/>
  <c r="H836" i="9"/>
  <c r="I836" i="9" s="1"/>
  <c r="H776" i="9"/>
  <c r="I776" i="9" s="1"/>
  <c r="H627" i="9"/>
  <c r="I627" i="9" s="1"/>
  <c r="G794" i="9"/>
  <c r="H794" i="9"/>
  <c r="I794" i="9" s="1"/>
  <c r="F834" i="9"/>
  <c r="E834" i="9"/>
  <c r="H845" i="9"/>
  <c r="I845" i="9" s="1"/>
  <c r="E859" i="9"/>
  <c r="F859" i="9"/>
  <c r="H877" i="9"/>
  <c r="I877" i="9" s="1"/>
  <c r="E891" i="9"/>
  <c r="F891" i="9"/>
  <c r="G903" i="9"/>
  <c r="F931" i="9"/>
  <c r="E931" i="9"/>
  <c r="F999" i="9"/>
  <c r="E999" i="9"/>
  <c r="H840" i="9"/>
  <c r="I840" i="9" s="1"/>
  <c r="H830" i="9"/>
  <c r="I830" i="9" s="1"/>
  <c r="H824" i="9"/>
  <c r="I824" i="9" s="1"/>
  <c r="H796" i="9"/>
  <c r="I796" i="9" s="1"/>
  <c r="H760" i="9"/>
  <c r="I760" i="9" s="1"/>
  <c r="H611" i="9"/>
  <c r="I611" i="9" s="1"/>
  <c r="F596" i="6"/>
  <c r="G596" i="6" s="1"/>
  <c r="F468" i="6"/>
  <c r="E815" i="6"/>
  <c r="G815" i="6" s="1"/>
  <c r="F340" i="6"/>
  <c r="E750" i="6"/>
  <c r="G750" i="6" s="1"/>
  <c r="E718" i="6"/>
  <c r="G718" i="6" s="1"/>
  <c r="E654" i="6"/>
  <c r="G654" i="6" s="1"/>
  <c r="E622" i="6"/>
  <c r="G622" i="6" s="1"/>
  <c r="E590" i="6"/>
  <c r="G590" i="6" s="1"/>
  <c r="E558" i="6"/>
  <c r="G558" i="6" s="1"/>
  <c r="E526" i="6"/>
  <c r="G526" i="6" s="1"/>
  <c r="E430" i="6"/>
  <c r="G430" i="6" s="1"/>
  <c r="E366" i="6"/>
  <c r="G366" i="6" s="1"/>
  <c r="E302" i="6"/>
  <c r="G302" i="6" s="1"/>
  <c r="E238" i="6"/>
  <c r="G238" i="6" s="1"/>
  <c r="E142" i="6"/>
  <c r="G142" i="6" s="1"/>
  <c r="E14" i="6"/>
  <c r="G14" i="6" s="1"/>
  <c r="F950" i="6"/>
  <c r="G950" i="6" s="1"/>
  <c r="F890" i="6"/>
  <c r="G890" i="6" s="1"/>
  <c r="F826" i="6"/>
  <c r="E810" i="6"/>
  <c r="G810" i="6" s="1"/>
  <c r="E774" i="6"/>
  <c r="G774" i="6" s="1"/>
  <c r="E742" i="6"/>
  <c r="G742" i="6" s="1"/>
  <c r="E710" i="6"/>
  <c r="G710" i="6" s="1"/>
  <c r="E678" i="6"/>
  <c r="G678" i="6" s="1"/>
  <c r="E646" i="6"/>
  <c r="G646" i="6" s="1"/>
  <c r="E614" i="6"/>
  <c r="G614" i="6" s="1"/>
  <c r="E582" i="6"/>
  <c r="G582" i="6" s="1"/>
  <c r="E550" i="6"/>
  <c r="G550" i="6" s="1"/>
  <c r="E518" i="6"/>
  <c r="G518" i="6" s="1"/>
  <c r="E486" i="6"/>
  <c r="G486" i="6" s="1"/>
  <c r="E454" i="6"/>
  <c r="G454" i="6" s="1"/>
  <c r="E422" i="6"/>
  <c r="G422" i="6" s="1"/>
  <c r="E390" i="6"/>
  <c r="G390" i="6" s="1"/>
  <c r="E358" i="6"/>
  <c r="G358" i="6" s="1"/>
  <c r="E326" i="6"/>
  <c r="G326" i="6" s="1"/>
  <c r="E294" i="6"/>
  <c r="G294" i="6" s="1"/>
  <c r="E262" i="6"/>
  <c r="G262" i="6" s="1"/>
  <c r="E230" i="6"/>
  <c r="G230" i="6" s="1"/>
  <c r="E198" i="6"/>
  <c r="G198" i="6" s="1"/>
  <c r="E166" i="6"/>
  <c r="G166" i="6" s="1"/>
  <c r="E134" i="6"/>
  <c r="G134" i="6" s="1"/>
  <c r="E102" i="6"/>
  <c r="G102" i="6" s="1"/>
  <c r="E70" i="6"/>
  <c r="G70" i="6" s="1"/>
  <c r="E38" i="6"/>
  <c r="G38" i="6" s="1"/>
  <c r="E6" i="6"/>
  <c r="G6" i="6" s="1"/>
  <c r="F974" i="6"/>
  <c r="G974" i="6" s="1"/>
  <c r="F938" i="6"/>
  <c r="G938" i="6" s="1"/>
  <c r="F874" i="6"/>
  <c r="G874" i="6" s="1"/>
  <c r="F692" i="6"/>
  <c r="F564" i="6"/>
  <c r="F436" i="6"/>
  <c r="F300" i="6"/>
  <c r="G300" i="6" s="1"/>
  <c r="E782" i="6"/>
  <c r="G782" i="6" s="1"/>
  <c r="E686" i="6"/>
  <c r="G686" i="6" s="1"/>
  <c r="E494" i="6"/>
  <c r="G494" i="6" s="1"/>
  <c r="E462" i="6"/>
  <c r="G462" i="6" s="1"/>
  <c r="E398" i="6"/>
  <c r="G398" i="6" s="1"/>
  <c r="E334" i="6"/>
  <c r="G334" i="6" s="1"/>
  <c r="E270" i="6"/>
  <c r="G270" i="6" s="1"/>
  <c r="E206" i="6"/>
  <c r="G206" i="6" s="1"/>
  <c r="E174" i="6"/>
  <c r="G174" i="6" s="1"/>
  <c r="E110" i="6"/>
  <c r="G110" i="6" s="1"/>
  <c r="E78" i="6"/>
  <c r="G78" i="6" s="1"/>
  <c r="E46" i="6"/>
  <c r="G46" i="6" s="1"/>
  <c r="F982" i="6"/>
  <c r="G982" i="6" s="1"/>
  <c r="E798" i="6"/>
  <c r="G798" i="6" s="1"/>
  <c r="E766" i="6"/>
  <c r="G766" i="6" s="1"/>
  <c r="E734" i="6"/>
  <c r="G734" i="6" s="1"/>
  <c r="E702" i="6"/>
  <c r="G702" i="6" s="1"/>
  <c r="E670" i="6"/>
  <c r="G670" i="6" s="1"/>
  <c r="E638" i="6"/>
  <c r="G638" i="6" s="1"/>
  <c r="E606" i="6"/>
  <c r="G606" i="6" s="1"/>
  <c r="E574" i="6"/>
  <c r="G574" i="6" s="1"/>
  <c r="E542" i="6"/>
  <c r="G542" i="6" s="1"/>
  <c r="E510" i="6"/>
  <c r="G510" i="6" s="1"/>
  <c r="E478" i="6"/>
  <c r="G478" i="6" s="1"/>
  <c r="E446" i="6"/>
  <c r="G446" i="6" s="1"/>
  <c r="E414" i="6"/>
  <c r="G414" i="6" s="1"/>
  <c r="E382" i="6"/>
  <c r="G382" i="6" s="1"/>
  <c r="E350" i="6"/>
  <c r="G350" i="6" s="1"/>
  <c r="E318" i="6"/>
  <c r="G318" i="6" s="1"/>
  <c r="E286" i="6"/>
  <c r="G286" i="6" s="1"/>
  <c r="E254" i="6"/>
  <c r="G254" i="6" s="1"/>
  <c r="E222" i="6"/>
  <c r="G222" i="6" s="1"/>
  <c r="E190" i="6"/>
  <c r="G190" i="6" s="1"/>
  <c r="E158" i="6"/>
  <c r="G158" i="6" s="1"/>
  <c r="E126" i="6"/>
  <c r="G126" i="6" s="1"/>
  <c r="E94" i="6"/>
  <c r="G94" i="6" s="1"/>
  <c r="E62" i="6"/>
  <c r="G62" i="6" s="1"/>
  <c r="E30" i="6"/>
  <c r="G30" i="6" s="1"/>
  <c r="F998" i="6"/>
  <c r="F966" i="6"/>
  <c r="G966" i="6" s="1"/>
  <c r="F922" i="6"/>
  <c r="G922" i="6" s="1"/>
  <c r="F858" i="6"/>
  <c r="G858" i="6" s="1"/>
  <c r="F788" i="6"/>
  <c r="F660" i="6"/>
  <c r="G660" i="6" s="1"/>
  <c r="F532" i="6"/>
  <c r="F404" i="6"/>
  <c r="F236" i="6"/>
  <c r="G998" i="6"/>
  <c r="G826" i="6"/>
  <c r="E790" i="6"/>
  <c r="G790" i="6" s="1"/>
  <c r="E758" i="6"/>
  <c r="G758" i="6" s="1"/>
  <c r="E726" i="6"/>
  <c r="G726" i="6" s="1"/>
  <c r="E694" i="6"/>
  <c r="G694" i="6" s="1"/>
  <c r="E662" i="6"/>
  <c r="G662" i="6" s="1"/>
  <c r="E630" i="6"/>
  <c r="G630" i="6" s="1"/>
  <c r="E598" i="6"/>
  <c r="G598" i="6" s="1"/>
  <c r="E566" i="6"/>
  <c r="G566" i="6" s="1"/>
  <c r="E534" i="6"/>
  <c r="G534" i="6" s="1"/>
  <c r="E502" i="6"/>
  <c r="G502" i="6" s="1"/>
  <c r="E470" i="6"/>
  <c r="G470" i="6" s="1"/>
  <c r="E438" i="6"/>
  <c r="G438" i="6" s="1"/>
  <c r="E406" i="6"/>
  <c r="G406" i="6" s="1"/>
  <c r="E374" i="6"/>
  <c r="G374" i="6" s="1"/>
  <c r="E342" i="6"/>
  <c r="G342" i="6" s="1"/>
  <c r="E310" i="6"/>
  <c r="G310" i="6" s="1"/>
  <c r="E278" i="6"/>
  <c r="G278" i="6" s="1"/>
  <c r="E246" i="6"/>
  <c r="G246" i="6" s="1"/>
  <c r="E214" i="6"/>
  <c r="G214" i="6" s="1"/>
  <c r="E182" i="6"/>
  <c r="G182" i="6" s="1"/>
  <c r="E150" i="6"/>
  <c r="G150" i="6" s="1"/>
  <c r="E118" i="6"/>
  <c r="G118" i="6" s="1"/>
  <c r="E86" i="6"/>
  <c r="G86" i="6" s="1"/>
  <c r="E54" i="6"/>
  <c r="G54" i="6" s="1"/>
  <c r="E22" i="6"/>
  <c r="G22" i="6" s="1"/>
  <c r="F990" i="6"/>
  <c r="G990" i="6" s="1"/>
  <c r="F958" i="6"/>
  <c r="G958" i="6" s="1"/>
  <c r="F906" i="6"/>
  <c r="G906" i="6" s="1"/>
  <c r="F842" i="6"/>
  <c r="G842" i="6" s="1"/>
  <c r="F756" i="6"/>
  <c r="F628" i="6"/>
  <c r="F500" i="6"/>
  <c r="F372" i="6"/>
  <c r="F148" i="6"/>
  <c r="E2" i="5"/>
  <c r="F5" i="9"/>
  <c r="E5" i="9"/>
  <c r="F21" i="9"/>
  <c r="E21" i="9"/>
  <c r="F37" i="9"/>
  <c r="E37" i="9"/>
  <c r="F62" i="9"/>
  <c r="E62" i="9"/>
  <c r="F78" i="9"/>
  <c r="E78" i="9"/>
  <c r="F94" i="9"/>
  <c r="E94" i="9"/>
  <c r="F110" i="9"/>
  <c r="E110" i="9"/>
  <c r="F126" i="9"/>
  <c r="E126" i="9"/>
  <c r="F165" i="9"/>
  <c r="E165" i="9"/>
  <c r="F229" i="9"/>
  <c r="E229" i="9"/>
  <c r="F285" i="9"/>
  <c r="E285" i="9"/>
  <c r="F316" i="9"/>
  <c r="E316" i="9"/>
  <c r="E480" i="9"/>
  <c r="F480" i="9"/>
  <c r="E496" i="9"/>
  <c r="H496" i="9" s="1"/>
  <c r="I496" i="9" s="1"/>
  <c r="F496" i="9"/>
  <c r="E512" i="9"/>
  <c r="F512" i="9"/>
  <c r="E528" i="9"/>
  <c r="H528" i="9" s="1"/>
  <c r="I528" i="9" s="1"/>
  <c r="F528" i="9"/>
  <c r="E544" i="9"/>
  <c r="F544" i="9"/>
  <c r="E560" i="9"/>
  <c r="H560" i="9" s="1"/>
  <c r="I560" i="9" s="1"/>
  <c r="F560" i="9"/>
  <c r="F730" i="9"/>
  <c r="E730" i="9"/>
  <c r="F762" i="9"/>
  <c r="E762" i="9"/>
  <c r="F973" i="9"/>
  <c r="E973" i="9"/>
  <c r="G2" i="9"/>
  <c r="F9" i="9"/>
  <c r="E9" i="9"/>
  <c r="F25" i="9"/>
  <c r="E25" i="9"/>
  <c r="F41" i="9"/>
  <c r="E41" i="9"/>
  <c r="F149" i="9"/>
  <c r="E149" i="9"/>
  <c r="F213" i="9"/>
  <c r="E213" i="9"/>
  <c r="F277" i="9"/>
  <c r="E277" i="9"/>
  <c r="F306" i="9"/>
  <c r="E306" i="9"/>
  <c r="F314" i="9"/>
  <c r="E314" i="9"/>
  <c r="G326" i="9"/>
  <c r="G338" i="9"/>
  <c r="G342" i="9"/>
  <c r="G346" i="9"/>
  <c r="G354" i="9"/>
  <c r="G358" i="9"/>
  <c r="G362" i="9"/>
  <c r="G366" i="9"/>
  <c r="G370" i="9"/>
  <c r="G374" i="9"/>
  <c r="G378" i="9"/>
  <c r="G386" i="9"/>
  <c r="G390" i="9"/>
  <c r="G394" i="9"/>
  <c r="G402" i="9"/>
  <c r="G406" i="9"/>
  <c r="G410" i="9"/>
  <c r="G414" i="9"/>
  <c r="G418" i="9"/>
  <c r="G422" i="9"/>
  <c r="G426" i="9"/>
  <c r="G430" i="9"/>
  <c r="G434" i="9"/>
  <c r="G438" i="9"/>
  <c r="G442" i="9"/>
  <c r="G450" i="9"/>
  <c r="G454" i="9"/>
  <c r="G458" i="9"/>
  <c r="G462" i="9"/>
  <c r="G466" i="9"/>
  <c r="G481" i="9"/>
  <c r="E484" i="9"/>
  <c r="H484" i="9" s="1"/>
  <c r="I484" i="9" s="1"/>
  <c r="F484" i="9"/>
  <c r="G497" i="9"/>
  <c r="E500" i="9"/>
  <c r="F500" i="9"/>
  <c r="G513" i="9"/>
  <c r="E516" i="9"/>
  <c r="F516" i="9"/>
  <c r="G529" i="9"/>
  <c r="E532" i="9"/>
  <c r="H532" i="9" s="1"/>
  <c r="I532" i="9" s="1"/>
  <c r="F532" i="9"/>
  <c r="G545" i="9"/>
  <c r="E548" i="9"/>
  <c r="H548" i="9" s="1"/>
  <c r="I548" i="9" s="1"/>
  <c r="F548" i="9"/>
  <c r="G561" i="9"/>
  <c r="E564" i="9"/>
  <c r="F564" i="9"/>
  <c r="G643" i="9"/>
  <c r="F722" i="9"/>
  <c r="E722" i="9"/>
  <c r="H722" i="9" s="1"/>
  <c r="I722" i="9" s="1"/>
  <c r="F754" i="9"/>
  <c r="E754" i="9"/>
  <c r="F714" i="9"/>
  <c r="E714" i="9"/>
  <c r="H714" i="9" s="1"/>
  <c r="I714" i="9" s="1"/>
  <c r="F746" i="9"/>
  <c r="E746" i="9"/>
  <c r="F778" i="9"/>
  <c r="E778" i="9"/>
  <c r="H778" i="9" s="1"/>
  <c r="I778" i="9" s="1"/>
  <c r="F13" i="9"/>
  <c r="E13" i="9"/>
  <c r="F29" i="9"/>
  <c r="E29" i="9"/>
  <c r="H29" i="9" s="1"/>
  <c r="I29" i="9" s="1"/>
  <c r="F45" i="9"/>
  <c r="E45" i="9"/>
  <c r="F64" i="9"/>
  <c r="E64" i="9"/>
  <c r="H64" i="9" s="1"/>
  <c r="I64" i="9" s="1"/>
  <c r="F80" i="9"/>
  <c r="E80" i="9"/>
  <c r="F96" i="9"/>
  <c r="E96" i="9"/>
  <c r="H96" i="9" s="1"/>
  <c r="I96" i="9" s="1"/>
  <c r="F112" i="9"/>
  <c r="E112" i="9"/>
  <c r="F128" i="9"/>
  <c r="E128" i="9"/>
  <c r="H128" i="9" s="1"/>
  <c r="I128" i="9" s="1"/>
  <c r="F197" i="9"/>
  <c r="E197" i="9"/>
  <c r="F261" i="9"/>
  <c r="E261" i="9"/>
  <c r="H261" i="9" s="1"/>
  <c r="I261" i="9" s="1"/>
  <c r="F287" i="9"/>
  <c r="E287" i="9"/>
  <c r="F304" i="9"/>
  <c r="E304" i="9"/>
  <c r="H304" i="9" s="1"/>
  <c r="I304" i="9" s="1"/>
  <c r="F311" i="9"/>
  <c r="E311" i="9"/>
  <c r="E472" i="9"/>
  <c r="F472" i="9"/>
  <c r="E488" i="9"/>
  <c r="H488" i="9" s="1"/>
  <c r="I488" i="9" s="1"/>
  <c r="F488" i="9"/>
  <c r="E504" i="9"/>
  <c r="F504" i="9"/>
  <c r="E520" i="9"/>
  <c r="H520" i="9" s="1"/>
  <c r="I520" i="9" s="1"/>
  <c r="F520" i="9"/>
  <c r="E536" i="9"/>
  <c r="F536" i="9"/>
  <c r="E552" i="9"/>
  <c r="H552" i="9" s="1"/>
  <c r="I552" i="9" s="1"/>
  <c r="F552" i="9"/>
  <c r="G10" i="9"/>
  <c r="F17" i="9"/>
  <c r="E17" i="9"/>
  <c r="F33" i="9"/>
  <c r="E33" i="9"/>
  <c r="G42" i="9"/>
  <c r="F49" i="9"/>
  <c r="E49" i="9"/>
  <c r="F181" i="9"/>
  <c r="E181" i="9"/>
  <c r="H181" i="9" s="1"/>
  <c r="I181" i="9" s="1"/>
  <c r="F245" i="9"/>
  <c r="E245" i="9"/>
  <c r="F318" i="9"/>
  <c r="E318" i="9"/>
  <c r="H318" i="9" s="1"/>
  <c r="I318" i="9" s="1"/>
  <c r="G328" i="9"/>
  <c r="G336" i="9"/>
  <c r="G344" i="9"/>
  <c r="G348" i="9"/>
  <c r="G352" i="9"/>
  <c r="G364" i="9"/>
  <c r="G368" i="9"/>
  <c r="G372" i="9"/>
  <c r="G376" i="9"/>
  <c r="G380" i="9"/>
  <c r="G388" i="9"/>
  <c r="G400" i="9"/>
  <c r="G404" i="9"/>
  <c r="G408" i="9"/>
  <c r="G412" i="9"/>
  <c r="G416" i="9"/>
  <c r="G420" i="9"/>
  <c r="G424" i="9"/>
  <c r="G428" i="9"/>
  <c r="G432" i="9"/>
  <c r="G436" i="9"/>
  <c r="G440" i="9"/>
  <c r="G444" i="9"/>
  <c r="G448" i="9"/>
  <c r="G452" i="9"/>
  <c r="G464" i="9"/>
  <c r="G468" i="9"/>
  <c r="E476" i="9"/>
  <c r="F476" i="9"/>
  <c r="G489" i="9"/>
  <c r="E492" i="9"/>
  <c r="F492" i="9"/>
  <c r="G505" i="9"/>
  <c r="E508" i="9"/>
  <c r="H508" i="9" s="1"/>
  <c r="I508" i="9" s="1"/>
  <c r="F508" i="9"/>
  <c r="G521" i="9"/>
  <c r="E524" i="9"/>
  <c r="F524" i="9"/>
  <c r="E540" i="9"/>
  <c r="F540" i="9"/>
  <c r="E556" i="9"/>
  <c r="H556" i="9" s="1"/>
  <c r="I556" i="9" s="1"/>
  <c r="F556" i="9"/>
  <c r="F738" i="9"/>
  <c r="E738" i="9"/>
  <c r="F770" i="9"/>
  <c r="E770" i="9"/>
  <c r="F989" i="9"/>
  <c r="E989" i="9"/>
  <c r="G570" i="9"/>
  <c r="E573" i="9"/>
  <c r="F573" i="9"/>
  <c r="E581" i="9"/>
  <c r="F581" i="9"/>
  <c r="E589" i="9"/>
  <c r="H589" i="9" s="1"/>
  <c r="I589" i="9" s="1"/>
  <c r="F589" i="9"/>
  <c r="G594" i="9"/>
  <c r="E597" i="9"/>
  <c r="F597" i="9"/>
  <c r="E605" i="9"/>
  <c r="F605" i="9"/>
  <c r="E613" i="9"/>
  <c r="F613" i="9"/>
  <c r="E621" i="9"/>
  <c r="F621" i="9"/>
  <c r="G626" i="9"/>
  <c r="E629" i="9"/>
  <c r="H629" i="9" s="1"/>
  <c r="I629" i="9" s="1"/>
  <c r="F629" i="9"/>
  <c r="G634" i="9"/>
  <c r="E637" i="9"/>
  <c r="F637" i="9"/>
  <c r="G642" i="9"/>
  <c r="E645" i="9"/>
  <c r="F645" i="9"/>
  <c r="G650" i="9"/>
  <c r="E653" i="9"/>
  <c r="F653" i="9"/>
  <c r="G658" i="9"/>
  <c r="E661" i="9"/>
  <c r="H661" i="9" s="1"/>
  <c r="I661" i="9" s="1"/>
  <c r="F661" i="9"/>
  <c r="G666" i="9"/>
  <c r="E669" i="9"/>
  <c r="F669" i="9"/>
  <c r="G674" i="9"/>
  <c r="G678" i="9"/>
  <c r="G682" i="9"/>
  <c r="G686" i="9"/>
  <c r="G690" i="9"/>
  <c r="G694" i="9"/>
  <c r="G698" i="9"/>
  <c r="G702" i="9"/>
  <c r="G706" i="9"/>
  <c r="G710" i="9"/>
  <c r="F715" i="9"/>
  <c r="E715" i="9"/>
  <c r="F717" i="9"/>
  <c r="E717" i="9"/>
  <c r="F723" i="9"/>
  <c r="E723" i="9"/>
  <c r="H723" i="9" s="1"/>
  <c r="I723" i="9" s="1"/>
  <c r="F725" i="9"/>
  <c r="E725" i="9"/>
  <c r="F731" i="9"/>
  <c r="E731" i="9"/>
  <c r="H731" i="9" s="1"/>
  <c r="I731" i="9" s="1"/>
  <c r="F733" i="9"/>
  <c r="E733" i="9"/>
  <c r="F739" i="9"/>
  <c r="E739" i="9"/>
  <c r="H739" i="9" s="1"/>
  <c r="I739" i="9" s="1"/>
  <c r="F741" i="9"/>
  <c r="E741" i="9"/>
  <c r="F747" i="9"/>
  <c r="E747" i="9"/>
  <c r="H747" i="9" s="1"/>
  <c r="I747" i="9" s="1"/>
  <c r="F749" i="9"/>
  <c r="E749" i="9"/>
  <c r="F755" i="9"/>
  <c r="E755" i="9"/>
  <c r="H755" i="9" s="1"/>
  <c r="I755" i="9" s="1"/>
  <c r="F757" i="9"/>
  <c r="E757" i="9"/>
  <c r="F763" i="9"/>
  <c r="E763" i="9"/>
  <c r="H763" i="9" s="1"/>
  <c r="I763" i="9" s="1"/>
  <c r="F765" i="9"/>
  <c r="E765" i="9"/>
  <c r="F771" i="9"/>
  <c r="E771" i="9"/>
  <c r="H771" i="9" s="1"/>
  <c r="I771" i="9" s="1"/>
  <c r="F773" i="9"/>
  <c r="E773" i="9"/>
  <c r="F779" i="9"/>
  <c r="E779" i="9"/>
  <c r="H779" i="9" s="1"/>
  <c r="I779" i="9" s="1"/>
  <c r="F781" i="9"/>
  <c r="E781" i="9"/>
  <c r="F787" i="9"/>
  <c r="E787" i="9"/>
  <c r="H787" i="9" s="1"/>
  <c r="I787" i="9" s="1"/>
  <c r="F789" i="9"/>
  <c r="E789" i="9"/>
  <c r="E846" i="9"/>
  <c r="F846" i="9"/>
  <c r="E854" i="9"/>
  <c r="F854" i="9"/>
  <c r="E862" i="9"/>
  <c r="F862" i="9"/>
  <c r="E870" i="9"/>
  <c r="F870" i="9"/>
  <c r="E878" i="9"/>
  <c r="F878" i="9"/>
  <c r="E886" i="9"/>
  <c r="F886" i="9"/>
  <c r="E894" i="9"/>
  <c r="F894" i="9"/>
  <c r="E902" i="9"/>
  <c r="F902" i="9"/>
  <c r="F786" i="9"/>
  <c r="E786" i="9"/>
  <c r="H786" i="9" s="1"/>
  <c r="I786" i="9" s="1"/>
  <c r="F937" i="9"/>
  <c r="E937" i="9"/>
  <c r="G4" i="9"/>
  <c r="G16" i="9"/>
  <c r="G20" i="9"/>
  <c r="G24" i="9"/>
  <c r="G28" i="9"/>
  <c r="G32" i="9"/>
  <c r="G36" i="9"/>
  <c r="G40" i="9"/>
  <c r="G44" i="9"/>
  <c r="G310" i="9"/>
  <c r="F718" i="9"/>
  <c r="E718" i="9"/>
  <c r="F726" i="9"/>
  <c r="E726" i="9"/>
  <c r="H726" i="9" s="1"/>
  <c r="I726" i="9" s="1"/>
  <c r="F734" i="9"/>
  <c r="E734" i="9"/>
  <c r="F742" i="9"/>
  <c r="E742" i="9"/>
  <c r="H742" i="9" s="1"/>
  <c r="I742" i="9" s="1"/>
  <c r="F750" i="9"/>
  <c r="E750" i="9"/>
  <c r="F758" i="9"/>
  <c r="E758" i="9"/>
  <c r="H758" i="9" s="1"/>
  <c r="I758" i="9" s="1"/>
  <c r="F766" i="9"/>
  <c r="E766" i="9"/>
  <c r="F774" i="9"/>
  <c r="E774" i="9"/>
  <c r="H774" i="9" s="1"/>
  <c r="I774" i="9" s="1"/>
  <c r="F782" i="9"/>
  <c r="E782" i="9"/>
  <c r="G3" i="9"/>
  <c r="G7" i="9"/>
  <c r="G11" i="9"/>
  <c r="G15" i="9"/>
  <c r="G19" i="9"/>
  <c r="G23" i="9"/>
  <c r="G27" i="9"/>
  <c r="G31" i="9"/>
  <c r="G35" i="9"/>
  <c r="G39" i="9"/>
  <c r="G43" i="9"/>
  <c r="G47" i="9"/>
  <c r="E569" i="9"/>
  <c r="F569" i="9"/>
  <c r="G574" i="9"/>
  <c r="E577" i="9"/>
  <c r="H577" i="9" s="1"/>
  <c r="I577" i="9" s="1"/>
  <c r="F577" i="9"/>
  <c r="G582" i="9"/>
  <c r="E585" i="9"/>
  <c r="F585" i="9"/>
  <c r="G590" i="9"/>
  <c r="E593" i="9"/>
  <c r="F593" i="9"/>
  <c r="G598" i="9"/>
  <c r="E601" i="9"/>
  <c r="F601" i="9"/>
  <c r="G606" i="9"/>
  <c r="E609" i="9"/>
  <c r="H609" i="9" s="1"/>
  <c r="I609" i="9" s="1"/>
  <c r="F609" i="9"/>
  <c r="G614" i="9"/>
  <c r="E617" i="9"/>
  <c r="F617" i="9"/>
  <c r="E625" i="9"/>
  <c r="F625" i="9"/>
  <c r="G630" i="9"/>
  <c r="E633" i="9"/>
  <c r="F633" i="9"/>
  <c r="G638" i="9"/>
  <c r="E641" i="9"/>
  <c r="F641" i="9"/>
  <c r="G646" i="9"/>
  <c r="E649" i="9"/>
  <c r="H649" i="9" s="1"/>
  <c r="I649" i="9" s="1"/>
  <c r="F649" i="9"/>
  <c r="G654" i="9"/>
  <c r="E657" i="9"/>
  <c r="F657" i="9"/>
  <c r="G662" i="9"/>
  <c r="E665" i="9"/>
  <c r="F665" i="9"/>
  <c r="G670" i="9"/>
  <c r="E673" i="9"/>
  <c r="F673" i="9"/>
  <c r="E675" i="9"/>
  <c r="F675" i="9"/>
  <c r="E677" i="9"/>
  <c r="F677" i="9"/>
  <c r="E679" i="9"/>
  <c r="F679" i="9"/>
  <c r="E681" i="9"/>
  <c r="F681" i="9"/>
  <c r="E683" i="9"/>
  <c r="F683" i="9"/>
  <c r="E685" i="9"/>
  <c r="F685" i="9"/>
  <c r="E687" i="9"/>
  <c r="F687" i="9"/>
  <c r="E689" i="9"/>
  <c r="F689" i="9"/>
  <c r="E691" i="9"/>
  <c r="F691" i="9"/>
  <c r="E693" i="9"/>
  <c r="F693" i="9"/>
  <c r="E695" i="9"/>
  <c r="F695" i="9"/>
  <c r="E697" i="9"/>
  <c r="F697" i="9"/>
  <c r="E699" i="9"/>
  <c r="F699" i="9"/>
  <c r="E701" i="9"/>
  <c r="F701" i="9"/>
  <c r="E703" i="9"/>
  <c r="F703" i="9"/>
  <c r="E705" i="9"/>
  <c r="F705" i="9"/>
  <c r="E707" i="9"/>
  <c r="F707" i="9"/>
  <c r="E709" i="9"/>
  <c r="F709" i="9"/>
  <c r="E711" i="9"/>
  <c r="F711" i="9"/>
  <c r="F713" i="9"/>
  <c r="E713" i="9"/>
  <c r="F719" i="9"/>
  <c r="E719" i="9"/>
  <c r="H719" i="9" s="1"/>
  <c r="I719" i="9" s="1"/>
  <c r="F721" i="9"/>
  <c r="E721" i="9"/>
  <c r="F727" i="9"/>
  <c r="E727" i="9"/>
  <c r="H727" i="9" s="1"/>
  <c r="I727" i="9" s="1"/>
  <c r="F729" i="9"/>
  <c r="E729" i="9"/>
  <c r="F735" i="9"/>
  <c r="E735" i="9"/>
  <c r="H735" i="9" s="1"/>
  <c r="I735" i="9" s="1"/>
  <c r="F737" i="9"/>
  <c r="E737" i="9"/>
  <c r="F743" i="9"/>
  <c r="E743" i="9"/>
  <c r="H743" i="9" s="1"/>
  <c r="I743" i="9" s="1"/>
  <c r="F745" i="9"/>
  <c r="E745" i="9"/>
  <c r="F751" i="9"/>
  <c r="E751" i="9"/>
  <c r="H751" i="9" s="1"/>
  <c r="I751" i="9" s="1"/>
  <c r="F753" i="9"/>
  <c r="E753" i="9"/>
  <c r="F759" i="9"/>
  <c r="E759" i="9"/>
  <c r="H759" i="9" s="1"/>
  <c r="I759" i="9" s="1"/>
  <c r="F761" i="9"/>
  <c r="E761" i="9"/>
  <c r="F767" i="9"/>
  <c r="E767" i="9"/>
  <c r="H767" i="9" s="1"/>
  <c r="I767" i="9" s="1"/>
  <c r="F769" i="9"/>
  <c r="E769" i="9"/>
  <c r="F775" i="9"/>
  <c r="E775" i="9"/>
  <c r="H775" i="9" s="1"/>
  <c r="I775" i="9" s="1"/>
  <c r="F777" i="9"/>
  <c r="E777" i="9"/>
  <c r="F783" i="9"/>
  <c r="E783" i="9"/>
  <c r="H783" i="9" s="1"/>
  <c r="I783" i="9" s="1"/>
  <c r="F785" i="9"/>
  <c r="E785" i="9"/>
  <c r="E844" i="9"/>
  <c r="F844" i="9"/>
  <c r="E852" i="9"/>
  <c r="F852" i="9"/>
  <c r="E860" i="9"/>
  <c r="F860" i="9"/>
  <c r="E868" i="9"/>
  <c r="F868" i="9"/>
  <c r="E876" i="9"/>
  <c r="F876" i="9"/>
  <c r="E884" i="9"/>
  <c r="F884" i="9"/>
  <c r="E892" i="9"/>
  <c r="F892" i="9"/>
  <c r="E900" i="9"/>
  <c r="F900" i="9"/>
  <c r="F791" i="9"/>
  <c r="E791" i="9"/>
  <c r="H791" i="9" s="1"/>
  <c r="I791" i="9" s="1"/>
  <c r="F793" i="9"/>
  <c r="E793" i="9"/>
  <c r="F795" i="9"/>
  <c r="E795" i="9"/>
  <c r="H795" i="9" s="1"/>
  <c r="I795" i="9" s="1"/>
  <c r="F797" i="9"/>
  <c r="E797" i="9"/>
  <c r="F799" i="9"/>
  <c r="E799" i="9"/>
  <c r="H799" i="9" s="1"/>
  <c r="I799" i="9" s="1"/>
  <c r="F801" i="9"/>
  <c r="E801" i="9"/>
  <c r="F803" i="9"/>
  <c r="E803" i="9"/>
  <c r="H803" i="9" s="1"/>
  <c r="I803" i="9" s="1"/>
  <c r="F805" i="9"/>
  <c r="E805" i="9"/>
  <c r="F807" i="9"/>
  <c r="E807" i="9"/>
  <c r="H807" i="9" s="1"/>
  <c r="I807" i="9" s="1"/>
  <c r="F809" i="9"/>
  <c r="E809" i="9"/>
  <c r="F811" i="9"/>
  <c r="E811" i="9"/>
  <c r="H811" i="9" s="1"/>
  <c r="I811" i="9" s="1"/>
  <c r="F813" i="9"/>
  <c r="E813" i="9"/>
  <c r="F815" i="9"/>
  <c r="E815" i="9"/>
  <c r="H815" i="9" s="1"/>
  <c r="I815" i="9" s="1"/>
  <c r="F817" i="9"/>
  <c r="E817" i="9"/>
  <c r="F819" i="9"/>
  <c r="E819" i="9"/>
  <c r="H819" i="9" s="1"/>
  <c r="I819" i="9" s="1"/>
  <c r="F821" i="9"/>
  <c r="E821" i="9"/>
  <c r="F823" i="9"/>
  <c r="E823" i="9"/>
  <c r="H823" i="9" s="1"/>
  <c r="I823" i="9" s="1"/>
  <c r="F825" i="9"/>
  <c r="E825" i="9"/>
  <c r="F827" i="9"/>
  <c r="E827" i="9"/>
  <c r="H827" i="9" s="1"/>
  <c r="I827" i="9" s="1"/>
  <c r="F829" i="9"/>
  <c r="E829" i="9"/>
  <c r="F831" i="9"/>
  <c r="E831" i="9"/>
  <c r="H831" i="9" s="1"/>
  <c r="I831" i="9" s="1"/>
  <c r="F833" i="9"/>
  <c r="E833" i="9"/>
  <c r="F835" i="9"/>
  <c r="E835" i="9"/>
  <c r="H835" i="9" s="1"/>
  <c r="I835" i="9" s="1"/>
  <c r="F837" i="9"/>
  <c r="E837" i="9"/>
  <c r="F839" i="9"/>
  <c r="E839" i="9"/>
  <c r="H839" i="9" s="1"/>
  <c r="I839" i="9" s="1"/>
  <c r="E850" i="9"/>
  <c r="F850" i="9"/>
  <c r="E858" i="9"/>
  <c r="F858" i="9"/>
  <c r="E866" i="9"/>
  <c r="F866" i="9"/>
  <c r="E874" i="9"/>
  <c r="F874" i="9"/>
  <c r="E882" i="9"/>
  <c r="F882" i="9"/>
  <c r="E890" i="9"/>
  <c r="F890" i="9"/>
  <c r="E898" i="9"/>
  <c r="F898" i="9"/>
  <c r="E906" i="9"/>
  <c r="F906" i="9"/>
  <c r="E848" i="9"/>
  <c r="F848" i="9"/>
  <c r="E856" i="9"/>
  <c r="F856" i="9"/>
  <c r="E864" i="9"/>
  <c r="F864" i="9"/>
  <c r="E872" i="9"/>
  <c r="F872" i="9"/>
  <c r="E880" i="9"/>
  <c r="F880" i="9"/>
  <c r="E888" i="9"/>
  <c r="F888" i="9"/>
  <c r="E896" i="9"/>
  <c r="F896" i="9"/>
  <c r="F925" i="9"/>
  <c r="E925" i="9"/>
  <c r="F957" i="9"/>
  <c r="E957" i="9"/>
  <c r="H957" i="9" s="1"/>
  <c r="I957" i="9" s="1"/>
  <c r="E914" i="9"/>
  <c r="F914" i="9"/>
  <c r="E910" i="9"/>
  <c r="F910" i="9"/>
  <c r="G915" i="9"/>
  <c r="F943" i="9"/>
  <c r="E943" i="9"/>
  <c r="F917" i="9"/>
  <c r="E917" i="9"/>
  <c r="F949" i="9"/>
  <c r="E949" i="9"/>
  <c r="F961" i="9"/>
  <c r="E961" i="9"/>
  <c r="F977" i="9"/>
  <c r="E977" i="9"/>
  <c r="F993" i="9"/>
  <c r="E993" i="9"/>
  <c r="F941" i="9"/>
  <c r="E941" i="9"/>
  <c r="F965" i="9"/>
  <c r="E965" i="9"/>
  <c r="F981" i="9"/>
  <c r="E981" i="9"/>
  <c r="F997" i="9"/>
  <c r="E997" i="9"/>
  <c r="F904" i="9"/>
  <c r="G904" i="9" s="1"/>
  <c r="F908" i="9"/>
  <c r="G908" i="9" s="1"/>
  <c r="F912" i="9"/>
  <c r="G912" i="9" s="1"/>
  <c r="F916" i="9"/>
  <c r="G916" i="9" s="1"/>
  <c r="E921" i="9"/>
  <c r="E927" i="9"/>
  <c r="F933" i="9"/>
  <c r="E933" i="9"/>
  <c r="E953" i="9"/>
  <c r="E959" i="9"/>
  <c r="F969" i="9"/>
  <c r="E969" i="9"/>
  <c r="F985" i="9"/>
  <c r="E985" i="9"/>
  <c r="E1001" i="9"/>
  <c r="F55" i="9"/>
  <c r="E55" i="9"/>
  <c r="F63" i="9"/>
  <c r="E63" i="9"/>
  <c r="H63" i="9" s="1"/>
  <c r="I63" i="9" s="1"/>
  <c r="F79" i="9"/>
  <c r="E79" i="9"/>
  <c r="F87" i="9"/>
  <c r="E87" i="9"/>
  <c r="H87" i="9" s="1"/>
  <c r="I87" i="9" s="1"/>
  <c r="F95" i="9"/>
  <c r="E95" i="9"/>
  <c r="F103" i="9"/>
  <c r="E103" i="9"/>
  <c r="H103" i="9" s="1"/>
  <c r="I103" i="9" s="1"/>
  <c r="F111" i="9"/>
  <c r="E111" i="9"/>
  <c r="F119" i="9"/>
  <c r="E119" i="9"/>
  <c r="H119" i="9" s="1"/>
  <c r="I119" i="9" s="1"/>
  <c r="F127" i="9"/>
  <c r="E127" i="9"/>
  <c r="F140" i="9"/>
  <c r="E140" i="9"/>
  <c r="H140" i="9" s="1"/>
  <c r="I140" i="9" s="1"/>
  <c r="F142" i="9"/>
  <c r="E142" i="9"/>
  <c r="F148" i="9"/>
  <c r="E148" i="9"/>
  <c r="H148" i="9" s="1"/>
  <c r="I148" i="9" s="1"/>
  <c r="F150" i="9"/>
  <c r="E150" i="9"/>
  <c r="F156" i="9"/>
  <c r="E156" i="9"/>
  <c r="H156" i="9" s="1"/>
  <c r="I156" i="9" s="1"/>
  <c r="F158" i="9"/>
  <c r="E158" i="9"/>
  <c r="F164" i="9"/>
  <c r="E164" i="9"/>
  <c r="H164" i="9" s="1"/>
  <c r="I164" i="9" s="1"/>
  <c r="F166" i="9"/>
  <c r="E166" i="9"/>
  <c r="F184" i="9"/>
  <c r="E184" i="9"/>
  <c r="H184" i="9" s="1"/>
  <c r="I184" i="9" s="1"/>
  <c r="F187" i="9"/>
  <c r="E187" i="9"/>
  <c r="F198" i="9"/>
  <c r="E198" i="9"/>
  <c r="H198" i="9" s="1"/>
  <c r="I198" i="9" s="1"/>
  <c r="F216" i="9"/>
  <c r="E216" i="9"/>
  <c r="F219" i="9"/>
  <c r="E219" i="9"/>
  <c r="H219" i="9" s="1"/>
  <c r="I219" i="9" s="1"/>
  <c r="F230" i="9"/>
  <c r="E230" i="9"/>
  <c r="F248" i="9"/>
  <c r="E248" i="9"/>
  <c r="H248" i="9" s="1"/>
  <c r="I248" i="9" s="1"/>
  <c r="F251" i="9"/>
  <c r="E251" i="9"/>
  <c r="F262" i="9"/>
  <c r="E262" i="9"/>
  <c r="H262" i="9" s="1"/>
  <c r="I262" i="9" s="1"/>
  <c r="F280" i="9"/>
  <c r="E280" i="9"/>
  <c r="F283" i="9"/>
  <c r="E283" i="9"/>
  <c r="H283" i="9" s="1"/>
  <c r="I283" i="9" s="1"/>
  <c r="F143" i="9"/>
  <c r="E143" i="9"/>
  <c r="F51" i="9"/>
  <c r="E51" i="9"/>
  <c r="H51" i="9" s="1"/>
  <c r="I51" i="9" s="1"/>
  <c r="F59" i="9"/>
  <c r="E59" i="9"/>
  <c r="F67" i="9"/>
  <c r="E67" i="9"/>
  <c r="H67" i="9" s="1"/>
  <c r="I67" i="9" s="1"/>
  <c r="F75" i="9"/>
  <c r="E75" i="9"/>
  <c r="F83" i="9"/>
  <c r="E83" i="9"/>
  <c r="H83" i="9" s="1"/>
  <c r="I83" i="9" s="1"/>
  <c r="F91" i="9"/>
  <c r="E91" i="9"/>
  <c r="F99" i="9"/>
  <c r="E99" i="9"/>
  <c r="H99" i="9" s="1"/>
  <c r="I99" i="9" s="1"/>
  <c r="F107" i="9"/>
  <c r="E107" i="9"/>
  <c r="F115" i="9"/>
  <c r="E115" i="9"/>
  <c r="H115" i="9" s="1"/>
  <c r="I115" i="9" s="1"/>
  <c r="F123" i="9"/>
  <c r="E123" i="9"/>
  <c r="F136" i="9"/>
  <c r="E136" i="9"/>
  <c r="H136" i="9" s="1"/>
  <c r="I136" i="9" s="1"/>
  <c r="F138" i="9"/>
  <c r="E138" i="9"/>
  <c r="F144" i="9"/>
  <c r="E144" i="9"/>
  <c r="H144" i="9" s="1"/>
  <c r="I144" i="9" s="1"/>
  <c r="F146" i="9"/>
  <c r="E146" i="9"/>
  <c r="F152" i="9"/>
  <c r="E152" i="9"/>
  <c r="H152" i="9" s="1"/>
  <c r="I152" i="9" s="1"/>
  <c r="F154" i="9"/>
  <c r="E154" i="9"/>
  <c r="F160" i="9"/>
  <c r="E160" i="9"/>
  <c r="H160" i="9" s="1"/>
  <c r="I160" i="9" s="1"/>
  <c r="F162" i="9"/>
  <c r="E162" i="9"/>
  <c r="F168" i="9"/>
  <c r="E168" i="9"/>
  <c r="H168" i="9" s="1"/>
  <c r="I168" i="9" s="1"/>
  <c r="F171" i="9"/>
  <c r="E171" i="9"/>
  <c r="F182" i="9"/>
  <c r="E182" i="9"/>
  <c r="H182" i="9" s="1"/>
  <c r="I182" i="9" s="1"/>
  <c r="F200" i="9"/>
  <c r="E200" i="9"/>
  <c r="F203" i="9"/>
  <c r="E203" i="9"/>
  <c r="H203" i="9" s="1"/>
  <c r="I203" i="9" s="1"/>
  <c r="F214" i="9"/>
  <c r="E214" i="9"/>
  <c r="F232" i="9"/>
  <c r="E232" i="9"/>
  <c r="H232" i="9" s="1"/>
  <c r="I232" i="9" s="1"/>
  <c r="F235" i="9"/>
  <c r="E235" i="9"/>
  <c r="F246" i="9"/>
  <c r="E246" i="9"/>
  <c r="H246" i="9" s="1"/>
  <c r="I246" i="9" s="1"/>
  <c r="F264" i="9"/>
  <c r="E264" i="9"/>
  <c r="F267" i="9"/>
  <c r="E267" i="9"/>
  <c r="H267" i="9" s="1"/>
  <c r="I267" i="9" s="1"/>
  <c r="F278" i="9"/>
  <c r="E278" i="9"/>
  <c r="F288" i="9"/>
  <c r="E288" i="9"/>
  <c r="H288" i="9" s="1"/>
  <c r="I288" i="9" s="1"/>
  <c r="F71" i="9"/>
  <c r="E71" i="9"/>
  <c r="E52" i="9"/>
  <c r="E57" i="9"/>
  <c r="E60" i="9"/>
  <c r="E65" i="9"/>
  <c r="E68" i="9"/>
  <c r="E73" i="9"/>
  <c r="E76" i="9"/>
  <c r="E81" i="9"/>
  <c r="E84" i="9"/>
  <c r="E89" i="9"/>
  <c r="E92" i="9"/>
  <c r="E97" i="9"/>
  <c r="E100" i="9"/>
  <c r="E105" i="9"/>
  <c r="E108" i="9"/>
  <c r="E113" i="9"/>
  <c r="E116" i="9"/>
  <c r="E121" i="9"/>
  <c r="E124" i="9"/>
  <c r="E129" i="9"/>
  <c r="F131" i="9"/>
  <c r="E131" i="9"/>
  <c r="H131" i="9" s="1"/>
  <c r="I131" i="9" s="1"/>
  <c r="F133" i="9"/>
  <c r="E133" i="9"/>
  <c r="F135" i="9"/>
  <c r="E135" i="9"/>
  <c r="H135" i="9" s="1"/>
  <c r="I135" i="9" s="1"/>
  <c r="F151" i="9"/>
  <c r="E151" i="9"/>
  <c r="F159" i="9"/>
  <c r="E159" i="9"/>
  <c r="H159" i="9" s="1"/>
  <c r="I159" i="9" s="1"/>
  <c r="F176" i="9"/>
  <c r="E176" i="9"/>
  <c r="F179" i="9"/>
  <c r="E179" i="9"/>
  <c r="H179" i="9" s="1"/>
  <c r="I179" i="9" s="1"/>
  <c r="F190" i="9"/>
  <c r="E190" i="9"/>
  <c r="F208" i="9"/>
  <c r="E208" i="9"/>
  <c r="H208" i="9" s="1"/>
  <c r="I208" i="9" s="1"/>
  <c r="F211" i="9"/>
  <c r="E211" i="9"/>
  <c r="F222" i="9"/>
  <c r="E222" i="9"/>
  <c r="H222" i="9" s="1"/>
  <c r="I222" i="9" s="1"/>
  <c r="F240" i="9"/>
  <c r="E240" i="9"/>
  <c r="F243" i="9"/>
  <c r="E243" i="9"/>
  <c r="H243" i="9" s="1"/>
  <c r="I243" i="9" s="1"/>
  <c r="F254" i="9"/>
  <c r="E254" i="9"/>
  <c r="F272" i="9"/>
  <c r="E272" i="9"/>
  <c r="H272" i="9" s="1"/>
  <c r="I272" i="9" s="1"/>
  <c r="F275" i="9"/>
  <c r="E275" i="9"/>
  <c r="F950" i="9"/>
  <c r="E950" i="9"/>
  <c r="H950" i="9" s="1"/>
  <c r="I950" i="9" s="1"/>
  <c r="F139" i="9"/>
  <c r="E139" i="9"/>
  <c r="F147" i="9"/>
  <c r="E147" i="9"/>
  <c r="H147" i="9" s="1"/>
  <c r="I147" i="9" s="1"/>
  <c r="F155" i="9"/>
  <c r="E155" i="9"/>
  <c r="F163" i="9"/>
  <c r="E163" i="9"/>
  <c r="H163" i="9" s="1"/>
  <c r="I163" i="9" s="1"/>
  <c r="F174" i="9"/>
  <c r="E174" i="9"/>
  <c r="F192" i="9"/>
  <c r="E192" i="9"/>
  <c r="H192" i="9" s="1"/>
  <c r="I192" i="9" s="1"/>
  <c r="F195" i="9"/>
  <c r="E195" i="9"/>
  <c r="F206" i="9"/>
  <c r="E206" i="9"/>
  <c r="H206" i="9" s="1"/>
  <c r="I206" i="9" s="1"/>
  <c r="F224" i="9"/>
  <c r="E224" i="9"/>
  <c r="F227" i="9"/>
  <c r="E227" i="9"/>
  <c r="H227" i="9" s="1"/>
  <c r="I227" i="9" s="1"/>
  <c r="F238" i="9"/>
  <c r="E238" i="9"/>
  <c r="F256" i="9"/>
  <c r="E256" i="9"/>
  <c r="H256" i="9" s="1"/>
  <c r="I256" i="9" s="1"/>
  <c r="F259" i="9"/>
  <c r="E259" i="9"/>
  <c r="F270" i="9"/>
  <c r="E270" i="9"/>
  <c r="H270" i="9" s="1"/>
  <c r="I270" i="9" s="1"/>
  <c r="F286" i="9"/>
  <c r="E286" i="9"/>
  <c r="F302" i="9"/>
  <c r="E302" i="9"/>
  <c r="H302" i="9" s="1"/>
  <c r="I302" i="9" s="1"/>
  <c r="F982" i="9"/>
  <c r="E982" i="9"/>
  <c r="F170" i="9"/>
  <c r="E170" i="9"/>
  <c r="F178" i="9"/>
  <c r="E178" i="9"/>
  <c r="F186" i="9"/>
  <c r="E186" i="9"/>
  <c r="F194" i="9"/>
  <c r="E194" i="9"/>
  <c r="F202" i="9"/>
  <c r="E202" i="9"/>
  <c r="F210" i="9"/>
  <c r="E210" i="9"/>
  <c r="F218" i="9"/>
  <c r="E218" i="9"/>
  <c r="F226" i="9"/>
  <c r="E226" i="9"/>
  <c r="F234" i="9"/>
  <c r="E234" i="9"/>
  <c r="F242" i="9"/>
  <c r="E242" i="9"/>
  <c r="F250" i="9"/>
  <c r="E250" i="9"/>
  <c r="F258" i="9"/>
  <c r="E258" i="9"/>
  <c r="F266" i="9"/>
  <c r="E266" i="9"/>
  <c r="F274" i="9"/>
  <c r="E274" i="9"/>
  <c r="F282" i="9"/>
  <c r="E282" i="9"/>
  <c r="E299" i="9"/>
  <c r="E167" i="9"/>
  <c r="E172" i="9"/>
  <c r="E175" i="9"/>
  <c r="E180" i="9"/>
  <c r="E183" i="9"/>
  <c r="E188" i="9"/>
  <c r="E191" i="9"/>
  <c r="E196" i="9"/>
  <c r="E199" i="9"/>
  <c r="E204" i="9"/>
  <c r="E207" i="9"/>
  <c r="E212" i="9"/>
  <c r="E215" i="9"/>
  <c r="E220" i="9"/>
  <c r="E223" i="9"/>
  <c r="E228" i="9"/>
  <c r="E231" i="9"/>
  <c r="E236" i="9"/>
  <c r="E239" i="9"/>
  <c r="E244" i="9"/>
  <c r="E247" i="9"/>
  <c r="E252" i="9"/>
  <c r="E255" i="9"/>
  <c r="E260" i="9"/>
  <c r="E263" i="9"/>
  <c r="E268" i="9"/>
  <c r="E271" i="9"/>
  <c r="E276" i="9"/>
  <c r="E279" i="9"/>
  <c r="F294" i="9"/>
  <c r="E294" i="9"/>
  <c r="F918" i="9"/>
  <c r="E918" i="9"/>
  <c r="H918" i="9" s="1"/>
  <c r="I918" i="9" s="1"/>
  <c r="F938" i="9"/>
  <c r="E938" i="9"/>
  <c r="F970" i="9"/>
  <c r="E970" i="9"/>
  <c r="H970" i="9" s="1"/>
  <c r="I970" i="9" s="1"/>
  <c r="F290" i="9"/>
  <c r="E290" i="9"/>
  <c r="F298" i="9"/>
  <c r="E298" i="9"/>
  <c r="H298" i="9" s="1"/>
  <c r="I298" i="9" s="1"/>
  <c r="G307" i="9"/>
  <c r="G323" i="9"/>
  <c r="F934" i="9"/>
  <c r="E934" i="9"/>
  <c r="H934" i="9" s="1"/>
  <c r="I934" i="9" s="1"/>
  <c r="F966" i="9"/>
  <c r="E966" i="9"/>
  <c r="F922" i="9"/>
  <c r="E922" i="9"/>
  <c r="H922" i="9" s="1"/>
  <c r="I922" i="9" s="1"/>
  <c r="F954" i="9"/>
  <c r="E954" i="9"/>
  <c r="F986" i="9"/>
  <c r="E986" i="9"/>
  <c r="H986" i="9" s="1"/>
  <c r="I986" i="9" s="1"/>
  <c r="F998" i="9"/>
  <c r="E998" i="9"/>
  <c r="F930" i="9"/>
  <c r="E930" i="9"/>
  <c r="H930" i="9" s="1"/>
  <c r="I930" i="9" s="1"/>
  <c r="F946" i="9"/>
  <c r="E946" i="9"/>
  <c r="F962" i="9"/>
  <c r="E962" i="9"/>
  <c r="H962" i="9" s="1"/>
  <c r="I962" i="9" s="1"/>
  <c r="F978" i="9"/>
  <c r="E978" i="9"/>
  <c r="F994" i="9"/>
  <c r="E994" i="9"/>
  <c r="H994" i="9" s="1"/>
  <c r="I994" i="9" s="1"/>
  <c r="F926" i="9"/>
  <c r="E926" i="9"/>
  <c r="F942" i="9"/>
  <c r="E942" i="9"/>
  <c r="H942" i="9" s="1"/>
  <c r="I942" i="9" s="1"/>
  <c r="F958" i="9"/>
  <c r="E958" i="9"/>
  <c r="F974" i="9"/>
  <c r="E974" i="9"/>
  <c r="H974" i="9" s="1"/>
  <c r="I974" i="9" s="1"/>
  <c r="F990" i="9"/>
  <c r="E990" i="9"/>
  <c r="E920" i="9"/>
  <c r="E924" i="9"/>
  <c r="E928" i="9"/>
  <c r="E932" i="9"/>
  <c r="E936" i="9"/>
  <c r="E940" i="9"/>
  <c r="E944" i="9"/>
  <c r="E948" i="9"/>
  <c r="E952" i="9"/>
  <c r="E956" i="9"/>
  <c r="E960" i="9"/>
  <c r="E964" i="9"/>
  <c r="E968" i="9"/>
  <c r="E972" i="9"/>
  <c r="E976" i="9"/>
  <c r="E980" i="9"/>
  <c r="E984" i="9"/>
  <c r="E988" i="9"/>
  <c r="E992" i="9"/>
  <c r="E996" i="9"/>
  <c r="E1000" i="9"/>
  <c r="F993" i="6"/>
  <c r="E993" i="6"/>
  <c r="F981" i="6"/>
  <c r="E981" i="6"/>
  <c r="F977" i="6"/>
  <c r="E977" i="6"/>
  <c r="F969" i="6"/>
  <c r="E969" i="6"/>
  <c r="F961" i="6"/>
  <c r="E961" i="6"/>
  <c r="F957" i="6"/>
  <c r="E957" i="6"/>
  <c r="F953" i="6"/>
  <c r="E953" i="6"/>
  <c r="F949" i="6"/>
  <c r="E949" i="6"/>
  <c r="F945" i="6"/>
  <c r="E945" i="6"/>
  <c r="F941" i="6"/>
  <c r="E941" i="6"/>
  <c r="F937" i="6"/>
  <c r="E937" i="6"/>
  <c r="F933" i="6"/>
  <c r="E933" i="6"/>
  <c r="F929" i="6"/>
  <c r="E929" i="6"/>
  <c r="F925" i="6"/>
  <c r="E925" i="6"/>
  <c r="F921" i="6"/>
  <c r="E921" i="6"/>
  <c r="F917" i="6"/>
  <c r="E917" i="6"/>
  <c r="F913" i="6"/>
  <c r="E913" i="6"/>
  <c r="F909" i="6"/>
  <c r="E909" i="6"/>
  <c r="F905" i="6"/>
  <c r="E905" i="6"/>
  <c r="F893" i="6"/>
  <c r="E893" i="6"/>
  <c r="F889" i="6"/>
  <c r="E889" i="6"/>
  <c r="F885" i="6"/>
  <c r="E885" i="6"/>
  <c r="F881" i="6"/>
  <c r="E881" i="6"/>
  <c r="F877" i="6"/>
  <c r="E877" i="6"/>
  <c r="F873" i="6"/>
  <c r="E873" i="6"/>
  <c r="F869" i="6"/>
  <c r="E869" i="6"/>
  <c r="F865" i="6"/>
  <c r="E865" i="6"/>
  <c r="F861" i="6"/>
  <c r="E861" i="6"/>
  <c r="F857" i="6"/>
  <c r="E857" i="6"/>
  <c r="F853" i="6"/>
  <c r="E853" i="6"/>
  <c r="F849" i="6"/>
  <c r="E849" i="6"/>
  <c r="F845" i="6"/>
  <c r="E845" i="6"/>
  <c r="F841" i="6"/>
  <c r="E841" i="6"/>
  <c r="F837" i="6"/>
  <c r="E837" i="6"/>
  <c r="F833" i="6"/>
  <c r="E833" i="6"/>
  <c r="F829" i="6"/>
  <c r="E829" i="6"/>
  <c r="F825" i="6"/>
  <c r="E825" i="6"/>
  <c r="F821" i="6"/>
  <c r="E821" i="6"/>
  <c r="F817" i="6"/>
  <c r="E817" i="6"/>
  <c r="F813" i="6"/>
  <c r="E813" i="6"/>
  <c r="F809" i="6"/>
  <c r="E809" i="6"/>
  <c r="F805" i="6"/>
  <c r="E805" i="6"/>
  <c r="F801" i="6"/>
  <c r="E801" i="6"/>
  <c r="F797" i="6"/>
  <c r="E797" i="6"/>
  <c r="F793" i="6"/>
  <c r="E793" i="6"/>
  <c r="F789" i="6"/>
  <c r="E789" i="6"/>
  <c r="F785" i="6"/>
  <c r="E785" i="6"/>
  <c r="F781" i="6"/>
  <c r="E781" i="6"/>
  <c r="F777" i="6"/>
  <c r="E777" i="6"/>
  <c r="F773" i="6"/>
  <c r="E773" i="6"/>
  <c r="F769" i="6"/>
  <c r="E769" i="6"/>
  <c r="F765" i="6"/>
  <c r="E765" i="6"/>
  <c r="F761" i="6"/>
  <c r="E761" i="6"/>
  <c r="F757" i="6"/>
  <c r="E757" i="6"/>
  <c r="F753" i="6"/>
  <c r="E753" i="6"/>
  <c r="F749" i="6"/>
  <c r="E749" i="6"/>
  <c r="F745" i="6"/>
  <c r="E745" i="6"/>
  <c r="F741" i="6"/>
  <c r="E741" i="6"/>
  <c r="F737" i="6"/>
  <c r="E737" i="6"/>
  <c r="F733" i="6"/>
  <c r="E733" i="6"/>
  <c r="F729" i="6"/>
  <c r="E729" i="6"/>
  <c r="F725" i="6"/>
  <c r="E725" i="6"/>
  <c r="F721" i="6"/>
  <c r="E721" i="6"/>
  <c r="F717" i="6"/>
  <c r="E717" i="6"/>
  <c r="F713" i="6"/>
  <c r="E713" i="6"/>
  <c r="F709" i="6"/>
  <c r="E709" i="6"/>
  <c r="F705" i="6"/>
  <c r="E705" i="6"/>
  <c r="F701" i="6"/>
  <c r="E701" i="6"/>
  <c r="F697" i="6"/>
  <c r="E697" i="6"/>
  <c r="F693" i="6"/>
  <c r="E693" i="6"/>
  <c r="F689" i="6"/>
  <c r="E689" i="6"/>
  <c r="F685" i="6"/>
  <c r="E685" i="6"/>
  <c r="F681" i="6"/>
  <c r="E681" i="6"/>
  <c r="F677" i="6"/>
  <c r="E677" i="6"/>
  <c r="F673" i="6"/>
  <c r="E673" i="6"/>
  <c r="F669" i="6"/>
  <c r="E669" i="6"/>
  <c r="F665" i="6"/>
  <c r="E665" i="6"/>
  <c r="F661" i="6"/>
  <c r="E661" i="6"/>
  <c r="F657" i="6"/>
  <c r="E657" i="6"/>
  <c r="F653" i="6"/>
  <c r="E653" i="6"/>
  <c r="F649" i="6"/>
  <c r="E649" i="6"/>
  <c r="F645" i="6"/>
  <c r="E645" i="6"/>
  <c r="F641" i="6"/>
  <c r="E641" i="6"/>
  <c r="F637" i="6"/>
  <c r="E637" i="6"/>
  <c r="F633" i="6"/>
  <c r="E633" i="6"/>
  <c r="F629" i="6"/>
  <c r="E629" i="6"/>
  <c r="F625" i="6"/>
  <c r="E625" i="6"/>
  <c r="F621" i="6"/>
  <c r="E621" i="6"/>
  <c r="F617" i="6"/>
  <c r="E617" i="6"/>
  <c r="F613" i="6"/>
  <c r="E613" i="6"/>
  <c r="F609" i="6"/>
  <c r="E609" i="6"/>
  <c r="F605" i="6"/>
  <c r="E605" i="6"/>
  <c r="F601" i="6"/>
  <c r="E601" i="6"/>
  <c r="F597" i="6"/>
  <c r="E597" i="6"/>
  <c r="F593" i="6"/>
  <c r="E593" i="6"/>
  <c r="F589" i="6"/>
  <c r="E589" i="6"/>
  <c r="F585" i="6"/>
  <c r="E585" i="6"/>
  <c r="F581" i="6"/>
  <c r="E581" i="6"/>
  <c r="F577" i="6"/>
  <c r="E577" i="6"/>
  <c r="F573" i="6"/>
  <c r="E573" i="6"/>
  <c r="F569" i="6"/>
  <c r="E569" i="6"/>
  <c r="F565" i="6"/>
  <c r="E565" i="6"/>
  <c r="F561" i="6"/>
  <c r="E561" i="6"/>
  <c r="F557" i="6"/>
  <c r="E557" i="6"/>
  <c r="F553" i="6"/>
  <c r="E553" i="6"/>
  <c r="F549" i="6"/>
  <c r="E549" i="6"/>
  <c r="F545" i="6"/>
  <c r="E545" i="6"/>
  <c r="F541" i="6"/>
  <c r="E541" i="6"/>
  <c r="F537" i="6"/>
  <c r="E537" i="6"/>
  <c r="F533" i="6"/>
  <c r="E533" i="6"/>
  <c r="F529" i="6"/>
  <c r="E529" i="6"/>
  <c r="F525" i="6"/>
  <c r="E525" i="6"/>
  <c r="F521" i="6"/>
  <c r="E521" i="6"/>
  <c r="F517" i="6"/>
  <c r="E517" i="6"/>
  <c r="F513" i="6"/>
  <c r="E513" i="6"/>
  <c r="F509" i="6"/>
  <c r="E509" i="6"/>
  <c r="F505" i="6"/>
  <c r="E505" i="6"/>
  <c r="F501" i="6"/>
  <c r="E501" i="6"/>
  <c r="F497" i="6"/>
  <c r="E497" i="6"/>
  <c r="F493" i="6"/>
  <c r="E493" i="6"/>
  <c r="F489" i="6"/>
  <c r="E489" i="6"/>
  <c r="F485" i="6"/>
  <c r="E485" i="6"/>
  <c r="F481" i="6"/>
  <c r="E481" i="6"/>
  <c r="F477" i="6"/>
  <c r="E477" i="6"/>
  <c r="F473" i="6"/>
  <c r="E473" i="6"/>
  <c r="F469" i="6"/>
  <c r="E469" i="6"/>
  <c r="F465" i="6"/>
  <c r="E465" i="6"/>
  <c r="F461" i="6"/>
  <c r="E461" i="6"/>
  <c r="F457" i="6"/>
  <c r="E457" i="6"/>
  <c r="F453" i="6"/>
  <c r="E453" i="6"/>
  <c r="F449" i="6"/>
  <c r="E449" i="6"/>
  <c r="F445" i="6"/>
  <c r="E445" i="6"/>
  <c r="F441" i="6"/>
  <c r="E441" i="6"/>
  <c r="F437" i="6"/>
  <c r="E437" i="6"/>
  <c r="F433" i="6"/>
  <c r="E433" i="6"/>
  <c r="F429" i="6"/>
  <c r="E429" i="6"/>
  <c r="F425" i="6"/>
  <c r="E425" i="6"/>
  <c r="F421" i="6"/>
  <c r="E421" i="6"/>
  <c r="F417" i="6"/>
  <c r="E417" i="6"/>
  <c r="F413" i="6"/>
  <c r="E413" i="6"/>
  <c r="F409" i="6"/>
  <c r="E409" i="6"/>
  <c r="F405" i="6"/>
  <c r="E405" i="6"/>
  <c r="F401" i="6"/>
  <c r="E401" i="6"/>
  <c r="F397" i="6"/>
  <c r="E397" i="6"/>
  <c r="F393" i="6"/>
  <c r="E393" i="6"/>
  <c r="F389" i="6"/>
  <c r="E389" i="6"/>
  <c r="F385" i="6"/>
  <c r="E385" i="6"/>
  <c r="F381" i="6"/>
  <c r="E381" i="6"/>
  <c r="F377" i="6"/>
  <c r="E377" i="6"/>
  <c r="F373" i="6"/>
  <c r="E373" i="6"/>
  <c r="F369" i="6"/>
  <c r="E369" i="6"/>
  <c r="F365" i="6"/>
  <c r="E365" i="6"/>
  <c r="F361" i="6"/>
  <c r="E361" i="6"/>
  <c r="F357" i="6"/>
  <c r="E357" i="6"/>
  <c r="F353" i="6"/>
  <c r="E353" i="6"/>
  <c r="F349" i="6"/>
  <c r="E349" i="6"/>
  <c r="F345" i="6"/>
  <c r="E345" i="6"/>
  <c r="F341" i="6"/>
  <c r="E341" i="6"/>
  <c r="F337" i="6"/>
  <c r="E337" i="6"/>
  <c r="F333" i="6"/>
  <c r="E333" i="6"/>
  <c r="F329" i="6"/>
  <c r="E329" i="6"/>
  <c r="F325" i="6"/>
  <c r="E325" i="6"/>
  <c r="F321" i="6"/>
  <c r="E321" i="6"/>
  <c r="F317" i="6"/>
  <c r="E317" i="6"/>
  <c r="F313" i="6"/>
  <c r="E313" i="6"/>
  <c r="F309" i="6"/>
  <c r="E309" i="6"/>
  <c r="F1001" i="6"/>
  <c r="E1001" i="6"/>
  <c r="F989" i="6"/>
  <c r="E989" i="6"/>
  <c r="F973" i="6"/>
  <c r="E973" i="6"/>
  <c r="F901" i="6"/>
  <c r="E901" i="6"/>
  <c r="F997" i="6"/>
  <c r="E997" i="6"/>
  <c r="F985" i="6"/>
  <c r="E985" i="6"/>
  <c r="F965" i="6"/>
  <c r="E965" i="6"/>
  <c r="F897" i="6"/>
  <c r="E897" i="6"/>
  <c r="F297" i="6"/>
  <c r="E297" i="6"/>
  <c r="F289" i="6"/>
  <c r="E289" i="6"/>
  <c r="F277" i="6"/>
  <c r="E277" i="6"/>
  <c r="F265" i="6"/>
  <c r="E265" i="6"/>
  <c r="F253" i="6"/>
  <c r="E253" i="6"/>
  <c r="F245" i="6"/>
  <c r="E245" i="6"/>
  <c r="F233" i="6"/>
  <c r="E233" i="6"/>
  <c r="F221" i="6"/>
  <c r="E221" i="6"/>
  <c r="F209" i="6"/>
  <c r="E209" i="6"/>
  <c r="F197" i="6"/>
  <c r="E197" i="6"/>
  <c r="F185" i="6"/>
  <c r="E185" i="6"/>
  <c r="F173" i="6"/>
  <c r="E173" i="6"/>
  <c r="F161" i="6"/>
  <c r="E161" i="6"/>
  <c r="F149" i="6"/>
  <c r="E149" i="6"/>
  <c r="F141" i="6"/>
  <c r="E141" i="6"/>
  <c r="F129" i="6"/>
  <c r="E129" i="6"/>
  <c r="F117" i="6"/>
  <c r="E117" i="6"/>
  <c r="F105" i="6"/>
  <c r="E105" i="6"/>
  <c r="F93" i="6"/>
  <c r="E93" i="6"/>
  <c r="F81" i="6"/>
  <c r="E81" i="6"/>
  <c r="F69" i="6"/>
  <c r="E69" i="6"/>
  <c r="F57" i="6"/>
  <c r="E57" i="6"/>
  <c r="F49" i="6"/>
  <c r="E49" i="6"/>
  <c r="F37" i="6"/>
  <c r="E37" i="6"/>
  <c r="F29" i="6"/>
  <c r="E29" i="6"/>
  <c r="F21" i="6"/>
  <c r="E21" i="6"/>
  <c r="F9" i="6"/>
  <c r="E9" i="6"/>
  <c r="F820" i="6"/>
  <c r="E820" i="6"/>
  <c r="F816" i="6"/>
  <c r="E816" i="6"/>
  <c r="F812" i="6"/>
  <c r="E812" i="6"/>
  <c r="F808" i="6"/>
  <c r="E808" i="6"/>
  <c r="F804" i="6"/>
  <c r="E804" i="6"/>
  <c r="E800" i="6"/>
  <c r="F800" i="6"/>
  <c r="F792" i="6"/>
  <c r="E792" i="6"/>
  <c r="G788" i="6"/>
  <c r="F784" i="6"/>
  <c r="E784" i="6"/>
  <c r="F776" i="6"/>
  <c r="E776" i="6"/>
  <c r="F768" i="6"/>
  <c r="E768" i="6"/>
  <c r="F760" i="6"/>
  <c r="E760" i="6"/>
  <c r="G756" i="6"/>
  <c r="F752" i="6"/>
  <c r="E752" i="6"/>
  <c r="F744" i="6"/>
  <c r="E744" i="6"/>
  <c r="F736" i="6"/>
  <c r="E736" i="6"/>
  <c r="F728" i="6"/>
  <c r="E728" i="6"/>
  <c r="G724" i="6"/>
  <c r="F720" i="6"/>
  <c r="E720" i="6"/>
  <c r="F712" i="6"/>
  <c r="E712" i="6"/>
  <c r="F704" i="6"/>
  <c r="E704" i="6"/>
  <c r="F696" i="6"/>
  <c r="E696" i="6"/>
  <c r="G692" i="6"/>
  <c r="F688" i="6"/>
  <c r="E688" i="6"/>
  <c r="F680" i="6"/>
  <c r="E680" i="6"/>
  <c r="F672" i="6"/>
  <c r="E672" i="6"/>
  <c r="F664" i="6"/>
  <c r="E664" i="6"/>
  <c r="F656" i="6"/>
  <c r="E656" i="6"/>
  <c r="F648" i="6"/>
  <c r="E648" i="6"/>
  <c r="F640" i="6"/>
  <c r="E640" i="6"/>
  <c r="F632" i="6"/>
  <c r="E632" i="6"/>
  <c r="G628" i="6"/>
  <c r="F624" i="6"/>
  <c r="E624" i="6"/>
  <c r="F616" i="6"/>
  <c r="E616" i="6"/>
  <c r="G616" i="6" s="1"/>
  <c r="F608" i="6"/>
  <c r="E608" i="6"/>
  <c r="F600" i="6"/>
  <c r="E600" i="6"/>
  <c r="G600" i="6" s="1"/>
  <c r="F592" i="6"/>
  <c r="E592" i="6"/>
  <c r="F584" i="6"/>
  <c r="E584" i="6"/>
  <c r="F576" i="6"/>
  <c r="E576" i="6"/>
  <c r="F568" i="6"/>
  <c r="E568" i="6"/>
  <c r="G564" i="6"/>
  <c r="F560" i="6"/>
  <c r="E560" i="6"/>
  <c r="F552" i="6"/>
  <c r="E552" i="6"/>
  <c r="F544" i="6"/>
  <c r="E544" i="6"/>
  <c r="F536" i="6"/>
  <c r="E536" i="6"/>
  <c r="G532" i="6"/>
  <c r="F528" i="6"/>
  <c r="E528" i="6"/>
  <c r="F520" i="6"/>
  <c r="E520" i="6"/>
  <c r="F512" i="6"/>
  <c r="E512" i="6"/>
  <c r="F504" i="6"/>
  <c r="E504" i="6"/>
  <c r="G500" i="6"/>
  <c r="F496" i="6"/>
  <c r="E496" i="6"/>
  <c r="F488" i="6"/>
  <c r="E488" i="6"/>
  <c r="F480" i="6"/>
  <c r="E480" i="6"/>
  <c r="F472" i="6"/>
  <c r="E472" i="6"/>
  <c r="G468" i="6"/>
  <c r="F464" i="6"/>
  <c r="E464" i="6"/>
  <c r="F456" i="6"/>
  <c r="E456" i="6"/>
  <c r="F448" i="6"/>
  <c r="E448" i="6"/>
  <c r="F440" i="6"/>
  <c r="E440" i="6"/>
  <c r="G436" i="6"/>
  <c r="F432" i="6"/>
  <c r="E432" i="6"/>
  <c r="F424" i="6"/>
  <c r="E424" i="6"/>
  <c r="F416" i="6"/>
  <c r="E416" i="6"/>
  <c r="F408" i="6"/>
  <c r="E408" i="6"/>
  <c r="G404" i="6"/>
  <c r="F400" i="6"/>
  <c r="E400" i="6"/>
  <c r="F392" i="6"/>
  <c r="E392" i="6"/>
  <c r="F384" i="6"/>
  <c r="E384" i="6"/>
  <c r="F376" i="6"/>
  <c r="E376" i="6"/>
  <c r="G372" i="6"/>
  <c r="F368" i="6"/>
  <c r="E368" i="6"/>
  <c r="F360" i="6"/>
  <c r="E360" i="6"/>
  <c r="G360" i="6" s="1"/>
  <c r="F352" i="6"/>
  <c r="E352" i="6"/>
  <c r="F344" i="6"/>
  <c r="E344" i="6"/>
  <c r="G344" i="6" s="1"/>
  <c r="G340" i="6"/>
  <c r="F336" i="6"/>
  <c r="E336" i="6"/>
  <c r="F328" i="6"/>
  <c r="E328" i="6"/>
  <c r="F320" i="6"/>
  <c r="E320" i="6"/>
  <c r="F312" i="6"/>
  <c r="E312" i="6"/>
  <c r="F308" i="6"/>
  <c r="E308" i="6"/>
  <c r="F304" i="6"/>
  <c r="E304" i="6"/>
  <c r="F296" i="6"/>
  <c r="E296" i="6"/>
  <c r="F292" i="6"/>
  <c r="E292" i="6"/>
  <c r="F288" i="6"/>
  <c r="E288" i="6"/>
  <c r="F280" i="6"/>
  <c r="E280" i="6"/>
  <c r="F276" i="6"/>
  <c r="E276" i="6"/>
  <c r="F272" i="6"/>
  <c r="E272" i="6"/>
  <c r="F264" i="6"/>
  <c r="E264" i="6"/>
  <c r="F260" i="6"/>
  <c r="E260" i="6"/>
  <c r="F256" i="6"/>
  <c r="E256" i="6"/>
  <c r="F248" i="6"/>
  <c r="E248" i="6"/>
  <c r="F244" i="6"/>
  <c r="E244" i="6"/>
  <c r="F240" i="6"/>
  <c r="E240" i="6"/>
  <c r="G236" i="6"/>
  <c r="F232" i="6"/>
  <c r="E232" i="6"/>
  <c r="F228" i="6"/>
  <c r="E228" i="6"/>
  <c r="F224" i="6"/>
  <c r="E224" i="6"/>
  <c r="F216" i="6"/>
  <c r="E216" i="6"/>
  <c r="F212" i="6"/>
  <c r="E212" i="6"/>
  <c r="F208" i="6"/>
  <c r="E208" i="6"/>
  <c r="F200" i="6"/>
  <c r="E200" i="6"/>
  <c r="F196" i="6"/>
  <c r="E196" i="6"/>
  <c r="F192" i="6"/>
  <c r="E192" i="6"/>
  <c r="F188" i="6"/>
  <c r="E188" i="6"/>
  <c r="F184" i="6"/>
  <c r="E184" i="6"/>
  <c r="E176" i="6"/>
  <c r="F176" i="6"/>
  <c r="F172" i="6"/>
  <c r="E172" i="6"/>
  <c r="F168" i="6"/>
  <c r="E168" i="6"/>
  <c r="F164" i="6"/>
  <c r="E164" i="6"/>
  <c r="F160" i="6"/>
  <c r="E160" i="6"/>
  <c r="F156" i="6"/>
  <c r="E156" i="6"/>
  <c r="F152" i="6"/>
  <c r="E152" i="6"/>
  <c r="G148" i="6"/>
  <c r="E144" i="6"/>
  <c r="F144" i="6"/>
  <c r="F140" i="6"/>
  <c r="E140" i="6"/>
  <c r="F136" i="6"/>
  <c r="E136" i="6"/>
  <c r="F132" i="6"/>
  <c r="E132" i="6"/>
  <c r="F128" i="6"/>
  <c r="E128" i="6"/>
  <c r="F124" i="6"/>
  <c r="E124" i="6"/>
  <c r="F120" i="6"/>
  <c r="E120" i="6"/>
  <c r="E112" i="6"/>
  <c r="F112" i="6"/>
  <c r="F108" i="6"/>
  <c r="E108" i="6"/>
  <c r="F104" i="6"/>
  <c r="E104" i="6"/>
  <c r="F100" i="6"/>
  <c r="E100" i="6"/>
  <c r="F96" i="6"/>
  <c r="E96" i="6"/>
  <c r="F92" i="6"/>
  <c r="E92" i="6"/>
  <c r="F88" i="6"/>
  <c r="E88" i="6"/>
  <c r="E80" i="6"/>
  <c r="F80" i="6"/>
  <c r="F76" i="6"/>
  <c r="E76" i="6"/>
  <c r="F72" i="6"/>
  <c r="E72" i="6"/>
  <c r="F68" i="6"/>
  <c r="E68" i="6"/>
  <c r="F64" i="6"/>
  <c r="E64" i="6"/>
  <c r="F60" i="6"/>
  <c r="E60" i="6"/>
  <c r="F56" i="6"/>
  <c r="E56" i="6"/>
  <c r="E48" i="6"/>
  <c r="F48" i="6"/>
  <c r="F44" i="6"/>
  <c r="E44" i="6"/>
  <c r="F40" i="6"/>
  <c r="E40" i="6"/>
  <c r="F36" i="6"/>
  <c r="E36" i="6"/>
  <c r="F32" i="6"/>
  <c r="E32" i="6"/>
  <c r="F28" i="6"/>
  <c r="E28" i="6"/>
  <c r="F24" i="6"/>
  <c r="E24" i="6"/>
  <c r="G20" i="6"/>
  <c r="E16" i="6"/>
  <c r="F16" i="6"/>
  <c r="F12" i="6"/>
  <c r="E12" i="6"/>
  <c r="F8" i="6"/>
  <c r="E8" i="6"/>
  <c r="F4" i="6"/>
  <c r="E4" i="6"/>
  <c r="E1000" i="6"/>
  <c r="G1000" i="6" s="1"/>
  <c r="E996" i="6"/>
  <c r="G996" i="6" s="1"/>
  <c r="E992" i="6"/>
  <c r="G992" i="6" s="1"/>
  <c r="E988" i="6"/>
  <c r="G988" i="6" s="1"/>
  <c r="E984" i="6"/>
  <c r="G984" i="6" s="1"/>
  <c r="E980" i="6"/>
  <c r="G980" i="6" s="1"/>
  <c r="E976" i="6"/>
  <c r="G976" i="6" s="1"/>
  <c r="E972" i="6"/>
  <c r="G972" i="6" s="1"/>
  <c r="E968" i="6"/>
  <c r="G968" i="6" s="1"/>
  <c r="E964" i="6"/>
  <c r="G964" i="6" s="1"/>
  <c r="E960" i="6"/>
  <c r="G960" i="6" s="1"/>
  <c r="E956" i="6"/>
  <c r="G956" i="6" s="1"/>
  <c r="E952" i="6"/>
  <c r="G952" i="6" s="1"/>
  <c r="E948" i="6"/>
  <c r="G948" i="6" s="1"/>
  <c r="E944" i="6"/>
  <c r="G944" i="6" s="1"/>
  <c r="E940" i="6"/>
  <c r="G940" i="6" s="1"/>
  <c r="E936" i="6"/>
  <c r="G936" i="6" s="1"/>
  <c r="E932" i="6"/>
  <c r="G932" i="6" s="1"/>
  <c r="E928" i="6"/>
  <c r="G928" i="6" s="1"/>
  <c r="E924" i="6"/>
  <c r="G924" i="6" s="1"/>
  <c r="E920" i="6"/>
  <c r="G920" i="6" s="1"/>
  <c r="E916" i="6"/>
  <c r="G916" i="6" s="1"/>
  <c r="E912" i="6"/>
  <c r="G912" i="6" s="1"/>
  <c r="E908" i="6"/>
  <c r="G908" i="6" s="1"/>
  <c r="E904" i="6"/>
  <c r="G904" i="6" s="1"/>
  <c r="E900" i="6"/>
  <c r="G900" i="6" s="1"/>
  <c r="E896" i="6"/>
  <c r="G896" i="6" s="1"/>
  <c r="E892" i="6"/>
  <c r="G892" i="6" s="1"/>
  <c r="E888" i="6"/>
  <c r="G888" i="6" s="1"/>
  <c r="E884" i="6"/>
  <c r="G884" i="6" s="1"/>
  <c r="E880" i="6"/>
  <c r="G880" i="6" s="1"/>
  <c r="E876" i="6"/>
  <c r="G876" i="6" s="1"/>
  <c r="E872" i="6"/>
  <c r="G872" i="6" s="1"/>
  <c r="E868" i="6"/>
  <c r="G868" i="6" s="1"/>
  <c r="E864" i="6"/>
  <c r="G864" i="6" s="1"/>
  <c r="E860" i="6"/>
  <c r="G860" i="6" s="1"/>
  <c r="E856" i="6"/>
  <c r="G856" i="6" s="1"/>
  <c r="E852" i="6"/>
  <c r="G852" i="6" s="1"/>
  <c r="E848" i="6"/>
  <c r="G848" i="6" s="1"/>
  <c r="E844" i="6"/>
  <c r="G844" i="6" s="1"/>
  <c r="E840" i="6"/>
  <c r="G840" i="6" s="1"/>
  <c r="E836" i="6"/>
  <c r="G836" i="6" s="1"/>
  <c r="E832" i="6"/>
  <c r="G832" i="6" s="1"/>
  <c r="E828" i="6"/>
  <c r="G828" i="6" s="1"/>
  <c r="E824" i="6"/>
  <c r="G824" i="6" s="1"/>
  <c r="E819" i="6"/>
  <c r="G819" i="6" s="1"/>
  <c r="E814" i="6"/>
  <c r="G814" i="6" s="1"/>
  <c r="E803" i="6"/>
  <c r="G803" i="6" s="1"/>
  <c r="E795" i="6"/>
  <c r="G795" i="6" s="1"/>
  <c r="E787" i="6"/>
  <c r="G787" i="6" s="1"/>
  <c r="E779" i="6"/>
  <c r="G779" i="6" s="1"/>
  <c r="E771" i="6"/>
  <c r="G771" i="6" s="1"/>
  <c r="E763" i="6"/>
  <c r="G763" i="6" s="1"/>
  <c r="E755" i="6"/>
  <c r="G755" i="6" s="1"/>
  <c r="E747" i="6"/>
  <c r="G747" i="6" s="1"/>
  <c r="E739" i="6"/>
  <c r="G739" i="6" s="1"/>
  <c r="E731" i="6"/>
  <c r="G731" i="6" s="1"/>
  <c r="E723" i="6"/>
  <c r="G723" i="6" s="1"/>
  <c r="E715" i="6"/>
  <c r="G715" i="6" s="1"/>
  <c r="E707" i="6"/>
  <c r="G707" i="6" s="1"/>
  <c r="E699" i="6"/>
  <c r="G699" i="6" s="1"/>
  <c r="E691" i="6"/>
  <c r="G691" i="6" s="1"/>
  <c r="E683" i="6"/>
  <c r="G683" i="6" s="1"/>
  <c r="E675" i="6"/>
  <c r="G675" i="6" s="1"/>
  <c r="E667" i="6"/>
  <c r="G667" i="6" s="1"/>
  <c r="E659" i="6"/>
  <c r="G659" i="6" s="1"/>
  <c r="E651" i="6"/>
  <c r="G651" i="6" s="1"/>
  <c r="E643" i="6"/>
  <c r="G643" i="6" s="1"/>
  <c r="E635" i="6"/>
  <c r="G635" i="6" s="1"/>
  <c r="E627" i="6"/>
  <c r="G627" i="6" s="1"/>
  <c r="E619" i="6"/>
  <c r="G619" i="6" s="1"/>
  <c r="E611" i="6"/>
  <c r="G611" i="6" s="1"/>
  <c r="E603" i="6"/>
  <c r="G603" i="6" s="1"/>
  <c r="E595" i="6"/>
  <c r="G595" i="6" s="1"/>
  <c r="E587" i="6"/>
  <c r="G587" i="6" s="1"/>
  <c r="E579" i="6"/>
  <c r="G579" i="6" s="1"/>
  <c r="E571" i="6"/>
  <c r="G571" i="6" s="1"/>
  <c r="E563" i="6"/>
  <c r="G563" i="6" s="1"/>
  <c r="E555" i="6"/>
  <c r="G555" i="6" s="1"/>
  <c r="E547" i="6"/>
  <c r="G547" i="6" s="1"/>
  <c r="E539" i="6"/>
  <c r="G539" i="6" s="1"/>
  <c r="E531" i="6"/>
  <c r="G531" i="6" s="1"/>
  <c r="E523" i="6"/>
  <c r="G523" i="6" s="1"/>
  <c r="E515" i="6"/>
  <c r="G515" i="6" s="1"/>
  <c r="E507" i="6"/>
  <c r="G507" i="6" s="1"/>
  <c r="E499" i="6"/>
  <c r="G499" i="6" s="1"/>
  <c r="E491" i="6"/>
  <c r="G491" i="6" s="1"/>
  <c r="E483" i="6"/>
  <c r="G483" i="6" s="1"/>
  <c r="E475" i="6"/>
  <c r="G475" i="6" s="1"/>
  <c r="E467" i="6"/>
  <c r="G467" i="6" s="1"/>
  <c r="E459" i="6"/>
  <c r="G459" i="6" s="1"/>
  <c r="E451" i="6"/>
  <c r="G451" i="6" s="1"/>
  <c r="E443" i="6"/>
  <c r="G443" i="6" s="1"/>
  <c r="E435" i="6"/>
  <c r="G435" i="6" s="1"/>
  <c r="E427" i="6"/>
  <c r="G427" i="6" s="1"/>
  <c r="E419" i="6"/>
  <c r="G419" i="6" s="1"/>
  <c r="E411" i="6"/>
  <c r="G411" i="6" s="1"/>
  <c r="E403" i="6"/>
  <c r="G403" i="6" s="1"/>
  <c r="E395" i="6"/>
  <c r="G395" i="6" s="1"/>
  <c r="E387" i="6"/>
  <c r="G387" i="6" s="1"/>
  <c r="E379" i="6"/>
  <c r="G379" i="6" s="1"/>
  <c r="E371" i="6"/>
  <c r="G371" i="6" s="1"/>
  <c r="E363" i="6"/>
  <c r="G363" i="6" s="1"/>
  <c r="E355" i="6"/>
  <c r="G355" i="6" s="1"/>
  <c r="E347" i="6"/>
  <c r="G347" i="6" s="1"/>
  <c r="E339" i="6"/>
  <c r="G339" i="6" s="1"/>
  <c r="E331" i="6"/>
  <c r="G331" i="6" s="1"/>
  <c r="E323" i="6"/>
  <c r="G323" i="6" s="1"/>
  <c r="E315" i="6"/>
  <c r="G315" i="6" s="1"/>
  <c r="E307" i="6"/>
  <c r="G307" i="6" s="1"/>
  <c r="E299" i="6"/>
  <c r="G299" i="6" s="1"/>
  <c r="E291" i="6"/>
  <c r="G291" i="6" s="1"/>
  <c r="E283" i="6"/>
  <c r="G283" i="6" s="1"/>
  <c r="E275" i="6"/>
  <c r="G275" i="6" s="1"/>
  <c r="E267" i="6"/>
  <c r="G267" i="6" s="1"/>
  <c r="E259" i="6"/>
  <c r="G259" i="6" s="1"/>
  <c r="E251" i="6"/>
  <c r="G251" i="6" s="1"/>
  <c r="E243" i="6"/>
  <c r="G243" i="6" s="1"/>
  <c r="E235" i="6"/>
  <c r="G235" i="6" s="1"/>
  <c r="E227" i="6"/>
  <c r="G227" i="6" s="1"/>
  <c r="E219" i="6"/>
  <c r="G219" i="6" s="1"/>
  <c r="E211" i="6"/>
  <c r="G211" i="6" s="1"/>
  <c r="E203" i="6"/>
  <c r="G203" i="6" s="1"/>
  <c r="E195" i="6"/>
  <c r="G195" i="6" s="1"/>
  <c r="E187" i="6"/>
  <c r="G187" i="6" s="1"/>
  <c r="E179" i="6"/>
  <c r="G179" i="6" s="1"/>
  <c r="E171" i="6"/>
  <c r="G171" i="6" s="1"/>
  <c r="E163" i="6"/>
  <c r="G163" i="6" s="1"/>
  <c r="E155" i="6"/>
  <c r="G155" i="6" s="1"/>
  <c r="E147" i="6"/>
  <c r="G147" i="6" s="1"/>
  <c r="E139" i="6"/>
  <c r="G139" i="6" s="1"/>
  <c r="E131" i="6"/>
  <c r="G131" i="6" s="1"/>
  <c r="E123" i="6"/>
  <c r="G123" i="6" s="1"/>
  <c r="E115" i="6"/>
  <c r="G115" i="6" s="1"/>
  <c r="E107" i="6"/>
  <c r="G107" i="6" s="1"/>
  <c r="E99" i="6"/>
  <c r="G99" i="6" s="1"/>
  <c r="E91" i="6"/>
  <c r="G91" i="6" s="1"/>
  <c r="E83" i="6"/>
  <c r="G83" i="6" s="1"/>
  <c r="E75" i="6"/>
  <c r="G75" i="6" s="1"/>
  <c r="E67" i="6"/>
  <c r="G67" i="6" s="1"/>
  <c r="E59" i="6"/>
  <c r="G59" i="6" s="1"/>
  <c r="E51" i="6"/>
  <c r="G51" i="6" s="1"/>
  <c r="E43" i="6"/>
  <c r="G43" i="6" s="1"/>
  <c r="E35" i="6"/>
  <c r="G35" i="6" s="1"/>
  <c r="E27" i="6"/>
  <c r="G27" i="6" s="1"/>
  <c r="E19" i="6"/>
  <c r="G19" i="6" s="1"/>
  <c r="E11" i="6"/>
  <c r="G11" i="6" s="1"/>
  <c r="E3" i="6"/>
  <c r="G3" i="6" s="1"/>
  <c r="F995" i="6"/>
  <c r="G995" i="6" s="1"/>
  <c r="F987" i="6"/>
  <c r="G987" i="6" s="1"/>
  <c r="F979" i="6"/>
  <c r="G979" i="6" s="1"/>
  <c r="F971" i="6"/>
  <c r="G971" i="6" s="1"/>
  <c r="F963" i="6"/>
  <c r="G963" i="6" s="1"/>
  <c r="F955" i="6"/>
  <c r="G955" i="6" s="1"/>
  <c r="F947" i="6"/>
  <c r="G947" i="6" s="1"/>
  <c r="F934" i="6"/>
  <c r="G934" i="6" s="1"/>
  <c r="F918" i="6"/>
  <c r="G918" i="6" s="1"/>
  <c r="F902" i="6"/>
  <c r="G902" i="6" s="1"/>
  <c r="F886" i="6"/>
  <c r="G886" i="6" s="1"/>
  <c r="F870" i="6"/>
  <c r="G870" i="6" s="1"/>
  <c r="F854" i="6"/>
  <c r="G854" i="6" s="1"/>
  <c r="F838" i="6"/>
  <c r="G838" i="6" s="1"/>
  <c r="F822" i="6"/>
  <c r="G822" i="6" s="1"/>
  <c r="F806" i="6"/>
  <c r="G806" i="6" s="1"/>
  <c r="F780" i="6"/>
  <c r="G780" i="6" s="1"/>
  <c r="F748" i="6"/>
  <c r="G748" i="6" s="1"/>
  <c r="F716" i="6"/>
  <c r="G716" i="6" s="1"/>
  <c r="F684" i="6"/>
  <c r="G684" i="6" s="1"/>
  <c r="F652" i="6"/>
  <c r="G652" i="6" s="1"/>
  <c r="F620" i="6"/>
  <c r="G620" i="6" s="1"/>
  <c r="F588" i="6"/>
  <c r="G588" i="6" s="1"/>
  <c r="F556" i="6"/>
  <c r="G556" i="6" s="1"/>
  <c r="F524" i="6"/>
  <c r="G524" i="6" s="1"/>
  <c r="F492" i="6"/>
  <c r="G492" i="6" s="1"/>
  <c r="F460" i="6"/>
  <c r="G460" i="6" s="1"/>
  <c r="F428" i="6"/>
  <c r="G428" i="6" s="1"/>
  <c r="F396" i="6"/>
  <c r="G396" i="6" s="1"/>
  <c r="F364" i="6"/>
  <c r="G364" i="6" s="1"/>
  <c r="F332" i="6"/>
  <c r="G332" i="6" s="1"/>
  <c r="F284" i="6"/>
  <c r="G284" i="6" s="1"/>
  <c r="F220" i="6"/>
  <c r="G220" i="6" s="1"/>
  <c r="F116" i="6"/>
  <c r="G116" i="6" s="1"/>
  <c r="F305" i="6"/>
  <c r="E305" i="6"/>
  <c r="F293" i="6"/>
  <c r="E293" i="6"/>
  <c r="F281" i="6"/>
  <c r="E281" i="6"/>
  <c r="F269" i="6"/>
  <c r="E269" i="6"/>
  <c r="F257" i="6"/>
  <c r="E257" i="6"/>
  <c r="F241" i="6"/>
  <c r="E241" i="6"/>
  <c r="F229" i="6"/>
  <c r="E229" i="6"/>
  <c r="F217" i="6"/>
  <c r="E217" i="6"/>
  <c r="F205" i="6"/>
  <c r="E205" i="6"/>
  <c r="F193" i="6"/>
  <c r="E193" i="6"/>
  <c r="F181" i="6"/>
  <c r="E181" i="6"/>
  <c r="F169" i="6"/>
  <c r="E169" i="6"/>
  <c r="F157" i="6"/>
  <c r="E157" i="6"/>
  <c r="F145" i="6"/>
  <c r="E145" i="6"/>
  <c r="F133" i="6"/>
  <c r="E133" i="6"/>
  <c r="F121" i="6"/>
  <c r="E121" i="6"/>
  <c r="F109" i="6"/>
  <c r="E109" i="6"/>
  <c r="F97" i="6"/>
  <c r="E97" i="6"/>
  <c r="F85" i="6"/>
  <c r="E85" i="6"/>
  <c r="F73" i="6"/>
  <c r="E73" i="6"/>
  <c r="F61" i="6"/>
  <c r="E61" i="6"/>
  <c r="F41" i="6"/>
  <c r="E41" i="6"/>
  <c r="F13" i="6"/>
  <c r="E13" i="6"/>
  <c r="E999" i="6"/>
  <c r="G999" i="6" s="1"/>
  <c r="E991" i="6"/>
  <c r="G991" i="6" s="1"/>
  <c r="E983" i="6"/>
  <c r="G983" i="6" s="1"/>
  <c r="E975" i="6"/>
  <c r="G975" i="6" s="1"/>
  <c r="E967" i="6"/>
  <c r="G967" i="6" s="1"/>
  <c r="E959" i="6"/>
  <c r="G959" i="6" s="1"/>
  <c r="E951" i="6"/>
  <c r="G951" i="6" s="1"/>
  <c r="E943" i="6"/>
  <c r="G943" i="6" s="1"/>
  <c r="E939" i="6"/>
  <c r="G939" i="6" s="1"/>
  <c r="E935" i="6"/>
  <c r="G935" i="6" s="1"/>
  <c r="E931" i="6"/>
  <c r="G931" i="6" s="1"/>
  <c r="E927" i="6"/>
  <c r="G927" i="6" s="1"/>
  <c r="E923" i="6"/>
  <c r="G923" i="6" s="1"/>
  <c r="E919" i="6"/>
  <c r="G919" i="6" s="1"/>
  <c r="E915" i="6"/>
  <c r="G915" i="6" s="1"/>
  <c r="E911" i="6"/>
  <c r="G911" i="6" s="1"/>
  <c r="E907" i="6"/>
  <c r="G907" i="6" s="1"/>
  <c r="E903" i="6"/>
  <c r="G903" i="6" s="1"/>
  <c r="E899" i="6"/>
  <c r="G899" i="6" s="1"/>
  <c r="E895" i="6"/>
  <c r="G895" i="6" s="1"/>
  <c r="E891" i="6"/>
  <c r="G891" i="6" s="1"/>
  <c r="E887" i="6"/>
  <c r="G887" i="6" s="1"/>
  <c r="E883" i="6"/>
  <c r="G883" i="6" s="1"/>
  <c r="E879" i="6"/>
  <c r="G879" i="6" s="1"/>
  <c r="E875" i="6"/>
  <c r="G875" i="6" s="1"/>
  <c r="E871" i="6"/>
  <c r="G871" i="6" s="1"/>
  <c r="E867" i="6"/>
  <c r="G867" i="6" s="1"/>
  <c r="E863" i="6"/>
  <c r="G863" i="6" s="1"/>
  <c r="E859" i="6"/>
  <c r="G859" i="6" s="1"/>
  <c r="E855" i="6"/>
  <c r="G855" i="6" s="1"/>
  <c r="E851" i="6"/>
  <c r="G851" i="6" s="1"/>
  <c r="E847" i="6"/>
  <c r="G847" i="6" s="1"/>
  <c r="E843" i="6"/>
  <c r="G843" i="6" s="1"/>
  <c r="E839" i="6"/>
  <c r="G839" i="6" s="1"/>
  <c r="E835" i="6"/>
  <c r="G835" i="6" s="1"/>
  <c r="E831" i="6"/>
  <c r="G831" i="6" s="1"/>
  <c r="E827" i="6"/>
  <c r="G827" i="6" s="1"/>
  <c r="E823" i="6"/>
  <c r="G823" i="6" s="1"/>
  <c r="E818" i="6"/>
  <c r="G818" i="6" s="1"/>
  <c r="E807" i="6"/>
  <c r="G807" i="6" s="1"/>
  <c r="E802" i="6"/>
  <c r="G802" i="6" s="1"/>
  <c r="E794" i="6"/>
  <c r="G794" i="6" s="1"/>
  <c r="E786" i="6"/>
  <c r="G786" i="6" s="1"/>
  <c r="E778" i="6"/>
  <c r="G778" i="6" s="1"/>
  <c r="E770" i="6"/>
  <c r="G770" i="6" s="1"/>
  <c r="E762" i="6"/>
  <c r="G762" i="6" s="1"/>
  <c r="E754" i="6"/>
  <c r="G754" i="6" s="1"/>
  <c r="E746" i="6"/>
  <c r="G746" i="6" s="1"/>
  <c r="E738" i="6"/>
  <c r="G738" i="6" s="1"/>
  <c r="E730" i="6"/>
  <c r="G730" i="6" s="1"/>
  <c r="E722" i="6"/>
  <c r="G722" i="6" s="1"/>
  <c r="E714" i="6"/>
  <c r="G714" i="6" s="1"/>
  <c r="E706" i="6"/>
  <c r="G706" i="6" s="1"/>
  <c r="E698" i="6"/>
  <c r="G698" i="6" s="1"/>
  <c r="E690" i="6"/>
  <c r="G690" i="6" s="1"/>
  <c r="E682" i="6"/>
  <c r="G682" i="6" s="1"/>
  <c r="E674" i="6"/>
  <c r="G674" i="6" s="1"/>
  <c r="E666" i="6"/>
  <c r="G666" i="6" s="1"/>
  <c r="E658" i="6"/>
  <c r="G658" i="6" s="1"/>
  <c r="E650" i="6"/>
  <c r="G650" i="6" s="1"/>
  <c r="E642" i="6"/>
  <c r="G642" i="6" s="1"/>
  <c r="E634" i="6"/>
  <c r="G634" i="6" s="1"/>
  <c r="E626" i="6"/>
  <c r="G626" i="6" s="1"/>
  <c r="E618" i="6"/>
  <c r="G618" i="6" s="1"/>
  <c r="E610" i="6"/>
  <c r="G610" i="6" s="1"/>
  <c r="E602" i="6"/>
  <c r="G602" i="6" s="1"/>
  <c r="E594" i="6"/>
  <c r="G594" i="6" s="1"/>
  <c r="E586" i="6"/>
  <c r="G586" i="6" s="1"/>
  <c r="E578" i="6"/>
  <c r="G578" i="6" s="1"/>
  <c r="E570" i="6"/>
  <c r="G570" i="6" s="1"/>
  <c r="E562" i="6"/>
  <c r="G562" i="6" s="1"/>
  <c r="E554" i="6"/>
  <c r="G554" i="6" s="1"/>
  <c r="E546" i="6"/>
  <c r="G546" i="6" s="1"/>
  <c r="E538" i="6"/>
  <c r="G538" i="6" s="1"/>
  <c r="E530" i="6"/>
  <c r="G530" i="6" s="1"/>
  <c r="E522" i="6"/>
  <c r="G522" i="6" s="1"/>
  <c r="E514" i="6"/>
  <c r="G514" i="6" s="1"/>
  <c r="E506" i="6"/>
  <c r="G506" i="6" s="1"/>
  <c r="E498" i="6"/>
  <c r="G498" i="6" s="1"/>
  <c r="E490" i="6"/>
  <c r="G490" i="6" s="1"/>
  <c r="E482" i="6"/>
  <c r="G482" i="6" s="1"/>
  <c r="E474" i="6"/>
  <c r="G474" i="6" s="1"/>
  <c r="E466" i="6"/>
  <c r="G466" i="6" s="1"/>
  <c r="E458" i="6"/>
  <c r="G458" i="6" s="1"/>
  <c r="E450" i="6"/>
  <c r="G450" i="6" s="1"/>
  <c r="E442" i="6"/>
  <c r="G442" i="6" s="1"/>
  <c r="E434" i="6"/>
  <c r="G434" i="6" s="1"/>
  <c r="E426" i="6"/>
  <c r="G426" i="6" s="1"/>
  <c r="E418" i="6"/>
  <c r="G418" i="6" s="1"/>
  <c r="E410" i="6"/>
  <c r="G410" i="6" s="1"/>
  <c r="E402" i="6"/>
  <c r="G402" i="6" s="1"/>
  <c r="E394" i="6"/>
  <c r="G394" i="6" s="1"/>
  <c r="E386" i="6"/>
  <c r="G386" i="6" s="1"/>
  <c r="E378" i="6"/>
  <c r="G378" i="6" s="1"/>
  <c r="E370" i="6"/>
  <c r="G370" i="6" s="1"/>
  <c r="E362" i="6"/>
  <c r="G362" i="6" s="1"/>
  <c r="E354" i="6"/>
  <c r="G354" i="6" s="1"/>
  <c r="E346" i="6"/>
  <c r="G346" i="6" s="1"/>
  <c r="E338" i="6"/>
  <c r="G338" i="6" s="1"/>
  <c r="E330" i="6"/>
  <c r="G330" i="6" s="1"/>
  <c r="E322" i="6"/>
  <c r="G322" i="6" s="1"/>
  <c r="E314" i="6"/>
  <c r="G314" i="6" s="1"/>
  <c r="E306" i="6"/>
  <c r="G306" i="6" s="1"/>
  <c r="E298" i="6"/>
  <c r="G298" i="6" s="1"/>
  <c r="E290" i="6"/>
  <c r="G290" i="6" s="1"/>
  <c r="E282" i="6"/>
  <c r="G282" i="6" s="1"/>
  <c r="E274" i="6"/>
  <c r="G274" i="6" s="1"/>
  <c r="E266" i="6"/>
  <c r="G266" i="6" s="1"/>
  <c r="E258" i="6"/>
  <c r="G258" i="6" s="1"/>
  <c r="E250" i="6"/>
  <c r="G250" i="6" s="1"/>
  <c r="E242" i="6"/>
  <c r="G242" i="6" s="1"/>
  <c r="E234" i="6"/>
  <c r="G234" i="6" s="1"/>
  <c r="E226" i="6"/>
  <c r="G226" i="6" s="1"/>
  <c r="E218" i="6"/>
  <c r="G218" i="6" s="1"/>
  <c r="E210" i="6"/>
  <c r="G210" i="6" s="1"/>
  <c r="E202" i="6"/>
  <c r="G202" i="6" s="1"/>
  <c r="E194" i="6"/>
  <c r="G194" i="6" s="1"/>
  <c r="E186" i="6"/>
  <c r="G186" i="6" s="1"/>
  <c r="E178" i="6"/>
  <c r="G178" i="6" s="1"/>
  <c r="E170" i="6"/>
  <c r="G170" i="6" s="1"/>
  <c r="E162" i="6"/>
  <c r="G162" i="6" s="1"/>
  <c r="E154" i="6"/>
  <c r="G154" i="6" s="1"/>
  <c r="E146" i="6"/>
  <c r="G146" i="6" s="1"/>
  <c r="E138" i="6"/>
  <c r="G138" i="6" s="1"/>
  <c r="E130" i="6"/>
  <c r="G130" i="6" s="1"/>
  <c r="E122" i="6"/>
  <c r="G122" i="6" s="1"/>
  <c r="E114" i="6"/>
  <c r="G114" i="6" s="1"/>
  <c r="E106" i="6"/>
  <c r="G106" i="6" s="1"/>
  <c r="E98" i="6"/>
  <c r="G98" i="6" s="1"/>
  <c r="E90" i="6"/>
  <c r="G90" i="6" s="1"/>
  <c r="E82" i="6"/>
  <c r="G82" i="6" s="1"/>
  <c r="E74" i="6"/>
  <c r="G74" i="6" s="1"/>
  <c r="E66" i="6"/>
  <c r="G66" i="6" s="1"/>
  <c r="E58" i="6"/>
  <c r="G58" i="6" s="1"/>
  <c r="E50" i="6"/>
  <c r="G50" i="6" s="1"/>
  <c r="E42" i="6"/>
  <c r="G42" i="6" s="1"/>
  <c r="E34" i="6"/>
  <c r="G34" i="6" s="1"/>
  <c r="E26" i="6"/>
  <c r="G26" i="6" s="1"/>
  <c r="E18" i="6"/>
  <c r="G18" i="6" s="1"/>
  <c r="E10" i="6"/>
  <c r="G10" i="6" s="1"/>
  <c r="F2" i="6"/>
  <c r="G2" i="6" s="1"/>
  <c r="F994" i="6"/>
  <c r="G994" i="6" s="1"/>
  <c r="F986" i="6"/>
  <c r="G986" i="6" s="1"/>
  <c r="F978" i="6"/>
  <c r="G978" i="6" s="1"/>
  <c r="F970" i="6"/>
  <c r="G970" i="6" s="1"/>
  <c r="F962" i="6"/>
  <c r="G962" i="6" s="1"/>
  <c r="F954" i="6"/>
  <c r="G954" i="6" s="1"/>
  <c r="F946" i="6"/>
  <c r="G946" i="6" s="1"/>
  <c r="F930" i="6"/>
  <c r="G930" i="6" s="1"/>
  <c r="F914" i="6"/>
  <c r="G914" i="6" s="1"/>
  <c r="F898" i="6"/>
  <c r="G898" i="6" s="1"/>
  <c r="F882" i="6"/>
  <c r="G882" i="6" s="1"/>
  <c r="F866" i="6"/>
  <c r="G866" i="6" s="1"/>
  <c r="F850" i="6"/>
  <c r="G850" i="6" s="1"/>
  <c r="F834" i="6"/>
  <c r="G834" i="6" s="1"/>
  <c r="F772" i="6"/>
  <c r="G772" i="6" s="1"/>
  <c r="F740" i="6"/>
  <c r="G740" i="6" s="1"/>
  <c r="F708" i="6"/>
  <c r="G708" i="6" s="1"/>
  <c r="F676" i="6"/>
  <c r="G676" i="6" s="1"/>
  <c r="F644" i="6"/>
  <c r="G644" i="6" s="1"/>
  <c r="F612" i="6"/>
  <c r="G612" i="6" s="1"/>
  <c r="F580" i="6"/>
  <c r="G580" i="6" s="1"/>
  <c r="F548" i="6"/>
  <c r="G548" i="6" s="1"/>
  <c r="F516" i="6"/>
  <c r="G516" i="6" s="1"/>
  <c r="F484" i="6"/>
  <c r="G484" i="6" s="1"/>
  <c r="F452" i="6"/>
  <c r="G452" i="6" s="1"/>
  <c r="F420" i="6"/>
  <c r="G420" i="6" s="1"/>
  <c r="F388" i="6"/>
  <c r="G388" i="6" s="1"/>
  <c r="F356" i="6"/>
  <c r="G356" i="6" s="1"/>
  <c r="F324" i="6"/>
  <c r="G324" i="6" s="1"/>
  <c r="F268" i="6"/>
  <c r="G268" i="6" s="1"/>
  <c r="F204" i="6"/>
  <c r="G204" i="6" s="1"/>
  <c r="F84" i="6"/>
  <c r="G84" i="6" s="1"/>
  <c r="F301" i="6"/>
  <c r="E301" i="6"/>
  <c r="F285" i="6"/>
  <c r="E285" i="6"/>
  <c r="F273" i="6"/>
  <c r="E273" i="6"/>
  <c r="F261" i="6"/>
  <c r="E261" i="6"/>
  <c r="F249" i="6"/>
  <c r="E249" i="6"/>
  <c r="F237" i="6"/>
  <c r="E237" i="6"/>
  <c r="F225" i="6"/>
  <c r="E225" i="6"/>
  <c r="F213" i="6"/>
  <c r="E213" i="6"/>
  <c r="F201" i="6"/>
  <c r="E201" i="6"/>
  <c r="F189" i="6"/>
  <c r="E189" i="6"/>
  <c r="F177" i="6"/>
  <c r="E177" i="6"/>
  <c r="F165" i="6"/>
  <c r="E165" i="6"/>
  <c r="F153" i="6"/>
  <c r="E153" i="6"/>
  <c r="F137" i="6"/>
  <c r="E137" i="6"/>
  <c r="F125" i="6"/>
  <c r="E125" i="6"/>
  <c r="F113" i="6"/>
  <c r="E113" i="6"/>
  <c r="F101" i="6"/>
  <c r="E101" i="6"/>
  <c r="F89" i="6"/>
  <c r="E89" i="6"/>
  <c r="F77" i="6"/>
  <c r="E77" i="6"/>
  <c r="F65" i="6"/>
  <c r="E65" i="6"/>
  <c r="F53" i="6"/>
  <c r="E53" i="6"/>
  <c r="F45" i="6"/>
  <c r="E45" i="6"/>
  <c r="F33" i="6"/>
  <c r="E33" i="6"/>
  <c r="F25" i="6"/>
  <c r="E25" i="6"/>
  <c r="F17" i="6"/>
  <c r="E17" i="6"/>
  <c r="F5" i="6"/>
  <c r="E5" i="6"/>
  <c r="E942" i="6"/>
  <c r="G942" i="6" s="1"/>
  <c r="E926" i="6"/>
  <c r="G926" i="6" s="1"/>
  <c r="E910" i="6"/>
  <c r="G910" i="6" s="1"/>
  <c r="E894" i="6"/>
  <c r="G894" i="6" s="1"/>
  <c r="E878" i="6"/>
  <c r="G878" i="6" s="1"/>
  <c r="E862" i="6"/>
  <c r="G862" i="6" s="1"/>
  <c r="E846" i="6"/>
  <c r="G846" i="6" s="1"/>
  <c r="E830" i="6"/>
  <c r="G830" i="6" s="1"/>
  <c r="E811" i="6"/>
  <c r="G811" i="6" s="1"/>
  <c r="E799" i="6"/>
  <c r="G799" i="6" s="1"/>
  <c r="E791" i="6"/>
  <c r="G791" i="6" s="1"/>
  <c r="E783" i="6"/>
  <c r="G783" i="6" s="1"/>
  <c r="E775" i="6"/>
  <c r="G775" i="6" s="1"/>
  <c r="E767" i="6"/>
  <c r="G767" i="6" s="1"/>
  <c r="E759" i="6"/>
  <c r="G759" i="6" s="1"/>
  <c r="E751" i="6"/>
  <c r="G751" i="6" s="1"/>
  <c r="E743" i="6"/>
  <c r="G743" i="6" s="1"/>
  <c r="E735" i="6"/>
  <c r="G735" i="6" s="1"/>
  <c r="E727" i="6"/>
  <c r="G727" i="6" s="1"/>
  <c r="E719" i="6"/>
  <c r="G719" i="6" s="1"/>
  <c r="E711" i="6"/>
  <c r="G711" i="6" s="1"/>
  <c r="E703" i="6"/>
  <c r="G703" i="6" s="1"/>
  <c r="E695" i="6"/>
  <c r="G695" i="6" s="1"/>
  <c r="E687" i="6"/>
  <c r="G687" i="6" s="1"/>
  <c r="E679" i="6"/>
  <c r="G679" i="6" s="1"/>
  <c r="E671" i="6"/>
  <c r="G671" i="6" s="1"/>
  <c r="E663" i="6"/>
  <c r="G663" i="6" s="1"/>
  <c r="E655" i="6"/>
  <c r="G655" i="6" s="1"/>
  <c r="E647" i="6"/>
  <c r="G647" i="6" s="1"/>
  <c r="E639" i="6"/>
  <c r="G639" i="6" s="1"/>
  <c r="E631" i="6"/>
  <c r="G631" i="6" s="1"/>
  <c r="E623" i="6"/>
  <c r="G623" i="6" s="1"/>
  <c r="E615" i="6"/>
  <c r="G615" i="6" s="1"/>
  <c r="E607" i="6"/>
  <c r="G607" i="6" s="1"/>
  <c r="E599" i="6"/>
  <c r="G599" i="6" s="1"/>
  <c r="E591" i="6"/>
  <c r="G591" i="6" s="1"/>
  <c r="E583" i="6"/>
  <c r="G583" i="6" s="1"/>
  <c r="E575" i="6"/>
  <c r="G575" i="6" s="1"/>
  <c r="E567" i="6"/>
  <c r="G567" i="6" s="1"/>
  <c r="E559" i="6"/>
  <c r="G559" i="6" s="1"/>
  <c r="E551" i="6"/>
  <c r="G551" i="6" s="1"/>
  <c r="E543" i="6"/>
  <c r="G543" i="6" s="1"/>
  <c r="E535" i="6"/>
  <c r="G535" i="6" s="1"/>
  <c r="E527" i="6"/>
  <c r="G527" i="6" s="1"/>
  <c r="E519" i="6"/>
  <c r="G519" i="6" s="1"/>
  <c r="E511" i="6"/>
  <c r="G511" i="6" s="1"/>
  <c r="E503" i="6"/>
  <c r="G503" i="6" s="1"/>
  <c r="E495" i="6"/>
  <c r="G495" i="6" s="1"/>
  <c r="E487" i="6"/>
  <c r="G487" i="6" s="1"/>
  <c r="E479" i="6"/>
  <c r="G479" i="6" s="1"/>
  <c r="E471" i="6"/>
  <c r="G471" i="6" s="1"/>
  <c r="E463" i="6"/>
  <c r="G463" i="6" s="1"/>
  <c r="E455" i="6"/>
  <c r="G455" i="6" s="1"/>
  <c r="E447" i="6"/>
  <c r="G447" i="6" s="1"/>
  <c r="E439" i="6"/>
  <c r="G439" i="6" s="1"/>
  <c r="E431" i="6"/>
  <c r="G431" i="6" s="1"/>
  <c r="E423" i="6"/>
  <c r="G423" i="6" s="1"/>
  <c r="E415" i="6"/>
  <c r="G415" i="6" s="1"/>
  <c r="E407" i="6"/>
  <c r="G407" i="6" s="1"/>
  <c r="E399" i="6"/>
  <c r="G399" i="6" s="1"/>
  <c r="E391" i="6"/>
  <c r="G391" i="6" s="1"/>
  <c r="E383" i="6"/>
  <c r="G383" i="6" s="1"/>
  <c r="E375" i="6"/>
  <c r="G375" i="6" s="1"/>
  <c r="E367" i="6"/>
  <c r="G367" i="6" s="1"/>
  <c r="E359" i="6"/>
  <c r="G359" i="6" s="1"/>
  <c r="E351" i="6"/>
  <c r="G351" i="6" s="1"/>
  <c r="E343" i="6"/>
  <c r="G343" i="6" s="1"/>
  <c r="E335" i="6"/>
  <c r="G335" i="6" s="1"/>
  <c r="E327" i="6"/>
  <c r="G327" i="6" s="1"/>
  <c r="E319" i="6"/>
  <c r="G319" i="6" s="1"/>
  <c r="E311" i="6"/>
  <c r="G311" i="6" s="1"/>
  <c r="E303" i="6"/>
  <c r="G303" i="6" s="1"/>
  <c r="E295" i="6"/>
  <c r="G295" i="6" s="1"/>
  <c r="E287" i="6"/>
  <c r="G287" i="6" s="1"/>
  <c r="E279" i="6"/>
  <c r="G279" i="6" s="1"/>
  <c r="E271" i="6"/>
  <c r="G271" i="6" s="1"/>
  <c r="E263" i="6"/>
  <c r="G263" i="6" s="1"/>
  <c r="E255" i="6"/>
  <c r="G255" i="6" s="1"/>
  <c r="E247" i="6"/>
  <c r="G247" i="6" s="1"/>
  <c r="E239" i="6"/>
  <c r="G239" i="6" s="1"/>
  <c r="E231" i="6"/>
  <c r="G231" i="6" s="1"/>
  <c r="E223" i="6"/>
  <c r="G223" i="6" s="1"/>
  <c r="E215" i="6"/>
  <c r="G215" i="6" s="1"/>
  <c r="E207" i="6"/>
  <c r="G207" i="6" s="1"/>
  <c r="E199" i="6"/>
  <c r="G199" i="6" s="1"/>
  <c r="E191" i="6"/>
  <c r="G191" i="6" s="1"/>
  <c r="E183" i="6"/>
  <c r="G183" i="6" s="1"/>
  <c r="E175" i="6"/>
  <c r="G175" i="6" s="1"/>
  <c r="E167" i="6"/>
  <c r="G167" i="6" s="1"/>
  <c r="E159" i="6"/>
  <c r="G159" i="6" s="1"/>
  <c r="E151" i="6"/>
  <c r="G151" i="6" s="1"/>
  <c r="E143" i="6"/>
  <c r="G143" i="6" s="1"/>
  <c r="E135" i="6"/>
  <c r="G135" i="6" s="1"/>
  <c r="E127" i="6"/>
  <c r="G127" i="6" s="1"/>
  <c r="E119" i="6"/>
  <c r="G119" i="6" s="1"/>
  <c r="E111" i="6"/>
  <c r="G111" i="6" s="1"/>
  <c r="E103" i="6"/>
  <c r="G103" i="6" s="1"/>
  <c r="E95" i="6"/>
  <c r="G95" i="6" s="1"/>
  <c r="E87" i="6"/>
  <c r="G87" i="6" s="1"/>
  <c r="E79" i="6"/>
  <c r="G79" i="6" s="1"/>
  <c r="E71" i="6"/>
  <c r="G71" i="6" s="1"/>
  <c r="E63" i="6"/>
  <c r="G63" i="6" s="1"/>
  <c r="E55" i="6"/>
  <c r="G55" i="6" s="1"/>
  <c r="E47" i="6"/>
  <c r="G47" i="6" s="1"/>
  <c r="E39" i="6"/>
  <c r="G39" i="6" s="1"/>
  <c r="E31" i="6"/>
  <c r="G31" i="6" s="1"/>
  <c r="E23" i="6"/>
  <c r="G23" i="6" s="1"/>
  <c r="E15" i="6"/>
  <c r="G15" i="6" s="1"/>
  <c r="E7" i="6"/>
  <c r="G7" i="6" s="1"/>
  <c r="F796" i="6"/>
  <c r="G796" i="6" s="1"/>
  <c r="F764" i="6"/>
  <c r="G764" i="6" s="1"/>
  <c r="F732" i="6"/>
  <c r="G732" i="6" s="1"/>
  <c r="F700" i="6"/>
  <c r="G700" i="6" s="1"/>
  <c r="F668" i="6"/>
  <c r="G668" i="6" s="1"/>
  <c r="F636" i="6"/>
  <c r="G636" i="6" s="1"/>
  <c r="F604" i="6"/>
  <c r="G604" i="6" s="1"/>
  <c r="F572" i="6"/>
  <c r="G572" i="6" s="1"/>
  <c r="F540" i="6"/>
  <c r="G540" i="6" s="1"/>
  <c r="F508" i="6"/>
  <c r="G508" i="6" s="1"/>
  <c r="F476" i="6"/>
  <c r="G476" i="6" s="1"/>
  <c r="F444" i="6"/>
  <c r="G444" i="6" s="1"/>
  <c r="F412" i="6"/>
  <c r="G412" i="6" s="1"/>
  <c r="F380" i="6"/>
  <c r="G380" i="6" s="1"/>
  <c r="F348" i="6"/>
  <c r="G348" i="6" s="1"/>
  <c r="F316" i="6"/>
  <c r="G316" i="6" s="1"/>
  <c r="F252" i="6"/>
  <c r="G252" i="6" s="1"/>
  <c r="F180" i="6"/>
  <c r="G180" i="6" s="1"/>
  <c r="F52" i="6"/>
  <c r="G52" i="6" s="1"/>
  <c r="G104" i="11" l="1"/>
  <c r="G976" i="11"/>
  <c r="G207" i="11"/>
  <c r="G998" i="11"/>
  <c r="G490" i="11"/>
  <c r="G369" i="11"/>
  <c r="H338" i="11"/>
  <c r="I338" i="11" s="1"/>
  <c r="H859" i="11"/>
  <c r="I859" i="11" s="1"/>
  <c r="G205" i="11"/>
  <c r="H318" i="11"/>
  <c r="I318" i="11" s="1"/>
  <c r="G485" i="11"/>
  <c r="G516" i="11"/>
  <c r="H494" i="11"/>
  <c r="I494" i="11" s="1"/>
  <c r="H913" i="11"/>
  <c r="I913" i="11" s="1"/>
  <c r="G688" i="11"/>
  <c r="G576" i="11"/>
  <c r="H694" i="11"/>
  <c r="I694" i="11" s="1"/>
  <c r="H601" i="11"/>
  <c r="I601" i="11" s="1"/>
  <c r="H958" i="11"/>
  <c r="I958" i="11" s="1"/>
  <c r="G255" i="11"/>
  <c r="H773" i="11"/>
  <c r="I773" i="11" s="1"/>
  <c r="G683" i="11"/>
  <c r="G628" i="11"/>
  <c r="G11" i="11"/>
  <c r="G136" i="11"/>
  <c r="G494" i="11"/>
  <c r="H642" i="11"/>
  <c r="I642" i="11" s="1"/>
  <c r="H688" i="11"/>
  <c r="I688" i="11" s="1"/>
  <c r="G824" i="11"/>
  <c r="G954" i="11"/>
  <c r="G999" i="11"/>
  <c r="G338" i="11"/>
  <c r="G958" i="11"/>
  <c r="G837" i="11"/>
  <c r="H337" i="11"/>
  <c r="I337" i="11" s="1"/>
  <c r="H905" i="11"/>
  <c r="I905" i="11" s="1"/>
  <c r="G987" i="11"/>
  <c r="G381" i="11"/>
  <c r="G486" i="11"/>
  <c r="H484" i="11"/>
  <c r="I484" i="11" s="1"/>
  <c r="H87" i="11"/>
  <c r="I87" i="11" s="1"/>
  <c r="H138" i="11"/>
  <c r="I138" i="11" s="1"/>
  <c r="H355" i="11"/>
  <c r="I355" i="11" s="1"/>
  <c r="G95" i="11"/>
  <c r="G68" i="11"/>
  <c r="G391" i="11"/>
  <c r="H523" i="11"/>
  <c r="I523" i="11" s="1"/>
  <c r="G912" i="11"/>
  <c r="H914" i="11"/>
  <c r="I914" i="11" s="1"/>
  <c r="H945" i="11"/>
  <c r="I945" i="11" s="1"/>
  <c r="G294" i="11"/>
  <c r="G110" i="11"/>
  <c r="G20" i="11"/>
  <c r="G816" i="11"/>
  <c r="G427" i="11"/>
  <c r="G903" i="11"/>
  <c r="G760" i="11"/>
  <c r="G505" i="11"/>
  <c r="H667" i="11"/>
  <c r="I667" i="11" s="1"/>
  <c r="G689" i="11"/>
  <c r="G892" i="11"/>
  <c r="G847" i="11"/>
  <c r="G166" i="11"/>
  <c r="H166" i="11"/>
  <c r="I166" i="11" s="1"/>
  <c r="G444" i="11"/>
  <c r="G455" i="11"/>
  <c r="G923" i="11"/>
  <c r="G604" i="11"/>
  <c r="G881" i="11"/>
  <c r="H774" i="11"/>
  <c r="I774" i="11" s="1"/>
  <c r="G220" i="11"/>
  <c r="G66" i="11"/>
  <c r="G694" i="11"/>
  <c r="H805" i="11"/>
  <c r="I805" i="11" s="1"/>
  <c r="H965" i="11"/>
  <c r="I965" i="11" s="1"/>
  <c r="G953" i="11"/>
  <c r="G835" i="11"/>
  <c r="G416" i="11"/>
  <c r="G454" i="11"/>
  <c r="H336" i="11"/>
  <c r="I336" i="11" s="1"/>
  <c r="G580" i="11"/>
  <c r="H255" i="11"/>
  <c r="I255" i="11" s="1"/>
  <c r="H367" i="11"/>
  <c r="I367" i="11" s="1"/>
  <c r="H506" i="11"/>
  <c r="I506" i="11" s="1"/>
  <c r="H31" i="11"/>
  <c r="I31" i="11" s="1"/>
  <c r="H133" i="11"/>
  <c r="I133" i="11" s="1"/>
  <c r="G657" i="11"/>
  <c r="G453" i="11"/>
  <c r="G871" i="11"/>
  <c r="G6" i="11"/>
  <c r="H63" i="11"/>
  <c r="I63" i="11" s="1"/>
  <c r="G23" i="11"/>
  <c r="G510" i="11"/>
  <c r="G686" i="11"/>
  <c r="G545" i="11"/>
  <c r="G637" i="11"/>
  <c r="G152" i="11"/>
  <c r="G320" i="11"/>
  <c r="H236" i="11"/>
  <c r="I236" i="11" s="1"/>
  <c r="G311" i="11"/>
  <c r="G9" i="11"/>
  <c r="H390" i="11"/>
  <c r="I390" i="11" s="1"/>
  <c r="H274" i="11"/>
  <c r="I274" i="11" s="1"/>
  <c r="G854" i="11"/>
  <c r="G423" i="11"/>
  <c r="G452" i="11"/>
  <c r="G771" i="11"/>
  <c r="G471" i="11"/>
  <c r="H918" i="11"/>
  <c r="I918" i="11" s="1"/>
  <c r="G807" i="11"/>
  <c r="G301" i="11"/>
  <c r="G785" i="11"/>
  <c r="G1000" i="11"/>
  <c r="H617" i="11"/>
  <c r="I617" i="11" s="1"/>
  <c r="G46" i="11"/>
  <c r="G931" i="11"/>
  <c r="H709" i="11"/>
  <c r="I709" i="11" s="1"/>
  <c r="G167" i="11"/>
  <c r="G107" i="11"/>
  <c r="H516" i="11"/>
  <c r="I516" i="11" s="1"/>
  <c r="G781" i="11"/>
  <c r="H67" i="11"/>
  <c r="I67" i="11" s="1"/>
  <c r="H38" i="11"/>
  <c r="I38" i="11" s="1"/>
  <c r="G559" i="11"/>
  <c r="G243" i="11"/>
  <c r="H834" i="11"/>
  <c r="I834" i="11" s="1"/>
  <c r="H340" i="11"/>
  <c r="I340" i="11" s="1"/>
  <c r="G89" i="11"/>
  <c r="G73" i="11"/>
  <c r="H147" i="11"/>
  <c r="I147" i="11" s="1"/>
  <c r="G913" i="11"/>
  <c r="H576" i="11"/>
  <c r="I576" i="11" s="1"/>
  <c r="H904" i="11"/>
  <c r="I904" i="11" s="1"/>
  <c r="G533" i="11"/>
  <c r="G477" i="11"/>
  <c r="G295" i="11"/>
  <c r="G458" i="11"/>
  <c r="G959" i="11"/>
  <c r="G898" i="11"/>
  <c r="G139" i="11"/>
  <c r="G273" i="11"/>
  <c r="G400" i="11"/>
  <c r="G916" i="11"/>
  <c r="G889" i="11"/>
  <c r="G788" i="11"/>
  <c r="H723" i="11"/>
  <c r="I723" i="11" s="1"/>
  <c r="G692" i="11"/>
  <c r="G224" i="11"/>
  <c r="G517" i="11"/>
  <c r="H517" i="11"/>
  <c r="I517" i="11" s="1"/>
  <c r="H629" i="11"/>
  <c r="I629" i="11" s="1"/>
  <c r="G629" i="11"/>
  <c r="H817" i="11"/>
  <c r="I817" i="11" s="1"/>
  <c r="G817" i="11"/>
  <c r="G608" i="11"/>
  <c r="H608" i="11"/>
  <c r="I608" i="11" s="1"/>
  <c r="H679" i="11"/>
  <c r="I679" i="11" s="1"/>
  <c r="G37" i="11"/>
  <c r="H250" i="11"/>
  <c r="I250" i="11" s="1"/>
  <c r="H836" i="11"/>
  <c r="I836" i="11" s="1"/>
  <c r="G836" i="11"/>
  <c r="H294" i="11"/>
  <c r="I294" i="11" s="1"/>
  <c r="H158" i="11"/>
  <c r="I158" i="11" s="1"/>
  <c r="G158" i="11"/>
  <c r="H442" i="11"/>
  <c r="I442" i="11" s="1"/>
  <c r="G442" i="11"/>
  <c r="G647" i="11"/>
  <c r="H647" i="11"/>
  <c r="I647" i="11" s="1"/>
  <c r="G318" i="11"/>
  <c r="G198" i="11"/>
  <c r="H282" i="11"/>
  <c r="I282" i="11" s="1"/>
  <c r="G408" i="11"/>
  <c r="H408" i="11"/>
  <c r="I408" i="11" s="1"/>
  <c r="H854" i="11"/>
  <c r="I854" i="11" s="1"/>
  <c r="H670" i="11"/>
  <c r="I670" i="11" s="1"/>
  <c r="G670" i="11"/>
  <c r="H56" i="11"/>
  <c r="I56" i="11" s="1"/>
  <c r="G56" i="11"/>
  <c r="H646" i="11"/>
  <c r="I646" i="11" s="1"/>
  <c r="G646" i="11"/>
  <c r="H760" i="11"/>
  <c r="I760" i="11" s="1"/>
  <c r="G123" i="11"/>
  <c r="H123" i="11"/>
  <c r="I123" i="11" s="1"/>
  <c r="G253" i="11"/>
  <c r="H76" i="11"/>
  <c r="I76" i="11" s="1"/>
  <c r="H488" i="11"/>
  <c r="I488" i="11" s="1"/>
  <c r="H826" i="11"/>
  <c r="I826" i="11" s="1"/>
  <c r="G826" i="11"/>
  <c r="H810" i="11"/>
  <c r="I810" i="11" s="1"/>
  <c r="G846" i="11"/>
  <c r="H846" i="11"/>
  <c r="I846" i="11" s="1"/>
  <c r="G761" i="11"/>
  <c r="H761" i="11"/>
  <c r="I761" i="11" s="1"/>
  <c r="H463" i="11"/>
  <c r="I463" i="11" s="1"/>
  <c r="G463" i="11"/>
  <c r="H941" i="11"/>
  <c r="I941" i="11" s="1"/>
  <c r="G941" i="11"/>
  <c r="H445" i="11"/>
  <c r="I445" i="11" s="1"/>
  <c r="G445" i="11"/>
  <c r="H714" i="11"/>
  <c r="I714" i="11" s="1"/>
  <c r="G714" i="11"/>
  <c r="H150" i="11"/>
  <c r="I150" i="11" s="1"/>
  <c r="G150" i="11"/>
  <c r="G523" i="11"/>
  <c r="H912" i="11"/>
  <c r="I912" i="11" s="1"/>
  <c r="H302" i="11"/>
  <c r="I302" i="11" s="1"/>
  <c r="H976" i="11"/>
  <c r="I976" i="11" s="1"/>
  <c r="H998" i="11"/>
  <c r="I998" i="11" s="1"/>
  <c r="H490" i="11"/>
  <c r="I490" i="11" s="1"/>
  <c r="G274" i="11"/>
  <c r="G8" i="11"/>
  <c r="H126" i="11"/>
  <c r="I126" i="11" s="1"/>
  <c r="H539" i="11"/>
  <c r="I539" i="11" s="1"/>
  <c r="H43" i="11"/>
  <c r="I43" i="11" s="1"/>
  <c r="H313" i="11"/>
  <c r="I313" i="11" s="1"/>
  <c r="H339" i="11"/>
  <c r="I339" i="11" s="1"/>
  <c r="G339" i="11"/>
  <c r="G935" i="11"/>
  <c r="H935" i="11"/>
  <c r="I935" i="11" s="1"/>
  <c r="G287" i="11"/>
  <c r="H287" i="11"/>
  <c r="I287" i="11" s="1"/>
  <c r="G914" i="11"/>
  <c r="H631" i="11"/>
  <c r="I631" i="11" s="1"/>
  <c r="H541" i="11"/>
  <c r="I541" i="11" s="1"/>
  <c r="G541" i="11"/>
  <c r="H427" i="11"/>
  <c r="I427" i="11" s="1"/>
  <c r="H272" i="11"/>
  <c r="I272" i="11" s="1"/>
  <c r="G272" i="11"/>
  <c r="G997" i="11"/>
  <c r="H997" i="11"/>
  <c r="I997" i="11" s="1"/>
  <c r="H382" i="11"/>
  <c r="I382" i="11" s="1"/>
  <c r="G382" i="11"/>
  <c r="H779" i="11"/>
  <c r="I779" i="11" s="1"/>
  <c r="G779" i="11"/>
  <c r="H450" i="11"/>
  <c r="I450" i="11" s="1"/>
  <c r="G450" i="11"/>
  <c r="H708" i="11"/>
  <c r="I708" i="11" s="1"/>
  <c r="G708" i="11"/>
  <c r="H245" i="11"/>
  <c r="I245" i="11" s="1"/>
  <c r="G245" i="11"/>
  <c r="H771" i="11"/>
  <c r="I771" i="11" s="1"/>
  <c r="G155" i="11"/>
  <c r="G609" i="11"/>
  <c r="H609" i="11"/>
  <c r="I609" i="11" s="1"/>
  <c r="H781" i="11"/>
  <c r="I781" i="11" s="1"/>
  <c r="G417" i="11"/>
  <c r="G800" i="11"/>
  <c r="H678" i="11"/>
  <c r="I678" i="11" s="1"/>
  <c r="H449" i="11"/>
  <c r="I449" i="11" s="1"/>
  <c r="H108" i="11"/>
  <c r="I108" i="11" s="1"/>
  <c r="H246" i="11"/>
  <c r="I246" i="11" s="1"/>
  <c r="G246" i="11"/>
  <c r="H885" i="11"/>
  <c r="I885" i="11" s="1"/>
  <c r="G885" i="11"/>
  <c r="G542" i="11"/>
  <c r="H542" i="11"/>
  <c r="I542" i="11" s="1"/>
  <c r="H137" i="11"/>
  <c r="I137" i="11" s="1"/>
  <c r="G137" i="11"/>
  <c r="H911" i="11"/>
  <c r="I911" i="11" s="1"/>
  <c r="G911" i="11"/>
  <c r="G873" i="11"/>
  <c r="G866" i="11"/>
  <c r="H827" i="11"/>
  <c r="I827" i="11" s="1"/>
  <c r="G827" i="11"/>
  <c r="H552" i="11"/>
  <c r="I552" i="11" s="1"/>
  <c r="H403" i="11"/>
  <c r="I403" i="11" s="1"/>
  <c r="G403" i="11"/>
  <c r="G803" i="11"/>
  <c r="H803" i="11"/>
  <c r="I803" i="11" s="1"/>
  <c r="G44" i="11"/>
  <c r="H44" i="11"/>
  <c r="I44" i="11" s="1"/>
  <c r="H605" i="11"/>
  <c r="I605" i="11" s="1"/>
  <c r="G605" i="11"/>
  <c r="G376" i="11"/>
  <c r="H376" i="11"/>
  <c r="I376" i="11" s="1"/>
  <c r="G696" i="11"/>
  <c r="H696" i="11"/>
  <c r="I696" i="11" s="1"/>
  <c r="H285" i="11"/>
  <c r="I285" i="11" s="1"/>
  <c r="G285" i="11"/>
  <c r="G497" i="11"/>
  <c r="H497" i="11"/>
  <c r="I497" i="11" s="1"/>
  <c r="G557" i="11"/>
  <c r="H557" i="11"/>
  <c r="I557" i="11" s="1"/>
  <c r="G666" i="11"/>
  <c r="H666" i="11"/>
  <c r="I666" i="11" s="1"/>
  <c r="G59" i="11"/>
  <c r="H59" i="11"/>
  <c r="I59" i="11" s="1"/>
  <c r="G440" i="11"/>
  <c r="H440" i="11"/>
  <c r="I440" i="11" s="1"/>
  <c r="H698" i="11"/>
  <c r="I698" i="11" s="1"/>
  <c r="G698" i="11"/>
  <c r="H651" i="11"/>
  <c r="I651" i="11" s="1"/>
  <c r="G651" i="11"/>
  <c r="H385" i="11"/>
  <c r="I385" i="11" s="1"/>
  <c r="G385" i="11"/>
  <c r="G361" i="11"/>
  <c r="H361" i="11"/>
  <c r="I361" i="11" s="1"/>
  <c r="G371" i="11"/>
  <c r="H371" i="11"/>
  <c r="I371" i="11" s="1"/>
  <c r="G260" i="11"/>
  <c r="H260" i="11"/>
  <c r="I260" i="11" s="1"/>
  <c r="H321" i="11"/>
  <c r="I321" i="11" s="1"/>
  <c r="G321" i="11"/>
  <c r="H616" i="11"/>
  <c r="I616" i="11" s="1"/>
  <c r="G616" i="11"/>
  <c r="G594" i="11"/>
  <c r="H594" i="11"/>
  <c r="I594" i="11" s="1"/>
  <c r="G306" i="11"/>
  <c r="H306" i="11"/>
  <c r="I306" i="11" s="1"/>
  <c r="G739" i="11"/>
  <c r="H739" i="11"/>
  <c r="I739" i="11" s="1"/>
  <c r="H784" i="11"/>
  <c r="I784" i="11" s="1"/>
  <c r="G784" i="11"/>
  <c r="H83" i="11"/>
  <c r="I83" i="11" s="1"/>
  <c r="G83" i="11"/>
  <c r="H151" i="11"/>
  <c r="I151" i="11" s="1"/>
  <c r="G151" i="11"/>
  <c r="H173" i="11"/>
  <c r="I173" i="11" s="1"/>
  <c r="G173" i="11"/>
  <c r="H52" i="11"/>
  <c r="I52" i="11" s="1"/>
  <c r="G52" i="11"/>
  <c r="H134" i="11"/>
  <c r="I134" i="11" s="1"/>
  <c r="G134" i="11"/>
  <c r="H593" i="11"/>
  <c r="I593" i="11" s="1"/>
  <c r="G593" i="11"/>
  <c r="H415" i="11"/>
  <c r="I415" i="11" s="1"/>
  <c r="G415" i="11"/>
  <c r="H906" i="11"/>
  <c r="I906" i="11" s="1"/>
  <c r="G906" i="11"/>
  <c r="H19" i="11"/>
  <c r="I19" i="11" s="1"/>
  <c r="G19" i="11"/>
  <c r="H48" i="11"/>
  <c r="I48" i="11" s="1"/>
  <c r="G48" i="11"/>
  <c r="G127" i="11"/>
  <c r="H127" i="11"/>
  <c r="I127" i="11" s="1"/>
  <c r="H373" i="11"/>
  <c r="I373" i="11" s="1"/>
  <c r="G373" i="11"/>
  <c r="G53" i="11"/>
  <c r="H53" i="11"/>
  <c r="I53" i="11" s="1"/>
  <c r="H842" i="11"/>
  <c r="I842" i="11" s="1"/>
  <c r="G842" i="11"/>
  <c r="G370" i="11"/>
  <c r="H370" i="11"/>
  <c r="I370" i="11" s="1"/>
  <c r="H300" i="11"/>
  <c r="I300" i="11" s="1"/>
  <c r="G300" i="11"/>
  <c r="H589" i="11"/>
  <c r="I589" i="11" s="1"/>
  <c r="G589" i="11"/>
  <c r="G743" i="11"/>
  <c r="H743" i="11"/>
  <c r="I743" i="11" s="1"/>
  <c r="G825" i="11"/>
  <c r="H825" i="11"/>
  <c r="I825" i="11" s="1"/>
  <c r="G79" i="11"/>
  <c r="H79" i="11"/>
  <c r="I79" i="11" s="1"/>
  <c r="G996" i="11"/>
  <c r="H996" i="11"/>
  <c r="I996" i="11" s="1"/>
  <c r="G242" i="11"/>
  <c r="H242" i="11"/>
  <c r="I242" i="11" s="1"/>
  <c r="G162" i="11"/>
  <c r="G812" i="11"/>
  <c r="H812" i="11"/>
  <c r="I812" i="11" s="1"/>
  <c r="G726" i="11"/>
  <c r="G428" i="11"/>
  <c r="H428" i="11"/>
  <c r="I428" i="11" s="1"/>
  <c r="G677" i="11"/>
  <c r="H677" i="11"/>
  <c r="I677" i="11" s="1"/>
  <c r="G845" i="11"/>
  <c r="H480" i="11"/>
  <c r="I480" i="11" s="1"/>
  <c r="G819" i="11"/>
  <c r="H819" i="11"/>
  <c r="I819" i="11" s="1"/>
  <c r="H383" i="11"/>
  <c r="I383" i="11" s="1"/>
  <c r="G787" i="11"/>
  <c r="G767" i="11"/>
  <c r="H767" i="11"/>
  <c r="I767" i="11" s="1"/>
  <c r="G333" i="11"/>
  <c r="H333" i="11"/>
  <c r="I333" i="11" s="1"/>
  <c r="G196" i="11"/>
  <c r="H196" i="11"/>
  <c r="I196" i="11" s="1"/>
  <c r="G875" i="11"/>
  <c r="H875" i="11"/>
  <c r="I875" i="11" s="1"/>
  <c r="G919" i="11"/>
  <c r="H919" i="11"/>
  <c r="I919" i="11" s="1"/>
  <c r="H131" i="11"/>
  <c r="I131" i="11" s="1"/>
  <c r="G131" i="11"/>
  <c r="H561" i="11"/>
  <c r="I561" i="11" s="1"/>
  <c r="G561" i="11"/>
  <c r="H707" i="11"/>
  <c r="I707" i="11" s="1"/>
  <c r="G707" i="11"/>
  <c r="H742" i="11"/>
  <c r="I742" i="11" s="1"/>
  <c r="G742" i="11"/>
  <c r="H676" i="11"/>
  <c r="I676" i="11" s="1"/>
  <c r="G676" i="11"/>
  <c r="H309" i="11"/>
  <c r="I309" i="11" s="1"/>
  <c r="G309" i="11"/>
  <c r="H363" i="11"/>
  <c r="I363" i="11" s="1"/>
  <c r="G363" i="11"/>
  <c r="H413" i="11"/>
  <c r="I413" i="11" s="1"/>
  <c r="G413" i="11"/>
  <c r="H822" i="11"/>
  <c r="I822" i="11" s="1"/>
  <c r="G822" i="11"/>
  <c r="H249" i="11"/>
  <c r="I249" i="11" s="1"/>
  <c r="G249" i="11"/>
  <c r="G992" i="11"/>
  <c r="H992" i="11"/>
  <c r="I992" i="11" s="1"/>
  <c r="H470" i="11"/>
  <c r="I470" i="11" s="1"/>
  <c r="H357" i="11"/>
  <c r="I357" i="11" s="1"/>
  <c r="G357" i="11"/>
  <c r="H571" i="11"/>
  <c r="I571" i="11" s="1"/>
  <c r="G571" i="11"/>
  <c r="H228" i="11"/>
  <c r="I228" i="11" s="1"/>
  <c r="G228" i="11"/>
  <c r="H436" i="11"/>
  <c r="I436" i="11" s="1"/>
  <c r="G436" i="11"/>
  <c r="H515" i="11"/>
  <c r="I515" i="11" s="1"/>
  <c r="H832" i="11"/>
  <c r="I832" i="11" s="1"/>
  <c r="G832" i="11"/>
  <c r="H766" i="11"/>
  <c r="I766" i="11" s="1"/>
  <c r="G766" i="11"/>
  <c r="H4" i="11"/>
  <c r="I4" i="11" s="1"/>
  <c r="G4" i="11"/>
  <c r="H395" i="11"/>
  <c r="I395" i="11" s="1"/>
  <c r="G456" i="11"/>
  <c r="H583" i="11"/>
  <c r="I583" i="11" s="1"/>
  <c r="G176" i="11"/>
  <c r="H793" i="11"/>
  <c r="I793" i="11" s="1"/>
  <c r="H634" i="11"/>
  <c r="I634" i="11" s="1"/>
  <c r="H895" i="11"/>
  <c r="I895" i="11" s="1"/>
  <c r="H125" i="11"/>
  <c r="I125" i="11" s="1"/>
  <c r="H946" i="11"/>
  <c r="I946" i="11" s="1"/>
  <c r="H927" i="11"/>
  <c r="I927" i="11" s="1"/>
  <c r="H735" i="11"/>
  <c r="I735" i="11" s="1"/>
  <c r="H943" i="11"/>
  <c r="I943" i="11" s="1"/>
  <c r="H15" i="11"/>
  <c r="I15" i="11" s="1"/>
  <c r="H808" i="11"/>
  <c r="I808" i="11" s="1"/>
  <c r="G345" i="11"/>
  <c r="G884" i="11"/>
  <c r="G765" i="11"/>
  <c r="G96" i="11"/>
  <c r="G569" i="11"/>
  <c r="G745" i="11"/>
  <c r="G124" i="11"/>
  <c r="G106" i="11"/>
  <c r="G915" i="11"/>
  <c r="G511" i="11"/>
  <c r="G748" i="11"/>
  <c r="H424" i="11"/>
  <c r="I424" i="11" s="1"/>
  <c r="G424" i="11"/>
  <c r="G466" i="11"/>
  <c r="H466" i="11"/>
  <c r="I466" i="11" s="1"/>
  <c r="H764" i="11"/>
  <c r="I764" i="11" s="1"/>
  <c r="H85" i="11"/>
  <c r="I85" i="11" s="1"/>
  <c r="G85" i="11"/>
  <c r="H40" i="11"/>
  <c r="I40" i="11" s="1"/>
  <c r="G40" i="11"/>
  <c r="G655" i="11"/>
  <c r="H655" i="11"/>
  <c r="I655" i="11" s="1"/>
  <c r="G699" i="11"/>
  <c r="H699" i="11"/>
  <c r="I699" i="11" s="1"/>
  <c r="G462" i="11"/>
  <c r="H462" i="11"/>
  <c r="I462" i="11" s="1"/>
  <c r="G900" i="11"/>
  <c r="H900" i="11"/>
  <c r="I900" i="11" s="1"/>
  <c r="G111" i="11"/>
  <c r="H111" i="11"/>
  <c r="I111" i="11" s="1"/>
  <c r="G813" i="11"/>
  <c r="H813" i="11"/>
  <c r="I813" i="11" s="1"/>
  <c r="G500" i="11"/>
  <c r="H500" i="11"/>
  <c r="I500" i="11" s="1"/>
  <c r="G977" i="11"/>
  <c r="H977" i="11"/>
  <c r="I977" i="11" s="1"/>
  <c r="G119" i="11"/>
  <c r="H119" i="11"/>
  <c r="I119" i="11" s="1"/>
  <c r="H21" i="11"/>
  <c r="I21" i="11" s="1"/>
  <c r="G21" i="11"/>
  <c r="G199" i="11"/>
  <c r="H199" i="11"/>
  <c r="I199" i="11" s="1"/>
  <c r="G950" i="11"/>
  <c r="H950" i="11"/>
  <c r="I950" i="11" s="1"/>
  <c r="H181" i="11"/>
  <c r="I181" i="11" s="1"/>
  <c r="G181" i="11"/>
  <c r="G226" i="11"/>
  <c r="G582" i="11"/>
  <c r="H582" i="11"/>
  <c r="I582" i="11" s="1"/>
  <c r="G197" i="11"/>
  <c r="H197" i="11"/>
  <c r="I197" i="11" s="1"/>
  <c r="H33" i="11"/>
  <c r="I33" i="11" s="1"/>
  <c r="G33" i="11"/>
  <c r="H438" i="11"/>
  <c r="I438" i="11" s="1"/>
  <c r="G438" i="11"/>
  <c r="H360" i="11"/>
  <c r="I360" i="11" s="1"/>
  <c r="G360" i="11"/>
  <c r="H411" i="11"/>
  <c r="I411" i="11" s="1"/>
  <c r="G411" i="11"/>
  <c r="G989" i="11"/>
  <c r="H989" i="11"/>
  <c r="I989" i="11" s="1"/>
  <c r="G572" i="11"/>
  <c r="H572" i="11"/>
  <c r="I572" i="11" s="1"/>
  <c r="H964" i="11"/>
  <c r="I964" i="11" s="1"/>
  <c r="G964" i="11"/>
  <c r="H237" i="11"/>
  <c r="I237" i="11" s="1"/>
  <c r="G237" i="11"/>
  <c r="G802" i="11"/>
  <c r="H802" i="11"/>
  <c r="I802" i="11" s="1"/>
  <c r="G738" i="11"/>
  <c r="H738" i="11"/>
  <c r="I738" i="11" s="1"/>
  <c r="G348" i="11"/>
  <c r="H348" i="11"/>
  <c r="I348" i="11" s="1"/>
  <c r="G729" i="11"/>
  <c r="H729" i="11"/>
  <c r="I729" i="11" s="1"/>
  <c r="G398" i="11"/>
  <c r="H398" i="11"/>
  <c r="I398" i="11" s="1"/>
  <c r="G581" i="11"/>
  <c r="H581" i="11"/>
  <c r="I581" i="11" s="1"/>
  <c r="H752" i="11"/>
  <c r="I752" i="11" s="1"/>
  <c r="G752" i="11"/>
  <c r="G216" i="11"/>
  <c r="H216" i="11"/>
  <c r="I216" i="11" s="1"/>
  <c r="H718" i="11"/>
  <c r="I718" i="11" s="1"/>
  <c r="G718" i="11"/>
  <c r="G872" i="11"/>
  <c r="H872" i="11"/>
  <c r="I872" i="11" s="1"/>
  <c r="H778" i="11"/>
  <c r="I778" i="11" s="1"/>
  <c r="G778" i="11"/>
  <c r="H645" i="11"/>
  <c r="I645" i="11" s="1"/>
  <c r="G645" i="11"/>
  <c r="G330" i="11"/>
  <c r="H330" i="11"/>
  <c r="I330" i="11" s="1"/>
  <c r="H78" i="11"/>
  <c r="I78" i="11" s="1"/>
  <c r="G78" i="11"/>
  <c r="G384" i="11"/>
  <c r="H384" i="11"/>
  <c r="I384" i="11" s="1"/>
  <c r="H712" i="11"/>
  <c r="I712" i="11" s="1"/>
  <c r="G712" i="11"/>
  <c r="H45" i="11"/>
  <c r="I45" i="11" s="1"/>
  <c r="G45" i="11"/>
  <c r="G575" i="11"/>
  <c r="H575" i="11"/>
  <c r="I575" i="11" s="1"/>
  <c r="H88" i="11"/>
  <c r="I88" i="11" s="1"/>
  <c r="G88" i="11"/>
  <c r="G768" i="11"/>
  <c r="H768" i="11"/>
  <c r="I768" i="11" s="1"/>
  <c r="G852" i="11"/>
  <c r="H852" i="11"/>
  <c r="I852" i="11" s="1"/>
  <c r="G722" i="11"/>
  <c r="H722" i="11"/>
  <c r="I722" i="11" s="1"/>
  <c r="G328" i="11"/>
  <c r="H328" i="11"/>
  <c r="I328" i="11" s="1"/>
  <c r="G947" i="11"/>
  <c r="H947" i="11"/>
  <c r="I947" i="11" s="1"/>
  <c r="G833" i="11"/>
  <c r="H833" i="11"/>
  <c r="I833" i="11" s="1"/>
  <c r="G310" i="11"/>
  <c r="H310" i="11"/>
  <c r="I310" i="11" s="1"/>
  <c r="G591" i="11"/>
  <c r="H591" i="11"/>
  <c r="I591" i="11" s="1"/>
  <c r="H588" i="11"/>
  <c r="I588" i="11" s="1"/>
  <c r="G588" i="11"/>
  <c r="H182" i="11"/>
  <c r="I182" i="11" s="1"/>
  <c r="G182" i="11"/>
  <c r="H252" i="11"/>
  <c r="I252" i="11" s="1"/>
  <c r="G252" i="11"/>
  <c r="H94" i="11"/>
  <c r="I94" i="11" s="1"/>
  <c r="G94" i="11"/>
  <c r="H870" i="11"/>
  <c r="I870" i="11" s="1"/>
  <c r="G870" i="11"/>
  <c r="H354" i="11"/>
  <c r="I354" i="11" s="1"/>
  <c r="G354" i="11"/>
  <c r="H29" i="11"/>
  <c r="I29" i="11" s="1"/>
  <c r="G29" i="11"/>
  <c r="H599" i="11"/>
  <c r="I599" i="11" s="1"/>
  <c r="G599" i="11"/>
  <c r="H175" i="11"/>
  <c r="I175" i="11" s="1"/>
  <c r="G175" i="11"/>
  <c r="H350" i="11"/>
  <c r="I350" i="11" s="1"/>
  <c r="G350" i="11"/>
  <c r="H736" i="11"/>
  <c r="I736" i="11" s="1"/>
  <c r="H863" i="11"/>
  <c r="I863" i="11" s="1"/>
  <c r="H776" i="11"/>
  <c r="I776" i="11" s="1"/>
  <c r="G776" i="11"/>
  <c r="H909" i="11"/>
  <c r="I909" i="11" s="1"/>
  <c r="G909" i="11"/>
  <c r="H7" i="11"/>
  <c r="I7" i="11" s="1"/>
  <c r="G264" i="11"/>
  <c r="H156" i="11"/>
  <c r="I156" i="11" s="1"/>
  <c r="G980" i="11"/>
  <c r="G855" i="11"/>
  <c r="G840" i="11"/>
  <c r="G759" i="11"/>
  <c r="G568" i="11"/>
  <c r="G619" i="11"/>
  <c r="G112" i="11"/>
  <c r="G121" i="11"/>
  <c r="G598" i="11"/>
  <c r="G815" i="11"/>
  <c r="G546" i="11"/>
  <c r="G562" i="11"/>
  <c r="G933" i="11"/>
  <c r="H933" i="11"/>
  <c r="I933" i="11" s="1"/>
  <c r="H120" i="11"/>
  <c r="I120" i="11" s="1"/>
  <c r="G120" i="11"/>
  <c r="H77" i="11"/>
  <c r="I77" i="11" s="1"/>
  <c r="G248" i="11"/>
  <c r="H248" i="11"/>
  <c r="I248" i="11" s="1"/>
  <c r="G392" i="11"/>
  <c r="H392" i="11"/>
  <c r="I392" i="11" s="1"/>
  <c r="H240" i="11"/>
  <c r="I240" i="11" s="1"/>
  <c r="G240" i="11"/>
  <c r="G93" i="11"/>
  <c r="H93" i="11"/>
  <c r="I93" i="11" s="1"/>
  <c r="G233" i="11"/>
  <c r="H233" i="11"/>
  <c r="I233" i="11" s="1"/>
  <c r="G573" i="11"/>
  <c r="H573" i="11"/>
  <c r="I573" i="11" s="1"/>
  <c r="G244" i="11"/>
  <c r="H244" i="11"/>
  <c r="I244" i="11" s="1"/>
  <c r="G664" i="11"/>
  <c r="H664" i="11"/>
  <c r="I664" i="11" s="1"/>
  <c r="H887" i="11"/>
  <c r="I887" i="11" s="1"/>
  <c r="G887" i="11"/>
  <c r="G622" i="11"/>
  <c r="H622" i="11"/>
  <c r="I622" i="11" s="1"/>
  <c r="G129" i="11"/>
  <c r="H129" i="11"/>
  <c r="I129" i="11" s="1"/>
  <c r="G719" i="11"/>
  <c r="H719" i="11"/>
  <c r="I719" i="11" s="1"/>
  <c r="G439" i="11"/>
  <c r="H84" i="11"/>
  <c r="I84" i="11" s="1"/>
  <c r="G84" i="11"/>
  <c r="G189" i="11"/>
  <c r="H189" i="11"/>
  <c r="I189" i="11" s="1"/>
  <c r="H799" i="11"/>
  <c r="I799" i="11" s="1"/>
  <c r="G799" i="11"/>
  <c r="H553" i="11"/>
  <c r="I553" i="11" s="1"/>
  <c r="G553" i="11"/>
  <c r="G213" i="11"/>
  <c r="H213" i="11"/>
  <c r="I213" i="11" s="1"/>
  <c r="H47" i="11"/>
  <c r="I47" i="11" s="1"/>
  <c r="G47" i="11"/>
  <c r="G794" i="11"/>
  <c r="H794" i="11"/>
  <c r="I794" i="11" s="1"/>
  <c r="H491" i="11"/>
  <c r="I491" i="11" s="1"/>
  <c r="G491" i="11"/>
  <c r="G636" i="11"/>
  <c r="H636" i="11"/>
  <c r="I636" i="11" s="1"/>
  <c r="H890" i="11"/>
  <c r="I890" i="11" s="1"/>
  <c r="G890" i="11"/>
  <c r="G877" i="11"/>
  <c r="H877" i="11"/>
  <c r="I877" i="11" s="1"/>
  <c r="G459" i="11"/>
  <c r="H459" i="11"/>
  <c r="I459" i="11" s="1"/>
  <c r="H28" i="11"/>
  <c r="I28" i="11" s="1"/>
  <c r="G28" i="11"/>
  <c r="H769" i="11"/>
  <c r="I769" i="11" s="1"/>
  <c r="G769" i="11"/>
  <c r="G65" i="11"/>
  <c r="H65" i="11"/>
  <c r="I65" i="11" s="1"/>
  <c r="H733" i="11"/>
  <c r="I733" i="11" s="1"/>
  <c r="G733" i="11"/>
  <c r="G993" i="11"/>
  <c r="H993" i="11"/>
  <c r="I993" i="11" s="1"/>
  <c r="G292" i="11"/>
  <c r="H292" i="11"/>
  <c r="I292" i="11" s="1"/>
  <c r="H995" i="11"/>
  <c r="I995" i="11" s="1"/>
  <c r="G153" i="11"/>
  <c r="H153" i="11"/>
  <c r="I153" i="11" s="1"/>
  <c r="H329" i="11"/>
  <c r="I329" i="11" s="1"/>
  <c r="G329" i="11"/>
  <c r="H641" i="11"/>
  <c r="I641" i="11" s="1"/>
  <c r="G641" i="11"/>
  <c r="H304" i="11"/>
  <c r="I304" i="11" s="1"/>
  <c r="G304" i="11"/>
  <c r="H988" i="11"/>
  <c r="I988" i="11" s="1"/>
  <c r="G988" i="11"/>
  <c r="H397" i="11"/>
  <c r="I397" i="11" s="1"/>
  <c r="G397" i="11"/>
  <c r="H212" i="11"/>
  <c r="I212" i="11" s="1"/>
  <c r="G212" i="11"/>
  <c r="H239" i="11"/>
  <c r="I239" i="11" s="1"/>
  <c r="G239" i="11"/>
  <c r="H880" i="11"/>
  <c r="I880" i="11" s="1"/>
  <c r="G880" i="11"/>
  <c r="H925" i="11"/>
  <c r="I925" i="11" s="1"/>
  <c r="G447" i="11"/>
  <c r="H447" i="11"/>
  <c r="I447" i="11" s="1"/>
  <c r="H479" i="11"/>
  <c r="I479" i="11" s="1"/>
  <c r="G479" i="11"/>
  <c r="H24" i="11"/>
  <c r="I24" i="11" s="1"/>
  <c r="G24" i="11"/>
  <c r="H394" i="11"/>
  <c r="I394" i="11" s="1"/>
  <c r="G394" i="11"/>
  <c r="H716" i="11"/>
  <c r="I716" i="11" s="1"/>
  <c r="G716" i="11"/>
  <c r="H956" i="11"/>
  <c r="I956" i="11" s="1"/>
  <c r="G956" i="11"/>
  <c r="H940" i="11"/>
  <c r="I940" i="11" s="1"/>
  <c r="G940" i="11"/>
  <c r="H928" i="11"/>
  <c r="I928" i="11" s="1"/>
  <c r="G928" i="11"/>
  <c r="H64" i="11"/>
  <c r="I64" i="11" s="1"/>
  <c r="G548" i="11"/>
  <c r="H548" i="11"/>
  <c r="I548" i="11" s="1"/>
  <c r="G984" i="11"/>
  <c r="H984" i="11"/>
  <c r="I984" i="11" s="1"/>
  <c r="G113" i="11"/>
  <c r="H113" i="11"/>
  <c r="I113" i="11" s="1"/>
  <c r="G426" i="11"/>
  <c r="H426" i="11"/>
  <c r="I426" i="11" s="1"/>
  <c r="H42" i="11"/>
  <c r="I42" i="11" s="1"/>
  <c r="G42" i="11"/>
  <c r="H775" i="11"/>
  <c r="I775" i="11" s="1"/>
  <c r="G775" i="11"/>
  <c r="H590" i="11"/>
  <c r="I590" i="11" s="1"/>
  <c r="G590" i="11"/>
  <c r="H115" i="11"/>
  <c r="I115" i="11" s="1"/>
  <c r="G115" i="11"/>
  <c r="H26" i="11"/>
  <c r="I26" i="11" s="1"/>
  <c r="G26" i="11"/>
  <c r="H193" i="11"/>
  <c r="I193" i="11" s="1"/>
  <c r="G193" i="11"/>
  <c r="H86" i="11"/>
  <c r="I86" i="11" s="1"/>
  <c r="G86" i="11"/>
  <c r="H208" i="11"/>
  <c r="I208" i="11" s="1"/>
  <c r="G208" i="11"/>
  <c r="H555" i="11"/>
  <c r="I555" i="11" s="1"/>
  <c r="G555" i="11"/>
  <c r="G549" i="11"/>
  <c r="H549" i="11"/>
  <c r="I549" i="11" s="1"/>
  <c r="H241" i="11"/>
  <c r="I241" i="11" s="1"/>
  <c r="G241" i="11"/>
  <c r="H798" i="11"/>
  <c r="I798" i="11" s="1"/>
  <c r="H229" i="11"/>
  <c r="I229" i="11" s="1"/>
  <c r="G229" i="11"/>
  <c r="H27" i="11"/>
  <c r="I27" i="11" s="1"/>
  <c r="G27" i="11"/>
  <c r="H62" i="11"/>
  <c r="I62" i="11" s="1"/>
  <c r="G62" i="11"/>
  <c r="H211" i="11"/>
  <c r="I211" i="11" s="1"/>
  <c r="G211" i="11"/>
  <c r="H656" i="11"/>
  <c r="I656" i="11" s="1"/>
  <c r="H879" i="11"/>
  <c r="I879" i="11" s="1"/>
  <c r="G879" i="11"/>
  <c r="H210" i="11"/>
  <c r="I210" i="11" s="1"/>
  <c r="G210" i="11"/>
  <c r="H644" i="11"/>
  <c r="I644" i="11" s="1"/>
  <c r="G476" i="11"/>
  <c r="G587" i="11"/>
  <c r="G130" i="11"/>
  <c r="G702" i="11"/>
  <c r="G435" i="11"/>
  <c r="G518" i="11"/>
  <c r="G405" i="11"/>
  <c r="G222" i="11"/>
  <c r="G633" i="11"/>
  <c r="G372" i="11"/>
  <c r="G327" i="11"/>
  <c r="G618" i="11"/>
  <c r="H618" i="11"/>
  <c r="I618" i="11" s="1"/>
  <c r="G200" i="11"/>
  <c r="H200" i="11"/>
  <c r="I200" i="11" s="1"/>
  <c r="H80" i="11"/>
  <c r="I80" i="11" s="1"/>
  <c r="H829" i="11"/>
  <c r="I829" i="11" s="1"/>
  <c r="G829" i="11"/>
  <c r="G673" i="11"/>
  <c r="H673" i="11"/>
  <c r="I673" i="11" s="1"/>
  <c r="G526" i="11"/>
  <c r="H526" i="11"/>
  <c r="I526" i="11" s="1"/>
  <c r="H342" i="11"/>
  <c r="I342" i="11" s="1"/>
  <c r="G342" i="11"/>
  <c r="G747" i="11"/>
  <c r="H747" i="11"/>
  <c r="I747" i="11" s="1"/>
  <c r="H277" i="11"/>
  <c r="I277" i="11" s="1"/>
  <c r="G277" i="11"/>
  <c r="H974" i="11"/>
  <c r="I974" i="11" s="1"/>
  <c r="G974" i="11"/>
  <c r="H217" i="11"/>
  <c r="I217" i="11" s="1"/>
  <c r="G830" i="11"/>
  <c r="H830" i="11"/>
  <c r="I830" i="11" s="1"/>
  <c r="G978" i="11"/>
  <c r="H978" i="11"/>
  <c r="I978" i="11" s="1"/>
  <c r="G323" i="11"/>
  <c r="H323" i="11"/>
  <c r="I323" i="11" s="1"/>
  <c r="G283" i="11"/>
  <c r="H283" i="11"/>
  <c r="I283" i="11" s="1"/>
  <c r="H293" i="11"/>
  <c r="I293" i="11" s="1"/>
  <c r="G293" i="11"/>
  <c r="G922" i="11"/>
  <c r="H922" i="11"/>
  <c r="I922" i="11" s="1"/>
  <c r="H10" i="11"/>
  <c r="I10" i="11" s="1"/>
  <c r="G10" i="11"/>
  <c r="H109" i="11"/>
  <c r="I109" i="11" s="1"/>
  <c r="G109" i="11"/>
  <c r="H460" i="11"/>
  <c r="I460" i="11" s="1"/>
  <c r="G460" i="11"/>
  <c r="H691" i="11"/>
  <c r="I691" i="11" s="1"/>
  <c r="G691" i="11"/>
  <c r="H90" i="11"/>
  <c r="I90" i="11" s="1"/>
  <c r="G90" i="11"/>
  <c r="G489" i="11"/>
  <c r="H489" i="11"/>
  <c r="I489" i="11" s="1"/>
  <c r="G507" i="11"/>
  <c r="H507" i="11"/>
  <c r="I507" i="11" s="1"/>
  <c r="H684" i="11"/>
  <c r="I684" i="11" s="1"/>
  <c r="G684" i="11"/>
  <c r="G206" i="11"/>
  <c r="H206" i="11"/>
  <c r="I206" i="11" s="1"/>
  <c r="H103" i="11"/>
  <c r="I103" i="11" s="1"/>
  <c r="G103" i="11"/>
  <c r="H235" i="11"/>
  <c r="I235" i="11" s="1"/>
  <c r="G235" i="11"/>
  <c r="H117" i="11"/>
  <c r="I117" i="11" s="1"/>
  <c r="G117" i="11"/>
  <c r="H522" i="11"/>
  <c r="I522" i="11" s="1"/>
  <c r="G522" i="11"/>
  <c r="H620" i="11"/>
  <c r="I620" i="11" s="1"/>
  <c r="G620" i="11"/>
  <c r="G701" i="11"/>
  <c r="H701" i="11"/>
  <c r="I701" i="11" s="1"/>
  <c r="G899" i="11"/>
  <c r="H899" i="11"/>
  <c r="I899" i="11" s="1"/>
  <c r="G973" i="11"/>
  <c r="H973" i="11"/>
  <c r="I973" i="11" s="1"/>
  <c r="H921" i="11"/>
  <c r="I921" i="11" s="1"/>
  <c r="G921" i="11"/>
  <c r="G625" i="11"/>
  <c r="H625" i="11"/>
  <c r="I625" i="11" s="1"/>
  <c r="G888" i="11"/>
  <c r="H888" i="11"/>
  <c r="I888" i="11" s="1"/>
  <c r="H963" i="11"/>
  <c r="I963" i="11" s="1"/>
  <c r="G963" i="11"/>
  <c r="H902" i="11"/>
  <c r="I902" i="11" s="1"/>
  <c r="G902" i="11"/>
  <c r="H821" i="11"/>
  <c r="I821" i="11" s="1"/>
  <c r="G821" i="11"/>
  <c r="H672" i="11"/>
  <c r="I672" i="11" s="1"/>
  <c r="G672" i="11"/>
  <c r="H732" i="11"/>
  <c r="I732" i="11" s="1"/>
  <c r="G732" i="11"/>
  <c r="H303" i="11"/>
  <c r="I303" i="11" s="1"/>
  <c r="G303" i="11"/>
  <c r="H659" i="11"/>
  <c r="I659" i="11" s="1"/>
  <c r="G659" i="11"/>
  <c r="G509" i="11"/>
  <c r="H509" i="11"/>
  <c r="I509" i="11" s="1"/>
  <c r="H160" i="11"/>
  <c r="I160" i="11" s="1"/>
  <c r="G160" i="11"/>
  <c r="H141" i="11"/>
  <c r="I141" i="11" s="1"/>
  <c r="G141" i="11"/>
  <c r="H368" i="11"/>
  <c r="I368" i="11" s="1"/>
  <c r="G368" i="11"/>
  <c r="H407" i="11"/>
  <c r="I407" i="11" s="1"/>
  <c r="G407" i="11"/>
  <c r="H366" i="11"/>
  <c r="I366" i="11" s="1"/>
  <c r="G366" i="11"/>
  <c r="H271" i="11"/>
  <c r="I271" i="11" s="1"/>
  <c r="G271" i="11"/>
  <c r="H910" i="11"/>
  <c r="I910" i="11" s="1"/>
  <c r="G910" i="11"/>
  <c r="G949" i="11"/>
  <c r="H949" i="11"/>
  <c r="I949" i="11" s="1"/>
  <c r="G907" i="11"/>
  <c r="H907" i="11"/>
  <c r="I907" i="11" s="1"/>
  <c r="G431" i="11"/>
  <c r="H431" i="11"/>
  <c r="I431" i="11" s="1"/>
  <c r="G901" i="11"/>
  <c r="H901" i="11"/>
  <c r="I901" i="11" s="1"/>
  <c r="G930" i="11"/>
  <c r="H930" i="11"/>
  <c r="I930" i="11" s="1"/>
  <c r="G186" i="11"/>
  <c r="H186" i="11"/>
  <c r="I186" i="11" s="1"/>
  <c r="H97" i="11"/>
  <c r="I97" i="11" s="1"/>
  <c r="G97" i="11"/>
  <c r="H674" i="11"/>
  <c r="I674" i="11" s="1"/>
  <c r="G674" i="11"/>
  <c r="H493" i="11"/>
  <c r="I493" i="11" s="1"/>
  <c r="G493" i="11"/>
  <c r="H706" i="11"/>
  <c r="I706" i="11" s="1"/>
  <c r="G706" i="11"/>
  <c r="H606" i="11"/>
  <c r="I606" i="11" s="1"/>
  <c r="G606" i="11"/>
  <c r="H5" i="11"/>
  <c r="I5" i="11" s="1"/>
  <c r="G5" i="11"/>
  <c r="H856" i="11"/>
  <c r="I856" i="11" s="1"/>
  <c r="G856" i="11"/>
  <c r="H341" i="11"/>
  <c r="I341" i="11" s="1"/>
  <c r="G341" i="11"/>
  <c r="H640" i="11"/>
  <c r="I640" i="11" s="1"/>
  <c r="G640" i="11"/>
  <c r="H22" i="11"/>
  <c r="I22" i="11" s="1"/>
  <c r="G22" i="11"/>
  <c r="G896" i="11"/>
  <c r="H896" i="11"/>
  <c r="I896" i="11" s="1"/>
  <c r="H849" i="11"/>
  <c r="I849" i="11" s="1"/>
  <c r="G849" i="11"/>
  <c r="H319" i="11"/>
  <c r="I319" i="11" s="1"/>
  <c r="G319" i="11"/>
  <c r="G731" i="11"/>
  <c r="G99" i="11"/>
  <c r="G519" i="9"/>
  <c r="H455" i="9"/>
  <c r="I455" i="9" s="1"/>
  <c r="H391" i="9"/>
  <c r="I391" i="9" s="1"/>
  <c r="H652" i="9"/>
  <c r="I652" i="9" s="1"/>
  <c r="G652" i="9"/>
  <c r="H282" i="9"/>
  <c r="I282" i="9" s="1"/>
  <c r="H266" i="9"/>
  <c r="I266" i="9" s="1"/>
  <c r="H250" i="9"/>
  <c r="I250" i="9" s="1"/>
  <c r="H234" i="9"/>
  <c r="I234" i="9" s="1"/>
  <c r="H218" i="9"/>
  <c r="I218" i="9" s="1"/>
  <c r="H202" i="9"/>
  <c r="I202" i="9" s="1"/>
  <c r="H186" i="9"/>
  <c r="I186" i="9" s="1"/>
  <c r="H170" i="9"/>
  <c r="I170" i="9" s="1"/>
  <c r="G320" i="9"/>
  <c r="H969" i="9"/>
  <c r="I969" i="9" s="1"/>
  <c r="H933" i="9"/>
  <c r="I933" i="9" s="1"/>
  <c r="H997" i="9"/>
  <c r="I997" i="9" s="1"/>
  <c r="H965" i="9"/>
  <c r="I965" i="9" s="1"/>
  <c r="H993" i="9"/>
  <c r="I993" i="9" s="1"/>
  <c r="H961" i="9"/>
  <c r="I961" i="9" s="1"/>
  <c r="H917" i="9"/>
  <c r="I917" i="9" s="1"/>
  <c r="H914" i="9"/>
  <c r="I914" i="9" s="1"/>
  <c r="G48" i="9"/>
  <c r="H902" i="9"/>
  <c r="I902" i="9" s="1"/>
  <c r="H886" i="9"/>
  <c r="I886" i="9" s="1"/>
  <c r="H870" i="9"/>
  <c r="I870" i="9" s="1"/>
  <c r="H854" i="9"/>
  <c r="I854" i="9" s="1"/>
  <c r="H653" i="9"/>
  <c r="I653" i="9" s="1"/>
  <c r="H621" i="9"/>
  <c r="I621" i="9" s="1"/>
  <c r="H597" i="9"/>
  <c r="I597" i="9" s="1"/>
  <c r="H770" i="9"/>
  <c r="I770" i="9" s="1"/>
  <c r="H492" i="9"/>
  <c r="I492" i="9" s="1"/>
  <c r="G356" i="9"/>
  <c r="G340" i="9"/>
  <c r="H33" i="9"/>
  <c r="I33" i="9" s="1"/>
  <c r="H314" i="9"/>
  <c r="I314" i="9" s="1"/>
  <c r="H995" i="9"/>
  <c r="I995" i="9" s="1"/>
  <c r="H975" i="9"/>
  <c r="I975" i="9" s="1"/>
  <c r="H885" i="9"/>
  <c r="I885" i="9" s="1"/>
  <c r="H971" i="9"/>
  <c r="I971" i="9" s="1"/>
  <c r="H692" i="9"/>
  <c r="I692" i="9" s="1"/>
  <c r="H684" i="9"/>
  <c r="I684" i="9" s="1"/>
  <c r="H663" i="9"/>
  <c r="I663" i="9" s="1"/>
  <c r="H618" i="9"/>
  <c r="I618" i="9" s="1"/>
  <c r="G515" i="9"/>
  <c r="G499" i="9"/>
  <c r="H491" i="9"/>
  <c r="I491" i="9" s="1"/>
  <c r="G595" i="9"/>
  <c r="H558" i="9"/>
  <c r="I558" i="9" s="1"/>
  <c r="H385" i="9"/>
  <c r="I385" i="9" s="1"/>
  <c r="H173" i="9"/>
  <c r="I173" i="9" s="1"/>
  <c r="G501" i="9"/>
  <c r="H592" i="9"/>
  <c r="I592" i="9" s="1"/>
  <c r="H303" i="9"/>
  <c r="I303" i="9" s="1"/>
  <c r="H443" i="9"/>
  <c r="I443" i="9" s="1"/>
  <c r="H379" i="9"/>
  <c r="I379" i="9" s="1"/>
  <c r="G463" i="9"/>
  <c r="G335" i="9"/>
  <c r="H109" i="9"/>
  <c r="I109" i="9" s="1"/>
  <c r="H638" i="9"/>
  <c r="I638" i="9" s="1"/>
  <c r="G802" i="9"/>
  <c r="H670" i="9"/>
  <c r="I670" i="9" s="1"/>
  <c r="H350" i="9"/>
  <c r="I350" i="9" s="1"/>
  <c r="G8" i="9"/>
  <c r="H715" i="9"/>
  <c r="I715" i="9" s="1"/>
  <c r="G396" i="9"/>
  <c r="G446" i="9"/>
  <c r="G398" i="9"/>
  <c r="G382" i="9"/>
  <c r="G334" i="9"/>
  <c r="H909" i="9"/>
  <c r="I909" i="9" s="1"/>
  <c r="H853" i="9"/>
  <c r="I853" i="9" s="1"/>
  <c r="H550" i="9"/>
  <c r="I550" i="9" s="1"/>
  <c r="H470" i="9"/>
  <c r="I470" i="9" s="1"/>
  <c r="H584" i="9"/>
  <c r="I584" i="9" s="1"/>
  <c r="H482" i="9"/>
  <c r="I482" i="9" s="1"/>
  <c r="H90" i="9"/>
  <c r="I90" i="9" s="1"/>
  <c r="H494" i="9"/>
  <c r="I494" i="9" s="1"/>
  <c r="H506" i="9"/>
  <c r="I506" i="9" s="1"/>
  <c r="G599" i="9"/>
  <c r="H546" i="9"/>
  <c r="I546" i="9" s="1"/>
  <c r="H401" i="9"/>
  <c r="I401" i="9" s="1"/>
  <c r="H6" i="9"/>
  <c r="I6" i="9" s="1"/>
  <c r="H423" i="9"/>
  <c r="I423" i="9" s="1"/>
  <c r="H359" i="9"/>
  <c r="I359" i="9" s="1"/>
  <c r="G427" i="9"/>
  <c r="G363" i="9"/>
  <c r="G431" i="9"/>
  <c r="H343" i="9"/>
  <c r="I343" i="9" s="1"/>
  <c r="H668" i="9"/>
  <c r="I668" i="9" s="1"/>
  <c r="G668" i="9"/>
  <c r="H636" i="9"/>
  <c r="I636" i="9" s="1"/>
  <c r="G636" i="9"/>
  <c r="G304" i="9"/>
  <c r="H896" i="9"/>
  <c r="I896" i="9" s="1"/>
  <c r="H880" i="9"/>
  <c r="I880" i="9" s="1"/>
  <c r="H864" i="9"/>
  <c r="I864" i="9" s="1"/>
  <c r="H848" i="9"/>
  <c r="I848" i="9" s="1"/>
  <c r="H898" i="9"/>
  <c r="I898" i="9" s="1"/>
  <c r="H882" i="9"/>
  <c r="I882" i="9" s="1"/>
  <c r="H866" i="9"/>
  <c r="I866" i="9" s="1"/>
  <c r="H850" i="9"/>
  <c r="I850" i="9" s="1"/>
  <c r="H900" i="9"/>
  <c r="I900" i="9" s="1"/>
  <c r="H884" i="9"/>
  <c r="I884" i="9" s="1"/>
  <c r="H868" i="9"/>
  <c r="I868" i="9" s="1"/>
  <c r="H852" i="9"/>
  <c r="I852" i="9" s="1"/>
  <c r="H709" i="9"/>
  <c r="I709" i="9" s="1"/>
  <c r="H705" i="9"/>
  <c r="I705" i="9" s="1"/>
  <c r="H701" i="9"/>
  <c r="I701" i="9" s="1"/>
  <c r="H697" i="9"/>
  <c r="I697" i="9" s="1"/>
  <c r="H693" i="9"/>
  <c r="I693" i="9" s="1"/>
  <c r="H689" i="9"/>
  <c r="I689" i="9" s="1"/>
  <c r="H685" i="9"/>
  <c r="I685" i="9" s="1"/>
  <c r="H681" i="9"/>
  <c r="I681" i="9" s="1"/>
  <c r="H677" i="9"/>
  <c r="I677" i="9" s="1"/>
  <c r="H673" i="9"/>
  <c r="I673" i="9" s="1"/>
  <c r="H641" i="9"/>
  <c r="I641" i="9" s="1"/>
  <c r="H617" i="9"/>
  <c r="I617" i="9" s="1"/>
  <c r="H585" i="9"/>
  <c r="I585" i="9" s="1"/>
  <c r="G553" i="9"/>
  <c r="G460" i="9"/>
  <c r="H17" i="9"/>
  <c r="I17" i="9" s="1"/>
  <c r="H306" i="9"/>
  <c r="I306" i="9" s="1"/>
  <c r="H213" i="9"/>
  <c r="I213" i="9" s="1"/>
  <c r="H41" i="9"/>
  <c r="I41" i="9" s="1"/>
  <c r="G18" i="9"/>
  <c r="H973" i="9"/>
  <c r="I973" i="9" s="1"/>
  <c r="H730" i="9"/>
  <c r="I730" i="9" s="1"/>
  <c r="H285" i="9"/>
  <c r="I285" i="9" s="1"/>
  <c r="H165" i="9"/>
  <c r="I165" i="9" s="1"/>
  <c r="H110" i="9"/>
  <c r="I110" i="9" s="1"/>
  <c r="H78" i="9"/>
  <c r="I78" i="9" s="1"/>
  <c r="H37" i="9"/>
  <c r="I37" i="9" s="1"/>
  <c r="H5" i="9"/>
  <c r="I5" i="9" s="1"/>
  <c r="H619" i="9"/>
  <c r="I619" i="9" s="1"/>
  <c r="H907" i="9"/>
  <c r="I907" i="9" s="1"/>
  <c r="H816" i="9"/>
  <c r="I816" i="9" s="1"/>
  <c r="H915" i="9"/>
  <c r="I915" i="9" s="1"/>
  <c r="H539" i="9"/>
  <c r="I539" i="9" s="1"/>
  <c r="H686" i="9"/>
  <c r="I686" i="9" s="1"/>
  <c r="H655" i="9"/>
  <c r="I655" i="9" s="1"/>
  <c r="G503" i="9"/>
  <c r="H567" i="9"/>
  <c r="I567" i="9" s="1"/>
  <c r="G517" i="9"/>
  <c r="H411" i="9"/>
  <c r="I411" i="9" s="1"/>
  <c r="H347" i="9"/>
  <c r="I347" i="9" s="1"/>
  <c r="G399" i="9"/>
  <c r="H624" i="9"/>
  <c r="I624" i="9" s="1"/>
  <c r="H897" i="9"/>
  <c r="I897" i="9" s="1"/>
  <c r="G543" i="9"/>
  <c r="H301" i="9"/>
  <c r="I301" i="9" s="1"/>
  <c r="G301" i="9"/>
  <c r="G865" i="9"/>
  <c r="G688" i="9"/>
  <c r="G479" i="9"/>
  <c r="G728" i="9"/>
  <c r="H704" i="9"/>
  <c r="I704" i="9" s="1"/>
  <c r="H414" i="9"/>
  <c r="I414" i="9" s="1"/>
  <c r="G408" i="6"/>
  <c r="G424" i="6"/>
  <c r="G664" i="6"/>
  <c r="G680" i="6"/>
  <c r="G901" i="6"/>
  <c r="G989" i="6"/>
  <c r="G309" i="6"/>
  <c r="G317" i="6"/>
  <c r="G325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509" i="6"/>
  <c r="G517" i="6"/>
  <c r="G525" i="6"/>
  <c r="G533" i="6"/>
  <c r="G541" i="6"/>
  <c r="G549" i="6"/>
  <c r="G557" i="6"/>
  <c r="G565" i="6"/>
  <c r="G573" i="6"/>
  <c r="G581" i="6"/>
  <c r="G589" i="6"/>
  <c r="G597" i="6"/>
  <c r="G605" i="6"/>
  <c r="G613" i="6"/>
  <c r="G621" i="6"/>
  <c r="G629" i="6"/>
  <c r="G637" i="6"/>
  <c r="G645" i="6"/>
  <c r="G653" i="6"/>
  <c r="G661" i="6"/>
  <c r="G669" i="6"/>
  <c r="G677" i="6"/>
  <c r="G685" i="6"/>
  <c r="G693" i="6"/>
  <c r="G701" i="6"/>
  <c r="G709" i="6"/>
  <c r="G717" i="6"/>
  <c r="G725" i="6"/>
  <c r="G733" i="6"/>
  <c r="G741" i="6"/>
  <c r="G749" i="6"/>
  <c r="G757" i="6"/>
  <c r="G765" i="6"/>
  <c r="G773" i="6"/>
  <c r="G781" i="6"/>
  <c r="G789" i="6"/>
  <c r="G797" i="6"/>
  <c r="G805" i="6"/>
  <c r="G813" i="6"/>
  <c r="G821" i="6"/>
  <c r="G829" i="6"/>
  <c r="G837" i="6"/>
  <c r="G845" i="6"/>
  <c r="G853" i="6"/>
  <c r="G861" i="6"/>
  <c r="G869" i="6"/>
  <c r="G877" i="6"/>
  <c r="G885" i="6"/>
  <c r="G893" i="6"/>
  <c r="G909" i="6"/>
  <c r="G917" i="6"/>
  <c r="G925" i="6"/>
  <c r="G933" i="6"/>
  <c r="G941" i="6"/>
  <c r="G949" i="6"/>
  <c r="G957" i="6"/>
  <c r="G969" i="6"/>
  <c r="G981" i="6"/>
  <c r="G973" i="6"/>
  <c r="G1001" i="6"/>
  <c r="G313" i="6"/>
  <c r="G321" i="6"/>
  <c r="G329" i="6"/>
  <c r="G337" i="6"/>
  <c r="G345" i="6"/>
  <c r="G353" i="6"/>
  <c r="G361" i="6"/>
  <c r="G369" i="6"/>
  <c r="G377" i="6"/>
  <c r="G385" i="6"/>
  <c r="G393" i="6"/>
  <c r="G401" i="6"/>
  <c r="G409" i="6"/>
  <c r="G417" i="6"/>
  <c r="G425" i="6"/>
  <c r="G433" i="6"/>
  <c r="G441" i="6"/>
  <c r="G449" i="6"/>
  <c r="G457" i="6"/>
  <c r="G465" i="6"/>
  <c r="G473" i="6"/>
  <c r="G481" i="6"/>
  <c r="G489" i="6"/>
  <c r="G497" i="6"/>
  <c r="G505" i="6"/>
  <c r="G513" i="6"/>
  <c r="G521" i="6"/>
  <c r="G529" i="6"/>
  <c r="G537" i="6"/>
  <c r="G545" i="6"/>
  <c r="G553" i="6"/>
  <c r="G561" i="6"/>
  <c r="G569" i="6"/>
  <c r="G577" i="6"/>
  <c r="G585" i="6"/>
  <c r="G593" i="6"/>
  <c r="G601" i="6"/>
  <c r="G609" i="6"/>
  <c r="G617" i="6"/>
  <c r="G625" i="6"/>
  <c r="G633" i="6"/>
  <c r="G641" i="6"/>
  <c r="G649" i="6"/>
  <c r="G657" i="6"/>
  <c r="G665" i="6"/>
  <c r="G673" i="6"/>
  <c r="G681" i="6"/>
  <c r="G689" i="6"/>
  <c r="G697" i="6"/>
  <c r="G705" i="6"/>
  <c r="G713" i="6"/>
  <c r="G721" i="6"/>
  <c r="G729" i="6"/>
  <c r="G737" i="6"/>
  <c r="G745" i="6"/>
  <c r="G944" i="9"/>
  <c r="H944" i="9"/>
  <c r="I944" i="9" s="1"/>
  <c r="G252" i="9"/>
  <c r="H252" i="9"/>
  <c r="I252" i="9" s="1"/>
  <c r="G188" i="9"/>
  <c r="H188" i="9"/>
  <c r="I188" i="9" s="1"/>
  <c r="G76" i="9"/>
  <c r="H76" i="9"/>
  <c r="I76" i="9" s="1"/>
  <c r="G996" i="9"/>
  <c r="H996" i="9"/>
  <c r="I996" i="9" s="1"/>
  <c r="G980" i="9"/>
  <c r="H980" i="9"/>
  <c r="I980" i="9" s="1"/>
  <c r="G964" i="9"/>
  <c r="H964" i="9"/>
  <c r="I964" i="9" s="1"/>
  <c r="G948" i="9"/>
  <c r="H948" i="9"/>
  <c r="I948" i="9" s="1"/>
  <c r="G932" i="9"/>
  <c r="H932" i="9"/>
  <c r="I932" i="9" s="1"/>
  <c r="G990" i="9"/>
  <c r="H990" i="9"/>
  <c r="I990" i="9" s="1"/>
  <c r="G958" i="9"/>
  <c r="H958" i="9"/>
  <c r="I958" i="9" s="1"/>
  <c r="G926" i="9"/>
  <c r="H926" i="9"/>
  <c r="I926" i="9" s="1"/>
  <c r="G978" i="9"/>
  <c r="H978" i="9"/>
  <c r="I978" i="9" s="1"/>
  <c r="G946" i="9"/>
  <c r="H946" i="9"/>
  <c r="I946" i="9" s="1"/>
  <c r="G998" i="9"/>
  <c r="H998" i="9"/>
  <c r="I998" i="9" s="1"/>
  <c r="G954" i="9"/>
  <c r="H954" i="9"/>
  <c r="I954" i="9" s="1"/>
  <c r="G966" i="9"/>
  <c r="H966" i="9"/>
  <c r="I966" i="9" s="1"/>
  <c r="G290" i="9"/>
  <c r="H290" i="9"/>
  <c r="I290" i="9" s="1"/>
  <c r="G938" i="9"/>
  <c r="H938" i="9"/>
  <c r="I938" i="9" s="1"/>
  <c r="G294" i="9"/>
  <c r="H294" i="9"/>
  <c r="I294" i="9" s="1"/>
  <c r="G271" i="9"/>
  <c r="H271" i="9"/>
  <c r="I271" i="9" s="1"/>
  <c r="G255" i="9"/>
  <c r="H255" i="9"/>
  <c r="I255" i="9" s="1"/>
  <c r="G239" i="9"/>
  <c r="H239" i="9"/>
  <c r="I239" i="9" s="1"/>
  <c r="G223" i="9"/>
  <c r="H223" i="9"/>
  <c r="I223" i="9" s="1"/>
  <c r="G207" i="9"/>
  <c r="H207" i="9"/>
  <c r="I207" i="9" s="1"/>
  <c r="G191" i="9"/>
  <c r="H191" i="9"/>
  <c r="I191" i="9" s="1"/>
  <c r="G175" i="9"/>
  <c r="H175" i="9"/>
  <c r="I175" i="9" s="1"/>
  <c r="G299" i="9"/>
  <c r="H299" i="9"/>
  <c r="I299" i="9" s="1"/>
  <c r="G286" i="9"/>
  <c r="H286" i="9"/>
  <c r="I286" i="9" s="1"/>
  <c r="G259" i="9"/>
  <c r="H259" i="9"/>
  <c r="I259" i="9" s="1"/>
  <c r="G238" i="9"/>
  <c r="H238" i="9"/>
  <c r="I238" i="9" s="1"/>
  <c r="G224" i="9"/>
  <c r="H224" i="9"/>
  <c r="I224" i="9" s="1"/>
  <c r="G195" i="9"/>
  <c r="H195" i="9"/>
  <c r="I195" i="9" s="1"/>
  <c r="G174" i="9"/>
  <c r="H174" i="9"/>
  <c r="I174" i="9" s="1"/>
  <c r="G155" i="9"/>
  <c r="H155" i="9"/>
  <c r="I155" i="9" s="1"/>
  <c r="G139" i="9"/>
  <c r="H139" i="9"/>
  <c r="I139" i="9" s="1"/>
  <c r="G275" i="9"/>
  <c r="H275" i="9"/>
  <c r="I275" i="9" s="1"/>
  <c r="G254" i="9"/>
  <c r="H254" i="9"/>
  <c r="I254" i="9" s="1"/>
  <c r="G240" i="9"/>
  <c r="H240" i="9"/>
  <c r="I240" i="9" s="1"/>
  <c r="G211" i="9"/>
  <c r="H211" i="9"/>
  <c r="I211" i="9" s="1"/>
  <c r="G190" i="9"/>
  <c r="H190" i="9"/>
  <c r="I190" i="9" s="1"/>
  <c r="G176" i="9"/>
  <c r="H176" i="9"/>
  <c r="I176" i="9" s="1"/>
  <c r="G151" i="9"/>
  <c r="H151" i="9"/>
  <c r="I151" i="9" s="1"/>
  <c r="G133" i="9"/>
  <c r="H133" i="9"/>
  <c r="I133" i="9" s="1"/>
  <c r="G129" i="9"/>
  <c r="H129" i="9"/>
  <c r="I129" i="9" s="1"/>
  <c r="G113" i="9"/>
  <c r="H113" i="9"/>
  <c r="I113" i="9" s="1"/>
  <c r="G97" i="9"/>
  <c r="H97" i="9"/>
  <c r="I97" i="9" s="1"/>
  <c r="G81" i="9"/>
  <c r="H81" i="9"/>
  <c r="I81" i="9" s="1"/>
  <c r="G65" i="9"/>
  <c r="H65" i="9"/>
  <c r="I65" i="9" s="1"/>
  <c r="G71" i="9"/>
  <c r="H71" i="9"/>
  <c r="I71" i="9" s="1"/>
  <c r="G278" i="9"/>
  <c r="H278" i="9"/>
  <c r="I278" i="9" s="1"/>
  <c r="G264" i="9"/>
  <c r="H264" i="9"/>
  <c r="I264" i="9" s="1"/>
  <c r="G235" i="9"/>
  <c r="H235" i="9"/>
  <c r="I235" i="9" s="1"/>
  <c r="G214" i="9"/>
  <c r="H214" i="9"/>
  <c r="I214" i="9" s="1"/>
  <c r="G200" i="9"/>
  <c r="H200" i="9"/>
  <c r="I200" i="9" s="1"/>
  <c r="G171" i="9"/>
  <c r="H171" i="9"/>
  <c r="I171" i="9" s="1"/>
  <c r="G162" i="9"/>
  <c r="H162" i="9"/>
  <c r="I162" i="9" s="1"/>
  <c r="G154" i="9"/>
  <c r="H154" i="9"/>
  <c r="I154" i="9" s="1"/>
  <c r="G146" i="9"/>
  <c r="H146" i="9"/>
  <c r="I146" i="9" s="1"/>
  <c r="G138" i="9"/>
  <c r="H138" i="9"/>
  <c r="I138" i="9" s="1"/>
  <c r="G123" i="9"/>
  <c r="H123" i="9"/>
  <c r="I123" i="9" s="1"/>
  <c r="G107" i="9"/>
  <c r="H107" i="9"/>
  <c r="I107" i="9" s="1"/>
  <c r="G91" i="9"/>
  <c r="H91" i="9"/>
  <c r="I91" i="9" s="1"/>
  <c r="G75" i="9"/>
  <c r="H75" i="9"/>
  <c r="I75" i="9" s="1"/>
  <c r="G59" i="9"/>
  <c r="H59" i="9"/>
  <c r="I59" i="9" s="1"/>
  <c r="G143" i="9"/>
  <c r="H143" i="9"/>
  <c r="I143" i="9" s="1"/>
  <c r="G280" i="9"/>
  <c r="H280" i="9"/>
  <c r="I280" i="9" s="1"/>
  <c r="G251" i="9"/>
  <c r="H251" i="9"/>
  <c r="I251" i="9" s="1"/>
  <c r="G230" i="9"/>
  <c r="H230" i="9"/>
  <c r="I230" i="9" s="1"/>
  <c r="G216" i="9"/>
  <c r="H216" i="9"/>
  <c r="I216" i="9" s="1"/>
  <c r="G187" i="9"/>
  <c r="H187" i="9"/>
  <c r="I187" i="9" s="1"/>
  <c r="G166" i="9"/>
  <c r="H166" i="9"/>
  <c r="I166" i="9" s="1"/>
  <c r="G158" i="9"/>
  <c r="H158" i="9"/>
  <c r="I158" i="9" s="1"/>
  <c r="G150" i="9"/>
  <c r="H150" i="9"/>
  <c r="I150" i="9" s="1"/>
  <c r="G142" i="9"/>
  <c r="H142" i="9"/>
  <c r="I142" i="9" s="1"/>
  <c r="G127" i="9"/>
  <c r="H127" i="9"/>
  <c r="I127" i="9" s="1"/>
  <c r="G111" i="9"/>
  <c r="H111" i="9"/>
  <c r="I111" i="9" s="1"/>
  <c r="G95" i="9"/>
  <c r="H95" i="9"/>
  <c r="I95" i="9" s="1"/>
  <c r="G79" i="9"/>
  <c r="H79" i="9"/>
  <c r="I79" i="9" s="1"/>
  <c r="G55" i="9"/>
  <c r="H55" i="9"/>
  <c r="I55" i="9" s="1"/>
  <c r="G953" i="9"/>
  <c r="H953" i="9"/>
  <c r="I953" i="9" s="1"/>
  <c r="G921" i="9"/>
  <c r="H921" i="9"/>
  <c r="I921" i="9" s="1"/>
  <c r="G925" i="9"/>
  <c r="H925" i="9"/>
  <c r="I925" i="9" s="1"/>
  <c r="G782" i="9"/>
  <c r="H782" i="9"/>
  <c r="I782" i="9" s="1"/>
  <c r="G766" i="9"/>
  <c r="H766" i="9"/>
  <c r="I766" i="9" s="1"/>
  <c r="G750" i="9"/>
  <c r="H750" i="9"/>
  <c r="I750" i="9" s="1"/>
  <c r="G734" i="9"/>
  <c r="H734" i="9"/>
  <c r="I734" i="9" s="1"/>
  <c r="G718" i="9"/>
  <c r="H718" i="9"/>
  <c r="I718" i="9" s="1"/>
  <c r="G12" i="9"/>
  <c r="G610" i="9"/>
  <c r="G578" i="9"/>
  <c r="G989" i="9"/>
  <c r="H989" i="9"/>
  <c r="I989" i="9" s="1"/>
  <c r="G738" i="9"/>
  <c r="H738" i="9"/>
  <c r="I738" i="9" s="1"/>
  <c r="G537" i="9"/>
  <c r="G473" i="9"/>
  <c r="G456" i="9"/>
  <c r="G392" i="9"/>
  <c r="G360" i="9"/>
  <c r="G26" i="9"/>
  <c r="G311" i="9"/>
  <c r="H311" i="9"/>
  <c r="I311" i="9" s="1"/>
  <c r="G287" i="9"/>
  <c r="H287" i="9"/>
  <c r="I287" i="9" s="1"/>
  <c r="G197" i="9"/>
  <c r="H197" i="9"/>
  <c r="I197" i="9" s="1"/>
  <c r="G112" i="9"/>
  <c r="H112" i="9"/>
  <c r="I112" i="9" s="1"/>
  <c r="G80" i="9"/>
  <c r="H80" i="9"/>
  <c r="I80" i="9" s="1"/>
  <c r="G45" i="9"/>
  <c r="H45" i="9"/>
  <c r="I45" i="9" s="1"/>
  <c r="G13" i="9"/>
  <c r="H13" i="9"/>
  <c r="I13" i="9" s="1"/>
  <c r="G746" i="9"/>
  <c r="H746" i="9"/>
  <c r="I746" i="9" s="1"/>
  <c r="G754" i="9"/>
  <c r="H754" i="9"/>
  <c r="I754" i="9" s="1"/>
  <c r="G25" i="9"/>
  <c r="H25" i="9"/>
  <c r="I25" i="9" s="1"/>
  <c r="G762" i="9"/>
  <c r="H762" i="9"/>
  <c r="I762" i="9" s="1"/>
  <c r="H316" i="9"/>
  <c r="I316" i="9" s="1"/>
  <c r="G229" i="9"/>
  <c r="H229" i="9"/>
  <c r="I229" i="9" s="1"/>
  <c r="G126" i="9"/>
  <c r="H126" i="9"/>
  <c r="I126" i="9" s="1"/>
  <c r="G94" i="9"/>
  <c r="H94" i="9"/>
  <c r="I94" i="9" s="1"/>
  <c r="G62" i="9"/>
  <c r="H62" i="9"/>
  <c r="I62" i="9" s="1"/>
  <c r="G21" i="9"/>
  <c r="H21" i="9"/>
  <c r="I21" i="9" s="1"/>
  <c r="G931" i="9"/>
  <c r="H931" i="9"/>
  <c r="I931" i="9" s="1"/>
  <c r="G810" i="9"/>
  <c r="H810" i="9"/>
  <c r="I810" i="9" s="1"/>
  <c r="G939" i="9"/>
  <c r="H939" i="9"/>
  <c r="I939" i="9" s="1"/>
  <c r="G875" i="9"/>
  <c r="H875" i="9"/>
  <c r="I875" i="9" s="1"/>
  <c r="G838" i="9"/>
  <c r="H838" i="9"/>
  <c r="I838" i="9" s="1"/>
  <c r="G806" i="9"/>
  <c r="H806" i="9"/>
  <c r="I806" i="9" s="1"/>
  <c r="G768" i="9"/>
  <c r="H768" i="9"/>
  <c r="I768" i="9" s="1"/>
  <c r="G979" i="9"/>
  <c r="H979" i="9"/>
  <c r="I979" i="9" s="1"/>
  <c r="H901" i="9"/>
  <c r="I901" i="9" s="1"/>
  <c r="G826" i="9"/>
  <c r="H826" i="9"/>
  <c r="I826" i="9" s="1"/>
  <c r="G808" i="9"/>
  <c r="H808" i="9"/>
  <c r="I808" i="9" s="1"/>
  <c r="G764" i="9"/>
  <c r="H764" i="9"/>
  <c r="I764" i="9" s="1"/>
  <c r="H904" i="9"/>
  <c r="I904" i="9" s="1"/>
  <c r="H694" i="9"/>
  <c r="I694" i="9" s="1"/>
  <c r="G663" i="9"/>
  <c r="G525" i="9"/>
  <c r="H518" i="9"/>
  <c r="I518" i="9" s="1"/>
  <c r="H475" i="9"/>
  <c r="I475" i="9" s="1"/>
  <c r="G324" i="9"/>
  <c r="H324" i="9"/>
  <c r="I324" i="9" s="1"/>
  <c r="G291" i="9"/>
  <c r="H291" i="9"/>
  <c r="I291" i="9" s="1"/>
  <c r="G205" i="9"/>
  <c r="H205" i="9"/>
  <c r="I205" i="9" s="1"/>
  <c r="G132" i="9"/>
  <c r="H132" i="9"/>
  <c r="I132" i="9" s="1"/>
  <c r="G571" i="9"/>
  <c r="H551" i="9"/>
  <c r="I551" i="9" s="1"/>
  <c r="H322" i="9"/>
  <c r="I322" i="9" s="1"/>
  <c r="G322" i="9"/>
  <c r="G201" i="9"/>
  <c r="H201" i="9"/>
  <c r="I201" i="9" s="1"/>
  <c r="G134" i="9"/>
  <c r="H134" i="9"/>
  <c r="I134" i="9" s="1"/>
  <c r="G655" i="9"/>
  <c r="G533" i="9"/>
  <c r="H590" i="9"/>
  <c r="I590" i="9" s="1"/>
  <c r="G575" i="9"/>
  <c r="G289" i="9"/>
  <c r="H289" i="9"/>
  <c r="I289" i="9" s="1"/>
  <c r="G209" i="9"/>
  <c r="H209" i="9"/>
  <c r="I209" i="9" s="1"/>
  <c r="G130" i="9"/>
  <c r="H130" i="9"/>
  <c r="I130" i="9" s="1"/>
  <c r="G98" i="9"/>
  <c r="H98" i="9"/>
  <c r="I98" i="9" s="1"/>
  <c r="G66" i="9"/>
  <c r="H66" i="9"/>
  <c r="I66" i="9" s="1"/>
  <c r="G295" i="9"/>
  <c r="H295" i="9"/>
  <c r="I295" i="9" s="1"/>
  <c r="G120" i="9"/>
  <c r="H120" i="9"/>
  <c r="I120" i="9" s="1"/>
  <c r="G88" i="9"/>
  <c r="H88" i="9"/>
  <c r="I88" i="9" s="1"/>
  <c r="G56" i="9"/>
  <c r="H56" i="9"/>
  <c r="I56" i="9" s="1"/>
  <c r="H565" i="9"/>
  <c r="I565" i="9" s="1"/>
  <c r="G562" i="9"/>
  <c r="G439" i="9"/>
  <c r="G407" i="9"/>
  <c r="G375" i="9"/>
  <c r="G451" i="9"/>
  <c r="G419" i="9"/>
  <c r="G387" i="9"/>
  <c r="G355" i="9"/>
  <c r="G976" i="9"/>
  <c r="H976" i="9"/>
  <c r="I976" i="9" s="1"/>
  <c r="G268" i="9"/>
  <c r="H268" i="9"/>
  <c r="I268" i="9" s="1"/>
  <c r="G204" i="9"/>
  <c r="H204" i="9"/>
  <c r="I204" i="9" s="1"/>
  <c r="G172" i="9"/>
  <c r="H172" i="9"/>
  <c r="I172" i="9" s="1"/>
  <c r="G108" i="9"/>
  <c r="H108" i="9"/>
  <c r="I108" i="9" s="1"/>
  <c r="G891" i="9"/>
  <c r="H891" i="9"/>
  <c r="I891" i="9" s="1"/>
  <c r="G859" i="9"/>
  <c r="H859" i="9"/>
  <c r="I859" i="9" s="1"/>
  <c r="G947" i="9"/>
  <c r="H947" i="9"/>
  <c r="I947" i="9" s="1"/>
  <c r="G967" i="9"/>
  <c r="H967" i="9"/>
  <c r="I967" i="9" s="1"/>
  <c r="G818" i="9"/>
  <c r="H818" i="9"/>
  <c r="I818" i="9" s="1"/>
  <c r="G798" i="9"/>
  <c r="H798" i="9"/>
  <c r="I798" i="9" s="1"/>
  <c r="G752" i="9"/>
  <c r="H752" i="9"/>
  <c r="I752" i="9" s="1"/>
  <c r="G955" i="9"/>
  <c r="H955" i="9"/>
  <c r="I955" i="9" s="1"/>
  <c r="G851" i="9"/>
  <c r="H851" i="9"/>
  <c r="I851" i="9" s="1"/>
  <c r="G800" i="9"/>
  <c r="H800" i="9"/>
  <c r="I800" i="9" s="1"/>
  <c r="G748" i="9"/>
  <c r="H748" i="9"/>
  <c r="I748" i="9" s="1"/>
  <c r="H312" i="9"/>
  <c r="I312" i="9" s="1"/>
  <c r="G312" i="9"/>
  <c r="G269" i="9"/>
  <c r="H269" i="9"/>
  <c r="I269" i="9" s="1"/>
  <c r="G185" i="9"/>
  <c r="H185" i="9"/>
  <c r="I185" i="9" s="1"/>
  <c r="G46" i="9"/>
  <c r="H46" i="9"/>
  <c r="I46" i="9" s="1"/>
  <c r="G635" i="9"/>
  <c r="H635" i="9"/>
  <c r="I635" i="9" s="1"/>
  <c r="H530" i="9"/>
  <c r="I530" i="9" s="1"/>
  <c r="G300" i="9"/>
  <c r="H300" i="9"/>
  <c r="I300" i="9" s="1"/>
  <c r="G177" i="9"/>
  <c r="H177" i="9"/>
  <c r="I177" i="9" s="1"/>
  <c r="G72" i="9"/>
  <c r="H72" i="9"/>
  <c r="I72" i="9" s="1"/>
  <c r="G616" i="9"/>
  <c r="H616" i="9"/>
  <c r="I616" i="9" s="1"/>
  <c r="H588" i="9"/>
  <c r="I588" i="9" s="1"/>
  <c r="G588" i="9"/>
  <c r="H916" i="9"/>
  <c r="I916" i="9" s="1"/>
  <c r="G667" i="9"/>
  <c r="H667" i="9"/>
  <c r="I667" i="9" s="1"/>
  <c r="G487" i="9"/>
  <c r="G273" i="9"/>
  <c r="H273" i="9"/>
  <c r="I273" i="9" s="1"/>
  <c r="G189" i="9"/>
  <c r="H189" i="9"/>
  <c r="I189" i="9" s="1"/>
  <c r="G117" i="9"/>
  <c r="H117" i="9"/>
  <c r="I117" i="9" s="1"/>
  <c r="G85" i="9"/>
  <c r="H85" i="9"/>
  <c r="I85" i="9" s="1"/>
  <c r="G53" i="9"/>
  <c r="H53" i="9"/>
  <c r="I53" i="9" s="1"/>
  <c r="G603" i="9"/>
  <c r="H603" i="9"/>
  <c r="I603" i="9" s="1"/>
  <c r="H118" i="9"/>
  <c r="I118" i="9" s="1"/>
  <c r="G118" i="9"/>
  <c r="H86" i="9"/>
  <c r="I86" i="9" s="1"/>
  <c r="G86" i="9"/>
  <c r="H54" i="9"/>
  <c r="I54" i="9" s="1"/>
  <c r="G54" i="9"/>
  <c r="H607" i="9"/>
  <c r="I607" i="9" s="1"/>
  <c r="G607" i="9"/>
  <c r="H467" i="9"/>
  <c r="I467" i="9" s="1"/>
  <c r="H435" i="9"/>
  <c r="I435" i="9" s="1"/>
  <c r="H403" i="9"/>
  <c r="I403" i="9" s="1"/>
  <c r="H371" i="9"/>
  <c r="I371" i="9" s="1"/>
  <c r="H339" i="9"/>
  <c r="I339" i="9" s="1"/>
  <c r="G960" i="9"/>
  <c r="H960" i="9"/>
  <c r="I960" i="9" s="1"/>
  <c r="G236" i="9"/>
  <c r="H236" i="9"/>
  <c r="I236" i="9" s="1"/>
  <c r="G124" i="9"/>
  <c r="H124" i="9"/>
  <c r="I124" i="9" s="1"/>
  <c r="G60" i="9"/>
  <c r="H60" i="9"/>
  <c r="I60" i="9" s="1"/>
  <c r="G988" i="9"/>
  <c r="H988" i="9"/>
  <c r="I988" i="9" s="1"/>
  <c r="G956" i="9"/>
  <c r="H956" i="9"/>
  <c r="I956" i="9" s="1"/>
  <c r="G924" i="9"/>
  <c r="H924" i="9"/>
  <c r="I924" i="9" s="1"/>
  <c r="G279" i="9"/>
  <c r="H279" i="9"/>
  <c r="I279" i="9" s="1"/>
  <c r="G231" i="9"/>
  <c r="H231" i="9"/>
  <c r="I231" i="9" s="1"/>
  <c r="G199" i="9"/>
  <c r="H199" i="9"/>
  <c r="I199" i="9" s="1"/>
  <c r="G167" i="9"/>
  <c r="H167" i="9"/>
  <c r="I167" i="9" s="1"/>
  <c r="G121" i="9"/>
  <c r="H121" i="9"/>
  <c r="I121" i="9" s="1"/>
  <c r="G89" i="9"/>
  <c r="H89" i="9"/>
  <c r="I89" i="9" s="1"/>
  <c r="G57" i="9"/>
  <c r="H57" i="9"/>
  <c r="I57" i="9" s="1"/>
  <c r="G1001" i="9"/>
  <c r="H1001" i="9"/>
  <c r="I1001" i="9" s="1"/>
  <c r="G888" i="9"/>
  <c r="H888" i="9"/>
  <c r="I888" i="9" s="1"/>
  <c r="G872" i="9"/>
  <c r="H872" i="9"/>
  <c r="I872" i="9" s="1"/>
  <c r="G856" i="9"/>
  <c r="H856" i="9"/>
  <c r="I856" i="9" s="1"/>
  <c r="G906" i="9"/>
  <c r="H906" i="9"/>
  <c r="I906" i="9" s="1"/>
  <c r="G890" i="9"/>
  <c r="H890" i="9"/>
  <c r="I890" i="9" s="1"/>
  <c r="G874" i="9"/>
  <c r="H874" i="9"/>
  <c r="I874" i="9" s="1"/>
  <c r="G858" i="9"/>
  <c r="H858" i="9"/>
  <c r="I858" i="9" s="1"/>
  <c r="G892" i="9"/>
  <c r="H892" i="9"/>
  <c r="I892" i="9" s="1"/>
  <c r="G876" i="9"/>
  <c r="H876" i="9"/>
  <c r="I876" i="9" s="1"/>
  <c r="G860" i="9"/>
  <c r="H860" i="9"/>
  <c r="I860" i="9" s="1"/>
  <c r="G844" i="9"/>
  <c r="H844" i="9"/>
  <c r="I844" i="9" s="1"/>
  <c r="G711" i="9"/>
  <c r="H711" i="9"/>
  <c r="I711" i="9" s="1"/>
  <c r="G707" i="9"/>
  <c r="H707" i="9"/>
  <c r="I707" i="9" s="1"/>
  <c r="G703" i="9"/>
  <c r="H703" i="9"/>
  <c r="I703" i="9" s="1"/>
  <c r="G699" i="9"/>
  <c r="H699" i="9"/>
  <c r="I699" i="9" s="1"/>
  <c r="G695" i="9"/>
  <c r="H695" i="9"/>
  <c r="I695" i="9" s="1"/>
  <c r="G691" i="9"/>
  <c r="H691" i="9"/>
  <c r="I691" i="9" s="1"/>
  <c r="G687" i="9"/>
  <c r="H687" i="9"/>
  <c r="I687" i="9" s="1"/>
  <c r="G683" i="9"/>
  <c r="H683" i="9"/>
  <c r="I683" i="9" s="1"/>
  <c r="G679" i="9"/>
  <c r="H679" i="9"/>
  <c r="I679" i="9" s="1"/>
  <c r="G675" i="9"/>
  <c r="H675" i="9"/>
  <c r="I675" i="9" s="1"/>
  <c r="G657" i="9"/>
  <c r="H657" i="9"/>
  <c r="I657" i="9" s="1"/>
  <c r="G625" i="9"/>
  <c r="H625" i="9"/>
  <c r="I625" i="9" s="1"/>
  <c r="G593" i="9"/>
  <c r="H593" i="9"/>
  <c r="I593" i="9" s="1"/>
  <c r="G894" i="9"/>
  <c r="H894" i="9"/>
  <c r="I894" i="9" s="1"/>
  <c r="G878" i="9"/>
  <c r="H878" i="9"/>
  <c r="I878" i="9" s="1"/>
  <c r="G862" i="9"/>
  <c r="H862" i="9"/>
  <c r="I862" i="9" s="1"/>
  <c r="G846" i="9"/>
  <c r="H846" i="9"/>
  <c r="I846" i="9" s="1"/>
  <c r="G669" i="9"/>
  <c r="H669" i="9"/>
  <c r="I669" i="9" s="1"/>
  <c r="G637" i="9"/>
  <c r="H637" i="9"/>
  <c r="I637" i="9" s="1"/>
  <c r="G605" i="9"/>
  <c r="H605" i="9"/>
  <c r="I605" i="9" s="1"/>
  <c r="G573" i="9"/>
  <c r="H573" i="9"/>
  <c r="I573" i="9" s="1"/>
  <c r="G659" i="9"/>
  <c r="G524" i="9"/>
  <c r="H524" i="9"/>
  <c r="I524" i="9" s="1"/>
  <c r="G384" i="9"/>
  <c r="G564" i="9"/>
  <c r="H564" i="9"/>
  <c r="I564" i="9" s="1"/>
  <c r="G500" i="9"/>
  <c r="H500" i="9"/>
  <c r="I500" i="9" s="1"/>
  <c r="G999" i="9"/>
  <c r="H999" i="9"/>
  <c r="I999" i="9" s="1"/>
  <c r="G899" i="9"/>
  <c r="H899" i="9"/>
  <c r="I899" i="9" s="1"/>
  <c r="G790" i="9"/>
  <c r="H790" i="9"/>
  <c r="I790" i="9" s="1"/>
  <c r="G736" i="9"/>
  <c r="H736" i="9"/>
  <c r="I736" i="9" s="1"/>
  <c r="G983" i="9"/>
  <c r="H983" i="9"/>
  <c r="I983" i="9" s="1"/>
  <c r="H869" i="9"/>
  <c r="I869" i="9" s="1"/>
  <c r="G820" i="9"/>
  <c r="H820" i="9"/>
  <c r="I820" i="9" s="1"/>
  <c r="G792" i="9"/>
  <c r="H792" i="9"/>
  <c r="I792" i="9" s="1"/>
  <c r="G732" i="9"/>
  <c r="H732" i="9"/>
  <c r="I732" i="9" s="1"/>
  <c r="H700" i="9"/>
  <c r="I700" i="9" s="1"/>
  <c r="H587" i="9"/>
  <c r="I587" i="9" s="1"/>
  <c r="H477" i="9"/>
  <c r="I477" i="9" s="1"/>
  <c r="G305" i="9"/>
  <c r="H305" i="9"/>
  <c r="I305" i="9" s="1"/>
  <c r="G249" i="9"/>
  <c r="H249" i="9"/>
  <c r="I249" i="9" s="1"/>
  <c r="G161" i="9"/>
  <c r="H161" i="9"/>
  <c r="I161" i="9" s="1"/>
  <c r="G30" i="9"/>
  <c r="H30" i="9"/>
  <c r="I30" i="9" s="1"/>
  <c r="G608" i="9"/>
  <c r="H313" i="9"/>
  <c r="I313" i="9" s="1"/>
  <c r="G313" i="9"/>
  <c r="G297" i="9"/>
  <c r="H297" i="9"/>
  <c r="I297" i="9" s="1"/>
  <c r="G157" i="9"/>
  <c r="H157" i="9"/>
  <c r="I157" i="9" s="1"/>
  <c r="H485" i="9"/>
  <c r="I485" i="9" s="1"/>
  <c r="G535" i="9"/>
  <c r="G253" i="9"/>
  <c r="H253" i="9"/>
  <c r="I253" i="9" s="1"/>
  <c r="G169" i="9"/>
  <c r="H169" i="9"/>
  <c r="I169" i="9" s="1"/>
  <c r="G114" i="9"/>
  <c r="H114" i="9"/>
  <c r="I114" i="9" s="1"/>
  <c r="G82" i="9"/>
  <c r="H82" i="9"/>
  <c r="I82" i="9" s="1"/>
  <c r="G50" i="9"/>
  <c r="H50" i="9"/>
  <c r="I50" i="9" s="1"/>
  <c r="H586" i="9"/>
  <c r="I586" i="9" s="1"/>
  <c r="G265" i="9"/>
  <c r="H265" i="9"/>
  <c r="I265" i="9" s="1"/>
  <c r="H102" i="9"/>
  <c r="I102" i="9" s="1"/>
  <c r="G102" i="9"/>
  <c r="H70" i="9"/>
  <c r="I70" i="9" s="1"/>
  <c r="G70" i="9"/>
  <c r="H547" i="9"/>
  <c r="I547" i="9" s="1"/>
  <c r="H327" i="9"/>
  <c r="I327" i="9" s="1"/>
  <c r="H447" i="9"/>
  <c r="I447" i="9" s="1"/>
  <c r="H415" i="9"/>
  <c r="I415" i="9" s="1"/>
  <c r="H383" i="9"/>
  <c r="I383" i="9" s="1"/>
  <c r="H351" i="9"/>
  <c r="I351" i="9" s="1"/>
  <c r="G992" i="9"/>
  <c r="H992" i="9"/>
  <c r="I992" i="9" s="1"/>
  <c r="G928" i="9"/>
  <c r="H928" i="9"/>
  <c r="I928" i="9" s="1"/>
  <c r="G220" i="9"/>
  <c r="H220" i="9"/>
  <c r="I220" i="9" s="1"/>
  <c r="G92" i="9"/>
  <c r="H92" i="9"/>
  <c r="I92" i="9" s="1"/>
  <c r="G972" i="9"/>
  <c r="H972" i="9"/>
  <c r="I972" i="9" s="1"/>
  <c r="G940" i="9"/>
  <c r="H940" i="9"/>
  <c r="I940" i="9" s="1"/>
  <c r="G263" i="9"/>
  <c r="H263" i="9"/>
  <c r="I263" i="9" s="1"/>
  <c r="G247" i="9"/>
  <c r="H247" i="9"/>
  <c r="I247" i="9" s="1"/>
  <c r="G215" i="9"/>
  <c r="H215" i="9"/>
  <c r="I215" i="9" s="1"/>
  <c r="G183" i="9"/>
  <c r="H183" i="9"/>
  <c r="I183" i="9" s="1"/>
  <c r="G105" i="9"/>
  <c r="H105" i="9"/>
  <c r="I105" i="9" s="1"/>
  <c r="G73" i="9"/>
  <c r="H73" i="9"/>
  <c r="I73" i="9" s="1"/>
  <c r="G907" i="9"/>
  <c r="G1000" i="9"/>
  <c r="H1000" i="9"/>
  <c r="I1000" i="9" s="1"/>
  <c r="G984" i="9"/>
  <c r="H984" i="9"/>
  <c r="I984" i="9" s="1"/>
  <c r="G968" i="9"/>
  <c r="H968" i="9"/>
  <c r="I968" i="9" s="1"/>
  <c r="G952" i="9"/>
  <c r="H952" i="9"/>
  <c r="I952" i="9" s="1"/>
  <c r="G936" i="9"/>
  <c r="H936" i="9"/>
  <c r="I936" i="9" s="1"/>
  <c r="G920" i="9"/>
  <c r="H920" i="9"/>
  <c r="I920" i="9" s="1"/>
  <c r="G276" i="9"/>
  <c r="H276" i="9"/>
  <c r="I276" i="9" s="1"/>
  <c r="G260" i="9"/>
  <c r="H260" i="9"/>
  <c r="I260" i="9" s="1"/>
  <c r="G244" i="9"/>
  <c r="H244" i="9"/>
  <c r="I244" i="9" s="1"/>
  <c r="G228" i="9"/>
  <c r="H228" i="9"/>
  <c r="I228" i="9" s="1"/>
  <c r="G212" i="9"/>
  <c r="H212" i="9"/>
  <c r="I212" i="9" s="1"/>
  <c r="G196" i="9"/>
  <c r="H196" i="9"/>
  <c r="I196" i="9" s="1"/>
  <c r="G180" i="9"/>
  <c r="H180" i="9"/>
  <c r="I180" i="9" s="1"/>
  <c r="H274" i="9"/>
  <c r="I274" i="9" s="1"/>
  <c r="H258" i="9"/>
  <c r="I258" i="9" s="1"/>
  <c r="H242" i="9"/>
  <c r="I242" i="9" s="1"/>
  <c r="H226" i="9"/>
  <c r="I226" i="9" s="1"/>
  <c r="H210" i="9"/>
  <c r="I210" i="9" s="1"/>
  <c r="H194" i="9"/>
  <c r="I194" i="9" s="1"/>
  <c r="H178" i="9"/>
  <c r="I178" i="9" s="1"/>
  <c r="H982" i="9"/>
  <c r="I982" i="9" s="1"/>
  <c r="G116" i="9"/>
  <c r="H116" i="9"/>
  <c r="I116" i="9" s="1"/>
  <c r="G100" i="9"/>
  <c r="H100" i="9"/>
  <c r="I100" i="9" s="1"/>
  <c r="G84" i="9"/>
  <c r="H84" i="9"/>
  <c r="I84" i="9" s="1"/>
  <c r="G68" i="9"/>
  <c r="H68" i="9"/>
  <c r="I68" i="9" s="1"/>
  <c r="G52" i="9"/>
  <c r="H52" i="9"/>
  <c r="I52" i="9" s="1"/>
  <c r="G985" i="9"/>
  <c r="H985" i="9"/>
  <c r="I985" i="9" s="1"/>
  <c r="G959" i="9"/>
  <c r="H959" i="9"/>
  <c r="I959" i="9" s="1"/>
  <c r="G927" i="9"/>
  <c r="H927" i="9"/>
  <c r="I927" i="9" s="1"/>
  <c r="G981" i="9"/>
  <c r="H981" i="9"/>
  <c r="I981" i="9" s="1"/>
  <c r="G941" i="9"/>
  <c r="H941" i="9"/>
  <c r="I941" i="9" s="1"/>
  <c r="G977" i="9"/>
  <c r="H977" i="9"/>
  <c r="I977" i="9" s="1"/>
  <c r="G949" i="9"/>
  <c r="H949" i="9"/>
  <c r="I949" i="9" s="1"/>
  <c r="G943" i="9"/>
  <c r="H943" i="9"/>
  <c r="I943" i="9" s="1"/>
  <c r="G910" i="9"/>
  <c r="H910" i="9"/>
  <c r="I910" i="9" s="1"/>
  <c r="G837" i="9"/>
  <c r="H837" i="9"/>
  <c r="I837" i="9" s="1"/>
  <c r="G833" i="9"/>
  <c r="H833" i="9"/>
  <c r="I833" i="9" s="1"/>
  <c r="G829" i="9"/>
  <c r="H829" i="9"/>
  <c r="I829" i="9" s="1"/>
  <c r="G825" i="9"/>
  <c r="H825" i="9"/>
  <c r="I825" i="9" s="1"/>
  <c r="G821" i="9"/>
  <c r="H821" i="9"/>
  <c r="I821" i="9" s="1"/>
  <c r="G817" i="9"/>
  <c r="H817" i="9"/>
  <c r="I817" i="9" s="1"/>
  <c r="G813" i="9"/>
  <c r="H813" i="9"/>
  <c r="I813" i="9" s="1"/>
  <c r="G809" i="9"/>
  <c r="H809" i="9"/>
  <c r="I809" i="9" s="1"/>
  <c r="G805" i="9"/>
  <c r="H805" i="9"/>
  <c r="I805" i="9" s="1"/>
  <c r="G801" i="9"/>
  <c r="H801" i="9"/>
  <c r="I801" i="9" s="1"/>
  <c r="G797" i="9"/>
  <c r="H797" i="9"/>
  <c r="I797" i="9" s="1"/>
  <c r="G793" i="9"/>
  <c r="H793" i="9"/>
  <c r="I793" i="9" s="1"/>
  <c r="G785" i="9"/>
  <c r="H785" i="9"/>
  <c r="I785" i="9" s="1"/>
  <c r="G777" i="9"/>
  <c r="H777" i="9"/>
  <c r="I777" i="9" s="1"/>
  <c r="G769" i="9"/>
  <c r="H769" i="9"/>
  <c r="I769" i="9" s="1"/>
  <c r="G761" i="9"/>
  <c r="H761" i="9"/>
  <c r="I761" i="9" s="1"/>
  <c r="G753" i="9"/>
  <c r="H753" i="9"/>
  <c r="I753" i="9" s="1"/>
  <c r="G745" i="9"/>
  <c r="H745" i="9"/>
  <c r="I745" i="9" s="1"/>
  <c r="G737" i="9"/>
  <c r="H737" i="9"/>
  <c r="I737" i="9" s="1"/>
  <c r="G729" i="9"/>
  <c r="H729" i="9"/>
  <c r="I729" i="9" s="1"/>
  <c r="G721" i="9"/>
  <c r="H721" i="9"/>
  <c r="I721" i="9" s="1"/>
  <c r="G713" i="9"/>
  <c r="H713" i="9"/>
  <c r="I713" i="9" s="1"/>
  <c r="G665" i="9"/>
  <c r="H665" i="9"/>
  <c r="I665" i="9" s="1"/>
  <c r="G633" i="9"/>
  <c r="H633" i="9"/>
  <c r="I633" i="9" s="1"/>
  <c r="G622" i="9"/>
  <c r="G601" i="9"/>
  <c r="H601" i="9"/>
  <c r="I601" i="9" s="1"/>
  <c r="G569" i="9"/>
  <c r="H569" i="9"/>
  <c r="I569" i="9" s="1"/>
  <c r="G937" i="9"/>
  <c r="H937" i="9"/>
  <c r="I937" i="9" s="1"/>
  <c r="G789" i="9"/>
  <c r="H789" i="9"/>
  <c r="I789" i="9" s="1"/>
  <c r="G781" i="9"/>
  <c r="H781" i="9"/>
  <c r="I781" i="9" s="1"/>
  <c r="G773" i="9"/>
  <c r="H773" i="9"/>
  <c r="I773" i="9" s="1"/>
  <c r="G765" i="9"/>
  <c r="H765" i="9"/>
  <c r="I765" i="9" s="1"/>
  <c r="G757" i="9"/>
  <c r="H757" i="9"/>
  <c r="I757" i="9" s="1"/>
  <c r="G749" i="9"/>
  <c r="H749" i="9"/>
  <c r="I749" i="9" s="1"/>
  <c r="G741" i="9"/>
  <c r="H741" i="9"/>
  <c r="I741" i="9" s="1"/>
  <c r="G733" i="9"/>
  <c r="H733" i="9"/>
  <c r="I733" i="9" s="1"/>
  <c r="G725" i="9"/>
  <c r="H725" i="9"/>
  <c r="I725" i="9" s="1"/>
  <c r="G717" i="9"/>
  <c r="H717" i="9"/>
  <c r="I717" i="9" s="1"/>
  <c r="G645" i="9"/>
  <c r="H645" i="9"/>
  <c r="I645" i="9" s="1"/>
  <c r="G613" i="9"/>
  <c r="H613" i="9"/>
  <c r="I613" i="9" s="1"/>
  <c r="G581" i="9"/>
  <c r="H581" i="9"/>
  <c r="I581" i="9" s="1"/>
  <c r="G540" i="9"/>
  <c r="H540" i="9"/>
  <c r="I540" i="9" s="1"/>
  <c r="G476" i="9"/>
  <c r="H476" i="9"/>
  <c r="I476" i="9" s="1"/>
  <c r="G332" i="9"/>
  <c r="G245" i="9"/>
  <c r="H245" i="9"/>
  <c r="I245" i="9" s="1"/>
  <c r="G49" i="9"/>
  <c r="H49" i="9"/>
  <c r="I49" i="9" s="1"/>
  <c r="G536" i="9"/>
  <c r="H536" i="9"/>
  <c r="I536" i="9" s="1"/>
  <c r="G504" i="9"/>
  <c r="H504" i="9"/>
  <c r="I504" i="9" s="1"/>
  <c r="G472" i="9"/>
  <c r="H472" i="9"/>
  <c r="I472" i="9" s="1"/>
  <c r="G516" i="9"/>
  <c r="H516" i="9"/>
  <c r="I516" i="9" s="1"/>
  <c r="G277" i="9"/>
  <c r="H277" i="9"/>
  <c r="I277" i="9" s="1"/>
  <c r="G149" i="9"/>
  <c r="H149" i="9"/>
  <c r="I149" i="9" s="1"/>
  <c r="G34" i="9"/>
  <c r="G9" i="9"/>
  <c r="H9" i="9"/>
  <c r="I9" i="9" s="1"/>
  <c r="G544" i="9"/>
  <c r="H544" i="9"/>
  <c r="I544" i="9" s="1"/>
  <c r="G512" i="9"/>
  <c r="H512" i="9"/>
  <c r="I512" i="9" s="1"/>
  <c r="G480" i="9"/>
  <c r="H480" i="9"/>
  <c r="I480" i="9" s="1"/>
  <c r="G871" i="9"/>
  <c r="G834" i="9"/>
  <c r="H834" i="9"/>
  <c r="I834" i="9" s="1"/>
  <c r="H863" i="9"/>
  <c r="I863" i="9" s="1"/>
  <c r="G867" i="9"/>
  <c r="H867" i="9"/>
  <c r="I867" i="9" s="1"/>
  <c r="G963" i="9"/>
  <c r="H963" i="9"/>
  <c r="I963" i="9" s="1"/>
  <c r="G843" i="9"/>
  <c r="H843" i="9"/>
  <c r="I843" i="9" s="1"/>
  <c r="G812" i="9"/>
  <c r="H812" i="9"/>
  <c r="I812" i="9" s="1"/>
  <c r="G784" i="9"/>
  <c r="H784" i="9"/>
  <c r="I784" i="9" s="1"/>
  <c r="G720" i="9"/>
  <c r="H720" i="9"/>
  <c r="I720" i="9" s="1"/>
  <c r="G883" i="9"/>
  <c r="H883" i="9"/>
  <c r="I883" i="9" s="1"/>
  <c r="G842" i="9"/>
  <c r="H842" i="9"/>
  <c r="I842" i="9" s="1"/>
  <c r="G814" i="9"/>
  <c r="H814" i="9"/>
  <c r="I814" i="9" s="1"/>
  <c r="G780" i="9"/>
  <c r="H780" i="9"/>
  <c r="I780" i="9" s="1"/>
  <c r="G716" i="9"/>
  <c r="H716" i="9"/>
  <c r="I716" i="9" s="1"/>
  <c r="H676" i="9"/>
  <c r="I676" i="9" s="1"/>
  <c r="H678" i="9"/>
  <c r="I678" i="9" s="1"/>
  <c r="H647" i="9"/>
  <c r="I647" i="9" s="1"/>
  <c r="H555" i="9"/>
  <c r="I555" i="9" s="1"/>
  <c r="G293" i="9"/>
  <c r="H293" i="9"/>
  <c r="I293" i="9" s="1"/>
  <c r="G225" i="9"/>
  <c r="H225" i="9"/>
  <c r="I225" i="9" s="1"/>
  <c r="G141" i="9"/>
  <c r="H141" i="9"/>
  <c r="I141" i="9" s="1"/>
  <c r="G14" i="9"/>
  <c r="H14" i="9"/>
  <c r="I14" i="9" s="1"/>
  <c r="H620" i="9"/>
  <c r="I620" i="9" s="1"/>
  <c r="G620" i="9"/>
  <c r="H471" i="9"/>
  <c r="I471" i="9" s="1"/>
  <c r="G309" i="9"/>
  <c r="H309" i="9"/>
  <c r="I309" i="9" s="1"/>
  <c r="G241" i="9"/>
  <c r="H241" i="9"/>
  <c r="I241" i="9" s="1"/>
  <c r="G137" i="9"/>
  <c r="H137" i="9"/>
  <c r="I137" i="9" s="1"/>
  <c r="G104" i="9"/>
  <c r="H104" i="9"/>
  <c r="I104" i="9" s="1"/>
  <c r="H912" i="9"/>
  <c r="I912" i="9" s="1"/>
  <c r="H671" i="9"/>
  <c r="I671" i="9" s="1"/>
  <c r="H639" i="9"/>
  <c r="I639" i="9" s="1"/>
  <c r="G651" i="9"/>
  <c r="H651" i="9"/>
  <c r="I651" i="9" s="1"/>
  <c r="H908" i="9"/>
  <c r="I908" i="9" s="1"/>
  <c r="H643" i="9"/>
  <c r="I643" i="9" s="1"/>
  <c r="G514" i="9"/>
  <c r="G296" i="9"/>
  <c r="H296" i="9"/>
  <c r="I296" i="9" s="1"/>
  <c r="G233" i="9"/>
  <c r="H233" i="9"/>
  <c r="I233" i="9" s="1"/>
  <c r="G145" i="9"/>
  <c r="H145" i="9"/>
  <c r="I145" i="9" s="1"/>
  <c r="G101" i="9"/>
  <c r="H101" i="9"/>
  <c r="I101" i="9" s="1"/>
  <c r="G69" i="9"/>
  <c r="H69" i="9"/>
  <c r="I69" i="9" s="1"/>
  <c r="G315" i="9"/>
  <c r="H315" i="9"/>
  <c r="I315" i="9" s="1"/>
  <c r="G221" i="9"/>
  <c r="H221" i="9"/>
  <c r="I221" i="9" s="1"/>
  <c r="H702" i="9"/>
  <c r="I702" i="9" s="1"/>
  <c r="G376" i="6"/>
  <c r="G392" i="6"/>
  <c r="G632" i="6"/>
  <c r="G648" i="6"/>
  <c r="G800" i="6"/>
  <c r="G80" i="6"/>
  <c r="G440" i="6"/>
  <c r="G456" i="6"/>
  <c r="G696" i="6"/>
  <c r="G712" i="6"/>
  <c r="G17" i="6"/>
  <c r="G33" i="6"/>
  <c r="G53" i="6"/>
  <c r="G77" i="6"/>
  <c r="G101" i="6"/>
  <c r="G125" i="6"/>
  <c r="G153" i="6"/>
  <c r="G177" i="6"/>
  <c r="G201" i="6"/>
  <c r="G225" i="6"/>
  <c r="G249" i="6"/>
  <c r="G273" i="6"/>
  <c r="G301" i="6"/>
  <c r="G24" i="6"/>
  <c r="G32" i="6"/>
  <c r="G40" i="6"/>
  <c r="G88" i="6"/>
  <c r="G96" i="6"/>
  <c r="G104" i="6"/>
  <c r="G144" i="6"/>
  <c r="G156" i="6"/>
  <c r="G164" i="6"/>
  <c r="G172" i="6"/>
  <c r="G212" i="6"/>
  <c r="G240" i="6"/>
  <c r="G248" i="6"/>
  <c r="G272" i="6"/>
  <c r="G280" i="6"/>
  <c r="G308" i="6"/>
  <c r="G504" i="6"/>
  <c r="G520" i="6"/>
  <c r="G568" i="6"/>
  <c r="G584" i="6"/>
  <c r="G728" i="6"/>
  <c r="G744" i="6"/>
  <c r="G792" i="6"/>
  <c r="G5" i="6"/>
  <c r="G25" i="6"/>
  <c r="G45" i="6"/>
  <c r="G65" i="6"/>
  <c r="G89" i="6"/>
  <c r="G113" i="6"/>
  <c r="G137" i="6"/>
  <c r="G165" i="6"/>
  <c r="G189" i="6"/>
  <c r="G213" i="6"/>
  <c r="G237" i="6"/>
  <c r="G261" i="6"/>
  <c r="G285" i="6"/>
  <c r="G16" i="6"/>
  <c r="G28" i="6"/>
  <c r="G36" i="6"/>
  <c r="G44" i="6"/>
  <c r="G92" i="6"/>
  <c r="G100" i="6"/>
  <c r="G108" i="6"/>
  <c r="G152" i="6"/>
  <c r="G160" i="6"/>
  <c r="G168" i="6"/>
  <c r="G208" i="6"/>
  <c r="G216" i="6"/>
  <c r="G244" i="6"/>
  <c r="G276" i="6"/>
  <c r="G304" i="6"/>
  <c r="G312" i="6"/>
  <c r="G328" i="6"/>
  <c r="G472" i="6"/>
  <c r="G488" i="6"/>
  <c r="G536" i="6"/>
  <c r="G552" i="6"/>
  <c r="G760" i="6"/>
  <c r="G776" i="6"/>
  <c r="G753" i="6"/>
  <c r="G761" i="6"/>
  <c r="G769" i="6"/>
  <c r="G777" i="6"/>
  <c r="G785" i="6"/>
  <c r="G793" i="6"/>
  <c r="G801" i="6"/>
  <c r="G809" i="6"/>
  <c r="G817" i="6"/>
  <c r="G825" i="6"/>
  <c r="G833" i="6"/>
  <c r="G841" i="6"/>
  <c r="G849" i="6"/>
  <c r="G857" i="6"/>
  <c r="G865" i="6"/>
  <c r="G873" i="6"/>
  <c r="G881" i="6"/>
  <c r="G889" i="6"/>
  <c r="G905" i="6"/>
  <c r="G913" i="6"/>
  <c r="G921" i="6"/>
  <c r="G929" i="6"/>
  <c r="G937" i="6"/>
  <c r="G945" i="6"/>
  <c r="G953" i="6"/>
  <c r="G961" i="6"/>
  <c r="G977" i="6"/>
  <c r="G993" i="6"/>
  <c r="G896" i="9"/>
  <c r="G880" i="9"/>
  <c r="G864" i="9"/>
  <c r="G848" i="9"/>
  <c r="G898" i="9"/>
  <c r="G882" i="9"/>
  <c r="G866" i="9"/>
  <c r="G850" i="9"/>
  <c r="G900" i="9"/>
  <c r="G884" i="9"/>
  <c r="G868" i="9"/>
  <c r="G852" i="9"/>
  <c r="G709" i="9"/>
  <c r="G705" i="9"/>
  <c r="G701" i="9"/>
  <c r="G697" i="9"/>
  <c r="G693" i="9"/>
  <c r="G689" i="9"/>
  <c r="G685" i="9"/>
  <c r="G681" i="9"/>
  <c r="G677" i="9"/>
  <c r="G673" i="9"/>
  <c r="G641" i="9"/>
  <c r="G609" i="9"/>
  <c r="G577" i="9"/>
  <c r="G902" i="9"/>
  <c r="G886" i="9"/>
  <c r="G870" i="9"/>
  <c r="G854" i="9"/>
  <c r="G653" i="9"/>
  <c r="G621" i="9"/>
  <c r="G589" i="9"/>
  <c r="G556" i="9"/>
  <c r="G492" i="9"/>
  <c r="G532" i="9"/>
  <c r="G314" i="9"/>
  <c r="G282" i="9"/>
  <c r="G266" i="9"/>
  <c r="G250" i="9"/>
  <c r="G234" i="9"/>
  <c r="G218" i="9"/>
  <c r="G202" i="9"/>
  <c r="G186" i="9"/>
  <c r="G170" i="9"/>
  <c r="G969" i="9"/>
  <c r="G933" i="9"/>
  <c r="G997" i="9"/>
  <c r="G965" i="9"/>
  <c r="G993" i="9"/>
  <c r="G961" i="9"/>
  <c r="G917" i="9"/>
  <c r="G914" i="9"/>
  <c r="G839" i="9"/>
  <c r="G835" i="9"/>
  <c r="G831" i="9"/>
  <c r="G827" i="9"/>
  <c r="G823" i="9"/>
  <c r="G819" i="9"/>
  <c r="G815" i="9"/>
  <c r="G811" i="9"/>
  <c r="G807" i="9"/>
  <c r="G803" i="9"/>
  <c r="G799" i="9"/>
  <c r="G795" i="9"/>
  <c r="G791" i="9"/>
  <c r="G783" i="9"/>
  <c r="G775" i="9"/>
  <c r="G767" i="9"/>
  <c r="G759" i="9"/>
  <c r="G751" i="9"/>
  <c r="G743" i="9"/>
  <c r="G735" i="9"/>
  <c r="G727" i="9"/>
  <c r="G719" i="9"/>
  <c r="G649" i="9"/>
  <c r="G617" i="9"/>
  <c r="G585" i="9"/>
  <c r="G786" i="9"/>
  <c r="G787" i="9"/>
  <c r="G779" i="9"/>
  <c r="G771" i="9"/>
  <c r="G763" i="9"/>
  <c r="G755" i="9"/>
  <c r="G747" i="9"/>
  <c r="G739" i="9"/>
  <c r="G731" i="9"/>
  <c r="G723" i="9"/>
  <c r="G715" i="9"/>
  <c r="G661" i="9"/>
  <c r="G629" i="9"/>
  <c r="G597" i="9"/>
  <c r="G508" i="9"/>
  <c r="G318" i="9"/>
  <c r="G181" i="9"/>
  <c r="G17" i="9"/>
  <c r="G552" i="9"/>
  <c r="G520" i="9"/>
  <c r="G488" i="9"/>
  <c r="G548" i="9"/>
  <c r="G484" i="9"/>
  <c r="G306" i="9"/>
  <c r="G213" i="9"/>
  <c r="G41" i="9"/>
  <c r="G560" i="9"/>
  <c r="G528" i="9"/>
  <c r="G496" i="9"/>
  <c r="G316" i="9"/>
  <c r="G957" i="9"/>
  <c r="G774" i="9"/>
  <c r="G758" i="9"/>
  <c r="G742" i="9"/>
  <c r="G726" i="9"/>
  <c r="G770" i="9"/>
  <c r="G33" i="9"/>
  <c r="G261" i="9"/>
  <c r="G128" i="9"/>
  <c r="G96" i="9"/>
  <c r="G64" i="9"/>
  <c r="G29" i="9"/>
  <c r="G778" i="9"/>
  <c r="G714" i="9"/>
  <c r="G722" i="9"/>
  <c r="G973" i="9"/>
  <c r="G730" i="9"/>
  <c r="G285" i="9"/>
  <c r="G165" i="9"/>
  <c r="G110" i="9"/>
  <c r="G78" i="9"/>
  <c r="G37" i="9"/>
  <c r="G5" i="9"/>
  <c r="G974" i="9"/>
  <c r="G942" i="9"/>
  <c r="G994" i="9"/>
  <c r="G962" i="9"/>
  <c r="G930" i="9"/>
  <c r="G986" i="9"/>
  <c r="G922" i="9"/>
  <c r="G934" i="9"/>
  <c r="G298" i="9"/>
  <c r="G970" i="9"/>
  <c r="G918" i="9"/>
  <c r="G302" i="9"/>
  <c r="G270" i="9"/>
  <c r="G256" i="9"/>
  <c r="G227" i="9"/>
  <c r="G206" i="9"/>
  <c r="G192" i="9"/>
  <c r="G163" i="9"/>
  <c r="G147" i="9"/>
  <c r="G950" i="9"/>
  <c r="G272" i="9"/>
  <c r="G243" i="9"/>
  <c r="G222" i="9"/>
  <c r="G208" i="9"/>
  <c r="G179" i="9"/>
  <c r="G159" i="9"/>
  <c r="G135" i="9"/>
  <c r="G131" i="9"/>
  <c r="G288" i="9"/>
  <c r="G267" i="9"/>
  <c r="G246" i="9"/>
  <c r="G232" i="9"/>
  <c r="G203" i="9"/>
  <c r="G182" i="9"/>
  <c r="G168" i="9"/>
  <c r="G160" i="9"/>
  <c r="G152" i="9"/>
  <c r="G144" i="9"/>
  <c r="G136" i="9"/>
  <c r="G115" i="9"/>
  <c r="G99" i="9"/>
  <c r="G83" i="9"/>
  <c r="G67" i="9"/>
  <c r="G51" i="9"/>
  <c r="G283" i="9"/>
  <c r="G262" i="9"/>
  <c r="G248" i="9"/>
  <c r="G219" i="9"/>
  <c r="G198" i="9"/>
  <c r="G184" i="9"/>
  <c r="G164" i="9"/>
  <c r="G156" i="9"/>
  <c r="G148" i="9"/>
  <c r="G140" i="9"/>
  <c r="G119" i="9"/>
  <c r="G103" i="9"/>
  <c r="G87" i="9"/>
  <c r="G63" i="9"/>
  <c r="G274" i="9"/>
  <c r="G258" i="9"/>
  <c r="G242" i="9"/>
  <c r="G226" i="9"/>
  <c r="G210" i="9"/>
  <c r="G194" i="9"/>
  <c r="G178" i="9"/>
  <c r="G982" i="9"/>
  <c r="G41" i="6"/>
  <c r="G73" i="6"/>
  <c r="G97" i="6"/>
  <c r="G121" i="6"/>
  <c r="G145" i="6"/>
  <c r="G169" i="6"/>
  <c r="G193" i="6"/>
  <c r="G217" i="6"/>
  <c r="G241" i="6"/>
  <c r="G269" i="6"/>
  <c r="G293" i="6"/>
  <c r="G8" i="6"/>
  <c r="G48" i="6"/>
  <c r="G60" i="6"/>
  <c r="G68" i="6"/>
  <c r="G76" i="6"/>
  <c r="G120" i="6"/>
  <c r="G128" i="6"/>
  <c r="G136" i="6"/>
  <c r="G176" i="6"/>
  <c r="G188" i="6"/>
  <c r="G196" i="6"/>
  <c r="G224" i="6"/>
  <c r="G232" i="6"/>
  <c r="G260" i="6"/>
  <c r="G288" i="6"/>
  <c r="G296" i="6"/>
  <c r="G336" i="6"/>
  <c r="G368" i="6"/>
  <c r="G400" i="6"/>
  <c r="G432" i="6"/>
  <c r="G464" i="6"/>
  <c r="G496" i="6"/>
  <c r="G528" i="6"/>
  <c r="G560" i="6"/>
  <c r="G592" i="6"/>
  <c r="G624" i="6"/>
  <c r="G656" i="6"/>
  <c r="G688" i="6"/>
  <c r="G720" i="6"/>
  <c r="G752" i="6"/>
  <c r="G784" i="6"/>
  <c r="G804" i="6"/>
  <c r="G812" i="6"/>
  <c r="G820" i="6"/>
  <c r="G21" i="6"/>
  <c r="G37" i="6"/>
  <c r="G57" i="6"/>
  <c r="G81" i="6"/>
  <c r="G105" i="6"/>
  <c r="G129" i="6"/>
  <c r="G149" i="6"/>
  <c r="G173" i="6"/>
  <c r="G197" i="6"/>
  <c r="G221" i="6"/>
  <c r="G245" i="6"/>
  <c r="G265" i="6"/>
  <c r="G289" i="6"/>
  <c r="G897" i="6"/>
  <c r="G985" i="6"/>
  <c r="G13" i="6"/>
  <c r="G61" i="6"/>
  <c r="G85" i="6"/>
  <c r="G109" i="6"/>
  <c r="G133" i="6"/>
  <c r="G157" i="6"/>
  <c r="G181" i="6"/>
  <c r="G205" i="6"/>
  <c r="G229" i="6"/>
  <c r="G257" i="6"/>
  <c r="G281" i="6"/>
  <c r="G305" i="6"/>
  <c r="G4" i="6"/>
  <c r="G12" i="6"/>
  <c r="G56" i="6"/>
  <c r="G64" i="6"/>
  <c r="G72" i="6"/>
  <c r="G112" i="6"/>
  <c r="G124" i="6"/>
  <c r="G132" i="6"/>
  <c r="G140" i="6"/>
  <c r="G184" i="6"/>
  <c r="G192" i="6"/>
  <c r="G200" i="6"/>
  <c r="G228" i="6"/>
  <c r="G256" i="6"/>
  <c r="G264" i="6"/>
  <c r="G292" i="6"/>
  <c r="G320" i="6"/>
  <c r="G352" i="6"/>
  <c r="G384" i="6"/>
  <c r="G416" i="6"/>
  <c r="G448" i="6"/>
  <c r="G480" i="6"/>
  <c r="G512" i="6"/>
  <c r="G544" i="6"/>
  <c r="G576" i="6"/>
  <c r="G608" i="6"/>
  <c r="G640" i="6"/>
  <c r="G672" i="6"/>
  <c r="G704" i="6"/>
  <c r="G736" i="6"/>
  <c r="G768" i="6"/>
  <c r="G808" i="6"/>
  <c r="G816" i="6"/>
  <c r="G9" i="6"/>
  <c r="G29" i="6"/>
  <c r="G49" i="6"/>
  <c r="G69" i="6"/>
  <c r="G93" i="6"/>
  <c r="G117" i="6"/>
  <c r="G141" i="6"/>
  <c r="G161" i="6"/>
  <c r="G185" i="6"/>
  <c r="G209" i="6"/>
  <c r="G233" i="6"/>
  <c r="G253" i="6"/>
  <c r="G277" i="6"/>
  <c r="G297" i="6"/>
  <c r="G965" i="6"/>
  <c r="G997" i="6"/>
  <c r="K2" i="11" l="1"/>
</calcChain>
</file>

<file path=xl/connections.xml><?xml version="1.0" encoding="utf-8"?>
<connections xmlns="http://schemas.openxmlformats.org/spreadsheetml/2006/main">
  <connection id="1" name="pomiar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2" name="pomiar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3" name="pomiar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4" name="pomiar12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5" name="pomiar12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6" name="pomiar12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7" name="pomiar121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8" name="pomiar1211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9" name="pomiar2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0" name="pomiar2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1" name="pomiar2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2" name="pomiar21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3" name="pomiar211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4" name="pomiar211111" type="6" refreshedVersion="6" background="1" saveData="1">
    <textPr codePage="852" sourceFile="C:\Users\2022aR\Desktop\Matura\2021-01\pomiar.txt" decimal="," thousands=" " tab="0" semicolon="1">
      <textFields count="3">
        <textField/>
        <textField/>
        <textField/>
      </textFields>
    </textPr>
  </connection>
  <connection id="15" name="pomiar3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16" name="pomiar31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17" name="pomiar32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18" name="pomiar321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19" name="pomiar3211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20" name="pomiar32111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21" name="pomiar321111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  <connection id="22" name="pomiar4" type="6" refreshedVersion="6" background="1" saveData="1">
    <textPr codePage="852" sourceFile="C:\Users\2022aR\Desktop\Matura\2021-01\pomiar.txt" decimal="," thousands=" " tab="0" semicolon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<sst xmlns="http://schemas.openxmlformats.org/spreadsheetml/2006/main" count="9540" uniqueCount="445">
  <si>
    <t>numer rejestracyjny</t>
  </si>
  <si>
    <t>Punkt A</t>
  </si>
  <si>
    <t>Punkt B</t>
  </si>
  <si>
    <t>NWE1882</t>
  </si>
  <si>
    <t>GTC6032</t>
  </si>
  <si>
    <t>NOE1810</t>
  </si>
  <si>
    <t>CBR1005</t>
  </si>
  <si>
    <t>STA5802</t>
  </si>
  <si>
    <t>FSW8833</t>
  </si>
  <si>
    <t>BLM550S</t>
  </si>
  <si>
    <t>RPZ6117</t>
  </si>
  <si>
    <t>FGW7916</t>
  </si>
  <si>
    <t>NKE9304</t>
  </si>
  <si>
    <t>BSU7002</t>
  </si>
  <si>
    <t>BMN6560</t>
  </si>
  <si>
    <t>DJE4167</t>
  </si>
  <si>
    <t>NBR3345</t>
  </si>
  <si>
    <t>KBR5778</t>
  </si>
  <si>
    <t>EPA8924</t>
  </si>
  <si>
    <t>RTA5016</t>
  </si>
  <si>
    <t>WPZ8966</t>
  </si>
  <si>
    <t>NEL2373</t>
  </si>
  <si>
    <t>LZA7235</t>
  </si>
  <si>
    <t>WZW7144</t>
  </si>
  <si>
    <t>GSZ9176</t>
  </si>
  <si>
    <t>DSR1552</t>
  </si>
  <si>
    <t>WZU5215</t>
  </si>
  <si>
    <t>NGI7942</t>
  </si>
  <si>
    <t>WSZ3763</t>
  </si>
  <si>
    <t>ELW4637</t>
  </si>
  <si>
    <t>CZN4614</t>
  </si>
  <si>
    <t>CCH2234</t>
  </si>
  <si>
    <t>OPO5592</t>
  </si>
  <si>
    <t>WKZ1364</t>
  </si>
  <si>
    <t>ZBI6356</t>
  </si>
  <si>
    <t>CBY9249</t>
  </si>
  <si>
    <t>WPY7337</t>
  </si>
  <si>
    <t>BSI3245</t>
  </si>
  <si>
    <t>WSI3602</t>
  </si>
  <si>
    <t>ZWA2184</t>
  </si>
  <si>
    <t>CIN2517</t>
  </si>
  <si>
    <t>NNI5982</t>
  </si>
  <si>
    <t>ZSZ2700</t>
  </si>
  <si>
    <t>CWA4963</t>
  </si>
  <si>
    <t>GCZ6717</t>
  </si>
  <si>
    <t>FZA9218</t>
  </si>
  <si>
    <t>FWS1238</t>
  </si>
  <si>
    <t>NMR7567</t>
  </si>
  <si>
    <t>SWD1063</t>
  </si>
  <si>
    <t>NLI1232</t>
  </si>
  <si>
    <t>RPR8482</t>
  </si>
  <si>
    <t>WSC9512</t>
  </si>
  <si>
    <t>SRB970D</t>
  </si>
  <si>
    <t>TSK8689</t>
  </si>
  <si>
    <t>BSE248P</t>
  </si>
  <si>
    <t>WSE1444</t>
  </si>
  <si>
    <t>EOP7868</t>
  </si>
  <si>
    <t>EWI961D</t>
  </si>
  <si>
    <t>CTR7456</t>
  </si>
  <si>
    <t>WY58670</t>
  </si>
  <si>
    <t>NIL3535</t>
  </si>
  <si>
    <t>CTU1210</t>
  </si>
  <si>
    <t>SRS2013</t>
  </si>
  <si>
    <t>WZY9176</t>
  </si>
  <si>
    <t>NDZ6132</t>
  </si>
  <si>
    <t>CGD8150</t>
  </si>
  <si>
    <t>TST606F</t>
  </si>
  <si>
    <t>CSW4471</t>
  </si>
  <si>
    <t>NPI2072</t>
  </si>
  <si>
    <t>LUB9718</t>
  </si>
  <si>
    <t>DKA1443</t>
  </si>
  <si>
    <t>GBY2123</t>
  </si>
  <si>
    <t>NSZ8448</t>
  </si>
  <si>
    <t>FZI8967</t>
  </si>
  <si>
    <t>NEB9600</t>
  </si>
  <si>
    <t>NOL4507</t>
  </si>
  <si>
    <t>CG97781</t>
  </si>
  <si>
    <t>KWA6482</t>
  </si>
  <si>
    <t>WPU705O</t>
  </si>
  <si>
    <t>RNI2447</t>
  </si>
  <si>
    <t>EBE7309</t>
  </si>
  <si>
    <t>ELE4598</t>
  </si>
  <si>
    <t>GWE660D</t>
  </si>
  <si>
    <t>NGO9410</t>
  </si>
  <si>
    <t>DZL5538</t>
  </si>
  <si>
    <t>EPD1467</t>
  </si>
  <si>
    <t>PO1852D</t>
  </si>
  <si>
    <t>RZE7144</t>
  </si>
  <si>
    <t>WRA7205</t>
  </si>
  <si>
    <t>CGR5488</t>
  </si>
  <si>
    <t>TSA2570</t>
  </si>
  <si>
    <t>EZG9571</t>
  </si>
  <si>
    <t>BL96936</t>
  </si>
  <si>
    <t>TSZ4505</t>
  </si>
  <si>
    <t>RRS3699</t>
  </si>
  <si>
    <t>DPL8260</t>
  </si>
  <si>
    <t>KBC3869</t>
  </si>
  <si>
    <t>RMI3407</t>
  </si>
  <si>
    <t>LWL5004</t>
  </si>
  <si>
    <t>EBR2763</t>
  </si>
  <si>
    <t>DKL3952</t>
  </si>
  <si>
    <t>KTT2196</t>
  </si>
  <si>
    <t>FSU1902</t>
  </si>
  <si>
    <t>EWE4423</t>
  </si>
  <si>
    <t>CAL4310</t>
  </si>
  <si>
    <t>EZD788M</t>
  </si>
  <si>
    <t>POB1989</t>
  </si>
  <si>
    <t>NBA1025</t>
  </si>
  <si>
    <t>GDA2515</t>
  </si>
  <si>
    <t>NOG3903</t>
  </si>
  <si>
    <t>FZG8877</t>
  </si>
  <si>
    <t>SRC6856</t>
  </si>
  <si>
    <t>ETM257F</t>
  </si>
  <si>
    <t>GCH864N</t>
  </si>
  <si>
    <t>BSK5990</t>
  </si>
  <si>
    <t>FSL6199</t>
  </si>
  <si>
    <t>WSK6080</t>
  </si>
  <si>
    <t>NNM3913</t>
  </si>
  <si>
    <t>CWL381S</t>
  </si>
  <si>
    <t>CLI5630</t>
  </si>
  <si>
    <t>DST6471</t>
  </si>
  <si>
    <t>WK95525</t>
  </si>
  <si>
    <t>WW85062</t>
  </si>
  <si>
    <t>LB56852</t>
  </si>
  <si>
    <t>CT31774</t>
  </si>
  <si>
    <t>LU68482</t>
  </si>
  <si>
    <t>PO13340</t>
  </si>
  <si>
    <t>WW20137</t>
  </si>
  <si>
    <t>WL49978</t>
  </si>
  <si>
    <t>CB96618</t>
  </si>
  <si>
    <t>DB79091</t>
  </si>
  <si>
    <t>WI3373K</t>
  </si>
  <si>
    <t>EP37557</t>
  </si>
  <si>
    <t>FG18816</t>
  </si>
  <si>
    <t>FZ46305</t>
  </si>
  <si>
    <t>SB16521</t>
  </si>
  <si>
    <t>OP99731</t>
  </si>
  <si>
    <t>CW78453</t>
  </si>
  <si>
    <t>RT86483</t>
  </si>
  <si>
    <t>ST19923</t>
  </si>
  <si>
    <t>WW8829E</t>
  </si>
  <si>
    <t>WS87052</t>
  </si>
  <si>
    <t>SC21037</t>
  </si>
  <si>
    <t>WR41039</t>
  </si>
  <si>
    <t>SZ51491</t>
  </si>
  <si>
    <t>SW39699</t>
  </si>
  <si>
    <t>WW50312</t>
  </si>
  <si>
    <t>WX21908</t>
  </si>
  <si>
    <t>BS62755</t>
  </si>
  <si>
    <t>DL33730</t>
  </si>
  <si>
    <t>SR84334</t>
  </si>
  <si>
    <t>OB18936</t>
  </si>
  <si>
    <t>GD23556</t>
  </si>
  <si>
    <t>WZ23965</t>
  </si>
  <si>
    <t>GA77712</t>
  </si>
  <si>
    <t>NE78145</t>
  </si>
  <si>
    <t>SY38147</t>
  </si>
  <si>
    <t>WJ87174</t>
  </si>
  <si>
    <t>RP20247</t>
  </si>
  <si>
    <t>LZ36064</t>
  </si>
  <si>
    <t>WU95639</t>
  </si>
  <si>
    <t>WT96288</t>
  </si>
  <si>
    <t>NO84797</t>
  </si>
  <si>
    <t>WA22592</t>
  </si>
  <si>
    <t>NOE1814</t>
  </si>
  <si>
    <t>NO84796</t>
  </si>
  <si>
    <t>ZBI683A</t>
  </si>
  <si>
    <t>ZWA67SA</t>
  </si>
  <si>
    <t>ZSZ97CD</t>
  </si>
  <si>
    <t>WO182CT</t>
  </si>
  <si>
    <t>FG41856</t>
  </si>
  <si>
    <t>CT1893N</t>
  </si>
  <si>
    <t>NBA102A</t>
  </si>
  <si>
    <t>NO84799</t>
  </si>
  <si>
    <t>ZBI196E</t>
  </si>
  <si>
    <t>ZWA215K</t>
  </si>
  <si>
    <t>ZSZ29GR</t>
  </si>
  <si>
    <t>PK18222</t>
  </si>
  <si>
    <t>NBA102S</t>
  </si>
  <si>
    <t>FG189FK</t>
  </si>
  <si>
    <t>CB187BL</t>
  </si>
  <si>
    <t>NBA102B</t>
  </si>
  <si>
    <t>NO8479C</t>
  </si>
  <si>
    <t>BL5582G</t>
  </si>
  <si>
    <t>BLM8782</t>
  </si>
  <si>
    <t>BMN3894</t>
  </si>
  <si>
    <t>BS31698</t>
  </si>
  <si>
    <t>BSE7433</t>
  </si>
  <si>
    <t>BSI7235</t>
  </si>
  <si>
    <t>BSK586A</t>
  </si>
  <si>
    <t>BSU5919</t>
  </si>
  <si>
    <t>CAL2064</t>
  </si>
  <si>
    <t>CB95132</t>
  </si>
  <si>
    <t>CBR5883</t>
  </si>
  <si>
    <t>CBY5051</t>
  </si>
  <si>
    <t>CCH7924</t>
  </si>
  <si>
    <t>CG59243</t>
  </si>
  <si>
    <t>CGD5776</t>
  </si>
  <si>
    <t>CGR1261</t>
  </si>
  <si>
    <t>CIN3593</t>
  </si>
  <si>
    <t>CLI7557</t>
  </si>
  <si>
    <t>CSW8524</t>
  </si>
  <si>
    <t>CT68312</t>
  </si>
  <si>
    <t>CTR9653</t>
  </si>
  <si>
    <t>CTU8578</t>
  </si>
  <si>
    <t>CW37343</t>
  </si>
  <si>
    <t>CWA131O</t>
  </si>
  <si>
    <t>CWL3378</t>
  </si>
  <si>
    <t>CZN3150</t>
  </si>
  <si>
    <t>DB58025</t>
  </si>
  <si>
    <t>DJE2824</t>
  </si>
  <si>
    <t>DKA9237</t>
  </si>
  <si>
    <t>DKL5927</t>
  </si>
  <si>
    <t>DL55328</t>
  </si>
  <si>
    <t>DPL8275</t>
  </si>
  <si>
    <t>DSR2326</t>
  </si>
  <si>
    <t>DST4194</t>
  </si>
  <si>
    <t>DZL6373</t>
  </si>
  <si>
    <t>EBE7668</t>
  </si>
  <si>
    <t>EBR4237</t>
  </si>
  <si>
    <t>ELE6198</t>
  </si>
  <si>
    <t>ELW6064</t>
  </si>
  <si>
    <t>EOP1476</t>
  </si>
  <si>
    <t>EP89410</t>
  </si>
  <si>
    <t>EPA1590</t>
  </si>
  <si>
    <t>EPD160N</t>
  </si>
  <si>
    <t>ETM8116</t>
  </si>
  <si>
    <t>EWE4571</t>
  </si>
  <si>
    <t>EWI2309</t>
  </si>
  <si>
    <t>EZD9842</t>
  </si>
  <si>
    <t>EZG5773</t>
  </si>
  <si>
    <t>FG0951N</t>
  </si>
  <si>
    <t>FGW6941</t>
  </si>
  <si>
    <t>FSL518H</t>
  </si>
  <si>
    <t>FSU7573</t>
  </si>
  <si>
    <t>FSW5992</t>
  </si>
  <si>
    <t>FWS226P</t>
  </si>
  <si>
    <t>FZ17044</t>
  </si>
  <si>
    <t>FZA9954</t>
  </si>
  <si>
    <t>FZG4304</t>
  </si>
  <si>
    <t>FZI4964</t>
  </si>
  <si>
    <t>GA40781</t>
  </si>
  <si>
    <t>GBY6936</t>
  </si>
  <si>
    <t>GCH6872</t>
  </si>
  <si>
    <t>GCZ2644</t>
  </si>
  <si>
    <t>GD56329</t>
  </si>
  <si>
    <t>GDA2835</t>
  </si>
  <si>
    <t>GSZ6990</t>
  </si>
  <si>
    <t>GTC7381</t>
  </si>
  <si>
    <t>GWE7036</t>
  </si>
  <si>
    <t>KBC2269</t>
  </si>
  <si>
    <t>KBR7936</t>
  </si>
  <si>
    <t>KTT8835</t>
  </si>
  <si>
    <t>KWA9676</t>
  </si>
  <si>
    <t>LB1414G</t>
  </si>
  <si>
    <t>LU35521</t>
  </si>
  <si>
    <t>LUB1054</t>
  </si>
  <si>
    <t>LWL7458</t>
  </si>
  <si>
    <t>LZ94980</t>
  </si>
  <si>
    <t>LZA7617</t>
  </si>
  <si>
    <t>NBA7692</t>
  </si>
  <si>
    <t>NBR9068</t>
  </si>
  <si>
    <t>NDZ3838</t>
  </si>
  <si>
    <t>NE43232</t>
  </si>
  <si>
    <t>NEB4258</t>
  </si>
  <si>
    <t>NEL2042</t>
  </si>
  <si>
    <t>NGI3330</t>
  </si>
  <si>
    <t>NGO2477</t>
  </si>
  <si>
    <t>NLI1794</t>
  </si>
  <si>
    <t>NMR424I</t>
  </si>
  <si>
    <t>NNI6370</t>
  </si>
  <si>
    <t>NNM9579</t>
  </si>
  <si>
    <t>NO33338</t>
  </si>
  <si>
    <t>NOE8398</t>
  </si>
  <si>
    <t>NOG4844</t>
  </si>
  <si>
    <t>NOL5089</t>
  </si>
  <si>
    <t>NOS9404</t>
  </si>
  <si>
    <t>NPI201N</t>
  </si>
  <si>
    <t>NSZ1891</t>
  </si>
  <si>
    <t>NWE5330</t>
  </si>
  <si>
    <t>OB94491</t>
  </si>
  <si>
    <t>OP67817</t>
  </si>
  <si>
    <t>OPO3720</t>
  </si>
  <si>
    <t>PK16514</t>
  </si>
  <si>
    <t>PO36336</t>
  </si>
  <si>
    <t>POB6651</t>
  </si>
  <si>
    <t>RMI7902</t>
  </si>
  <si>
    <t>RNI3021</t>
  </si>
  <si>
    <t>RP5592K</t>
  </si>
  <si>
    <t>RPR3058</t>
  </si>
  <si>
    <t>RPZ5906</t>
  </si>
  <si>
    <t>RRS3368</t>
  </si>
  <si>
    <t>RT43110</t>
  </si>
  <si>
    <t>RTA4619</t>
  </si>
  <si>
    <t>SB68800</t>
  </si>
  <si>
    <t>SC32502</t>
  </si>
  <si>
    <t>SR1985M</t>
  </si>
  <si>
    <t>SRB024S</t>
  </si>
  <si>
    <t>SRC187N</t>
  </si>
  <si>
    <t>SRS6116</t>
  </si>
  <si>
    <t>ST97059</t>
  </si>
  <si>
    <t>STA4751</t>
  </si>
  <si>
    <t>SW85648</t>
  </si>
  <si>
    <t>SWD617N</t>
  </si>
  <si>
    <t>SY78603</t>
  </si>
  <si>
    <t>SZ59202</t>
  </si>
  <si>
    <t>TSA241J</t>
  </si>
  <si>
    <t>TSK2073</t>
  </si>
  <si>
    <t>TST8888</t>
  </si>
  <si>
    <t>TSZ4162</t>
  </si>
  <si>
    <t>WA21713</t>
  </si>
  <si>
    <t>WI32726</t>
  </si>
  <si>
    <t>WJ47079</t>
  </si>
  <si>
    <t>WK42847</t>
  </si>
  <si>
    <t>WKZ1004</t>
  </si>
  <si>
    <t>WL69908</t>
  </si>
  <si>
    <t>WPU9780</t>
  </si>
  <si>
    <t>WPY9119</t>
  </si>
  <si>
    <t>WPZ7235</t>
  </si>
  <si>
    <t>WR97385</t>
  </si>
  <si>
    <t>WRA9291</t>
  </si>
  <si>
    <t>WS94235</t>
  </si>
  <si>
    <t>WSC4081</t>
  </si>
  <si>
    <t>WSE356D</t>
  </si>
  <si>
    <t>WSI3586</t>
  </si>
  <si>
    <t>WSK9224</t>
  </si>
  <si>
    <t>WSZ9428</t>
  </si>
  <si>
    <t>WT62996</t>
  </si>
  <si>
    <t>WU2974D</t>
  </si>
  <si>
    <t>WW71217</t>
  </si>
  <si>
    <t>WW17659</t>
  </si>
  <si>
    <t>WW52111</t>
  </si>
  <si>
    <t>WW82357</t>
  </si>
  <si>
    <t>WX30361</t>
  </si>
  <si>
    <t>WY27675</t>
  </si>
  <si>
    <t>WZ58017</t>
  </si>
  <si>
    <t>WZU7839</t>
  </si>
  <si>
    <t>WZW2110</t>
  </si>
  <si>
    <t>WZY9376</t>
  </si>
  <si>
    <t>ZBI9880</t>
  </si>
  <si>
    <t>ZSZ5258</t>
  </si>
  <si>
    <t>ZWA9726</t>
  </si>
  <si>
    <t>BL96423</t>
  </si>
  <si>
    <t>BLM1403</t>
  </si>
  <si>
    <t>BMN5915</t>
  </si>
  <si>
    <t>BS53470</t>
  </si>
  <si>
    <t>BSE8878</t>
  </si>
  <si>
    <t>BSI1759</t>
  </si>
  <si>
    <t>BSK8702</t>
  </si>
  <si>
    <t>BSU6951</t>
  </si>
  <si>
    <t>CAL4809</t>
  </si>
  <si>
    <t>CB71301</t>
  </si>
  <si>
    <t>CBR7720</t>
  </si>
  <si>
    <t>CBY8643</t>
  </si>
  <si>
    <t>CCH9482</t>
  </si>
  <si>
    <t>CG47792</t>
  </si>
  <si>
    <t>CGD9990</t>
  </si>
  <si>
    <t>CGR9703</t>
  </si>
  <si>
    <t>CIN691K</t>
  </si>
  <si>
    <t>CLI2574</t>
  </si>
  <si>
    <t>CSW4060</t>
  </si>
  <si>
    <t>CT86442</t>
  </si>
  <si>
    <t>CTR5598</t>
  </si>
  <si>
    <t>CTU6811</t>
  </si>
  <si>
    <t>CW96921</t>
  </si>
  <si>
    <t>CWA6850</t>
  </si>
  <si>
    <t>CWL2921</t>
  </si>
  <si>
    <t>CZN5274</t>
  </si>
  <si>
    <t>DB67589</t>
  </si>
  <si>
    <t>DJE2146</t>
  </si>
  <si>
    <t>DKA7028</t>
  </si>
  <si>
    <t>DKL4966</t>
  </si>
  <si>
    <t>DL55344</t>
  </si>
  <si>
    <t>DPL8466</t>
  </si>
  <si>
    <t>DSR6069</t>
  </si>
  <si>
    <t>DST5125</t>
  </si>
  <si>
    <t>DZL4203</t>
  </si>
  <si>
    <t>EBE6538</t>
  </si>
  <si>
    <t>EBR2084</t>
  </si>
  <si>
    <t>ELE9063</t>
  </si>
  <si>
    <t>ELW1531</t>
  </si>
  <si>
    <t>EOP3703</t>
  </si>
  <si>
    <t>EP33151</t>
  </si>
  <si>
    <t>EPA1431</t>
  </si>
  <si>
    <t>EPD7404</t>
  </si>
  <si>
    <t>ETM4322</t>
  </si>
  <si>
    <t>EWE455O</t>
  </si>
  <si>
    <t>EWI1216</t>
  </si>
  <si>
    <t>EZD7248</t>
  </si>
  <si>
    <t>EZG1393</t>
  </si>
  <si>
    <t>FG67386</t>
  </si>
  <si>
    <t>FGW6752</t>
  </si>
  <si>
    <t>FSL9473</t>
  </si>
  <si>
    <t>FSU8901</t>
  </si>
  <si>
    <t>FSW4979</t>
  </si>
  <si>
    <t>FWS4179</t>
  </si>
  <si>
    <t>FZ79420</t>
  </si>
  <si>
    <t>FZA9518</t>
  </si>
  <si>
    <t>FZG1291</t>
  </si>
  <si>
    <t>FZI1328</t>
  </si>
  <si>
    <t>GA43729</t>
  </si>
  <si>
    <t>GBY8879</t>
  </si>
  <si>
    <t>GCH6429</t>
  </si>
  <si>
    <t>GCZ2096</t>
  </si>
  <si>
    <t>GD19511</t>
  </si>
  <si>
    <t>GDA138R</t>
  </si>
  <si>
    <t>GSZ1612</t>
  </si>
  <si>
    <t>GTC745B</t>
  </si>
  <si>
    <t>GWE9120</t>
  </si>
  <si>
    <t>KBC3948</t>
  </si>
  <si>
    <t>KBR9340</t>
  </si>
  <si>
    <t>KTT7762</t>
  </si>
  <si>
    <t>KWA9904</t>
  </si>
  <si>
    <t>LB42424</t>
  </si>
  <si>
    <t>LU21178</t>
  </si>
  <si>
    <t>LUB2655</t>
  </si>
  <si>
    <t>LWL7800</t>
  </si>
  <si>
    <t>Ile z A</t>
  </si>
  <si>
    <t>Ile z B</t>
  </si>
  <si>
    <t>Czas przejazdu</t>
  </si>
  <si>
    <t>Minuty</t>
  </si>
  <si>
    <t>Sekundy</t>
  </si>
  <si>
    <t>Punkt początkowy</t>
  </si>
  <si>
    <t>Minuta ułamkowa</t>
  </si>
  <si>
    <t>Czas w Sekundach</t>
  </si>
  <si>
    <t>Km/h</t>
  </si>
  <si>
    <t>Czy spełnia warunek</t>
  </si>
  <si>
    <t>KWI9918</t>
  </si>
  <si>
    <t>KWI7049</t>
  </si>
  <si>
    <t>STY3028</t>
  </si>
  <si>
    <t>KWI9178</t>
  </si>
  <si>
    <t>STY6873</t>
  </si>
  <si>
    <t>Max prędkość</t>
  </si>
  <si>
    <t>Etykiety wierszy</t>
  </si>
  <si>
    <t>(puste)</t>
  </si>
  <si>
    <t>Suma końcowa</t>
  </si>
  <si>
    <t>Liczba z numer rejestracyjny</t>
  </si>
  <si>
    <t>Ilość przejazdów</t>
  </si>
  <si>
    <t>Przekroczenia o &gt; 10</t>
  </si>
  <si>
    <t>czy przekracza &gt; 50</t>
  </si>
  <si>
    <t>czy przekroczył o ponad 50</t>
  </si>
  <si>
    <t>numer</t>
  </si>
  <si>
    <t>(Wiele elementów)</t>
  </si>
  <si>
    <t>Ile przekroczyło</t>
  </si>
  <si>
    <t>godzina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</si>
</sst>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0.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49" fontId="0" fillId="0" borderId="0" xfId="0" applyNumberFormat="1"/>
    <xf numFmtId="164" fontId="0" fillId="2" borderId="0" xfId="0" applyNumberFormat="1" applyFill="1"/>
    <xf numFmtId="165" fontId="0" fillId="2" borderId="0" xfId="0" applyNumberFormat="1" applyFill="1"/>
    <xf numFmtId="49" fontId="0" fillId="2" borderId="0" xfId="0" applyNumberFormat="1" applyFill="1"/>
    <xf numFmtId="49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0" xfId="0" applyFill="1"/>
    <xf numFmtId="1" fontId="0" fillId="0" borderId="0" xfId="0" applyNumberFormat="1"/>
  </cellXfs>
  <cellStyles count="1">
    <cellStyle name="Normalny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[pomiar.xlsx]z8-odp!Tabela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przejazdów z podziałem na godziny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'z8-odp'!$B$1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'z8-odp'!$A$2:$A$27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(puste)</c:v>
                </c:pt>
              </c:strCache>
            </c:strRef>
          </c:cat>
          <c:val>
            <c:numRef>
              <c:f>'z8-odp'!$B$2:$B$27</c:f>
              <c:numCache>
                <c:formatCode>General</c:formatCode>
                <c:ptCount val="25"/>
                <c:pt idx="0">
                  <c:v>42</c:v>
                </c:pt>
                <c:pt idx="1">
                  <c:v>44</c:v>
                </c:pt>
                <c:pt idx="2">
                  <c:v>37</c:v>
                </c:pt>
                <c:pt idx="3">
                  <c:v>45</c:v>
                </c:pt>
                <c:pt idx="4">
                  <c:v>38</c:v>
                </c:pt>
                <c:pt idx="5">
                  <c:v>38</c:v>
                </c:pt>
                <c:pt idx="6">
                  <c:v>39</c:v>
                </c:pt>
                <c:pt idx="7">
                  <c:v>39</c:v>
                </c:pt>
                <c:pt idx="8">
                  <c:v>37</c:v>
                </c:pt>
                <c:pt idx="9">
                  <c:v>36</c:v>
                </c:pt>
                <c:pt idx="10">
                  <c:v>44</c:v>
                </c:pt>
                <c:pt idx="11">
                  <c:v>30</c:v>
                </c:pt>
                <c:pt idx="12">
                  <c:v>54</c:v>
                </c:pt>
                <c:pt idx="13">
                  <c:v>50</c:v>
                </c:pt>
                <c:pt idx="14">
                  <c:v>42</c:v>
                </c:pt>
                <c:pt idx="15">
                  <c:v>39</c:v>
                </c:pt>
                <c:pt idx="16">
                  <c:v>34</c:v>
                </c:pt>
                <c:pt idx="17">
                  <c:v>58</c:v>
                </c:pt>
                <c:pt idx="18">
                  <c:v>37</c:v>
                </c:pt>
                <c:pt idx="19">
                  <c:v>42</c:v>
                </c:pt>
                <c:pt idx="20">
                  <c:v>48</c:v>
                </c:pt>
                <c:pt idx="21">
                  <c:v>41</c:v>
                </c:pt>
                <c:pt idx="22">
                  <c:v>54</c:v>
                </c:pt>
                <c:pt idx="2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E-405C-87B4-C79FB701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689456"/>
        <c:axId val="1176693200"/>
      </c:barChart>
      <c:catAx>
        <c:axId val="117668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6693200"/>
        <c:crosses val="autoZero"/>
        <c:auto val="1"/>
        <c:lblAlgn val="ctr"/>
        <c:lblOffset val="100"/>
        <c:noMultiLvlLbl val="0"/>
      </c:catAx>
      <c:valAx>
        <c:axId val="11766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66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087.496345949075" createdVersion="6" refreshedVersion="6" minRefreshableVersion="3" recordCount="1001">
  <cacheSource type="worksheet">
    <worksheetSource ref="A1:C1048576" sheet="z5"/>
  </cacheSource>
  <cacheFields count="3">
    <cacheField name="numer rejestracyjny" numFmtId="0">
      <sharedItems containsBlank="1" count="420">
        <s v="NWE1882"/>
        <s v="GTC6032"/>
        <s v="NOE1810"/>
        <s v="CBR1005"/>
        <s v="STA5802"/>
        <s v="FSW8833"/>
        <s v="BLM550S"/>
        <s v="RPZ6117"/>
        <s v="FGW7916"/>
        <s v="NKE9304"/>
        <s v="BSU7002"/>
        <s v="BMN6560"/>
        <s v="DJE4167"/>
        <s v="NBR3345"/>
        <s v="KBR5778"/>
        <s v="EPA8924"/>
        <s v="RTA5016"/>
        <s v="WPZ8966"/>
        <s v="NEL2373"/>
        <s v="LZA7235"/>
        <s v="WZW7144"/>
        <s v="GSZ9176"/>
        <s v="DSR1552"/>
        <s v="WZU5215"/>
        <s v="NGI7942"/>
        <s v="WSZ3763"/>
        <s v="ELW4637"/>
        <s v="CZN4614"/>
        <s v="CCH2234"/>
        <s v="OPO5592"/>
        <s v="WKZ1364"/>
        <s v="ZBI6356"/>
        <s v="KWI7049"/>
        <s v="CBY9249"/>
        <s v="WPY7337"/>
        <s v="BSI3245"/>
        <s v="WSI3602"/>
        <s v="ZWA2184"/>
        <s v="CIN2517"/>
        <s v="NNI5982"/>
        <s v="ZSZ2700"/>
        <s v="CWA4963"/>
        <s v="GCZ6717"/>
        <s v="FZA9218"/>
        <s v="FWS1238"/>
        <s v="NMR7567"/>
        <s v="SWD1063"/>
        <s v="NLI1232"/>
        <s v="RPR8482"/>
        <s v="WSC9512"/>
        <s v="SRB970D"/>
        <s v="TSK8689"/>
        <s v="BSE248P"/>
        <s v="WSE1444"/>
        <s v="EOP7868"/>
        <s v="EWI961D"/>
        <s v="CTR7456"/>
        <s v="WY58670"/>
        <s v="NIL3535"/>
        <s v="CTU1210"/>
        <s v="SRS2013"/>
        <s v="WZY9176"/>
        <s v="NDZ6132"/>
        <s v="CGD8150"/>
        <s v="TST606F"/>
        <s v="CSW4471"/>
        <s v="NPI2072"/>
        <s v="LUB9718"/>
        <s v="DKA1443"/>
        <s v="GBY2123"/>
        <s v="NSZ8448"/>
        <s v="FZI8967"/>
        <s v="NEB9600"/>
        <s v="NOL4507"/>
        <s v="CG97781"/>
        <s v="KWA6482"/>
        <s v="WPU705O"/>
        <s v="RNI2447"/>
        <s v="EBE7309"/>
        <s v="ELE4598"/>
        <s v="GWE660D"/>
        <s v="NGO9410"/>
        <s v="DZL5538"/>
        <s v="EPD1467"/>
        <s v="PO1852D"/>
        <s v="RZE7144"/>
        <s v="WRA7205"/>
        <s v="CGR5488"/>
        <s v="TSA2570"/>
        <s v="EZG9571"/>
        <s v="BL96936"/>
        <s v="TSZ4505"/>
        <s v="RRS3699"/>
        <s v="DPL8260"/>
        <s v="KBC3869"/>
        <s v="RMI3407"/>
        <s v="LWL5004"/>
        <s v="EBR2763"/>
        <s v="DKL3952"/>
        <s v="KTT2196"/>
        <s v="FSU1902"/>
        <s v="EWE4423"/>
        <s v="CAL4310"/>
        <s v="EZD788M"/>
        <s v="POB1989"/>
        <s v="NBA1025"/>
        <s v="GDA2515"/>
        <s v="NOG3903"/>
        <s v="FZG8877"/>
        <s v="STY3028"/>
        <s v="SRC6856"/>
        <s v="ETM257F"/>
        <s v="GCH864N"/>
        <s v="BSK5990"/>
        <s v="FSL6199"/>
        <s v="WSK6080"/>
        <s v="NNM3913"/>
        <s v="CWL381S"/>
        <s v="CLI5630"/>
        <s v="DST6471"/>
        <s v="WK95525"/>
        <s v="WW85062"/>
        <s v="LB56852"/>
        <s v="CT31774"/>
        <s v="LU68482"/>
        <s v="PO13340"/>
        <s v="WW20137"/>
        <s v="WL49978"/>
        <s v="CB96618"/>
        <s v="DB79091"/>
        <s v="WI3373K"/>
        <s v="EP37557"/>
        <s v="FG18816"/>
        <s v="FZ46305"/>
        <s v="SB16521"/>
        <s v="OP99731"/>
        <s v="CW78453"/>
        <s v="RT86483"/>
        <s v="ST19923"/>
        <s v="WW8829E"/>
        <s v="WS87052"/>
        <s v="SC21037"/>
        <s v="WR41039"/>
        <s v="SZ51491"/>
        <s v="SW39699"/>
        <s v="WW50312"/>
        <s v="WX21908"/>
        <s v="BS62755"/>
        <s v="DL33730"/>
        <s v="SR84334"/>
        <s v="OB18936"/>
        <s v="GD23556"/>
        <s v="WZ23965"/>
        <s v="GA77712"/>
        <s v="NE78145"/>
        <s v="SY38147"/>
        <s v="WJ87174"/>
        <s v="RP20247"/>
        <s v="LZ36064"/>
        <s v="WU95639"/>
        <s v="WT96288"/>
        <s v="NO84797"/>
        <s v="WA22592"/>
        <s v="NOE1814"/>
        <s v="NO84796"/>
        <s v="ZBI683A"/>
        <s v="ZWA67SA"/>
        <s v="ZSZ97CD"/>
        <s v="WO182CT"/>
        <s v="FG41856"/>
        <s v="CT1893N"/>
        <s v="NBA102A"/>
        <s v="NO84799"/>
        <s v="ZBI196E"/>
        <s v="ZWA215K"/>
        <s v="ZSZ29GR"/>
        <s v="PK18222"/>
        <s v="NBA102S"/>
        <s v="FG189FK"/>
        <s v="CB187BL"/>
        <s v="NBA102B"/>
        <s v="NO8479C"/>
        <s v="BL5582G"/>
        <s v="BLM8782"/>
        <s v="BMN3894"/>
        <s v="BS31698"/>
        <s v="BSE7433"/>
        <s v="BSI7235"/>
        <s v="BSK586A"/>
        <s v="BSU5919"/>
        <s v="CAL2064"/>
        <s v="CB95132"/>
        <s v="CBR5883"/>
        <s v="CBY5051"/>
        <s v="CCH7924"/>
        <s v="CG59243"/>
        <s v="CGD5776"/>
        <s v="CGR1261"/>
        <s v="CIN3593"/>
        <s v="CLI7557"/>
        <s v="CSW8524"/>
        <s v="CT68312"/>
        <s v="CTR9653"/>
        <s v="CTU8578"/>
        <s v="CW37343"/>
        <s v="CWA131O"/>
        <s v="CWL3378"/>
        <s v="CZN3150"/>
        <s v="DB58025"/>
        <s v="DJE2824"/>
        <s v="DKA9237"/>
        <s v="DKL5927"/>
        <s v="DL55328"/>
        <s v="DPL8275"/>
        <s v="DSR2326"/>
        <s v="DST4194"/>
        <s v="DZL6373"/>
        <s v="EBE7668"/>
        <s v="EBR4237"/>
        <s v="ELE6198"/>
        <s v="ELW6064"/>
        <s v="EOP1476"/>
        <s v="EP89410"/>
        <s v="EPA1590"/>
        <s v="EPD160N"/>
        <s v="ETM8116"/>
        <s v="EWE4571"/>
        <s v="EWI2309"/>
        <s v="EZD9842"/>
        <s v="EZG5773"/>
        <s v="FG0951N"/>
        <s v="FGW6941"/>
        <s v="FSL518H"/>
        <s v="FSU7573"/>
        <s v="FSW5992"/>
        <s v="FWS226P"/>
        <s v="FZ17044"/>
        <s v="FZA9954"/>
        <s v="FZG4304"/>
        <s v="FZI4964"/>
        <s v="GA40781"/>
        <s v="GBY6936"/>
        <s v="GCH6872"/>
        <s v="GCZ2644"/>
        <s v="GD56329"/>
        <s v="GDA2835"/>
        <s v="GSZ6990"/>
        <s v="GTC7381"/>
        <s v="GWE7036"/>
        <s v="KBC2269"/>
        <s v="KBR7936"/>
        <s v="KTT8835"/>
        <s v="KWA9676"/>
        <s v="KWI9178"/>
        <s v="LB1414G"/>
        <s v="LU35521"/>
        <s v="LUB1054"/>
        <s v="LWL7458"/>
        <s v="LZ94980"/>
        <s v="LZA7617"/>
        <s v="NBA7692"/>
        <s v="NBR9068"/>
        <s v="NDZ3838"/>
        <s v="NE43232"/>
        <s v="NEB4258"/>
        <s v="NEL2042"/>
        <s v="NGI3330"/>
        <s v="NGO2477"/>
        <s v="NLI1794"/>
        <s v="NMR424I"/>
        <s v="NNI6370"/>
        <s v="NNM9579"/>
        <s v="NO33338"/>
        <s v="NOE8398"/>
        <s v="NOG4844"/>
        <s v="NOL5089"/>
        <s v="NOS9404"/>
        <s v="NPI201N"/>
        <s v="NSZ1891"/>
        <s v="NWE5330"/>
        <s v="OB94491"/>
        <s v="OP67817"/>
        <s v="OPO3720"/>
        <s v="PK16514"/>
        <s v="PO36336"/>
        <s v="POB6651"/>
        <s v="RMI7902"/>
        <s v="RNI3021"/>
        <s v="RP5592K"/>
        <s v="RPR3058"/>
        <s v="RPZ5906"/>
        <s v="RRS3368"/>
        <s v="RT43110"/>
        <s v="RTA4619"/>
        <s v="SB68800"/>
        <s v="SC32502"/>
        <s v="SR1985M"/>
        <s v="SRB024S"/>
        <s v="SRC187N"/>
        <s v="SRS6116"/>
        <s v="ST97059"/>
        <s v="STA4751"/>
        <s v="STY6873"/>
        <s v="SW85648"/>
        <s v="SWD617N"/>
        <s v="SY78603"/>
        <s v="SZ59202"/>
        <s v="TSA241J"/>
        <s v="TSK2073"/>
        <s v="TST8888"/>
        <s v="TSZ4162"/>
        <s v="WA21713"/>
        <s v="WI32726"/>
        <s v="WJ47079"/>
        <s v="WK42847"/>
        <s v="WKZ1004"/>
        <s v="WL69908"/>
        <s v="WPU9780"/>
        <s v="WPY9119"/>
        <s v="WPZ7235"/>
        <s v="WR97385"/>
        <s v="WRA9291"/>
        <s v="WS94235"/>
        <s v="WSC4081"/>
        <s v="WSE356D"/>
        <s v="WSI3586"/>
        <s v="WSK9224"/>
        <s v="WSZ9428"/>
        <s v="WT62996"/>
        <s v="WU2974D"/>
        <s v="WW71217"/>
        <s v="WW17659"/>
        <s v="WW52111"/>
        <s v="WW82357"/>
        <s v="WX30361"/>
        <s v="WY27675"/>
        <s v="WZ58017"/>
        <s v="WZU7839"/>
        <s v="WZW2110"/>
        <s v="WZY9376"/>
        <s v="ZBI9880"/>
        <s v="ZSZ5258"/>
        <s v="ZWA9726"/>
        <s v="BL96423"/>
        <s v="BLM1403"/>
        <s v="BMN5915"/>
        <s v="BS53470"/>
        <s v="BSE8878"/>
        <s v="BSI1759"/>
        <s v="BSK8702"/>
        <s v="BSU6951"/>
        <s v="CAL4809"/>
        <s v="CB71301"/>
        <s v="CBR7720"/>
        <s v="CBY8643"/>
        <s v="CCH9482"/>
        <s v="CG47792"/>
        <s v="CGD9990"/>
        <s v="CGR9703"/>
        <s v="CIN691K"/>
        <s v="CLI2574"/>
        <s v="CSW4060"/>
        <s v="CT86442"/>
        <s v="CTR5598"/>
        <s v="CTU6811"/>
        <s v="CW96921"/>
        <s v="CWA6850"/>
        <s v="CWL2921"/>
        <s v="CZN5274"/>
        <s v="DB67589"/>
        <s v="DJE2146"/>
        <s v="DKA7028"/>
        <s v="DKL4966"/>
        <s v="DL55344"/>
        <s v="DPL8466"/>
        <s v="DSR6069"/>
        <s v="DST5125"/>
        <s v="DZL4203"/>
        <s v="EBE6538"/>
        <s v="EBR2084"/>
        <s v="ELE9063"/>
        <s v="ELW1531"/>
        <s v="EOP3703"/>
        <s v="EP33151"/>
        <s v="EPA1431"/>
        <s v="EPD7404"/>
        <s v="ETM4322"/>
        <s v="EWE455O"/>
        <s v="EWI1216"/>
        <s v="EZD7248"/>
        <s v="EZG1393"/>
        <s v="FG67386"/>
        <s v="FGW6752"/>
        <s v="FSL9473"/>
        <s v="FSU8901"/>
        <s v="FSW4979"/>
        <s v="FWS4179"/>
        <s v="FZ79420"/>
        <s v="FZA9518"/>
        <s v="FZG1291"/>
        <s v="FZI1328"/>
        <s v="GA43729"/>
        <s v="GBY8879"/>
        <s v="GCH6429"/>
        <s v="GCZ2096"/>
        <s v="GD19511"/>
        <s v="GDA138R"/>
        <s v="GSZ1612"/>
        <s v="GTC745B"/>
        <s v="GWE9120"/>
        <s v="KBC3948"/>
        <s v="KBR9340"/>
        <s v="KTT7762"/>
        <s v="KWA9904"/>
        <s v="KWI9918"/>
        <s v="LB42424"/>
        <s v="LU21178"/>
        <s v="LUB2655"/>
        <s v="LWL7800"/>
        <m/>
      </sharedItems>
    </cacheField>
    <cacheField name="Punkt A" numFmtId="164">
      <sharedItems containsNonDate="0" containsDate="1" containsString="0" containsBlank="1" minDate="1899-12-30T00:05:58" maxDate="1899-12-31T00:03:27"/>
    </cacheField>
    <cacheField name="Punkt B" numFmtId="164">
      <sharedItems containsNonDate="0" containsDate="1" containsString="0" containsBlank="1" minDate="1899-12-30T00:02:35" maxDate="1899-12-30T23:59: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6087.505472569443" createdVersion="6" refreshedVersion="6" minRefreshableVersion="3" recordCount="1001">
  <cacheSource type="worksheet">
    <worksheetSource ref="A1:J1048576" sheet="z7"/>
  </cacheSource>
  <cacheFields count="10">
    <cacheField name="numer rejestracyjny" numFmtId="0">
      <sharedItems containsBlank="1" count="420">
        <s v="NNI5982"/>
        <s v="DJE2146"/>
        <s v="WJ87174"/>
        <s v="CG97781"/>
        <s v="NOL4507"/>
        <s v="CBR1005"/>
        <s v="FZI8967"/>
        <s v="KWI7049"/>
        <s v="NEL2373"/>
        <s v="WS94235"/>
        <s v="WSI3586"/>
        <s v="EZD7248"/>
        <s v="KWA9904"/>
        <s v="GSZ9176"/>
        <s v="NGI7942"/>
        <s v="EWE4423"/>
        <s v="DST6471"/>
        <s v="RZE7144"/>
        <s v="OP99731"/>
        <s v="BSU7002"/>
        <s v="ST19923"/>
        <s v="EP37557"/>
        <s v="GA43729"/>
        <s v="EBE7309"/>
        <s v="NMR7567"/>
        <s v="SWD1063"/>
        <s v="SRB970D"/>
        <s v="NLI1232"/>
        <s v="EBR2763"/>
        <s v="WZY9176"/>
        <s v="CIN3593"/>
        <s v="GDA2835"/>
        <s v="RRS3368"/>
        <s v="SZ51491"/>
        <s v="PK16514"/>
        <s v="NOE1810"/>
        <s v="CGD5776"/>
        <s v="EPA1431"/>
        <s v="WZW7144"/>
        <s v="WS87052"/>
        <s v="DPL8260"/>
        <s v="NEB9600"/>
        <s v="NSZ8448"/>
        <s v="EPA8924"/>
        <s v="CAL4310"/>
        <s v="CWL381S"/>
        <s v="FSU7573"/>
        <s v="FZ46305"/>
        <s v="NBR3345"/>
        <s v="NBA102B"/>
        <s v="ZBI9880"/>
        <s v="WZ23965"/>
        <s v="NIL3535"/>
        <s v="OB94491"/>
        <s v="TSZ4505"/>
        <s v="NPI2072"/>
        <s v="EWI961D"/>
        <s v="NNM3913"/>
        <s v="NOG3903"/>
        <s v="CTR9653"/>
        <s v="WI3373K"/>
        <s v="GWE660D"/>
        <s v="WPZ8966"/>
        <s v="SRB024S"/>
        <s v="NWE1882"/>
        <s v="NGO9410"/>
        <s v="SRS2013"/>
        <s v="KTT8835"/>
        <s v="LU68482"/>
        <s v="CCH9482"/>
        <s v="EWE455O"/>
        <s v="NO84797"/>
        <s v="EPD1467"/>
        <s v="CB96618"/>
        <s v="LB1414G"/>
        <s v="CTR5598"/>
        <s v="EOP7868"/>
        <s v="SRC6856"/>
        <s v="LZ36064"/>
        <s v="NOL5089"/>
        <s v="BSU6951"/>
        <s v="DKL3952"/>
        <s v="FZG8877"/>
        <s v="DL55344"/>
        <s v="CW78453"/>
        <s v="ZWA215K"/>
        <s v="CGR9703"/>
        <s v="NGI3330"/>
        <s v="WY58670"/>
        <s v="KBC3869"/>
        <s v="CT1893N"/>
        <s v="ELE6198"/>
        <s v="CB71301"/>
        <s v="CWA4963"/>
        <s v="RNI2447"/>
        <s v="WW8829E"/>
        <s v="RMI3407"/>
        <s v="FWS226P"/>
        <s v="WL49978"/>
        <s v="DL33730"/>
        <s v="NDZ6132"/>
        <s v="FZA9954"/>
        <s v="BSE8878"/>
        <s v="EOP3703"/>
        <s v="NBA1025"/>
        <s v="KTT7762"/>
        <s v="NE78145"/>
        <s v="ELW6064"/>
        <s v="WL69908"/>
        <s v="PO1852D"/>
        <s v="GTC6032"/>
        <s v="NE43232"/>
        <s v="ZWA67SA"/>
        <s v="WW85062"/>
        <s v="WW50312"/>
        <s v="NKE9304"/>
        <s v="KWA6482"/>
        <s v="WX21908"/>
        <s v="BSE248P"/>
        <s v="WA21713"/>
        <s v="ETM257F"/>
        <s v="WPU705O"/>
        <s v="WPZ7235"/>
        <s v="CGD8150"/>
        <s v="GBY6936"/>
        <s v="SW85648"/>
        <s v="SY78603"/>
        <s v="ETM4322"/>
        <s v="CZN3150"/>
        <s v="WPY9119"/>
        <s v="SY38147"/>
        <s v="CB95132"/>
        <s v="NNM9579"/>
        <s v="WKZ1004"/>
        <s v="FSW4979"/>
        <s v="CTU1210"/>
        <s v="WKZ1364"/>
        <s v="EZD788M"/>
        <s v="WK95525"/>
        <s v="BSI3245"/>
        <s v="FGW7916"/>
        <s v="TSA241J"/>
        <s v="GWE9120"/>
        <s v="WSC9512"/>
        <s v="CLI5630"/>
        <s v="STA5802"/>
        <s v="SRC187N"/>
        <s v="CT31774"/>
        <s v="CSW8524"/>
        <s v="WSK6080"/>
        <s v="WPY7337"/>
        <s v="STA4751"/>
        <s v="WK42847"/>
        <s v="BLM550S"/>
        <s v="TSK8689"/>
        <s v="GCH6872"/>
        <s v="WZY9376"/>
        <s v="RT86483"/>
        <s v="GSZ6990"/>
        <s v="CSW4471"/>
        <s v="FSL6199"/>
        <s v="BSK5990"/>
        <s v="CBY9249"/>
        <s v="RTA4619"/>
        <s v="DZL6373"/>
        <s v="KBC2269"/>
        <s v="FZ79420"/>
        <s v="WR41039"/>
        <s v="NO84796"/>
        <s v="CTR7456"/>
        <s v="RP20247"/>
        <s v="DKA9237"/>
        <s v="LWL7458"/>
        <s v="RPR8482"/>
        <s v="NO84799"/>
        <s v="GA40781"/>
        <s v="DKA1443"/>
        <s v="TST606F"/>
        <s v="CBY5051"/>
        <s v="CW37343"/>
        <s v="WSE356D"/>
        <s v="CZN5274"/>
        <s v="ZBI196E"/>
        <s v="KTT2196"/>
        <s v="CGR1261"/>
        <s v="WW71217"/>
        <s v="BS53470"/>
        <s v="CAL2064"/>
        <s v="CCH7924"/>
        <s v="DJE2824"/>
        <s v="ELE9063"/>
        <s v="CCH2234"/>
        <s v="CIN2517"/>
        <s v="WRA7205"/>
        <s v="KWI9178"/>
        <s v="RP5592K"/>
        <s v="RTA5016"/>
        <s v="OPO3720"/>
        <s v="WRA9291"/>
        <s v="NBA102A"/>
        <s v="WSZ3763"/>
        <s v="BLM1403"/>
        <s v="DSR1552"/>
        <s v="BL5582G"/>
        <s v="NMR424I"/>
        <s v="NO33338"/>
        <s v="DPL8275"/>
        <s v="RT43110"/>
        <s v="BSU5919"/>
        <s v="KBR5778"/>
        <s v="FZA9218"/>
        <s v="FGW6941"/>
        <s v="NDZ3838"/>
        <s v="GCZ6717"/>
        <s v="GD56329"/>
        <s v="BSK8702"/>
        <s v="LZA7617"/>
        <s v="WZU5215"/>
        <s v="WA22592"/>
        <s v="WW17659"/>
        <s v="NEB4258"/>
        <s v="DZL5538"/>
        <s v="PO13340"/>
        <s v="GCH6429"/>
        <s v="SB16521"/>
        <s v="NPI201N"/>
        <s v="GA77712"/>
        <s v="CG59243"/>
        <s v="SR84334"/>
        <s v="RPZ6117"/>
        <s v="KBR7936"/>
        <s v="SR1985M"/>
        <s v="NOE1814"/>
        <s v="DJE4167"/>
        <s v="CZN4614"/>
        <s v="BMN3894"/>
        <s v="ST97059"/>
        <s v="OB18936"/>
        <s v="BL96936"/>
        <s v="GTC745B"/>
        <s v="OPO5592"/>
        <s v="LZA7235"/>
        <s v="CG47792"/>
        <s v="RRS3699"/>
        <s v="DST5125"/>
        <s v="LU21178"/>
        <s v="FSU1902"/>
        <s v="DL55328"/>
        <s v="TSZ4162"/>
        <s v="WU2974D"/>
        <s v="CT86442"/>
        <s v="FGW6752"/>
        <s v="FSU8901"/>
        <s v="BS62755"/>
        <s v="EZG1393"/>
        <s v="GDA2515"/>
        <s v="CBR5883"/>
        <s v="POB6651"/>
        <s v="BMN5915"/>
        <s v="DB67589"/>
        <s v="GDA138R"/>
        <s v="LB42424"/>
        <s v="GBY2123"/>
        <s v="CWA131O"/>
        <s v="WSI3602"/>
        <s v="NBR9068"/>
        <s v="KWI9918"/>
        <s v="WW20137"/>
        <s v="WU95639"/>
        <s v="ELE4598"/>
        <s v="FSW5992"/>
        <s v="CGD9990"/>
        <s v="CWL2921"/>
        <s v="DZL4203"/>
        <s v="ZBI683A"/>
        <s v="LU35521"/>
        <s v="GCZ2096"/>
        <s v="GCH864N"/>
        <s v="WO182CT"/>
        <s v="WY27675"/>
        <s v="TSA2570"/>
        <s v="DST4194"/>
        <s v="GTC7381"/>
        <s v="RPZ5906"/>
        <s v="WW52111"/>
        <s v="NBA102S"/>
        <s v="NO8479C"/>
        <s v="FZI1328"/>
        <s v="LB56852"/>
        <s v="LUB1054"/>
        <s v="SC21037"/>
        <s v="BSI1759"/>
        <s v="ZWA9726"/>
        <s v="WX30361"/>
        <s v="FG18816"/>
        <s v="WT96288"/>
        <s v="EWE4571"/>
        <s v="EZG9571"/>
        <s v="STY3028"/>
        <s v="CTU6811"/>
        <s v="SW39699"/>
        <s v="WSK9224"/>
        <s v="WZ58017"/>
        <s v="EZG5773"/>
        <s v="RPR3058"/>
        <s v="CLI2574"/>
        <s v="EPD7404"/>
        <s v="EOP1476"/>
        <s v="FZG1291"/>
        <s v="TST8888"/>
        <s v="ETM8116"/>
        <s v="SWD617N"/>
        <s v="LUB9718"/>
        <s v="FSL9473"/>
        <s v="ELW4637"/>
        <s v="SC32502"/>
        <s v="DKL4966"/>
        <s v="CTU8578"/>
        <s v="NEL2042"/>
        <s v="SRS6116"/>
        <s v="WPU9780"/>
        <s v="BMN6560"/>
        <s v="LZ94980"/>
        <s v="SB68800"/>
        <s v="SZ59202"/>
        <s v="BL96423"/>
        <s v="LWL5004"/>
        <s v="CSW4060"/>
        <s v="RNI3021"/>
        <s v="WT62996"/>
        <s v="KBC3948"/>
        <s v="CGR5488"/>
        <s v="GBY8879"/>
        <s v="BSK586A"/>
        <s v="DB79091"/>
        <s v="NOE8398"/>
        <s v="FG67386"/>
        <s v="DSR2326"/>
        <s v="POB1989"/>
        <s v="FG41856"/>
        <s v="EPA1590"/>
        <s v="CWA6850"/>
        <s v="EZD9842"/>
        <s v="FWS1238"/>
        <s v="GCZ2644"/>
        <s v="FSW8833"/>
        <s v="WZU7839"/>
        <s v="WSE1444"/>
        <s v="NOS9404"/>
        <s v="ZSZ5258"/>
        <s v="LWL7800"/>
        <s v="WSZ9428"/>
        <s v="LUB2655"/>
        <s v="BLM8782"/>
        <s v="NGO2477"/>
        <s v="DKA7028"/>
        <s v="CBR7720"/>
        <s v="FZ17044"/>
        <s v="FZG4304"/>
        <s v="CAL4809"/>
        <s v="ZSZ29GR"/>
        <s v="FZI4964"/>
        <s v="NLI1794"/>
        <s v="KWA9676"/>
        <s v="WW82357"/>
        <s v="STY6873"/>
        <s v="DSR6069"/>
        <s v="EP33151"/>
        <s v="ZSZ97CD"/>
        <s v="WSC4081"/>
        <s v="RMI7902"/>
        <s v="EBR2084"/>
        <s v="KBR9340"/>
        <s v="PK18222"/>
        <s v="OP67817"/>
        <s v="ZSZ2700"/>
        <s v="BSI7235"/>
        <s v="CLI7557"/>
        <s v="BS31698"/>
        <s v="EPD160N"/>
        <s v="EBR4237"/>
        <s v="CW96921"/>
        <s v="CB187BL"/>
        <s v="EWI1216"/>
        <s v="GWE7036"/>
        <s v="NWE5330"/>
        <s v="PO36336"/>
        <s v="FZA9518"/>
        <s v="WJ47079"/>
        <s v="ZBI6356"/>
        <s v="NSZ1891"/>
        <s v="FG189FK"/>
        <s v="EWI2309"/>
        <s v="NNI6370"/>
        <s v="CT68312"/>
        <s v="EP89410"/>
        <s v="WZW2110"/>
        <s v="CIN691K"/>
        <s v="BSE7433"/>
        <s v="FWS4179"/>
        <s v="GSZ1612"/>
        <s v="NBA7692"/>
        <s v="NOG4844"/>
        <s v="GD19511"/>
        <s v="ZWA2184"/>
        <s v="DB58025"/>
        <s v="FG0951N"/>
        <s v="EBE7668"/>
        <s v="DPL8466"/>
        <s v="EBE6538"/>
        <s v="WI32726"/>
        <s v="DKL5927"/>
        <s v="CBY8643"/>
        <s v="CWL3378"/>
        <s v="FSL518H"/>
        <s v="TSK2073"/>
        <s v="ELW1531"/>
        <s v="GD23556"/>
        <s v="WR97385"/>
        <m/>
      </sharedItems>
    </cacheField>
    <cacheField name="Punkt A" numFmtId="164">
      <sharedItems containsNonDate="0" containsDate="1" containsString="0" containsBlank="1" minDate="1899-12-30T00:05:58" maxDate="1899-12-31T00:03:27"/>
    </cacheField>
    <cacheField name="Punkt B" numFmtId="164">
      <sharedItems containsNonDate="0" containsDate="1" containsString="0" containsBlank="1" minDate="1899-12-30T00:02:35" maxDate="1899-12-30T23:59:15"/>
    </cacheField>
    <cacheField name="Czas przejazdu" numFmtId="164">
      <sharedItems containsNonDate="0" containsDate="1" containsString="0" containsBlank="1" minDate="1899-12-30T00:02:00" maxDate="1899-12-30T00:06:00"/>
    </cacheField>
    <cacheField name="Minuty" numFmtId="0">
      <sharedItems containsString="0" containsBlank="1" containsNumber="1" containsInteger="1" minValue="2" maxValue="6"/>
    </cacheField>
    <cacheField name="Sekundy" numFmtId="0">
      <sharedItems containsString="0" containsBlank="1" containsNumber="1" containsInteger="1" minValue="0" maxValue="59"/>
    </cacheField>
    <cacheField name="Minuta ułamkowa" numFmtId="0">
      <sharedItems containsString="0" containsBlank="1" containsNumber="1" minValue="2" maxValue="6"/>
    </cacheField>
    <cacheField name="Czas w Sekundach" numFmtId="0">
      <sharedItems containsString="0" containsBlank="1" containsNumber="1" containsInteger="1" minValue="120" maxValue="360"/>
    </cacheField>
    <cacheField name="Km/h" numFmtId="0">
      <sharedItems containsString="0" containsBlank="1" containsNumber="1" minValue="50" maxValue="150"/>
    </cacheField>
    <cacheField name="czy przekracza &gt; 50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2022aR" refreshedDate="46087.509399305556" createdVersion="6" refreshedVersion="6" minRefreshableVersion="3" recordCount="1001">
  <cacheSource type="worksheet">
    <worksheetSource ref="A1:K1048576" sheet="z8"/>
  </cacheSource>
  <cacheFields count="11">
    <cacheField name="numer rejestracyjny" numFmtId="0">
      <sharedItems containsBlank="1"/>
    </cacheField>
    <cacheField name="Punkt A" numFmtId="164">
      <sharedItems containsNonDate="0" containsDate="1" containsString="0" containsBlank="1" minDate="1899-12-30T00:05:58" maxDate="1899-12-31T00:03:27"/>
    </cacheField>
    <cacheField name="Punkt B" numFmtId="164">
      <sharedItems containsNonDate="0" containsDate="1" containsString="0" containsBlank="1" minDate="1899-12-30T00:02:35" maxDate="1899-12-30T23:59:15"/>
    </cacheField>
    <cacheField name="Czas przejazdu" numFmtId="164">
      <sharedItems containsNonDate="0" containsDate="1" containsString="0" containsBlank="1" minDate="1899-12-30T00:02:00" maxDate="1899-12-30T00:06:00"/>
    </cacheField>
    <cacheField name="Minuty" numFmtId="0">
      <sharedItems containsString="0" containsBlank="1" containsNumber="1" containsInteger="1" minValue="2" maxValue="6"/>
    </cacheField>
    <cacheField name="Sekundy" numFmtId="0">
      <sharedItems containsString="0" containsBlank="1" containsNumber="1" containsInteger="1" minValue="0" maxValue="59"/>
    </cacheField>
    <cacheField name="Minuta ułamkowa" numFmtId="0">
      <sharedItems containsString="0" containsBlank="1" containsNumber="1" minValue="2" maxValue="6"/>
    </cacheField>
    <cacheField name="Czas w Sekundach" numFmtId="0">
      <sharedItems containsString="0" containsBlank="1" containsNumber="1" containsInteger="1" minValue="120" maxValue="360"/>
    </cacheField>
    <cacheField name="Km/h" numFmtId="0">
      <sharedItems containsString="0" containsBlank="1" containsNumber="1" minValue="50" maxValue="150"/>
    </cacheField>
    <cacheField name="czy przekracza &gt; 50" numFmtId="0">
      <sharedItems containsString="0" containsBlank="1" containsNumber="1" containsInteger="1" minValue="0" maxValue="1"/>
    </cacheField>
    <cacheField name="godzina" numFmtId="1">
      <sharedItems containsString="0" containsBlank="1" containsNumber="1" containsInteger="1" minValue="0" maxValue="23" count="25">
        <n v="13"/>
        <n v="18"/>
        <n v="8"/>
        <n v="12"/>
        <n v="10"/>
        <n v="21"/>
        <n v="7"/>
        <n v="16"/>
        <n v="6"/>
        <n v="22"/>
        <n v="11"/>
        <n v="3"/>
        <n v="17"/>
        <n v="0"/>
        <n v="5"/>
        <n v="20"/>
        <n v="1"/>
        <n v="4"/>
        <n v="9"/>
        <n v="15"/>
        <n v="2"/>
        <n v="14"/>
        <n v="23"/>
        <n v="1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d v="1899-12-30T02:54:18"/>
    <d v="1899-12-30T02:59:53"/>
  </r>
  <r>
    <x v="1"/>
    <d v="1899-12-30T22:07:01"/>
    <d v="1899-12-30T22:03:50"/>
  </r>
  <r>
    <x v="2"/>
    <d v="1899-12-30T10:19:32"/>
    <d v="1899-12-30T10:22:47"/>
  </r>
  <r>
    <x v="3"/>
    <d v="1899-12-30T08:07:54"/>
    <d v="1899-12-30T08:13:02"/>
  </r>
  <r>
    <x v="4"/>
    <d v="1899-12-30T03:56:01"/>
    <d v="1899-12-30T04:00:18"/>
  </r>
  <r>
    <x v="5"/>
    <d v="1899-12-30T06:00:11"/>
    <d v="1899-12-30T05:55:14"/>
  </r>
  <r>
    <x v="6"/>
    <d v="1899-12-30T04:53:22"/>
    <d v="1899-12-30T04:50:29"/>
  </r>
  <r>
    <x v="7"/>
    <d v="1899-12-30T12:56:45"/>
    <d v="1899-12-30T12:52:52"/>
  </r>
  <r>
    <x v="8"/>
    <d v="1899-12-30T22:22:28"/>
    <d v="1899-12-30T22:25:14"/>
  </r>
  <r>
    <x v="9"/>
    <d v="1899-12-30T15:42:41"/>
    <d v="1899-12-30T15:47:40"/>
  </r>
  <r>
    <x v="10"/>
    <d v="1899-12-30T05:41:26"/>
    <d v="1899-12-30T05:39:21"/>
  </r>
  <r>
    <x v="11"/>
    <d v="1899-12-30T05:55:18"/>
    <d v="1899-12-30T05:50:06"/>
  </r>
  <r>
    <x v="12"/>
    <d v="1899-12-30T15:58:57"/>
    <d v="1899-12-30T15:55:06"/>
  </r>
  <r>
    <x v="13"/>
    <d v="1899-12-30T05:28:41"/>
    <d v="1899-12-30T05:23:54"/>
  </r>
  <r>
    <x v="14"/>
    <d v="1899-12-30T03:17:09"/>
    <d v="1899-12-30T03:13:11"/>
  </r>
  <r>
    <x v="15"/>
    <d v="1899-12-30T01:24:11"/>
    <d v="1899-12-30T01:28:58"/>
  </r>
  <r>
    <x v="16"/>
    <d v="1899-12-30T07:47:33"/>
    <d v="1899-12-30T07:42:59"/>
  </r>
  <r>
    <x v="17"/>
    <d v="1899-12-30T03:04:12"/>
    <d v="1899-12-30T03:00:53"/>
  </r>
  <r>
    <x v="18"/>
    <d v="1899-12-30T13:56:51"/>
    <d v="1899-12-30T13:59:28"/>
  </r>
  <r>
    <x v="19"/>
    <d v="1899-12-30T01:49:41"/>
    <d v="1899-12-30T01:54:27"/>
  </r>
  <r>
    <x v="20"/>
    <d v="1899-12-30T09:58:38"/>
    <d v="1899-12-30T09:56:28"/>
  </r>
  <r>
    <x v="21"/>
    <d v="1899-12-30T17:22:18"/>
    <d v="1899-12-30T17:24:22"/>
  </r>
  <r>
    <x v="22"/>
    <d v="1899-12-30T13:07:36"/>
    <d v="1899-12-30T13:12:37"/>
  </r>
  <r>
    <x v="23"/>
    <d v="1899-12-30T07:43:38"/>
    <d v="1899-12-30T07:46:54"/>
  </r>
  <r>
    <x v="24"/>
    <d v="1899-12-30T22:46:41"/>
    <d v="1899-12-30T22:43:33"/>
  </r>
  <r>
    <x v="25"/>
    <d v="1899-12-30T09:18:28"/>
    <d v="1899-12-30T09:14:19"/>
  </r>
  <r>
    <x v="26"/>
    <d v="1899-12-30T01:23:38"/>
    <d v="1899-12-30T01:19:18"/>
  </r>
  <r>
    <x v="27"/>
    <d v="1899-12-30T01:49:09"/>
    <d v="1899-12-30T01:52:34"/>
  </r>
  <r>
    <x v="28"/>
    <d v="1899-12-30T05:00:28"/>
    <d v="1899-12-30T05:03:33"/>
  </r>
  <r>
    <x v="29"/>
    <d v="1899-12-30T23:01:30"/>
    <d v="1899-12-30T22:57:39"/>
  </r>
  <r>
    <x v="30"/>
    <d v="1899-12-30T22:11:20"/>
    <d v="1899-12-30T22:14:03"/>
  </r>
  <r>
    <x v="31"/>
    <d v="1899-12-30T05:40:20"/>
    <d v="1899-12-30T05:34:58"/>
  </r>
  <r>
    <x v="32"/>
    <d v="1899-12-30T15:55:46"/>
    <d v="1899-12-30T15:52:00"/>
  </r>
  <r>
    <x v="33"/>
    <d v="1899-12-30T05:17:17"/>
    <d v="1899-12-30T05:21:34"/>
  </r>
  <r>
    <x v="34"/>
    <d v="1899-12-30T10:19:14"/>
    <d v="1899-12-30T10:15:04"/>
  </r>
  <r>
    <x v="35"/>
    <d v="1899-12-30T15:04:05"/>
    <d v="1899-12-30T15:06:49"/>
  </r>
  <r>
    <x v="36"/>
    <d v="1899-12-30T17:21:46"/>
    <d v="1899-12-30T17:18:03"/>
  </r>
  <r>
    <x v="37"/>
    <d v="1899-12-30T02:08:36"/>
    <d v="1899-12-30T02:14:08"/>
  </r>
  <r>
    <x v="38"/>
    <d v="1899-12-30T21:33:15"/>
    <d v="1899-12-30T21:36:43"/>
  </r>
  <r>
    <x v="39"/>
    <d v="1899-12-30T13:11:33"/>
    <d v="1899-12-30T13:17:11"/>
  </r>
  <r>
    <x v="40"/>
    <d v="1899-12-30T00:36:18"/>
    <d v="1899-12-30T00:41:23"/>
  </r>
  <r>
    <x v="41"/>
    <d v="1899-12-30T17:47:14"/>
    <d v="1899-12-30T17:49:41"/>
  </r>
  <r>
    <x v="42"/>
    <d v="1899-12-30T10:58:15"/>
    <d v="1899-12-30T11:01:29"/>
  </r>
  <r>
    <x v="43"/>
    <d v="1899-12-30T06:28:28"/>
    <d v="1899-12-30T06:23:11"/>
  </r>
  <r>
    <x v="44"/>
    <d v="1899-12-30T04:38:41"/>
    <d v="1899-12-30T04:33:25"/>
  </r>
  <r>
    <x v="45"/>
    <d v="1899-12-30T17:41:56"/>
    <d v="1899-12-30T17:36:30"/>
  </r>
  <r>
    <x v="46"/>
    <d v="1899-12-30T07:06:26"/>
    <d v="1899-12-30T07:04:05"/>
  </r>
  <r>
    <x v="47"/>
    <d v="1899-12-30T13:24:29"/>
    <d v="1899-12-30T13:19:59"/>
  </r>
  <r>
    <x v="48"/>
    <d v="1899-12-30T11:06:49"/>
    <d v="1899-12-30T11:12:27"/>
  </r>
  <r>
    <x v="49"/>
    <d v="1899-12-30T04:57:25"/>
    <d v="1899-12-30T05:00:11"/>
  </r>
  <r>
    <x v="50"/>
    <d v="1899-12-30T20:43:45"/>
    <d v="1899-12-30T20:45:51"/>
  </r>
  <r>
    <x v="51"/>
    <d v="1899-12-30T20:04:08"/>
    <d v="1899-12-30T20:07:59"/>
  </r>
  <r>
    <x v="52"/>
    <d v="1899-12-30T19:57:34"/>
    <d v="1899-12-30T19:55:00"/>
  </r>
  <r>
    <x v="53"/>
    <d v="1899-12-30T14:55:05"/>
    <d v="1899-12-30T14:50:20"/>
  </r>
  <r>
    <x v="54"/>
    <d v="1899-12-30T08:19:00"/>
    <d v="1899-12-30T08:22:18"/>
  </r>
  <r>
    <x v="55"/>
    <d v="1899-12-30T23:00:14"/>
    <d v="1899-12-30T23:03:33"/>
  </r>
  <r>
    <x v="56"/>
    <d v="1899-12-30T21:16:45"/>
    <d v="1899-12-30T21:19:42"/>
  </r>
  <r>
    <x v="57"/>
    <d v="1899-12-30T13:06:57"/>
    <d v="1899-12-30T13:09:21"/>
  </r>
  <r>
    <x v="58"/>
    <d v="1899-12-30T17:10:24"/>
    <d v="1899-12-30T17:15:36"/>
  </r>
  <r>
    <x v="59"/>
    <d v="1899-12-30T22:48:34"/>
    <d v="1899-12-30T22:53:22"/>
  </r>
  <r>
    <x v="60"/>
    <d v="1899-12-30T16:52:42"/>
    <d v="1899-12-30T16:50:00"/>
  </r>
  <r>
    <x v="61"/>
    <d v="1899-12-30T02:55:46"/>
    <d v="1899-12-30T02:58:09"/>
  </r>
  <r>
    <x v="62"/>
    <d v="1899-12-30T05:12:16"/>
    <d v="1899-12-30T05:14:57"/>
  </r>
  <r>
    <x v="63"/>
    <d v="1899-12-30T19:03:09"/>
    <d v="1899-12-30T18:58:14"/>
  </r>
  <r>
    <x v="64"/>
    <d v="1899-12-30T01:34:05"/>
    <d v="1899-12-30T01:30:04"/>
  </r>
  <r>
    <x v="65"/>
    <d v="1899-12-30T13:55:51"/>
    <d v="1899-12-30T13:59:16"/>
  </r>
  <r>
    <x v="66"/>
    <d v="1899-12-30T00:27:01"/>
    <d v="1899-12-30T00:30:17"/>
  </r>
  <r>
    <x v="67"/>
    <d v="1899-12-30T12:26:17"/>
    <d v="1899-12-30T12:20:57"/>
  </r>
  <r>
    <x v="68"/>
    <d v="1899-12-30T20:05:19"/>
    <d v="1899-12-30T20:09:14"/>
  </r>
  <r>
    <x v="69"/>
    <d v="1899-12-30T12:48:01"/>
    <d v="1899-12-30T12:42:32"/>
  </r>
  <r>
    <x v="70"/>
    <d v="1899-12-30T17:39:42"/>
    <d v="1899-12-30T17:42:49"/>
  </r>
  <r>
    <x v="71"/>
    <d v="1899-12-30T09:26:01"/>
    <d v="1899-12-30T09:30:25"/>
  </r>
  <r>
    <x v="72"/>
    <d v="1899-12-30T13:47:39"/>
    <d v="1899-12-30T13:52:14"/>
  </r>
  <r>
    <x v="73"/>
    <d v="1899-12-30T20:24:05"/>
    <d v="1899-12-30T20:28:19"/>
  </r>
  <r>
    <x v="74"/>
    <d v="1899-12-30T12:26:45"/>
    <d v="1899-12-30T12:28:47"/>
  </r>
  <r>
    <x v="75"/>
    <d v="1899-12-30T20:49:09"/>
    <d v="1899-12-30T20:46:35"/>
  </r>
  <r>
    <x v="76"/>
    <d v="1899-12-30T09:28:09"/>
    <d v="1899-12-30T09:30:56"/>
  </r>
  <r>
    <x v="77"/>
    <d v="1899-12-30T06:22:24"/>
    <d v="1899-12-30T06:24:50"/>
  </r>
  <r>
    <x v="78"/>
    <d v="1899-12-30T17:33:16"/>
    <d v="1899-12-30T17:35:21"/>
  </r>
  <r>
    <x v="79"/>
    <d v="1899-12-30T14:35:44"/>
    <d v="1899-12-30T14:40:31"/>
  </r>
  <r>
    <x v="80"/>
    <d v="1899-12-30T18:51:29"/>
    <d v="1899-12-30T18:56:23"/>
  </r>
  <r>
    <x v="81"/>
    <d v="1899-12-30T19:17:58"/>
    <d v="1899-12-30T19:21:50"/>
  </r>
  <r>
    <x v="82"/>
    <d v="1899-12-30T05:33:11"/>
    <d v="1899-12-30T05:38:26"/>
  </r>
  <r>
    <x v="83"/>
    <d v="1899-12-30T11:51:24"/>
    <d v="1899-12-30T11:55:03"/>
  </r>
  <r>
    <x v="84"/>
    <d v="1899-12-30T09:16:33"/>
    <d v="1899-12-30T09:14:02"/>
  </r>
  <r>
    <x v="85"/>
    <d v="1899-12-30T03:24:19"/>
    <d v="1899-12-30T03:29:53"/>
  </r>
  <r>
    <x v="86"/>
    <d v="1899-12-30T13:11:35"/>
    <d v="1899-12-30T13:07:07"/>
  </r>
  <r>
    <x v="87"/>
    <d v="1899-12-30T21:38:27"/>
    <d v="1899-12-30T21:43:30"/>
  </r>
  <r>
    <x v="88"/>
    <d v="1899-12-30T00:29:29"/>
    <d v="1899-12-30T00:25:38"/>
  </r>
  <r>
    <x v="89"/>
    <d v="1899-12-30T12:42:32"/>
    <d v="1899-12-30T12:38:31"/>
  </r>
  <r>
    <x v="90"/>
    <d v="1899-12-30T12:48:15"/>
    <d v="1899-12-30T12:52:26"/>
  </r>
  <r>
    <x v="91"/>
    <d v="1899-12-30T05:50:57"/>
    <d v="1899-12-30T05:53:11"/>
  </r>
  <r>
    <x v="92"/>
    <d v="1899-12-30T22:36:01"/>
    <d v="1899-12-30T22:39:32"/>
  </r>
  <r>
    <x v="93"/>
    <d v="1899-12-30T00:36:27"/>
    <d v="1899-12-30T00:41:13"/>
  </r>
  <r>
    <x v="94"/>
    <d v="1899-12-30T02:47:22"/>
    <d v="1899-12-30T02:49:48"/>
  </r>
  <r>
    <x v="95"/>
    <d v="1899-12-30T12:26:14"/>
    <d v="1899-12-30T12:30:18"/>
  </r>
  <r>
    <x v="96"/>
    <d v="1899-12-30T13:34:30"/>
    <d v="1899-12-30T13:38:56"/>
  </r>
  <r>
    <x v="97"/>
    <d v="1899-12-30T10:41:14"/>
    <d v="1899-12-30T10:44:47"/>
  </r>
  <r>
    <x v="98"/>
    <d v="1899-12-30T18:14:40"/>
    <d v="1899-12-30T18:12:19"/>
  </r>
  <r>
    <x v="99"/>
    <d v="1899-12-30T20:14:34"/>
    <d v="1899-12-30T20:19:35"/>
  </r>
  <r>
    <x v="100"/>
    <d v="1899-12-30T07:39:55"/>
    <d v="1899-12-30T07:34:10"/>
  </r>
  <r>
    <x v="101"/>
    <d v="1899-12-30T22:50:27"/>
    <d v="1899-12-30T22:48:00"/>
  </r>
  <r>
    <x v="102"/>
    <d v="1899-12-30T14:12:49"/>
    <d v="1899-12-30T14:17:34"/>
  </r>
  <r>
    <x v="103"/>
    <d v="1899-12-30T07:23:39"/>
    <d v="1899-12-30T07:20:56"/>
  </r>
  <r>
    <x v="104"/>
    <d v="1899-12-30T02:20:44"/>
    <d v="1899-12-30T02:16:04"/>
  </r>
  <r>
    <x v="105"/>
    <d v="1899-12-30T15:50:56"/>
    <d v="1899-12-30T15:46:07"/>
  </r>
  <r>
    <x v="106"/>
    <d v="1899-12-30T00:42:43"/>
    <d v="1899-12-30T00:47:20"/>
  </r>
  <r>
    <x v="107"/>
    <d v="1899-12-30T17:36:28"/>
    <d v="1899-12-30T17:32:54"/>
  </r>
  <r>
    <x v="108"/>
    <d v="1899-12-30T04:00:30"/>
    <d v="1899-12-30T03:58:10"/>
  </r>
  <r>
    <x v="109"/>
    <d v="1899-12-30T20:33:19"/>
    <d v="1899-12-30T20:37:20"/>
  </r>
  <r>
    <x v="110"/>
    <d v="1899-12-30T12:16:54"/>
    <d v="1899-12-30T12:21:01"/>
  </r>
  <r>
    <x v="111"/>
    <d v="1899-12-30T22:50:30"/>
    <d v="1899-12-30T22:47:05"/>
  </r>
  <r>
    <x v="112"/>
    <d v="1899-12-30T19:32:40"/>
    <d v="1899-12-30T19:28:52"/>
  </r>
  <r>
    <x v="113"/>
    <d v="1899-12-30T11:06:53"/>
    <d v="1899-12-30T11:02:17"/>
  </r>
  <r>
    <x v="114"/>
    <d v="1899-12-30T00:44:56"/>
    <d v="1899-12-30T00:42:02"/>
  </r>
  <r>
    <x v="115"/>
    <d v="1899-12-30T01:10:19"/>
    <d v="1899-12-30T01:13:07"/>
  </r>
  <r>
    <x v="73"/>
    <d v="1899-12-30T07:57:32"/>
    <d v="1899-12-30T08:00:40"/>
  </r>
  <r>
    <x v="116"/>
    <d v="1899-12-30T06:48:26"/>
    <d v="1899-12-30T06:43:04"/>
  </r>
  <r>
    <x v="117"/>
    <d v="1899-12-30T13:44:20"/>
    <d v="1899-12-30T13:48:57"/>
  </r>
  <r>
    <x v="118"/>
    <d v="1899-12-30T19:07:54"/>
    <d v="1899-12-30T19:05:09"/>
  </r>
  <r>
    <x v="119"/>
    <d v="1899-12-30T16:08:57"/>
    <d v="1899-12-30T16:06:46"/>
  </r>
  <r>
    <x v="120"/>
    <d v="1899-12-30T15:04:41"/>
    <d v="1899-12-30T14:59:35"/>
  </r>
  <r>
    <x v="121"/>
    <d v="1899-12-30T05:29:05"/>
    <d v="1899-12-30T05:32:51"/>
  </r>
  <r>
    <x v="122"/>
    <d v="1899-12-30T01:36:34"/>
    <d v="1899-12-30T01:40:53"/>
  </r>
  <r>
    <x v="123"/>
    <d v="1899-12-30T06:02:54"/>
    <d v="1899-12-30T06:07:33"/>
  </r>
  <r>
    <x v="124"/>
    <d v="1899-12-30T08:52:56"/>
    <d v="1899-12-30T08:50:34"/>
  </r>
  <r>
    <x v="85"/>
    <d v="1899-12-30T23:34:46"/>
    <d v="1899-12-30T23:39:38"/>
  </r>
  <r>
    <x v="125"/>
    <d v="1899-12-30T21:27:08"/>
    <d v="1899-12-30T21:31:47"/>
  </r>
  <r>
    <x v="126"/>
    <d v="1899-12-30T15:47:58"/>
    <d v="1899-12-30T15:43:27"/>
  </r>
  <r>
    <x v="127"/>
    <d v="1899-12-30T07:48:48"/>
    <d v="1899-12-30T07:51:16"/>
  </r>
  <r>
    <x v="128"/>
    <d v="1899-12-30T08:19:38"/>
    <d v="1899-12-30T08:17:00"/>
  </r>
  <r>
    <x v="129"/>
    <d v="1899-12-30T06:29:54"/>
    <d v="1899-12-30T06:25:22"/>
  </r>
  <r>
    <x v="130"/>
    <d v="1899-12-30T09:08:09"/>
    <d v="1899-12-30T09:05:54"/>
  </r>
  <r>
    <x v="131"/>
    <d v="1899-12-30T04:47:03"/>
    <d v="1899-12-30T04:42:46"/>
  </r>
  <r>
    <x v="132"/>
    <d v="1899-12-30T20:49:21"/>
    <d v="1899-12-30T20:53:22"/>
  </r>
  <r>
    <x v="133"/>
    <d v="1899-12-30T17:14:20"/>
    <d v="1899-12-30T17:17:34"/>
  </r>
  <r>
    <x v="134"/>
    <d v="1899-12-30T09:51:17"/>
    <d v="1899-12-30T09:54:35"/>
  </r>
  <r>
    <x v="135"/>
    <d v="1899-12-30T16:32:02"/>
    <d v="1899-12-30T16:37:11"/>
  </r>
  <r>
    <x v="136"/>
    <d v="1899-12-30T05:55:28"/>
    <d v="1899-12-30T05:51:00"/>
  </r>
  <r>
    <x v="137"/>
    <d v="1899-12-30T11:38:04"/>
    <d v="1899-12-30T11:35:14"/>
  </r>
  <r>
    <x v="138"/>
    <d v="1899-12-30T20:17:35"/>
    <d v="1899-12-30T20:19:38"/>
  </r>
  <r>
    <x v="139"/>
    <d v="1899-12-30T03:52:25"/>
    <d v="1899-12-30T03:47:36"/>
  </r>
  <r>
    <x v="140"/>
    <d v="1899-12-30T03:19:14"/>
    <d v="1899-12-30T03:17:04"/>
  </r>
  <r>
    <x v="141"/>
    <d v="1899-12-30T03:01:01"/>
    <d v="1899-12-30T02:57:04"/>
  </r>
  <r>
    <x v="142"/>
    <d v="1899-12-30T11:12:54"/>
    <d v="1899-12-30T11:15:51"/>
  </r>
  <r>
    <x v="143"/>
    <d v="1899-12-30T22:43:39"/>
    <d v="1899-12-30T22:47:45"/>
  </r>
  <r>
    <x v="144"/>
    <d v="1899-12-30T20:44:21"/>
    <d v="1899-12-30T20:48:27"/>
  </r>
  <r>
    <x v="145"/>
    <d v="1899-12-30T01:33:01"/>
    <d v="1899-12-30T01:27:54"/>
  </r>
  <r>
    <x v="146"/>
    <d v="1899-12-30T23:10:54"/>
    <d v="1899-12-30T23:07:07"/>
  </r>
  <r>
    <x v="147"/>
    <d v="1899-12-30T08:38:01"/>
    <d v="1899-12-30T08:33:07"/>
  </r>
  <r>
    <x v="148"/>
    <d v="1899-12-30T16:22:24"/>
    <d v="1899-12-30T16:24:52"/>
  </r>
  <r>
    <x v="149"/>
    <d v="1899-12-30T22:19:05"/>
    <d v="1899-12-30T22:13:37"/>
  </r>
  <r>
    <x v="150"/>
    <d v="1899-12-30T17:22:42"/>
    <d v="1899-12-30T17:26:09"/>
  </r>
  <r>
    <x v="151"/>
    <d v="1899-12-30T20:42:51"/>
    <d v="1899-12-30T20:37:10"/>
  </r>
  <r>
    <x v="152"/>
    <d v="1899-12-30T12:49:23"/>
    <d v="1899-12-30T12:51:45"/>
  </r>
  <r>
    <x v="153"/>
    <d v="1899-12-30T01:29:13"/>
    <d v="1899-12-30T01:24:21"/>
  </r>
  <r>
    <x v="154"/>
    <d v="1899-12-30T17:33:29"/>
    <d v="1899-12-30T17:30:04"/>
  </r>
  <r>
    <x v="155"/>
    <d v="1899-12-30T22:22:36"/>
    <d v="1899-12-30T22:19:55"/>
  </r>
  <r>
    <x v="156"/>
    <d v="1899-12-30T08:54:35"/>
    <d v="1899-12-30T08:52:35"/>
  </r>
  <r>
    <x v="157"/>
    <d v="1899-12-30T19:54:18"/>
    <d v="1899-12-30T19:51:21"/>
  </r>
  <r>
    <x v="158"/>
    <d v="1899-12-30T12:22:30"/>
    <d v="1899-12-30T12:19:52"/>
  </r>
  <r>
    <x v="159"/>
    <d v="1899-12-30T11:07:56"/>
    <d v="1899-12-30T11:11:51"/>
  </r>
  <r>
    <x v="160"/>
    <d v="1899-12-30T18:02:14"/>
    <d v="1899-12-30T18:06:14"/>
  </r>
  <r>
    <x v="161"/>
    <d v="1899-12-30T12:09:48"/>
    <d v="1899-12-30T12:07:06"/>
  </r>
  <r>
    <x v="162"/>
    <d v="1899-12-30T01:33:29"/>
    <d v="1899-12-30T01:29:22"/>
  </r>
  <r>
    <x v="105"/>
    <d v="1899-12-30T08:51:00"/>
    <d v="1899-12-30T08:53:29"/>
  </r>
  <r>
    <x v="13"/>
    <d v="1899-12-30T21:43:34"/>
    <d v="1899-12-30T21:41:06"/>
  </r>
  <r>
    <x v="62"/>
    <d v="1899-12-30T18:13:55"/>
    <d v="1899-12-30T18:08:26"/>
  </r>
  <r>
    <x v="154"/>
    <d v="1899-12-30T20:19:50"/>
    <d v="1899-12-30T20:22:33"/>
  </r>
  <r>
    <x v="72"/>
    <d v="1899-12-30T18:46:40"/>
    <d v="1899-12-30T18:50:20"/>
  </r>
  <r>
    <x v="18"/>
    <d v="1899-12-30T20:12:14"/>
    <d v="1899-12-30T20:09:43"/>
  </r>
  <r>
    <x v="24"/>
    <d v="1899-12-30T03:02:17"/>
    <d v="1899-12-30T03:05:48"/>
  </r>
  <r>
    <x v="81"/>
    <d v="1899-12-30T20:02:12"/>
    <d v="1899-12-30T19:59:31"/>
  </r>
  <r>
    <x v="58"/>
    <d v="1899-12-30T00:32:27"/>
    <d v="1899-12-30T00:29:10"/>
  </r>
  <r>
    <x v="9"/>
    <d v="1899-12-30T04:05:05"/>
    <d v="1899-12-30T04:10:22"/>
  </r>
  <r>
    <x v="47"/>
    <d v="1899-12-30T12:31:12"/>
    <d v="1899-12-30T12:36:27"/>
  </r>
  <r>
    <x v="45"/>
    <d v="1899-12-30T01:24:00"/>
    <d v="1899-12-30T01:19:55"/>
  </r>
  <r>
    <x v="39"/>
    <d v="1899-12-30T13:57:21"/>
    <d v="1899-12-30T13:53:08"/>
  </r>
  <r>
    <x v="116"/>
    <d v="1899-12-30T22:02:43"/>
    <d v="1899-12-30T22:08:01"/>
  </r>
  <r>
    <x v="161"/>
    <d v="1899-12-30T21:31:48"/>
    <d v="1899-12-30T21:26:59"/>
  </r>
  <r>
    <x v="2"/>
    <d v="1899-12-30T07:35:47"/>
    <d v="1899-12-30T07:30:21"/>
  </r>
  <r>
    <x v="107"/>
    <d v="1899-12-30T20:55:16"/>
    <d v="1899-12-30T21:00:45"/>
  </r>
  <r>
    <x v="73"/>
    <d v="1899-12-30T10:09:26"/>
    <d v="1899-12-30T10:13:50"/>
  </r>
  <r>
    <x v="73"/>
    <d v="1899-12-30T14:11:49"/>
    <d v="1899-12-30T14:06:17"/>
  </r>
  <r>
    <x v="66"/>
    <d v="1899-12-30T21:06:29"/>
    <d v="1899-12-30T21:10:53"/>
  </r>
  <r>
    <x v="70"/>
    <d v="1899-12-30T20:21:31"/>
    <d v="1899-12-30T20:24:00"/>
  </r>
  <r>
    <x v="0"/>
    <d v="1899-12-30T06:57:38"/>
    <d v="1899-12-30T07:00:01"/>
  </r>
  <r>
    <x v="105"/>
    <d v="1899-12-30T10:00:57"/>
    <d v="1899-12-30T10:04:04"/>
  </r>
  <r>
    <x v="13"/>
    <d v="1899-12-30T02:05:55"/>
    <d v="1899-12-30T02:02:40"/>
  </r>
  <r>
    <x v="62"/>
    <d v="1899-12-30T23:59:11"/>
    <d v="1899-12-30T23:55:20"/>
  </r>
  <r>
    <x v="154"/>
    <d v="1899-12-30T13:49:25"/>
    <d v="1899-12-30T13:54:28"/>
  </r>
  <r>
    <x v="72"/>
    <d v="1899-12-30T04:04:54"/>
    <d v="1899-12-30T04:01:03"/>
  </r>
  <r>
    <x v="18"/>
    <d v="1899-12-30T01:46:53"/>
    <d v="1899-12-30T01:49:26"/>
  </r>
  <r>
    <x v="24"/>
    <d v="1899-12-30T12:18:44"/>
    <d v="1899-12-30T12:16:41"/>
  </r>
  <r>
    <x v="81"/>
    <d v="1899-12-30T23:52:11"/>
    <d v="1899-12-30T23:54:32"/>
  </r>
  <r>
    <x v="58"/>
    <d v="1899-12-30T17:26:36"/>
    <d v="1899-12-30T17:29:19"/>
  </r>
  <r>
    <x v="9"/>
    <d v="1899-12-30T22:07:24"/>
    <d v="1899-12-30T22:04:43"/>
  </r>
  <r>
    <x v="47"/>
    <d v="1899-12-30T17:41:05"/>
    <d v="1899-12-30T17:37:50"/>
  </r>
  <r>
    <x v="45"/>
    <d v="1899-12-30T22:55:00"/>
    <d v="1899-12-30T22:51:09"/>
  </r>
  <r>
    <x v="39"/>
    <d v="1899-12-30T04:12:04"/>
    <d v="1899-12-30T04:17:40"/>
  </r>
  <r>
    <x v="116"/>
    <d v="1899-12-30T10:15:53"/>
    <d v="1899-12-30T10:18:13"/>
  </r>
  <r>
    <x v="161"/>
    <d v="1899-12-30T04:14:35"/>
    <d v="1899-12-30T04:11:40"/>
  </r>
  <r>
    <x v="2"/>
    <d v="1899-12-30T09:49:45"/>
    <d v="1899-12-30T09:52:28"/>
  </r>
  <r>
    <x v="107"/>
    <d v="1899-12-30T16:29:04"/>
    <d v="1899-12-30T16:34:20"/>
  </r>
  <r>
    <x v="73"/>
    <d v="1899-12-30T05:05:01"/>
    <d v="1899-12-30T05:00:40"/>
  </r>
  <r>
    <x v="73"/>
    <d v="1899-12-30T10:22:50"/>
    <d v="1899-12-30T10:20:47"/>
  </r>
  <r>
    <x v="66"/>
    <d v="1899-12-30T09:34:31"/>
    <d v="1899-12-30T09:36:45"/>
  </r>
  <r>
    <x v="70"/>
    <d v="1899-12-30T10:32:38"/>
    <d v="1899-12-30T10:28:59"/>
  </r>
  <r>
    <x v="0"/>
    <d v="1899-12-30T03:24:01"/>
    <d v="1899-12-30T03:19:39"/>
  </r>
  <r>
    <x v="45"/>
    <d v="1899-12-30T20:28:56"/>
    <d v="1899-12-30T20:32:51"/>
  </r>
  <r>
    <x v="39"/>
    <d v="1899-12-30T04:28:15"/>
    <d v="1899-12-30T04:24:33"/>
  </r>
  <r>
    <x v="116"/>
    <d v="1899-12-30T02:09:26"/>
    <d v="1899-12-30T02:12:59"/>
  </r>
  <r>
    <x v="161"/>
    <d v="1899-12-30T00:35:04"/>
    <d v="1899-12-30T00:37:28"/>
  </r>
  <r>
    <x v="2"/>
    <d v="1899-12-30T21:33:06"/>
    <d v="1899-12-30T21:35:48"/>
  </r>
  <r>
    <x v="107"/>
    <d v="1899-12-30T20:52:24"/>
    <d v="1899-12-30T20:49:28"/>
  </r>
  <r>
    <x v="45"/>
    <d v="1899-12-30T10:45:48"/>
    <d v="1899-12-30T10:50:27"/>
  </r>
  <r>
    <x v="39"/>
    <d v="1899-12-30T13:59:38"/>
    <d v="1899-12-30T13:55:28"/>
  </r>
  <r>
    <x v="116"/>
    <d v="1899-12-30T20:09:51"/>
    <d v="1899-12-30T20:12:45"/>
  </r>
  <r>
    <x v="161"/>
    <d v="1899-12-30T19:16:04"/>
    <d v="1899-12-30T19:19:20"/>
  </r>
  <r>
    <x v="2"/>
    <d v="1899-12-30T01:50:52"/>
    <d v="1899-12-30T01:45:22"/>
  </r>
  <r>
    <x v="107"/>
    <d v="1899-12-30T23:44:48"/>
    <d v="1899-12-30T23:42:20"/>
  </r>
  <r>
    <x v="45"/>
    <d v="1899-12-30T09:15:38"/>
    <d v="1899-12-30T09:18:21"/>
  </r>
  <r>
    <x v="39"/>
    <d v="1899-12-30T21:16:20"/>
    <d v="1899-12-30T21:19:07"/>
  </r>
  <r>
    <x v="116"/>
    <d v="1899-12-30T05:16:14"/>
    <d v="1899-12-30T05:12:57"/>
  </r>
  <r>
    <x v="161"/>
    <d v="1899-12-30T03:24:57"/>
    <d v="1899-12-30T03:28:35"/>
  </r>
  <r>
    <x v="2"/>
    <d v="1899-12-30T18:52:05"/>
    <d v="1899-12-30T18:56:20"/>
  </r>
  <r>
    <x v="107"/>
    <d v="1899-12-30T02:48:18"/>
    <d v="1899-12-30T02:44:21"/>
  </r>
  <r>
    <x v="45"/>
    <d v="1899-12-30T01:47:17"/>
    <d v="1899-12-30T01:45:12"/>
  </r>
  <r>
    <x v="39"/>
    <d v="1899-12-30T06:01:16"/>
    <d v="1899-12-30T05:56:13"/>
  </r>
  <r>
    <x v="116"/>
    <d v="1899-12-30T22:42:50"/>
    <d v="1899-12-30T22:47:30"/>
  </r>
  <r>
    <x v="161"/>
    <d v="1899-12-30T02:38:25"/>
    <d v="1899-12-30T02:35:40"/>
  </r>
  <r>
    <x v="163"/>
    <d v="1899-12-30T06:42:42"/>
    <d v="1899-12-30T06:46:04"/>
  </r>
  <r>
    <x v="107"/>
    <d v="1899-12-30T03:00:43"/>
    <d v="1899-12-30T02:55:35"/>
  </r>
  <r>
    <x v="161"/>
    <d v="1899-12-30T11:01:39"/>
    <d v="1899-12-30T10:56:38"/>
  </r>
  <r>
    <x v="2"/>
    <d v="1899-12-30T06:35:49"/>
    <d v="1899-12-30T06:39:10"/>
  </r>
  <r>
    <x v="107"/>
    <d v="1899-12-30T16:14:54"/>
    <d v="1899-12-30T16:09:12"/>
  </r>
  <r>
    <x v="164"/>
    <d v="1899-12-30T04:00:41"/>
    <d v="1899-12-30T03:57:45"/>
  </r>
  <r>
    <x v="2"/>
    <d v="1899-12-30T14:18:21"/>
    <d v="1899-12-30T14:23:28"/>
  </r>
  <r>
    <x v="107"/>
    <d v="1899-12-30T07:17:58"/>
    <d v="1899-12-30T07:15:11"/>
  </r>
  <r>
    <x v="161"/>
    <d v="1899-12-30T13:50:11"/>
    <d v="1899-12-30T13:46:34"/>
  </r>
  <r>
    <x v="2"/>
    <d v="1899-12-30T06:46:51"/>
    <d v="1899-12-30T06:50:14"/>
  </r>
  <r>
    <x v="107"/>
    <d v="1899-12-30T05:37:05"/>
    <d v="1899-12-30T05:32:17"/>
  </r>
  <r>
    <x v="85"/>
    <d v="1899-12-30T12:14:23"/>
    <d v="1899-12-30T12:11:09"/>
  </r>
  <r>
    <x v="85"/>
    <d v="1899-12-30T10:43:10"/>
    <d v="1899-12-30T10:47:12"/>
  </r>
  <r>
    <x v="85"/>
    <d v="1899-12-30T14:41:43"/>
    <d v="1899-12-30T14:44:25"/>
  </r>
  <r>
    <x v="85"/>
    <d v="1899-12-30T07:05:23"/>
    <d v="1899-12-30T07:10:51"/>
  </r>
  <r>
    <x v="54"/>
    <d v="1899-12-30T17:51:03"/>
    <d v="1899-12-30T17:55:58"/>
  </r>
  <r>
    <x v="131"/>
    <d v="1899-12-30T12:22:38"/>
    <d v="1899-12-30T12:24:43"/>
  </r>
  <r>
    <x v="15"/>
    <d v="1899-12-30T05:09:08"/>
    <d v="1899-12-30T05:13:33"/>
  </r>
  <r>
    <x v="83"/>
    <d v="1899-12-30T21:44:11"/>
    <d v="1899-12-30T21:47:19"/>
  </r>
  <r>
    <x v="111"/>
    <d v="1899-12-30T10:53:45"/>
    <d v="1899-12-30T10:51:09"/>
  </r>
  <r>
    <x v="101"/>
    <d v="1899-12-30T15:36:19"/>
    <d v="1899-12-30T15:30:45"/>
  </r>
  <r>
    <x v="55"/>
    <d v="1899-12-30T04:11:13"/>
    <d v="1899-12-30T04:13:27"/>
  </r>
  <r>
    <x v="0"/>
    <d v="1899-12-30T03:21:40"/>
    <d v="1899-12-30T03:23:56"/>
  </r>
  <r>
    <x v="1"/>
    <d v="1899-12-30T20:41:36"/>
    <d v="1899-12-30T20:38:20"/>
  </r>
  <r>
    <x v="2"/>
    <d v="1899-12-30T12:10:33"/>
    <d v="1899-12-30T12:15:26"/>
  </r>
  <r>
    <x v="3"/>
    <d v="1899-12-30T21:30:19"/>
    <d v="1899-12-30T21:28:17"/>
  </r>
  <r>
    <x v="4"/>
    <d v="1899-12-30T13:11:16"/>
    <d v="1899-12-30T13:07:20"/>
  </r>
  <r>
    <x v="5"/>
    <d v="1899-12-30T01:38:43"/>
    <d v="1899-12-30T01:33:59"/>
  </r>
  <r>
    <x v="6"/>
    <d v="1899-12-30T01:40:09"/>
    <d v="1899-12-30T01:37:19"/>
  </r>
  <r>
    <x v="7"/>
    <d v="1899-12-30T20:27:13"/>
    <d v="1899-12-30T20:21:50"/>
  </r>
  <r>
    <x v="8"/>
    <d v="1899-12-30T10:44:46"/>
    <d v="1899-12-30T10:50:16"/>
  </r>
  <r>
    <x v="9"/>
    <d v="1899-12-30T20:11:34"/>
    <d v="1899-12-30T20:07:54"/>
  </r>
  <r>
    <x v="10"/>
    <d v="1899-12-30T04:57:02"/>
    <d v="1899-12-30T04:53:20"/>
  </r>
  <r>
    <x v="11"/>
    <d v="1899-12-30T12:49:01"/>
    <d v="1899-12-30T12:44:37"/>
  </r>
  <r>
    <x v="12"/>
    <d v="1899-12-30T12:29:05"/>
    <d v="1899-12-30T12:32:28"/>
  </r>
  <r>
    <x v="13"/>
    <d v="1899-12-30T11:09:03"/>
    <d v="1899-12-30T11:04:38"/>
  </r>
  <r>
    <x v="14"/>
    <d v="1899-12-30T22:46:58"/>
    <d v="1899-12-30T22:43:46"/>
  </r>
  <r>
    <x v="15"/>
    <d v="1899-12-30T15:07:09"/>
    <d v="1899-12-30T15:01:58"/>
  </r>
  <r>
    <x v="16"/>
    <d v="1899-12-30T18:23:00"/>
    <d v="1899-12-30T18:17:28"/>
  </r>
  <r>
    <x v="17"/>
    <d v="1899-12-30T15:49:02"/>
    <d v="1899-12-30T15:54:33"/>
  </r>
  <r>
    <x v="18"/>
    <d v="1899-12-30T21:09:47"/>
    <d v="1899-12-30T21:06:36"/>
  </r>
  <r>
    <x v="19"/>
    <d v="1899-12-30T23:05:07"/>
    <d v="1899-12-30T23:00:07"/>
  </r>
  <r>
    <x v="20"/>
    <d v="1899-12-30T13:14:28"/>
    <d v="1899-12-30T13:11:30"/>
  </r>
  <r>
    <x v="21"/>
    <d v="1899-12-30T13:19:27"/>
    <d v="1899-12-30T13:21:50"/>
  </r>
  <r>
    <x v="22"/>
    <d v="1899-12-30T12:11:31"/>
    <d v="1899-12-30T12:08:22"/>
  </r>
  <r>
    <x v="23"/>
    <d v="1899-12-30T06:57:45"/>
    <d v="1899-12-30T07:01:56"/>
  </r>
  <r>
    <x v="24"/>
    <d v="1899-12-30T21:18:49"/>
    <d v="1899-12-30T21:14:53"/>
  </r>
  <r>
    <x v="25"/>
    <d v="1899-12-30T06:57:43"/>
    <d v="1899-12-30T07:03:21"/>
  </r>
  <r>
    <x v="26"/>
    <d v="1899-12-30T12:55:57"/>
    <d v="1899-12-30T12:51:06"/>
  </r>
  <r>
    <x v="27"/>
    <d v="1899-12-30T11:06:42"/>
    <d v="1899-12-30T11:01:18"/>
  </r>
  <r>
    <x v="28"/>
    <d v="1899-12-30T00:10:58"/>
    <d v="1899-12-30T00:05:34"/>
  </r>
  <r>
    <x v="29"/>
    <d v="1899-12-30T20:04:12"/>
    <d v="1899-12-30T19:58:37"/>
  </r>
  <r>
    <x v="30"/>
    <d v="1899-12-30T12:09:12"/>
    <d v="1899-12-30T12:03:48"/>
  </r>
  <r>
    <x v="165"/>
    <d v="1899-12-30T07:17:38"/>
    <d v="1899-12-30T07:13:51"/>
  </r>
  <r>
    <x v="32"/>
    <d v="1899-12-30T22:26:10"/>
    <d v="1899-12-30T22:31:52"/>
  </r>
  <r>
    <x v="33"/>
    <d v="1899-12-30T17:50:45"/>
    <d v="1899-12-30T17:54:01"/>
  </r>
  <r>
    <x v="34"/>
    <d v="1899-12-30T21:34:21"/>
    <d v="1899-12-30T21:37:52"/>
  </r>
  <r>
    <x v="35"/>
    <d v="1899-12-30T14:11:32"/>
    <d v="1899-12-30T14:15:07"/>
  </r>
  <r>
    <x v="36"/>
    <d v="1899-12-30T07:59:34"/>
    <d v="1899-12-30T08:03:37"/>
  </r>
  <r>
    <x v="166"/>
    <d v="1899-12-30T09:46:01"/>
    <d v="1899-12-30T09:43:28"/>
  </r>
  <r>
    <x v="38"/>
    <d v="1899-12-30T01:09:40"/>
    <d v="1899-12-30T01:04:32"/>
  </r>
  <r>
    <x v="39"/>
    <d v="1899-12-30T22:21:20"/>
    <d v="1899-12-30T22:26:53"/>
  </r>
  <r>
    <x v="167"/>
    <d v="1899-12-30T19:22:44"/>
    <d v="1899-12-30T19:17:44"/>
  </r>
  <r>
    <x v="41"/>
    <d v="1899-12-30T21:42:09"/>
    <d v="1899-12-30T21:37:35"/>
  </r>
  <r>
    <x v="42"/>
    <d v="1899-12-30T08:26:54"/>
    <d v="1899-12-30T08:30:49"/>
  </r>
  <r>
    <x v="43"/>
    <d v="1899-12-30T09:25:10"/>
    <d v="1899-12-30T09:30:00"/>
  </r>
  <r>
    <x v="44"/>
    <d v="1899-12-30T10:14:23"/>
    <d v="1899-12-30T10:08:48"/>
  </r>
  <r>
    <x v="45"/>
    <d v="1899-12-30T19:23:29"/>
    <d v="1899-12-30T19:19:37"/>
  </r>
  <r>
    <x v="46"/>
    <d v="1899-12-30T19:07:55"/>
    <d v="1899-12-30T19:12:46"/>
  </r>
  <r>
    <x v="47"/>
    <d v="1899-12-30T20:15:56"/>
    <d v="1899-12-30T20:13:50"/>
  </r>
  <r>
    <x v="48"/>
    <d v="1899-12-30T15:32:26"/>
    <d v="1899-12-30T15:28:21"/>
  </r>
  <r>
    <x v="49"/>
    <d v="1899-12-30T14:51:17"/>
    <d v="1899-12-30T14:47:45"/>
  </r>
  <r>
    <x v="50"/>
    <d v="1899-12-30T19:22:33"/>
    <d v="1899-12-30T19:17:53"/>
  </r>
  <r>
    <x v="51"/>
    <d v="1899-12-30T08:47:54"/>
    <d v="1899-12-30T08:51:13"/>
  </r>
  <r>
    <x v="52"/>
    <d v="1899-12-30T16:48:49"/>
    <d v="1899-12-30T16:52:30"/>
  </r>
  <r>
    <x v="53"/>
    <d v="1899-12-30T14:55:00"/>
    <d v="1899-12-30T14:49:17"/>
  </r>
  <r>
    <x v="54"/>
    <d v="1899-12-30T00:08:19"/>
    <d v="1899-12-30T00:02:35"/>
  </r>
  <r>
    <x v="55"/>
    <d v="1899-12-30T01:53:13"/>
    <d v="1899-12-30T01:49:41"/>
  </r>
  <r>
    <x v="56"/>
    <d v="1899-12-30T07:32:19"/>
    <d v="1899-12-30T07:36:44"/>
  </r>
  <r>
    <x v="57"/>
    <d v="1899-12-30T22:00:57"/>
    <d v="1899-12-30T21:58:22"/>
  </r>
  <r>
    <x v="58"/>
    <d v="1899-12-30T13:39:36"/>
    <d v="1899-12-30T13:35:40"/>
  </r>
  <r>
    <x v="59"/>
    <d v="1899-12-30T10:43:03"/>
    <d v="1899-12-30T10:46:52"/>
  </r>
  <r>
    <x v="60"/>
    <d v="1899-12-30T14:52:29"/>
    <d v="1899-12-30T14:55:07"/>
  </r>
  <r>
    <x v="61"/>
    <d v="1899-12-30T08:34:34"/>
    <d v="1899-12-30T08:31:21"/>
  </r>
  <r>
    <x v="62"/>
    <d v="1899-12-30T07:31:34"/>
    <d v="1899-12-30T07:37:07"/>
  </r>
  <r>
    <x v="63"/>
    <d v="1899-12-30T12:22:47"/>
    <d v="1899-12-30T12:20:10"/>
  </r>
  <r>
    <x v="64"/>
    <d v="1899-12-30T08:03:58"/>
    <d v="1899-12-30T07:58:22"/>
  </r>
  <r>
    <x v="65"/>
    <d v="1899-12-30T14:26:13"/>
    <d v="1899-12-30T14:21:49"/>
  </r>
  <r>
    <x v="66"/>
    <d v="1899-12-30T12:41:04"/>
    <d v="1899-12-30T12:35:55"/>
  </r>
  <r>
    <x v="67"/>
    <d v="1899-12-30T12:30:58"/>
    <d v="1899-12-30T12:25:49"/>
  </r>
  <r>
    <x v="68"/>
    <d v="1899-12-30T13:17:07"/>
    <d v="1899-12-30T13:20:08"/>
  </r>
  <r>
    <x v="69"/>
    <d v="1899-12-30T14:43:40"/>
    <d v="1899-12-30T14:39:56"/>
  </r>
  <r>
    <x v="70"/>
    <d v="1899-12-30T08:28:58"/>
    <d v="1899-12-30T08:34:20"/>
  </r>
  <r>
    <x v="71"/>
    <d v="1899-12-30T07:34:11"/>
    <d v="1899-12-30T07:32:08"/>
  </r>
  <r>
    <x v="72"/>
    <d v="1899-12-30T04:56:03"/>
    <d v="1899-12-30T04:58:16"/>
  </r>
  <r>
    <x v="73"/>
    <d v="1899-12-30T20:53:44"/>
    <d v="1899-12-30T20:58:00"/>
  </r>
  <r>
    <x v="74"/>
    <d v="1899-12-30T01:34:19"/>
    <d v="1899-12-30T01:39:12"/>
  </r>
  <r>
    <x v="75"/>
    <d v="1899-12-30T07:46:00"/>
    <d v="1899-12-30T07:40:38"/>
  </r>
  <r>
    <x v="76"/>
    <d v="1899-12-30T22:19:47"/>
    <d v="1899-12-30T22:23:56"/>
  </r>
  <r>
    <x v="77"/>
    <d v="1899-12-30T05:17:18"/>
    <d v="1899-12-30T05:12:12"/>
  </r>
  <r>
    <x v="78"/>
    <d v="1899-12-30T14:01:48"/>
    <d v="1899-12-30T14:07:12"/>
  </r>
  <r>
    <x v="79"/>
    <d v="1899-12-30T13:17:18"/>
    <d v="1899-12-30T13:12:47"/>
  </r>
  <r>
    <x v="80"/>
    <d v="1899-12-30T08:13:58"/>
    <d v="1899-12-30T08:16:14"/>
  </r>
  <r>
    <x v="81"/>
    <d v="1899-12-30T11:45:10"/>
    <d v="1899-12-30T11:40:13"/>
  </r>
  <r>
    <x v="82"/>
    <d v="1899-12-30T12:22:12"/>
    <d v="1899-12-30T12:26:36"/>
  </r>
  <r>
    <x v="83"/>
    <d v="1899-12-30T03:21:32"/>
    <d v="1899-12-30T03:25:48"/>
  </r>
  <r>
    <x v="168"/>
    <d v="1899-12-30T14:32:08"/>
    <d v="1899-12-30T14:35:57"/>
  </r>
  <r>
    <x v="85"/>
    <d v="1899-12-30T12:24:59"/>
    <d v="1899-12-30T12:22:05"/>
  </r>
  <r>
    <x v="86"/>
    <d v="1899-12-30T11:34:55"/>
    <d v="1899-12-30T11:31:43"/>
  </r>
  <r>
    <x v="87"/>
    <d v="1899-12-30T10:18:43"/>
    <d v="1899-12-30T10:14:14"/>
  </r>
  <r>
    <x v="88"/>
    <d v="1899-12-30T06:31:39"/>
    <d v="1899-12-30T06:27:03"/>
  </r>
  <r>
    <x v="89"/>
    <d v="1899-12-30T23:18:48"/>
    <d v="1899-12-30T23:24:05"/>
  </r>
  <r>
    <x v="90"/>
    <d v="1899-12-30T18:49:47"/>
    <d v="1899-12-30T18:53:22"/>
  </r>
  <r>
    <x v="91"/>
    <d v="1899-12-30T15:32:36"/>
    <d v="1899-12-30T15:34:50"/>
  </r>
  <r>
    <x v="92"/>
    <d v="1899-12-30T10:38:39"/>
    <d v="1899-12-30T10:42:34"/>
  </r>
  <r>
    <x v="93"/>
    <d v="1899-12-30T04:22:42"/>
    <d v="1899-12-30T04:20:32"/>
  </r>
  <r>
    <x v="94"/>
    <d v="1899-12-30T16:47:20"/>
    <d v="1899-12-30T16:50:18"/>
  </r>
  <r>
    <x v="95"/>
    <d v="1899-12-30T19:06:30"/>
    <d v="1899-12-30T19:09:07"/>
  </r>
  <r>
    <x v="96"/>
    <d v="1899-12-30T10:57:51"/>
    <d v="1899-12-30T10:52:39"/>
  </r>
  <r>
    <x v="97"/>
    <d v="1899-12-30T12:22:41"/>
    <d v="1899-12-30T12:24:48"/>
  </r>
  <r>
    <x v="98"/>
    <d v="1899-12-30T23:36:34"/>
    <d v="1899-12-30T23:39:40"/>
  </r>
  <r>
    <x v="99"/>
    <d v="1899-12-30T08:54:44"/>
    <d v="1899-12-30T08:59:36"/>
  </r>
  <r>
    <x v="100"/>
    <d v="1899-12-30T16:36:35"/>
    <d v="1899-12-30T16:32:27"/>
  </r>
  <r>
    <x v="101"/>
    <d v="1899-12-30T06:47:51"/>
    <d v="1899-12-30T06:50:13"/>
  </r>
  <r>
    <x v="102"/>
    <d v="1899-12-30T04:31:17"/>
    <d v="1899-12-30T04:35:09"/>
  </r>
  <r>
    <x v="103"/>
    <d v="1899-12-30T02:14:06"/>
    <d v="1899-12-30T02:10:13"/>
  </r>
  <r>
    <x v="104"/>
    <d v="1899-12-30T23:30:50"/>
    <d v="1899-12-30T23:36:30"/>
  </r>
  <r>
    <x v="105"/>
    <d v="1899-12-30T09:49:26"/>
    <d v="1899-12-30T09:52:16"/>
  </r>
  <r>
    <x v="106"/>
    <d v="1899-12-30T09:29:10"/>
    <d v="1899-12-30T09:23:26"/>
  </r>
  <r>
    <x v="107"/>
    <d v="1899-12-30T07:12:24"/>
    <d v="1899-12-30T07:17:52"/>
  </r>
  <r>
    <x v="108"/>
    <d v="1899-12-30T13:32:36"/>
    <d v="1899-12-30T13:29:00"/>
  </r>
  <r>
    <x v="109"/>
    <d v="1899-12-30T04:37:19"/>
    <d v="1899-12-30T04:32:39"/>
  </r>
  <r>
    <x v="110"/>
    <d v="1899-12-30T15:51:18"/>
    <d v="1899-12-30T15:48:01"/>
  </r>
  <r>
    <x v="111"/>
    <d v="1899-12-30T20:32:44"/>
    <d v="1899-12-30T20:27:07"/>
  </r>
  <r>
    <x v="112"/>
    <d v="1899-12-30T22:27:54"/>
    <d v="1899-12-30T22:33:05"/>
  </r>
  <r>
    <x v="113"/>
    <d v="1899-12-30T13:26:32"/>
    <d v="1899-12-30T13:23:39"/>
  </r>
  <r>
    <x v="114"/>
    <d v="1899-12-30T23:39:57"/>
    <d v="1899-12-30T23:35:14"/>
  </r>
  <r>
    <x v="115"/>
    <d v="1899-12-30T07:30:23"/>
    <d v="1899-12-30T07:33:40"/>
  </r>
  <r>
    <x v="73"/>
    <d v="1899-12-30T16:03:04"/>
    <d v="1899-12-30T16:07:41"/>
  </r>
  <r>
    <x v="116"/>
    <d v="1899-12-30T06:16:21"/>
    <d v="1899-12-30T06:19:19"/>
  </r>
  <r>
    <x v="117"/>
    <d v="1899-12-30T15:47:16"/>
    <d v="1899-12-30T15:44:08"/>
  </r>
  <r>
    <x v="118"/>
    <d v="1899-12-30T19:18:30"/>
    <d v="1899-12-30T19:15:43"/>
  </r>
  <r>
    <x v="119"/>
    <d v="1899-12-30T10:08:24"/>
    <d v="1899-12-30T10:10:50"/>
  </r>
  <r>
    <x v="120"/>
    <d v="1899-12-30T11:55:06"/>
    <d v="1899-12-30T11:52:22"/>
  </r>
  <r>
    <x v="121"/>
    <d v="1899-12-30T00:56:06"/>
    <d v="1899-12-30T00:58:38"/>
  </r>
  <r>
    <x v="122"/>
    <d v="1899-12-30T23:29:19"/>
    <d v="1899-12-30T23:24:06"/>
  </r>
  <r>
    <x v="123"/>
    <d v="1899-12-30T09:04:32"/>
    <d v="1899-12-30T09:07:19"/>
  </r>
  <r>
    <x v="124"/>
    <d v="1899-12-30T22:24:53"/>
    <d v="1899-12-30T22:22:37"/>
  </r>
  <r>
    <x v="85"/>
    <d v="1899-12-30T13:33:03"/>
    <d v="1899-12-30T13:29:38"/>
  </r>
  <r>
    <x v="125"/>
    <d v="1899-12-30T15:18:45"/>
    <d v="1899-12-30T15:24:29"/>
  </r>
  <r>
    <x v="126"/>
    <d v="1899-12-30T17:56:21"/>
    <d v="1899-12-30T17:52:37"/>
  </r>
  <r>
    <x v="127"/>
    <d v="1899-12-30T15:18:51"/>
    <d v="1899-12-30T15:15:30"/>
  </r>
  <r>
    <x v="128"/>
    <d v="1899-12-30T07:19:21"/>
    <d v="1899-12-30T07:23:48"/>
  </r>
  <r>
    <x v="129"/>
    <d v="1899-12-30T05:32:15"/>
    <d v="1899-12-30T05:26:54"/>
  </r>
  <r>
    <x v="130"/>
    <d v="1899-12-30T15:35:26"/>
    <d v="1899-12-30T15:38:01"/>
  </r>
  <r>
    <x v="131"/>
    <d v="1899-12-30T15:34:41"/>
    <d v="1899-12-30T15:37:11"/>
  </r>
  <r>
    <x v="169"/>
    <d v="1899-12-30T11:03:34"/>
    <d v="1899-12-30T11:08:11"/>
  </r>
  <r>
    <x v="133"/>
    <d v="1899-12-30T20:44:37"/>
    <d v="1899-12-30T20:42:26"/>
  </r>
  <r>
    <x v="134"/>
    <d v="1899-12-30T13:15:54"/>
    <d v="1899-12-30T13:19:32"/>
  </r>
  <r>
    <x v="135"/>
    <d v="1899-12-30T09:52:44"/>
    <d v="1899-12-30T09:49:21"/>
  </r>
  <r>
    <x v="136"/>
    <d v="1899-12-30T03:37:19"/>
    <d v="1899-12-30T03:34:57"/>
  </r>
  <r>
    <x v="137"/>
    <d v="1899-12-30T22:15:38"/>
    <d v="1899-12-30T22:10:54"/>
  </r>
  <r>
    <x v="138"/>
    <d v="1899-12-30T21:24:12"/>
    <d v="1899-12-30T21:28:07"/>
  </r>
  <r>
    <x v="139"/>
    <d v="1899-12-30T22:47:00"/>
    <d v="1899-12-30T22:49:26"/>
  </r>
  <r>
    <x v="140"/>
    <d v="1899-12-30T23:52:22"/>
    <d v="1899-12-30T23:55:39"/>
  </r>
  <r>
    <x v="141"/>
    <d v="1899-12-30T22:11:37"/>
    <d v="1899-12-30T22:07:30"/>
  </r>
  <r>
    <x v="142"/>
    <d v="1899-12-30T08:14:47"/>
    <d v="1899-12-30T08:18:07"/>
  </r>
  <r>
    <x v="143"/>
    <d v="1899-12-30T00:56:23"/>
    <d v="1899-12-30T01:00:18"/>
  </r>
  <r>
    <x v="144"/>
    <d v="1899-12-30T17:00:35"/>
    <d v="1899-12-30T17:05:35"/>
  </r>
  <r>
    <x v="145"/>
    <d v="1899-12-30T14:49:06"/>
    <d v="1899-12-30T14:51:39"/>
  </r>
  <r>
    <x v="146"/>
    <d v="1899-12-30T18:05:38"/>
    <d v="1899-12-30T18:09:43"/>
  </r>
  <r>
    <x v="147"/>
    <d v="1899-12-30T22:11:30"/>
    <d v="1899-12-30T22:15:14"/>
  </r>
  <r>
    <x v="148"/>
    <d v="1899-12-30T03:07:15"/>
    <d v="1899-12-30T03:10:50"/>
  </r>
  <r>
    <x v="149"/>
    <d v="1899-12-30T12:37:18"/>
    <d v="1899-12-30T12:40:39"/>
  </r>
  <r>
    <x v="170"/>
    <d v="1899-12-30T14:28:56"/>
    <d v="1899-12-30T14:31:21"/>
  </r>
  <r>
    <x v="151"/>
    <d v="1899-12-30T00:17:38"/>
    <d v="1899-12-30T00:23:21"/>
  </r>
  <r>
    <x v="152"/>
    <d v="1899-12-30T03:10:55"/>
    <d v="1899-12-30T03:13:07"/>
  </r>
  <r>
    <x v="153"/>
    <d v="1899-12-30T10:47:21"/>
    <d v="1899-12-30T10:44:01"/>
  </r>
  <r>
    <x v="154"/>
    <d v="1899-12-30T02:44:09"/>
    <d v="1899-12-30T02:49:22"/>
  </r>
  <r>
    <x v="155"/>
    <d v="1899-12-30T18:39:39"/>
    <d v="1899-12-30T18:35:44"/>
  </r>
  <r>
    <x v="156"/>
    <d v="1899-12-30T19:49:11"/>
    <d v="1899-12-30T19:51:40"/>
  </r>
  <r>
    <x v="157"/>
    <d v="1899-12-30T05:00:07"/>
    <d v="1899-12-30T05:05:37"/>
  </r>
  <r>
    <x v="158"/>
    <d v="1899-12-30T09:29:47"/>
    <d v="1899-12-30T09:24:56"/>
  </r>
  <r>
    <x v="159"/>
    <d v="1899-12-30T00:27:50"/>
    <d v="1899-12-30T00:24:06"/>
  </r>
  <r>
    <x v="160"/>
    <d v="1899-12-30T09:05:24"/>
    <d v="1899-12-30T09:10:47"/>
  </r>
  <r>
    <x v="161"/>
    <d v="1899-12-30T17:27:47"/>
    <d v="1899-12-30T17:31:31"/>
  </r>
  <r>
    <x v="162"/>
    <d v="1899-12-30T16:37:29"/>
    <d v="1899-12-30T16:34:14"/>
  </r>
  <r>
    <x v="171"/>
    <d v="1899-12-30T21:44:15"/>
    <d v="1899-12-30T21:47:22"/>
  </r>
  <r>
    <x v="13"/>
    <d v="1899-12-30T09:01:38"/>
    <d v="1899-12-30T08:57:33"/>
  </r>
  <r>
    <x v="62"/>
    <d v="1899-12-30T08:27:05"/>
    <d v="1899-12-30T08:29:32"/>
  </r>
  <r>
    <x v="154"/>
    <d v="1899-12-30T05:55:55"/>
    <d v="1899-12-30T05:52:01"/>
  </r>
  <r>
    <x v="72"/>
    <d v="1899-12-30T15:34:49"/>
    <d v="1899-12-30T15:31:43"/>
  </r>
  <r>
    <x v="18"/>
    <d v="1899-12-30T08:50:36"/>
    <d v="1899-12-30T08:45:13"/>
  </r>
  <r>
    <x v="24"/>
    <d v="1899-12-30T03:42:09"/>
    <d v="1899-12-30T03:38:27"/>
  </r>
  <r>
    <x v="81"/>
    <d v="1899-12-30T16:09:19"/>
    <d v="1899-12-30T16:13:07"/>
  </r>
  <r>
    <x v="58"/>
    <d v="1899-12-30T23:19:06"/>
    <d v="1899-12-30T23:15:22"/>
  </r>
  <r>
    <x v="9"/>
    <d v="1899-12-30T07:57:52"/>
    <d v="1899-12-30T08:00:26"/>
  </r>
  <r>
    <x v="47"/>
    <d v="1899-12-30T22:44:01"/>
    <d v="1899-12-30T22:47:07"/>
  </r>
  <r>
    <x v="45"/>
    <d v="1899-12-30T01:30:19"/>
    <d v="1899-12-30T01:35:13"/>
  </r>
  <r>
    <x v="39"/>
    <d v="1899-12-30T18:45:43"/>
    <d v="1899-12-30T18:49:12"/>
  </r>
  <r>
    <x v="116"/>
    <d v="1899-12-30T04:19:06"/>
    <d v="1899-12-30T04:13:29"/>
  </r>
  <r>
    <x v="161"/>
    <d v="1899-12-30T07:08:27"/>
    <d v="1899-12-30T07:13:06"/>
  </r>
  <r>
    <x v="2"/>
    <d v="1899-12-30T23:37:50"/>
    <d v="1899-12-30T23:33:55"/>
  </r>
  <r>
    <x v="107"/>
    <d v="1899-12-30T18:48:28"/>
    <d v="1899-12-30T18:51:59"/>
  </r>
  <r>
    <x v="73"/>
    <d v="1899-12-30T04:04:45"/>
    <d v="1899-12-30T04:07:53"/>
  </r>
  <r>
    <x v="73"/>
    <d v="1899-12-30T09:36:27"/>
    <d v="1899-12-30T09:39:58"/>
  </r>
  <r>
    <x v="66"/>
    <d v="1899-12-30T06:07:52"/>
    <d v="1899-12-30T06:12:08"/>
  </r>
  <r>
    <x v="70"/>
    <d v="1899-12-30T08:01:09"/>
    <d v="1899-12-30T07:56:49"/>
  </r>
  <r>
    <x v="0"/>
    <d v="1899-12-30T19:59:22"/>
    <d v="1899-12-30T19:54:57"/>
  </r>
  <r>
    <x v="105"/>
    <d v="1899-12-30T06:34:23"/>
    <d v="1899-12-30T06:30:20"/>
  </r>
  <r>
    <x v="13"/>
    <d v="1899-12-30T19:42:01"/>
    <d v="1899-12-30T19:38:08"/>
  </r>
  <r>
    <x v="62"/>
    <d v="1899-12-30T10:31:37"/>
    <d v="1899-12-30T10:29:06"/>
  </r>
  <r>
    <x v="154"/>
    <d v="1899-12-30T22:33:14"/>
    <d v="1899-12-30T22:36:26"/>
  </r>
  <r>
    <x v="72"/>
    <d v="1899-12-30T06:37:17"/>
    <d v="1899-12-30T06:39:26"/>
  </r>
  <r>
    <x v="18"/>
    <d v="1899-12-30T17:17:22"/>
    <d v="1899-12-30T17:20:36"/>
  </r>
  <r>
    <x v="24"/>
    <d v="1899-12-30T04:45:20"/>
    <d v="1899-12-30T04:49:17"/>
  </r>
  <r>
    <x v="81"/>
    <d v="1899-12-30T17:27:10"/>
    <d v="1899-12-30T17:29:26"/>
  </r>
  <r>
    <x v="58"/>
    <d v="1899-12-30T17:13:54"/>
    <d v="1899-12-30T17:10:50"/>
  </r>
  <r>
    <x v="9"/>
    <d v="1899-12-30T17:49:07"/>
    <d v="1899-12-30T17:45:18"/>
  </r>
  <r>
    <x v="47"/>
    <d v="1899-12-30T03:59:51"/>
    <d v="1899-12-30T04:02:49"/>
  </r>
  <r>
    <x v="45"/>
    <d v="1899-12-30T03:19:37"/>
    <d v="1899-12-30T03:23:15"/>
  </r>
  <r>
    <x v="39"/>
    <d v="1899-12-30T19:04:05"/>
    <d v="1899-12-30T19:00:15"/>
  </r>
  <r>
    <x v="116"/>
    <d v="1899-12-30T23:21:51"/>
    <d v="1899-12-30T23:18:53"/>
  </r>
  <r>
    <x v="161"/>
    <d v="1899-12-30T10:19:38"/>
    <d v="1899-12-30T10:23:08"/>
  </r>
  <r>
    <x v="2"/>
    <d v="1899-12-30T10:07:18"/>
    <d v="1899-12-30T10:12:01"/>
  </r>
  <r>
    <x v="107"/>
    <d v="1899-12-30T14:40:11"/>
    <d v="1899-12-30T14:45:53"/>
  </r>
  <r>
    <x v="73"/>
    <d v="1899-12-30T11:34:05"/>
    <d v="1899-12-30T11:38:35"/>
  </r>
  <r>
    <x v="73"/>
    <d v="1899-12-30T18:02:39"/>
    <d v="1899-12-30T18:06:39"/>
  </r>
  <r>
    <x v="66"/>
    <d v="1899-12-30T23:41:01"/>
    <d v="1899-12-30T23:43:33"/>
  </r>
  <r>
    <x v="70"/>
    <d v="1899-12-30T05:25:17"/>
    <d v="1899-12-30T05:23:07"/>
  </r>
  <r>
    <x v="0"/>
    <d v="1899-12-30T02:10:42"/>
    <d v="1899-12-30T02:14:14"/>
  </r>
  <r>
    <x v="45"/>
    <d v="1899-12-30T18:16:04"/>
    <d v="1899-12-30T18:13:31"/>
  </r>
  <r>
    <x v="39"/>
    <d v="1899-12-30T14:46:40"/>
    <d v="1899-12-30T14:42:41"/>
  </r>
  <r>
    <x v="116"/>
    <d v="1899-12-30T16:08:38"/>
    <d v="1899-12-30T16:14:23"/>
  </r>
  <r>
    <x v="172"/>
    <d v="1899-12-30T10:59:16"/>
    <d v="1899-12-30T10:56:17"/>
  </r>
  <r>
    <x v="2"/>
    <d v="1899-12-30T20:30:18"/>
    <d v="1899-12-30T20:26:23"/>
  </r>
  <r>
    <x v="107"/>
    <d v="1899-12-30T14:21:59"/>
    <d v="1899-12-30T14:17:06"/>
  </r>
  <r>
    <x v="45"/>
    <d v="1899-12-30T09:29:18"/>
    <d v="1899-12-30T09:26:36"/>
  </r>
  <r>
    <x v="39"/>
    <d v="1899-12-30T19:28:55"/>
    <d v="1899-12-30T19:34:19"/>
  </r>
  <r>
    <x v="116"/>
    <d v="1899-12-30T13:44:42"/>
    <d v="1899-12-30T13:48:01"/>
  </r>
  <r>
    <x v="161"/>
    <d v="1899-12-30T19:37:36"/>
    <d v="1899-12-30T19:32:15"/>
  </r>
  <r>
    <x v="2"/>
    <d v="1899-12-30T17:30:40"/>
    <d v="1899-12-30T17:27:18"/>
  </r>
  <r>
    <x v="107"/>
    <d v="1899-12-30T04:49:59"/>
    <d v="1899-12-30T04:45:01"/>
  </r>
  <r>
    <x v="45"/>
    <d v="1899-12-30T07:26:01"/>
    <d v="1899-12-30T07:31:45"/>
  </r>
  <r>
    <x v="39"/>
    <d v="1899-12-30T21:48:17"/>
    <d v="1899-12-30T21:45:56"/>
  </r>
  <r>
    <x v="116"/>
    <d v="1899-12-30T00:48:37"/>
    <d v="1899-12-30T00:50:51"/>
  </r>
  <r>
    <x v="161"/>
    <d v="1899-12-30T23:21:11"/>
    <d v="1899-12-30T23:23:30"/>
  </r>
  <r>
    <x v="2"/>
    <d v="1899-12-30T03:26:14"/>
    <d v="1899-12-30T03:31:38"/>
  </r>
  <r>
    <x v="107"/>
    <d v="1899-12-30T21:05:20"/>
    <d v="1899-12-30T21:00:58"/>
  </r>
  <r>
    <x v="45"/>
    <d v="1899-12-30T18:51:18"/>
    <d v="1899-12-30T18:47:04"/>
  </r>
  <r>
    <x v="39"/>
    <d v="1899-12-30T20:41:49"/>
    <d v="1899-12-30T20:47:05"/>
  </r>
  <r>
    <x v="116"/>
    <d v="1899-12-30T23:01:27"/>
    <d v="1899-12-30T22:58:55"/>
  </r>
  <r>
    <x v="161"/>
    <d v="1899-12-30T17:50:10"/>
    <d v="1899-12-30T17:54:59"/>
  </r>
  <r>
    <x v="2"/>
    <d v="1899-12-30T17:52:22"/>
    <d v="1899-12-30T17:57:21"/>
  </r>
  <r>
    <x v="107"/>
    <d v="1899-12-30T17:51:43"/>
    <d v="1899-12-30T17:55:16"/>
  </r>
  <r>
    <x v="161"/>
    <d v="1899-12-30T05:53:00"/>
    <d v="1899-12-30T05:49:30"/>
  </r>
  <r>
    <x v="2"/>
    <d v="1899-12-30T22:54:53"/>
    <d v="1899-12-30T22:50:16"/>
  </r>
  <r>
    <x v="107"/>
    <d v="1899-12-30T04:47:10"/>
    <d v="1899-12-30T04:50:46"/>
  </r>
  <r>
    <x v="161"/>
    <d v="1899-12-30T10:43:35"/>
    <d v="1899-12-30T10:38:13"/>
  </r>
  <r>
    <x v="2"/>
    <d v="1899-12-30T03:16:33"/>
    <d v="1899-12-30T03:20:37"/>
  </r>
  <r>
    <x v="107"/>
    <d v="1899-12-30T20:43:05"/>
    <d v="1899-12-30T20:48:31"/>
  </r>
  <r>
    <x v="161"/>
    <d v="1899-12-30T00:34:17"/>
    <d v="1899-12-30T00:29:27"/>
  </r>
  <r>
    <x v="2"/>
    <d v="1899-12-30T03:15:34"/>
    <d v="1899-12-30T03:20:43"/>
  </r>
  <r>
    <x v="107"/>
    <d v="1899-12-30T14:27:24"/>
    <d v="1899-12-30T14:32:44"/>
  </r>
  <r>
    <x v="85"/>
    <d v="1899-12-30T17:58:43"/>
    <d v="1899-12-30T17:53:53"/>
  </r>
  <r>
    <x v="85"/>
    <d v="1899-12-30T07:44:06"/>
    <d v="1899-12-30T07:40:14"/>
  </r>
  <r>
    <x v="85"/>
    <d v="1899-12-30T06:12:57"/>
    <d v="1899-12-30T06:17:43"/>
  </r>
  <r>
    <x v="85"/>
    <d v="1899-12-30T03:50:32"/>
    <d v="1899-12-30T03:46:20"/>
  </r>
  <r>
    <x v="54"/>
    <d v="1899-12-30T08:18:09"/>
    <d v="1899-12-30T08:15:49"/>
  </r>
  <r>
    <x v="131"/>
    <d v="1899-12-30T00:57:41"/>
    <d v="1899-12-30T01:00:06"/>
  </r>
  <r>
    <x v="15"/>
    <d v="1899-12-31T00:03:27"/>
    <d v="1899-12-30T23:58:14"/>
  </r>
  <r>
    <x v="83"/>
    <d v="1899-12-30T02:18:28"/>
    <d v="1899-12-30T02:20:47"/>
  </r>
  <r>
    <x v="111"/>
    <d v="1899-12-30T19:54:22"/>
    <d v="1899-12-30T19:50:45"/>
  </r>
  <r>
    <x v="101"/>
    <d v="1899-12-30T22:05:41"/>
    <d v="1899-12-30T22:09:01"/>
  </r>
  <r>
    <x v="55"/>
    <d v="1899-12-30T16:03:58"/>
    <d v="1899-12-30T16:01:36"/>
  </r>
  <r>
    <x v="0"/>
    <d v="1899-12-30T07:29:55"/>
    <d v="1899-12-30T07:26:43"/>
  </r>
  <r>
    <x v="1"/>
    <d v="1899-12-30T03:53:14"/>
    <d v="1899-12-30T03:55:45"/>
  </r>
  <r>
    <x v="2"/>
    <d v="1899-12-30T00:57:41"/>
    <d v="1899-12-30T00:55:01"/>
  </r>
  <r>
    <x v="3"/>
    <d v="1899-12-30T17:03:41"/>
    <d v="1899-12-30T17:06:53"/>
  </r>
  <r>
    <x v="4"/>
    <d v="1899-12-30T04:08:44"/>
    <d v="1899-12-30T04:05:58"/>
  </r>
  <r>
    <x v="5"/>
    <d v="1899-12-30T21:27:58"/>
    <d v="1899-12-30T21:23:11"/>
  </r>
  <r>
    <x v="6"/>
    <d v="1899-12-30T00:56:16"/>
    <d v="1899-12-30T01:01:18"/>
  </r>
  <r>
    <x v="7"/>
    <d v="1899-12-30T00:57:02"/>
    <d v="1899-12-30T00:53:40"/>
  </r>
  <r>
    <x v="8"/>
    <d v="1899-12-30T21:53:50"/>
    <d v="1899-12-30T21:56:35"/>
  </r>
  <r>
    <x v="9"/>
    <d v="1899-12-30T10:31:00"/>
    <d v="1899-12-30T10:33:35"/>
  </r>
  <r>
    <x v="10"/>
    <d v="1899-12-30T04:32:05"/>
    <d v="1899-12-30T04:28:27"/>
  </r>
  <r>
    <x v="11"/>
    <d v="1899-12-30T15:09:02"/>
    <d v="1899-12-30T15:13:34"/>
  </r>
  <r>
    <x v="12"/>
    <d v="1899-12-30T01:22:02"/>
    <d v="1899-12-30T01:18:37"/>
  </r>
  <r>
    <x v="13"/>
    <d v="1899-12-30T03:06:09"/>
    <d v="1899-12-30T03:01:27"/>
  </r>
  <r>
    <x v="14"/>
    <d v="1899-12-30T02:10:54"/>
    <d v="1899-12-30T02:14:57"/>
  </r>
  <r>
    <x v="15"/>
    <d v="1899-12-30T18:38:35"/>
    <d v="1899-12-30T18:36:25"/>
  </r>
  <r>
    <x v="16"/>
    <d v="1899-12-30T22:42:33"/>
    <d v="1899-12-30T22:45:40"/>
  </r>
  <r>
    <x v="17"/>
    <d v="1899-12-30T06:18:35"/>
    <d v="1899-12-30T06:20:50"/>
  </r>
  <r>
    <x v="18"/>
    <d v="1899-12-30T23:56:57"/>
    <d v="1899-12-30T23:59:15"/>
  </r>
  <r>
    <x v="19"/>
    <d v="1899-12-30T23:04:48"/>
    <d v="1899-12-30T23:01:19"/>
  </r>
  <r>
    <x v="20"/>
    <d v="1899-12-30T12:05:02"/>
    <d v="1899-12-30T12:09:44"/>
  </r>
  <r>
    <x v="21"/>
    <d v="1899-12-30T08:31:16"/>
    <d v="1899-12-30T08:36:32"/>
  </r>
  <r>
    <x v="22"/>
    <d v="1899-12-30T22:22:55"/>
    <d v="1899-12-30T22:18:55"/>
  </r>
  <r>
    <x v="23"/>
    <d v="1899-12-30T08:16:18"/>
    <d v="1899-12-30T08:20:33"/>
  </r>
  <r>
    <x v="24"/>
    <d v="1899-12-30T03:56:22"/>
    <d v="1899-12-30T03:53:45"/>
  </r>
  <r>
    <x v="25"/>
    <d v="1899-12-30T12:31:45"/>
    <d v="1899-12-30T12:34:52"/>
  </r>
  <r>
    <x v="26"/>
    <d v="1899-12-30T09:28:28"/>
    <d v="1899-12-30T09:23:38"/>
  </r>
  <r>
    <x v="27"/>
    <d v="1899-12-30T03:08:12"/>
    <d v="1899-12-30T03:13:57"/>
  </r>
  <r>
    <x v="28"/>
    <d v="1899-12-30T02:36:44"/>
    <d v="1899-12-30T02:32:00"/>
  </r>
  <r>
    <x v="29"/>
    <d v="1899-12-30T14:54:18"/>
    <d v="1899-12-30T14:57:46"/>
  </r>
  <r>
    <x v="30"/>
    <d v="1899-12-30T21:57:59"/>
    <d v="1899-12-30T22:02:28"/>
  </r>
  <r>
    <x v="173"/>
    <d v="1899-12-30T09:33:57"/>
    <d v="1899-12-30T09:36:59"/>
  </r>
  <r>
    <x v="32"/>
    <d v="1899-12-30T16:07:45"/>
    <d v="1899-12-30T16:09:46"/>
  </r>
  <r>
    <x v="33"/>
    <d v="1899-12-30T00:51:47"/>
    <d v="1899-12-30T00:54:42"/>
  </r>
  <r>
    <x v="34"/>
    <d v="1899-12-30T12:20:59"/>
    <d v="1899-12-30T12:18:11"/>
  </r>
  <r>
    <x v="35"/>
    <d v="1899-12-30T22:09:11"/>
    <d v="1899-12-30T22:05:46"/>
  </r>
  <r>
    <x v="36"/>
    <d v="1899-12-30T03:24:25"/>
    <d v="1899-12-30T03:20:32"/>
  </r>
  <r>
    <x v="174"/>
    <d v="1899-12-30T19:58:40"/>
    <d v="1899-12-30T19:56:18"/>
  </r>
  <r>
    <x v="38"/>
    <d v="1899-12-30T16:14:35"/>
    <d v="1899-12-30T16:17:41"/>
  </r>
  <r>
    <x v="39"/>
    <d v="1899-12-30T08:02:59"/>
    <d v="1899-12-30T08:08:14"/>
  </r>
  <r>
    <x v="175"/>
    <d v="1899-12-30T17:04:04"/>
    <d v="1899-12-30T16:59:11"/>
  </r>
  <r>
    <x v="41"/>
    <d v="1899-12-30T17:05:07"/>
    <d v="1899-12-30T17:10:29"/>
  </r>
  <r>
    <x v="42"/>
    <d v="1899-12-30T09:40:23"/>
    <d v="1899-12-30T09:35:03"/>
  </r>
  <r>
    <x v="43"/>
    <d v="1899-12-30T21:43:46"/>
    <d v="1899-12-30T21:46:58"/>
  </r>
  <r>
    <x v="44"/>
    <d v="1899-12-30T05:35:01"/>
    <d v="1899-12-30T05:39:42"/>
  </r>
  <r>
    <x v="45"/>
    <d v="1899-12-30T05:33:34"/>
    <d v="1899-12-30T05:35:46"/>
  </r>
  <r>
    <x v="46"/>
    <d v="1899-12-30T12:49:11"/>
    <d v="1899-12-30T12:51:16"/>
  </r>
  <r>
    <x v="47"/>
    <d v="1899-12-30T18:17:01"/>
    <d v="1899-12-30T18:13:50"/>
  </r>
  <r>
    <x v="48"/>
    <d v="1899-12-30T03:33:51"/>
    <d v="1899-12-30T03:30:53"/>
  </r>
  <r>
    <x v="49"/>
    <d v="1899-12-30T05:33:16"/>
    <d v="1899-12-30T05:27:44"/>
  </r>
  <r>
    <x v="50"/>
    <d v="1899-12-30T20:38:27"/>
    <d v="1899-12-30T20:35:13"/>
  </r>
  <r>
    <x v="51"/>
    <d v="1899-12-30T13:46:47"/>
    <d v="1899-12-30T13:43:58"/>
  </r>
  <r>
    <x v="52"/>
    <d v="1899-12-30T02:36:42"/>
    <d v="1899-12-30T02:31:06"/>
  </r>
  <r>
    <x v="53"/>
    <d v="1899-12-30T17:22:44"/>
    <d v="1899-12-30T17:27:48"/>
  </r>
  <r>
    <x v="54"/>
    <d v="1899-12-30T11:01:22"/>
    <d v="1899-12-30T10:55:55"/>
  </r>
  <r>
    <x v="55"/>
    <d v="1899-12-30T23:48:05"/>
    <d v="1899-12-30T23:52:40"/>
  </r>
  <r>
    <x v="56"/>
    <d v="1899-12-30T21:38:30"/>
    <d v="1899-12-30T21:44:05"/>
  </r>
  <r>
    <x v="57"/>
    <d v="1899-12-30T23:46:41"/>
    <d v="1899-12-30T23:43:53"/>
  </r>
  <r>
    <x v="58"/>
    <d v="1899-12-30T17:06:38"/>
    <d v="1899-12-30T17:11:22"/>
  </r>
  <r>
    <x v="59"/>
    <d v="1899-12-30T06:11:15"/>
    <d v="1899-12-30T06:08:34"/>
  </r>
  <r>
    <x v="60"/>
    <d v="1899-12-30T02:05:13"/>
    <d v="1899-12-30T02:02:57"/>
  </r>
  <r>
    <x v="61"/>
    <d v="1899-12-30T08:25:27"/>
    <d v="1899-12-30T08:27:33"/>
  </r>
  <r>
    <x v="62"/>
    <d v="1899-12-30T19:49:22"/>
    <d v="1899-12-30T19:54:01"/>
  </r>
  <r>
    <x v="63"/>
    <d v="1899-12-30T13:24:18"/>
    <d v="1899-12-30T13:18:40"/>
  </r>
  <r>
    <x v="64"/>
    <d v="1899-12-30T05:10:54"/>
    <d v="1899-12-30T05:13:54"/>
  </r>
  <r>
    <x v="65"/>
    <d v="1899-12-30T20:37:11"/>
    <d v="1899-12-30T20:34:19"/>
  </r>
  <r>
    <x v="66"/>
    <d v="1899-12-30T16:11:14"/>
    <d v="1899-12-30T16:16:10"/>
  </r>
  <r>
    <x v="67"/>
    <d v="1899-12-30T11:30:07"/>
    <d v="1899-12-30T11:25:49"/>
  </r>
  <r>
    <x v="68"/>
    <d v="1899-12-30T12:26:23"/>
    <d v="1899-12-30T12:30:55"/>
  </r>
  <r>
    <x v="69"/>
    <d v="1899-12-30T16:38:37"/>
    <d v="1899-12-30T16:34:57"/>
  </r>
  <r>
    <x v="70"/>
    <d v="1899-12-30T03:29:34"/>
    <d v="1899-12-30T03:33:55"/>
  </r>
  <r>
    <x v="71"/>
    <d v="1899-12-30T22:46:05"/>
    <d v="1899-12-30T22:48:49"/>
  </r>
  <r>
    <x v="72"/>
    <d v="1899-12-30T14:45:30"/>
    <d v="1899-12-30T14:42:29"/>
  </r>
  <r>
    <x v="73"/>
    <d v="1899-12-30T19:13:20"/>
    <d v="1899-12-30T19:10:43"/>
  </r>
  <r>
    <x v="74"/>
    <d v="1899-12-30T19:24:51"/>
    <d v="1899-12-30T19:22:03"/>
  </r>
  <r>
    <x v="75"/>
    <d v="1899-12-30T00:38:45"/>
    <d v="1899-12-30T00:42:08"/>
  </r>
  <r>
    <x v="76"/>
    <d v="1899-12-30T20:15:08"/>
    <d v="1899-12-30T20:17:43"/>
  </r>
  <r>
    <x v="77"/>
    <d v="1899-12-30T19:38:59"/>
    <d v="1899-12-30T19:41:39"/>
  </r>
  <r>
    <x v="78"/>
    <d v="1899-12-30T18:40:28"/>
    <d v="1899-12-30T18:36:22"/>
  </r>
  <r>
    <x v="79"/>
    <d v="1899-12-30T20:04:33"/>
    <d v="1899-12-30T20:08:18"/>
  </r>
  <r>
    <x v="80"/>
    <d v="1899-12-30T15:19:38"/>
    <d v="1899-12-30T15:25:13"/>
  </r>
  <r>
    <x v="81"/>
    <d v="1899-12-30T10:31:53"/>
    <d v="1899-12-30T10:27:32"/>
  </r>
  <r>
    <x v="82"/>
    <d v="1899-12-30T04:53:57"/>
    <d v="1899-12-30T04:50:39"/>
  </r>
  <r>
    <x v="83"/>
    <d v="1899-12-30T21:18:34"/>
    <d v="1899-12-30T21:12:48"/>
  </r>
  <r>
    <x v="176"/>
    <d v="1899-12-30T23:12:54"/>
    <d v="1899-12-30T23:17:56"/>
  </r>
  <r>
    <x v="85"/>
    <d v="1899-12-30T02:54:49"/>
    <d v="1899-12-30T02:59:39"/>
  </r>
  <r>
    <x v="86"/>
    <d v="1899-12-30T01:24:24"/>
    <d v="1899-12-30T01:21:19"/>
  </r>
  <r>
    <x v="87"/>
    <d v="1899-12-30T19:05:39"/>
    <d v="1899-12-30T19:00:45"/>
  </r>
  <r>
    <x v="88"/>
    <d v="1899-12-30T15:14:56"/>
    <d v="1899-12-30T15:20:28"/>
  </r>
  <r>
    <x v="89"/>
    <d v="1899-12-30T07:04:29"/>
    <d v="1899-12-30T07:09:11"/>
  </r>
  <r>
    <x v="90"/>
    <d v="1899-12-30T07:29:26"/>
    <d v="1899-12-30T07:32:53"/>
  </r>
  <r>
    <x v="91"/>
    <d v="1899-12-30T00:32:08"/>
    <d v="1899-12-30T00:28:09"/>
  </r>
  <r>
    <x v="92"/>
    <d v="1899-12-30T15:50:14"/>
    <d v="1899-12-30T15:45:48"/>
  </r>
  <r>
    <x v="93"/>
    <d v="1899-12-30T18:02:37"/>
    <d v="1899-12-30T17:58:56"/>
  </r>
  <r>
    <x v="94"/>
    <d v="1899-12-30T16:40:14"/>
    <d v="1899-12-30T16:45:51"/>
  </r>
  <r>
    <x v="95"/>
    <d v="1899-12-30T05:13:05"/>
    <d v="1899-12-30T05:10:38"/>
  </r>
  <r>
    <x v="96"/>
    <d v="1899-12-30T05:58:26"/>
    <d v="1899-12-30T06:02:56"/>
  </r>
  <r>
    <x v="97"/>
    <d v="1899-12-30T02:17:34"/>
    <d v="1899-12-30T02:12:21"/>
  </r>
  <r>
    <x v="98"/>
    <d v="1899-12-30T13:26:43"/>
    <d v="1899-12-30T13:29:14"/>
  </r>
  <r>
    <x v="99"/>
    <d v="1899-12-30T02:22:15"/>
    <d v="1899-12-30T02:19:13"/>
  </r>
  <r>
    <x v="100"/>
    <d v="1899-12-30T16:01:27"/>
    <d v="1899-12-30T16:04:58"/>
  </r>
  <r>
    <x v="101"/>
    <d v="1899-12-30T16:46:48"/>
    <d v="1899-12-30T16:48:50"/>
  </r>
  <r>
    <x v="102"/>
    <d v="1899-12-30T12:06:28"/>
    <d v="1899-12-30T12:04:18"/>
  </r>
  <r>
    <x v="103"/>
    <d v="1899-12-30T17:01:09"/>
    <d v="1899-12-30T16:57:07"/>
  </r>
  <r>
    <x v="104"/>
    <d v="1899-12-30T06:06:47"/>
    <d v="1899-12-30T06:11:23"/>
  </r>
  <r>
    <x v="177"/>
    <d v="1899-12-30T12:34:20"/>
    <d v="1899-12-30T12:38:14"/>
  </r>
  <r>
    <x v="106"/>
    <d v="1899-12-30T02:11:40"/>
    <d v="1899-12-30T02:15:18"/>
  </r>
  <r>
    <x v="107"/>
    <d v="1899-12-30T09:42:10"/>
    <d v="1899-12-30T09:46:56"/>
  </r>
  <r>
    <x v="108"/>
    <d v="1899-12-30T02:42:35"/>
    <d v="1899-12-30T02:45:01"/>
  </r>
  <r>
    <x v="109"/>
    <d v="1899-12-30T22:49:07"/>
    <d v="1899-12-30T22:44:50"/>
  </r>
  <r>
    <x v="110"/>
    <d v="1899-12-30T08:58:43"/>
    <d v="1899-12-30T08:56:23"/>
  </r>
  <r>
    <x v="111"/>
    <d v="1899-12-30T10:23:52"/>
    <d v="1899-12-30T10:21:09"/>
  </r>
  <r>
    <x v="112"/>
    <d v="1899-12-30T04:04:41"/>
    <d v="1899-12-30T03:59:28"/>
  </r>
  <r>
    <x v="113"/>
    <d v="1899-12-30T05:14:32"/>
    <d v="1899-12-30T05:09:42"/>
  </r>
  <r>
    <x v="114"/>
    <d v="1899-12-30T11:49:05"/>
    <d v="1899-12-30T11:53:02"/>
  </r>
  <r>
    <x v="115"/>
    <d v="1899-12-30T17:45:32"/>
    <d v="1899-12-30T17:50:28"/>
  </r>
  <r>
    <x v="73"/>
    <d v="1899-12-30T04:46:23"/>
    <d v="1899-12-30T04:43:33"/>
  </r>
  <r>
    <x v="116"/>
    <d v="1899-12-30T19:40:57"/>
    <d v="1899-12-30T19:44:10"/>
  </r>
  <r>
    <x v="117"/>
    <d v="1899-12-30T20:06:00"/>
    <d v="1899-12-30T20:03:50"/>
  </r>
  <r>
    <x v="118"/>
    <d v="1899-12-30T17:03:49"/>
    <d v="1899-12-30T17:00:38"/>
  </r>
  <r>
    <x v="119"/>
    <d v="1899-12-30T00:34:55"/>
    <d v="1899-12-30T00:32:52"/>
  </r>
  <r>
    <x v="120"/>
    <d v="1899-12-30T11:46:29"/>
    <d v="1899-12-30T11:42:44"/>
  </r>
  <r>
    <x v="121"/>
    <d v="1899-12-30T16:23:33"/>
    <d v="1899-12-30T16:20:17"/>
  </r>
  <r>
    <x v="122"/>
    <d v="1899-12-30T09:12:36"/>
    <d v="1899-12-30T09:16:30"/>
  </r>
  <r>
    <x v="123"/>
    <d v="1899-12-30T01:14:41"/>
    <d v="1899-12-30T01:19:34"/>
  </r>
  <r>
    <x v="124"/>
    <d v="1899-12-30T13:40:39"/>
    <d v="1899-12-30T13:43:58"/>
  </r>
  <r>
    <x v="85"/>
    <d v="1899-12-30T10:46:05"/>
    <d v="1899-12-30T10:48:08"/>
  </r>
  <r>
    <x v="125"/>
    <d v="1899-12-30T19:24:22"/>
    <d v="1899-12-30T19:21:04"/>
  </r>
  <r>
    <x v="126"/>
    <d v="1899-12-30T19:46:52"/>
    <d v="1899-12-30T19:51:52"/>
  </r>
  <r>
    <x v="127"/>
    <d v="1899-12-30T01:31:25"/>
    <d v="1899-12-30T01:36:21"/>
  </r>
  <r>
    <x v="128"/>
    <d v="1899-12-30T21:22:44"/>
    <d v="1899-12-30T21:25:03"/>
  </r>
  <r>
    <x v="129"/>
    <d v="1899-12-30T12:59:56"/>
    <d v="1899-12-30T12:54:11"/>
  </r>
  <r>
    <x v="130"/>
    <d v="1899-12-30T01:16:45"/>
    <d v="1899-12-30T01:13:03"/>
  </r>
  <r>
    <x v="131"/>
    <d v="1899-12-30T01:35:33"/>
    <d v="1899-12-30T01:31:34"/>
  </r>
  <r>
    <x v="178"/>
    <d v="1899-12-30T22:04:56"/>
    <d v="1899-12-30T22:10:19"/>
  </r>
  <r>
    <x v="133"/>
    <d v="1899-12-30T03:50:47"/>
    <d v="1899-12-30T03:56:24"/>
  </r>
  <r>
    <x v="134"/>
    <d v="1899-12-30T00:33:07"/>
    <d v="1899-12-30T00:37:17"/>
  </r>
  <r>
    <x v="135"/>
    <d v="1899-12-30T16:14:50"/>
    <d v="1899-12-30T16:12:47"/>
  </r>
  <r>
    <x v="136"/>
    <d v="1899-12-30T18:56:09"/>
    <d v="1899-12-30T18:53:46"/>
  </r>
  <r>
    <x v="137"/>
    <d v="1899-12-30T22:42:19"/>
    <d v="1899-12-30T22:38:08"/>
  </r>
  <r>
    <x v="138"/>
    <d v="1899-12-30T06:49:29"/>
    <d v="1899-12-30T06:52:24"/>
  </r>
  <r>
    <x v="139"/>
    <d v="1899-12-30T21:39:23"/>
    <d v="1899-12-30T21:35:11"/>
  </r>
  <r>
    <x v="140"/>
    <d v="1899-12-30T20:28:20"/>
    <d v="1899-12-30T20:24:52"/>
  </r>
  <r>
    <x v="141"/>
    <d v="1899-12-30T05:49:50"/>
    <d v="1899-12-30T05:54:08"/>
  </r>
  <r>
    <x v="142"/>
    <d v="1899-12-30T19:18:13"/>
    <d v="1899-12-30T19:13:07"/>
  </r>
  <r>
    <x v="143"/>
    <d v="1899-12-30T17:43:14"/>
    <d v="1899-12-30T17:45:21"/>
  </r>
  <r>
    <x v="144"/>
    <d v="1899-12-30T11:19:09"/>
    <d v="1899-12-30T11:14:13"/>
  </r>
  <r>
    <x v="145"/>
    <d v="1899-12-30T17:28:00"/>
    <d v="1899-12-30T17:23:49"/>
  </r>
  <r>
    <x v="146"/>
    <d v="1899-12-30T10:12:42"/>
    <d v="1899-12-30T10:15:16"/>
  </r>
  <r>
    <x v="147"/>
    <d v="1899-12-30T20:12:21"/>
    <d v="1899-12-30T20:15:58"/>
  </r>
  <r>
    <x v="148"/>
    <d v="1899-12-30T20:15:27"/>
    <d v="1899-12-30T20:19:34"/>
  </r>
  <r>
    <x v="149"/>
    <d v="1899-12-30T17:09:09"/>
    <d v="1899-12-30T17:14:05"/>
  </r>
  <r>
    <x v="179"/>
    <d v="1899-12-30T03:33:19"/>
    <d v="1899-12-30T03:28:05"/>
  </r>
  <r>
    <x v="151"/>
    <d v="1899-12-30T18:27:24"/>
    <d v="1899-12-30T18:21:39"/>
  </r>
  <r>
    <x v="152"/>
    <d v="1899-12-30T08:45:18"/>
    <d v="1899-12-30T08:48:51"/>
  </r>
  <r>
    <x v="153"/>
    <d v="1899-12-30T12:52:26"/>
    <d v="1899-12-30T12:47:37"/>
  </r>
  <r>
    <x v="154"/>
    <d v="1899-12-30T09:10:38"/>
    <d v="1899-12-30T09:08:08"/>
  </r>
  <r>
    <x v="155"/>
    <d v="1899-12-30T11:24:01"/>
    <d v="1899-12-30T11:29:46"/>
  </r>
  <r>
    <x v="156"/>
    <d v="1899-12-30T17:24:25"/>
    <d v="1899-12-30T17:26:53"/>
  </r>
  <r>
    <x v="157"/>
    <d v="1899-12-30T14:03:05"/>
    <d v="1899-12-30T14:07:03"/>
  </r>
  <r>
    <x v="158"/>
    <d v="1899-12-30T08:58:47"/>
    <d v="1899-12-30T09:01:07"/>
  </r>
  <r>
    <x v="159"/>
    <d v="1899-12-30T20:28:50"/>
    <d v="1899-12-30T20:33:05"/>
  </r>
  <r>
    <x v="160"/>
    <d v="1899-12-30T20:56:04"/>
    <d v="1899-12-30T20:51:12"/>
  </r>
  <r>
    <x v="161"/>
    <d v="1899-12-30T10:07:22"/>
    <d v="1899-12-30T10:11:43"/>
  </r>
  <r>
    <x v="162"/>
    <d v="1899-12-30T17:12:30"/>
    <d v="1899-12-30T17:07:40"/>
  </r>
  <r>
    <x v="105"/>
    <d v="1899-12-30T00:42:57"/>
    <d v="1899-12-30T00:48:26"/>
  </r>
  <r>
    <x v="13"/>
    <d v="1899-12-30T06:25:17"/>
    <d v="1899-12-30T06:23:06"/>
  </r>
  <r>
    <x v="62"/>
    <d v="1899-12-30T04:25:27"/>
    <d v="1899-12-30T04:30:46"/>
  </r>
  <r>
    <x v="154"/>
    <d v="1899-12-30T13:25:28"/>
    <d v="1899-12-30T13:20:55"/>
  </r>
  <r>
    <x v="72"/>
    <d v="1899-12-30T07:17:01"/>
    <d v="1899-12-30T07:14:38"/>
  </r>
  <r>
    <x v="18"/>
    <d v="1899-12-30T06:00:27"/>
    <d v="1899-12-30T05:58:25"/>
  </r>
  <r>
    <x v="24"/>
    <d v="1899-12-30T01:41:01"/>
    <d v="1899-12-30T01:35:31"/>
  </r>
  <r>
    <x v="81"/>
    <d v="1899-12-30T01:36:09"/>
    <d v="1899-12-30T01:39:37"/>
  </r>
  <r>
    <x v="58"/>
    <d v="1899-12-30T10:12:42"/>
    <d v="1899-12-30T10:14:55"/>
  </r>
  <r>
    <x v="9"/>
    <d v="1899-12-30T16:16:20"/>
    <d v="1899-12-30T16:18:57"/>
  </r>
  <r>
    <x v="47"/>
    <d v="1899-12-30T18:15:49"/>
    <d v="1899-12-30T18:13:25"/>
  </r>
  <r>
    <x v="45"/>
    <d v="1899-12-30T04:52:30"/>
    <d v="1899-12-30T04:55:06"/>
  </r>
  <r>
    <x v="39"/>
    <d v="1899-12-30T13:15:25"/>
    <d v="1899-12-30T13:17:26"/>
  </r>
  <r>
    <x v="116"/>
    <d v="1899-12-30T04:26:12"/>
    <d v="1899-12-30T04:21:58"/>
  </r>
  <r>
    <x v="161"/>
    <d v="1899-12-30T03:42:59"/>
    <d v="1899-12-30T03:38:58"/>
  </r>
  <r>
    <x v="2"/>
    <d v="1899-12-30T04:40:13"/>
    <d v="1899-12-30T04:42:30"/>
  </r>
  <r>
    <x v="107"/>
    <d v="1899-12-30T08:43:57"/>
    <d v="1899-12-30T08:46:50"/>
  </r>
  <r>
    <x v="73"/>
    <d v="1899-12-30T07:59:54"/>
    <d v="1899-12-30T07:54:10"/>
  </r>
  <r>
    <x v="73"/>
    <d v="1899-12-30T18:11:23"/>
    <d v="1899-12-30T18:09:20"/>
  </r>
  <r>
    <x v="66"/>
    <d v="1899-12-30T09:48:47"/>
    <d v="1899-12-30T09:45:24"/>
  </r>
  <r>
    <x v="70"/>
    <d v="1899-12-30T10:34:39"/>
    <d v="1899-12-30T10:31:09"/>
  </r>
  <r>
    <x v="0"/>
    <d v="1899-12-30T15:21:54"/>
    <d v="1899-12-30T15:26:24"/>
  </r>
  <r>
    <x v="180"/>
    <d v="1899-12-30T21:22:11"/>
    <d v="1899-12-30T21:20:00"/>
  </r>
  <r>
    <x v="13"/>
    <d v="1899-12-30T06:09:30"/>
    <d v="1899-12-30T06:12:33"/>
  </r>
  <r>
    <x v="62"/>
    <d v="1899-12-30T02:56:42"/>
    <d v="1899-12-30T02:51:06"/>
  </r>
  <r>
    <x v="154"/>
    <d v="1899-12-30T13:55:35"/>
    <d v="1899-12-30T13:59:31"/>
  </r>
  <r>
    <x v="72"/>
    <d v="1899-12-30T22:02:29"/>
    <d v="1899-12-30T21:58:18"/>
  </r>
  <r>
    <x v="18"/>
    <d v="1899-12-30T12:58:07"/>
    <d v="1899-12-30T13:02:01"/>
  </r>
  <r>
    <x v="24"/>
    <d v="1899-12-30T10:55:44"/>
    <d v="1899-12-30T10:59:21"/>
  </r>
  <r>
    <x v="81"/>
    <d v="1899-12-30T22:04:33"/>
    <d v="1899-12-30T22:01:34"/>
  </r>
  <r>
    <x v="58"/>
    <d v="1899-12-30T05:30:43"/>
    <d v="1899-12-30T05:34:45"/>
  </r>
  <r>
    <x v="9"/>
    <d v="1899-12-30T13:15:01"/>
    <d v="1899-12-30T13:10:00"/>
  </r>
  <r>
    <x v="47"/>
    <d v="1899-12-30T13:23:58"/>
    <d v="1899-12-30T13:18:54"/>
  </r>
  <r>
    <x v="45"/>
    <d v="1899-12-30T08:00:38"/>
    <d v="1899-12-30T07:56:48"/>
  </r>
  <r>
    <x v="39"/>
    <d v="1899-12-30T13:41:51"/>
    <d v="1899-12-30T13:36:32"/>
  </r>
  <r>
    <x v="116"/>
    <d v="1899-12-30T17:45:14"/>
    <d v="1899-12-30T17:49:52"/>
  </r>
  <r>
    <x v="181"/>
    <d v="1899-12-30T20:01:20"/>
    <d v="1899-12-30T20:05:14"/>
  </r>
  <r>
    <x v="2"/>
    <d v="1899-12-30T12:54:59"/>
    <d v="1899-12-30T12:57:08"/>
  </r>
  <r>
    <x v="107"/>
    <d v="1899-12-30T14:00:47"/>
    <d v="1899-12-30T13:58:07"/>
  </r>
  <r>
    <x v="73"/>
    <d v="1899-12-30T13:16:09"/>
    <d v="1899-12-30T13:21:03"/>
  </r>
  <r>
    <x v="73"/>
    <d v="1899-12-30T07:04:11"/>
    <d v="1899-12-30T07:00:30"/>
  </r>
  <r>
    <x v="66"/>
    <d v="1899-12-30T17:07:57"/>
    <d v="1899-12-30T17:03:20"/>
  </r>
  <r>
    <x v="70"/>
    <d v="1899-12-30T09:43:30"/>
    <d v="1899-12-30T09:39:45"/>
  </r>
  <r>
    <x v="0"/>
    <d v="1899-12-30T14:17:39"/>
    <d v="1899-12-30T14:20:56"/>
  </r>
  <r>
    <x v="45"/>
    <d v="1899-12-30T13:36:15"/>
    <d v="1899-12-30T13:30:39"/>
  </r>
  <r>
    <x v="39"/>
    <d v="1899-12-30T02:26:25"/>
    <d v="1899-12-30T02:23:09"/>
  </r>
  <r>
    <x v="116"/>
    <d v="1899-12-30T19:16:51"/>
    <d v="1899-12-30T19:11:45"/>
  </r>
  <r>
    <x v="161"/>
    <d v="1899-12-30T13:42:43"/>
    <d v="1899-12-30T13:46:47"/>
  </r>
  <r>
    <x v="2"/>
    <d v="1899-12-30T07:59:05"/>
    <d v="1899-12-30T08:04:49"/>
  </r>
  <r>
    <x v="107"/>
    <d v="1899-12-30T05:38:32"/>
    <d v="1899-12-30T05:35:26"/>
  </r>
  <r>
    <x v="45"/>
    <d v="1899-12-30T08:47:29"/>
    <d v="1899-12-30T08:42:43"/>
  </r>
  <r>
    <x v="39"/>
    <d v="1899-12-30T12:38:06"/>
    <d v="1899-12-30T12:33:22"/>
  </r>
  <r>
    <x v="116"/>
    <d v="1899-12-30T22:26:36"/>
    <d v="1899-12-30T22:29:15"/>
  </r>
  <r>
    <x v="161"/>
    <d v="1899-12-30T17:37:09"/>
    <d v="1899-12-30T17:33:56"/>
  </r>
  <r>
    <x v="2"/>
    <d v="1899-12-30T20:22:29"/>
    <d v="1899-12-30T20:19:12"/>
  </r>
  <r>
    <x v="107"/>
    <d v="1899-12-30T09:18:15"/>
    <d v="1899-12-30T09:20:29"/>
  </r>
  <r>
    <x v="45"/>
    <d v="1899-12-30T01:10:20"/>
    <d v="1899-12-30T01:14:52"/>
  </r>
  <r>
    <x v="39"/>
    <d v="1899-12-30T10:42:49"/>
    <d v="1899-12-30T10:45:16"/>
  </r>
  <r>
    <x v="116"/>
    <d v="1899-12-30T13:31:57"/>
    <d v="1899-12-30T13:27:13"/>
  </r>
  <r>
    <x v="161"/>
    <d v="1899-12-30T11:45:11"/>
    <d v="1899-12-30T11:49:32"/>
  </r>
  <r>
    <x v="2"/>
    <d v="1899-12-30T22:56:15"/>
    <d v="1899-12-30T22:52:47"/>
  </r>
  <r>
    <x v="107"/>
    <d v="1899-12-30T17:33:32"/>
    <d v="1899-12-30T17:37:57"/>
  </r>
  <r>
    <x v="45"/>
    <d v="1899-12-30T08:25:48"/>
    <d v="1899-12-30T08:23:07"/>
  </r>
  <r>
    <x v="39"/>
    <d v="1899-12-30T17:01:44"/>
    <d v="1899-12-30T17:06:31"/>
  </r>
  <r>
    <x v="116"/>
    <d v="1899-12-30T13:09:13"/>
    <d v="1899-12-30T13:03:58"/>
  </r>
  <r>
    <x v="161"/>
    <d v="1899-12-30T21:45:30"/>
    <d v="1899-12-30T21:47:56"/>
  </r>
  <r>
    <x v="2"/>
    <d v="1899-12-30T12:37:05"/>
    <d v="1899-12-30T12:34:43"/>
  </r>
  <r>
    <x v="107"/>
    <d v="1899-12-30T02:44:42"/>
    <d v="1899-12-30T02:48:07"/>
  </r>
  <r>
    <x v="161"/>
    <d v="1899-12-30T02:01:26"/>
    <d v="1899-12-30T01:56:27"/>
  </r>
  <r>
    <x v="2"/>
    <d v="1899-12-30T03:01:56"/>
    <d v="1899-12-30T02:56:18"/>
  </r>
  <r>
    <x v="107"/>
    <d v="1899-12-30T10:40:55"/>
    <d v="1899-12-30T10:45:37"/>
  </r>
  <r>
    <x v="161"/>
    <d v="1899-12-30T00:17:19"/>
    <d v="1899-12-30T00:19:59"/>
  </r>
  <r>
    <x v="2"/>
    <d v="1899-12-30T04:28:04"/>
    <d v="1899-12-30T04:25:14"/>
  </r>
  <r>
    <x v="107"/>
    <d v="1899-12-30T01:15:40"/>
    <d v="1899-12-30T01:12:31"/>
  </r>
  <r>
    <x v="161"/>
    <d v="1899-12-30T07:59:00"/>
    <d v="1899-12-30T07:53:31"/>
  </r>
  <r>
    <x v="2"/>
    <d v="1899-12-30T19:42:46"/>
    <d v="1899-12-30T19:47:37"/>
  </r>
  <r>
    <x v="107"/>
    <d v="1899-12-30T12:28:40"/>
    <d v="1899-12-30T12:33:35"/>
  </r>
  <r>
    <x v="85"/>
    <d v="1899-12-30T04:39:04"/>
    <d v="1899-12-30T04:34:51"/>
  </r>
  <r>
    <x v="85"/>
    <d v="1899-12-30T12:31:50"/>
    <d v="1899-12-30T12:34:00"/>
  </r>
  <r>
    <x v="85"/>
    <d v="1899-12-30T01:54:09"/>
    <d v="1899-12-30T01:57:30"/>
  </r>
  <r>
    <x v="85"/>
    <d v="1899-12-30T06:57:45"/>
    <d v="1899-12-30T07:00:29"/>
  </r>
  <r>
    <x v="54"/>
    <d v="1899-12-30T18:17:44"/>
    <d v="1899-12-30T18:13:43"/>
  </r>
  <r>
    <x v="131"/>
    <d v="1899-12-30T00:39:01"/>
    <d v="1899-12-30T00:33:01"/>
  </r>
  <r>
    <x v="15"/>
    <d v="1899-12-30T23:27:46"/>
    <d v="1899-12-30T23:31:56"/>
  </r>
  <r>
    <x v="83"/>
    <d v="1899-12-30T20:31:45"/>
    <d v="1899-12-30T20:35:55"/>
  </r>
  <r>
    <x v="111"/>
    <d v="1899-12-30T01:59:40"/>
    <d v="1899-12-30T01:55:24"/>
  </r>
  <r>
    <x v="101"/>
    <d v="1899-12-30T09:33:27"/>
    <d v="1899-12-30T09:36:14"/>
  </r>
  <r>
    <x v="55"/>
    <d v="1899-12-30T21:14:49"/>
    <d v="1899-12-30T21:10:10"/>
  </r>
  <r>
    <x v="182"/>
    <d v="1899-12-30T02:24:32"/>
    <d v="1899-12-30T02:21:23"/>
  </r>
  <r>
    <x v="183"/>
    <d v="1899-12-30T13:57:15"/>
    <d v="1899-12-30T14:02:04"/>
  </r>
  <r>
    <x v="184"/>
    <d v="1899-12-30T18:59:06"/>
    <d v="1899-12-30T18:55:40"/>
  </r>
  <r>
    <x v="185"/>
    <d v="1899-12-30T12:46:32"/>
    <d v="1899-12-30T12:41:24"/>
  </r>
  <r>
    <x v="186"/>
    <d v="1899-12-30T16:31:17"/>
    <d v="1899-12-30T16:36:44"/>
  </r>
  <r>
    <x v="187"/>
    <d v="1899-12-30T06:44:55"/>
    <d v="1899-12-30T06:39:50"/>
  </r>
  <r>
    <x v="188"/>
    <d v="1899-12-30T23:56:18"/>
    <d v="1899-12-30T23:51:47"/>
  </r>
  <r>
    <x v="189"/>
    <d v="1899-12-30T18:46:16"/>
    <d v="1899-12-30T18:43:05"/>
  </r>
  <r>
    <x v="190"/>
    <d v="1899-12-30T04:39:11"/>
    <d v="1899-12-30T04:36:08"/>
  </r>
  <r>
    <x v="191"/>
    <d v="1899-12-30T05:40:00"/>
    <d v="1899-12-30T05:42:41"/>
  </r>
  <r>
    <x v="192"/>
    <d v="1899-12-30T02:55:47"/>
    <d v="1899-12-30T02:59:26"/>
  </r>
  <r>
    <x v="193"/>
    <d v="1899-12-30T14:10:25"/>
    <d v="1899-12-30T14:07:25"/>
  </r>
  <r>
    <x v="194"/>
    <d v="1899-12-30T10:01:47"/>
    <d v="1899-12-30T09:58:43"/>
  </r>
  <r>
    <x v="195"/>
    <d v="1899-12-30T17:44:09"/>
    <d v="1899-12-30T17:47:29"/>
  </r>
  <r>
    <x v="196"/>
    <d v="1899-12-30T08:37:29"/>
    <d v="1899-12-30T08:35:20"/>
  </r>
  <r>
    <x v="197"/>
    <d v="1899-12-30T05:17:48"/>
    <d v="1899-12-30T05:14:46"/>
  </r>
  <r>
    <x v="198"/>
    <d v="1899-12-30T01:14:25"/>
    <d v="1899-12-30T01:16:32"/>
  </r>
  <r>
    <x v="199"/>
    <d v="1899-12-30T15:30:10"/>
    <d v="1899-12-30T15:35:17"/>
  </r>
  <r>
    <x v="200"/>
    <d v="1899-12-30T00:19:56"/>
    <d v="1899-12-30T00:17:09"/>
  </r>
  <r>
    <x v="201"/>
    <d v="1899-12-30T19:37:36"/>
    <d v="1899-12-30T19:43:01"/>
  </r>
  <r>
    <x v="202"/>
    <d v="1899-12-30T11:51:26"/>
    <d v="1899-12-30T11:49:11"/>
  </r>
  <r>
    <x v="203"/>
    <d v="1899-12-30T15:05:08"/>
    <d v="1899-12-30T15:09:30"/>
  </r>
  <r>
    <x v="204"/>
    <d v="1899-12-30T14:55:45"/>
    <d v="1899-12-30T14:58:45"/>
  </r>
  <r>
    <x v="205"/>
    <d v="1899-12-30T15:44:31"/>
    <d v="1899-12-30T15:40:50"/>
  </r>
  <r>
    <x v="206"/>
    <d v="1899-12-30T16:26:06"/>
    <d v="1899-12-30T16:31:46"/>
  </r>
  <r>
    <x v="207"/>
    <d v="1899-12-30T19:36:39"/>
    <d v="1899-12-30T19:39:19"/>
  </r>
  <r>
    <x v="208"/>
    <d v="1899-12-30T09:47:04"/>
    <d v="1899-12-30T09:41:30"/>
  </r>
  <r>
    <x v="209"/>
    <d v="1899-12-30T07:50:20"/>
    <d v="1899-12-30T07:53:24"/>
  </r>
  <r>
    <x v="210"/>
    <d v="1899-12-30T06:59:36"/>
    <d v="1899-12-30T07:02:33"/>
  </r>
  <r>
    <x v="211"/>
    <d v="1899-12-30T03:44:09"/>
    <d v="1899-12-30T03:38:29"/>
  </r>
  <r>
    <x v="212"/>
    <d v="1899-12-30T21:20:13"/>
    <d v="1899-12-30T21:16:41"/>
  </r>
  <r>
    <x v="213"/>
    <d v="1899-12-30T15:25:40"/>
    <d v="1899-12-30T15:22:29"/>
  </r>
  <r>
    <x v="214"/>
    <d v="1899-12-30T22:06:01"/>
    <d v="1899-12-30T22:10:35"/>
  </r>
  <r>
    <x v="215"/>
    <d v="1899-12-30T05:13:54"/>
    <d v="1899-12-30T05:10:04"/>
  </r>
  <r>
    <x v="216"/>
    <d v="1899-12-30T02:19:15"/>
    <d v="1899-12-30T02:16:20"/>
  </r>
  <r>
    <x v="217"/>
    <d v="1899-12-30T01:10:49"/>
    <d v="1899-12-30T01:05:12"/>
  </r>
  <r>
    <x v="218"/>
    <d v="1899-12-30T12:17:30"/>
    <d v="1899-12-30T12:12:18"/>
  </r>
  <r>
    <x v="219"/>
    <d v="1899-12-30T13:38:17"/>
    <d v="1899-12-30T13:40:42"/>
  </r>
  <r>
    <x v="220"/>
    <d v="1899-12-30T19:57:05"/>
    <d v="1899-12-30T19:54:35"/>
  </r>
  <r>
    <x v="221"/>
    <d v="1899-12-30T03:53:47"/>
    <d v="1899-12-30T03:49:34"/>
  </r>
  <r>
    <x v="222"/>
    <d v="1899-12-30T16:04:18"/>
    <d v="1899-12-30T15:58:53"/>
  </r>
  <r>
    <x v="223"/>
    <d v="1899-12-30T21:14:45"/>
    <d v="1899-12-30T21:10:07"/>
  </r>
  <r>
    <x v="224"/>
    <d v="1899-12-30T03:07:24"/>
    <d v="1899-12-30T03:12:33"/>
  </r>
  <r>
    <x v="225"/>
    <d v="1899-12-30T07:23:47"/>
    <d v="1899-12-30T07:19:30"/>
  </r>
  <r>
    <x v="226"/>
    <d v="1899-12-30T12:42:14"/>
    <d v="1899-12-30T12:46:14"/>
  </r>
  <r>
    <x v="227"/>
    <d v="1899-12-30T00:46:03"/>
    <d v="1899-12-30T00:51:27"/>
  </r>
  <r>
    <x v="228"/>
    <d v="1899-12-30T02:52:42"/>
    <d v="1899-12-30T02:48:04"/>
  </r>
  <r>
    <x v="229"/>
    <d v="1899-12-30T20:48:49"/>
    <d v="1899-12-30T20:44:40"/>
  </r>
  <r>
    <x v="230"/>
    <d v="1899-12-30T00:25:46"/>
    <d v="1899-12-30T00:20:12"/>
  </r>
  <r>
    <x v="231"/>
    <d v="1899-12-30T07:10:25"/>
    <d v="1899-12-30T07:07:13"/>
  </r>
  <r>
    <x v="232"/>
    <d v="1899-12-30T10:09:20"/>
    <d v="1899-12-30T10:03:40"/>
  </r>
  <r>
    <x v="233"/>
    <d v="1899-12-30T12:53:56"/>
    <d v="1899-12-30T12:56:06"/>
  </r>
  <r>
    <x v="234"/>
    <d v="1899-12-30T05:48:14"/>
    <d v="1899-12-30T05:44:28"/>
  </r>
  <r>
    <x v="235"/>
    <d v="1899-12-30T17:52:23"/>
    <d v="1899-12-30T17:54:50"/>
  </r>
  <r>
    <x v="236"/>
    <d v="1899-12-30T19:55:18"/>
    <d v="1899-12-30T19:50:27"/>
  </r>
  <r>
    <x v="237"/>
    <d v="1899-12-30T00:56:03"/>
    <d v="1899-12-30T00:53:35"/>
  </r>
  <r>
    <x v="238"/>
    <d v="1899-12-30T08:19:36"/>
    <d v="1899-12-30T08:24:27"/>
  </r>
  <r>
    <x v="239"/>
    <d v="1899-12-30T18:23:53"/>
    <d v="1899-12-30T18:18:59"/>
  </r>
  <r>
    <x v="240"/>
    <d v="1899-12-30T02:56:55"/>
    <d v="1899-12-30T02:53:56"/>
  </r>
  <r>
    <x v="241"/>
    <d v="1899-12-30T07:04:43"/>
    <d v="1899-12-30T07:02:05"/>
  </r>
  <r>
    <x v="242"/>
    <d v="1899-12-30T07:52:02"/>
    <d v="1899-12-30T07:49:12"/>
  </r>
  <r>
    <x v="243"/>
    <d v="1899-12-30T17:14:11"/>
    <d v="1899-12-30T17:09:29"/>
  </r>
  <r>
    <x v="244"/>
    <d v="1899-12-30T13:54:09"/>
    <d v="1899-12-30T13:57:23"/>
  </r>
  <r>
    <x v="245"/>
    <d v="1899-12-30T13:15:12"/>
    <d v="1899-12-30T13:13:06"/>
  </r>
  <r>
    <x v="246"/>
    <d v="1899-12-30T07:13:34"/>
    <d v="1899-12-30T07:10:42"/>
  </r>
  <r>
    <x v="247"/>
    <d v="1899-12-30T06:40:09"/>
    <d v="1899-12-30T06:44:00"/>
  </r>
  <r>
    <x v="248"/>
    <d v="1899-12-30T06:15:57"/>
    <d v="1899-12-30T06:10:40"/>
  </r>
  <r>
    <x v="249"/>
    <d v="1899-12-30T16:37:53"/>
    <d v="1899-12-30T16:40:48"/>
  </r>
  <r>
    <x v="250"/>
    <d v="1899-12-30T01:14:29"/>
    <d v="1899-12-30T01:17:50"/>
  </r>
  <r>
    <x v="251"/>
    <d v="1899-12-30T09:41:20"/>
    <d v="1899-12-30T09:39:04"/>
  </r>
  <r>
    <x v="252"/>
    <d v="1899-12-30T13:26:28"/>
    <d v="1899-12-30T13:21:32"/>
  </r>
  <r>
    <x v="253"/>
    <d v="1899-12-30T17:55:36"/>
    <d v="1899-12-30T17:52:32"/>
  </r>
  <r>
    <x v="254"/>
    <d v="1899-12-30T04:59:17"/>
    <d v="1899-12-30T04:56:58"/>
  </r>
  <r>
    <x v="255"/>
    <d v="1899-12-30T06:07:32"/>
    <d v="1899-12-30T06:11:19"/>
  </r>
  <r>
    <x v="256"/>
    <d v="1899-12-30T17:23:44"/>
    <d v="1899-12-30T17:19:49"/>
  </r>
  <r>
    <x v="257"/>
    <d v="1899-12-30T15:59:01"/>
    <d v="1899-12-30T15:56:04"/>
  </r>
  <r>
    <x v="258"/>
    <d v="1899-12-30T18:13:54"/>
    <d v="1899-12-30T18:18:19"/>
  </r>
  <r>
    <x v="259"/>
    <d v="1899-12-30T17:26:29"/>
    <d v="1899-12-30T17:23:14"/>
  </r>
  <r>
    <x v="260"/>
    <d v="1899-12-30T09:08:29"/>
    <d v="1899-12-30T09:02:59"/>
  </r>
  <r>
    <x v="261"/>
    <d v="1899-12-30T08:14:35"/>
    <d v="1899-12-30T08:18:18"/>
  </r>
  <r>
    <x v="262"/>
    <d v="1899-12-30T01:38:07"/>
    <d v="1899-12-30T01:41:19"/>
  </r>
  <r>
    <x v="263"/>
    <d v="1899-12-30T00:48:49"/>
    <d v="1899-12-30T00:46:18"/>
  </r>
  <r>
    <x v="264"/>
    <d v="1899-12-30T12:59:22"/>
    <d v="1899-12-30T13:02:39"/>
  </r>
  <r>
    <x v="265"/>
    <d v="1899-12-30T08:21:00"/>
    <d v="1899-12-30T08:25:23"/>
  </r>
  <r>
    <x v="266"/>
    <d v="1899-12-30T10:21:29"/>
    <d v="1899-12-30T10:23:53"/>
  </r>
  <r>
    <x v="267"/>
    <d v="1899-12-30T06:11:14"/>
    <d v="1899-12-30T06:06:25"/>
  </r>
  <r>
    <x v="58"/>
    <d v="1899-12-30T01:22:45"/>
    <d v="1899-12-30T01:17:47"/>
  </r>
  <r>
    <x v="9"/>
    <d v="1899-12-30T22:20:16"/>
    <d v="1899-12-30T22:17:07"/>
  </r>
  <r>
    <x v="268"/>
    <d v="1899-12-30T22:13:54"/>
    <d v="1899-12-30T22:08:59"/>
  </r>
  <r>
    <x v="269"/>
    <d v="1899-12-30T12:47:02"/>
    <d v="1899-12-30T12:50:12"/>
  </r>
  <r>
    <x v="270"/>
    <d v="1899-12-30T21:08:49"/>
    <d v="1899-12-30T21:03:25"/>
  </r>
  <r>
    <x v="271"/>
    <d v="1899-12-30T21:44:48"/>
    <d v="1899-12-30T21:47:28"/>
  </r>
  <r>
    <x v="272"/>
    <d v="1899-12-30T12:33:57"/>
    <d v="1899-12-30T12:37:06"/>
  </r>
  <r>
    <x v="273"/>
    <d v="1899-12-30T14:53:41"/>
    <d v="1899-12-30T14:58:14"/>
  </r>
  <r>
    <x v="274"/>
    <d v="1899-12-30T11:23:20"/>
    <d v="1899-12-30T11:17:50"/>
  </r>
  <r>
    <x v="275"/>
    <d v="1899-12-30T22:39:13"/>
    <d v="1899-12-30T22:36:53"/>
  </r>
  <r>
    <x v="276"/>
    <d v="1899-12-30T21:45:16"/>
    <d v="1899-12-30T21:50:00"/>
  </r>
  <r>
    <x v="277"/>
    <d v="1899-12-30T08:16:17"/>
    <d v="1899-12-30T08:19:36"/>
  </r>
  <r>
    <x v="278"/>
    <d v="1899-12-30T07:06:17"/>
    <d v="1899-12-30T07:00:55"/>
  </r>
  <r>
    <x v="279"/>
    <d v="1899-12-30T04:55:48"/>
    <d v="1899-12-30T04:50:31"/>
  </r>
  <r>
    <x v="280"/>
    <d v="1899-12-30T01:59:23"/>
    <d v="1899-12-30T02:01:34"/>
  </r>
  <r>
    <x v="281"/>
    <d v="1899-12-30T16:01:35"/>
    <d v="1899-12-30T15:56:31"/>
  </r>
  <r>
    <x v="282"/>
    <d v="1899-12-30T00:11:51"/>
    <d v="1899-12-30T00:14:56"/>
  </r>
  <r>
    <x v="283"/>
    <d v="1899-12-30T04:00:37"/>
    <d v="1899-12-30T04:02:45"/>
  </r>
  <r>
    <x v="284"/>
    <d v="1899-12-30T11:12:17"/>
    <d v="1899-12-30T11:17:34"/>
  </r>
  <r>
    <x v="285"/>
    <d v="1899-12-30T14:08:35"/>
    <d v="1899-12-30T14:12:12"/>
  </r>
  <r>
    <x v="286"/>
    <d v="1899-12-30T01:10:36"/>
    <d v="1899-12-30T01:15:38"/>
  </r>
  <r>
    <x v="287"/>
    <d v="1899-12-30T19:37:16"/>
    <d v="1899-12-30T19:32:48"/>
  </r>
  <r>
    <x v="288"/>
    <d v="1899-12-30T02:20:20"/>
    <d v="1899-12-30T02:23:26"/>
  </r>
  <r>
    <x v="289"/>
    <d v="1899-12-30T06:14:37"/>
    <d v="1899-12-30T06:10:28"/>
  </r>
  <r>
    <x v="290"/>
    <d v="1899-12-30T18:44:30"/>
    <d v="1899-12-30T18:40:38"/>
  </r>
  <r>
    <x v="291"/>
    <d v="1899-12-30T17:19:27"/>
    <d v="1899-12-30T17:21:33"/>
  </r>
  <r>
    <x v="292"/>
    <d v="1899-12-30T14:59:28"/>
    <d v="1899-12-30T15:02:38"/>
  </r>
  <r>
    <x v="293"/>
    <d v="1899-12-30T13:16:32"/>
    <d v="1899-12-30T13:19:26"/>
  </r>
  <r>
    <x v="85"/>
    <d v="1899-12-30T11:45:31"/>
    <d v="1899-12-30T11:50:05"/>
  </r>
  <r>
    <x v="85"/>
    <d v="1899-12-30T18:08:16"/>
    <d v="1899-12-30T18:04:13"/>
  </r>
  <r>
    <x v="294"/>
    <d v="1899-12-30T22:57:49"/>
    <d v="1899-12-30T22:53:24"/>
  </r>
  <r>
    <x v="295"/>
    <d v="1899-12-30T14:37:21"/>
    <d v="1899-12-30T14:33:00"/>
  </r>
  <r>
    <x v="296"/>
    <d v="1899-12-30T11:40:12"/>
    <d v="1899-12-30T11:43:33"/>
  </r>
  <r>
    <x v="297"/>
    <d v="1899-12-30T15:11:41"/>
    <d v="1899-12-30T15:13:56"/>
  </r>
  <r>
    <x v="298"/>
    <d v="1899-12-30T17:08:31"/>
    <d v="1899-12-30T17:11:17"/>
  </r>
  <r>
    <x v="299"/>
    <d v="1899-12-30T14:07:54"/>
    <d v="1899-12-30T14:03:31"/>
  </r>
  <r>
    <x v="300"/>
    <d v="1899-12-30T05:09:05"/>
    <d v="1899-12-30T05:12:31"/>
  </r>
  <r>
    <x v="301"/>
    <d v="1899-12-30T00:05:58"/>
    <d v="1899-12-30T00:03:10"/>
  </r>
  <r>
    <x v="302"/>
    <d v="1899-12-30T09:12:34"/>
    <d v="1899-12-30T09:07:37"/>
  </r>
  <r>
    <x v="303"/>
    <d v="1899-12-30T04:02:27"/>
    <d v="1899-12-30T04:05:05"/>
  </r>
  <r>
    <x v="304"/>
    <d v="1899-12-30T02:47:31"/>
    <d v="1899-12-30T02:43:15"/>
  </r>
  <r>
    <x v="305"/>
    <d v="1899-12-30T21:42:09"/>
    <d v="1899-12-30T21:44:48"/>
  </r>
  <r>
    <x v="306"/>
    <d v="1899-12-30T17:12:35"/>
    <d v="1899-12-30T17:08:10"/>
  </r>
  <r>
    <x v="307"/>
    <d v="1899-12-30T23:30:02"/>
    <d v="1899-12-30T23:27:17"/>
  </r>
  <r>
    <x v="308"/>
    <d v="1899-12-30T16:11:05"/>
    <d v="1899-12-30T16:05:25"/>
  </r>
  <r>
    <x v="309"/>
    <d v="1899-12-30T06:05:13"/>
    <d v="1899-12-30T06:09:28"/>
  </r>
  <r>
    <x v="310"/>
    <d v="1899-12-30T01:21:20"/>
    <d v="1899-12-30T01:24:53"/>
  </r>
  <r>
    <x v="311"/>
    <d v="1899-12-30T20:53:26"/>
    <d v="1899-12-30T20:50:52"/>
  </r>
  <r>
    <x v="312"/>
    <d v="1899-12-30T23:01:44"/>
    <d v="1899-12-30T23:07:22"/>
  </r>
  <r>
    <x v="313"/>
    <d v="1899-12-30T01:18:15"/>
    <d v="1899-12-30T01:23:34"/>
  </r>
  <r>
    <x v="314"/>
    <d v="1899-12-30T19:57:39"/>
    <d v="1899-12-30T19:54:50"/>
  </r>
  <r>
    <x v="315"/>
    <d v="1899-12-30T15:05:23"/>
    <d v="1899-12-30T15:08:04"/>
  </r>
  <r>
    <x v="316"/>
    <d v="1899-12-30T22:00:57"/>
    <d v="1899-12-30T22:03:27"/>
  </r>
  <r>
    <x v="317"/>
    <d v="1899-12-30T10:39:24"/>
    <d v="1899-12-30T10:43:48"/>
  </r>
  <r>
    <x v="318"/>
    <d v="1899-12-30T03:27:41"/>
    <d v="1899-12-30T03:25:01"/>
  </r>
  <r>
    <x v="319"/>
    <d v="1899-12-30T14:55:44"/>
    <d v="1899-12-30T14:53:07"/>
  </r>
  <r>
    <x v="320"/>
    <d v="1899-12-30T03:01:58"/>
    <d v="1899-12-30T03:07:43"/>
  </r>
  <r>
    <x v="321"/>
    <d v="1899-12-30T11:26:19"/>
    <d v="1899-12-30T11:29:25"/>
  </r>
  <r>
    <x v="322"/>
    <d v="1899-12-30T22:14:09"/>
    <d v="1899-12-30T22:12:07"/>
  </r>
  <r>
    <x v="323"/>
    <d v="1899-12-30T22:03:05"/>
    <d v="1899-12-30T21:58:04"/>
  </r>
  <r>
    <x v="324"/>
    <d v="1899-12-30T01:24:44"/>
    <d v="1899-12-30T01:21:44"/>
  </r>
  <r>
    <x v="325"/>
    <d v="1899-12-30T11:58:03"/>
    <d v="1899-12-30T11:56:01"/>
  </r>
  <r>
    <x v="326"/>
    <d v="1899-12-30T11:05:21"/>
    <d v="1899-12-30T11:01:14"/>
  </r>
  <r>
    <x v="327"/>
    <d v="1899-12-30T18:19:31"/>
    <d v="1899-12-30T18:14:44"/>
  </r>
  <r>
    <x v="328"/>
    <d v="1899-12-30T00:10:55"/>
    <d v="1899-12-30T00:15:24"/>
  </r>
  <r>
    <x v="329"/>
    <d v="1899-12-30T11:46:25"/>
    <d v="1899-12-30T11:49:59"/>
  </r>
  <r>
    <x v="330"/>
    <d v="1899-12-30T03:01:44"/>
    <d v="1899-12-30T03:04:47"/>
  </r>
  <r>
    <x v="331"/>
    <d v="1899-12-30T00:52:57"/>
    <d v="1899-12-30T00:49:42"/>
  </r>
  <r>
    <x v="332"/>
    <d v="1899-12-30T02:27:28"/>
    <d v="1899-12-30T02:23:35"/>
  </r>
  <r>
    <x v="333"/>
    <d v="1899-12-30T17:03:34"/>
    <d v="1899-12-30T16:58:38"/>
  </r>
  <r>
    <x v="334"/>
    <d v="1899-12-30T06:55:14"/>
    <d v="1899-12-30T06:59:13"/>
  </r>
  <r>
    <x v="335"/>
    <d v="1899-12-30T03:31:29"/>
    <d v="1899-12-30T03:35:18"/>
  </r>
  <r>
    <x v="336"/>
    <d v="1899-12-30T10:10:06"/>
    <d v="1899-12-30T10:05:58"/>
  </r>
  <r>
    <x v="337"/>
    <d v="1899-12-30T23:13:25"/>
    <d v="1899-12-30T23:08:42"/>
  </r>
  <r>
    <x v="338"/>
    <d v="1899-12-30T01:15:50"/>
    <d v="1899-12-30T01:10:24"/>
  </r>
  <r>
    <x v="339"/>
    <d v="1899-12-30T02:45:36"/>
    <d v="1899-12-30T02:42:45"/>
  </r>
  <r>
    <x v="340"/>
    <d v="1899-12-30T13:14:08"/>
    <d v="1899-12-30T13:16:19"/>
  </r>
  <r>
    <x v="341"/>
    <d v="1899-12-30T21:52:29"/>
    <d v="1899-12-30T21:57:13"/>
  </r>
  <r>
    <x v="342"/>
    <d v="1899-12-30T16:48:17"/>
    <d v="1899-12-30T16:52:15"/>
  </r>
  <r>
    <x v="343"/>
    <d v="1899-12-30T12:37:40"/>
    <d v="1899-12-30T12:42:05"/>
  </r>
  <r>
    <x v="344"/>
    <d v="1899-12-30T16:28:35"/>
    <d v="1899-12-30T16:31:42"/>
  </r>
  <r>
    <x v="345"/>
    <d v="1899-12-30T08:33:54"/>
    <d v="1899-12-30T08:37:32"/>
  </r>
  <r>
    <x v="346"/>
    <d v="1899-12-30T18:33:43"/>
    <d v="1899-12-30T18:36:46"/>
  </r>
  <r>
    <x v="347"/>
    <d v="1899-12-30T02:48:49"/>
    <d v="1899-12-30T02:46:21"/>
  </r>
  <r>
    <x v="348"/>
    <d v="1899-12-30T05:51:50"/>
    <d v="1899-12-30T05:55:47"/>
  </r>
  <r>
    <x v="349"/>
    <d v="1899-12-30T00:20:28"/>
    <d v="1899-12-30T00:17:15"/>
  </r>
  <r>
    <x v="350"/>
    <d v="1899-12-30T15:03:27"/>
    <d v="1899-12-30T15:01:07"/>
  </r>
  <r>
    <x v="351"/>
    <d v="1899-12-30T22:31:33"/>
    <d v="1899-12-30T22:36:25"/>
  </r>
  <r>
    <x v="352"/>
    <d v="1899-12-30T16:43:36"/>
    <d v="1899-12-30T16:46:01"/>
  </r>
  <r>
    <x v="353"/>
    <d v="1899-12-30T03:18:16"/>
    <d v="1899-12-30T03:13:26"/>
  </r>
  <r>
    <x v="354"/>
    <d v="1899-12-30T17:58:43"/>
    <d v="1899-12-30T18:04:22"/>
  </r>
  <r>
    <x v="355"/>
    <d v="1899-12-30T14:03:23"/>
    <d v="1899-12-30T14:05:40"/>
  </r>
  <r>
    <x v="356"/>
    <d v="1899-12-30T14:10:49"/>
    <d v="1899-12-30T14:14:18"/>
  </r>
  <r>
    <x v="357"/>
    <d v="1899-12-30T03:29:48"/>
    <d v="1899-12-30T03:26:02"/>
  </r>
  <r>
    <x v="358"/>
    <d v="1899-12-30T15:19:18"/>
    <d v="1899-12-30T15:21:41"/>
  </r>
  <r>
    <x v="359"/>
    <d v="1899-12-30T18:26:57"/>
    <d v="1899-12-30T18:32:23"/>
  </r>
  <r>
    <x v="360"/>
    <d v="1899-12-30T19:36:43"/>
    <d v="1899-12-30T19:32:33"/>
  </r>
  <r>
    <x v="361"/>
    <d v="1899-12-30T20:33:46"/>
    <d v="1899-12-30T20:29:19"/>
  </r>
  <r>
    <x v="362"/>
    <d v="1899-12-30T10:50:27"/>
    <d v="1899-12-30T10:54:00"/>
  </r>
  <r>
    <x v="363"/>
    <d v="1899-12-30T14:45:00"/>
    <d v="1899-12-30T14:42:41"/>
  </r>
  <r>
    <x v="364"/>
    <d v="1899-12-30T13:57:10"/>
    <d v="1899-12-30T13:53:05"/>
  </r>
  <r>
    <x v="365"/>
    <d v="1899-12-30T23:10:21"/>
    <d v="1899-12-30T23:05:09"/>
  </r>
  <r>
    <x v="366"/>
    <d v="1899-12-30T10:18:27"/>
    <d v="1899-12-30T10:13:49"/>
  </r>
  <r>
    <x v="367"/>
    <d v="1899-12-30T15:24:56"/>
    <d v="1899-12-30T15:28:43"/>
  </r>
  <r>
    <x v="368"/>
    <d v="1899-12-30T15:33:18"/>
    <d v="1899-12-30T15:30:18"/>
  </r>
  <r>
    <x v="369"/>
    <d v="1899-12-30T00:44:55"/>
    <d v="1899-12-30T00:41:16"/>
  </r>
  <r>
    <x v="370"/>
    <d v="1899-12-30T18:48:54"/>
    <d v="1899-12-30T18:46:54"/>
  </r>
  <r>
    <x v="371"/>
    <d v="1899-12-30T18:31:30"/>
    <d v="1899-12-30T18:26:41"/>
  </r>
  <r>
    <x v="372"/>
    <d v="1899-12-30T23:54:32"/>
    <d v="1899-12-30T23:50:11"/>
  </r>
  <r>
    <x v="373"/>
    <d v="1899-12-30T06:27:31"/>
    <d v="1899-12-30T06:29:51"/>
  </r>
  <r>
    <x v="374"/>
    <d v="1899-12-30T19:03:10"/>
    <d v="1899-12-30T19:08:47"/>
  </r>
  <r>
    <x v="375"/>
    <d v="1899-12-30T22:15:23"/>
    <d v="1899-12-30T22:20:21"/>
  </r>
  <r>
    <x v="376"/>
    <d v="1899-12-30T09:55:55"/>
    <d v="1899-12-30T09:59:25"/>
  </r>
  <r>
    <x v="377"/>
    <d v="1899-12-30T17:54:04"/>
    <d v="1899-12-30T17:57:50"/>
  </r>
  <r>
    <x v="378"/>
    <d v="1899-12-30T15:40:23"/>
    <d v="1899-12-30T15:34:46"/>
  </r>
  <r>
    <x v="379"/>
    <d v="1899-12-30T15:03:59"/>
    <d v="1899-12-30T14:58:57"/>
  </r>
  <r>
    <x v="380"/>
    <d v="1899-12-30T21:08:26"/>
    <d v="1899-12-30T21:11:30"/>
  </r>
  <r>
    <x v="381"/>
    <d v="1899-12-30T15:26:26"/>
    <d v="1899-12-30T15:20:46"/>
  </r>
  <r>
    <x v="382"/>
    <d v="1899-12-30T21:28:03"/>
    <d v="1899-12-30T21:30:31"/>
  </r>
  <r>
    <x v="383"/>
    <d v="1899-12-30T14:11:15"/>
    <d v="1899-12-30T14:06:17"/>
  </r>
  <r>
    <x v="384"/>
    <d v="1899-12-30T01:15:05"/>
    <d v="1899-12-30T01:12:57"/>
  </r>
  <r>
    <x v="385"/>
    <d v="1899-12-30T18:45:51"/>
    <d v="1899-12-30T18:50:03"/>
  </r>
  <r>
    <x v="386"/>
    <d v="1899-12-30T15:02:09"/>
    <d v="1899-12-30T15:04:48"/>
  </r>
  <r>
    <x v="387"/>
    <d v="1899-12-30T17:14:04"/>
    <d v="1899-12-30T17:16:22"/>
  </r>
  <r>
    <x v="388"/>
    <d v="1899-12-30T14:13:02"/>
    <d v="1899-12-30T14:07:48"/>
  </r>
  <r>
    <x v="389"/>
    <d v="1899-12-30T16:32:34"/>
    <d v="1899-12-30T16:30:33"/>
  </r>
  <r>
    <x v="390"/>
    <d v="1899-12-30T14:53:37"/>
    <d v="1899-12-30T14:57:14"/>
  </r>
  <r>
    <x v="391"/>
    <d v="1899-12-30T07:19:41"/>
    <d v="1899-12-30T07:24:13"/>
  </r>
  <r>
    <x v="392"/>
    <d v="1899-12-30T02:05:56"/>
    <d v="1899-12-30T02:09:30"/>
  </r>
  <r>
    <x v="393"/>
    <d v="1899-12-30T06:30:18"/>
    <d v="1899-12-30T06:34:36"/>
  </r>
  <r>
    <x v="394"/>
    <d v="1899-12-30T22:32:33"/>
    <d v="1899-12-30T22:36:07"/>
  </r>
  <r>
    <x v="395"/>
    <d v="1899-12-30T18:53:02"/>
    <d v="1899-12-30T18:50:21"/>
  </r>
  <r>
    <x v="396"/>
    <d v="1899-12-30T10:18:22"/>
    <d v="1899-12-30T10:12:55"/>
  </r>
  <r>
    <x v="397"/>
    <d v="1899-12-30T03:24:31"/>
    <d v="1899-12-30T03:21:36"/>
  </r>
  <r>
    <x v="398"/>
    <d v="1899-12-30T14:58:26"/>
    <d v="1899-12-30T15:03:44"/>
  </r>
  <r>
    <x v="399"/>
    <d v="1899-12-30T14:59:11"/>
    <d v="1899-12-30T14:54:57"/>
  </r>
  <r>
    <x v="400"/>
    <d v="1899-12-30T20:38:54"/>
    <d v="1899-12-30T20:42:48"/>
  </r>
  <r>
    <x v="401"/>
    <d v="1899-12-30T12:06:06"/>
    <d v="1899-12-30T12:04:02"/>
  </r>
  <r>
    <x v="402"/>
    <d v="1899-12-30T08:27:32"/>
    <d v="1899-12-30T08:32:02"/>
  </r>
  <r>
    <x v="403"/>
    <d v="1899-12-30T13:06:53"/>
    <d v="1899-12-30T13:03:35"/>
  </r>
  <r>
    <x v="404"/>
    <d v="1899-12-30T12:43:50"/>
    <d v="1899-12-30T12:47:37"/>
  </r>
  <r>
    <x v="405"/>
    <d v="1899-12-30T13:26:37"/>
    <d v="1899-12-30T13:21:06"/>
  </r>
  <r>
    <x v="406"/>
    <d v="1899-12-30T21:40:21"/>
    <d v="1899-12-30T21:43:59"/>
  </r>
  <r>
    <x v="407"/>
    <d v="1899-12-30T05:44:27"/>
    <d v="1899-12-30T05:49:55"/>
  </r>
  <r>
    <x v="408"/>
    <d v="1899-12-30T19:25:45"/>
    <d v="1899-12-30T19:29:12"/>
  </r>
  <r>
    <x v="409"/>
    <d v="1899-12-30T00:13:26"/>
    <d v="1899-12-30T00:10:41"/>
  </r>
  <r>
    <x v="410"/>
    <d v="1899-12-30T22:07:10"/>
    <d v="1899-12-30T22:11:39"/>
  </r>
  <r>
    <x v="411"/>
    <d v="1899-12-30T22:36:38"/>
    <d v="1899-12-30T22:41:40"/>
  </r>
  <r>
    <x v="412"/>
    <d v="1899-12-30T12:25:47"/>
    <d v="1899-12-30T12:23:18"/>
  </r>
  <r>
    <x v="413"/>
    <d v="1899-12-30T03:58:48"/>
    <d v="1899-12-30T04:00:50"/>
  </r>
  <r>
    <x v="414"/>
    <d v="1899-12-30T00:37:00"/>
    <d v="1899-12-30T00:33:17"/>
  </r>
  <r>
    <x v="415"/>
    <d v="1899-12-30T21:54:54"/>
    <d v="1899-12-30T21:51:16"/>
  </r>
  <r>
    <x v="416"/>
    <d v="1899-12-30T14:02:09"/>
    <d v="1899-12-30T14:05:39"/>
  </r>
  <r>
    <x v="417"/>
    <d v="1899-12-30T19:25:27"/>
    <d v="1899-12-30T19:30:15"/>
  </r>
  <r>
    <x v="418"/>
    <d v="1899-12-30T20:22:07"/>
    <d v="1899-12-30T20:26:53"/>
  </r>
  <r>
    <x v="419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x v="0"/>
    <d v="1899-12-30T13:15:25"/>
    <d v="1899-12-30T13:17:26"/>
    <d v="1899-12-30T00:02:00"/>
    <n v="2"/>
    <n v="0"/>
    <n v="2"/>
    <n v="120"/>
    <n v="150"/>
    <x v="0"/>
  </r>
  <r>
    <x v="1"/>
    <d v="1899-12-30T18:48:54"/>
    <d v="1899-12-30T18:46:54"/>
    <d v="1899-12-30T00:02:00"/>
    <n v="2"/>
    <n v="0"/>
    <n v="2"/>
    <n v="120"/>
    <n v="150"/>
    <x v="0"/>
  </r>
  <r>
    <x v="2"/>
    <d v="1899-12-30T08:54:35"/>
    <d v="1899-12-30T08:52:35"/>
    <d v="1899-12-30T00:02:01"/>
    <n v="2"/>
    <n v="1"/>
    <n v="2.02"/>
    <n v="121"/>
    <n v="148.7603305785124"/>
    <x v="0"/>
  </r>
  <r>
    <x v="3"/>
    <d v="1899-12-30T12:26:45"/>
    <d v="1899-12-30T12:28:47"/>
    <d v="1899-12-30T00:02:02"/>
    <n v="2"/>
    <n v="2"/>
    <n v="2.0299999999999998"/>
    <n v="122"/>
    <n v="147.54098360655738"/>
    <x v="0"/>
  </r>
  <r>
    <x v="4"/>
    <d v="1899-12-30T10:22:50"/>
    <d v="1899-12-30T10:20:47"/>
    <d v="1899-12-30T00:02:02"/>
    <n v="2"/>
    <n v="2"/>
    <n v="2.0299999999999998"/>
    <n v="122"/>
    <n v="147.54098360655738"/>
    <x v="0"/>
  </r>
  <r>
    <x v="5"/>
    <d v="1899-12-30T21:30:19"/>
    <d v="1899-12-30T21:28:17"/>
    <d v="1899-12-30T00:02:02"/>
    <n v="2"/>
    <n v="2"/>
    <n v="2.0299999999999998"/>
    <n v="122"/>
    <n v="147.54098360655738"/>
    <x v="0"/>
  </r>
  <r>
    <x v="6"/>
    <d v="1899-12-30T07:34:11"/>
    <d v="1899-12-30T07:32:08"/>
    <d v="1899-12-30T00:02:02"/>
    <n v="2"/>
    <n v="2"/>
    <n v="2.0299999999999998"/>
    <n v="122"/>
    <n v="147.54098360655738"/>
    <x v="0"/>
  </r>
  <r>
    <x v="7"/>
    <d v="1899-12-30T16:07:45"/>
    <d v="1899-12-30T16:09:46"/>
    <d v="1899-12-30T00:02:02"/>
    <n v="2"/>
    <n v="2"/>
    <n v="2.0299999999999998"/>
    <n v="122"/>
    <n v="147.54098360655738"/>
    <x v="0"/>
  </r>
  <r>
    <x v="8"/>
    <d v="1899-12-30T06:00:27"/>
    <d v="1899-12-30T05:58:25"/>
    <d v="1899-12-30T00:02:02"/>
    <n v="2"/>
    <n v="2"/>
    <n v="2.0299999999999998"/>
    <n v="122"/>
    <n v="147.54098360655738"/>
    <x v="0"/>
  </r>
  <r>
    <x v="9"/>
    <d v="1899-12-30T22:14:09"/>
    <d v="1899-12-30T22:12:07"/>
    <d v="1899-12-30T00:02:02"/>
    <n v="2"/>
    <n v="2"/>
    <n v="2.0299999999999998"/>
    <n v="122"/>
    <n v="147.54098360655738"/>
    <x v="0"/>
  </r>
  <r>
    <x v="10"/>
    <d v="1899-12-30T11:58:03"/>
    <d v="1899-12-30T11:56:01"/>
    <d v="1899-12-30T00:02:02"/>
    <n v="2"/>
    <n v="2"/>
    <n v="2.0299999999999998"/>
    <n v="122"/>
    <n v="147.54098360655738"/>
    <x v="0"/>
  </r>
  <r>
    <x v="11"/>
    <d v="1899-12-30T16:32:34"/>
    <d v="1899-12-30T16:30:33"/>
    <d v="1899-12-30T00:02:02"/>
    <n v="2"/>
    <n v="2"/>
    <n v="2.0299999999999998"/>
    <n v="122"/>
    <n v="147.54098360655738"/>
    <x v="0"/>
  </r>
  <r>
    <x v="12"/>
    <d v="1899-12-30T03:58:48"/>
    <d v="1899-12-30T04:00:50"/>
    <d v="1899-12-30T00:02:02"/>
    <n v="2"/>
    <n v="2"/>
    <n v="2.0299999999999998"/>
    <n v="122"/>
    <n v="147.54098360655738"/>
    <x v="0"/>
  </r>
  <r>
    <x v="13"/>
    <d v="1899-12-30T17:22:18"/>
    <d v="1899-12-30T17:24:22"/>
    <d v="1899-12-30T00:02:03"/>
    <n v="2"/>
    <n v="3"/>
    <n v="2.0499999999999998"/>
    <n v="123"/>
    <n v="146.34146341463415"/>
    <x v="0"/>
  </r>
  <r>
    <x v="14"/>
    <d v="1899-12-30T12:18:44"/>
    <d v="1899-12-30T12:16:41"/>
    <d v="1899-12-30T00:02:03"/>
    <n v="2"/>
    <n v="3"/>
    <n v="2.0499999999999998"/>
    <n v="123"/>
    <n v="146.34146341463415"/>
    <x v="0"/>
  </r>
  <r>
    <x v="15"/>
    <d v="1899-12-30T16:46:48"/>
    <d v="1899-12-30T16:48:50"/>
    <d v="1899-12-30T00:02:03"/>
    <n v="2"/>
    <n v="3"/>
    <n v="2.0499999999999998"/>
    <n v="123"/>
    <n v="146.34146341463415"/>
    <x v="0"/>
  </r>
  <r>
    <x v="16"/>
    <d v="1899-12-30T00:34:55"/>
    <d v="1899-12-30T00:32:52"/>
    <d v="1899-12-30T00:02:03"/>
    <n v="2"/>
    <n v="3"/>
    <n v="2.0499999999999998"/>
    <n v="123"/>
    <n v="146.34146341463415"/>
    <x v="0"/>
  </r>
  <r>
    <x v="17"/>
    <d v="1899-12-30T10:46:05"/>
    <d v="1899-12-30T10:48:08"/>
    <d v="1899-12-30T00:02:03"/>
    <n v="2"/>
    <n v="3"/>
    <n v="2.0499999999999998"/>
    <n v="123"/>
    <n v="146.34146341463415"/>
    <x v="0"/>
  </r>
  <r>
    <x v="18"/>
    <d v="1899-12-30T16:14:50"/>
    <d v="1899-12-30T16:12:47"/>
    <d v="1899-12-30T00:02:03"/>
    <n v="2"/>
    <n v="3"/>
    <n v="2.0499999999999998"/>
    <n v="123"/>
    <n v="146.34146341463415"/>
    <x v="0"/>
  </r>
  <r>
    <x v="4"/>
    <d v="1899-12-30T18:11:23"/>
    <d v="1899-12-30T18:09:20"/>
    <d v="1899-12-30T00:02:03"/>
    <n v="2"/>
    <n v="3"/>
    <n v="2.0499999999999998"/>
    <n v="123"/>
    <n v="146.34146341463415"/>
    <x v="0"/>
  </r>
  <r>
    <x v="19"/>
    <d v="1899-12-30T05:41:26"/>
    <d v="1899-12-30T05:39:21"/>
    <d v="1899-12-30T00:02:04"/>
    <n v="2"/>
    <n v="4"/>
    <n v="2.0699999999999998"/>
    <n v="124"/>
    <n v="145.16129032258064"/>
    <x v="0"/>
  </r>
  <r>
    <x v="20"/>
    <d v="1899-12-30T20:17:35"/>
    <d v="1899-12-30T20:19:38"/>
    <d v="1899-12-30T00:02:04"/>
    <n v="2"/>
    <n v="4"/>
    <n v="2.0699999999999998"/>
    <n v="124"/>
    <n v="145.16129032258064"/>
    <x v="0"/>
  </r>
  <r>
    <x v="21"/>
    <d v="1899-12-30T12:22:38"/>
    <d v="1899-12-30T12:24:43"/>
    <d v="1899-12-30T00:02:04"/>
    <n v="2"/>
    <n v="4"/>
    <n v="2.0699999999999998"/>
    <n v="124"/>
    <n v="145.16129032258064"/>
    <x v="0"/>
  </r>
  <r>
    <x v="22"/>
    <d v="1899-12-30T12:06:06"/>
    <d v="1899-12-30T12:04:02"/>
    <d v="1899-12-30T00:02:04"/>
    <n v="2"/>
    <n v="4"/>
    <n v="2.0699999999999998"/>
    <n v="124"/>
    <n v="145.16129032258064"/>
    <x v="0"/>
  </r>
  <r>
    <x v="23"/>
    <d v="1899-12-30T17:33:16"/>
    <d v="1899-12-30T17:35:21"/>
    <d v="1899-12-30T00:02:05"/>
    <n v="2"/>
    <n v="5"/>
    <n v="2.08"/>
    <n v="125"/>
    <n v="144"/>
    <x v="0"/>
  </r>
  <r>
    <x v="24"/>
    <d v="1899-12-30T01:47:17"/>
    <d v="1899-12-30T01:45:12"/>
    <d v="1899-12-30T00:02:05"/>
    <n v="2"/>
    <n v="5"/>
    <n v="2.08"/>
    <n v="125"/>
    <n v="144"/>
    <x v="0"/>
  </r>
  <r>
    <x v="25"/>
    <d v="1899-12-30T12:49:11"/>
    <d v="1899-12-30T12:51:16"/>
    <d v="1899-12-30T00:02:05"/>
    <n v="2"/>
    <n v="5"/>
    <n v="2.08"/>
    <n v="125"/>
    <n v="144"/>
    <x v="0"/>
  </r>
  <r>
    <x v="26"/>
    <d v="1899-12-30T20:43:45"/>
    <d v="1899-12-30T20:45:51"/>
    <d v="1899-12-30T00:02:06"/>
    <n v="2"/>
    <n v="6"/>
    <n v="2.1"/>
    <n v="126"/>
    <n v="142.85714285714286"/>
    <x v="0"/>
  </r>
  <r>
    <x v="27"/>
    <d v="1899-12-30T20:15:56"/>
    <d v="1899-12-30T20:13:50"/>
    <d v="1899-12-30T00:02:06"/>
    <n v="2"/>
    <n v="6"/>
    <n v="2.1"/>
    <n v="126"/>
    <n v="142.85714285714286"/>
    <x v="0"/>
  </r>
  <r>
    <x v="28"/>
    <d v="1899-12-30T12:22:41"/>
    <d v="1899-12-30T12:24:48"/>
    <d v="1899-12-30T00:02:06"/>
    <n v="2"/>
    <n v="6"/>
    <n v="2.1"/>
    <n v="126"/>
    <n v="142.85714285714286"/>
    <x v="0"/>
  </r>
  <r>
    <x v="29"/>
    <d v="1899-12-30T08:25:27"/>
    <d v="1899-12-30T08:27:33"/>
    <d v="1899-12-30T00:02:06"/>
    <n v="2"/>
    <n v="6"/>
    <n v="2.1"/>
    <n v="126"/>
    <n v="142.85714285714286"/>
    <x v="0"/>
  </r>
  <r>
    <x v="30"/>
    <d v="1899-12-30T01:14:25"/>
    <d v="1899-12-30T01:16:32"/>
    <d v="1899-12-30T00:02:07"/>
    <n v="2"/>
    <n v="7"/>
    <n v="2.12"/>
    <n v="127"/>
    <n v="141.73228346456693"/>
    <x v="0"/>
  </r>
  <r>
    <x v="31"/>
    <d v="1899-12-30T13:15:12"/>
    <d v="1899-12-30T13:13:06"/>
    <d v="1899-12-30T00:02:07"/>
    <n v="2"/>
    <n v="7"/>
    <n v="2.12"/>
    <n v="127"/>
    <n v="141.73228346456693"/>
    <x v="0"/>
  </r>
  <r>
    <x v="32"/>
    <d v="1899-12-30T17:19:27"/>
    <d v="1899-12-30T17:21:33"/>
    <d v="1899-12-30T00:02:07"/>
    <n v="2"/>
    <n v="7"/>
    <n v="2.12"/>
    <n v="127"/>
    <n v="141.73228346456693"/>
    <x v="0"/>
  </r>
  <r>
    <x v="33"/>
    <d v="1899-12-30T17:43:14"/>
    <d v="1899-12-30T17:45:21"/>
    <d v="1899-12-30T00:02:08"/>
    <n v="2"/>
    <n v="8"/>
    <n v="2.13"/>
    <n v="128"/>
    <n v="140.625"/>
    <x v="0"/>
  </r>
  <r>
    <x v="34"/>
    <d v="1899-12-30T04:00:37"/>
    <d v="1899-12-30T04:02:45"/>
    <d v="1899-12-30T00:02:08"/>
    <n v="2"/>
    <n v="8"/>
    <n v="2.13"/>
    <n v="128"/>
    <n v="140.625"/>
    <x v="0"/>
  </r>
  <r>
    <x v="35"/>
    <d v="1899-12-30T12:54:59"/>
    <d v="1899-12-30T12:57:08"/>
    <d v="1899-12-30T00:02:09"/>
    <n v="2"/>
    <n v="9"/>
    <n v="2.15"/>
    <n v="129"/>
    <n v="139.53488372093022"/>
    <x v="1"/>
  </r>
  <r>
    <x v="36"/>
    <d v="1899-12-30T08:37:29"/>
    <d v="1899-12-30T08:35:20"/>
    <d v="1899-12-30T00:02:09"/>
    <n v="2"/>
    <n v="9"/>
    <n v="2.15"/>
    <n v="129"/>
    <n v="139.53488372093022"/>
    <x v="1"/>
  </r>
  <r>
    <x v="37"/>
    <d v="1899-12-30T01:15:05"/>
    <d v="1899-12-30T01:12:57"/>
    <d v="1899-12-30T00:02:09"/>
    <n v="2"/>
    <n v="9"/>
    <n v="2.15"/>
    <n v="129"/>
    <n v="139.53488372093022"/>
    <x v="1"/>
  </r>
  <r>
    <x v="38"/>
    <d v="1899-12-30T09:58:38"/>
    <d v="1899-12-30T09:56:28"/>
    <d v="1899-12-30T00:02:10"/>
    <n v="2"/>
    <n v="10"/>
    <n v="2.17"/>
    <n v="130"/>
    <n v="138.46153846153845"/>
    <x v="1"/>
  </r>
  <r>
    <x v="39"/>
    <d v="1899-12-30T03:19:14"/>
    <d v="1899-12-30T03:17:04"/>
    <d v="1899-12-30T00:02:10"/>
    <n v="2"/>
    <n v="10"/>
    <n v="2.17"/>
    <n v="130"/>
    <n v="138.46153846153845"/>
    <x v="1"/>
  </r>
  <r>
    <x v="40"/>
    <d v="1899-12-30T04:22:42"/>
    <d v="1899-12-30T04:20:32"/>
    <d v="1899-12-30T00:02:10"/>
    <n v="2"/>
    <n v="10"/>
    <n v="2.17"/>
    <n v="130"/>
    <n v="138.46153846153845"/>
    <x v="1"/>
  </r>
  <r>
    <x v="41"/>
    <d v="1899-12-30T06:37:17"/>
    <d v="1899-12-30T06:39:26"/>
    <d v="1899-12-30T00:02:10"/>
    <n v="2"/>
    <n v="10"/>
    <n v="2.17"/>
    <n v="130"/>
    <n v="138.46153846153845"/>
    <x v="1"/>
  </r>
  <r>
    <x v="42"/>
    <d v="1899-12-30T05:25:17"/>
    <d v="1899-12-30T05:23:07"/>
    <d v="1899-12-30T00:02:10"/>
    <n v="2"/>
    <n v="10"/>
    <n v="2.17"/>
    <n v="130"/>
    <n v="138.46153846153845"/>
    <x v="1"/>
  </r>
  <r>
    <x v="43"/>
    <d v="1899-12-30T18:38:35"/>
    <d v="1899-12-30T18:36:25"/>
    <d v="1899-12-30T00:02:10"/>
    <n v="2"/>
    <n v="10"/>
    <n v="2.17"/>
    <n v="130"/>
    <n v="138.46153846153845"/>
    <x v="1"/>
  </r>
  <r>
    <x v="44"/>
    <d v="1899-12-30T12:06:28"/>
    <d v="1899-12-30T12:04:18"/>
    <d v="1899-12-30T00:02:10"/>
    <n v="2"/>
    <n v="10"/>
    <n v="2.17"/>
    <n v="130"/>
    <n v="138.46153846153845"/>
    <x v="1"/>
  </r>
  <r>
    <x v="45"/>
    <d v="1899-12-30T20:06:00"/>
    <d v="1899-12-30T20:03:50"/>
    <d v="1899-12-30T00:02:10"/>
    <n v="2"/>
    <n v="10"/>
    <n v="2.17"/>
    <n v="130"/>
    <n v="138.46153846153845"/>
    <x v="1"/>
  </r>
  <r>
    <x v="17"/>
    <d v="1899-12-30T12:31:50"/>
    <d v="1899-12-30T12:34:00"/>
    <d v="1899-12-30T00:02:10"/>
    <n v="2"/>
    <n v="10"/>
    <n v="2.17"/>
    <n v="130"/>
    <n v="138.46153846153845"/>
    <x v="1"/>
  </r>
  <r>
    <x v="46"/>
    <d v="1899-12-30T12:53:56"/>
    <d v="1899-12-30T12:56:06"/>
    <d v="1899-12-30T00:02:10"/>
    <n v="2"/>
    <n v="10"/>
    <n v="2.17"/>
    <n v="130"/>
    <n v="138.46153846153845"/>
    <x v="1"/>
  </r>
  <r>
    <x v="47"/>
    <d v="1899-12-30T20:44:37"/>
    <d v="1899-12-30T20:42:26"/>
    <d v="1899-12-30T00:02:11"/>
    <n v="2"/>
    <n v="11"/>
    <n v="2.1800000000000002"/>
    <n v="131"/>
    <n v="137.40458015267177"/>
    <x v="1"/>
  </r>
  <r>
    <x v="48"/>
    <d v="1899-12-30T06:25:17"/>
    <d v="1899-12-30T06:23:06"/>
    <d v="1899-12-30T00:02:11"/>
    <n v="2"/>
    <n v="11"/>
    <n v="2.1800000000000002"/>
    <n v="131"/>
    <n v="137.40458015267177"/>
    <x v="1"/>
  </r>
  <r>
    <x v="49"/>
    <d v="1899-12-30T21:22:11"/>
    <d v="1899-12-30T21:20:00"/>
    <d v="1899-12-30T00:02:11"/>
    <n v="2"/>
    <n v="11"/>
    <n v="2.1800000000000002"/>
    <n v="131"/>
    <n v="137.40458015267177"/>
    <x v="1"/>
  </r>
  <r>
    <x v="50"/>
    <d v="1899-12-30T13:14:08"/>
    <d v="1899-12-30T13:16:19"/>
    <d v="1899-12-30T00:02:11"/>
    <n v="2"/>
    <n v="11"/>
    <n v="2.1800000000000002"/>
    <n v="131"/>
    <n v="137.40458015267177"/>
    <x v="1"/>
  </r>
  <r>
    <x v="16"/>
    <d v="1899-12-30T16:08:57"/>
    <d v="1899-12-30T16:06:46"/>
    <d v="1899-12-30T00:02:12"/>
    <n v="2"/>
    <n v="12"/>
    <n v="2.2000000000000002"/>
    <n v="132"/>
    <n v="136.36363636363637"/>
    <x v="1"/>
  </r>
  <r>
    <x v="51"/>
    <d v="1899-12-30T03:10:55"/>
    <d v="1899-12-30T03:13:07"/>
    <d v="1899-12-30T00:02:12"/>
    <n v="2"/>
    <n v="12"/>
    <n v="2.2000000000000002"/>
    <n v="132"/>
    <n v="136.36363636363637"/>
    <x v="1"/>
  </r>
  <r>
    <x v="24"/>
    <d v="1899-12-30T05:33:34"/>
    <d v="1899-12-30T05:35:46"/>
    <d v="1899-12-30T00:02:12"/>
    <n v="2"/>
    <n v="12"/>
    <n v="2.2000000000000002"/>
    <n v="132"/>
    <n v="136.36363636363637"/>
    <x v="1"/>
  </r>
  <r>
    <x v="52"/>
    <d v="1899-12-30T10:12:42"/>
    <d v="1899-12-30T10:14:55"/>
    <d v="1899-12-30T00:02:12"/>
    <n v="2"/>
    <n v="12"/>
    <n v="2.2000000000000002"/>
    <n v="132"/>
    <n v="136.36363636363637"/>
    <x v="1"/>
  </r>
  <r>
    <x v="53"/>
    <d v="1899-12-30T01:59:23"/>
    <d v="1899-12-30T02:01:34"/>
    <d v="1899-12-30T00:02:12"/>
    <n v="2"/>
    <n v="12"/>
    <n v="2.2000000000000002"/>
    <n v="132"/>
    <n v="136.36363636363637"/>
    <x v="1"/>
  </r>
  <r>
    <x v="41"/>
    <d v="1899-12-30T04:56:03"/>
    <d v="1899-12-30T04:58:16"/>
    <d v="1899-12-30T00:02:13"/>
    <n v="2"/>
    <n v="13"/>
    <n v="2.2200000000000002"/>
    <n v="133"/>
    <n v="135.33834586466165"/>
    <x v="1"/>
  </r>
  <r>
    <x v="54"/>
    <d v="1899-12-30T05:50:57"/>
    <d v="1899-12-30T05:53:11"/>
    <d v="1899-12-30T00:02:14"/>
    <n v="2"/>
    <n v="14"/>
    <n v="2.23"/>
    <n v="134"/>
    <n v="134.32835820895522"/>
    <x v="1"/>
  </r>
  <r>
    <x v="55"/>
    <d v="1899-12-30T09:34:31"/>
    <d v="1899-12-30T09:36:45"/>
    <d v="1899-12-30T00:02:14"/>
    <n v="2"/>
    <n v="14"/>
    <n v="2.23"/>
    <n v="134"/>
    <n v="134.32835820895522"/>
    <x v="1"/>
  </r>
  <r>
    <x v="56"/>
    <d v="1899-12-30T04:11:13"/>
    <d v="1899-12-30T04:13:27"/>
    <d v="1899-12-30T00:02:14"/>
    <n v="2"/>
    <n v="14"/>
    <n v="2.23"/>
    <n v="134"/>
    <n v="134.32835820895522"/>
    <x v="1"/>
  </r>
  <r>
    <x v="54"/>
    <d v="1899-12-30T15:32:36"/>
    <d v="1899-12-30T15:34:50"/>
    <d v="1899-12-30T00:02:14"/>
    <n v="2"/>
    <n v="14"/>
    <n v="2.23"/>
    <n v="134"/>
    <n v="134.32835820895522"/>
    <x v="1"/>
  </r>
  <r>
    <x v="57"/>
    <d v="1899-12-30T00:48:37"/>
    <d v="1899-12-30T00:50:51"/>
    <d v="1899-12-30T00:02:14"/>
    <n v="2"/>
    <n v="14"/>
    <n v="2.23"/>
    <n v="134"/>
    <n v="134.32835820895522"/>
    <x v="1"/>
  </r>
  <r>
    <x v="58"/>
    <d v="1899-12-30T09:18:15"/>
    <d v="1899-12-30T09:20:29"/>
    <d v="1899-12-30T00:02:14"/>
    <n v="2"/>
    <n v="14"/>
    <n v="2.23"/>
    <n v="134"/>
    <n v="134.32835820895522"/>
    <x v="1"/>
  </r>
  <r>
    <x v="59"/>
    <d v="1899-12-30T11:51:26"/>
    <d v="1899-12-30T11:49:11"/>
    <d v="1899-12-30T00:02:14"/>
    <n v="2"/>
    <n v="14"/>
    <n v="2.23"/>
    <n v="134"/>
    <n v="134.32835820895522"/>
    <x v="1"/>
  </r>
  <r>
    <x v="60"/>
    <d v="1899-12-30T09:08:09"/>
    <d v="1899-12-30T09:05:54"/>
    <d v="1899-12-30T00:02:15"/>
    <n v="2"/>
    <n v="15"/>
    <n v="2.25"/>
    <n v="135"/>
    <n v="133.33333333333334"/>
    <x v="1"/>
  </r>
  <r>
    <x v="61"/>
    <d v="1899-12-30T08:13:58"/>
    <d v="1899-12-30T08:16:14"/>
    <d v="1899-12-30T00:02:15"/>
    <n v="2"/>
    <n v="15"/>
    <n v="2.25"/>
    <n v="135"/>
    <n v="133.33333333333334"/>
    <x v="1"/>
  </r>
  <r>
    <x v="62"/>
    <d v="1899-12-30T06:18:35"/>
    <d v="1899-12-30T06:20:50"/>
    <d v="1899-12-30T00:02:15"/>
    <n v="2"/>
    <n v="15"/>
    <n v="2.25"/>
    <n v="135"/>
    <n v="133.33333333333334"/>
    <x v="1"/>
  </r>
  <r>
    <x v="63"/>
    <d v="1899-12-30T15:11:41"/>
    <d v="1899-12-30T15:13:56"/>
    <d v="1899-12-30T00:02:15"/>
    <n v="2"/>
    <n v="15"/>
    <n v="2.25"/>
    <n v="135"/>
    <n v="133.33333333333334"/>
    <x v="1"/>
  </r>
  <r>
    <x v="64"/>
    <d v="1899-12-30T03:21:40"/>
    <d v="1899-12-30T03:23:56"/>
    <d v="1899-12-30T00:02:16"/>
    <n v="2"/>
    <n v="16"/>
    <n v="2.27"/>
    <n v="136"/>
    <n v="132.35294117647058"/>
    <x v="1"/>
  </r>
  <r>
    <x v="65"/>
    <d v="1899-12-30T17:27:10"/>
    <d v="1899-12-30T17:29:26"/>
    <d v="1899-12-30T00:02:16"/>
    <n v="2"/>
    <n v="16"/>
    <n v="2.27"/>
    <n v="136"/>
    <n v="132.35294117647058"/>
    <x v="1"/>
  </r>
  <r>
    <x v="66"/>
    <d v="1899-12-30T02:05:13"/>
    <d v="1899-12-30T02:02:57"/>
    <d v="1899-12-30T00:02:16"/>
    <n v="2"/>
    <n v="16"/>
    <n v="2.27"/>
    <n v="136"/>
    <n v="132.35294117647058"/>
    <x v="1"/>
  </r>
  <r>
    <x v="67"/>
    <d v="1899-12-30T09:41:20"/>
    <d v="1899-12-30T09:39:04"/>
    <d v="1899-12-30T00:02:16"/>
    <n v="2"/>
    <n v="16"/>
    <n v="2.27"/>
    <n v="136"/>
    <n v="132.35294117647058"/>
    <x v="1"/>
  </r>
  <r>
    <x v="68"/>
    <d v="1899-12-30T22:24:53"/>
    <d v="1899-12-30T22:22:37"/>
    <d v="1899-12-30T00:02:17"/>
    <n v="2"/>
    <n v="17"/>
    <n v="2.2799999999999998"/>
    <n v="137"/>
    <n v="131.38686131386862"/>
    <x v="1"/>
  </r>
  <r>
    <x v="69"/>
    <d v="1899-12-30T14:03:23"/>
    <d v="1899-12-30T14:05:40"/>
    <d v="1899-12-30T00:02:17"/>
    <n v="2"/>
    <n v="17"/>
    <n v="2.2799999999999998"/>
    <n v="137"/>
    <n v="131.38686131386862"/>
    <x v="1"/>
  </r>
  <r>
    <x v="8"/>
    <d v="1899-12-30T23:56:57"/>
    <d v="1899-12-30T23:59:15"/>
    <d v="1899-12-30T00:02:18"/>
    <n v="2"/>
    <n v="18"/>
    <n v="2.2999999999999998"/>
    <n v="138"/>
    <n v="130.43478260869566"/>
    <x v="1"/>
  </r>
  <r>
    <x v="35"/>
    <d v="1899-12-30T04:40:13"/>
    <d v="1899-12-30T04:42:30"/>
    <d v="1899-12-30T00:02:18"/>
    <n v="2"/>
    <n v="18"/>
    <n v="2.2999999999999998"/>
    <n v="138"/>
    <n v="130.43478260869566"/>
    <x v="1"/>
  </r>
  <r>
    <x v="70"/>
    <d v="1899-12-30T17:14:04"/>
    <d v="1899-12-30T17:16:22"/>
    <d v="1899-12-30T00:02:18"/>
    <n v="2"/>
    <n v="18"/>
    <n v="2.2999999999999998"/>
    <n v="138"/>
    <n v="130.43478260869566"/>
    <x v="1"/>
  </r>
  <r>
    <x v="71"/>
    <d v="1899-12-30T23:21:11"/>
    <d v="1899-12-30T23:23:30"/>
    <d v="1899-12-30T00:02:19"/>
    <n v="2"/>
    <n v="19"/>
    <n v="2.3199999999999998"/>
    <n v="139"/>
    <n v="129.49640287769785"/>
    <x v="1"/>
  </r>
  <r>
    <x v="72"/>
    <d v="1899-12-30T02:18:28"/>
    <d v="1899-12-30T02:20:47"/>
    <d v="1899-12-30T00:02:19"/>
    <n v="2"/>
    <n v="19"/>
    <n v="2.3199999999999998"/>
    <n v="139"/>
    <n v="129.49640287769785"/>
    <x v="1"/>
  </r>
  <r>
    <x v="73"/>
    <d v="1899-12-30T21:22:44"/>
    <d v="1899-12-30T21:25:03"/>
    <d v="1899-12-30T00:02:19"/>
    <n v="2"/>
    <n v="19"/>
    <n v="2.3199999999999998"/>
    <n v="139"/>
    <n v="129.49640287769785"/>
    <x v="1"/>
  </r>
  <r>
    <x v="74"/>
    <d v="1899-12-30T04:59:17"/>
    <d v="1899-12-30T04:56:58"/>
    <d v="1899-12-30T00:02:19"/>
    <n v="2"/>
    <n v="19"/>
    <n v="2.3199999999999998"/>
    <n v="139"/>
    <n v="129.49640287769785"/>
    <x v="1"/>
  </r>
  <r>
    <x v="75"/>
    <d v="1899-12-30T14:45:00"/>
    <d v="1899-12-30T14:42:41"/>
    <d v="1899-12-30T00:02:19"/>
    <n v="2"/>
    <n v="19"/>
    <n v="2.3199999999999998"/>
    <n v="139"/>
    <n v="129.49640287769785"/>
    <x v="1"/>
  </r>
  <r>
    <x v="25"/>
    <d v="1899-12-30T07:06:26"/>
    <d v="1899-12-30T07:04:05"/>
    <d v="1899-12-30T00:02:20"/>
    <n v="2"/>
    <n v="20"/>
    <n v="2.33"/>
    <n v="140"/>
    <n v="128.57142857142858"/>
    <x v="1"/>
  </r>
  <r>
    <x v="57"/>
    <d v="1899-12-30T10:15:53"/>
    <d v="1899-12-30T10:18:13"/>
    <d v="1899-12-30T00:02:20"/>
    <n v="2"/>
    <n v="20"/>
    <n v="2.33"/>
    <n v="140"/>
    <n v="128.57142857142858"/>
    <x v="1"/>
  </r>
  <r>
    <x v="0"/>
    <d v="1899-12-30T21:48:17"/>
    <d v="1899-12-30T21:45:56"/>
    <d v="1899-12-30T00:02:20"/>
    <n v="2"/>
    <n v="20"/>
    <n v="2.33"/>
    <n v="140"/>
    <n v="128.57142857142858"/>
    <x v="1"/>
  </r>
  <r>
    <x v="76"/>
    <d v="1899-12-30T08:18:09"/>
    <d v="1899-12-30T08:15:49"/>
    <d v="1899-12-30T00:02:20"/>
    <n v="2"/>
    <n v="20"/>
    <n v="2.33"/>
    <n v="140"/>
    <n v="128.57142857142858"/>
    <x v="1"/>
  </r>
  <r>
    <x v="77"/>
    <d v="1899-12-30T08:58:43"/>
    <d v="1899-12-30T08:56:23"/>
    <d v="1899-12-30T00:02:20"/>
    <n v="2"/>
    <n v="20"/>
    <n v="2.33"/>
    <n v="140"/>
    <n v="128.57142857142858"/>
    <x v="1"/>
  </r>
  <r>
    <x v="78"/>
    <d v="1899-12-30T08:58:47"/>
    <d v="1899-12-30T09:01:07"/>
    <d v="1899-12-30T00:02:20"/>
    <n v="2"/>
    <n v="20"/>
    <n v="2.33"/>
    <n v="140"/>
    <n v="128.57142857142858"/>
    <x v="1"/>
  </r>
  <r>
    <x v="79"/>
    <d v="1899-12-30T22:39:13"/>
    <d v="1899-12-30T22:36:53"/>
    <d v="1899-12-30T00:02:20"/>
    <n v="2"/>
    <n v="20"/>
    <n v="2.33"/>
    <n v="140"/>
    <n v="128.57142857142858"/>
    <x v="1"/>
  </r>
  <r>
    <x v="80"/>
    <d v="1899-12-30T15:03:27"/>
    <d v="1899-12-30T15:01:07"/>
    <d v="1899-12-30T00:02:20"/>
    <n v="2"/>
    <n v="20"/>
    <n v="2.33"/>
    <n v="140"/>
    <n v="128.57142857142858"/>
    <x v="1"/>
  </r>
  <r>
    <x v="81"/>
    <d v="1899-12-30T18:14:40"/>
    <d v="1899-12-30T18:12:19"/>
    <d v="1899-12-30T00:02:21"/>
    <n v="2"/>
    <n v="21"/>
    <n v="2.35"/>
    <n v="141"/>
    <n v="127.65957446808511"/>
    <x v="1"/>
  </r>
  <r>
    <x v="82"/>
    <d v="1899-12-30T04:00:30"/>
    <d v="1899-12-30T03:58:10"/>
    <d v="1899-12-30T00:02:21"/>
    <n v="2"/>
    <n v="21"/>
    <n v="2.35"/>
    <n v="141"/>
    <n v="127.65957446808511"/>
    <x v="1"/>
  </r>
  <r>
    <x v="68"/>
    <d v="1899-12-30T08:52:56"/>
    <d v="1899-12-30T08:50:34"/>
    <d v="1899-12-30T00:02:21"/>
    <n v="2"/>
    <n v="21"/>
    <n v="2.35"/>
    <n v="141"/>
    <n v="127.65957446808511"/>
    <x v="1"/>
  </r>
  <r>
    <x v="51"/>
    <d v="1899-12-30T12:49:23"/>
    <d v="1899-12-30T12:51:45"/>
    <d v="1899-12-30T00:02:21"/>
    <n v="2"/>
    <n v="21"/>
    <n v="2.35"/>
    <n v="141"/>
    <n v="127.65957446808511"/>
    <x v="1"/>
  </r>
  <r>
    <x v="83"/>
    <d v="1899-12-30T06:27:31"/>
    <d v="1899-12-30T06:29:51"/>
    <d v="1899-12-30T00:02:21"/>
    <n v="2"/>
    <n v="21"/>
    <n v="2.35"/>
    <n v="141"/>
    <n v="127.65957446808511"/>
    <x v="1"/>
  </r>
  <r>
    <x v="65"/>
    <d v="1899-12-30T23:52:11"/>
    <d v="1899-12-30T23:54:32"/>
    <d v="1899-12-30T00:02:22"/>
    <n v="2"/>
    <n v="22"/>
    <n v="2.37"/>
    <n v="142"/>
    <n v="126.7605633802817"/>
    <x v="1"/>
  </r>
  <r>
    <x v="15"/>
    <d v="1899-12-30T06:47:51"/>
    <d v="1899-12-30T06:50:13"/>
    <d v="1899-12-30T00:02:22"/>
    <n v="2"/>
    <n v="22"/>
    <n v="2.37"/>
    <n v="142"/>
    <n v="126.7605633802817"/>
    <x v="1"/>
  </r>
  <r>
    <x v="84"/>
    <d v="1899-12-30T03:37:19"/>
    <d v="1899-12-30T03:34:57"/>
    <d v="1899-12-30T00:02:22"/>
    <n v="2"/>
    <n v="22"/>
    <n v="2.37"/>
    <n v="142"/>
    <n v="126.7605633802817"/>
    <x v="1"/>
  </r>
  <r>
    <x v="56"/>
    <d v="1899-12-30T16:03:58"/>
    <d v="1899-12-30T16:01:36"/>
    <d v="1899-12-30T00:02:22"/>
    <n v="2"/>
    <n v="22"/>
    <n v="2.37"/>
    <n v="142"/>
    <n v="126.7605633802817"/>
    <x v="1"/>
  </r>
  <r>
    <x v="85"/>
    <d v="1899-12-30T19:58:40"/>
    <d v="1899-12-30T19:56:18"/>
    <d v="1899-12-30T00:02:22"/>
    <n v="2"/>
    <n v="22"/>
    <n v="2.37"/>
    <n v="142"/>
    <n v="126.7605633802817"/>
    <x v="1"/>
  </r>
  <r>
    <x v="35"/>
    <d v="1899-12-30T12:37:05"/>
    <d v="1899-12-30T12:34:43"/>
    <d v="1899-12-30T00:02:22"/>
    <n v="2"/>
    <n v="22"/>
    <n v="2.37"/>
    <n v="142"/>
    <n v="126.7605633802817"/>
    <x v="1"/>
  </r>
  <r>
    <x v="86"/>
    <d v="1899-12-30T15:19:18"/>
    <d v="1899-12-30T15:21:41"/>
    <d v="1899-12-30T00:02:22"/>
    <n v="2"/>
    <n v="22"/>
    <n v="2.37"/>
    <n v="142"/>
    <n v="126.7605633802817"/>
    <x v="1"/>
  </r>
  <r>
    <x v="29"/>
    <d v="1899-12-30T02:55:46"/>
    <d v="1899-12-30T02:58:09"/>
    <d v="1899-12-30T00:02:23"/>
    <n v="2"/>
    <n v="23"/>
    <n v="2.38"/>
    <n v="143"/>
    <n v="125.87412587412587"/>
    <x v="1"/>
  </r>
  <r>
    <x v="64"/>
    <d v="1899-12-30T06:57:38"/>
    <d v="1899-12-30T07:00:01"/>
    <d v="1899-12-30T00:02:23"/>
    <n v="2"/>
    <n v="23"/>
    <n v="2.38"/>
    <n v="143"/>
    <n v="125.87412587412587"/>
    <x v="1"/>
  </r>
  <r>
    <x v="13"/>
    <d v="1899-12-30T13:19:27"/>
    <d v="1899-12-30T13:21:50"/>
    <d v="1899-12-30T00:02:23"/>
    <n v="2"/>
    <n v="23"/>
    <n v="2.38"/>
    <n v="143"/>
    <n v="125.87412587412587"/>
    <x v="1"/>
  </r>
  <r>
    <x v="84"/>
    <d v="1899-12-30T18:56:09"/>
    <d v="1899-12-30T18:53:46"/>
    <d v="1899-12-30T00:02:23"/>
    <n v="2"/>
    <n v="23"/>
    <n v="2.38"/>
    <n v="143"/>
    <n v="125.87412587412587"/>
    <x v="1"/>
  </r>
  <r>
    <x v="41"/>
    <d v="1899-12-30T07:17:01"/>
    <d v="1899-12-30T07:14:38"/>
    <d v="1899-12-30T00:02:23"/>
    <n v="2"/>
    <n v="23"/>
    <n v="2.38"/>
    <n v="143"/>
    <n v="125.87412587412587"/>
    <x v="1"/>
  </r>
  <r>
    <x v="87"/>
    <d v="1899-12-30T10:21:29"/>
    <d v="1899-12-30T10:23:53"/>
    <d v="1899-12-30T00:02:23"/>
    <n v="2"/>
    <n v="23"/>
    <n v="2.38"/>
    <n v="143"/>
    <n v="125.87412587412587"/>
    <x v="1"/>
  </r>
  <r>
    <x v="88"/>
    <d v="1899-12-30T13:06:57"/>
    <d v="1899-12-30T13:09:21"/>
    <d v="1899-12-30T00:02:24"/>
    <n v="2"/>
    <n v="24"/>
    <n v="2.4"/>
    <n v="144"/>
    <n v="125"/>
    <x v="1"/>
  </r>
  <r>
    <x v="71"/>
    <d v="1899-12-30T00:35:04"/>
    <d v="1899-12-30T00:37:28"/>
    <d v="1899-12-30T00:02:24"/>
    <n v="2"/>
    <n v="24"/>
    <n v="2.4"/>
    <n v="144"/>
    <n v="125"/>
    <x v="1"/>
  </r>
  <r>
    <x v="27"/>
    <d v="1899-12-30T18:15:49"/>
    <d v="1899-12-30T18:13:25"/>
    <d v="1899-12-30T00:02:24"/>
    <n v="2"/>
    <n v="24"/>
    <n v="2.4"/>
    <n v="144"/>
    <n v="125"/>
    <x v="1"/>
  </r>
  <r>
    <x v="89"/>
    <d v="1899-12-30T02:47:22"/>
    <d v="1899-12-30T02:49:48"/>
    <d v="1899-12-30T00:02:25"/>
    <n v="2"/>
    <n v="25"/>
    <n v="2.42"/>
    <n v="145"/>
    <n v="124.13793103448276"/>
    <x v="1"/>
  </r>
  <r>
    <x v="90"/>
    <d v="1899-12-30T14:28:56"/>
    <d v="1899-12-30T14:31:21"/>
    <d v="1899-12-30T00:02:25"/>
    <n v="2"/>
    <n v="25"/>
    <n v="2.42"/>
    <n v="145"/>
    <n v="124.13793103448276"/>
    <x v="1"/>
  </r>
  <r>
    <x v="21"/>
    <d v="1899-12-30T00:57:41"/>
    <d v="1899-12-30T01:00:06"/>
    <d v="1899-12-30T00:02:25"/>
    <n v="2"/>
    <n v="25"/>
    <n v="2.42"/>
    <n v="145"/>
    <n v="124.13793103448276"/>
    <x v="1"/>
  </r>
  <r>
    <x v="82"/>
    <d v="1899-12-30T02:42:35"/>
    <d v="1899-12-30T02:45:01"/>
    <d v="1899-12-30T00:02:25"/>
    <n v="2"/>
    <n v="25"/>
    <n v="2.42"/>
    <n v="145"/>
    <n v="124.13793103448276"/>
    <x v="1"/>
  </r>
  <r>
    <x v="91"/>
    <d v="1899-12-30T13:38:17"/>
    <d v="1899-12-30T13:40:42"/>
    <d v="1899-12-30T00:02:25"/>
    <n v="2"/>
    <n v="25"/>
    <n v="2.42"/>
    <n v="145"/>
    <n v="124.13793103448276"/>
    <x v="1"/>
  </r>
  <r>
    <x v="92"/>
    <d v="1899-12-30T16:43:36"/>
    <d v="1899-12-30T16:46:01"/>
    <d v="1899-12-30T00:02:25"/>
    <n v="2"/>
    <n v="25"/>
    <n v="2.42"/>
    <n v="145"/>
    <n v="124.13793103448276"/>
    <x v="1"/>
  </r>
  <r>
    <x v="93"/>
    <d v="1899-12-30T17:47:14"/>
    <d v="1899-12-30T17:49:41"/>
    <d v="1899-12-30T00:02:26"/>
    <n v="2"/>
    <n v="26"/>
    <n v="2.4300000000000002"/>
    <n v="146"/>
    <n v="123.2876712328767"/>
    <x v="1"/>
  </r>
  <r>
    <x v="16"/>
    <d v="1899-12-30T10:08:24"/>
    <d v="1899-12-30T10:10:50"/>
    <d v="1899-12-30T00:02:26"/>
    <n v="2"/>
    <n v="26"/>
    <n v="2.4300000000000002"/>
    <n v="146"/>
    <n v="123.2876712328767"/>
    <x v="1"/>
  </r>
  <r>
    <x v="71"/>
    <d v="1899-12-30T21:45:30"/>
    <d v="1899-12-30T21:47:56"/>
    <d v="1899-12-30T00:02:26"/>
    <n v="2"/>
    <n v="26"/>
    <n v="2.4300000000000002"/>
    <n v="146"/>
    <n v="123.2876712328767"/>
    <x v="1"/>
  </r>
  <r>
    <x v="94"/>
    <d v="1899-12-30T06:22:24"/>
    <d v="1899-12-30T06:24:50"/>
    <d v="1899-12-30T00:02:27"/>
    <n v="2"/>
    <n v="27"/>
    <n v="2.4500000000000002"/>
    <n v="147"/>
    <n v="122.44897959183673"/>
    <x v="1"/>
  </r>
  <r>
    <x v="15"/>
    <d v="1899-12-30T22:50:27"/>
    <d v="1899-12-30T22:48:00"/>
    <d v="1899-12-30T00:02:27"/>
    <n v="2"/>
    <n v="27"/>
    <n v="2.4500000000000002"/>
    <n v="147"/>
    <n v="122.44897959183673"/>
    <x v="1"/>
  </r>
  <r>
    <x v="95"/>
    <d v="1899-12-30T22:47:00"/>
    <d v="1899-12-30T22:49:26"/>
    <d v="1899-12-30T00:02:27"/>
    <n v="2"/>
    <n v="27"/>
    <n v="2.4500000000000002"/>
    <n v="147"/>
    <n v="122.44897959183673"/>
    <x v="1"/>
  </r>
  <r>
    <x v="96"/>
    <d v="1899-12-30T05:13:05"/>
    <d v="1899-12-30T05:10:38"/>
    <d v="1899-12-30T00:02:27"/>
    <n v="2"/>
    <n v="27"/>
    <n v="2.4500000000000002"/>
    <n v="147"/>
    <n v="122.44897959183673"/>
    <x v="1"/>
  </r>
  <r>
    <x v="0"/>
    <d v="1899-12-30T10:42:49"/>
    <d v="1899-12-30T10:45:16"/>
    <d v="1899-12-30T00:02:27"/>
    <n v="2"/>
    <n v="27"/>
    <n v="2.4500000000000002"/>
    <n v="147"/>
    <n v="122.44897959183673"/>
    <x v="1"/>
  </r>
  <r>
    <x v="97"/>
    <d v="1899-12-30T17:52:23"/>
    <d v="1899-12-30T17:54:50"/>
    <d v="1899-12-30T00:02:27"/>
    <n v="2"/>
    <n v="27"/>
    <n v="2.4500000000000002"/>
    <n v="147"/>
    <n v="122.44897959183673"/>
    <x v="1"/>
  </r>
  <r>
    <x v="98"/>
    <d v="1899-12-30T07:48:48"/>
    <d v="1899-12-30T07:51:16"/>
    <d v="1899-12-30T00:02:28"/>
    <n v="2"/>
    <n v="28"/>
    <n v="2.4700000000000002"/>
    <n v="148"/>
    <n v="121.62162162162161"/>
    <x v="1"/>
  </r>
  <r>
    <x v="99"/>
    <d v="1899-12-30T16:22:24"/>
    <d v="1899-12-30T16:24:52"/>
    <d v="1899-12-30T00:02:28"/>
    <n v="2"/>
    <n v="28"/>
    <n v="2.4700000000000002"/>
    <n v="148"/>
    <n v="121.62162162162161"/>
    <x v="1"/>
  </r>
  <r>
    <x v="58"/>
    <d v="1899-12-30T23:44:48"/>
    <d v="1899-12-30T23:42:20"/>
    <d v="1899-12-30T00:02:28"/>
    <n v="2"/>
    <n v="28"/>
    <n v="2.4700000000000002"/>
    <n v="148"/>
    <n v="121.62162162162161"/>
    <x v="1"/>
  </r>
  <r>
    <x v="100"/>
    <d v="1899-12-30T08:27:05"/>
    <d v="1899-12-30T08:29:32"/>
    <d v="1899-12-30T00:02:28"/>
    <n v="2"/>
    <n v="28"/>
    <n v="2.4700000000000002"/>
    <n v="148"/>
    <n v="121.62162162162161"/>
    <x v="1"/>
  </r>
  <r>
    <x v="2"/>
    <d v="1899-12-30T17:24:25"/>
    <d v="1899-12-30T17:26:53"/>
    <d v="1899-12-30T00:02:28"/>
    <n v="2"/>
    <n v="28"/>
    <n v="2.4700000000000002"/>
    <n v="148"/>
    <n v="121.62162162162161"/>
    <x v="1"/>
  </r>
  <r>
    <x v="101"/>
    <d v="1899-12-30T00:56:03"/>
    <d v="1899-12-30T00:53:35"/>
    <d v="1899-12-30T00:02:28"/>
    <n v="2"/>
    <n v="28"/>
    <n v="2.4700000000000002"/>
    <n v="148"/>
    <n v="121.62162162162161"/>
    <x v="1"/>
  </r>
  <r>
    <x v="102"/>
    <d v="1899-12-30T02:48:49"/>
    <d v="1899-12-30T02:46:21"/>
    <d v="1899-12-30T00:02:28"/>
    <n v="2"/>
    <n v="28"/>
    <n v="2.4700000000000002"/>
    <n v="148"/>
    <n v="121.62162162162161"/>
    <x v="1"/>
  </r>
  <r>
    <x v="103"/>
    <d v="1899-12-30T21:28:03"/>
    <d v="1899-12-30T21:30:31"/>
    <d v="1899-12-30T00:02:28"/>
    <n v="2"/>
    <n v="28"/>
    <n v="2.4700000000000002"/>
    <n v="148"/>
    <n v="121.62162162162161"/>
    <x v="1"/>
  </r>
  <r>
    <x v="104"/>
    <d v="1899-12-30T08:51:00"/>
    <d v="1899-12-30T08:53:29"/>
    <d v="1899-12-30T00:02:29"/>
    <n v="2"/>
    <n v="29"/>
    <n v="2.48"/>
    <n v="149"/>
    <n v="120.80536912751677"/>
    <x v="1"/>
  </r>
  <r>
    <x v="48"/>
    <d v="1899-12-30T21:43:34"/>
    <d v="1899-12-30T21:41:06"/>
    <d v="1899-12-30T00:02:29"/>
    <n v="2"/>
    <n v="29"/>
    <n v="2.48"/>
    <n v="149"/>
    <n v="120.80536912751677"/>
    <x v="1"/>
  </r>
  <r>
    <x v="42"/>
    <d v="1899-12-30T20:21:31"/>
    <d v="1899-12-30T20:24:00"/>
    <d v="1899-12-30T00:02:29"/>
    <n v="2"/>
    <n v="29"/>
    <n v="2.48"/>
    <n v="149"/>
    <n v="120.80536912751677"/>
    <x v="1"/>
  </r>
  <r>
    <x v="2"/>
    <d v="1899-12-30T19:49:11"/>
    <d v="1899-12-30T19:51:40"/>
    <d v="1899-12-30T00:02:29"/>
    <n v="2"/>
    <n v="29"/>
    <n v="2.48"/>
    <n v="149"/>
    <n v="120.80536912751677"/>
    <x v="1"/>
  </r>
  <r>
    <x v="105"/>
    <d v="1899-12-30T12:25:47"/>
    <d v="1899-12-30T12:23:18"/>
    <d v="1899-12-30T00:02:29"/>
    <n v="2"/>
    <n v="29"/>
    <n v="2.48"/>
    <n v="149"/>
    <n v="120.80536912751677"/>
    <x v="1"/>
  </r>
  <r>
    <x v="21"/>
    <d v="1899-12-30T15:34:41"/>
    <d v="1899-12-30T15:37:11"/>
    <d v="1899-12-30T00:02:30"/>
    <n v="2"/>
    <n v="30"/>
    <n v="2.5"/>
    <n v="150"/>
    <n v="120"/>
    <x v="1"/>
  </r>
  <r>
    <x v="106"/>
    <d v="1899-12-30T09:10:38"/>
    <d v="1899-12-30T09:08:08"/>
    <d v="1899-12-30T00:02:30"/>
    <n v="2"/>
    <n v="30"/>
    <n v="2.5"/>
    <n v="150"/>
    <n v="120"/>
    <x v="1"/>
  </r>
  <r>
    <x v="107"/>
    <d v="1899-12-30T19:57:05"/>
    <d v="1899-12-30T19:54:35"/>
    <d v="1899-12-30T00:02:30"/>
    <n v="2"/>
    <n v="30"/>
    <n v="2.5"/>
    <n v="150"/>
    <n v="120"/>
    <x v="1"/>
  </r>
  <r>
    <x v="108"/>
    <d v="1899-12-30T22:00:57"/>
    <d v="1899-12-30T22:03:27"/>
    <d v="1899-12-30T00:02:30"/>
    <n v="2"/>
    <n v="30"/>
    <n v="2.5"/>
    <n v="150"/>
    <n v="120"/>
    <x v="1"/>
  </r>
  <r>
    <x v="109"/>
    <d v="1899-12-30T09:16:33"/>
    <d v="1899-12-30T09:14:02"/>
    <d v="1899-12-30T00:02:31"/>
    <n v="2"/>
    <n v="31"/>
    <n v="2.52"/>
    <n v="151"/>
    <n v="119.20529801324504"/>
    <x v="1"/>
  </r>
  <r>
    <x v="8"/>
    <d v="1899-12-30T20:12:14"/>
    <d v="1899-12-30T20:09:43"/>
    <d v="1899-12-30T00:02:31"/>
    <n v="2"/>
    <n v="31"/>
    <n v="2.52"/>
    <n v="151"/>
    <n v="119.20529801324504"/>
    <x v="1"/>
  </r>
  <r>
    <x v="100"/>
    <d v="1899-12-30T10:31:37"/>
    <d v="1899-12-30T10:29:06"/>
    <d v="1899-12-30T00:02:31"/>
    <n v="2"/>
    <n v="31"/>
    <n v="2.52"/>
    <n v="151"/>
    <n v="119.20529801324504"/>
    <x v="1"/>
  </r>
  <r>
    <x v="110"/>
    <d v="1899-12-30T03:53:14"/>
    <d v="1899-12-30T03:55:45"/>
    <d v="1899-12-30T00:02:31"/>
    <n v="2"/>
    <n v="31"/>
    <n v="2.52"/>
    <n v="151"/>
    <n v="119.20529801324504"/>
    <x v="1"/>
  </r>
  <r>
    <x v="81"/>
    <d v="1899-12-30T13:26:43"/>
    <d v="1899-12-30T13:29:14"/>
    <d v="1899-12-30T00:02:31"/>
    <n v="2"/>
    <n v="31"/>
    <n v="2.52"/>
    <n v="151"/>
    <n v="119.20529801324504"/>
    <x v="1"/>
  </r>
  <r>
    <x v="111"/>
    <d v="1899-12-30T00:48:49"/>
    <d v="1899-12-30T00:46:18"/>
    <d v="1899-12-30T00:02:31"/>
    <n v="2"/>
    <n v="31"/>
    <n v="2.52"/>
    <n v="151"/>
    <n v="119.20529801324504"/>
    <x v="1"/>
  </r>
  <r>
    <x v="55"/>
    <d v="1899-12-30T23:41:01"/>
    <d v="1899-12-30T23:43:33"/>
    <d v="1899-12-30T00:02:32"/>
    <n v="2"/>
    <n v="32"/>
    <n v="2.5299999999999998"/>
    <n v="152"/>
    <n v="118.42105263157896"/>
    <x v="1"/>
  </r>
  <r>
    <x v="24"/>
    <d v="1899-12-30T18:16:04"/>
    <d v="1899-12-30T18:13:31"/>
    <d v="1899-12-30T00:02:32"/>
    <n v="2"/>
    <n v="32"/>
    <n v="2.5299999999999998"/>
    <n v="152"/>
    <n v="118.42105263157896"/>
    <x v="1"/>
  </r>
  <r>
    <x v="57"/>
    <d v="1899-12-30T23:01:27"/>
    <d v="1899-12-30T22:58:55"/>
    <d v="1899-12-30T00:02:32"/>
    <n v="2"/>
    <n v="32"/>
    <n v="2.5299999999999998"/>
    <n v="152"/>
    <n v="118.42105263157896"/>
    <x v="1"/>
  </r>
  <r>
    <x v="8"/>
    <d v="1899-12-30T01:46:53"/>
    <d v="1899-12-30T01:49:26"/>
    <d v="1899-12-30T00:02:33"/>
    <n v="2"/>
    <n v="33"/>
    <n v="2.5499999999999998"/>
    <n v="153"/>
    <n v="117.64705882352942"/>
    <x v="1"/>
  </r>
  <r>
    <x v="112"/>
    <d v="1899-12-30T09:46:01"/>
    <d v="1899-12-30T09:43:28"/>
    <d v="1899-12-30T00:02:33"/>
    <n v="2"/>
    <n v="33"/>
    <n v="2.5499999999999998"/>
    <n v="153"/>
    <n v="117.64705882352942"/>
    <x v="1"/>
  </r>
  <r>
    <x v="113"/>
    <d v="1899-12-30T00:56:06"/>
    <d v="1899-12-30T00:58:38"/>
    <d v="1899-12-30T00:02:33"/>
    <n v="2"/>
    <n v="33"/>
    <n v="2.5499999999999998"/>
    <n v="153"/>
    <n v="117.64705882352942"/>
    <x v="1"/>
  </r>
  <r>
    <x v="114"/>
    <d v="1899-12-30T14:49:06"/>
    <d v="1899-12-30T14:51:39"/>
    <d v="1899-12-30T00:02:33"/>
    <n v="2"/>
    <n v="33"/>
    <n v="2.5499999999999998"/>
    <n v="153"/>
    <n v="117.64705882352942"/>
    <x v="1"/>
  </r>
  <r>
    <x v="115"/>
    <d v="1899-12-30T07:57:52"/>
    <d v="1899-12-30T08:00:26"/>
    <d v="1899-12-30T00:02:33"/>
    <n v="2"/>
    <n v="33"/>
    <n v="2.5499999999999998"/>
    <n v="153"/>
    <n v="117.64705882352942"/>
    <x v="1"/>
  </r>
  <r>
    <x v="116"/>
    <d v="1899-12-30T20:49:09"/>
    <d v="1899-12-30T20:46:35"/>
    <d v="1899-12-30T00:02:34"/>
    <n v="2"/>
    <n v="34"/>
    <n v="2.57"/>
    <n v="154"/>
    <n v="116.88311688311688"/>
    <x v="1"/>
  </r>
  <r>
    <x v="115"/>
    <d v="1899-12-30T10:31:00"/>
    <d v="1899-12-30T10:33:35"/>
    <d v="1899-12-30T00:02:34"/>
    <n v="2"/>
    <n v="34"/>
    <n v="2.57"/>
    <n v="154"/>
    <n v="116.88311688311688"/>
    <x v="1"/>
  </r>
  <r>
    <x v="117"/>
    <d v="1899-12-30T10:12:42"/>
    <d v="1899-12-30T10:15:16"/>
    <d v="1899-12-30T00:02:34"/>
    <n v="2"/>
    <n v="34"/>
    <n v="2.57"/>
    <n v="154"/>
    <n v="116.88311688311688"/>
    <x v="1"/>
  </r>
  <r>
    <x v="118"/>
    <d v="1899-12-30T19:57:34"/>
    <d v="1899-12-30T19:55:00"/>
    <d v="1899-12-30T00:02:35"/>
    <n v="2"/>
    <n v="35"/>
    <n v="2.58"/>
    <n v="155"/>
    <n v="116.12903225806451"/>
    <x v="1"/>
  </r>
  <r>
    <x v="88"/>
    <d v="1899-12-30T22:00:57"/>
    <d v="1899-12-30T21:58:22"/>
    <d v="1899-12-30T00:02:35"/>
    <n v="2"/>
    <n v="35"/>
    <n v="2.58"/>
    <n v="155"/>
    <n v="116.12903225806451"/>
    <x v="1"/>
  </r>
  <r>
    <x v="119"/>
    <d v="1899-12-30T20:53:26"/>
    <d v="1899-12-30T20:50:52"/>
    <d v="1899-12-30T00:02:35"/>
    <n v="2"/>
    <n v="35"/>
    <n v="2.58"/>
    <n v="155"/>
    <n v="116.12903225806451"/>
    <x v="1"/>
  </r>
  <r>
    <x v="120"/>
    <d v="1899-12-30T10:53:45"/>
    <d v="1899-12-30T10:51:09"/>
    <d v="1899-12-30T00:02:36"/>
    <n v="2"/>
    <n v="36"/>
    <n v="2.6"/>
    <n v="156"/>
    <n v="115.38461538461539"/>
    <x v="1"/>
  </r>
  <r>
    <x v="60"/>
    <d v="1899-12-30T15:35:26"/>
    <d v="1899-12-30T15:38:01"/>
    <d v="1899-12-30T00:02:36"/>
    <n v="2"/>
    <n v="36"/>
    <n v="2.6"/>
    <n v="156"/>
    <n v="115.38461538461539"/>
    <x v="1"/>
  </r>
  <r>
    <x v="121"/>
    <d v="1899-12-30T20:15:08"/>
    <d v="1899-12-30T20:17:43"/>
    <d v="1899-12-30T00:02:36"/>
    <n v="2"/>
    <n v="36"/>
    <n v="2.6"/>
    <n v="156"/>
    <n v="115.38461538461539"/>
    <x v="1"/>
  </r>
  <r>
    <x v="24"/>
    <d v="1899-12-30T04:52:30"/>
    <d v="1899-12-30T04:55:06"/>
    <d v="1899-12-30T00:02:36"/>
    <n v="2"/>
    <n v="36"/>
    <n v="2.6"/>
    <n v="156"/>
    <n v="115.38461538461539"/>
    <x v="1"/>
  </r>
  <r>
    <x v="96"/>
    <d v="1899-12-30T19:06:30"/>
    <d v="1899-12-30T19:09:07"/>
    <d v="1899-12-30T00:02:37"/>
    <n v="2"/>
    <n v="37"/>
    <n v="2.62"/>
    <n v="157"/>
    <n v="114.64968152866241"/>
    <x v="1"/>
  </r>
  <r>
    <x v="4"/>
    <d v="1899-12-30T19:13:20"/>
    <d v="1899-12-30T19:10:43"/>
    <d v="1899-12-30T00:02:37"/>
    <n v="2"/>
    <n v="37"/>
    <n v="2.62"/>
    <n v="157"/>
    <n v="114.64968152866241"/>
    <x v="1"/>
  </r>
  <r>
    <x v="115"/>
    <d v="1899-12-30T16:16:20"/>
    <d v="1899-12-30T16:18:57"/>
    <d v="1899-12-30T00:02:37"/>
    <n v="2"/>
    <n v="37"/>
    <n v="2.62"/>
    <n v="157"/>
    <n v="114.64968152866241"/>
    <x v="1"/>
  </r>
  <r>
    <x v="122"/>
    <d v="1899-12-30T14:55:44"/>
    <d v="1899-12-30T14:53:07"/>
    <d v="1899-12-30T00:02:37"/>
    <n v="2"/>
    <n v="37"/>
    <n v="2.62"/>
    <n v="157"/>
    <n v="114.64968152866241"/>
    <x v="1"/>
  </r>
  <r>
    <x v="8"/>
    <d v="1899-12-30T13:56:51"/>
    <d v="1899-12-30T13:59:28"/>
    <d v="1899-12-30T00:02:38"/>
    <n v="2"/>
    <n v="38"/>
    <n v="2.63"/>
    <n v="158"/>
    <n v="113.92405063291139"/>
    <x v="1"/>
  </r>
  <r>
    <x v="78"/>
    <d v="1899-12-30T12:22:30"/>
    <d v="1899-12-30T12:19:52"/>
    <d v="1899-12-30T00:02:38"/>
    <n v="2"/>
    <n v="38"/>
    <n v="2.63"/>
    <n v="158"/>
    <n v="113.92405063291139"/>
    <x v="1"/>
  </r>
  <r>
    <x v="66"/>
    <d v="1899-12-30T14:52:29"/>
    <d v="1899-12-30T14:55:07"/>
    <d v="1899-12-30T00:02:38"/>
    <n v="2"/>
    <n v="38"/>
    <n v="2.63"/>
    <n v="158"/>
    <n v="113.92405063291139"/>
    <x v="1"/>
  </r>
  <r>
    <x v="123"/>
    <d v="1899-12-30T12:22:47"/>
    <d v="1899-12-30T12:20:10"/>
    <d v="1899-12-30T00:02:38"/>
    <n v="2"/>
    <n v="38"/>
    <n v="2.63"/>
    <n v="158"/>
    <n v="113.92405063291139"/>
    <x v="1"/>
  </r>
  <r>
    <x v="14"/>
    <d v="1899-12-30T03:56:22"/>
    <d v="1899-12-30T03:53:45"/>
    <d v="1899-12-30T00:02:38"/>
    <n v="2"/>
    <n v="38"/>
    <n v="2.63"/>
    <n v="158"/>
    <n v="113.92405063291139"/>
    <x v="1"/>
  </r>
  <r>
    <x v="124"/>
    <d v="1899-12-30T07:04:43"/>
    <d v="1899-12-30T07:02:05"/>
    <d v="1899-12-30T00:02:38"/>
    <n v="2"/>
    <n v="38"/>
    <n v="2.63"/>
    <n v="158"/>
    <n v="113.92405063291139"/>
    <x v="1"/>
  </r>
  <r>
    <x v="125"/>
    <d v="1899-12-30T04:02:27"/>
    <d v="1899-12-30T04:05:05"/>
    <d v="1899-12-30T00:02:38"/>
    <n v="2"/>
    <n v="38"/>
    <n v="2.63"/>
    <n v="158"/>
    <n v="113.92405063291139"/>
    <x v="1"/>
  </r>
  <r>
    <x v="73"/>
    <d v="1899-12-30T08:19:38"/>
    <d v="1899-12-30T08:17:00"/>
    <d v="1899-12-30T00:02:39"/>
    <n v="2"/>
    <n v="39"/>
    <n v="2.65"/>
    <n v="159"/>
    <n v="113.20754716981131"/>
    <x v="1"/>
  </r>
  <r>
    <x v="57"/>
    <d v="1899-12-30T22:26:36"/>
    <d v="1899-12-30T22:29:15"/>
    <d v="1899-12-30T00:02:39"/>
    <n v="2"/>
    <n v="39"/>
    <n v="2.65"/>
    <n v="159"/>
    <n v="113.20754716981131"/>
    <x v="1"/>
  </r>
  <r>
    <x v="126"/>
    <d v="1899-12-30T21:42:09"/>
    <d v="1899-12-30T21:44:48"/>
    <d v="1899-12-30T00:02:39"/>
    <n v="2"/>
    <n v="39"/>
    <n v="2.65"/>
    <n v="159"/>
    <n v="113.20754716981131"/>
    <x v="1"/>
  </r>
  <r>
    <x v="127"/>
    <d v="1899-12-30T15:02:09"/>
    <d v="1899-12-30T15:04:48"/>
    <d v="1899-12-30T00:02:39"/>
    <n v="2"/>
    <n v="39"/>
    <n v="2.65"/>
    <n v="159"/>
    <n v="113.20754716981131"/>
    <x v="1"/>
  </r>
  <r>
    <x v="115"/>
    <d v="1899-12-30T22:07:24"/>
    <d v="1899-12-30T22:04:43"/>
    <d v="1899-12-30T00:02:40"/>
    <n v="2"/>
    <n v="40"/>
    <n v="2.67"/>
    <n v="160"/>
    <n v="112.5"/>
    <x v="1"/>
  </r>
  <r>
    <x v="35"/>
    <d v="1899-12-30T00:57:41"/>
    <d v="1899-12-30T00:55:01"/>
    <d v="1899-12-30T00:02:40"/>
    <n v="2"/>
    <n v="40"/>
    <n v="2.67"/>
    <n v="160"/>
    <n v="112.5"/>
    <x v="1"/>
  </r>
  <r>
    <x v="94"/>
    <d v="1899-12-30T19:38:59"/>
    <d v="1899-12-30T19:41:39"/>
    <d v="1899-12-30T00:02:40"/>
    <n v="2"/>
    <n v="40"/>
    <n v="2.67"/>
    <n v="160"/>
    <n v="112.5"/>
    <x v="1"/>
  </r>
  <r>
    <x v="58"/>
    <d v="1899-12-30T14:00:47"/>
    <d v="1899-12-30T13:58:07"/>
    <d v="1899-12-30T00:02:40"/>
    <n v="2"/>
    <n v="40"/>
    <n v="2.67"/>
    <n v="160"/>
    <n v="112.5"/>
    <x v="1"/>
  </r>
  <r>
    <x v="71"/>
    <d v="1899-12-30T00:17:19"/>
    <d v="1899-12-30T00:19:59"/>
    <d v="1899-12-30T00:02:40"/>
    <n v="2"/>
    <n v="40"/>
    <n v="2.67"/>
    <n v="160"/>
    <n v="112.5"/>
    <x v="1"/>
  </r>
  <r>
    <x v="128"/>
    <d v="1899-12-30T19:36:39"/>
    <d v="1899-12-30T19:39:19"/>
    <d v="1899-12-30T00:02:40"/>
    <n v="2"/>
    <n v="40"/>
    <n v="2.67"/>
    <n v="160"/>
    <n v="112.5"/>
    <x v="1"/>
  </r>
  <r>
    <x v="129"/>
    <d v="1899-12-30T03:27:41"/>
    <d v="1899-12-30T03:25:01"/>
    <d v="1899-12-30T00:02:40"/>
    <n v="2"/>
    <n v="40"/>
    <n v="2.67"/>
    <n v="160"/>
    <n v="112.5"/>
    <x v="1"/>
  </r>
  <r>
    <x v="100"/>
    <d v="1899-12-30T05:12:16"/>
    <d v="1899-12-30T05:14:57"/>
    <d v="1899-12-30T00:02:41"/>
    <n v="2"/>
    <n v="41"/>
    <n v="2.68"/>
    <n v="161"/>
    <n v="111.80124223602485"/>
    <x v="1"/>
  </r>
  <r>
    <x v="130"/>
    <d v="1899-12-30T22:22:36"/>
    <d v="1899-12-30T22:19:55"/>
    <d v="1899-12-30T00:02:41"/>
    <n v="2"/>
    <n v="41"/>
    <n v="2.68"/>
    <n v="161"/>
    <n v="111.80124223602485"/>
    <x v="1"/>
  </r>
  <r>
    <x v="65"/>
    <d v="1899-12-30T20:02:12"/>
    <d v="1899-12-30T19:59:31"/>
    <d v="1899-12-30T00:02:41"/>
    <n v="2"/>
    <n v="41"/>
    <n v="2.68"/>
    <n v="161"/>
    <n v="111.80124223602485"/>
    <x v="1"/>
  </r>
  <r>
    <x v="17"/>
    <d v="1899-12-30T14:41:43"/>
    <d v="1899-12-30T14:44:25"/>
    <d v="1899-12-30T00:02:41"/>
    <n v="2"/>
    <n v="41"/>
    <n v="2.68"/>
    <n v="161"/>
    <n v="111.80124223602485"/>
    <x v="1"/>
  </r>
  <r>
    <x v="131"/>
    <d v="1899-12-30T05:40:00"/>
    <d v="1899-12-30T05:42:41"/>
    <d v="1899-12-30T00:02:41"/>
    <n v="2"/>
    <n v="41"/>
    <n v="2.68"/>
    <n v="161"/>
    <n v="111.80124223602485"/>
    <x v="1"/>
  </r>
  <r>
    <x v="132"/>
    <d v="1899-12-30T21:44:48"/>
    <d v="1899-12-30T21:47:28"/>
    <d v="1899-12-30T00:02:41"/>
    <n v="2"/>
    <n v="41"/>
    <n v="2.68"/>
    <n v="161"/>
    <n v="111.80124223602485"/>
    <x v="1"/>
  </r>
  <r>
    <x v="133"/>
    <d v="1899-12-30T15:05:23"/>
    <d v="1899-12-30T15:08:04"/>
    <d v="1899-12-30T00:02:41"/>
    <n v="2"/>
    <n v="41"/>
    <n v="2.68"/>
    <n v="161"/>
    <n v="111.80124223602485"/>
    <x v="1"/>
  </r>
  <r>
    <x v="134"/>
    <d v="1899-12-30T18:53:02"/>
    <d v="1899-12-30T18:50:21"/>
    <d v="1899-12-30T00:02:41"/>
    <n v="2"/>
    <n v="41"/>
    <n v="2.68"/>
    <n v="161"/>
    <n v="111.80124223602485"/>
    <x v="1"/>
  </r>
  <r>
    <x v="66"/>
    <d v="1899-12-30T16:52:42"/>
    <d v="1899-12-30T16:50:00"/>
    <d v="1899-12-30T00:02:42"/>
    <n v="2"/>
    <n v="42"/>
    <n v="2.7"/>
    <n v="162"/>
    <n v="111.11111111111111"/>
    <x v="1"/>
  </r>
  <r>
    <x v="35"/>
    <d v="1899-12-30T09:49:45"/>
    <d v="1899-12-30T09:52:28"/>
    <d v="1899-12-30T00:02:42"/>
    <n v="2"/>
    <n v="42"/>
    <n v="2.7"/>
    <n v="162"/>
    <n v="111.11111111111111"/>
    <x v="1"/>
  </r>
  <r>
    <x v="35"/>
    <d v="1899-12-30T21:33:06"/>
    <d v="1899-12-30T21:35:48"/>
    <d v="1899-12-30T00:02:42"/>
    <n v="2"/>
    <n v="42"/>
    <n v="2.7"/>
    <n v="162"/>
    <n v="111.11111111111111"/>
    <x v="1"/>
  </r>
  <r>
    <x v="24"/>
    <d v="1899-12-30T09:15:38"/>
    <d v="1899-12-30T09:18:21"/>
    <d v="1899-12-30T00:02:42"/>
    <n v="2"/>
    <n v="42"/>
    <n v="2.7"/>
    <n v="162"/>
    <n v="111.11111111111111"/>
    <x v="1"/>
  </r>
  <r>
    <x v="24"/>
    <d v="1899-12-30T09:29:18"/>
    <d v="1899-12-30T09:26:36"/>
    <d v="1899-12-30T00:02:42"/>
    <n v="2"/>
    <n v="42"/>
    <n v="2.7"/>
    <n v="162"/>
    <n v="111.11111111111111"/>
    <x v="1"/>
  </r>
  <r>
    <x v="135"/>
    <d v="1899-12-30T06:11:15"/>
    <d v="1899-12-30T06:08:34"/>
    <d v="1899-12-30T00:02:42"/>
    <n v="2"/>
    <n v="42"/>
    <n v="2.7"/>
    <n v="162"/>
    <n v="111.11111111111111"/>
    <x v="1"/>
  </r>
  <r>
    <x v="24"/>
    <d v="1899-12-30T08:25:48"/>
    <d v="1899-12-30T08:23:07"/>
    <d v="1899-12-30T00:02:42"/>
    <n v="2"/>
    <n v="42"/>
    <n v="2.7"/>
    <n v="162"/>
    <n v="111.11111111111111"/>
    <x v="1"/>
  </r>
  <r>
    <x v="136"/>
    <d v="1899-12-30T22:11:20"/>
    <d v="1899-12-30T22:14:03"/>
    <d v="1899-12-30T00:02:43"/>
    <n v="2"/>
    <n v="43"/>
    <n v="2.72"/>
    <n v="163"/>
    <n v="110.42944785276075"/>
    <x v="1"/>
  </r>
  <r>
    <x v="137"/>
    <d v="1899-12-30T07:23:39"/>
    <d v="1899-12-30T07:20:56"/>
    <d v="1899-12-30T00:02:43"/>
    <n v="2"/>
    <n v="43"/>
    <n v="2.72"/>
    <n v="163"/>
    <n v="110.42944785276075"/>
    <x v="1"/>
  </r>
  <r>
    <x v="71"/>
    <d v="1899-12-30T12:09:48"/>
    <d v="1899-12-30T12:07:06"/>
    <d v="1899-12-30T00:02:43"/>
    <n v="2"/>
    <n v="43"/>
    <n v="2.72"/>
    <n v="163"/>
    <n v="110.42944785276075"/>
    <x v="1"/>
  </r>
  <r>
    <x v="52"/>
    <d v="1899-12-30T17:26:36"/>
    <d v="1899-12-30T17:29:19"/>
    <d v="1899-12-30T00:02:43"/>
    <n v="2"/>
    <n v="43"/>
    <n v="2.72"/>
    <n v="163"/>
    <n v="110.42944785276075"/>
    <x v="1"/>
  </r>
  <r>
    <x v="138"/>
    <d v="1899-12-30T11:55:06"/>
    <d v="1899-12-30T11:52:22"/>
    <d v="1899-12-30T00:02:43"/>
    <n v="2"/>
    <n v="43"/>
    <n v="2.72"/>
    <n v="163"/>
    <n v="110.42944785276075"/>
    <x v="1"/>
  </r>
  <r>
    <x v="120"/>
    <d v="1899-12-30T10:23:52"/>
    <d v="1899-12-30T10:21:09"/>
    <d v="1899-12-30T00:02:43"/>
    <n v="2"/>
    <n v="43"/>
    <n v="2.72"/>
    <n v="163"/>
    <n v="110.42944785276075"/>
    <x v="1"/>
  </r>
  <r>
    <x v="139"/>
    <d v="1899-12-30T15:04:05"/>
    <d v="1899-12-30T15:06:49"/>
    <d v="1899-12-30T00:02:44"/>
    <n v="2"/>
    <n v="44"/>
    <n v="2.73"/>
    <n v="164"/>
    <n v="109.75609756097562"/>
    <x v="1"/>
  </r>
  <r>
    <x v="106"/>
    <d v="1899-12-30T20:19:50"/>
    <d v="1899-12-30T20:22:33"/>
    <d v="1899-12-30T00:02:44"/>
    <n v="2"/>
    <n v="44"/>
    <n v="2.73"/>
    <n v="164"/>
    <n v="109.75609756097562"/>
    <x v="1"/>
  </r>
  <r>
    <x v="6"/>
    <d v="1899-12-30T22:46:05"/>
    <d v="1899-12-30T22:48:49"/>
    <d v="1899-12-30T00:02:44"/>
    <n v="2"/>
    <n v="44"/>
    <n v="2.73"/>
    <n v="164"/>
    <n v="109.75609756097562"/>
    <x v="1"/>
  </r>
  <r>
    <x v="17"/>
    <d v="1899-12-30T06:57:45"/>
    <d v="1899-12-30T07:00:29"/>
    <d v="1899-12-30T00:02:44"/>
    <n v="2"/>
    <n v="44"/>
    <n v="2.73"/>
    <n v="164"/>
    <n v="109.75609756097562"/>
    <x v="1"/>
  </r>
  <r>
    <x v="140"/>
    <d v="1899-12-30T21:53:50"/>
    <d v="1899-12-30T21:56:35"/>
    <d v="1899-12-30T00:02:45"/>
    <n v="2"/>
    <n v="45"/>
    <n v="2.75"/>
    <n v="165"/>
    <n v="109.09090909090908"/>
    <x v="1"/>
  </r>
  <r>
    <x v="141"/>
    <d v="1899-12-30T23:30:02"/>
    <d v="1899-12-30T23:27:17"/>
    <d v="1899-12-30T00:02:45"/>
    <n v="2"/>
    <n v="45"/>
    <n v="2.75"/>
    <n v="165"/>
    <n v="109.09090909090908"/>
    <x v="1"/>
  </r>
  <r>
    <x v="142"/>
    <d v="1899-12-30T00:13:26"/>
    <d v="1899-12-30T00:10:41"/>
    <d v="1899-12-30T00:02:45"/>
    <n v="2"/>
    <n v="45"/>
    <n v="2.75"/>
    <n v="165"/>
    <n v="109.09090909090908"/>
    <x v="1"/>
  </r>
  <r>
    <x v="140"/>
    <d v="1899-12-30T22:22:28"/>
    <d v="1899-12-30T22:25:14"/>
    <d v="1899-12-30T00:02:46"/>
    <n v="2"/>
    <n v="46"/>
    <n v="2.77"/>
    <n v="166"/>
    <n v="108.43373493975903"/>
    <x v="1"/>
  </r>
  <r>
    <x v="143"/>
    <d v="1899-12-30T04:57:25"/>
    <d v="1899-12-30T05:00:11"/>
    <d v="1899-12-30T00:02:46"/>
    <n v="2"/>
    <n v="46"/>
    <n v="2.77"/>
    <n v="166"/>
    <n v="108.43373493975903"/>
    <x v="1"/>
  </r>
  <r>
    <x v="144"/>
    <d v="1899-12-30T19:07:54"/>
    <d v="1899-12-30T19:05:09"/>
    <d v="1899-12-30T00:02:46"/>
    <n v="2"/>
    <n v="46"/>
    <n v="2.77"/>
    <n v="166"/>
    <n v="108.43373493975903"/>
    <x v="1"/>
  </r>
  <r>
    <x v="71"/>
    <d v="1899-12-30T02:38:25"/>
    <d v="1899-12-30T02:35:40"/>
    <d v="1899-12-30T00:02:46"/>
    <n v="2"/>
    <n v="46"/>
    <n v="2.77"/>
    <n v="166"/>
    <n v="108.43373493975903"/>
    <x v="1"/>
  </r>
  <r>
    <x v="145"/>
    <d v="1899-12-30T04:08:44"/>
    <d v="1899-12-30T04:05:58"/>
    <d v="1899-12-30T00:02:46"/>
    <n v="2"/>
    <n v="46"/>
    <n v="2.77"/>
    <n v="166"/>
    <n v="108.43373493975903"/>
    <x v="1"/>
  </r>
  <r>
    <x v="146"/>
    <d v="1899-12-30T17:08:31"/>
    <d v="1899-12-30T17:11:17"/>
    <d v="1899-12-30T00:02:46"/>
    <n v="2"/>
    <n v="46"/>
    <n v="2.77"/>
    <n v="166"/>
    <n v="108.43373493975903"/>
    <x v="1"/>
  </r>
  <r>
    <x v="121"/>
    <d v="1899-12-30T09:28:09"/>
    <d v="1899-12-30T09:30:56"/>
    <d v="1899-12-30T00:02:47"/>
    <n v="2"/>
    <n v="47"/>
    <n v="2.78"/>
    <n v="167"/>
    <n v="107.78443113772455"/>
    <x v="1"/>
  </r>
  <r>
    <x v="0"/>
    <d v="1899-12-30T21:16:20"/>
    <d v="1899-12-30T21:19:07"/>
    <d v="1899-12-30T00:02:47"/>
    <n v="2"/>
    <n v="47"/>
    <n v="2.78"/>
    <n v="167"/>
    <n v="107.78443113772455"/>
    <x v="1"/>
  </r>
  <r>
    <x v="58"/>
    <d v="1899-12-30T07:17:58"/>
    <d v="1899-12-30T07:15:11"/>
    <d v="1899-12-30T00:02:47"/>
    <n v="2"/>
    <n v="47"/>
    <n v="2.78"/>
    <n v="167"/>
    <n v="107.78443113772455"/>
    <x v="1"/>
  </r>
  <r>
    <x v="144"/>
    <d v="1899-12-30T19:18:30"/>
    <d v="1899-12-30T19:15:43"/>
    <d v="1899-12-30T00:02:47"/>
    <n v="2"/>
    <n v="47"/>
    <n v="2.78"/>
    <n v="167"/>
    <n v="107.78443113772455"/>
    <x v="1"/>
  </r>
  <r>
    <x v="147"/>
    <d v="1899-12-30T09:04:32"/>
    <d v="1899-12-30T09:07:19"/>
    <d v="1899-12-30T00:02:47"/>
    <n v="2"/>
    <n v="47"/>
    <n v="2.78"/>
    <n v="167"/>
    <n v="107.78443113772455"/>
    <x v="1"/>
  </r>
  <r>
    <x v="15"/>
    <d v="1899-12-30T09:33:27"/>
    <d v="1899-12-30T09:36:14"/>
    <d v="1899-12-30T00:02:47"/>
    <n v="2"/>
    <n v="47"/>
    <n v="2.78"/>
    <n v="167"/>
    <n v="107.78443113772455"/>
    <x v="1"/>
  </r>
  <r>
    <x v="148"/>
    <d v="1899-12-30T00:19:56"/>
    <d v="1899-12-30T00:17:09"/>
    <d v="1899-12-30T00:02:47"/>
    <n v="2"/>
    <n v="47"/>
    <n v="2.78"/>
    <n v="167"/>
    <n v="107.78443113772455"/>
    <x v="1"/>
  </r>
  <r>
    <x v="149"/>
    <d v="1899-12-30T01:10:19"/>
    <d v="1899-12-30T01:13:07"/>
    <d v="1899-12-30T00:02:48"/>
    <n v="2"/>
    <n v="48"/>
    <n v="2.8"/>
    <n v="168"/>
    <n v="107.14285714285714"/>
    <x v="1"/>
  </r>
  <r>
    <x v="150"/>
    <d v="1899-12-30T12:20:59"/>
    <d v="1899-12-30T12:18:11"/>
    <d v="1899-12-30T00:02:48"/>
    <n v="2"/>
    <n v="48"/>
    <n v="2.8"/>
    <n v="168"/>
    <n v="107.14285714285714"/>
    <x v="1"/>
  </r>
  <r>
    <x v="88"/>
    <d v="1899-12-30T23:46:41"/>
    <d v="1899-12-30T23:43:53"/>
    <d v="1899-12-30T00:02:48"/>
    <n v="2"/>
    <n v="48"/>
    <n v="2.8"/>
    <n v="168"/>
    <n v="107.14285714285714"/>
    <x v="1"/>
  </r>
  <r>
    <x v="3"/>
    <d v="1899-12-30T19:24:51"/>
    <d v="1899-12-30T19:22:03"/>
    <d v="1899-12-30T00:02:48"/>
    <n v="2"/>
    <n v="48"/>
    <n v="2.8"/>
    <n v="168"/>
    <n v="107.14285714285714"/>
    <x v="1"/>
  </r>
  <r>
    <x v="151"/>
    <d v="1899-12-30T00:05:58"/>
    <d v="1899-12-30T00:03:10"/>
    <d v="1899-12-30T00:02:48"/>
    <n v="2"/>
    <n v="48"/>
    <n v="2.8"/>
    <n v="168"/>
    <n v="107.14285714285714"/>
    <x v="1"/>
  </r>
  <r>
    <x v="104"/>
    <d v="1899-12-30T09:49:26"/>
    <d v="1899-12-30T09:52:16"/>
    <d v="1899-12-30T00:02:49"/>
    <n v="2"/>
    <n v="49"/>
    <n v="2.82"/>
    <n v="169"/>
    <n v="106.50887573964496"/>
    <x v="1"/>
  </r>
  <r>
    <x v="152"/>
    <d v="1899-12-30T19:57:39"/>
    <d v="1899-12-30T19:54:50"/>
    <d v="1899-12-30T00:02:49"/>
    <n v="2"/>
    <n v="49"/>
    <n v="2.82"/>
    <n v="169"/>
    <n v="106.50887573964496"/>
    <x v="1"/>
  </r>
  <r>
    <x v="153"/>
    <d v="1899-12-30T01:40:09"/>
    <d v="1899-12-30T01:37:19"/>
    <d v="1899-12-30T00:02:50"/>
    <n v="2"/>
    <n v="50"/>
    <n v="2.83"/>
    <n v="170"/>
    <n v="105.88235294117646"/>
    <x v="1"/>
  </r>
  <r>
    <x v="154"/>
    <d v="1899-12-30T13:46:47"/>
    <d v="1899-12-30T13:43:58"/>
    <d v="1899-12-30T00:02:50"/>
    <n v="2"/>
    <n v="50"/>
    <n v="2.83"/>
    <n v="170"/>
    <n v="105.88235294117646"/>
    <x v="1"/>
  </r>
  <r>
    <x v="4"/>
    <d v="1899-12-30T04:46:23"/>
    <d v="1899-12-30T04:43:33"/>
    <d v="1899-12-30T00:02:50"/>
    <n v="2"/>
    <n v="50"/>
    <n v="2.83"/>
    <n v="170"/>
    <n v="105.88235294117646"/>
    <x v="1"/>
  </r>
  <r>
    <x v="35"/>
    <d v="1899-12-30T04:28:04"/>
    <d v="1899-12-30T04:25:14"/>
    <d v="1899-12-30T00:02:50"/>
    <n v="2"/>
    <n v="50"/>
    <n v="2.83"/>
    <n v="170"/>
    <n v="105.88235294117646"/>
    <x v="1"/>
  </r>
  <r>
    <x v="155"/>
    <d v="1899-12-30T07:52:02"/>
    <d v="1899-12-30T07:49:12"/>
    <d v="1899-12-30T00:02:50"/>
    <n v="2"/>
    <n v="50"/>
    <n v="2.83"/>
    <n v="170"/>
    <n v="105.88235294117646"/>
    <x v="1"/>
  </r>
  <r>
    <x v="156"/>
    <d v="1899-12-30T02:45:36"/>
    <d v="1899-12-30T02:42:45"/>
    <d v="1899-12-30T00:02:50"/>
    <n v="2"/>
    <n v="50"/>
    <n v="2.83"/>
    <n v="170"/>
    <n v="105.88235294117646"/>
    <x v="1"/>
  </r>
  <r>
    <x v="157"/>
    <d v="1899-12-30T11:38:04"/>
    <d v="1899-12-30T11:35:14"/>
    <d v="1899-12-30T00:02:51"/>
    <n v="2"/>
    <n v="51"/>
    <n v="2.85"/>
    <n v="171"/>
    <n v="105.26315789473685"/>
    <x v="1"/>
  </r>
  <r>
    <x v="158"/>
    <d v="1899-12-30T07:13:34"/>
    <d v="1899-12-30T07:10:42"/>
    <d v="1899-12-30T00:02:51"/>
    <n v="2"/>
    <n v="51"/>
    <n v="2.85"/>
    <n v="171"/>
    <n v="105.26315789473685"/>
    <x v="1"/>
  </r>
  <r>
    <x v="153"/>
    <d v="1899-12-30T04:53:22"/>
    <d v="1899-12-30T04:50:29"/>
    <d v="1899-12-30T00:02:52"/>
    <n v="2"/>
    <n v="52"/>
    <n v="2.87"/>
    <n v="172"/>
    <n v="104.65116279069768"/>
    <x v="1"/>
  </r>
  <r>
    <x v="159"/>
    <d v="1899-12-30T20:37:11"/>
    <d v="1899-12-30T20:34:19"/>
    <d v="1899-12-30T00:02:52"/>
    <n v="2"/>
    <n v="52"/>
    <n v="2.87"/>
    <n v="172"/>
    <n v="104.65116279069768"/>
    <x v="1"/>
  </r>
  <r>
    <x v="58"/>
    <d v="1899-12-30T08:43:57"/>
    <d v="1899-12-30T08:46:50"/>
    <d v="1899-12-30T00:02:53"/>
    <n v="2"/>
    <n v="53"/>
    <n v="2.88"/>
    <n v="173"/>
    <n v="104.04624277456648"/>
    <x v="1"/>
  </r>
  <r>
    <x v="160"/>
    <d v="1899-12-30T00:44:56"/>
    <d v="1899-12-30T00:42:02"/>
    <d v="1899-12-30T00:02:54"/>
    <n v="2"/>
    <n v="54"/>
    <n v="2.9"/>
    <n v="174"/>
    <n v="103.44827586206897"/>
    <x v="1"/>
  </r>
  <r>
    <x v="17"/>
    <d v="1899-12-30T12:24:59"/>
    <d v="1899-12-30T12:22:05"/>
    <d v="1899-12-30T00:02:54"/>
    <n v="2"/>
    <n v="54"/>
    <n v="2.9"/>
    <n v="174"/>
    <n v="103.44827586206897"/>
    <x v="1"/>
  </r>
  <r>
    <x v="161"/>
    <d v="1899-12-30T13:26:32"/>
    <d v="1899-12-30T13:23:39"/>
    <d v="1899-12-30T00:02:54"/>
    <n v="2"/>
    <n v="54"/>
    <n v="2.9"/>
    <n v="174"/>
    <n v="103.44827586206897"/>
    <x v="1"/>
  </r>
  <r>
    <x v="162"/>
    <d v="1899-12-30T00:51:47"/>
    <d v="1899-12-30T00:54:42"/>
    <d v="1899-12-30T00:02:54"/>
    <n v="2"/>
    <n v="54"/>
    <n v="2.9"/>
    <n v="174"/>
    <n v="103.44827586206897"/>
    <x v="1"/>
  </r>
  <r>
    <x v="163"/>
    <d v="1899-12-30T13:16:32"/>
    <d v="1899-12-30T13:19:26"/>
    <d v="1899-12-30T00:02:54"/>
    <n v="2"/>
    <n v="54"/>
    <n v="2.9"/>
    <n v="174"/>
    <n v="103.44827586206897"/>
    <x v="1"/>
  </r>
  <r>
    <x v="71"/>
    <d v="1899-12-30T04:14:35"/>
    <d v="1899-12-30T04:11:40"/>
    <d v="1899-12-30T00:02:55"/>
    <n v="2"/>
    <n v="55"/>
    <n v="2.92"/>
    <n v="175"/>
    <n v="102.85714285714286"/>
    <x v="1"/>
  </r>
  <r>
    <x v="57"/>
    <d v="1899-12-30T20:09:51"/>
    <d v="1899-12-30T20:12:45"/>
    <d v="1899-12-30T00:02:55"/>
    <n v="2"/>
    <n v="55"/>
    <n v="2.92"/>
    <n v="175"/>
    <n v="102.85714285714286"/>
    <x v="1"/>
  </r>
  <r>
    <x v="20"/>
    <d v="1899-12-30T06:49:29"/>
    <d v="1899-12-30T06:52:24"/>
    <d v="1899-12-30T00:02:55"/>
    <n v="2"/>
    <n v="55"/>
    <n v="2.92"/>
    <n v="175"/>
    <n v="102.85714285714286"/>
    <x v="1"/>
  </r>
  <r>
    <x v="164"/>
    <d v="1899-12-30T02:19:15"/>
    <d v="1899-12-30T02:16:20"/>
    <d v="1899-12-30T00:02:55"/>
    <n v="2"/>
    <n v="55"/>
    <n v="2.92"/>
    <n v="175"/>
    <n v="102.85714285714286"/>
    <x v="1"/>
  </r>
  <r>
    <x v="165"/>
    <d v="1899-12-30T16:37:53"/>
    <d v="1899-12-30T16:40:48"/>
    <d v="1899-12-30T00:02:55"/>
    <n v="2"/>
    <n v="55"/>
    <n v="2.92"/>
    <n v="175"/>
    <n v="102.85714285714286"/>
    <x v="1"/>
  </r>
  <r>
    <x v="166"/>
    <d v="1899-12-30T03:24:31"/>
    <d v="1899-12-30T03:21:36"/>
    <d v="1899-12-30T00:02:55"/>
    <n v="2"/>
    <n v="55"/>
    <n v="2.92"/>
    <n v="175"/>
    <n v="102.85714285714286"/>
    <x v="1"/>
  </r>
  <r>
    <x v="167"/>
    <d v="1899-12-30T11:12:54"/>
    <d v="1899-12-30T11:15:51"/>
    <d v="1899-12-30T00:02:56"/>
    <n v="2"/>
    <n v="56"/>
    <n v="2.93"/>
    <n v="176"/>
    <n v="102.27272727272727"/>
    <x v="1"/>
  </r>
  <r>
    <x v="58"/>
    <d v="1899-12-30T20:52:24"/>
    <d v="1899-12-30T20:49:28"/>
    <d v="1899-12-30T00:02:56"/>
    <n v="2"/>
    <n v="56"/>
    <n v="2.93"/>
    <n v="176"/>
    <n v="102.27272727272727"/>
    <x v="1"/>
  </r>
  <r>
    <x v="168"/>
    <d v="1899-12-30T04:00:41"/>
    <d v="1899-12-30T03:57:45"/>
    <d v="1899-12-30T00:02:56"/>
    <n v="2"/>
    <n v="56"/>
    <n v="2.93"/>
    <n v="176"/>
    <n v="102.27272727272727"/>
    <x v="1"/>
  </r>
  <r>
    <x v="169"/>
    <d v="1899-12-30T21:16:45"/>
    <d v="1899-12-30T21:19:42"/>
    <d v="1899-12-30T00:02:57"/>
    <n v="2"/>
    <n v="57"/>
    <n v="2.95"/>
    <n v="177"/>
    <n v="101.69491525423729"/>
    <x v="1"/>
  </r>
  <r>
    <x v="170"/>
    <d v="1899-12-30T19:54:18"/>
    <d v="1899-12-30T19:51:21"/>
    <d v="1899-12-30T00:02:57"/>
    <n v="2"/>
    <n v="57"/>
    <n v="2.95"/>
    <n v="177"/>
    <n v="101.69491525423729"/>
    <x v="1"/>
  </r>
  <r>
    <x v="38"/>
    <d v="1899-12-30T13:14:28"/>
    <d v="1899-12-30T13:11:30"/>
    <d v="1899-12-30T00:02:57"/>
    <n v="2"/>
    <n v="57"/>
    <n v="2.95"/>
    <n v="177"/>
    <n v="101.69491525423729"/>
    <x v="1"/>
  </r>
  <r>
    <x v="171"/>
    <d v="1899-12-30T06:59:36"/>
    <d v="1899-12-30T07:02:33"/>
    <d v="1899-12-30T00:02:57"/>
    <n v="2"/>
    <n v="57"/>
    <n v="2.95"/>
    <n v="177"/>
    <n v="101.69491525423729"/>
    <x v="1"/>
  </r>
  <r>
    <x v="172"/>
    <d v="1899-12-30T15:59:01"/>
    <d v="1899-12-30T15:56:04"/>
    <d v="1899-12-30T00:02:57"/>
    <n v="2"/>
    <n v="57"/>
    <n v="2.95"/>
    <n v="177"/>
    <n v="101.69491525423729"/>
    <x v="1"/>
  </r>
  <r>
    <x v="89"/>
    <d v="1899-12-30T16:47:20"/>
    <d v="1899-12-30T16:50:18"/>
    <d v="1899-12-30T00:02:58"/>
    <n v="2"/>
    <n v="58"/>
    <n v="2.97"/>
    <n v="178"/>
    <n v="101.12359550561798"/>
    <x v="1"/>
  </r>
  <r>
    <x v="57"/>
    <d v="1899-12-30T06:16:21"/>
    <d v="1899-12-30T06:19:19"/>
    <d v="1899-12-30T00:02:58"/>
    <n v="2"/>
    <n v="58"/>
    <n v="2.97"/>
    <n v="178"/>
    <n v="101.12359550561798"/>
    <x v="1"/>
  </r>
  <r>
    <x v="57"/>
    <d v="1899-12-30T23:21:51"/>
    <d v="1899-12-30T23:18:53"/>
    <d v="1899-12-30T00:02:58"/>
    <n v="2"/>
    <n v="58"/>
    <n v="2.97"/>
    <n v="178"/>
    <n v="101.12359550561798"/>
    <x v="1"/>
  </r>
  <r>
    <x v="173"/>
    <d v="1899-12-30T03:33:51"/>
    <d v="1899-12-30T03:30:53"/>
    <d v="1899-12-30T00:02:58"/>
    <n v="2"/>
    <n v="58"/>
    <n v="2.97"/>
    <n v="178"/>
    <n v="101.12359550561798"/>
    <x v="1"/>
  </r>
  <r>
    <x v="27"/>
    <d v="1899-12-30T03:59:51"/>
    <d v="1899-12-30T04:02:49"/>
    <d v="1899-12-30T00:02:59"/>
    <n v="2"/>
    <n v="59"/>
    <n v="2.98"/>
    <n v="179"/>
    <n v="100.55865921787711"/>
    <x v="1"/>
  </r>
  <r>
    <x v="174"/>
    <d v="1899-12-30T10:59:16"/>
    <d v="1899-12-30T10:56:17"/>
    <d v="1899-12-30T00:02:59"/>
    <n v="2"/>
    <n v="59"/>
    <n v="2.98"/>
    <n v="179"/>
    <n v="100.55865921787711"/>
    <x v="1"/>
  </r>
  <r>
    <x v="65"/>
    <d v="1899-12-30T22:04:33"/>
    <d v="1899-12-30T22:01:34"/>
    <d v="1899-12-30T00:02:59"/>
    <n v="2"/>
    <n v="59"/>
    <n v="2.98"/>
    <n v="179"/>
    <n v="100.55865921787711"/>
    <x v="1"/>
  </r>
  <r>
    <x v="175"/>
    <d v="1899-12-30T02:56:55"/>
    <d v="1899-12-30T02:53:56"/>
    <d v="1899-12-30T00:02:59"/>
    <n v="2"/>
    <n v="59"/>
    <n v="2.98"/>
    <n v="179"/>
    <n v="100.55865921787711"/>
    <x v="1"/>
  </r>
  <r>
    <x v="176"/>
    <d v="1899-12-30T13:17:07"/>
    <d v="1899-12-30T13:20:08"/>
    <d v="1899-12-30T00:03:00"/>
    <n v="3"/>
    <n v="0"/>
    <n v="3"/>
    <n v="180"/>
    <n v="100"/>
    <x v="1"/>
  </r>
  <r>
    <x v="177"/>
    <d v="1899-12-30T05:10:54"/>
    <d v="1899-12-30T05:13:54"/>
    <d v="1899-12-30T00:03:00"/>
    <n v="3"/>
    <n v="0"/>
    <n v="3"/>
    <n v="180"/>
    <n v="100"/>
    <x v="1"/>
  </r>
  <r>
    <x v="41"/>
    <d v="1899-12-30T14:45:30"/>
    <d v="1899-12-30T14:42:29"/>
    <d v="1899-12-30T00:03:00"/>
    <n v="3"/>
    <n v="0"/>
    <n v="3"/>
    <n v="180"/>
    <n v="100"/>
    <x v="1"/>
  </r>
  <r>
    <x v="178"/>
    <d v="1899-12-30T14:10:25"/>
    <d v="1899-12-30T14:07:25"/>
    <d v="1899-12-30T00:03:00"/>
    <n v="3"/>
    <n v="0"/>
    <n v="3"/>
    <n v="180"/>
    <n v="100"/>
    <x v="1"/>
  </r>
  <r>
    <x v="179"/>
    <d v="1899-12-30T14:55:45"/>
    <d v="1899-12-30T14:58:45"/>
    <d v="1899-12-30T00:03:00"/>
    <n v="3"/>
    <n v="0"/>
    <n v="3"/>
    <n v="180"/>
    <n v="100"/>
    <x v="1"/>
  </r>
  <r>
    <x v="180"/>
    <d v="1899-12-30T01:24:44"/>
    <d v="1899-12-30T01:21:44"/>
    <d v="1899-12-30T00:03:00"/>
    <n v="3"/>
    <n v="0"/>
    <n v="3"/>
    <n v="180"/>
    <n v="100"/>
    <x v="1"/>
  </r>
  <r>
    <x v="181"/>
    <d v="1899-12-30T15:33:18"/>
    <d v="1899-12-30T15:30:18"/>
    <d v="1899-12-30T00:03:00"/>
    <n v="3"/>
    <n v="0"/>
    <n v="3"/>
    <n v="180"/>
    <n v="100"/>
    <x v="1"/>
  </r>
  <r>
    <x v="182"/>
    <d v="1899-12-30T09:33:57"/>
    <d v="1899-12-30T09:36:59"/>
    <d v="1899-12-30T00:03:02"/>
    <n v="3"/>
    <n v="2"/>
    <n v="3.03"/>
    <n v="182"/>
    <n v="98.901098901098905"/>
    <x v="1"/>
  </r>
  <r>
    <x v="183"/>
    <d v="1899-12-30T02:22:15"/>
    <d v="1899-12-30T02:19:13"/>
    <d v="1899-12-30T00:03:02"/>
    <n v="3"/>
    <n v="2"/>
    <n v="3.03"/>
    <n v="182"/>
    <n v="98.901098901098905"/>
    <x v="1"/>
  </r>
  <r>
    <x v="48"/>
    <d v="1899-12-30T06:09:30"/>
    <d v="1899-12-30T06:12:33"/>
    <d v="1899-12-30T00:03:02"/>
    <n v="3"/>
    <n v="2"/>
    <n v="3.03"/>
    <n v="182"/>
    <n v="98.901098901098905"/>
    <x v="1"/>
  </r>
  <r>
    <x v="184"/>
    <d v="1899-12-30T05:17:48"/>
    <d v="1899-12-30T05:14:46"/>
    <d v="1899-12-30T00:03:02"/>
    <n v="3"/>
    <n v="2"/>
    <n v="3.03"/>
    <n v="182"/>
    <n v="98.901098901098905"/>
    <x v="1"/>
  </r>
  <r>
    <x v="185"/>
    <d v="1899-12-30T03:01:44"/>
    <d v="1899-12-30T03:04:47"/>
    <d v="1899-12-30T00:03:02"/>
    <n v="3"/>
    <n v="2"/>
    <n v="3.03"/>
    <n v="182"/>
    <n v="98.901098901098905"/>
    <x v="1"/>
  </r>
  <r>
    <x v="186"/>
    <d v="1899-12-30T18:33:43"/>
    <d v="1899-12-30T18:36:46"/>
    <d v="1899-12-30T00:03:03"/>
    <n v="3"/>
    <n v="3"/>
    <n v="3.05"/>
    <n v="183"/>
    <n v="98.360655737704917"/>
    <x v="1"/>
  </r>
  <r>
    <x v="52"/>
    <d v="1899-12-30T17:13:54"/>
    <d v="1899-12-30T17:10:50"/>
    <d v="1899-12-30T00:03:04"/>
    <n v="3"/>
    <n v="4"/>
    <n v="3.07"/>
    <n v="184"/>
    <n v="97.826086956521735"/>
    <x v="1"/>
  </r>
  <r>
    <x v="187"/>
    <d v="1899-12-30T04:39:11"/>
    <d v="1899-12-30T04:36:08"/>
    <d v="1899-12-30T00:03:04"/>
    <n v="3"/>
    <n v="4"/>
    <n v="3.07"/>
    <n v="184"/>
    <n v="97.826086956521735"/>
    <x v="1"/>
  </r>
  <r>
    <x v="188"/>
    <d v="1899-12-30T10:01:47"/>
    <d v="1899-12-30T09:58:43"/>
    <d v="1899-12-30T00:03:04"/>
    <n v="3"/>
    <n v="4"/>
    <n v="3.07"/>
    <n v="184"/>
    <n v="97.826086956521735"/>
    <x v="1"/>
  </r>
  <r>
    <x v="189"/>
    <d v="1899-12-30T07:50:20"/>
    <d v="1899-12-30T07:53:24"/>
    <d v="1899-12-30T00:03:04"/>
    <n v="3"/>
    <n v="4"/>
    <n v="3.07"/>
    <n v="184"/>
    <n v="97.826086956521735"/>
    <x v="1"/>
  </r>
  <r>
    <x v="190"/>
    <d v="1899-12-30T21:08:26"/>
    <d v="1899-12-30T21:11:30"/>
    <d v="1899-12-30T00:03:04"/>
    <n v="3"/>
    <n v="4"/>
    <n v="3.07"/>
    <n v="184"/>
    <n v="97.826086956521735"/>
    <x v="1"/>
  </r>
  <r>
    <x v="191"/>
    <d v="1899-12-30T05:00:28"/>
    <d v="1899-12-30T05:03:33"/>
    <d v="1899-12-30T00:03:05"/>
    <n v="3"/>
    <n v="5"/>
    <n v="3.08"/>
    <n v="185"/>
    <n v="97.297297297297291"/>
    <x v="1"/>
  </r>
  <r>
    <x v="27"/>
    <d v="1899-12-30T22:44:01"/>
    <d v="1899-12-30T22:47:07"/>
    <d v="1899-12-30T00:03:05"/>
    <n v="3"/>
    <n v="5"/>
    <n v="3.08"/>
    <n v="185"/>
    <n v="97.297297297297291"/>
    <x v="1"/>
  </r>
  <r>
    <x v="192"/>
    <d v="1899-12-30T16:14:35"/>
    <d v="1899-12-30T16:17:41"/>
    <d v="1899-12-30T00:03:05"/>
    <n v="3"/>
    <n v="5"/>
    <n v="3.08"/>
    <n v="185"/>
    <n v="97.297297297297291"/>
    <x v="1"/>
  </r>
  <r>
    <x v="193"/>
    <d v="1899-12-30T01:24:24"/>
    <d v="1899-12-30T01:21:19"/>
    <d v="1899-12-30T00:03:05"/>
    <n v="3"/>
    <n v="5"/>
    <n v="3.08"/>
    <n v="185"/>
    <n v="97.297297297297291"/>
    <x v="1"/>
  </r>
  <r>
    <x v="194"/>
    <d v="1899-12-30T17:55:36"/>
    <d v="1899-12-30T17:52:32"/>
    <d v="1899-12-30T00:03:05"/>
    <n v="3"/>
    <n v="5"/>
    <n v="3.08"/>
    <n v="185"/>
    <n v="97.297297297297291"/>
    <x v="1"/>
  </r>
  <r>
    <x v="195"/>
    <d v="1899-12-30T02:20:20"/>
    <d v="1899-12-30T02:23:26"/>
    <d v="1899-12-30T00:03:05"/>
    <n v="3"/>
    <n v="5"/>
    <n v="3.08"/>
    <n v="185"/>
    <n v="97.297297297297291"/>
    <x v="1"/>
  </r>
  <r>
    <x v="81"/>
    <d v="1899-12-30T23:36:34"/>
    <d v="1899-12-30T23:39:40"/>
    <d v="1899-12-30T00:03:06"/>
    <n v="3"/>
    <n v="6"/>
    <n v="3.1"/>
    <n v="186"/>
    <n v="96.774193548387103"/>
    <x v="1"/>
  </r>
  <r>
    <x v="41"/>
    <d v="1899-12-30T15:34:49"/>
    <d v="1899-12-30T15:31:43"/>
    <d v="1899-12-30T00:03:06"/>
    <n v="3"/>
    <n v="6"/>
    <n v="3.1"/>
    <n v="186"/>
    <n v="96.774193548387103"/>
    <x v="1"/>
  </r>
  <r>
    <x v="196"/>
    <d v="1899-12-30T22:42:33"/>
    <d v="1899-12-30T22:45:40"/>
    <d v="1899-12-30T00:03:06"/>
    <n v="3"/>
    <n v="6"/>
    <n v="3.1"/>
    <n v="186"/>
    <n v="96.774193548387103"/>
    <x v="1"/>
  </r>
  <r>
    <x v="58"/>
    <d v="1899-12-30T05:38:32"/>
    <d v="1899-12-30T05:35:26"/>
    <d v="1899-12-30T00:03:06"/>
    <n v="3"/>
    <n v="6"/>
    <n v="3.1"/>
    <n v="186"/>
    <n v="96.774193548387103"/>
    <x v="1"/>
  </r>
  <r>
    <x v="197"/>
    <d v="1899-12-30T00:11:51"/>
    <d v="1899-12-30T00:14:56"/>
    <d v="1899-12-30T00:03:06"/>
    <n v="3"/>
    <n v="6"/>
    <n v="3.1"/>
    <n v="186"/>
    <n v="96.774193548387103"/>
    <x v="1"/>
  </r>
  <r>
    <x v="198"/>
    <d v="1899-12-30T11:26:19"/>
    <d v="1899-12-30T11:29:25"/>
    <d v="1899-12-30T00:03:06"/>
    <n v="3"/>
    <n v="6"/>
    <n v="3.1"/>
    <n v="186"/>
    <n v="96.774193548387103"/>
    <x v="1"/>
  </r>
  <r>
    <x v="42"/>
    <d v="1899-12-30T17:39:42"/>
    <d v="1899-12-30T17:42:49"/>
    <d v="1899-12-30T00:03:07"/>
    <n v="3"/>
    <n v="7"/>
    <n v="3.12"/>
    <n v="187"/>
    <n v="96.256684491978604"/>
    <x v="1"/>
  </r>
  <r>
    <x v="104"/>
    <d v="1899-12-30T10:00:57"/>
    <d v="1899-12-30T10:04:04"/>
    <d v="1899-12-30T00:03:07"/>
    <n v="3"/>
    <n v="7"/>
    <n v="3.12"/>
    <n v="187"/>
    <n v="96.256684491978604"/>
    <x v="1"/>
  </r>
  <r>
    <x v="199"/>
    <d v="1899-12-30T21:44:15"/>
    <d v="1899-12-30T21:47:22"/>
    <d v="1899-12-30T00:03:07"/>
    <n v="3"/>
    <n v="7"/>
    <n v="3.12"/>
    <n v="187"/>
    <n v="96.256684491978604"/>
    <x v="1"/>
  </r>
  <r>
    <x v="200"/>
    <d v="1899-12-30T12:31:45"/>
    <d v="1899-12-30T12:34:52"/>
    <d v="1899-12-30T00:03:07"/>
    <n v="3"/>
    <n v="7"/>
    <n v="3.12"/>
    <n v="187"/>
    <n v="96.256684491978604"/>
    <x v="1"/>
  </r>
  <r>
    <x v="201"/>
    <d v="1899-12-30T16:28:35"/>
    <d v="1899-12-30T16:31:42"/>
    <d v="1899-12-30T00:03:07"/>
    <n v="3"/>
    <n v="7"/>
    <n v="3.12"/>
    <n v="187"/>
    <n v="96.256684491978604"/>
    <x v="1"/>
  </r>
  <r>
    <x v="14"/>
    <d v="1899-12-30T22:46:41"/>
    <d v="1899-12-30T22:43:33"/>
    <d v="1899-12-30T00:03:08"/>
    <n v="3"/>
    <n v="8"/>
    <n v="3.13"/>
    <n v="188"/>
    <n v="95.744680851063833"/>
    <x v="1"/>
  </r>
  <r>
    <x v="4"/>
    <d v="1899-12-30T07:57:32"/>
    <d v="1899-12-30T08:00:40"/>
    <d v="1899-12-30T00:03:08"/>
    <n v="3"/>
    <n v="8"/>
    <n v="3.13"/>
    <n v="188"/>
    <n v="95.744680851063833"/>
    <x v="1"/>
  </r>
  <r>
    <x v="72"/>
    <d v="1899-12-30T21:44:11"/>
    <d v="1899-12-30T21:47:19"/>
    <d v="1899-12-30T00:03:08"/>
    <n v="3"/>
    <n v="8"/>
    <n v="3.13"/>
    <n v="188"/>
    <n v="95.744680851063833"/>
    <x v="1"/>
  </r>
  <r>
    <x v="45"/>
    <d v="1899-12-30T15:47:16"/>
    <d v="1899-12-30T15:44:08"/>
    <d v="1899-12-30T00:03:08"/>
    <n v="3"/>
    <n v="8"/>
    <n v="3.13"/>
    <n v="188"/>
    <n v="95.744680851063833"/>
    <x v="1"/>
  </r>
  <r>
    <x v="4"/>
    <d v="1899-12-30T04:04:45"/>
    <d v="1899-12-30T04:07:53"/>
    <d v="1899-12-30T00:03:08"/>
    <n v="3"/>
    <n v="8"/>
    <n v="3.13"/>
    <n v="188"/>
    <n v="95.744680851063833"/>
    <x v="1"/>
  </r>
  <r>
    <x v="202"/>
    <d v="1899-12-30T12:11:31"/>
    <d v="1899-12-30T12:08:22"/>
    <d v="1899-12-30T00:03:09"/>
    <n v="3"/>
    <n v="9"/>
    <n v="3.15"/>
    <n v="189"/>
    <n v="95.238095238095241"/>
    <x v="1"/>
  </r>
  <r>
    <x v="58"/>
    <d v="1899-12-30T01:15:40"/>
    <d v="1899-12-30T01:12:31"/>
    <d v="1899-12-30T00:03:09"/>
    <n v="3"/>
    <n v="9"/>
    <n v="3.15"/>
    <n v="189"/>
    <n v="95.238095238095241"/>
    <x v="1"/>
  </r>
  <r>
    <x v="203"/>
    <d v="1899-12-30T02:24:32"/>
    <d v="1899-12-30T02:21:23"/>
    <d v="1899-12-30T00:03:09"/>
    <n v="3"/>
    <n v="9"/>
    <n v="3.15"/>
    <n v="189"/>
    <n v="95.238095238095241"/>
    <x v="1"/>
  </r>
  <r>
    <x v="115"/>
    <d v="1899-12-30T22:20:16"/>
    <d v="1899-12-30T22:17:07"/>
    <d v="1899-12-30T00:03:09"/>
    <n v="3"/>
    <n v="9"/>
    <n v="3.15"/>
    <n v="189"/>
    <n v="95.238095238095241"/>
    <x v="1"/>
  </r>
  <r>
    <x v="204"/>
    <d v="1899-12-30T12:47:02"/>
    <d v="1899-12-30T12:50:12"/>
    <d v="1899-12-30T00:03:09"/>
    <n v="3"/>
    <n v="9"/>
    <n v="3.15"/>
    <n v="189"/>
    <n v="95.238095238095241"/>
    <x v="1"/>
  </r>
  <r>
    <x v="205"/>
    <d v="1899-12-30T12:33:57"/>
    <d v="1899-12-30T12:37:06"/>
    <d v="1899-12-30T00:03:09"/>
    <n v="3"/>
    <n v="9"/>
    <n v="3.15"/>
    <n v="189"/>
    <n v="95.238095238095241"/>
    <x v="1"/>
  </r>
  <r>
    <x v="206"/>
    <d v="1899-12-30T15:25:40"/>
    <d v="1899-12-30T15:22:29"/>
    <d v="1899-12-30T00:03:10"/>
    <n v="3"/>
    <n v="10"/>
    <n v="3.17"/>
    <n v="190"/>
    <n v="94.73684210526315"/>
    <x v="1"/>
  </r>
  <r>
    <x v="207"/>
    <d v="1899-12-30T14:59:28"/>
    <d v="1899-12-30T15:02:38"/>
    <d v="1899-12-30T00:03:10"/>
    <n v="3"/>
    <n v="10"/>
    <n v="3.17"/>
    <n v="190"/>
    <n v="94.73684210526315"/>
    <x v="1"/>
  </r>
  <r>
    <x v="110"/>
    <d v="1899-12-30T22:07:01"/>
    <d v="1899-12-30T22:03:50"/>
    <d v="1899-12-30T00:03:11"/>
    <n v="3"/>
    <n v="11"/>
    <n v="3.18"/>
    <n v="191"/>
    <n v="94.240837696335092"/>
    <x v="1"/>
  </r>
  <r>
    <x v="8"/>
    <d v="1899-12-30T21:09:47"/>
    <d v="1899-12-30T21:06:36"/>
    <d v="1899-12-30T00:03:11"/>
    <n v="3"/>
    <n v="11"/>
    <n v="3.18"/>
    <n v="191"/>
    <n v="94.240837696335092"/>
    <x v="1"/>
  </r>
  <r>
    <x v="106"/>
    <d v="1899-12-30T22:33:14"/>
    <d v="1899-12-30T22:36:26"/>
    <d v="1899-12-30T00:03:11"/>
    <n v="3"/>
    <n v="11"/>
    <n v="3.18"/>
    <n v="191"/>
    <n v="94.240837696335092"/>
    <x v="1"/>
  </r>
  <r>
    <x v="27"/>
    <d v="1899-12-30T18:17:01"/>
    <d v="1899-12-30T18:13:50"/>
    <d v="1899-12-30T00:03:11"/>
    <n v="3"/>
    <n v="11"/>
    <n v="3.18"/>
    <n v="191"/>
    <n v="94.240837696335092"/>
    <x v="1"/>
  </r>
  <r>
    <x v="144"/>
    <d v="1899-12-30T17:03:49"/>
    <d v="1899-12-30T17:00:38"/>
    <d v="1899-12-30T00:03:11"/>
    <n v="3"/>
    <n v="11"/>
    <n v="3.18"/>
    <n v="191"/>
    <n v="94.240837696335092"/>
    <x v="1"/>
  </r>
  <r>
    <x v="208"/>
    <d v="1899-12-30T18:46:16"/>
    <d v="1899-12-30T18:43:05"/>
    <d v="1899-12-30T00:03:11"/>
    <n v="3"/>
    <n v="11"/>
    <n v="3.18"/>
    <n v="191"/>
    <n v="94.240837696335092"/>
    <x v="1"/>
  </r>
  <r>
    <x v="209"/>
    <d v="1899-12-30T22:46:58"/>
    <d v="1899-12-30T22:43:46"/>
    <d v="1899-12-30T00:03:12"/>
    <n v="3"/>
    <n v="12"/>
    <n v="3.2"/>
    <n v="192"/>
    <n v="93.75"/>
    <x v="1"/>
  </r>
  <r>
    <x v="193"/>
    <d v="1899-12-30T11:34:55"/>
    <d v="1899-12-30T11:31:43"/>
    <d v="1899-12-30T00:03:12"/>
    <n v="3"/>
    <n v="12"/>
    <n v="3.2"/>
    <n v="192"/>
    <n v="93.75"/>
    <x v="1"/>
  </r>
  <r>
    <x v="64"/>
    <d v="1899-12-30T07:29:55"/>
    <d v="1899-12-30T07:26:43"/>
    <d v="1899-12-30T00:03:12"/>
    <n v="3"/>
    <n v="12"/>
    <n v="3.2"/>
    <n v="192"/>
    <n v="93.75"/>
    <x v="1"/>
  </r>
  <r>
    <x v="5"/>
    <d v="1899-12-30T17:03:41"/>
    <d v="1899-12-30T17:06:53"/>
    <d v="1899-12-30T00:03:12"/>
    <n v="3"/>
    <n v="12"/>
    <n v="3.2"/>
    <n v="192"/>
    <n v="93.75"/>
    <x v="1"/>
  </r>
  <r>
    <x v="210"/>
    <d v="1899-12-30T21:43:46"/>
    <d v="1899-12-30T21:46:58"/>
    <d v="1899-12-30T00:03:12"/>
    <n v="3"/>
    <n v="12"/>
    <n v="3.2"/>
    <n v="192"/>
    <n v="93.75"/>
    <x v="1"/>
  </r>
  <r>
    <x v="57"/>
    <d v="1899-12-30T19:40:57"/>
    <d v="1899-12-30T19:44:10"/>
    <d v="1899-12-30T00:03:12"/>
    <n v="3"/>
    <n v="12"/>
    <n v="3.2"/>
    <n v="192"/>
    <n v="93.75"/>
    <x v="1"/>
  </r>
  <r>
    <x v="211"/>
    <d v="1899-12-30T07:10:25"/>
    <d v="1899-12-30T07:07:13"/>
    <d v="1899-12-30T00:03:12"/>
    <n v="3"/>
    <n v="12"/>
    <n v="3.2"/>
    <n v="192"/>
    <n v="93.75"/>
    <x v="1"/>
  </r>
  <r>
    <x v="212"/>
    <d v="1899-12-30T01:38:07"/>
    <d v="1899-12-30T01:41:19"/>
    <d v="1899-12-30T00:03:12"/>
    <n v="3"/>
    <n v="12"/>
    <n v="3.2"/>
    <n v="192"/>
    <n v="93.75"/>
    <x v="1"/>
  </r>
  <r>
    <x v="213"/>
    <d v="1899-12-30T10:58:15"/>
    <d v="1899-12-30T11:01:29"/>
    <d v="1899-12-30T00:03:13"/>
    <n v="3"/>
    <n v="13"/>
    <n v="3.22"/>
    <n v="193"/>
    <n v="93.264248704663203"/>
    <x v="1"/>
  </r>
  <r>
    <x v="214"/>
    <d v="1899-12-30T13:54:09"/>
    <d v="1899-12-30T13:57:23"/>
    <d v="1899-12-30T00:03:13"/>
    <n v="3"/>
    <n v="13"/>
    <n v="3.22"/>
    <n v="193"/>
    <n v="93.264248704663203"/>
    <x v="1"/>
  </r>
  <r>
    <x v="215"/>
    <d v="1899-12-30T00:20:28"/>
    <d v="1899-12-30T00:17:15"/>
    <d v="1899-12-30T00:03:13"/>
    <n v="3"/>
    <n v="13"/>
    <n v="3.22"/>
    <n v="193"/>
    <n v="93.264248704663203"/>
    <x v="1"/>
  </r>
  <r>
    <x v="47"/>
    <d v="1899-12-30T17:14:20"/>
    <d v="1899-12-30T17:17:34"/>
    <d v="1899-12-30T00:03:14"/>
    <n v="3"/>
    <n v="14"/>
    <n v="3.23"/>
    <n v="194"/>
    <n v="92.783505154639187"/>
    <x v="1"/>
  </r>
  <r>
    <x v="17"/>
    <d v="1899-12-30T12:14:23"/>
    <d v="1899-12-30T12:11:09"/>
    <d v="1899-12-30T00:03:14"/>
    <n v="3"/>
    <n v="14"/>
    <n v="3.23"/>
    <n v="194"/>
    <n v="92.783505154639187"/>
    <x v="1"/>
  </r>
  <r>
    <x v="29"/>
    <d v="1899-12-30T08:34:34"/>
    <d v="1899-12-30T08:31:21"/>
    <d v="1899-12-30T00:03:14"/>
    <n v="3"/>
    <n v="14"/>
    <n v="3.23"/>
    <n v="194"/>
    <n v="92.783505154639187"/>
    <x v="1"/>
  </r>
  <r>
    <x v="8"/>
    <d v="1899-12-30T17:17:22"/>
    <d v="1899-12-30T17:20:36"/>
    <d v="1899-12-30T00:03:14"/>
    <n v="3"/>
    <n v="14"/>
    <n v="3.23"/>
    <n v="194"/>
    <n v="92.783505154639187"/>
    <x v="1"/>
  </r>
  <r>
    <x v="26"/>
    <d v="1899-12-30T20:38:27"/>
    <d v="1899-12-30T20:35:13"/>
    <d v="1899-12-30T00:03:14"/>
    <n v="3"/>
    <n v="14"/>
    <n v="3.23"/>
    <n v="194"/>
    <n v="92.783505154639187"/>
    <x v="1"/>
  </r>
  <r>
    <x v="71"/>
    <d v="1899-12-30T17:37:09"/>
    <d v="1899-12-30T17:33:56"/>
    <d v="1899-12-30T00:03:14"/>
    <n v="3"/>
    <n v="14"/>
    <n v="3.23"/>
    <n v="194"/>
    <n v="92.783505154639187"/>
    <x v="1"/>
  </r>
  <r>
    <x v="35"/>
    <d v="1899-12-30T10:19:32"/>
    <d v="1899-12-30T10:22:47"/>
    <d v="1899-12-30T00:03:15"/>
    <n v="3"/>
    <n v="15"/>
    <n v="3.25"/>
    <n v="195"/>
    <n v="92.307692307692292"/>
    <x v="1"/>
  </r>
  <r>
    <x v="27"/>
    <d v="1899-12-30T17:41:05"/>
    <d v="1899-12-30T17:37:50"/>
    <d v="1899-12-30T00:03:15"/>
    <n v="3"/>
    <n v="15"/>
    <n v="3.25"/>
    <n v="195"/>
    <n v="92.307692307692292"/>
    <x v="1"/>
  </r>
  <r>
    <x v="216"/>
    <d v="1899-12-30T17:26:29"/>
    <d v="1899-12-30T17:23:14"/>
    <d v="1899-12-30T00:03:15"/>
    <n v="3"/>
    <n v="15"/>
    <n v="3.25"/>
    <n v="195"/>
    <n v="92.307692307692292"/>
    <x v="1"/>
  </r>
  <r>
    <x v="217"/>
    <d v="1899-12-30T07:43:38"/>
    <d v="1899-12-30T07:46:54"/>
    <d v="1899-12-30T00:03:16"/>
    <n v="3"/>
    <n v="16"/>
    <n v="3.27"/>
    <n v="196"/>
    <n v="91.83673469387756"/>
    <x v="1"/>
  </r>
  <r>
    <x v="55"/>
    <d v="1899-12-30T00:27:01"/>
    <d v="1899-12-30T00:30:17"/>
    <d v="1899-12-30T00:03:16"/>
    <n v="3"/>
    <n v="16"/>
    <n v="3.27"/>
    <n v="196"/>
    <n v="91.83673469387756"/>
    <x v="1"/>
  </r>
  <r>
    <x v="48"/>
    <d v="1899-12-30T02:05:55"/>
    <d v="1899-12-30T02:02:40"/>
    <d v="1899-12-30T00:03:16"/>
    <n v="3"/>
    <n v="16"/>
    <n v="3.27"/>
    <n v="196"/>
    <n v="91.83673469387756"/>
    <x v="1"/>
  </r>
  <r>
    <x v="71"/>
    <d v="1899-12-30T19:16:04"/>
    <d v="1899-12-30T19:19:20"/>
    <d v="1899-12-30T00:03:16"/>
    <n v="3"/>
    <n v="16"/>
    <n v="3.27"/>
    <n v="196"/>
    <n v="91.83673469387756"/>
    <x v="1"/>
  </r>
  <r>
    <x v="110"/>
    <d v="1899-12-30T20:41:36"/>
    <d v="1899-12-30T20:38:20"/>
    <d v="1899-12-30T00:03:16"/>
    <n v="3"/>
    <n v="16"/>
    <n v="3.27"/>
    <n v="196"/>
    <n v="91.83673469387756"/>
    <x v="1"/>
  </r>
  <r>
    <x v="162"/>
    <d v="1899-12-30T17:50:45"/>
    <d v="1899-12-30T17:54:01"/>
    <d v="1899-12-30T00:03:16"/>
    <n v="3"/>
    <n v="16"/>
    <n v="3.27"/>
    <n v="196"/>
    <n v="91.83673469387756"/>
    <x v="1"/>
  </r>
  <r>
    <x v="218"/>
    <d v="1899-12-30T16:37:29"/>
    <d v="1899-12-30T16:34:14"/>
    <d v="1899-12-30T00:03:16"/>
    <n v="3"/>
    <n v="16"/>
    <n v="3.27"/>
    <n v="196"/>
    <n v="91.83673469387756"/>
    <x v="1"/>
  </r>
  <r>
    <x v="113"/>
    <d v="1899-12-30T16:23:33"/>
    <d v="1899-12-30T16:20:17"/>
    <d v="1899-12-30T00:03:16"/>
    <n v="3"/>
    <n v="16"/>
    <n v="3.27"/>
    <n v="196"/>
    <n v="91.83673469387756"/>
    <x v="1"/>
  </r>
  <r>
    <x v="0"/>
    <d v="1899-12-30T02:26:25"/>
    <d v="1899-12-30T02:23:09"/>
    <d v="1899-12-30T00:03:16"/>
    <n v="3"/>
    <n v="16"/>
    <n v="3.27"/>
    <n v="196"/>
    <n v="91.83673469387756"/>
    <x v="1"/>
  </r>
  <r>
    <x v="219"/>
    <d v="1899-12-30T00:52:57"/>
    <d v="1899-12-30T00:49:42"/>
    <d v="1899-12-30T00:03:16"/>
    <n v="3"/>
    <n v="16"/>
    <n v="3.27"/>
    <n v="196"/>
    <n v="91.83673469387756"/>
    <x v="1"/>
  </r>
  <r>
    <x v="76"/>
    <d v="1899-12-30T08:19:00"/>
    <d v="1899-12-30T08:22:18"/>
    <d v="1899-12-30T00:03:17"/>
    <n v="3"/>
    <n v="17"/>
    <n v="3.28"/>
    <n v="197"/>
    <n v="91.370558375634516"/>
    <x v="1"/>
  </r>
  <r>
    <x v="52"/>
    <d v="1899-12-30T00:32:27"/>
    <d v="1899-12-30T00:29:10"/>
    <d v="1899-12-30T00:03:17"/>
    <n v="3"/>
    <n v="17"/>
    <n v="3.28"/>
    <n v="197"/>
    <n v="91.370558375634516"/>
    <x v="1"/>
  </r>
  <r>
    <x v="57"/>
    <d v="1899-12-30T05:16:14"/>
    <d v="1899-12-30T05:12:57"/>
    <d v="1899-12-30T00:03:17"/>
    <n v="3"/>
    <n v="17"/>
    <n v="3.28"/>
    <n v="197"/>
    <n v="91.370558375634516"/>
    <x v="1"/>
  </r>
  <r>
    <x v="77"/>
    <d v="1899-12-30T15:51:18"/>
    <d v="1899-12-30T15:48:01"/>
    <d v="1899-12-30T00:03:17"/>
    <n v="3"/>
    <n v="17"/>
    <n v="3.28"/>
    <n v="197"/>
    <n v="91.370558375634516"/>
    <x v="1"/>
  </r>
  <r>
    <x v="149"/>
    <d v="1899-12-30T07:30:23"/>
    <d v="1899-12-30T07:33:40"/>
    <d v="1899-12-30T00:03:17"/>
    <n v="3"/>
    <n v="17"/>
    <n v="3.28"/>
    <n v="197"/>
    <n v="91.370558375634516"/>
    <x v="1"/>
  </r>
  <r>
    <x v="39"/>
    <d v="1899-12-30T23:52:22"/>
    <d v="1899-12-30T23:55:39"/>
    <d v="1899-12-30T00:03:17"/>
    <n v="3"/>
    <n v="17"/>
    <n v="3.28"/>
    <n v="197"/>
    <n v="91.370558375634516"/>
    <x v="1"/>
  </r>
  <r>
    <x v="64"/>
    <d v="1899-12-30T14:17:39"/>
    <d v="1899-12-30T14:20:56"/>
    <d v="1899-12-30T00:03:17"/>
    <n v="3"/>
    <n v="17"/>
    <n v="3.28"/>
    <n v="197"/>
    <n v="91.370558375634516"/>
    <x v="1"/>
  </r>
  <r>
    <x v="35"/>
    <d v="1899-12-30T20:22:29"/>
    <d v="1899-12-30T20:19:12"/>
    <d v="1899-12-30T00:03:17"/>
    <n v="3"/>
    <n v="17"/>
    <n v="3.28"/>
    <n v="197"/>
    <n v="91.370558375634516"/>
    <x v="1"/>
  </r>
  <r>
    <x v="220"/>
    <d v="1899-12-30T12:59:22"/>
    <d v="1899-12-30T13:02:39"/>
    <d v="1899-12-30T00:03:17"/>
    <n v="3"/>
    <n v="17"/>
    <n v="3.28"/>
    <n v="197"/>
    <n v="91.370558375634516"/>
    <x v="1"/>
  </r>
  <r>
    <x v="62"/>
    <d v="1899-12-30T03:04:12"/>
    <d v="1899-12-30T03:00:53"/>
    <d v="1899-12-30T00:03:18"/>
    <n v="3"/>
    <n v="18"/>
    <n v="3.3"/>
    <n v="198"/>
    <n v="90.909090909090921"/>
    <x v="1"/>
  </r>
  <r>
    <x v="221"/>
    <d v="1899-12-30T04:53:57"/>
    <d v="1899-12-30T04:50:39"/>
    <d v="1899-12-30T00:03:18"/>
    <n v="3"/>
    <n v="18"/>
    <n v="3.3"/>
    <n v="198"/>
    <n v="90.909090909090921"/>
    <x v="1"/>
  </r>
  <r>
    <x v="68"/>
    <d v="1899-12-30T13:40:39"/>
    <d v="1899-12-30T13:43:58"/>
    <d v="1899-12-30T00:03:18"/>
    <n v="3"/>
    <n v="18"/>
    <n v="3.3"/>
    <n v="198"/>
    <n v="90.909090909090921"/>
    <x v="1"/>
  </r>
  <r>
    <x v="222"/>
    <d v="1899-12-30T19:24:22"/>
    <d v="1899-12-30T19:21:04"/>
    <d v="1899-12-30T00:03:18"/>
    <n v="3"/>
    <n v="18"/>
    <n v="3.3"/>
    <n v="198"/>
    <n v="90.909090909090921"/>
    <x v="1"/>
  </r>
  <r>
    <x v="223"/>
    <d v="1899-12-30T13:06:53"/>
    <d v="1899-12-30T13:03:35"/>
    <d v="1899-12-30T00:03:18"/>
    <n v="3"/>
    <n v="18"/>
    <n v="3.3"/>
    <n v="198"/>
    <n v="90.909090909090921"/>
    <x v="1"/>
  </r>
  <r>
    <x v="56"/>
    <d v="1899-12-30T23:00:14"/>
    <d v="1899-12-30T23:03:33"/>
    <d v="1899-12-30T00:03:19"/>
    <n v="3"/>
    <n v="19"/>
    <n v="3.32"/>
    <n v="199"/>
    <n v="90.452261306532648"/>
    <x v="1"/>
  </r>
  <r>
    <x v="224"/>
    <d v="1899-12-30T09:51:17"/>
    <d v="1899-12-30T09:54:35"/>
    <d v="1899-12-30T00:03:19"/>
    <n v="3"/>
    <n v="19"/>
    <n v="3.32"/>
    <n v="199"/>
    <n v="90.452261306532648"/>
    <x v="1"/>
  </r>
  <r>
    <x v="154"/>
    <d v="1899-12-30T08:47:54"/>
    <d v="1899-12-30T08:51:13"/>
    <d v="1899-12-30T00:03:19"/>
    <n v="3"/>
    <n v="19"/>
    <n v="3.32"/>
    <n v="199"/>
    <n v="90.452261306532648"/>
    <x v="1"/>
  </r>
  <r>
    <x v="167"/>
    <d v="1899-12-30T08:14:47"/>
    <d v="1899-12-30T08:18:07"/>
    <d v="1899-12-30T00:03:19"/>
    <n v="3"/>
    <n v="19"/>
    <n v="3.32"/>
    <n v="199"/>
    <n v="90.452261306532648"/>
    <x v="1"/>
  </r>
  <r>
    <x v="57"/>
    <d v="1899-12-30T13:44:42"/>
    <d v="1899-12-30T13:48:01"/>
    <d v="1899-12-30T00:03:19"/>
    <n v="3"/>
    <n v="19"/>
    <n v="3.32"/>
    <n v="199"/>
    <n v="90.452261306532648"/>
    <x v="1"/>
  </r>
  <r>
    <x v="225"/>
    <d v="1899-12-30T08:16:17"/>
    <d v="1899-12-30T08:19:36"/>
    <d v="1899-12-30T00:03:19"/>
    <n v="3"/>
    <n v="19"/>
    <n v="3.32"/>
    <n v="199"/>
    <n v="90.452261306532648"/>
    <x v="1"/>
  </r>
  <r>
    <x v="226"/>
    <d v="1899-12-30T10:47:21"/>
    <d v="1899-12-30T10:44:01"/>
    <d v="1899-12-30T00:03:20"/>
    <n v="3"/>
    <n v="20"/>
    <n v="3.33"/>
    <n v="200"/>
    <n v="90"/>
    <x v="1"/>
  </r>
  <r>
    <x v="15"/>
    <d v="1899-12-30T22:05:41"/>
    <d v="1899-12-30T22:09:01"/>
    <d v="1899-12-30T00:03:20"/>
    <n v="3"/>
    <n v="20"/>
    <n v="3.33"/>
    <n v="200"/>
    <n v="90"/>
    <x v="1"/>
  </r>
  <r>
    <x v="227"/>
    <d v="1899-12-30T17:44:09"/>
    <d v="1899-12-30T17:47:29"/>
    <d v="1899-12-30T00:03:20"/>
    <n v="3"/>
    <n v="20"/>
    <n v="3.33"/>
    <n v="200"/>
    <n v="90"/>
    <x v="1"/>
  </r>
  <r>
    <x v="35"/>
    <d v="1899-12-30T06:35:49"/>
    <d v="1899-12-30T06:39:10"/>
    <d v="1899-12-30T00:03:21"/>
    <n v="3"/>
    <n v="21"/>
    <n v="3.35"/>
    <n v="201"/>
    <n v="89.552238805970148"/>
    <x v="1"/>
  </r>
  <r>
    <x v="98"/>
    <d v="1899-12-30T15:18:51"/>
    <d v="1899-12-30T15:15:30"/>
    <d v="1899-12-30T00:03:21"/>
    <n v="3"/>
    <n v="21"/>
    <n v="3.35"/>
    <n v="201"/>
    <n v="89.552238805970148"/>
    <x v="1"/>
  </r>
  <r>
    <x v="228"/>
    <d v="1899-12-30T12:37:18"/>
    <d v="1899-12-30T12:40:39"/>
    <d v="1899-12-30T00:03:21"/>
    <n v="3"/>
    <n v="21"/>
    <n v="3.35"/>
    <n v="201"/>
    <n v="89.552238805970148"/>
    <x v="1"/>
  </r>
  <r>
    <x v="35"/>
    <d v="1899-12-30T17:30:40"/>
    <d v="1899-12-30T17:27:18"/>
    <d v="1899-12-30T00:03:21"/>
    <n v="3"/>
    <n v="21"/>
    <n v="3.35"/>
    <n v="201"/>
    <n v="89.552238805970148"/>
    <x v="1"/>
  </r>
  <r>
    <x v="229"/>
    <d v="1899-12-30T00:57:02"/>
    <d v="1899-12-30T00:53:40"/>
    <d v="1899-12-30T00:03:21"/>
    <n v="3"/>
    <n v="21"/>
    <n v="3.35"/>
    <n v="201"/>
    <n v="89.552238805970148"/>
    <x v="1"/>
  </r>
  <r>
    <x v="17"/>
    <d v="1899-12-30T01:54:09"/>
    <d v="1899-12-30T01:57:30"/>
    <d v="1899-12-30T00:03:21"/>
    <n v="3"/>
    <n v="21"/>
    <n v="3.35"/>
    <n v="201"/>
    <n v="89.552238805970148"/>
    <x v="1"/>
  </r>
  <r>
    <x v="230"/>
    <d v="1899-12-30T01:14:29"/>
    <d v="1899-12-30T01:17:50"/>
    <d v="1899-12-30T00:03:21"/>
    <n v="3"/>
    <n v="21"/>
    <n v="3.35"/>
    <n v="201"/>
    <n v="89.552238805970148"/>
    <x v="1"/>
  </r>
  <r>
    <x v="231"/>
    <d v="1899-12-30T11:40:12"/>
    <d v="1899-12-30T11:43:33"/>
    <d v="1899-12-30T00:03:21"/>
    <n v="3"/>
    <n v="21"/>
    <n v="3.35"/>
    <n v="201"/>
    <n v="89.552238805970148"/>
    <x v="1"/>
  </r>
  <r>
    <x v="232"/>
    <d v="1899-12-30T06:42:42"/>
    <d v="1899-12-30T06:46:04"/>
    <d v="1899-12-30T00:03:22"/>
    <n v="3"/>
    <n v="22"/>
    <n v="3.37"/>
    <n v="202"/>
    <n v="89.108910891089124"/>
    <x v="1"/>
  </r>
  <r>
    <x v="35"/>
    <d v="1899-12-30T06:46:51"/>
    <d v="1899-12-30T06:50:14"/>
    <d v="1899-12-30T00:03:23"/>
    <n v="3"/>
    <n v="23"/>
    <n v="3.38"/>
    <n v="203"/>
    <n v="88.66995073891627"/>
    <x v="1"/>
  </r>
  <r>
    <x v="233"/>
    <d v="1899-12-30T12:29:05"/>
    <d v="1899-12-30T12:32:28"/>
    <d v="1899-12-30T00:03:23"/>
    <n v="3"/>
    <n v="23"/>
    <n v="3.38"/>
    <n v="203"/>
    <n v="88.66995073891627"/>
    <x v="1"/>
  </r>
  <r>
    <x v="18"/>
    <d v="1899-12-30T09:52:44"/>
    <d v="1899-12-30T09:49:21"/>
    <d v="1899-12-30T00:03:23"/>
    <n v="3"/>
    <n v="23"/>
    <n v="3.38"/>
    <n v="203"/>
    <n v="88.66995073891627"/>
    <x v="1"/>
  </r>
  <r>
    <x v="116"/>
    <d v="1899-12-30T00:38:45"/>
    <d v="1899-12-30T00:42:08"/>
    <d v="1899-12-30T00:03:23"/>
    <n v="3"/>
    <n v="23"/>
    <n v="3.38"/>
    <n v="203"/>
    <n v="88.66995073891627"/>
    <x v="1"/>
  </r>
  <r>
    <x v="55"/>
    <d v="1899-12-30T09:48:47"/>
    <d v="1899-12-30T09:45:24"/>
    <d v="1899-12-30T00:03:23"/>
    <n v="3"/>
    <n v="23"/>
    <n v="3.38"/>
    <n v="203"/>
    <n v="88.66995073891627"/>
    <x v="1"/>
  </r>
  <r>
    <x v="139"/>
    <d v="1899-12-30T22:09:11"/>
    <d v="1899-12-30T22:05:46"/>
    <d v="1899-12-30T00:03:24"/>
    <n v="3"/>
    <n v="24"/>
    <n v="3.4"/>
    <n v="204"/>
    <n v="88.235294117647072"/>
    <x v="1"/>
  </r>
  <r>
    <x v="106"/>
    <d v="1899-12-30T17:33:29"/>
    <d v="1899-12-30T17:30:04"/>
    <d v="1899-12-30T00:03:25"/>
    <n v="3"/>
    <n v="25"/>
    <n v="3.42"/>
    <n v="205"/>
    <n v="87.804878048780495"/>
    <x v="1"/>
  </r>
  <r>
    <x v="233"/>
    <d v="1899-12-30T01:22:02"/>
    <d v="1899-12-30T01:18:37"/>
    <d v="1899-12-30T00:03:25"/>
    <n v="3"/>
    <n v="25"/>
    <n v="3.42"/>
    <n v="205"/>
    <n v="87.804878048780495"/>
    <x v="1"/>
  </r>
  <r>
    <x v="58"/>
    <d v="1899-12-30T02:44:42"/>
    <d v="1899-12-30T02:48:07"/>
    <d v="1899-12-30T00:03:25"/>
    <n v="3"/>
    <n v="25"/>
    <n v="3.42"/>
    <n v="205"/>
    <n v="87.804878048780495"/>
    <x v="1"/>
  </r>
  <r>
    <x v="234"/>
    <d v="1899-12-30T01:49:09"/>
    <d v="1899-12-30T01:52:34"/>
    <d v="1899-12-30T00:03:26"/>
    <n v="3"/>
    <n v="26"/>
    <n v="3.43"/>
    <n v="206"/>
    <n v="87.378640776699029"/>
    <x v="1"/>
  </r>
  <r>
    <x v="159"/>
    <d v="1899-12-30T13:55:51"/>
    <d v="1899-12-30T13:59:16"/>
    <d v="1899-12-30T00:03:26"/>
    <n v="3"/>
    <n v="26"/>
    <n v="3.43"/>
    <n v="206"/>
    <n v="87.378640776699029"/>
    <x v="1"/>
  </r>
  <r>
    <x v="120"/>
    <d v="1899-12-30T22:50:30"/>
    <d v="1899-12-30T22:47:05"/>
    <d v="1899-12-30T00:03:26"/>
    <n v="3"/>
    <n v="26"/>
    <n v="3.43"/>
    <n v="206"/>
    <n v="87.378640776699029"/>
    <x v="1"/>
  </r>
  <r>
    <x v="17"/>
    <d v="1899-12-30T13:33:03"/>
    <d v="1899-12-30T13:29:38"/>
    <d v="1899-12-30T00:03:26"/>
    <n v="3"/>
    <n v="26"/>
    <n v="3.43"/>
    <n v="206"/>
    <n v="87.378640776699029"/>
    <x v="1"/>
  </r>
  <r>
    <x v="235"/>
    <d v="1899-12-30T18:59:06"/>
    <d v="1899-12-30T18:55:40"/>
    <d v="1899-12-30T00:03:26"/>
    <n v="3"/>
    <n v="26"/>
    <n v="3.43"/>
    <n v="206"/>
    <n v="87.378640776699029"/>
    <x v="1"/>
  </r>
  <r>
    <x v="236"/>
    <d v="1899-12-30T05:09:05"/>
    <d v="1899-12-30T05:12:31"/>
    <d v="1899-12-30T00:03:26"/>
    <n v="3"/>
    <n v="26"/>
    <n v="3.43"/>
    <n v="206"/>
    <n v="87.378640776699029"/>
    <x v="1"/>
  </r>
  <r>
    <x v="237"/>
    <d v="1899-12-30T17:22:42"/>
    <d v="1899-12-30T17:26:09"/>
    <d v="1899-12-30T00:03:27"/>
    <n v="3"/>
    <n v="27"/>
    <n v="3.45"/>
    <n v="207"/>
    <n v="86.956521739130437"/>
    <x v="1"/>
  </r>
  <r>
    <x v="238"/>
    <d v="1899-12-30T07:29:26"/>
    <d v="1899-12-30T07:32:53"/>
    <d v="1899-12-30T00:03:27"/>
    <n v="3"/>
    <n v="27"/>
    <n v="3.45"/>
    <n v="207"/>
    <n v="86.956521739130437"/>
    <x v="1"/>
  </r>
  <r>
    <x v="239"/>
    <d v="1899-12-30T19:25:45"/>
    <d v="1899-12-30T19:29:12"/>
    <d v="1899-12-30T00:03:27"/>
    <n v="3"/>
    <n v="27"/>
    <n v="3.45"/>
    <n v="207"/>
    <n v="86.956521739130437"/>
    <x v="1"/>
  </r>
  <r>
    <x v="192"/>
    <d v="1899-12-30T21:33:15"/>
    <d v="1899-12-30T21:36:43"/>
    <d v="1899-12-30T00:03:28"/>
    <n v="3"/>
    <n v="28"/>
    <n v="3.47"/>
    <n v="208"/>
    <n v="86.538461538461533"/>
    <x v="1"/>
  </r>
  <r>
    <x v="240"/>
    <d v="1899-12-30T14:54:18"/>
    <d v="1899-12-30T14:57:46"/>
    <d v="1899-12-30T00:03:28"/>
    <n v="3"/>
    <n v="28"/>
    <n v="3.47"/>
    <n v="208"/>
    <n v="86.538461538461533"/>
    <x v="1"/>
  </r>
  <r>
    <x v="39"/>
    <d v="1899-12-30T20:28:20"/>
    <d v="1899-12-30T20:24:52"/>
    <d v="1899-12-30T00:03:28"/>
    <n v="3"/>
    <n v="28"/>
    <n v="3.47"/>
    <n v="208"/>
    <n v="86.538461538461533"/>
    <x v="1"/>
  </r>
  <r>
    <x v="65"/>
    <d v="1899-12-30T01:36:09"/>
    <d v="1899-12-30T01:39:37"/>
    <d v="1899-12-30T00:03:28"/>
    <n v="3"/>
    <n v="28"/>
    <n v="3.47"/>
    <n v="208"/>
    <n v="86.538461538461533"/>
    <x v="1"/>
  </r>
  <r>
    <x v="35"/>
    <d v="1899-12-30T22:56:15"/>
    <d v="1899-12-30T22:52:47"/>
    <d v="1899-12-30T00:03:28"/>
    <n v="3"/>
    <n v="28"/>
    <n v="3.47"/>
    <n v="208"/>
    <n v="86.538461538461533"/>
    <x v="1"/>
  </r>
  <r>
    <x v="0"/>
    <d v="1899-12-30T18:45:43"/>
    <d v="1899-12-30T18:49:12"/>
    <d v="1899-12-30T00:03:29"/>
    <n v="3"/>
    <n v="29"/>
    <n v="3.48"/>
    <n v="209"/>
    <n v="86.124401913875602"/>
    <x v="1"/>
  </r>
  <r>
    <x v="241"/>
    <d v="1899-12-30T23:04:48"/>
    <d v="1899-12-30T23:01:19"/>
    <d v="1899-12-30T00:03:29"/>
    <n v="3"/>
    <n v="29"/>
    <n v="3.48"/>
    <n v="209"/>
    <n v="86.124401913875602"/>
    <x v="1"/>
  </r>
  <r>
    <x v="242"/>
    <d v="1899-12-30T14:10:49"/>
    <d v="1899-12-30T14:14:18"/>
    <d v="1899-12-30T00:03:29"/>
    <n v="3"/>
    <n v="29"/>
    <n v="3.48"/>
    <n v="209"/>
    <n v="86.124401913875602"/>
    <x v="1"/>
  </r>
  <r>
    <x v="243"/>
    <d v="1899-12-30T22:36:01"/>
    <d v="1899-12-30T22:39:32"/>
    <d v="1899-12-30T00:03:30"/>
    <n v="3"/>
    <n v="30"/>
    <n v="3.5"/>
    <n v="210"/>
    <n v="85.714285714285708"/>
    <x v="1"/>
  </r>
  <r>
    <x v="71"/>
    <d v="1899-12-30T10:19:38"/>
    <d v="1899-12-30T10:23:08"/>
    <d v="1899-12-30T00:03:30"/>
    <n v="3"/>
    <n v="30"/>
    <n v="3.5"/>
    <n v="210"/>
    <n v="85.714285714285708"/>
    <x v="1"/>
  </r>
  <r>
    <x v="42"/>
    <d v="1899-12-30T10:34:39"/>
    <d v="1899-12-30T10:31:09"/>
    <d v="1899-12-30T00:03:30"/>
    <n v="3"/>
    <n v="30"/>
    <n v="3.5"/>
    <n v="210"/>
    <n v="85.714285714285708"/>
    <x v="1"/>
  </r>
  <r>
    <x v="244"/>
    <d v="1899-12-30T09:55:55"/>
    <d v="1899-12-30T09:59:25"/>
    <d v="1899-12-30T00:03:30"/>
    <n v="3"/>
    <n v="30"/>
    <n v="3.5"/>
    <n v="210"/>
    <n v="85.714285714285708"/>
    <x v="1"/>
  </r>
  <r>
    <x v="245"/>
    <d v="1899-12-30T14:02:09"/>
    <d v="1899-12-30T14:05:39"/>
    <d v="1899-12-30T00:03:30"/>
    <n v="3"/>
    <n v="30"/>
    <n v="3.5"/>
    <n v="210"/>
    <n v="85.714285714285708"/>
    <x v="1"/>
  </r>
  <r>
    <x v="14"/>
    <d v="1899-12-30T03:02:17"/>
    <d v="1899-12-30T03:05:48"/>
    <d v="1899-12-30T00:03:31"/>
    <n v="3"/>
    <n v="31"/>
    <n v="3.52"/>
    <n v="211"/>
    <n v="85.308056872037923"/>
    <x v="1"/>
  </r>
  <r>
    <x v="58"/>
    <d v="1899-12-30T18:48:28"/>
    <d v="1899-12-30T18:51:59"/>
    <d v="1899-12-30T00:03:31"/>
    <n v="3"/>
    <n v="31"/>
    <n v="3.52"/>
    <n v="211"/>
    <n v="85.308056872037923"/>
    <x v="1"/>
  </r>
  <r>
    <x v="64"/>
    <d v="1899-12-30T02:10:42"/>
    <d v="1899-12-30T02:14:14"/>
    <d v="1899-12-30T00:03:31"/>
    <n v="3"/>
    <n v="31"/>
    <n v="3.52"/>
    <n v="211"/>
    <n v="85.308056872037923"/>
    <x v="1"/>
  </r>
  <r>
    <x v="71"/>
    <d v="1899-12-30T05:53:00"/>
    <d v="1899-12-30T05:49:30"/>
    <d v="1899-12-30T00:03:31"/>
    <n v="3"/>
    <n v="31"/>
    <n v="3.52"/>
    <n v="211"/>
    <n v="85.308056872037923"/>
    <x v="1"/>
  </r>
  <r>
    <x v="246"/>
    <d v="1899-12-30T16:01:27"/>
    <d v="1899-12-30T16:04:58"/>
    <d v="1899-12-30T00:03:31"/>
    <n v="3"/>
    <n v="31"/>
    <n v="3.52"/>
    <n v="211"/>
    <n v="85.308056872037923"/>
    <x v="1"/>
  </r>
  <r>
    <x v="150"/>
    <d v="1899-12-30T21:34:21"/>
    <d v="1899-12-30T21:37:52"/>
    <d v="1899-12-30T00:03:32"/>
    <n v="3"/>
    <n v="32"/>
    <n v="3.53"/>
    <n v="212"/>
    <n v="84.905660377358487"/>
    <x v="1"/>
  </r>
  <r>
    <x v="143"/>
    <d v="1899-12-30T14:51:17"/>
    <d v="1899-12-30T14:47:45"/>
    <d v="1899-12-30T00:03:32"/>
    <n v="3"/>
    <n v="32"/>
    <n v="3.53"/>
    <n v="212"/>
    <n v="84.905660377358487"/>
    <x v="1"/>
  </r>
  <r>
    <x v="56"/>
    <d v="1899-12-30T01:53:13"/>
    <d v="1899-12-30T01:49:41"/>
    <d v="1899-12-30T00:03:32"/>
    <n v="3"/>
    <n v="32"/>
    <n v="3.53"/>
    <n v="212"/>
    <n v="84.905660377358487"/>
    <x v="1"/>
  </r>
  <r>
    <x v="4"/>
    <d v="1899-12-30T09:36:27"/>
    <d v="1899-12-30T09:39:58"/>
    <d v="1899-12-30T00:03:32"/>
    <n v="3"/>
    <n v="32"/>
    <n v="3.53"/>
    <n v="212"/>
    <n v="84.905660377358487"/>
    <x v="1"/>
  </r>
  <r>
    <x v="28"/>
    <d v="1899-12-30T10:41:14"/>
    <d v="1899-12-30T10:44:47"/>
    <d v="1899-12-30T00:03:33"/>
    <n v="3"/>
    <n v="33"/>
    <n v="3.55"/>
    <n v="213"/>
    <n v="84.507042253521121"/>
    <x v="1"/>
  </r>
  <r>
    <x v="57"/>
    <d v="1899-12-30T02:09:26"/>
    <d v="1899-12-30T02:12:59"/>
    <d v="1899-12-30T00:03:33"/>
    <n v="3"/>
    <n v="33"/>
    <n v="3.55"/>
    <n v="213"/>
    <n v="84.507042253521121"/>
    <x v="1"/>
  </r>
  <r>
    <x v="58"/>
    <d v="1899-12-30T17:51:43"/>
    <d v="1899-12-30T17:55:16"/>
    <d v="1899-12-30T00:03:33"/>
    <n v="3"/>
    <n v="33"/>
    <n v="3.55"/>
    <n v="213"/>
    <n v="84.507042253521121"/>
    <x v="1"/>
  </r>
  <r>
    <x v="51"/>
    <d v="1899-12-30T08:45:18"/>
    <d v="1899-12-30T08:48:51"/>
    <d v="1899-12-30T00:03:33"/>
    <n v="3"/>
    <n v="33"/>
    <n v="3.55"/>
    <n v="213"/>
    <n v="84.507042253521121"/>
    <x v="1"/>
  </r>
  <r>
    <x v="247"/>
    <d v="1899-12-30T21:20:13"/>
    <d v="1899-12-30T21:16:41"/>
    <d v="1899-12-30T00:03:33"/>
    <n v="3"/>
    <n v="33"/>
    <n v="3.55"/>
    <n v="213"/>
    <n v="84.507042253521121"/>
    <x v="1"/>
  </r>
  <r>
    <x v="248"/>
    <d v="1899-12-30T01:21:20"/>
    <d v="1899-12-30T01:24:53"/>
    <d v="1899-12-30T00:03:33"/>
    <n v="3"/>
    <n v="33"/>
    <n v="3.55"/>
    <n v="213"/>
    <n v="84.507042253521121"/>
    <x v="1"/>
  </r>
  <r>
    <x v="58"/>
    <d v="1899-12-30T17:36:28"/>
    <d v="1899-12-30T17:32:54"/>
    <d v="1899-12-30T00:03:34"/>
    <n v="3"/>
    <n v="34"/>
    <n v="3.57"/>
    <n v="214"/>
    <n v="84.112149532710276"/>
    <x v="1"/>
  </r>
  <r>
    <x v="249"/>
    <d v="1899-12-30T11:46:25"/>
    <d v="1899-12-30T11:49:59"/>
    <d v="1899-12-30T00:03:34"/>
    <n v="3"/>
    <n v="34"/>
    <n v="3.57"/>
    <n v="214"/>
    <n v="84.112149532710276"/>
    <x v="1"/>
  </r>
  <r>
    <x v="250"/>
    <d v="1899-12-30T10:50:27"/>
    <d v="1899-12-30T10:54:00"/>
    <d v="1899-12-30T00:03:34"/>
    <n v="3"/>
    <n v="34"/>
    <n v="3.57"/>
    <n v="214"/>
    <n v="84.112149532710276"/>
    <x v="1"/>
  </r>
  <r>
    <x v="251"/>
    <d v="1899-12-30T02:05:56"/>
    <d v="1899-12-30T02:09:30"/>
    <d v="1899-12-30T00:03:34"/>
    <n v="3"/>
    <n v="34"/>
    <n v="3.57"/>
    <n v="214"/>
    <n v="84.112149532710276"/>
    <x v="1"/>
  </r>
  <r>
    <x v="238"/>
    <d v="1899-12-30T18:49:47"/>
    <d v="1899-12-30T18:53:22"/>
    <d v="1899-12-30T00:03:35"/>
    <n v="3"/>
    <n v="35"/>
    <n v="3.58"/>
    <n v="215"/>
    <n v="83.720930232558146"/>
    <x v="1"/>
  </r>
  <r>
    <x v="252"/>
    <d v="1899-12-30T22:32:33"/>
    <d v="1899-12-30T22:36:07"/>
    <d v="1899-12-30T00:03:35"/>
    <n v="3"/>
    <n v="35"/>
    <n v="3.58"/>
    <n v="215"/>
    <n v="83.720930232558146"/>
    <x v="1"/>
  </r>
  <r>
    <x v="139"/>
    <d v="1899-12-30T14:11:32"/>
    <d v="1899-12-30T14:15:07"/>
    <d v="1899-12-30T00:03:36"/>
    <n v="3"/>
    <n v="36"/>
    <n v="3.6"/>
    <n v="216"/>
    <n v="83.333333333333343"/>
    <x v="1"/>
  </r>
  <r>
    <x v="82"/>
    <d v="1899-12-30T13:32:36"/>
    <d v="1899-12-30T13:29:00"/>
    <d v="1899-12-30T00:03:36"/>
    <n v="3"/>
    <n v="36"/>
    <n v="3.6"/>
    <n v="216"/>
    <n v="83.333333333333343"/>
    <x v="1"/>
  </r>
  <r>
    <x v="99"/>
    <d v="1899-12-30T03:07:15"/>
    <d v="1899-12-30T03:10:50"/>
    <d v="1899-12-30T00:03:36"/>
    <n v="3"/>
    <n v="36"/>
    <n v="3.6"/>
    <n v="216"/>
    <n v="83.333333333333343"/>
    <x v="1"/>
  </r>
  <r>
    <x v="58"/>
    <d v="1899-12-30T04:47:10"/>
    <d v="1899-12-30T04:50:46"/>
    <d v="1899-12-30T00:03:36"/>
    <n v="3"/>
    <n v="36"/>
    <n v="3.6"/>
    <n v="216"/>
    <n v="83.333333333333343"/>
    <x v="1"/>
  </r>
  <r>
    <x v="120"/>
    <d v="1899-12-30T19:54:22"/>
    <d v="1899-12-30T19:50:45"/>
    <d v="1899-12-30T00:03:36"/>
    <n v="3"/>
    <n v="36"/>
    <n v="3.6"/>
    <n v="216"/>
    <n v="83.333333333333343"/>
    <x v="1"/>
  </r>
  <r>
    <x v="253"/>
    <d v="1899-12-30T20:12:21"/>
    <d v="1899-12-30T20:15:58"/>
    <d v="1899-12-30T00:03:36"/>
    <n v="3"/>
    <n v="36"/>
    <n v="3.6"/>
    <n v="216"/>
    <n v="83.333333333333343"/>
    <x v="1"/>
  </r>
  <r>
    <x v="71"/>
    <d v="1899-12-30T13:50:11"/>
    <d v="1899-12-30T13:46:34"/>
    <d v="1899-12-30T00:03:37"/>
    <n v="3"/>
    <n v="37"/>
    <n v="3.62"/>
    <n v="217"/>
    <n v="82.94930875576037"/>
    <x v="1"/>
  </r>
  <r>
    <x v="14"/>
    <d v="1899-12-30T10:55:44"/>
    <d v="1899-12-30T10:59:21"/>
    <d v="1899-12-30T00:03:37"/>
    <n v="3"/>
    <n v="37"/>
    <n v="3.62"/>
    <n v="217"/>
    <n v="82.94930875576037"/>
    <x v="1"/>
  </r>
  <r>
    <x v="254"/>
    <d v="1899-12-30T14:53:37"/>
    <d v="1899-12-30T14:57:14"/>
    <d v="1899-12-30T00:03:37"/>
    <n v="3"/>
    <n v="37"/>
    <n v="3.62"/>
    <n v="217"/>
    <n v="82.94930875576037"/>
    <x v="1"/>
  </r>
  <r>
    <x v="71"/>
    <d v="1899-12-30T03:24:57"/>
    <d v="1899-12-30T03:28:35"/>
    <d v="1899-12-30T00:03:38"/>
    <n v="3"/>
    <n v="38"/>
    <n v="3.63"/>
    <n v="218"/>
    <n v="82.568807339449535"/>
    <x v="1"/>
  </r>
  <r>
    <x v="224"/>
    <d v="1899-12-30T13:15:54"/>
    <d v="1899-12-30T13:19:32"/>
    <d v="1899-12-30T00:03:38"/>
    <n v="3"/>
    <n v="38"/>
    <n v="3.63"/>
    <n v="218"/>
    <n v="82.568807339449535"/>
    <x v="1"/>
  </r>
  <r>
    <x v="24"/>
    <d v="1899-12-30T03:19:37"/>
    <d v="1899-12-30T03:23:15"/>
    <d v="1899-12-30T00:03:38"/>
    <n v="3"/>
    <n v="38"/>
    <n v="3.63"/>
    <n v="218"/>
    <n v="82.568807339449535"/>
    <x v="1"/>
  </r>
  <r>
    <x v="19"/>
    <d v="1899-12-30T04:32:05"/>
    <d v="1899-12-30T04:28:27"/>
    <d v="1899-12-30T00:03:38"/>
    <n v="3"/>
    <n v="38"/>
    <n v="3.63"/>
    <n v="218"/>
    <n v="82.568807339449535"/>
    <x v="1"/>
  </r>
  <r>
    <x v="255"/>
    <d v="1899-12-30T02:11:40"/>
    <d v="1899-12-30T02:15:18"/>
    <d v="1899-12-30T00:03:38"/>
    <n v="3"/>
    <n v="38"/>
    <n v="3.63"/>
    <n v="218"/>
    <n v="82.568807339449535"/>
    <x v="1"/>
  </r>
  <r>
    <x v="256"/>
    <d v="1899-12-30T02:55:47"/>
    <d v="1899-12-30T02:59:26"/>
    <d v="1899-12-30T00:03:38"/>
    <n v="3"/>
    <n v="38"/>
    <n v="3.63"/>
    <n v="218"/>
    <n v="82.568807339449535"/>
    <x v="1"/>
  </r>
  <r>
    <x v="257"/>
    <d v="1899-12-30T14:08:35"/>
    <d v="1899-12-30T14:12:12"/>
    <d v="1899-12-30T00:03:38"/>
    <n v="3"/>
    <n v="38"/>
    <n v="3.63"/>
    <n v="218"/>
    <n v="82.568807339449535"/>
    <x v="1"/>
  </r>
  <r>
    <x v="258"/>
    <d v="1899-12-30T08:33:54"/>
    <d v="1899-12-30T08:37:32"/>
    <d v="1899-12-30T00:03:38"/>
    <n v="3"/>
    <n v="38"/>
    <n v="3.63"/>
    <n v="218"/>
    <n v="82.568807339449535"/>
    <x v="1"/>
  </r>
  <r>
    <x v="259"/>
    <d v="1899-12-30T00:44:55"/>
    <d v="1899-12-30T00:41:16"/>
    <d v="1899-12-30T00:03:38"/>
    <n v="3"/>
    <n v="38"/>
    <n v="3.63"/>
    <n v="218"/>
    <n v="82.568807339449535"/>
    <x v="1"/>
  </r>
  <r>
    <x v="260"/>
    <d v="1899-12-30T21:40:21"/>
    <d v="1899-12-30T21:43:59"/>
    <d v="1899-12-30T00:03:38"/>
    <n v="3"/>
    <n v="38"/>
    <n v="3.63"/>
    <n v="218"/>
    <n v="82.568807339449535"/>
    <x v="1"/>
  </r>
  <r>
    <x v="261"/>
    <d v="1899-12-30T21:54:54"/>
    <d v="1899-12-30T21:51:16"/>
    <d v="1899-12-30T00:03:38"/>
    <n v="3"/>
    <n v="38"/>
    <n v="3.63"/>
    <n v="218"/>
    <n v="82.568807339449535"/>
    <x v="1"/>
  </r>
  <r>
    <x v="42"/>
    <d v="1899-12-30T10:32:38"/>
    <d v="1899-12-30T10:28:59"/>
    <d v="1899-12-30T00:03:39"/>
    <n v="3"/>
    <n v="39"/>
    <n v="3.65"/>
    <n v="219"/>
    <n v="82.191780821917817"/>
    <x v="1"/>
  </r>
  <r>
    <x v="72"/>
    <d v="1899-12-30T11:51:24"/>
    <d v="1899-12-30T11:55:03"/>
    <d v="1899-12-30T00:03:40"/>
    <n v="3"/>
    <n v="40"/>
    <n v="3.67"/>
    <n v="220"/>
    <n v="81.818181818181813"/>
    <x v="1"/>
  </r>
  <r>
    <x v="41"/>
    <d v="1899-12-30T18:46:40"/>
    <d v="1899-12-30T18:50:20"/>
    <d v="1899-12-30T00:03:40"/>
    <n v="3"/>
    <n v="40"/>
    <n v="3.67"/>
    <n v="220"/>
    <n v="81.818181818181813"/>
    <x v="1"/>
  </r>
  <r>
    <x v="115"/>
    <d v="1899-12-30T20:11:34"/>
    <d v="1899-12-30T20:07:54"/>
    <d v="1899-12-30T00:03:40"/>
    <n v="3"/>
    <n v="40"/>
    <n v="3.67"/>
    <n v="220"/>
    <n v="81.818181818181813"/>
    <x v="1"/>
  </r>
  <r>
    <x v="118"/>
    <d v="1899-12-30T16:48:49"/>
    <d v="1899-12-30T16:52:30"/>
    <d v="1899-12-30T00:03:40"/>
    <n v="3"/>
    <n v="40"/>
    <n v="3.67"/>
    <n v="220"/>
    <n v="81.818181818181813"/>
    <x v="1"/>
  </r>
  <r>
    <x v="262"/>
    <d v="1899-12-30T16:38:37"/>
    <d v="1899-12-30T16:34:57"/>
    <d v="1899-12-30T00:03:40"/>
    <n v="3"/>
    <n v="40"/>
    <n v="3.67"/>
    <n v="220"/>
    <n v="81.818181818181813"/>
    <x v="1"/>
  </r>
  <r>
    <x v="263"/>
    <d v="1899-12-30T15:44:31"/>
    <d v="1899-12-30T15:40:50"/>
    <d v="1899-12-30T00:03:40"/>
    <n v="3"/>
    <n v="40"/>
    <n v="3.67"/>
    <n v="220"/>
    <n v="81.818181818181813"/>
    <x v="1"/>
  </r>
  <r>
    <x v="40"/>
    <d v="1899-12-30T18:02:37"/>
    <d v="1899-12-30T17:58:56"/>
    <d v="1899-12-30T00:03:41"/>
    <n v="3"/>
    <n v="41"/>
    <n v="3.68"/>
    <n v="221"/>
    <n v="81.447963800904972"/>
    <x v="1"/>
  </r>
  <r>
    <x v="4"/>
    <d v="1899-12-30T07:04:11"/>
    <d v="1899-12-30T07:00:30"/>
    <d v="1899-12-30T00:03:41"/>
    <n v="3"/>
    <n v="41"/>
    <n v="3.68"/>
    <n v="221"/>
    <n v="81.447963800904972"/>
    <x v="1"/>
  </r>
  <r>
    <x v="0"/>
    <d v="1899-12-30T04:28:15"/>
    <d v="1899-12-30T04:24:33"/>
    <d v="1899-12-30T00:03:42"/>
    <n v="3"/>
    <n v="42"/>
    <n v="3.7"/>
    <n v="222"/>
    <n v="81.081081081081095"/>
    <x v="1"/>
  </r>
  <r>
    <x v="60"/>
    <d v="1899-12-30T01:16:45"/>
    <d v="1899-12-30T01:13:03"/>
    <d v="1899-12-30T00:03:42"/>
    <n v="3"/>
    <n v="42"/>
    <n v="3.7"/>
    <n v="222"/>
    <n v="81.081081081081095"/>
    <x v="1"/>
  </r>
  <r>
    <x v="264"/>
    <d v="1899-12-30T17:21:46"/>
    <d v="1899-12-30T17:18:03"/>
    <d v="1899-12-30T00:03:43"/>
    <n v="3"/>
    <n v="43"/>
    <n v="3.72"/>
    <n v="223"/>
    <n v="80.717488789237677"/>
    <x v="1"/>
  </r>
  <r>
    <x v="19"/>
    <d v="1899-12-30T04:57:02"/>
    <d v="1899-12-30T04:53:20"/>
    <d v="1899-12-30T00:03:43"/>
    <n v="3"/>
    <n v="43"/>
    <n v="3.72"/>
    <n v="223"/>
    <n v="80.717488789237677"/>
    <x v="1"/>
  </r>
  <r>
    <x v="14"/>
    <d v="1899-12-30T03:42:09"/>
    <d v="1899-12-30T03:38:27"/>
    <d v="1899-12-30T00:03:43"/>
    <n v="3"/>
    <n v="43"/>
    <n v="3.72"/>
    <n v="223"/>
    <n v="80.717488789237677"/>
    <x v="1"/>
  </r>
  <r>
    <x v="265"/>
    <d v="1899-12-30T08:14:35"/>
    <d v="1899-12-30T08:18:18"/>
    <d v="1899-12-30T00:03:43"/>
    <n v="3"/>
    <n v="43"/>
    <n v="3.72"/>
    <n v="223"/>
    <n v="80.717488789237677"/>
    <x v="1"/>
  </r>
  <r>
    <x v="266"/>
    <d v="1899-12-30T00:37:00"/>
    <d v="1899-12-30T00:33:17"/>
    <d v="1899-12-30T00:03:43"/>
    <n v="3"/>
    <n v="43"/>
    <n v="3.72"/>
    <n v="223"/>
    <n v="80.717488789237677"/>
    <x v="1"/>
  </r>
  <r>
    <x v="262"/>
    <d v="1899-12-30T14:43:40"/>
    <d v="1899-12-30T14:39:56"/>
    <d v="1899-12-30T00:03:44"/>
    <n v="3"/>
    <n v="44"/>
    <n v="3.73"/>
    <n v="224"/>
    <n v="80.357142857142861"/>
    <x v="1"/>
  </r>
  <r>
    <x v="267"/>
    <d v="1899-12-30T17:56:21"/>
    <d v="1899-12-30T17:52:37"/>
    <d v="1899-12-30T00:03:44"/>
    <n v="3"/>
    <n v="44"/>
    <n v="3.73"/>
    <n v="224"/>
    <n v="80.357142857142861"/>
    <x v="1"/>
  </r>
  <r>
    <x v="253"/>
    <d v="1899-12-30T22:11:30"/>
    <d v="1899-12-30T22:15:14"/>
    <d v="1899-12-30T00:03:44"/>
    <n v="3"/>
    <n v="44"/>
    <n v="3.73"/>
    <n v="224"/>
    <n v="80.357142857142861"/>
    <x v="1"/>
  </r>
  <r>
    <x v="71"/>
    <d v="1899-12-30T17:27:47"/>
    <d v="1899-12-30T17:31:31"/>
    <d v="1899-12-30T00:03:44"/>
    <n v="3"/>
    <n v="44"/>
    <n v="3.73"/>
    <n v="224"/>
    <n v="80.357142857142861"/>
    <x v="1"/>
  </r>
  <r>
    <x v="268"/>
    <d v="1899-12-30T00:27:50"/>
    <d v="1899-12-30T00:24:06"/>
    <d v="1899-12-30T00:03:45"/>
    <n v="3"/>
    <n v="45"/>
    <n v="3.75"/>
    <n v="225"/>
    <n v="80"/>
    <x v="1"/>
  </r>
  <r>
    <x v="52"/>
    <d v="1899-12-30T23:19:06"/>
    <d v="1899-12-30T23:15:22"/>
    <d v="1899-12-30T00:03:45"/>
    <n v="3"/>
    <n v="45"/>
    <n v="3.75"/>
    <n v="225"/>
    <n v="80"/>
    <x v="1"/>
  </r>
  <r>
    <x v="269"/>
    <d v="1899-12-30T20:04:33"/>
    <d v="1899-12-30T20:08:18"/>
    <d v="1899-12-30T00:03:45"/>
    <n v="3"/>
    <n v="45"/>
    <n v="3.75"/>
    <n v="225"/>
    <n v="80"/>
    <x v="1"/>
  </r>
  <r>
    <x v="138"/>
    <d v="1899-12-30T11:46:29"/>
    <d v="1899-12-30T11:42:44"/>
    <d v="1899-12-30T00:03:45"/>
    <n v="3"/>
    <n v="45"/>
    <n v="3.75"/>
    <n v="225"/>
    <n v="80"/>
    <x v="1"/>
  </r>
  <r>
    <x v="42"/>
    <d v="1899-12-30T09:43:30"/>
    <d v="1899-12-30T09:39:45"/>
    <d v="1899-12-30T00:03:45"/>
    <n v="3"/>
    <n v="45"/>
    <n v="3.75"/>
    <n v="225"/>
    <n v="80"/>
    <x v="1"/>
  </r>
  <r>
    <x v="7"/>
    <d v="1899-12-30T15:55:46"/>
    <d v="1899-12-30T15:52:00"/>
    <d v="1899-12-30T00:03:46"/>
    <n v="3"/>
    <n v="46"/>
    <n v="3.77"/>
    <n v="226"/>
    <n v="79.646017699115049"/>
    <x v="1"/>
  </r>
  <r>
    <x v="113"/>
    <d v="1899-12-30T05:29:05"/>
    <d v="1899-12-30T05:32:51"/>
    <d v="1899-12-30T00:03:46"/>
    <n v="3"/>
    <n v="46"/>
    <n v="3.77"/>
    <n v="226"/>
    <n v="79.646017699115049"/>
    <x v="1"/>
  </r>
  <r>
    <x v="270"/>
    <d v="1899-12-30T05:48:14"/>
    <d v="1899-12-30T05:44:28"/>
    <d v="1899-12-30T00:03:46"/>
    <n v="3"/>
    <n v="46"/>
    <n v="3.77"/>
    <n v="226"/>
    <n v="79.646017699115049"/>
    <x v="1"/>
  </r>
  <r>
    <x v="271"/>
    <d v="1899-12-30T03:29:48"/>
    <d v="1899-12-30T03:26:02"/>
    <d v="1899-12-30T00:03:46"/>
    <n v="3"/>
    <n v="46"/>
    <n v="3.77"/>
    <n v="226"/>
    <n v="79.646017699115049"/>
    <x v="1"/>
  </r>
  <r>
    <x v="272"/>
    <d v="1899-12-30T15:24:56"/>
    <d v="1899-12-30T15:28:43"/>
    <d v="1899-12-30T00:03:46"/>
    <n v="3"/>
    <n v="46"/>
    <n v="3.77"/>
    <n v="226"/>
    <n v="79.646017699115049"/>
    <x v="1"/>
  </r>
  <r>
    <x v="273"/>
    <d v="1899-12-30T17:54:04"/>
    <d v="1899-12-30T17:57:50"/>
    <d v="1899-12-30T00:03:46"/>
    <n v="3"/>
    <n v="46"/>
    <n v="3.77"/>
    <n v="226"/>
    <n v="79.646017699115049"/>
    <x v="1"/>
  </r>
  <r>
    <x v="117"/>
    <d v="1899-12-30T23:10:54"/>
    <d v="1899-12-30T23:07:07"/>
    <d v="1899-12-30T00:03:47"/>
    <n v="3"/>
    <n v="47"/>
    <n v="3.78"/>
    <n v="227"/>
    <n v="79.295154185022028"/>
    <x v="1"/>
  </r>
  <r>
    <x v="274"/>
    <d v="1899-12-30T07:17:38"/>
    <d v="1899-12-30T07:13:51"/>
    <d v="1899-12-30T00:03:47"/>
    <n v="3"/>
    <n v="47"/>
    <n v="3.78"/>
    <n v="227"/>
    <n v="79.295154185022028"/>
    <x v="1"/>
  </r>
  <r>
    <x v="275"/>
    <d v="1899-12-30T06:07:32"/>
    <d v="1899-12-30T06:11:19"/>
    <d v="1899-12-30T00:03:47"/>
    <n v="3"/>
    <n v="47"/>
    <n v="3.78"/>
    <n v="227"/>
    <n v="79.295154185022028"/>
    <x v="1"/>
  </r>
  <r>
    <x v="276"/>
    <d v="1899-12-30T12:43:50"/>
    <d v="1899-12-30T12:47:37"/>
    <d v="1899-12-30T00:03:47"/>
    <n v="3"/>
    <n v="47"/>
    <n v="3.78"/>
    <n v="227"/>
    <n v="79.295154185022028"/>
    <x v="1"/>
  </r>
  <r>
    <x v="277"/>
    <d v="1899-12-30T19:32:40"/>
    <d v="1899-12-30T19:28:52"/>
    <d v="1899-12-30T00:03:48"/>
    <n v="3"/>
    <n v="48"/>
    <n v="3.8"/>
    <n v="228"/>
    <n v="78.94736842105263"/>
    <x v="1"/>
  </r>
  <r>
    <x v="65"/>
    <d v="1899-12-30T16:09:19"/>
    <d v="1899-12-30T16:13:07"/>
    <d v="1899-12-30T00:03:48"/>
    <n v="3"/>
    <n v="48"/>
    <n v="3.8"/>
    <n v="228"/>
    <n v="78.94736842105263"/>
    <x v="1"/>
  </r>
  <r>
    <x v="135"/>
    <d v="1899-12-30T10:43:03"/>
    <d v="1899-12-30T10:46:52"/>
    <d v="1899-12-30T00:03:49"/>
    <n v="3"/>
    <n v="49"/>
    <n v="3.82"/>
    <n v="229"/>
    <n v="78.602620087336248"/>
    <x v="1"/>
  </r>
  <r>
    <x v="278"/>
    <d v="1899-12-30T14:32:08"/>
    <d v="1899-12-30T14:35:57"/>
    <d v="1899-12-30T00:03:49"/>
    <n v="3"/>
    <n v="49"/>
    <n v="3.82"/>
    <n v="229"/>
    <n v="78.602620087336248"/>
    <x v="1"/>
  </r>
  <r>
    <x v="115"/>
    <d v="1899-12-30T17:49:07"/>
    <d v="1899-12-30T17:45:18"/>
    <d v="1899-12-30T00:03:49"/>
    <n v="3"/>
    <n v="49"/>
    <n v="3.82"/>
    <n v="229"/>
    <n v="78.602620087336248"/>
    <x v="1"/>
  </r>
  <r>
    <x v="24"/>
    <d v="1899-12-30T08:00:38"/>
    <d v="1899-12-30T07:56:48"/>
    <d v="1899-12-30T00:03:49"/>
    <n v="3"/>
    <n v="49"/>
    <n v="3.82"/>
    <n v="229"/>
    <n v="78.602620087336248"/>
    <x v="1"/>
  </r>
  <r>
    <x v="279"/>
    <d v="1899-12-30T03:31:29"/>
    <d v="1899-12-30T03:35:18"/>
    <d v="1899-12-30T00:03:49"/>
    <n v="3"/>
    <n v="49"/>
    <n v="3.82"/>
    <n v="229"/>
    <n v="78.602620087336248"/>
    <x v="1"/>
  </r>
  <r>
    <x v="0"/>
    <d v="1899-12-30T19:04:05"/>
    <d v="1899-12-30T19:00:15"/>
    <d v="1899-12-30T00:03:50"/>
    <n v="3"/>
    <n v="50"/>
    <n v="3.83"/>
    <n v="230"/>
    <n v="78.260869565217391"/>
    <x v="1"/>
  </r>
  <r>
    <x v="233"/>
    <d v="1899-12-30T15:58:57"/>
    <d v="1899-12-30T15:55:06"/>
    <d v="1899-12-30T00:03:51"/>
    <n v="3"/>
    <n v="51"/>
    <n v="3.85"/>
    <n v="231"/>
    <n v="77.922077922077918"/>
    <x v="1"/>
  </r>
  <r>
    <x v="240"/>
    <d v="1899-12-30T23:01:30"/>
    <d v="1899-12-30T22:57:39"/>
    <d v="1899-12-30T00:03:51"/>
    <n v="3"/>
    <n v="51"/>
    <n v="3.85"/>
    <n v="231"/>
    <n v="77.922077922077918"/>
    <x v="1"/>
  </r>
  <r>
    <x v="154"/>
    <d v="1899-12-30T20:04:08"/>
    <d v="1899-12-30T20:07:59"/>
    <d v="1899-12-30T00:03:51"/>
    <n v="3"/>
    <n v="51"/>
    <n v="3.85"/>
    <n v="231"/>
    <n v="77.922077922077918"/>
    <x v="1"/>
  </r>
  <r>
    <x v="280"/>
    <d v="1899-12-30T00:29:29"/>
    <d v="1899-12-30T00:25:38"/>
    <d v="1899-12-30T00:03:51"/>
    <n v="3"/>
    <n v="51"/>
    <n v="3.85"/>
    <n v="231"/>
    <n v="77.922077922077918"/>
    <x v="1"/>
  </r>
  <r>
    <x v="41"/>
    <d v="1899-12-30T04:04:54"/>
    <d v="1899-12-30T04:01:03"/>
    <d v="1899-12-30T00:03:51"/>
    <n v="3"/>
    <n v="51"/>
    <n v="3.85"/>
    <n v="231"/>
    <n v="77.922077922077918"/>
    <x v="1"/>
  </r>
  <r>
    <x v="24"/>
    <d v="1899-12-30T22:55:00"/>
    <d v="1899-12-30T22:51:09"/>
    <d v="1899-12-30T00:03:51"/>
    <n v="3"/>
    <n v="51"/>
    <n v="3.85"/>
    <n v="231"/>
    <n v="77.922077922077918"/>
    <x v="1"/>
  </r>
  <r>
    <x v="281"/>
    <d v="1899-12-30T05:13:54"/>
    <d v="1899-12-30T05:10:04"/>
    <d v="1899-12-30T00:03:51"/>
    <n v="3"/>
    <n v="51"/>
    <n v="3.85"/>
    <n v="231"/>
    <n v="77.922077922077918"/>
    <x v="1"/>
  </r>
  <r>
    <x v="282"/>
    <d v="1899-12-30T06:40:09"/>
    <d v="1899-12-30T06:44:00"/>
    <d v="1899-12-30T00:03:51"/>
    <n v="3"/>
    <n v="51"/>
    <n v="3.85"/>
    <n v="231"/>
    <n v="77.922077922077918"/>
    <x v="1"/>
  </r>
  <r>
    <x v="65"/>
    <d v="1899-12-30T19:17:58"/>
    <d v="1899-12-30T19:21:50"/>
    <d v="1899-12-30T00:03:52"/>
    <n v="3"/>
    <n v="52"/>
    <n v="3.87"/>
    <n v="232"/>
    <n v="77.58620689655173"/>
    <x v="1"/>
  </r>
  <r>
    <x v="100"/>
    <d v="1899-12-30T23:59:11"/>
    <d v="1899-12-30T23:55:20"/>
    <d v="1899-12-30T00:03:52"/>
    <n v="3"/>
    <n v="52"/>
    <n v="3.87"/>
    <n v="232"/>
    <n v="77.58620689655173"/>
    <x v="1"/>
  </r>
  <r>
    <x v="24"/>
    <d v="1899-12-30T19:23:29"/>
    <d v="1899-12-30T19:19:37"/>
    <d v="1899-12-30T00:03:52"/>
    <n v="3"/>
    <n v="52"/>
    <n v="3.87"/>
    <n v="232"/>
    <n v="77.58620689655173"/>
    <x v="1"/>
  </r>
  <r>
    <x v="44"/>
    <d v="1899-12-30T04:31:17"/>
    <d v="1899-12-30T04:35:09"/>
    <d v="1899-12-30T00:03:52"/>
    <n v="3"/>
    <n v="52"/>
    <n v="3.87"/>
    <n v="232"/>
    <n v="77.58620689655173"/>
    <x v="1"/>
  </r>
  <r>
    <x v="17"/>
    <d v="1899-12-30T07:44:06"/>
    <d v="1899-12-30T07:40:14"/>
    <d v="1899-12-30T00:03:52"/>
    <n v="3"/>
    <n v="52"/>
    <n v="3.87"/>
    <n v="232"/>
    <n v="77.58620689655173"/>
    <x v="1"/>
  </r>
  <r>
    <x v="283"/>
    <d v="1899-12-30T18:44:30"/>
    <d v="1899-12-30T18:40:38"/>
    <d v="1899-12-30T00:03:52"/>
    <n v="3"/>
    <n v="52"/>
    <n v="3.87"/>
    <n v="232"/>
    <n v="77.58620689655173"/>
    <x v="1"/>
  </r>
  <r>
    <x v="137"/>
    <d v="1899-12-30T02:14:06"/>
    <d v="1899-12-30T02:10:13"/>
    <d v="1899-12-30T00:03:53"/>
    <n v="3"/>
    <n v="53"/>
    <n v="3.88"/>
    <n v="233"/>
    <n v="77.253218884120173"/>
    <x v="1"/>
  </r>
  <r>
    <x v="264"/>
    <d v="1899-12-30T03:24:25"/>
    <d v="1899-12-30T03:20:32"/>
    <d v="1899-12-30T00:03:53"/>
    <n v="3"/>
    <n v="53"/>
    <n v="3.88"/>
    <n v="233"/>
    <n v="77.253218884120173"/>
    <x v="1"/>
  </r>
  <r>
    <x v="284"/>
    <d v="1899-12-30T02:27:28"/>
    <d v="1899-12-30T02:23:35"/>
    <d v="1899-12-30T00:03:53"/>
    <n v="3"/>
    <n v="53"/>
    <n v="3.88"/>
    <n v="233"/>
    <n v="77.253218884120173"/>
    <x v="1"/>
  </r>
  <r>
    <x v="229"/>
    <d v="1899-12-30T12:56:45"/>
    <d v="1899-12-30T12:52:52"/>
    <d v="1899-12-30T00:03:54"/>
    <n v="3"/>
    <n v="54"/>
    <n v="3.9"/>
    <n v="234"/>
    <n v="76.92307692307692"/>
    <x v="1"/>
  </r>
  <r>
    <x v="243"/>
    <d v="1899-12-30T10:38:39"/>
    <d v="1899-12-30T10:42:34"/>
    <d v="1899-12-30T00:03:54"/>
    <n v="3"/>
    <n v="54"/>
    <n v="3.9"/>
    <n v="234"/>
    <n v="76.92307692307692"/>
    <x v="1"/>
  </r>
  <r>
    <x v="106"/>
    <d v="1899-12-30T05:55:55"/>
    <d v="1899-12-30T05:52:01"/>
    <d v="1899-12-30T00:03:54"/>
    <n v="3"/>
    <n v="54"/>
    <n v="3.9"/>
    <n v="234"/>
    <n v="76.92307692307692"/>
    <x v="1"/>
  </r>
  <r>
    <x v="48"/>
    <d v="1899-12-30T19:42:01"/>
    <d v="1899-12-30T19:38:08"/>
    <d v="1899-12-30T00:03:54"/>
    <n v="3"/>
    <n v="54"/>
    <n v="3.9"/>
    <n v="234"/>
    <n v="76.92307692307692"/>
    <x v="1"/>
  </r>
  <r>
    <x v="285"/>
    <d v="1899-12-30T12:34:20"/>
    <d v="1899-12-30T12:38:14"/>
    <d v="1899-12-30T00:03:54"/>
    <n v="3"/>
    <n v="54"/>
    <n v="3.9"/>
    <n v="234"/>
    <n v="76.92307692307692"/>
    <x v="1"/>
  </r>
  <r>
    <x v="8"/>
    <d v="1899-12-30T12:58:07"/>
    <d v="1899-12-30T13:02:01"/>
    <d v="1899-12-30T00:03:54"/>
    <n v="3"/>
    <n v="54"/>
    <n v="3.9"/>
    <n v="234"/>
    <n v="76.92307692307692"/>
    <x v="1"/>
  </r>
  <r>
    <x v="286"/>
    <d v="1899-12-30T20:01:20"/>
    <d v="1899-12-30T20:05:14"/>
    <d v="1899-12-30T00:03:54"/>
    <n v="3"/>
    <n v="54"/>
    <n v="3.9"/>
    <n v="234"/>
    <n v="76.92307692307692"/>
    <x v="1"/>
  </r>
  <r>
    <x v="287"/>
    <d v="1899-12-30T20:38:54"/>
    <d v="1899-12-30T20:42:48"/>
    <d v="1899-12-30T00:03:54"/>
    <n v="3"/>
    <n v="54"/>
    <n v="3.9"/>
    <n v="234"/>
    <n v="76.92307692307692"/>
    <x v="1"/>
  </r>
  <r>
    <x v="268"/>
    <d v="1899-12-30T11:07:56"/>
    <d v="1899-12-30T11:11:51"/>
    <d v="1899-12-30T00:03:55"/>
    <n v="3"/>
    <n v="55"/>
    <n v="3.92"/>
    <n v="235"/>
    <n v="76.59574468085107"/>
    <x v="1"/>
  </r>
  <r>
    <x v="24"/>
    <d v="1899-12-30T20:28:56"/>
    <d v="1899-12-30T20:32:51"/>
    <d v="1899-12-30T00:03:55"/>
    <n v="3"/>
    <n v="55"/>
    <n v="3.92"/>
    <n v="235"/>
    <n v="76.59574468085107"/>
    <x v="1"/>
  </r>
  <r>
    <x v="20"/>
    <d v="1899-12-30T21:24:12"/>
    <d v="1899-12-30T21:28:07"/>
    <d v="1899-12-30T00:03:55"/>
    <n v="3"/>
    <n v="55"/>
    <n v="3.92"/>
    <n v="235"/>
    <n v="76.59574468085107"/>
    <x v="1"/>
  </r>
  <r>
    <x v="33"/>
    <d v="1899-12-30T00:56:23"/>
    <d v="1899-12-30T01:00:18"/>
    <d v="1899-12-30T00:03:55"/>
    <n v="3"/>
    <n v="55"/>
    <n v="3.92"/>
    <n v="235"/>
    <n v="76.59574468085107"/>
    <x v="1"/>
  </r>
  <r>
    <x v="130"/>
    <d v="1899-12-30T18:39:39"/>
    <d v="1899-12-30T18:35:44"/>
    <d v="1899-12-30T00:03:55"/>
    <n v="3"/>
    <n v="55"/>
    <n v="3.92"/>
    <n v="235"/>
    <n v="76.59574468085107"/>
    <x v="1"/>
  </r>
  <r>
    <x v="35"/>
    <d v="1899-12-30T23:37:50"/>
    <d v="1899-12-30T23:33:55"/>
    <d v="1899-12-30T00:03:55"/>
    <n v="3"/>
    <n v="55"/>
    <n v="3.92"/>
    <n v="235"/>
    <n v="76.59574468085107"/>
    <x v="1"/>
  </r>
  <r>
    <x v="35"/>
    <d v="1899-12-30T20:30:18"/>
    <d v="1899-12-30T20:26:23"/>
    <d v="1899-12-30T00:03:55"/>
    <n v="3"/>
    <n v="55"/>
    <n v="3.92"/>
    <n v="235"/>
    <n v="76.59574468085107"/>
    <x v="1"/>
  </r>
  <r>
    <x v="288"/>
    <d v="1899-12-30T09:12:36"/>
    <d v="1899-12-30T09:16:30"/>
    <d v="1899-12-30T00:03:55"/>
    <n v="3"/>
    <n v="55"/>
    <n v="3.92"/>
    <n v="235"/>
    <n v="76.59574468085107"/>
    <x v="1"/>
  </r>
  <r>
    <x v="106"/>
    <d v="1899-12-30T13:55:35"/>
    <d v="1899-12-30T13:59:31"/>
    <d v="1899-12-30T00:03:55"/>
    <n v="3"/>
    <n v="55"/>
    <n v="3.92"/>
    <n v="235"/>
    <n v="76.59574468085107"/>
    <x v="1"/>
  </r>
  <r>
    <x v="289"/>
    <d v="1899-12-30T17:23:44"/>
    <d v="1899-12-30T17:19:49"/>
    <d v="1899-12-30T00:03:55"/>
    <n v="3"/>
    <n v="55"/>
    <n v="3.92"/>
    <n v="235"/>
    <n v="76.59574468085107"/>
    <x v="1"/>
  </r>
  <r>
    <x v="176"/>
    <d v="1899-12-30T20:05:19"/>
    <d v="1899-12-30T20:09:14"/>
    <d v="1899-12-30T00:03:56"/>
    <n v="3"/>
    <n v="56"/>
    <n v="3.93"/>
    <n v="236"/>
    <n v="76.271186440677965"/>
    <x v="1"/>
  </r>
  <r>
    <x v="58"/>
    <d v="1899-12-30T02:48:18"/>
    <d v="1899-12-30T02:44:21"/>
    <d v="1899-12-30T00:03:56"/>
    <n v="3"/>
    <n v="56"/>
    <n v="3.93"/>
    <n v="236"/>
    <n v="76.271186440677965"/>
    <x v="1"/>
  </r>
  <r>
    <x v="14"/>
    <d v="1899-12-30T21:18:49"/>
    <d v="1899-12-30T21:14:53"/>
    <d v="1899-12-30T00:03:56"/>
    <n v="3"/>
    <n v="56"/>
    <n v="3.93"/>
    <n v="236"/>
    <n v="76.271186440677965"/>
    <x v="1"/>
  </r>
  <r>
    <x v="213"/>
    <d v="1899-12-30T08:26:54"/>
    <d v="1899-12-30T08:30:49"/>
    <d v="1899-12-30T00:03:56"/>
    <n v="3"/>
    <n v="56"/>
    <n v="3.93"/>
    <n v="236"/>
    <n v="76.271186440677965"/>
    <x v="1"/>
  </r>
  <r>
    <x v="52"/>
    <d v="1899-12-30T13:39:36"/>
    <d v="1899-12-30T13:35:40"/>
    <d v="1899-12-30T00:03:56"/>
    <n v="3"/>
    <n v="56"/>
    <n v="3.93"/>
    <n v="236"/>
    <n v="76.271186440677965"/>
    <x v="1"/>
  </r>
  <r>
    <x v="290"/>
    <d v="1899-12-30T03:01:01"/>
    <d v="1899-12-30T02:57:04"/>
    <d v="1899-12-30T00:03:57"/>
    <n v="3"/>
    <n v="57"/>
    <n v="3.95"/>
    <n v="237"/>
    <n v="75.949367088607588"/>
    <x v="1"/>
  </r>
  <r>
    <x v="145"/>
    <d v="1899-12-30T13:11:16"/>
    <d v="1899-12-30T13:07:20"/>
    <d v="1899-12-30T00:03:57"/>
    <n v="3"/>
    <n v="57"/>
    <n v="3.95"/>
    <n v="237"/>
    <n v="75.949367088607588"/>
    <x v="1"/>
  </r>
  <r>
    <x v="14"/>
    <d v="1899-12-30T04:45:20"/>
    <d v="1899-12-30T04:49:17"/>
    <d v="1899-12-30T00:03:57"/>
    <n v="3"/>
    <n v="57"/>
    <n v="3.95"/>
    <n v="237"/>
    <n v="75.949367088607588"/>
    <x v="1"/>
  </r>
  <r>
    <x v="160"/>
    <d v="1899-12-30T11:49:05"/>
    <d v="1899-12-30T11:53:02"/>
    <d v="1899-12-30T00:03:57"/>
    <n v="3"/>
    <n v="57"/>
    <n v="3.95"/>
    <n v="237"/>
    <n v="75.949367088607588"/>
    <x v="1"/>
  </r>
  <r>
    <x v="291"/>
    <d v="1899-12-30T05:51:50"/>
    <d v="1899-12-30T05:55:47"/>
    <d v="1899-12-30T00:03:57"/>
    <n v="3"/>
    <n v="57"/>
    <n v="3.95"/>
    <n v="237"/>
    <n v="75.949367088607588"/>
    <x v="1"/>
  </r>
  <r>
    <x v="209"/>
    <d v="1899-12-30T03:17:09"/>
    <d v="1899-12-30T03:13:11"/>
    <d v="1899-12-30T00:03:58"/>
    <n v="3"/>
    <n v="58"/>
    <n v="3.97"/>
    <n v="238"/>
    <n v="75.630252100840337"/>
    <x v="1"/>
  </r>
  <r>
    <x v="170"/>
    <d v="1899-12-30T14:03:05"/>
    <d v="1899-12-30T14:07:03"/>
    <d v="1899-12-30T00:03:58"/>
    <n v="3"/>
    <n v="58"/>
    <n v="3.97"/>
    <n v="238"/>
    <n v="75.630252100840337"/>
    <x v="1"/>
  </r>
  <r>
    <x v="292"/>
    <d v="1899-12-30T16:48:17"/>
    <d v="1899-12-30T16:52:15"/>
    <d v="1899-12-30T00:03:58"/>
    <n v="3"/>
    <n v="58"/>
    <n v="3.97"/>
    <n v="238"/>
    <n v="75.630252100840337"/>
    <x v="1"/>
  </r>
  <r>
    <x v="0"/>
    <d v="1899-12-30T14:46:40"/>
    <d v="1899-12-30T14:42:41"/>
    <d v="1899-12-30T00:03:59"/>
    <n v="3"/>
    <n v="59"/>
    <n v="3.98"/>
    <n v="239"/>
    <n v="75.313807531380746"/>
    <x v="1"/>
  </r>
  <r>
    <x v="21"/>
    <d v="1899-12-30T01:35:33"/>
    <d v="1899-12-30T01:31:34"/>
    <d v="1899-12-30T00:03:59"/>
    <n v="3"/>
    <n v="59"/>
    <n v="3.98"/>
    <n v="239"/>
    <n v="75.313807531380746"/>
    <x v="1"/>
  </r>
  <r>
    <x v="293"/>
    <d v="1899-12-30T06:55:14"/>
    <d v="1899-12-30T06:59:13"/>
    <d v="1899-12-30T00:03:59"/>
    <n v="3"/>
    <n v="59"/>
    <n v="3.98"/>
    <n v="239"/>
    <n v="75.313807531380746"/>
    <x v="1"/>
  </r>
  <r>
    <x v="294"/>
    <d v="1899-12-30T20:49:21"/>
    <d v="1899-12-30T20:53:22"/>
    <d v="1899-12-30T00:04:00"/>
    <n v="4"/>
    <n v="0"/>
    <n v="4"/>
    <n v="240"/>
    <n v="75"/>
    <x v="1"/>
  </r>
  <r>
    <x v="295"/>
    <d v="1899-12-30T18:02:14"/>
    <d v="1899-12-30T18:06:14"/>
    <d v="1899-12-30T00:04:00"/>
    <n v="4"/>
    <n v="0"/>
    <n v="4"/>
    <n v="240"/>
    <n v="75"/>
    <x v="1"/>
  </r>
  <r>
    <x v="4"/>
    <d v="1899-12-30T18:02:39"/>
    <d v="1899-12-30T18:06:39"/>
    <d v="1899-12-30T00:04:00"/>
    <n v="4"/>
    <n v="0"/>
    <n v="4"/>
    <n v="240"/>
    <n v="75"/>
    <x v="1"/>
  </r>
  <r>
    <x v="202"/>
    <d v="1899-12-30T22:22:55"/>
    <d v="1899-12-30T22:18:55"/>
    <d v="1899-12-30T00:04:00"/>
    <n v="4"/>
    <n v="0"/>
    <n v="4"/>
    <n v="240"/>
    <n v="75"/>
    <x v="1"/>
  </r>
  <r>
    <x v="54"/>
    <d v="1899-12-30T00:32:08"/>
    <d v="1899-12-30T00:28:09"/>
    <d v="1899-12-30T00:04:00"/>
    <n v="4"/>
    <n v="0"/>
    <n v="4"/>
    <n v="240"/>
    <n v="75"/>
    <x v="1"/>
  </r>
  <r>
    <x v="296"/>
    <d v="1899-12-30T12:42:14"/>
    <d v="1899-12-30T12:46:14"/>
    <d v="1899-12-30T00:04:00"/>
    <n v="4"/>
    <n v="0"/>
    <n v="4"/>
    <n v="240"/>
    <n v="75"/>
    <x v="1"/>
  </r>
  <r>
    <x v="177"/>
    <d v="1899-12-30T01:34:05"/>
    <d v="1899-12-30T01:30:04"/>
    <d v="1899-12-30T00:04:01"/>
    <n v="4"/>
    <n v="1"/>
    <n v="4.0199999999999996"/>
    <n v="241"/>
    <n v="74.68879668049793"/>
    <x v="1"/>
  </r>
  <r>
    <x v="297"/>
    <d v="1899-12-30T12:42:32"/>
    <d v="1899-12-30T12:38:31"/>
    <d v="1899-12-30T00:04:01"/>
    <n v="4"/>
    <n v="1"/>
    <n v="4.0199999999999996"/>
    <n v="241"/>
    <n v="74.68879668049793"/>
    <x v="1"/>
  </r>
  <r>
    <x v="298"/>
    <d v="1899-12-30T20:33:19"/>
    <d v="1899-12-30T20:37:20"/>
    <d v="1899-12-30T00:04:01"/>
    <n v="4"/>
    <n v="1"/>
    <n v="4.0199999999999996"/>
    <n v="241"/>
    <n v="74.68879668049793"/>
    <x v="1"/>
  </r>
  <r>
    <x v="71"/>
    <d v="1899-12-30T03:42:59"/>
    <d v="1899-12-30T03:38:58"/>
    <d v="1899-12-30T00:04:01"/>
    <n v="4"/>
    <n v="1"/>
    <n v="4.0199999999999996"/>
    <n v="241"/>
    <n v="74.68879668049793"/>
    <x v="1"/>
  </r>
  <r>
    <x v="17"/>
    <d v="1899-12-30T10:43:10"/>
    <d v="1899-12-30T10:47:12"/>
    <d v="1899-12-30T00:04:02"/>
    <n v="4"/>
    <n v="2"/>
    <n v="4.03"/>
    <n v="242"/>
    <n v="74.380165289256198"/>
    <x v="1"/>
  </r>
  <r>
    <x v="137"/>
    <d v="1899-12-30T17:01:09"/>
    <d v="1899-12-30T16:57:07"/>
    <d v="1899-12-30T00:04:02"/>
    <n v="4"/>
    <n v="2"/>
    <n v="4.03"/>
    <n v="242"/>
    <n v="74.380165289256198"/>
    <x v="1"/>
  </r>
  <r>
    <x v="76"/>
    <d v="1899-12-30T18:17:44"/>
    <d v="1899-12-30T18:13:43"/>
    <d v="1899-12-30T00:04:02"/>
    <n v="4"/>
    <n v="2"/>
    <n v="4.03"/>
    <n v="242"/>
    <n v="74.380165289256198"/>
    <x v="1"/>
  </r>
  <r>
    <x v="264"/>
    <d v="1899-12-30T07:59:34"/>
    <d v="1899-12-30T08:03:37"/>
    <d v="1899-12-30T00:04:03"/>
    <n v="4"/>
    <n v="3"/>
    <n v="4.05"/>
    <n v="243"/>
    <n v="74.074074074074076"/>
    <x v="1"/>
  </r>
  <r>
    <x v="104"/>
    <d v="1899-12-30T06:34:23"/>
    <d v="1899-12-30T06:30:20"/>
    <d v="1899-12-30T00:04:03"/>
    <n v="4"/>
    <n v="3"/>
    <n v="4.05"/>
    <n v="243"/>
    <n v="74.074074074074076"/>
    <x v="1"/>
  </r>
  <r>
    <x v="52"/>
    <d v="1899-12-30T05:30:43"/>
    <d v="1899-12-30T05:34:45"/>
    <d v="1899-12-30T00:04:03"/>
    <n v="4"/>
    <n v="3"/>
    <n v="4.05"/>
    <n v="243"/>
    <n v="74.074074074074076"/>
    <x v="1"/>
  </r>
  <r>
    <x v="17"/>
    <d v="1899-12-30T18:08:16"/>
    <d v="1899-12-30T18:04:13"/>
    <d v="1899-12-30T00:04:03"/>
    <n v="4"/>
    <n v="3"/>
    <n v="4.05"/>
    <n v="243"/>
    <n v="74.074074074074076"/>
    <x v="1"/>
  </r>
  <r>
    <x v="96"/>
    <d v="1899-12-30T12:26:14"/>
    <d v="1899-12-30T12:30:18"/>
    <d v="1899-12-30T00:04:04"/>
    <n v="4"/>
    <n v="4"/>
    <n v="4.07"/>
    <n v="244"/>
    <n v="73.770491803278688"/>
    <x v="1"/>
  </r>
  <r>
    <x v="117"/>
    <d v="1899-12-30T18:05:38"/>
    <d v="1899-12-30T18:09:43"/>
    <d v="1899-12-30T00:04:04"/>
    <n v="4"/>
    <n v="4"/>
    <n v="4.07"/>
    <n v="244"/>
    <n v="73.770491803278688"/>
    <x v="1"/>
  </r>
  <r>
    <x v="35"/>
    <d v="1899-12-30T03:16:33"/>
    <d v="1899-12-30T03:20:37"/>
    <d v="1899-12-30T00:04:04"/>
    <n v="4"/>
    <n v="4"/>
    <n v="4.07"/>
    <n v="244"/>
    <n v="73.770491803278688"/>
    <x v="1"/>
  </r>
  <r>
    <x v="209"/>
    <d v="1899-12-30T02:10:54"/>
    <d v="1899-12-30T02:14:57"/>
    <d v="1899-12-30T00:04:04"/>
    <n v="4"/>
    <n v="4"/>
    <n v="4.07"/>
    <n v="244"/>
    <n v="73.770491803278688"/>
    <x v="1"/>
  </r>
  <r>
    <x v="71"/>
    <d v="1899-12-30T13:42:43"/>
    <d v="1899-12-30T13:46:47"/>
    <d v="1899-12-30T00:04:04"/>
    <n v="4"/>
    <n v="4"/>
    <n v="4.07"/>
    <n v="244"/>
    <n v="73.770491803278688"/>
    <x v="1"/>
  </r>
  <r>
    <x v="24"/>
    <d v="1899-12-30T01:24:00"/>
    <d v="1899-12-30T01:19:55"/>
    <d v="1899-12-30T00:04:05"/>
    <n v="4"/>
    <n v="5"/>
    <n v="4.08"/>
    <n v="245"/>
    <n v="73.469387755102048"/>
    <x v="1"/>
  </r>
  <r>
    <x v="173"/>
    <d v="1899-12-30T15:32:26"/>
    <d v="1899-12-30T15:28:21"/>
    <d v="1899-12-30T00:04:05"/>
    <n v="4"/>
    <n v="5"/>
    <n v="4.08"/>
    <n v="245"/>
    <n v="73.469387755102048"/>
    <x v="1"/>
  </r>
  <r>
    <x v="48"/>
    <d v="1899-12-30T09:01:38"/>
    <d v="1899-12-30T08:57:33"/>
    <d v="1899-12-30T00:04:05"/>
    <n v="4"/>
    <n v="5"/>
    <n v="4.08"/>
    <n v="245"/>
    <n v="73.469387755102048"/>
    <x v="1"/>
  </r>
  <r>
    <x v="299"/>
    <d v="1899-12-30T13:57:10"/>
    <d v="1899-12-30T13:53:05"/>
    <d v="1899-12-30T00:04:05"/>
    <n v="4"/>
    <n v="5"/>
    <n v="4.08"/>
    <n v="245"/>
    <n v="73.469387755102048"/>
    <x v="1"/>
  </r>
  <r>
    <x v="33"/>
    <d v="1899-12-30T22:43:39"/>
    <d v="1899-12-30T22:47:45"/>
    <d v="1899-12-30T00:04:06"/>
    <n v="4"/>
    <n v="6"/>
    <n v="4.0999999999999996"/>
    <n v="246"/>
    <n v="73.170731707317074"/>
    <x v="1"/>
  </r>
  <r>
    <x v="300"/>
    <d v="1899-12-30T20:44:21"/>
    <d v="1899-12-30T20:48:27"/>
    <d v="1899-12-30T00:04:06"/>
    <n v="4"/>
    <n v="6"/>
    <n v="4.0999999999999996"/>
    <n v="246"/>
    <n v="73.170731707317074"/>
    <x v="1"/>
  </r>
  <r>
    <x v="23"/>
    <d v="1899-12-30T18:40:28"/>
    <d v="1899-12-30T18:36:22"/>
    <d v="1899-12-30T00:04:06"/>
    <n v="4"/>
    <n v="6"/>
    <n v="4.0999999999999996"/>
    <n v="246"/>
    <n v="73.170731707317074"/>
    <x v="1"/>
  </r>
  <r>
    <x v="77"/>
    <d v="1899-12-30T12:16:54"/>
    <d v="1899-12-30T12:21:01"/>
    <d v="1899-12-30T00:04:07"/>
    <n v="4"/>
    <n v="7"/>
    <n v="4.12"/>
    <n v="247"/>
    <n v="72.874493927125513"/>
    <x v="1"/>
  </r>
  <r>
    <x v="218"/>
    <d v="1899-12-30T01:33:29"/>
    <d v="1899-12-30T01:29:22"/>
    <d v="1899-12-30T00:04:07"/>
    <n v="4"/>
    <n v="7"/>
    <n v="4.12"/>
    <n v="247"/>
    <n v="72.874493927125513"/>
    <x v="1"/>
  </r>
  <r>
    <x v="290"/>
    <d v="1899-12-30T22:11:37"/>
    <d v="1899-12-30T22:07:30"/>
    <d v="1899-12-30T00:04:07"/>
    <n v="4"/>
    <n v="7"/>
    <n v="4.12"/>
    <n v="247"/>
    <n v="72.874493927125513"/>
    <x v="1"/>
  </r>
  <r>
    <x v="99"/>
    <d v="1899-12-30T20:15:27"/>
    <d v="1899-12-30T20:19:34"/>
    <d v="1899-12-30T00:04:07"/>
    <n v="4"/>
    <n v="7"/>
    <n v="4.12"/>
    <n v="247"/>
    <n v="72.874493927125513"/>
    <x v="1"/>
  </r>
  <r>
    <x v="301"/>
    <d v="1899-12-30T11:05:21"/>
    <d v="1899-12-30T11:01:14"/>
    <d v="1899-12-30T00:04:07"/>
    <n v="4"/>
    <n v="7"/>
    <n v="4.12"/>
    <n v="247"/>
    <n v="72.874493927125513"/>
    <x v="1"/>
  </r>
  <r>
    <x v="121"/>
    <d v="1899-12-30T22:19:47"/>
    <d v="1899-12-30T22:23:56"/>
    <d v="1899-12-30T00:04:08"/>
    <n v="4"/>
    <n v="8"/>
    <n v="4.13"/>
    <n v="248"/>
    <n v="72.58064516129032"/>
    <x v="1"/>
  </r>
  <r>
    <x v="246"/>
    <d v="1899-12-30T16:36:35"/>
    <d v="1899-12-30T16:32:27"/>
    <d v="1899-12-30T00:04:08"/>
    <n v="4"/>
    <n v="8"/>
    <n v="4.13"/>
    <n v="248"/>
    <n v="72.58064516129032"/>
    <x v="1"/>
  </r>
  <r>
    <x v="302"/>
    <d v="1899-12-30T10:10:06"/>
    <d v="1899-12-30T10:05:58"/>
    <d v="1899-12-30T00:04:08"/>
    <n v="4"/>
    <n v="8"/>
    <n v="4.13"/>
    <n v="248"/>
    <n v="72.58064516129032"/>
    <x v="1"/>
  </r>
  <r>
    <x v="200"/>
    <d v="1899-12-30T09:18:28"/>
    <d v="1899-12-30T09:14:19"/>
    <d v="1899-12-30T00:04:09"/>
    <n v="4"/>
    <n v="9"/>
    <n v="4.1500000000000004"/>
    <n v="249"/>
    <n v="72.289156626506028"/>
    <x v="1"/>
  </r>
  <r>
    <x v="150"/>
    <d v="1899-12-30T10:19:14"/>
    <d v="1899-12-30T10:15:04"/>
    <d v="1899-12-30T00:04:10"/>
    <n v="4"/>
    <n v="10"/>
    <n v="4.17"/>
    <n v="250"/>
    <n v="72"/>
    <x v="1"/>
  </r>
  <r>
    <x v="0"/>
    <d v="1899-12-30T13:59:38"/>
    <d v="1899-12-30T13:55:28"/>
    <d v="1899-12-30T00:04:10"/>
    <n v="4"/>
    <n v="10"/>
    <n v="4.17"/>
    <n v="250"/>
    <n v="72"/>
    <x v="1"/>
  </r>
  <r>
    <x v="224"/>
    <d v="1899-12-30T00:33:07"/>
    <d v="1899-12-30T00:37:17"/>
    <d v="1899-12-30T00:04:10"/>
    <n v="4"/>
    <n v="10"/>
    <n v="4.17"/>
    <n v="250"/>
    <n v="72"/>
    <x v="1"/>
  </r>
  <r>
    <x v="72"/>
    <d v="1899-12-30T20:31:45"/>
    <d v="1899-12-30T20:35:55"/>
    <d v="1899-12-30T00:04:10"/>
    <n v="4"/>
    <n v="10"/>
    <n v="4.17"/>
    <n v="250"/>
    <n v="72"/>
    <x v="1"/>
  </r>
  <r>
    <x v="303"/>
    <d v="1899-12-30T20:48:49"/>
    <d v="1899-12-30T20:44:40"/>
    <d v="1899-12-30T00:04:10"/>
    <n v="4"/>
    <n v="10"/>
    <n v="4.17"/>
    <n v="250"/>
    <n v="72"/>
    <x v="1"/>
  </r>
  <r>
    <x v="304"/>
    <d v="1899-12-30T06:14:37"/>
    <d v="1899-12-30T06:10:28"/>
    <d v="1899-12-30T00:04:10"/>
    <n v="4"/>
    <n v="10"/>
    <n v="4.17"/>
    <n v="250"/>
    <n v="72"/>
    <x v="1"/>
  </r>
  <r>
    <x v="305"/>
    <d v="1899-12-30T19:36:43"/>
    <d v="1899-12-30T19:32:33"/>
    <d v="1899-12-30T00:04:10"/>
    <n v="4"/>
    <n v="10"/>
    <n v="4.17"/>
    <n v="250"/>
    <n v="72"/>
    <x v="1"/>
  </r>
  <r>
    <x v="238"/>
    <d v="1899-12-30T12:48:15"/>
    <d v="1899-12-30T12:52:26"/>
    <d v="1899-12-30T00:04:11"/>
    <n v="4"/>
    <n v="11"/>
    <n v="4.18"/>
    <n v="251"/>
    <n v="71.713147410358559"/>
    <x v="1"/>
  </r>
  <r>
    <x v="217"/>
    <d v="1899-12-30T06:57:45"/>
    <d v="1899-12-30T07:01:56"/>
    <d v="1899-12-30T00:04:11"/>
    <n v="4"/>
    <n v="11"/>
    <n v="4.18"/>
    <n v="251"/>
    <n v="71.713147410358559"/>
    <x v="1"/>
  </r>
  <r>
    <x v="157"/>
    <d v="1899-12-30T22:42:19"/>
    <d v="1899-12-30T22:38:08"/>
    <d v="1899-12-30T00:04:11"/>
    <n v="4"/>
    <n v="11"/>
    <n v="4.18"/>
    <n v="251"/>
    <n v="71.713147410358559"/>
    <x v="1"/>
  </r>
  <r>
    <x v="114"/>
    <d v="1899-12-30T17:28:00"/>
    <d v="1899-12-30T17:23:49"/>
    <d v="1899-12-30T00:04:11"/>
    <n v="4"/>
    <n v="11"/>
    <n v="4.18"/>
    <n v="251"/>
    <n v="71.713147410358559"/>
    <x v="1"/>
  </r>
  <r>
    <x v="41"/>
    <d v="1899-12-30T22:02:29"/>
    <d v="1899-12-30T21:58:18"/>
    <d v="1899-12-30T00:04:11"/>
    <n v="4"/>
    <n v="11"/>
    <n v="4.18"/>
    <n v="251"/>
    <n v="71.713147410358559"/>
    <x v="1"/>
  </r>
  <r>
    <x v="43"/>
    <d v="1899-12-30T23:27:46"/>
    <d v="1899-12-30T23:31:56"/>
    <d v="1899-12-30T00:04:11"/>
    <n v="4"/>
    <n v="11"/>
    <n v="4.18"/>
    <n v="251"/>
    <n v="71.713147410358559"/>
    <x v="1"/>
  </r>
  <r>
    <x v="306"/>
    <d v="1899-12-30T18:45:51"/>
    <d v="1899-12-30T18:50:03"/>
    <d v="1899-12-30T00:04:11"/>
    <n v="4"/>
    <n v="11"/>
    <n v="4.18"/>
    <n v="251"/>
    <n v="71.713147410358559"/>
    <x v="1"/>
  </r>
  <r>
    <x v="17"/>
    <d v="1899-12-30T03:50:32"/>
    <d v="1899-12-30T03:46:20"/>
    <d v="1899-12-30T00:04:12"/>
    <n v="4"/>
    <n v="12"/>
    <n v="4.2"/>
    <n v="252"/>
    <n v="71.428571428571431"/>
    <x v="1"/>
  </r>
  <r>
    <x v="95"/>
    <d v="1899-12-30T21:39:23"/>
    <d v="1899-12-30T21:35:11"/>
    <d v="1899-12-30T00:04:12"/>
    <n v="4"/>
    <n v="12"/>
    <n v="4.2"/>
    <n v="252"/>
    <n v="71.428571428571431"/>
    <x v="1"/>
  </r>
  <r>
    <x v="0"/>
    <d v="1899-12-30T13:57:21"/>
    <d v="1899-12-30T13:53:08"/>
    <d v="1899-12-30T00:04:13"/>
    <n v="4"/>
    <n v="13"/>
    <n v="4.22"/>
    <n v="253"/>
    <n v="71.146245059288532"/>
    <x v="1"/>
  </r>
  <r>
    <x v="17"/>
    <d v="1899-12-30T04:39:04"/>
    <d v="1899-12-30T04:34:51"/>
    <d v="1899-12-30T00:04:13"/>
    <n v="4"/>
    <n v="13"/>
    <n v="4.22"/>
    <n v="253"/>
    <n v="71.146245059288532"/>
    <x v="1"/>
  </r>
  <r>
    <x v="307"/>
    <d v="1899-12-30T03:53:47"/>
    <d v="1899-12-30T03:49:34"/>
    <d v="1899-12-30T00:04:13"/>
    <n v="4"/>
    <n v="13"/>
    <n v="4.22"/>
    <n v="253"/>
    <n v="71.146245059288532"/>
    <x v="1"/>
  </r>
  <r>
    <x v="308"/>
    <d v="1899-12-30T14:59:11"/>
    <d v="1899-12-30T14:54:57"/>
    <d v="1899-12-30T00:04:13"/>
    <n v="4"/>
    <n v="13"/>
    <n v="4.22"/>
    <n v="253"/>
    <n v="71.146245059288532"/>
    <x v="1"/>
  </r>
  <r>
    <x v="4"/>
    <d v="1899-12-30T20:24:05"/>
    <d v="1899-12-30T20:28:19"/>
    <d v="1899-12-30T00:04:14"/>
    <n v="4"/>
    <n v="14"/>
    <n v="4.2300000000000004"/>
    <n v="254"/>
    <n v="70.866141732283467"/>
    <x v="1"/>
  </r>
  <r>
    <x v="24"/>
    <d v="1899-12-30T18:51:18"/>
    <d v="1899-12-30T18:47:04"/>
    <d v="1899-12-30T00:04:14"/>
    <n v="4"/>
    <n v="14"/>
    <n v="4.2300000000000004"/>
    <n v="254"/>
    <n v="70.866141732283467"/>
    <x v="1"/>
  </r>
  <r>
    <x v="268"/>
    <d v="1899-12-30T20:28:50"/>
    <d v="1899-12-30T20:33:05"/>
    <d v="1899-12-30T00:04:14"/>
    <n v="4"/>
    <n v="14"/>
    <n v="4.2300000000000004"/>
    <n v="254"/>
    <n v="70.866141732283467"/>
    <x v="1"/>
  </r>
  <r>
    <x v="57"/>
    <d v="1899-12-30T04:26:12"/>
    <d v="1899-12-30T04:21:58"/>
    <d v="1899-12-30T00:04:14"/>
    <n v="4"/>
    <n v="14"/>
    <n v="4.2300000000000004"/>
    <n v="254"/>
    <n v="70.866141732283467"/>
    <x v="1"/>
  </r>
  <r>
    <x v="35"/>
    <d v="1899-12-30T18:52:05"/>
    <d v="1899-12-30T18:56:20"/>
    <d v="1899-12-30T00:04:15"/>
    <n v="4"/>
    <n v="15"/>
    <n v="4.25"/>
    <n v="255"/>
    <n v="70.588235294117652"/>
    <x v="1"/>
  </r>
  <r>
    <x v="72"/>
    <d v="1899-12-30T03:21:32"/>
    <d v="1899-12-30T03:25:48"/>
    <d v="1899-12-30T00:04:15"/>
    <n v="4"/>
    <n v="15"/>
    <n v="4.25"/>
    <n v="255"/>
    <n v="70.588235294117652"/>
    <x v="1"/>
  </r>
  <r>
    <x v="217"/>
    <d v="1899-12-30T08:16:18"/>
    <d v="1899-12-30T08:20:33"/>
    <d v="1899-12-30T00:04:15"/>
    <n v="4"/>
    <n v="15"/>
    <n v="4.25"/>
    <n v="255"/>
    <n v="70.588235294117652"/>
    <x v="1"/>
  </r>
  <r>
    <x v="309"/>
    <d v="1899-12-30T06:05:13"/>
    <d v="1899-12-30T06:09:28"/>
    <d v="1899-12-30T00:04:15"/>
    <n v="4"/>
    <n v="15"/>
    <n v="4.25"/>
    <n v="255"/>
    <n v="70.588235294117652"/>
    <x v="1"/>
  </r>
  <r>
    <x v="4"/>
    <d v="1899-12-30T20:53:44"/>
    <d v="1899-12-30T20:58:00"/>
    <d v="1899-12-30T00:04:16"/>
    <n v="4"/>
    <n v="16"/>
    <n v="4.2699999999999996"/>
    <n v="256"/>
    <n v="70.3125"/>
    <x v="1"/>
  </r>
  <r>
    <x v="55"/>
    <d v="1899-12-30T06:07:52"/>
    <d v="1899-12-30T06:12:08"/>
    <d v="1899-12-30T00:04:16"/>
    <n v="4"/>
    <n v="16"/>
    <n v="4.2699999999999996"/>
    <n v="256"/>
    <n v="70.3125"/>
    <x v="1"/>
  </r>
  <r>
    <x v="120"/>
    <d v="1899-12-30T01:59:40"/>
    <d v="1899-12-30T01:55:24"/>
    <d v="1899-12-30T00:04:16"/>
    <n v="4"/>
    <n v="16"/>
    <n v="4.2699999999999996"/>
    <n v="256"/>
    <n v="70.3125"/>
    <x v="1"/>
  </r>
  <r>
    <x v="310"/>
    <d v="1899-12-30T07:23:47"/>
    <d v="1899-12-30T07:19:30"/>
    <d v="1899-12-30T00:04:16"/>
    <n v="4"/>
    <n v="16"/>
    <n v="4.2699999999999996"/>
    <n v="256"/>
    <n v="70.3125"/>
    <x v="1"/>
  </r>
  <r>
    <x v="311"/>
    <d v="1899-12-30T02:47:31"/>
    <d v="1899-12-30T02:43:15"/>
    <d v="1899-12-30T00:04:16"/>
    <n v="4"/>
    <n v="16"/>
    <n v="4.2699999999999996"/>
    <n v="256"/>
    <n v="70.3125"/>
    <x v="1"/>
  </r>
  <r>
    <x v="145"/>
    <d v="1899-12-30T03:56:01"/>
    <d v="1899-12-30T04:00:18"/>
    <d v="1899-12-30T00:04:17"/>
    <n v="4"/>
    <n v="17"/>
    <n v="4.28"/>
    <n v="257"/>
    <n v="70.038910505836583"/>
    <x v="1"/>
  </r>
  <r>
    <x v="162"/>
    <d v="1899-12-30T05:17:17"/>
    <d v="1899-12-30T05:21:34"/>
    <d v="1899-12-30T00:04:17"/>
    <n v="4"/>
    <n v="17"/>
    <n v="4.28"/>
    <n v="257"/>
    <n v="70.038910505836583"/>
    <x v="1"/>
  </r>
  <r>
    <x v="21"/>
    <d v="1899-12-30T04:47:03"/>
    <d v="1899-12-30T04:42:46"/>
    <d v="1899-12-30T00:04:17"/>
    <n v="4"/>
    <n v="17"/>
    <n v="4.28"/>
    <n v="257"/>
    <n v="70.038910505836583"/>
    <x v="1"/>
  </r>
  <r>
    <x v="298"/>
    <d v="1899-12-30T22:49:07"/>
    <d v="1899-12-30T22:44:50"/>
    <d v="1899-12-30T00:04:17"/>
    <n v="4"/>
    <n v="17"/>
    <n v="4.28"/>
    <n v="257"/>
    <n v="70.038910505836583"/>
    <x v="1"/>
  </r>
  <r>
    <x v="312"/>
    <d v="1899-12-30T11:30:07"/>
    <d v="1899-12-30T11:25:49"/>
    <d v="1899-12-30T00:04:18"/>
    <n v="4"/>
    <n v="18"/>
    <n v="4.3"/>
    <n v="258"/>
    <n v="69.767441860465112"/>
    <x v="1"/>
  </r>
  <r>
    <x v="313"/>
    <d v="1899-12-30T06:30:18"/>
    <d v="1899-12-30T06:34:36"/>
    <d v="1899-12-30T00:04:18"/>
    <n v="4"/>
    <n v="18"/>
    <n v="4.3"/>
    <n v="258"/>
    <n v="69.767441860465112"/>
    <x v="1"/>
  </r>
  <r>
    <x v="288"/>
    <d v="1899-12-30T01:36:34"/>
    <d v="1899-12-30T01:40:53"/>
    <d v="1899-12-30T00:04:19"/>
    <n v="4"/>
    <n v="19"/>
    <n v="4.32"/>
    <n v="259"/>
    <n v="69.498069498069498"/>
    <x v="1"/>
  </r>
  <r>
    <x v="290"/>
    <d v="1899-12-30T05:49:50"/>
    <d v="1899-12-30T05:54:08"/>
    <d v="1899-12-30T00:04:19"/>
    <n v="4"/>
    <n v="19"/>
    <n v="4.32"/>
    <n v="259"/>
    <n v="69.498069498069498"/>
    <x v="1"/>
  </r>
  <r>
    <x v="314"/>
    <d v="1899-12-30T01:23:38"/>
    <d v="1899-12-30T01:19:18"/>
    <d v="1899-12-30T00:04:20"/>
    <n v="4"/>
    <n v="20"/>
    <n v="4.33"/>
    <n v="260"/>
    <n v="69.230769230769226"/>
    <x v="1"/>
  </r>
  <r>
    <x v="42"/>
    <d v="1899-12-30T08:01:09"/>
    <d v="1899-12-30T07:56:49"/>
    <d v="1899-12-30T00:04:20"/>
    <n v="4"/>
    <n v="20"/>
    <n v="4.33"/>
    <n v="260"/>
    <n v="69.230769230769226"/>
    <x v="1"/>
  </r>
  <r>
    <x v="71"/>
    <d v="1899-12-30T11:45:11"/>
    <d v="1899-12-30T11:49:32"/>
    <d v="1899-12-30T00:04:20"/>
    <n v="4"/>
    <n v="20"/>
    <n v="4.33"/>
    <n v="260"/>
    <n v="69.230769230769226"/>
    <x v="1"/>
  </r>
  <r>
    <x v="4"/>
    <d v="1899-12-30T05:05:01"/>
    <d v="1899-12-30T05:00:40"/>
    <d v="1899-12-30T00:04:21"/>
    <n v="4"/>
    <n v="21"/>
    <n v="4.3499999999999996"/>
    <n v="261"/>
    <n v="68.965517241379303"/>
    <x v="1"/>
  </r>
  <r>
    <x v="64"/>
    <d v="1899-12-30T03:24:01"/>
    <d v="1899-12-30T03:19:39"/>
    <d v="1899-12-30T00:04:21"/>
    <n v="4"/>
    <n v="21"/>
    <n v="4.3499999999999996"/>
    <n v="261"/>
    <n v="68.965517241379303"/>
    <x v="1"/>
  </r>
  <r>
    <x v="42"/>
    <d v="1899-12-30T03:29:34"/>
    <d v="1899-12-30T03:33:55"/>
    <d v="1899-12-30T00:04:21"/>
    <n v="4"/>
    <n v="21"/>
    <n v="4.3499999999999996"/>
    <n v="261"/>
    <n v="68.965517241379303"/>
    <x v="1"/>
  </r>
  <r>
    <x v="65"/>
    <d v="1899-12-30T10:31:53"/>
    <d v="1899-12-30T10:27:32"/>
    <d v="1899-12-30T00:04:21"/>
    <n v="4"/>
    <n v="21"/>
    <n v="4.3499999999999996"/>
    <n v="261"/>
    <n v="68.965517241379303"/>
    <x v="1"/>
  </r>
  <r>
    <x v="71"/>
    <d v="1899-12-30T10:07:22"/>
    <d v="1899-12-30T10:11:43"/>
    <d v="1899-12-30T00:04:21"/>
    <n v="4"/>
    <n v="21"/>
    <n v="4.3499999999999996"/>
    <n v="261"/>
    <n v="68.965517241379303"/>
    <x v="1"/>
  </r>
  <r>
    <x v="315"/>
    <d v="1899-12-30T14:37:21"/>
    <d v="1899-12-30T14:33:00"/>
    <d v="1899-12-30T00:04:21"/>
    <n v="4"/>
    <n v="21"/>
    <n v="4.3499999999999996"/>
    <n v="261"/>
    <n v="68.965517241379303"/>
    <x v="1"/>
  </r>
  <r>
    <x v="316"/>
    <d v="1899-12-30T23:54:32"/>
    <d v="1899-12-30T23:50:11"/>
    <d v="1899-12-30T00:04:21"/>
    <n v="4"/>
    <n v="21"/>
    <n v="4.3499999999999996"/>
    <n v="261"/>
    <n v="68.965517241379303"/>
    <x v="1"/>
  </r>
  <r>
    <x v="58"/>
    <d v="1899-12-30T21:05:20"/>
    <d v="1899-12-30T21:00:58"/>
    <d v="1899-12-30T00:04:22"/>
    <n v="4"/>
    <n v="22"/>
    <n v="4.37"/>
    <n v="262"/>
    <n v="68.702290076335885"/>
    <x v="1"/>
  </r>
  <r>
    <x v="317"/>
    <d v="1899-12-30T15:05:08"/>
    <d v="1899-12-30T15:09:30"/>
    <d v="1899-12-30T00:04:22"/>
    <n v="4"/>
    <n v="22"/>
    <n v="4.37"/>
    <n v="262"/>
    <n v="68.702290076335885"/>
    <x v="1"/>
  </r>
  <r>
    <x v="55"/>
    <d v="1899-12-30T21:06:29"/>
    <d v="1899-12-30T21:10:53"/>
    <d v="1899-12-30T00:04:23"/>
    <n v="4"/>
    <n v="23"/>
    <n v="4.38"/>
    <n v="263"/>
    <n v="68.441064638783274"/>
    <x v="1"/>
  </r>
  <r>
    <x v="159"/>
    <d v="1899-12-30T14:26:13"/>
    <d v="1899-12-30T14:21:49"/>
    <d v="1899-12-30T00:04:23"/>
    <n v="4"/>
    <n v="23"/>
    <n v="4.38"/>
    <n v="263"/>
    <n v="68.441064638783274"/>
    <x v="1"/>
  </r>
  <r>
    <x v="318"/>
    <d v="1899-12-30T08:21:00"/>
    <d v="1899-12-30T08:25:23"/>
    <d v="1899-12-30T00:04:23"/>
    <n v="4"/>
    <n v="23"/>
    <n v="4.38"/>
    <n v="263"/>
    <n v="68.441064638783274"/>
    <x v="1"/>
  </r>
  <r>
    <x v="319"/>
    <d v="1899-12-30T14:07:54"/>
    <d v="1899-12-30T14:03:31"/>
    <d v="1899-12-30T00:04:23"/>
    <n v="4"/>
    <n v="23"/>
    <n v="4.38"/>
    <n v="263"/>
    <n v="68.441064638783274"/>
    <x v="1"/>
  </r>
  <r>
    <x v="4"/>
    <d v="1899-12-30T10:09:26"/>
    <d v="1899-12-30T10:13:50"/>
    <d v="1899-12-30T00:04:24"/>
    <n v="4"/>
    <n v="24"/>
    <n v="4.4000000000000004"/>
    <n v="264"/>
    <n v="68.181818181818187"/>
    <x v="1"/>
  </r>
  <r>
    <x v="48"/>
    <d v="1899-12-30T11:09:03"/>
    <d v="1899-12-30T11:04:38"/>
    <d v="1899-12-30T00:04:24"/>
    <n v="4"/>
    <n v="24"/>
    <n v="4.4000000000000004"/>
    <n v="264"/>
    <n v="68.181818181818187"/>
    <x v="1"/>
  </r>
  <r>
    <x v="169"/>
    <d v="1899-12-30T07:32:19"/>
    <d v="1899-12-30T07:36:44"/>
    <d v="1899-12-30T00:04:24"/>
    <n v="4"/>
    <n v="24"/>
    <n v="4.4000000000000004"/>
    <n v="264"/>
    <n v="68.181818181818187"/>
    <x v="1"/>
  </r>
  <r>
    <x v="221"/>
    <d v="1899-12-30T12:22:12"/>
    <d v="1899-12-30T12:26:36"/>
    <d v="1899-12-30T00:04:24"/>
    <n v="4"/>
    <n v="24"/>
    <n v="4.4000000000000004"/>
    <n v="264"/>
    <n v="68.181818181818187"/>
    <x v="1"/>
  </r>
  <r>
    <x v="320"/>
    <d v="1899-12-30T10:39:24"/>
    <d v="1899-12-30T10:43:48"/>
    <d v="1899-12-30T00:04:24"/>
    <n v="4"/>
    <n v="24"/>
    <n v="4.4000000000000004"/>
    <n v="264"/>
    <n v="68.181818181818187"/>
    <x v="1"/>
  </r>
  <r>
    <x v="6"/>
    <d v="1899-12-30T09:26:01"/>
    <d v="1899-12-30T09:30:25"/>
    <d v="1899-12-30T00:04:25"/>
    <n v="4"/>
    <n v="25"/>
    <n v="4.42"/>
    <n v="265"/>
    <n v="67.924528301886795"/>
    <x v="1"/>
  </r>
  <r>
    <x v="43"/>
    <d v="1899-12-30T05:09:08"/>
    <d v="1899-12-30T05:13:33"/>
    <d v="1899-12-30T00:04:25"/>
    <n v="4"/>
    <n v="25"/>
    <n v="4.42"/>
    <n v="265"/>
    <n v="67.924528301886795"/>
    <x v="1"/>
  </r>
  <r>
    <x v="321"/>
    <d v="1899-12-30T12:49:01"/>
    <d v="1899-12-30T12:44:37"/>
    <d v="1899-12-30T00:04:25"/>
    <n v="4"/>
    <n v="25"/>
    <n v="4.42"/>
    <n v="265"/>
    <n v="67.924528301886795"/>
    <x v="1"/>
  </r>
  <r>
    <x v="58"/>
    <d v="1899-12-30T17:33:32"/>
    <d v="1899-12-30T17:37:57"/>
    <d v="1899-12-30T00:04:25"/>
    <n v="4"/>
    <n v="25"/>
    <n v="4.42"/>
    <n v="265"/>
    <n v="67.924528301886795"/>
    <x v="1"/>
  </r>
  <r>
    <x v="322"/>
    <d v="1899-12-30T18:13:54"/>
    <d v="1899-12-30T18:18:19"/>
    <d v="1899-12-30T00:04:25"/>
    <n v="4"/>
    <n v="25"/>
    <n v="4.42"/>
    <n v="265"/>
    <n v="67.924528301886795"/>
    <x v="1"/>
  </r>
  <r>
    <x v="323"/>
    <d v="1899-12-30T22:57:49"/>
    <d v="1899-12-30T22:53:24"/>
    <d v="1899-12-30T00:04:25"/>
    <n v="4"/>
    <n v="25"/>
    <n v="4.42"/>
    <n v="265"/>
    <n v="67.924528301886795"/>
    <x v="1"/>
  </r>
  <r>
    <x v="324"/>
    <d v="1899-12-30T17:12:35"/>
    <d v="1899-12-30T17:08:10"/>
    <d v="1899-12-30T00:04:25"/>
    <n v="4"/>
    <n v="25"/>
    <n v="4.42"/>
    <n v="265"/>
    <n v="67.924528301886795"/>
    <x v="1"/>
  </r>
  <r>
    <x v="325"/>
    <d v="1899-12-30T12:37:40"/>
    <d v="1899-12-30T12:42:05"/>
    <d v="1899-12-30T00:04:25"/>
    <n v="4"/>
    <n v="25"/>
    <n v="4.42"/>
    <n v="265"/>
    <n v="67.924528301886795"/>
    <x v="1"/>
  </r>
  <r>
    <x v="326"/>
    <d v="1899-12-30T13:34:30"/>
    <d v="1899-12-30T13:38:56"/>
    <d v="1899-12-30T00:04:26"/>
    <n v="4"/>
    <n v="26"/>
    <n v="4.43"/>
    <n v="266"/>
    <n v="67.669172932330824"/>
    <x v="1"/>
  </r>
  <r>
    <x v="64"/>
    <d v="1899-12-30T19:59:22"/>
    <d v="1899-12-30T19:54:57"/>
    <d v="1899-12-30T00:04:26"/>
    <n v="4"/>
    <n v="26"/>
    <n v="4.43"/>
    <n v="266"/>
    <n v="67.669172932330824"/>
    <x v="1"/>
  </r>
  <r>
    <x v="243"/>
    <d v="1899-12-30T15:50:14"/>
    <d v="1899-12-30T15:45:48"/>
    <d v="1899-12-30T00:04:26"/>
    <n v="4"/>
    <n v="26"/>
    <n v="4.43"/>
    <n v="266"/>
    <n v="67.669172932330824"/>
    <x v="1"/>
  </r>
  <r>
    <x v="73"/>
    <d v="1899-12-30T07:19:21"/>
    <d v="1899-12-30T07:23:48"/>
    <d v="1899-12-30T00:04:27"/>
    <n v="4"/>
    <n v="27"/>
    <n v="4.45"/>
    <n v="267"/>
    <n v="67.415730337078642"/>
    <x v="1"/>
  </r>
  <r>
    <x v="327"/>
    <d v="1899-12-30T20:33:46"/>
    <d v="1899-12-30T20:29:19"/>
    <d v="1899-12-30T00:04:27"/>
    <n v="4"/>
    <n v="27"/>
    <n v="4.45"/>
    <n v="267"/>
    <n v="67.415730337078642"/>
    <x v="1"/>
  </r>
  <r>
    <x v="84"/>
    <d v="1899-12-30T05:55:28"/>
    <d v="1899-12-30T05:51:00"/>
    <d v="1899-12-30T00:04:28"/>
    <n v="4"/>
    <n v="28"/>
    <n v="4.47"/>
    <n v="268"/>
    <n v="67.164179104477611"/>
    <x v="1"/>
  </r>
  <r>
    <x v="328"/>
    <d v="1899-12-30T19:37:16"/>
    <d v="1899-12-30T19:32:48"/>
    <d v="1899-12-30T00:04:28"/>
    <n v="4"/>
    <n v="28"/>
    <n v="4.47"/>
    <n v="268"/>
    <n v="67.164179104477611"/>
    <x v="1"/>
  </r>
  <r>
    <x v="193"/>
    <d v="1899-12-30T13:11:35"/>
    <d v="1899-12-30T13:07:07"/>
    <d v="1899-12-30T00:04:29"/>
    <n v="4"/>
    <n v="29"/>
    <n v="4.4800000000000004"/>
    <n v="269"/>
    <n v="66.914498141263948"/>
    <x v="1"/>
  </r>
  <r>
    <x v="4"/>
    <d v="1899-12-30T11:34:05"/>
    <d v="1899-12-30T11:38:35"/>
    <d v="1899-12-30T00:04:29"/>
    <n v="4"/>
    <n v="29"/>
    <n v="4.4800000000000004"/>
    <n v="269"/>
    <n v="66.914498141263948"/>
    <x v="1"/>
  </r>
  <r>
    <x v="136"/>
    <d v="1899-12-30T21:57:59"/>
    <d v="1899-12-30T22:02:28"/>
    <d v="1899-12-30T00:04:29"/>
    <n v="4"/>
    <n v="29"/>
    <n v="4.4800000000000004"/>
    <n v="269"/>
    <n v="66.914498141263948"/>
    <x v="1"/>
  </r>
  <r>
    <x v="329"/>
    <d v="1899-12-30T00:10:55"/>
    <d v="1899-12-30T00:15:24"/>
    <d v="1899-12-30T00:04:29"/>
    <n v="4"/>
    <n v="29"/>
    <n v="4.4800000000000004"/>
    <n v="269"/>
    <n v="66.914498141263948"/>
    <x v="1"/>
  </r>
  <r>
    <x v="330"/>
    <d v="1899-12-30T22:07:10"/>
    <d v="1899-12-30T22:11:39"/>
    <d v="1899-12-30T00:04:29"/>
    <n v="4"/>
    <n v="29"/>
    <n v="4.4800000000000004"/>
    <n v="269"/>
    <n v="66.914498141263948"/>
    <x v="1"/>
  </r>
  <r>
    <x v="27"/>
    <d v="1899-12-30T13:24:29"/>
    <d v="1899-12-30T13:19:59"/>
    <d v="1899-12-30T00:04:30"/>
    <n v="4"/>
    <n v="30"/>
    <n v="4.5"/>
    <n v="270"/>
    <n v="66.666666666666671"/>
    <x v="1"/>
  </r>
  <r>
    <x v="331"/>
    <d v="1899-12-30T10:18:43"/>
    <d v="1899-12-30T10:14:14"/>
    <d v="1899-12-30T00:04:30"/>
    <n v="4"/>
    <n v="30"/>
    <n v="4.5"/>
    <n v="270"/>
    <n v="66.666666666666671"/>
    <x v="1"/>
  </r>
  <r>
    <x v="326"/>
    <d v="1899-12-30T05:58:26"/>
    <d v="1899-12-30T06:02:56"/>
    <d v="1899-12-30T00:04:30"/>
    <n v="4"/>
    <n v="30"/>
    <n v="4.5"/>
    <n v="270"/>
    <n v="66.666666666666671"/>
    <x v="1"/>
  </r>
  <r>
    <x v="64"/>
    <d v="1899-12-30T15:21:54"/>
    <d v="1899-12-30T15:26:24"/>
    <d v="1899-12-30T00:04:30"/>
    <n v="4"/>
    <n v="30"/>
    <n v="4.5"/>
    <n v="270"/>
    <n v="66.666666666666671"/>
    <x v="1"/>
  </r>
  <r>
    <x v="332"/>
    <d v="1899-12-30T08:27:32"/>
    <d v="1899-12-30T08:32:02"/>
    <d v="1899-12-30T00:04:30"/>
    <n v="4"/>
    <n v="30"/>
    <n v="4.5"/>
    <n v="270"/>
    <n v="66.666666666666671"/>
    <x v="1"/>
  </r>
  <r>
    <x v="267"/>
    <d v="1899-12-30T15:47:58"/>
    <d v="1899-12-30T15:43:27"/>
    <d v="1899-12-30T00:04:31"/>
    <n v="4"/>
    <n v="31"/>
    <n v="4.5199999999999996"/>
    <n v="271"/>
    <n v="66.420664206642059"/>
    <x v="1"/>
  </r>
  <r>
    <x v="269"/>
    <d v="1899-12-30T13:17:18"/>
    <d v="1899-12-30T13:12:47"/>
    <d v="1899-12-30T00:04:31"/>
    <n v="4"/>
    <n v="31"/>
    <n v="4.5199999999999996"/>
    <n v="271"/>
    <n v="66.420664206642059"/>
    <x v="1"/>
  </r>
  <r>
    <x v="333"/>
    <d v="1899-12-30T23:56:18"/>
    <d v="1899-12-30T23:51:47"/>
    <d v="1899-12-30T00:04:31"/>
    <n v="4"/>
    <n v="31"/>
    <n v="4.5199999999999996"/>
    <n v="271"/>
    <n v="66.420664206642059"/>
    <x v="1"/>
  </r>
  <r>
    <x v="334"/>
    <d v="1899-12-30T06:29:54"/>
    <d v="1899-12-30T06:25:22"/>
    <d v="1899-12-30T00:04:32"/>
    <n v="4"/>
    <n v="32"/>
    <n v="4.53"/>
    <n v="272"/>
    <n v="66.17647058823529"/>
    <x v="1"/>
  </r>
  <r>
    <x v="321"/>
    <d v="1899-12-30T15:09:02"/>
    <d v="1899-12-30T15:13:34"/>
    <d v="1899-12-30T00:04:32"/>
    <n v="4"/>
    <n v="32"/>
    <n v="4.53"/>
    <n v="272"/>
    <n v="66.17647058823529"/>
    <x v="1"/>
  </r>
  <r>
    <x v="24"/>
    <d v="1899-12-30T01:10:20"/>
    <d v="1899-12-30T01:14:52"/>
    <d v="1899-12-30T00:04:32"/>
    <n v="4"/>
    <n v="32"/>
    <n v="4.53"/>
    <n v="272"/>
    <n v="66.17647058823529"/>
    <x v="1"/>
  </r>
  <r>
    <x v="93"/>
    <d v="1899-12-30T21:42:09"/>
    <d v="1899-12-30T21:37:35"/>
    <d v="1899-12-30T00:04:33"/>
    <n v="4"/>
    <n v="33"/>
    <n v="4.55"/>
    <n v="273"/>
    <n v="65.934065934065927"/>
    <x v="1"/>
  </r>
  <r>
    <x v="176"/>
    <d v="1899-12-30T12:26:23"/>
    <d v="1899-12-30T12:30:55"/>
    <d v="1899-12-30T00:04:33"/>
    <n v="4"/>
    <n v="33"/>
    <n v="4.55"/>
    <n v="273"/>
    <n v="65.934065934065927"/>
    <x v="1"/>
  </r>
  <r>
    <x v="106"/>
    <d v="1899-12-30T13:25:28"/>
    <d v="1899-12-30T13:20:55"/>
    <d v="1899-12-30T00:04:33"/>
    <n v="4"/>
    <n v="33"/>
    <n v="4.55"/>
    <n v="273"/>
    <n v="65.934065934065927"/>
    <x v="1"/>
  </r>
  <r>
    <x v="335"/>
    <d v="1899-12-30T14:53:41"/>
    <d v="1899-12-30T14:58:14"/>
    <d v="1899-12-30T00:04:33"/>
    <n v="4"/>
    <n v="33"/>
    <n v="4.55"/>
    <n v="273"/>
    <n v="65.934065934065927"/>
    <x v="1"/>
  </r>
  <r>
    <x v="336"/>
    <d v="1899-12-30T07:19:41"/>
    <d v="1899-12-30T07:24:13"/>
    <d v="1899-12-30T00:04:33"/>
    <n v="4"/>
    <n v="33"/>
    <n v="4.55"/>
    <n v="273"/>
    <n v="65.934065934065927"/>
    <x v="1"/>
  </r>
  <r>
    <x v="196"/>
    <d v="1899-12-30T07:47:33"/>
    <d v="1899-12-30T07:42:59"/>
    <d v="1899-12-30T00:04:34"/>
    <n v="4"/>
    <n v="34"/>
    <n v="4.57"/>
    <n v="274"/>
    <n v="65.693430656934311"/>
    <x v="1"/>
  </r>
  <r>
    <x v="337"/>
    <d v="1899-12-30T22:06:01"/>
    <d v="1899-12-30T22:10:35"/>
    <d v="1899-12-30T00:04:34"/>
    <n v="4"/>
    <n v="34"/>
    <n v="4.57"/>
    <n v="274"/>
    <n v="65.693430656934311"/>
    <x v="1"/>
  </r>
  <r>
    <x v="17"/>
    <d v="1899-12-30T11:45:31"/>
    <d v="1899-12-30T11:50:05"/>
    <d v="1899-12-30T00:04:34"/>
    <n v="4"/>
    <n v="34"/>
    <n v="4.57"/>
    <n v="274"/>
    <n v="65.693430656934311"/>
    <x v="1"/>
  </r>
  <r>
    <x v="41"/>
    <d v="1899-12-30T13:47:39"/>
    <d v="1899-12-30T13:52:14"/>
    <d v="1899-12-30T00:04:35"/>
    <n v="4"/>
    <n v="35"/>
    <n v="4.58"/>
    <n v="275"/>
    <n v="65.454545454545453"/>
    <x v="1"/>
  </r>
  <r>
    <x v="56"/>
    <d v="1899-12-30T23:48:05"/>
    <d v="1899-12-30T23:52:40"/>
    <d v="1899-12-30T00:04:35"/>
    <n v="4"/>
    <n v="35"/>
    <n v="4.58"/>
    <n v="275"/>
    <n v="65.454545454545453"/>
    <x v="1"/>
  </r>
  <r>
    <x v="161"/>
    <d v="1899-12-30T11:06:53"/>
    <d v="1899-12-30T11:02:17"/>
    <d v="1899-12-30T00:04:36"/>
    <n v="4"/>
    <n v="36"/>
    <n v="4.5999999999999996"/>
    <n v="276"/>
    <n v="65.217391304347828"/>
    <x v="1"/>
  </r>
  <r>
    <x v="280"/>
    <d v="1899-12-30T06:31:39"/>
    <d v="1899-12-30T06:27:03"/>
    <d v="1899-12-30T00:04:36"/>
    <n v="4"/>
    <n v="36"/>
    <n v="4.5999999999999996"/>
    <n v="276"/>
    <n v="65.217391304347828"/>
    <x v="1"/>
  </r>
  <r>
    <x v="338"/>
    <d v="1899-12-30T06:06:47"/>
    <d v="1899-12-30T06:11:23"/>
    <d v="1899-12-30T00:04:36"/>
    <n v="4"/>
    <n v="36"/>
    <n v="4.5999999999999996"/>
    <n v="276"/>
    <n v="65.217391304347828"/>
    <x v="1"/>
  </r>
  <r>
    <x v="55"/>
    <d v="1899-12-30T17:07:57"/>
    <d v="1899-12-30T17:03:20"/>
    <d v="1899-12-30T00:04:36"/>
    <n v="4"/>
    <n v="36"/>
    <n v="4.5999999999999996"/>
    <n v="276"/>
    <n v="65.217391304347828"/>
    <x v="1"/>
  </r>
  <r>
    <x v="255"/>
    <d v="1899-12-30T00:42:43"/>
    <d v="1899-12-30T00:47:20"/>
    <d v="1899-12-30T00:04:37"/>
    <n v="4"/>
    <n v="37"/>
    <n v="4.62"/>
    <n v="277"/>
    <n v="64.981949458483754"/>
    <x v="1"/>
  </r>
  <r>
    <x v="45"/>
    <d v="1899-12-30T13:44:20"/>
    <d v="1899-12-30T13:48:57"/>
    <d v="1899-12-30T00:04:37"/>
    <n v="4"/>
    <n v="37"/>
    <n v="4.62"/>
    <n v="277"/>
    <n v="64.981949458483754"/>
    <x v="1"/>
  </r>
  <r>
    <x v="4"/>
    <d v="1899-12-30T16:03:04"/>
    <d v="1899-12-30T16:07:41"/>
    <d v="1899-12-30T00:04:37"/>
    <n v="4"/>
    <n v="37"/>
    <n v="4.62"/>
    <n v="277"/>
    <n v="64.981949458483754"/>
    <x v="1"/>
  </r>
  <r>
    <x v="339"/>
    <d v="1899-12-30T11:03:34"/>
    <d v="1899-12-30T11:08:11"/>
    <d v="1899-12-30T00:04:37"/>
    <n v="4"/>
    <n v="37"/>
    <n v="4.62"/>
    <n v="277"/>
    <n v="64.981949458483754"/>
    <x v="1"/>
  </r>
  <r>
    <x v="340"/>
    <d v="1899-12-30T21:14:45"/>
    <d v="1899-12-30T21:10:07"/>
    <d v="1899-12-30T00:04:37"/>
    <n v="4"/>
    <n v="37"/>
    <n v="4.62"/>
    <n v="277"/>
    <n v="64.981949458483754"/>
    <x v="1"/>
  </r>
  <r>
    <x v="222"/>
    <d v="1899-12-30T21:27:08"/>
    <d v="1899-12-30T21:31:47"/>
    <d v="1899-12-30T00:04:38"/>
    <n v="4"/>
    <n v="38"/>
    <n v="4.63"/>
    <n v="278"/>
    <n v="64.748201438848923"/>
    <x v="1"/>
  </r>
  <r>
    <x v="35"/>
    <d v="1899-12-30T22:54:53"/>
    <d v="1899-12-30T22:50:16"/>
    <d v="1899-12-30T00:04:38"/>
    <n v="4"/>
    <n v="38"/>
    <n v="4.63"/>
    <n v="278"/>
    <n v="64.748201438848923"/>
    <x v="1"/>
  </r>
  <r>
    <x v="57"/>
    <d v="1899-12-30T17:45:14"/>
    <d v="1899-12-30T17:49:52"/>
    <d v="1899-12-30T00:04:38"/>
    <n v="4"/>
    <n v="38"/>
    <n v="4.63"/>
    <n v="278"/>
    <n v="64.748201438848923"/>
    <x v="1"/>
  </r>
  <r>
    <x v="341"/>
    <d v="1899-12-30T10:18:27"/>
    <d v="1899-12-30T10:13:49"/>
    <d v="1899-12-30T00:04:38"/>
    <n v="4"/>
    <n v="38"/>
    <n v="4.63"/>
    <n v="278"/>
    <n v="64.748201438848923"/>
    <x v="1"/>
  </r>
  <r>
    <x v="147"/>
    <d v="1899-12-30T06:02:54"/>
    <d v="1899-12-30T06:07:33"/>
    <d v="1899-12-30T00:04:39"/>
    <n v="4"/>
    <n v="39"/>
    <n v="4.6500000000000004"/>
    <n v="279"/>
    <n v="64.516129032258064"/>
    <x v="1"/>
  </r>
  <r>
    <x v="24"/>
    <d v="1899-12-30T10:45:48"/>
    <d v="1899-12-30T10:50:27"/>
    <d v="1899-12-30T00:04:39"/>
    <n v="4"/>
    <n v="39"/>
    <n v="4.6500000000000004"/>
    <n v="279"/>
    <n v="64.516129032258064"/>
    <x v="1"/>
  </r>
  <r>
    <x v="71"/>
    <d v="1899-12-30T07:08:27"/>
    <d v="1899-12-30T07:13:06"/>
    <d v="1899-12-30T00:04:39"/>
    <n v="4"/>
    <n v="39"/>
    <n v="4.6500000000000004"/>
    <n v="279"/>
    <n v="64.516129032258064"/>
    <x v="1"/>
  </r>
  <r>
    <x v="100"/>
    <d v="1899-12-30T19:49:22"/>
    <d v="1899-12-30T19:54:01"/>
    <d v="1899-12-30T00:04:39"/>
    <n v="4"/>
    <n v="39"/>
    <n v="4.6500000000000004"/>
    <n v="279"/>
    <n v="64.516129032258064"/>
    <x v="1"/>
  </r>
  <r>
    <x v="342"/>
    <d v="1899-12-30T02:52:42"/>
    <d v="1899-12-30T02:48:04"/>
    <d v="1899-12-30T00:04:39"/>
    <n v="4"/>
    <n v="39"/>
    <n v="4.6500000000000004"/>
    <n v="279"/>
    <n v="64.516129032258064"/>
    <x v="1"/>
  </r>
  <r>
    <x v="338"/>
    <d v="1899-12-30T02:20:44"/>
    <d v="1899-12-30T02:16:04"/>
    <d v="1899-12-30T00:04:40"/>
    <n v="4"/>
    <n v="40"/>
    <n v="4.67"/>
    <n v="280"/>
    <n v="64.285714285714292"/>
    <x v="1"/>
  </r>
  <r>
    <x v="57"/>
    <d v="1899-12-30T22:42:50"/>
    <d v="1899-12-30T22:47:30"/>
    <d v="1899-12-30T00:04:40"/>
    <n v="4"/>
    <n v="40"/>
    <n v="4.67"/>
    <n v="280"/>
    <n v="64.285714285714292"/>
    <x v="1"/>
  </r>
  <r>
    <x v="26"/>
    <d v="1899-12-30T19:22:33"/>
    <d v="1899-12-30T19:17:53"/>
    <d v="1899-12-30T00:04:40"/>
    <n v="4"/>
    <n v="40"/>
    <n v="4.67"/>
    <n v="280"/>
    <n v="64.285714285714292"/>
    <x v="1"/>
  </r>
  <r>
    <x v="298"/>
    <d v="1899-12-30T04:37:19"/>
    <d v="1899-12-30T04:32:39"/>
    <d v="1899-12-30T00:04:40"/>
    <n v="4"/>
    <n v="40"/>
    <n v="4.67"/>
    <n v="280"/>
    <n v="64.285714285714292"/>
    <x v="1"/>
  </r>
  <r>
    <x v="56"/>
    <d v="1899-12-30T21:14:49"/>
    <d v="1899-12-30T21:10:10"/>
    <d v="1899-12-30T00:04:40"/>
    <n v="4"/>
    <n v="40"/>
    <n v="4.67"/>
    <n v="280"/>
    <n v="64.285714285714292"/>
    <x v="1"/>
  </r>
  <r>
    <x v="343"/>
    <d v="1899-12-30T05:35:01"/>
    <d v="1899-12-30T05:39:42"/>
    <d v="1899-12-30T00:04:41"/>
    <n v="4"/>
    <n v="41"/>
    <n v="4.68"/>
    <n v="281"/>
    <n v="64.056939501779354"/>
    <x v="1"/>
  </r>
  <r>
    <x v="48"/>
    <d v="1899-12-30T03:06:09"/>
    <d v="1899-12-30T03:01:27"/>
    <d v="1899-12-30T00:04:42"/>
    <n v="4"/>
    <n v="42"/>
    <n v="4.7"/>
    <n v="282"/>
    <n v="63.829787234042556"/>
    <x v="1"/>
  </r>
  <r>
    <x v="38"/>
    <d v="1899-12-30T12:05:02"/>
    <d v="1899-12-30T12:09:44"/>
    <d v="1899-12-30T00:04:42"/>
    <n v="4"/>
    <n v="42"/>
    <n v="4.7"/>
    <n v="282"/>
    <n v="63.829787234042556"/>
    <x v="1"/>
  </r>
  <r>
    <x v="297"/>
    <d v="1899-12-30T07:04:29"/>
    <d v="1899-12-30T07:09:11"/>
    <d v="1899-12-30T00:04:42"/>
    <n v="4"/>
    <n v="42"/>
    <n v="4.7"/>
    <n v="282"/>
    <n v="63.829787234042556"/>
    <x v="1"/>
  </r>
  <r>
    <x v="58"/>
    <d v="1899-12-30T10:40:55"/>
    <d v="1899-12-30T10:45:37"/>
    <d v="1899-12-30T00:04:42"/>
    <n v="4"/>
    <n v="42"/>
    <n v="4.7"/>
    <n v="282"/>
    <n v="63.829787234042556"/>
    <x v="1"/>
  </r>
  <r>
    <x v="344"/>
    <d v="1899-12-30T17:14:11"/>
    <d v="1899-12-30T17:09:29"/>
    <d v="1899-12-30T00:04:42"/>
    <n v="4"/>
    <n v="42"/>
    <n v="4.7"/>
    <n v="282"/>
    <n v="63.829787234042556"/>
    <x v="1"/>
  </r>
  <r>
    <x v="345"/>
    <d v="1899-12-30T01:38:43"/>
    <d v="1899-12-30T01:33:59"/>
    <d v="1899-12-30T00:04:43"/>
    <n v="4"/>
    <n v="43"/>
    <n v="4.72"/>
    <n v="283"/>
    <n v="63.60424028268551"/>
    <x v="1"/>
  </r>
  <r>
    <x v="160"/>
    <d v="1899-12-30T23:39:57"/>
    <d v="1899-12-30T23:35:14"/>
    <d v="1899-12-30T00:04:43"/>
    <n v="4"/>
    <n v="43"/>
    <n v="4.72"/>
    <n v="283"/>
    <n v="63.60424028268551"/>
    <x v="1"/>
  </r>
  <r>
    <x v="35"/>
    <d v="1899-12-30T10:07:18"/>
    <d v="1899-12-30T10:12:01"/>
    <d v="1899-12-30T00:04:43"/>
    <n v="4"/>
    <n v="43"/>
    <n v="4.72"/>
    <n v="283"/>
    <n v="63.60424028268551"/>
    <x v="1"/>
  </r>
  <r>
    <x v="346"/>
    <d v="1899-12-30T23:13:25"/>
    <d v="1899-12-30T23:08:42"/>
    <d v="1899-12-30T00:04:43"/>
    <n v="4"/>
    <n v="43"/>
    <n v="4.72"/>
    <n v="283"/>
    <n v="63.60424028268551"/>
    <x v="1"/>
  </r>
  <r>
    <x v="347"/>
    <d v="1899-12-30T14:55:05"/>
    <d v="1899-12-30T14:50:20"/>
    <d v="1899-12-30T00:04:44"/>
    <n v="4"/>
    <n v="44"/>
    <n v="4.7300000000000004"/>
    <n v="284"/>
    <n v="63.380281690140848"/>
    <x v="1"/>
  </r>
  <r>
    <x v="157"/>
    <d v="1899-12-30T22:15:38"/>
    <d v="1899-12-30T22:10:54"/>
    <d v="1899-12-30T00:04:44"/>
    <n v="4"/>
    <n v="44"/>
    <n v="4.7300000000000004"/>
    <n v="284"/>
    <n v="63.380281690140848"/>
    <x v="1"/>
  </r>
  <r>
    <x v="191"/>
    <d v="1899-12-30T02:36:44"/>
    <d v="1899-12-30T02:32:00"/>
    <d v="1899-12-30T00:04:44"/>
    <n v="4"/>
    <n v="44"/>
    <n v="4.7300000000000004"/>
    <n v="284"/>
    <n v="63.380281690140848"/>
    <x v="1"/>
  </r>
  <r>
    <x v="52"/>
    <d v="1899-12-30T17:06:38"/>
    <d v="1899-12-30T17:11:22"/>
    <d v="1899-12-30T00:04:44"/>
    <n v="4"/>
    <n v="44"/>
    <n v="4.7300000000000004"/>
    <n v="284"/>
    <n v="63.380281690140848"/>
    <x v="1"/>
  </r>
  <r>
    <x v="57"/>
    <d v="1899-12-30T13:31:57"/>
    <d v="1899-12-30T13:27:13"/>
    <d v="1899-12-30T00:04:44"/>
    <n v="4"/>
    <n v="44"/>
    <n v="4.7300000000000004"/>
    <n v="284"/>
    <n v="63.380281690140848"/>
    <x v="1"/>
  </r>
  <r>
    <x v="348"/>
    <d v="1899-12-30T21:45:16"/>
    <d v="1899-12-30T21:50:00"/>
    <d v="1899-12-30T00:04:44"/>
    <n v="4"/>
    <n v="44"/>
    <n v="4.7300000000000004"/>
    <n v="284"/>
    <n v="63.380281690140848"/>
    <x v="1"/>
  </r>
  <r>
    <x v="349"/>
    <d v="1899-12-30T21:52:29"/>
    <d v="1899-12-30T21:57:13"/>
    <d v="1899-12-30T00:04:44"/>
    <n v="4"/>
    <n v="44"/>
    <n v="4.7300000000000004"/>
    <n v="284"/>
    <n v="63.380281690140848"/>
    <x v="1"/>
  </r>
  <r>
    <x v="44"/>
    <d v="1899-12-30T14:12:49"/>
    <d v="1899-12-30T14:17:34"/>
    <d v="1899-12-30T00:04:45"/>
    <n v="4"/>
    <n v="45"/>
    <n v="4.75"/>
    <n v="285"/>
    <n v="63.15789473684211"/>
    <x v="1"/>
  </r>
  <r>
    <x v="0"/>
    <d v="1899-12-30T12:38:06"/>
    <d v="1899-12-30T12:33:22"/>
    <d v="1899-12-30T00:04:45"/>
    <n v="4"/>
    <n v="45"/>
    <n v="4.75"/>
    <n v="285"/>
    <n v="63.15789473684211"/>
    <x v="1"/>
  </r>
  <r>
    <x v="350"/>
    <d v="1899-12-30T20:22:07"/>
    <d v="1899-12-30T20:26:53"/>
    <d v="1899-12-30T00:04:45"/>
    <n v="4"/>
    <n v="45"/>
    <n v="4.75"/>
    <n v="285"/>
    <n v="63.15789473684211"/>
    <x v="1"/>
  </r>
  <r>
    <x v="40"/>
    <d v="1899-12-30T00:36:27"/>
    <d v="1899-12-30T00:41:13"/>
    <d v="1899-12-30T00:04:46"/>
    <n v="4"/>
    <n v="46"/>
    <n v="4.7699999999999996"/>
    <n v="286"/>
    <n v="62.937062937062933"/>
    <x v="1"/>
  </r>
  <r>
    <x v="17"/>
    <d v="1899-12-30T06:12:57"/>
    <d v="1899-12-30T06:17:43"/>
    <d v="1899-12-30T00:04:46"/>
    <n v="4"/>
    <n v="46"/>
    <n v="4.7699999999999996"/>
    <n v="286"/>
    <n v="62.937062937062933"/>
    <x v="1"/>
  </r>
  <r>
    <x v="24"/>
    <d v="1899-12-30T08:47:29"/>
    <d v="1899-12-30T08:42:43"/>
    <d v="1899-12-30T00:04:46"/>
    <n v="4"/>
    <n v="46"/>
    <n v="4.7699999999999996"/>
    <n v="286"/>
    <n v="62.937062937062933"/>
    <x v="1"/>
  </r>
  <r>
    <x v="48"/>
    <d v="1899-12-30T05:28:41"/>
    <d v="1899-12-30T05:23:54"/>
    <d v="1899-12-30T00:04:47"/>
    <n v="4"/>
    <n v="47"/>
    <n v="4.78"/>
    <n v="287"/>
    <n v="62.717770034843205"/>
    <x v="1"/>
  </r>
  <r>
    <x v="43"/>
    <d v="1899-12-30T01:24:11"/>
    <d v="1899-12-30T01:28:58"/>
    <d v="1899-12-30T00:04:47"/>
    <n v="4"/>
    <n v="47"/>
    <n v="4.78"/>
    <n v="287"/>
    <n v="62.717770034843205"/>
    <x v="1"/>
  </r>
  <r>
    <x v="241"/>
    <d v="1899-12-30T01:49:41"/>
    <d v="1899-12-30T01:54:27"/>
    <d v="1899-12-30T00:04:47"/>
    <n v="4"/>
    <n v="47"/>
    <n v="4.78"/>
    <n v="287"/>
    <n v="62.717770034843205"/>
    <x v="1"/>
  </r>
  <r>
    <x v="269"/>
    <d v="1899-12-30T14:35:44"/>
    <d v="1899-12-30T14:40:31"/>
    <d v="1899-12-30T00:04:47"/>
    <n v="4"/>
    <n v="47"/>
    <n v="4.78"/>
    <n v="287"/>
    <n v="62.717770034843205"/>
    <x v="1"/>
  </r>
  <r>
    <x v="345"/>
    <d v="1899-12-30T21:27:58"/>
    <d v="1899-12-30T21:23:11"/>
    <d v="1899-12-30T00:04:47"/>
    <n v="4"/>
    <n v="47"/>
    <n v="4.78"/>
    <n v="287"/>
    <n v="62.717770034843205"/>
    <x v="1"/>
  </r>
  <r>
    <x v="58"/>
    <d v="1899-12-30T09:42:10"/>
    <d v="1899-12-30T09:46:56"/>
    <d v="1899-12-30T00:04:47"/>
    <n v="4"/>
    <n v="47"/>
    <n v="4.78"/>
    <n v="287"/>
    <n v="62.717770034843205"/>
    <x v="1"/>
  </r>
  <r>
    <x v="0"/>
    <d v="1899-12-30T17:01:44"/>
    <d v="1899-12-30T17:06:31"/>
    <d v="1899-12-30T00:04:47"/>
    <n v="4"/>
    <n v="47"/>
    <n v="4.78"/>
    <n v="287"/>
    <n v="62.717770034843205"/>
    <x v="1"/>
  </r>
  <r>
    <x v="351"/>
    <d v="1899-12-30T18:19:31"/>
    <d v="1899-12-30T18:14:44"/>
    <d v="1899-12-30T00:04:47"/>
    <n v="4"/>
    <n v="47"/>
    <n v="4.78"/>
    <n v="287"/>
    <n v="62.717770034843205"/>
    <x v="1"/>
  </r>
  <r>
    <x v="135"/>
    <d v="1899-12-30T22:48:34"/>
    <d v="1899-12-30T22:53:22"/>
    <d v="1899-12-30T00:04:48"/>
    <n v="4"/>
    <n v="48"/>
    <n v="4.8"/>
    <n v="288"/>
    <n v="62.5"/>
    <x v="1"/>
  </r>
  <r>
    <x v="58"/>
    <d v="1899-12-30T05:37:05"/>
    <d v="1899-12-30T05:32:17"/>
    <d v="1899-12-30T00:04:48"/>
    <n v="4"/>
    <n v="48"/>
    <n v="4.8"/>
    <n v="288"/>
    <n v="62.5"/>
    <x v="1"/>
  </r>
  <r>
    <x v="352"/>
    <d v="1899-12-30T19:25:27"/>
    <d v="1899-12-30T19:30:15"/>
    <d v="1899-12-30T00:04:48"/>
    <n v="4"/>
    <n v="48"/>
    <n v="4.8"/>
    <n v="288"/>
    <n v="62.5"/>
    <x v="1"/>
  </r>
  <r>
    <x v="104"/>
    <d v="1899-12-30T15:50:56"/>
    <d v="1899-12-30T15:46:07"/>
    <d v="1899-12-30T00:04:49"/>
    <n v="4"/>
    <n v="49"/>
    <n v="4.82"/>
    <n v="289"/>
    <n v="62.283737024221459"/>
    <x v="1"/>
  </r>
  <r>
    <x v="71"/>
    <d v="1899-12-30T17:50:10"/>
    <d v="1899-12-30T17:54:59"/>
    <d v="1899-12-30T00:04:49"/>
    <n v="4"/>
    <n v="49"/>
    <n v="4.82"/>
    <n v="289"/>
    <n v="62.283737024221459"/>
    <x v="1"/>
  </r>
  <r>
    <x v="226"/>
    <d v="1899-12-30T12:52:26"/>
    <d v="1899-12-30T12:47:37"/>
    <d v="1899-12-30T00:04:49"/>
    <n v="4"/>
    <n v="49"/>
    <n v="4.82"/>
    <n v="289"/>
    <n v="62.283737024221459"/>
    <x v="1"/>
  </r>
  <r>
    <x v="353"/>
    <d v="1899-12-30T13:57:15"/>
    <d v="1899-12-30T14:02:04"/>
    <d v="1899-12-30T00:04:49"/>
    <n v="4"/>
    <n v="49"/>
    <n v="4.82"/>
    <n v="289"/>
    <n v="62.283737024221459"/>
    <x v="1"/>
  </r>
  <r>
    <x v="354"/>
    <d v="1899-12-30T06:11:14"/>
    <d v="1899-12-30T06:06:25"/>
    <d v="1899-12-30T00:04:49"/>
    <n v="4"/>
    <n v="49"/>
    <n v="4.82"/>
    <n v="289"/>
    <n v="62.283737024221459"/>
    <x v="1"/>
  </r>
  <r>
    <x v="355"/>
    <d v="1899-12-30T18:31:30"/>
    <d v="1899-12-30T18:26:41"/>
    <d v="1899-12-30T00:04:49"/>
    <n v="4"/>
    <n v="49"/>
    <n v="4.82"/>
    <n v="289"/>
    <n v="62.283737024221459"/>
    <x v="1"/>
  </r>
  <r>
    <x v="95"/>
    <d v="1899-12-30T03:52:25"/>
    <d v="1899-12-30T03:47:36"/>
    <d v="1899-12-30T00:04:50"/>
    <n v="4"/>
    <n v="50"/>
    <n v="4.83"/>
    <n v="290"/>
    <n v="62.068965517241381"/>
    <x v="1"/>
  </r>
  <r>
    <x v="71"/>
    <d v="1899-12-30T21:31:48"/>
    <d v="1899-12-30T21:26:59"/>
    <d v="1899-12-30T00:04:50"/>
    <n v="4"/>
    <n v="50"/>
    <n v="4.83"/>
    <n v="290"/>
    <n v="62.068965517241381"/>
    <x v="1"/>
  </r>
  <r>
    <x v="314"/>
    <d v="1899-12-30T12:55:57"/>
    <d v="1899-12-30T12:51:06"/>
    <d v="1899-12-30T00:04:50"/>
    <n v="4"/>
    <n v="50"/>
    <n v="4.83"/>
    <n v="290"/>
    <n v="62.068965517241381"/>
    <x v="1"/>
  </r>
  <r>
    <x v="210"/>
    <d v="1899-12-30T09:25:10"/>
    <d v="1899-12-30T09:30:00"/>
    <d v="1899-12-30T00:04:50"/>
    <n v="4"/>
    <n v="50"/>
    <n v="4.83"/>
    <n v="290"/>
    <n v="62.068965517241381"/>
    <x v="1"/>
  </r>
  <r>
    <x v="71"/>
    <d v="1899-12-30T00:34:17"/>
    <d v="1899-12-30T00:29:27"/>
    <d v="1899-12-30T00:04:50"/>
    <n v="4"/>
    <n v="50"/>
    <n v="4.83"/>
    <n v="290"/>
    <n v="62.068965517241381"/>
    <x v="1"/>
  </r>
  <r>
    <x v="17"/>
    <d v="1899-12-30T17:58:43"/>
    <d v="1899-12-30T17:53:53"/>
    <d v="1899-12-30T00:04:50"/>
    <n v="4"/>
    <n v="50"/>
    <n v="4.83"/>
    <n v="290"/>
    <n v="62.068965517241381"/>
    <x v="1"/>
  </r>
  <r>
    <x v="17"/>
    <d v="1899-12-30T02:54:49"/>
    <d v="1899-12-30T02:59:39"/>
    <d v="1899-12-30T00:04:50"/>
    <n v="4"/>
    <n v="50"/>
    <n v="4.83"/>
    <n v="290"/>
    <n v="62.068965517241381"/>
    <x v="1"/>
  </r>
  <r>
    <x v="161"/>
    <d v="1899-12-30T05:14:32"/>
    <d v="1899-12-30T05:09:42"/>
    <d v="1899-12-30T00:04:50"/>
    <n v="4"/>
    <n v="50"/>
    <n v="4.83"/>
    <n v="290"/>
    <n v="62.068965517241381"/>
    <x v="1"/>
  </r>
  <r>
    <x v="218"/>
    <d v="1899-12-30T17:12:30"/>
    <d v="1899-12-30T17:07:40"/>
    <d v="1899-12-30T00:04:50"/>
    <n v="4"/>
    <n v="50"/>
    <n v="4.83"/>
    <n v="290"/>
    <n v="62.068965517241381"/>
    <x v="1"/>
  </r>
  <r>
    <x v="356"/>
    <d v="1899-12-30T03:18:16"/>
    <d v="1899-12-30T03:13:26"/>
    <d v="1899-12-30T00:04:50"/>
    <n v="4"/>
    <n v="50"/>
    <n v="4.83"/>
    <n v="290"/>
    <n v="62.068965517241381"/>
    <x v="1"/>
  </r>
  <r>
    <x v="17"/>
    <d v="1899-12-30T23:34:46"/>
    <d v="1899-12-30T23:39:38"/>
    <d v="1899-12-30T00:04:51"/>
    <n v="4"/>
    <n v="51"/>
    <n v="4.8499999999999996"/>
    <n v="291"/>
    <n v="61.855670103092784"/>
    <x v="1"/>
  </r>
  <r>
    <x v="25"/>
    <d v="1899-12-30T19:07:55"/>
    <d v="1899-12-30T19:12:46"/>
    <d v="1899-12-30T00:04:51"/>
    <n v="4"/>
    <n v="51"/>
    <n v="4.8499999999999996"/>
    <n v="291"/>
    <n v="61.855670103092784"/>
    <x v="1"/>
  </r>
  <r>
    <x v="78"/>
    <d v="1899-12-30T09:29:47"/>
    <d v="1899-12-30T09:24:56"/>
    <d v="1899-12-30T00:04:51"/>
    <n v="4"/>
    <n v="51"/>
    <n v="4.8499999999999996"/>
    <n v="291"/>
    <n v="61.855670103092784"/>
    <x v="1"/>
  </r>
  <r>
    <x v="314"/>
    <d v="1899-12-30T09:28:28"/>
    <d v="1899-12-30T09:23:38"/>
    <d v="1899-12-30T00:04:51"/>
    <n v="4"/>
    <n v="51"/>
    <n v="4.8499999999999996"/>
    <n v="291"/>
    <n v="61.855670103092784"/>
    <x v="1"/>
  </r>
  <r>
    <x v="35"/>
    <d v="1899-12-30T19:42:46"/>
    <d v="1899-12-30T19:47:37"/>
    <d v="1899-12-30T00:04:51"/>
    <n v="4"/>
    <n v="51"/>
    <n v="4.8499999999999996"/>
    <n v="291"/>
    <n v="61.855670103092784"/>
    <x v="1"/>
  </r>
  <r>
    <x v="357"/>
    <d v="1899-12-30T19:55:18"/>
    <d v="1899-12-30T19:50:27"/>
    <d v="1899-12-30T00:04:51"/>
    <n v="4"/>
    <n v="51"/>
    <n v="4.8499999999999996"/>
    <n v="291"/>
    <n v="61.855670103092784"/>
    <x v="1"/>
  </r>
  <r>
    <x v="358"/>
    <d v="1899-12-30T08:19:36"/>
    <d v="1899-12-30T08:24:27"/>
    <d v="1899-12-30T00:04:51"/>
    <n v="4"/>
    <n v="51"/>
    <n v="4.8499999999999996"/>
    <n v="291"/>
    <n v="61.855670103092784"/>
    <x v="1"/>
  </r>
  <r>
    <x v="226"/>
    <d v="1899-12-30T01:29:13"/>
    <d v="1899-12-30T01:24:21"/>
    <d v="1899-12-30T00:04:52"/>
    <n v="4"/>
    <n v="52"/>
    <n v="4.87"/>
    <n v="292"/>
    <n v="61.643835616438352"/>
    <x v="1"/>
  </r>
  <r>
    <x v="183"/>
    <d v="1899-12-30T08:54:44"/>
    <d v="1899-12-30T08:59:36"/>
    <d v="1899-12-30T00:04:52"/>
    <n v="4"/>
    <n v="52"/>
    <n v="4.87"/>
    <n v="292"/>
    <n v="61.643835616438352"/>
    <x v="1"/>
  </r>
  <r>
    <x v="295"/>
    <d v="1899-12-30T20:56:04"/>
    <d v="1899-12-30T20:51:12"/>
    <d v="1899-12-30T00:04:52"/>
    <n v="4"/>
    <n v="52"/>
    <n v="4.87"/>
    <n v="292"/>
    <n v="61.643835616438352"/>
    <x v="1"/>
  </r>
  <r>
    <x v="359"/>
    <d v="1899-12-30T22:31:33"/>
    <d v="1899-12-30T22:36:25"/>
    <d v="1899-12-30T00:04:52"/>
    <n v="4"/>
    <n v="52"/>
    <n v="4.87"/>
    <n v="292"/>
    <n v="61.643835616438352"/>
    <x v="1"/>
  </r>
  <r>
    <x v="35"/>
    <d v="1899-12-30T12:10:33"/>
    <d v="1899-12-30T12:15:26"/>
    <d v="1899-12-30T00:04:53"/>
    <n v="4"/>
    <n v="53"/>
    <n v="4.88"/>
    <n v="293"/>
    <n v="61.43344709897611"/>
    <x v="1"/>
  </r>
  <r>
    <x v="3"/>
    <d v="1899-12-30T01:34:19"/>
    <d v="1899-12-30T01:39:12"/>
    <d v="1899-12-30T00:04:53"/>
    <n v="4"/>
    <n v="53"/>
    <n v="4.88"/>
    <n v="293"/>
    <n v="61.43344709897611"/>
    <x v="1"/>
  </r>
  <r>
    <x v="24"/>
    <d v="1899-12-30T01:30:19"/>
    <d v="1899-12-30T01:35:13"/>
    <d v="1899-12-30T00:04:53"/>
    <n v="4"/>
    <n v="53"/>
    <n v="4.88"/>
    <n v="293"/>
    <n v="61.43344709897611"/>
    <x v="1"/>
  </r>
  <r>
    <x v="58"/>
    <d v="1899-12-30T14:21:59"/>
    <d v="1899-12-30T14:17:06"/>
    <d v="1899-12-30T00:04:53"/>
    <n v="4"/>
    <n v="53"/>
    <n v="4.88"/>
    <n v="293"/>
    <n v="61.43344709897611"/>
    <x v="1"/>
  </r>
  <r>
    <x v="360"/>
    <d v="1899-12-30T17:04:04"/>
    <d v="1899-12-30T16:59:11"/>
    <d v="1899-12-30T00:04:53"/>
    <n v="4"/>
    <n v="53"/>
    <n v="4.88"/>
    <n v="293"/>
    <n v="61.43344709897611"/>
    <x v="1"/>
  </r>
  <r>
    <x v="147"/>
    <d v="1899-12-30T01:14:41"/>
    <d v="1899-12-30T01:19:34"/>
    <d v="1899-12-30T00:04:53"/>
    <n v="4"/>
    <n v="53"/>
    <n v="4.88"/>
    <n v="293"/>
    <n v="61.43344709897611"/>
    <x v="1"/>
  </r>
  <r>
    <x v="61"/>
    <d v="1899-12-30T18:51:29"/>
    <d v="1899-12-30T18:56:23"/>
    <d v="1899-12-30T00:04:54"/>
    <n v="4"/>
    <n v="54"/>
    <n v="4.9000000000000004"/>
    <n v="294"/>
    <n v="61.224489795918366"/>
    <x v="1"/>
  </r>
  <r>
    <x v="253"/>
    <d v="1899-12-30T08:38:01"/>
    <d v="1899-12-30T08:33:07"/>
    <d v="1899-12-30T00:04:54"/>
    <n v="4"/>
    <n v="54"/>
    <n v="4.9000000000000004"/>
    <n v="294"/>
    <n v="61.224489795918366"/>
    <x v="1"/>
  </r>
  <r>
    <x v="331"/>
    <d v="1899-12-30T19:05:39"/>
    <d v="1899-12-30T19:00:45"/>
    <d v="1899-12-30T00:04:54"/>
    <n v="4"/>
    <n v="54"/>
    <n v="4.9000000000000004"/>
    <n v="294"/>
    <n v="61.224489795918366"/>
    <x v="1"/>
  </r>
  <r>
    <x v="4"/>
    <d v="1899-12-30T13:16:09"/>
    <d v="1899-12-30T13:21:03"/>
    <d v="1899-12-30T00:04:54"/>
    <n v="4"/>
    <n v="54"/>
    <n v="4.9000000000000004"/>
    <n v="294"/>
    <n v="61.224489795918366"/>
    <x v="1"/>
  </r>
  <r>
    <x v="361"/>
    <d v="1899-12-30T18:23:53"/>
    <d v="1899-12-30T18:18:59"/>
    <d v="1899-12-30T00:04:54"/>
    <n v="4"/>
    <n v="54"/>
    <n v="4.9000000000000004"/>
    <n v="294"/>
    <n v="61.224489795918366"/>
    <x v="1"/>
  </r>
  <r>
    <x v="123"/>
    <d v="1899-12-30T19:03:09"/>
    <d v="1899-12-30T18:58:14"/>
    <d v="1899-12-30T00:04:55"/>
    <n v="4"/>
    <n v="55"/>
    <n v="4.92"/>
    <n v="295"/>
    <n v="61.016949152542367"/>
    <x v="1"/>
  </r>
  <r>
    <x v="76"/>
    <d v="1899-12-30T17:51:03"/>
    <d v="1899-12-30T17:55:58"/>
    <d v="1899-12-30T00:04:55"/>
    <n v="4"/>
    <n v="55"/>
    <n v="4.92"/>
    <n v="295"/>
    <n v="61.016949152542367"/>
    <x v="1"/>
  </r>
  <r>
    <x v="300"/>
    <d v="1899-12-30T11:19:09"/>
    <d v="1899-12-30T11:14:13"/>
    <d v="1899-12-30T00:04:55"/>
    <n v="4"/>
    <n v="55"/>
    <n v="4.92"/>
    <n v="295"/>
    <n v="61.016949152542367"/>
    <x v="1"/>
  </r>
  <r>
    <x v="58"/>
    <d v="1899-12-30T12:28:40"/>
    <d v="1899-12-30T12:33:35"/>
    <d v="1899-12-30T00:04:55"/>
    <n v="4"/>
    <n v="55"/>
    <n v="4.92"/>
    <n v="295"/>
    <n v="61.016949152542367"/>
    <x v="1"/>
  </r>
  <r>
    <x v="362"/>
    <d v="1899-12-30T22:13:54"/>
    <d v="1899-12-30T22:08:59"/>
    <d v="1899-12-30T00:04:55"/>
    <n v="4"/>
    <n v="55"/>
    <n v="4.92"/>
    <n v="295"/>
    <n v="61.016949152542367"/>
    <x v="1"/>
  </r>
  <r>
    <x v="55"/>
    <d v="1899-12-30T16:11:14"/>
    <d v="1899-12-30T16:16:10"/>
    <d v="1899-12-30T00:04:56"/>
    <n v="4"/>
    <n v="56"/>
    <n v="4.93"/>
    <n v="296"/>
    <n v="60.810810810810807"/>
    <x v="1"/>
  </r>
  <r>
    <x v="149"/>
    <d v="1899-12-30T17:45:32"/>
    <d v="1899-12-30T17:50:28"/>
    <d v="1899-12-30T00:04:56"/>
    <n v="4"/>
    <n v="56"/>
    <n v="4.93"/>
    <n v="296"/>
    <n v="60.810810810810807"/>
    <x v="1"/>
  </r>
  <r>
    <x v="98"/>
    <d v="1899-12-30T01:31:25"/>
    <d v="1899-12-30T01:36:21"/>
    <d v="1899-12-30T00:04:56"/>
    <n v="4"/>
    <n v="56"/>
    <n v="4.93"/>
    <n v="296"/>
    <n v="60.810810810810807"/>
    <x v="1"/>
  </r>
  <r>
    <x v="228"/>
    <d v="1899-12-30T17:09:09"/>
    <d v="1899-12-30T17:14:05"/>
    <d v="1899-12-30T00:04:56"/>
    <n v="4"/>
    <n v="56"/>
    <n v="4.93"/>
    <n v="296"/>
    <n v="60.810810810810807"/>
    <x v="1"/>
  </r>
  <r>
    <x v="363"/>
    <d v="1899-12-30T13:26:28"/>
    <d v="1899-12-30T13:21:32"/>
    <d v="1899-12-30T00:04:56"/>
    <n v="4"/>
    <n v="56"/>
    <n v="4.93"/>
    <n v="296"/>
    <n v="60.810810810810807"/>
    <x v="1"/>
  </r>
  <r>
    <x v="364"/>
    <d v="1899-12-30T17:03:34"/>
    <d v="1899-12-30T16:58:38"/>
    <d v="1899-12-30T00:04:56"/>
    <n v="4"/>
    <n v="56"/>
    <n v="4.93"/>
    <n v="296"/>
    <n v="60.810810810810807"/>
    <x v="1"/>
  </r>
  <r>
    <x v="345"/>
    <d v="1899-12-30T06:00:11"/>
    <d v="1899-12-30T05:55:14"/>
    <d v="1899-12-30T00:04:57"/>
    <n v="4"/>
    <n v="57"/>
    <n v="4.95"/>
    <n v="297"/>
    <n v="60.606060606060609"/>
    <x v="1"/>
  </r>
  <r>
    <x v="65"/>
    <d v="1899-12-30T11:45:10"/>
    <d v="1899-12-30T11:40:13"/>
    <d v="1899-12-30T00:04:57"/>
    <n v="4"/>
    <n v="57"/>
    <n v="4.95"/>
    <n v="297"/>
    <n v="60.606060606060609"/>
    <x v="1"/>
  </r>
  <r>
    <x v="365"/>
    <d v="1899-12-30T09:12:34"/>
    <d v="1899-12-30T09:07:37"/>
    <d v="1899-12-30T00:04:57"/>
    <n v="4"/>
    <n v="57"/>
    <n v="4.95"/>
    <n v="297"/>
    <n v="60.606060606060609"/>
    <x v="1"/>
  </r>
  <r>
    <x v="366"/>
    <d v="1899-12-30T22:15:23"/>
    <d v="1899-12-30T22:20:21"/>
    <d v="1899-12-30T00:04:57"/>
    <n v="4"/>
    <n v="57"/>
    <n v="4.95"/>
    <n v="297"/>
    <n v="60.606060606060609"/>
    <x v="1"/>
  </r>
  <r>
    <x v="58"/>
    <d v="1899-12-30T04:49:59"/>
    <d v="1899-12-30T04:45:01"/>
    <d v="1899-12-30T00:04:58"/>
    <n v="4"/>
    <n v="58"/>
    <n v="4.97"/>
    <n v="298"/>
    <n v="60.402684563758385"/>
    <x v="1"/>
  </r>
  <r>
    <x v="52"/>
    <d v="1899-12-30T01:22:45"/>
    <d v="1899-12-30T01:17:47"/>
    <d v="1899-12-30T00:04:58"/>
    <n v="4"/>
    <n v="58"/>
    <n v="4.97"/>
    <n v="298"/>
    <n v="60.402684563758385"/>
    <x v="1"/>
  </r>
  <r>
    <x v="367"/>
    <d v="1899-12-30T14:11:15"/>
    <d v="1899-12-30T14:06:17"/>
    <d v="1899-12-30T00:04:58"/>
    <n v="4"/>
    <n v="58"/>
    <n v="4.97"/>
    <n v="298"/>
    <n v="60.402684563758385"/>
    <x v="1"/>
  </r>
  <r>
    <x v="115"/>
    <d v="1899-12-30T15:42:41"/>
    <d v="1899-12-30T15:47:40"/>
    <d v="1899-12-30T00:04:59"/>
    <n v="4"/>
    <n v="59"/>
    <n v="4.9800000000000004"/>
    <n v="299"/>
    <n v="60.200668896321076"/>
    <x v="1"/>
  </r>
  <r>
    <x v="35"/>
    <d v="1899-12-30T17:52:22"/>
    <d v="1899-12-30T17:57:21"/>
    <d v="1899-12-30T00:04:59"/>
    <n v="4"/>
    <n v="59"/>
    <n v="4.9800000000000004"/>
    <n v="299"/>
    <n v="60.200668896321076"/>
    <x v="1"/>
  </r>
  <r>
    <x v="71"/>
    <d v="1899-12-30T02:01:26"/>
    <d v="1899-12-30T01:56:27"/>
    <d v="1899-12-30T00:04:59"/>
    <n v="4"/>
    <n v="59"/>
    <n v="4.9800000000000004"/>
    <n v="299"/>
    <n v="60.200668896321076"/>
    <x v="1"/>
  </r>
  <r>
    <x v="71"/>
    <d v="1899-12-30T11:01:39"/>
    <d v="1899-12-30T10:56:38"/>
    <d v="1899-12-30T00:05:00"/>
    <n v="5"/>
    <n v="0"/>
    <n v="5"/>
    <n v="300"/>
    <n v="60"/>
    <x v="1"/>
  </r>
  <r>
    <x v="241"/>
    <d v="1899-12-30T23:05:07"/>
    <d v="1899-12-30T23:00:07"/>
    <d v="1899-12-30T00:05:00"/>
    <n v="5"/>
    <n v="0"/>
    <n v="5"/>
    <n v="300"/>
    <n v="60"/>
    <x v="1"/>
  </r>
  <r>
    <x v="368"/>
    <d v="1899-12-30T19:22:44"/>
    <d v="1899-12-30T19:17:44"/>
    <d v="1899-12-30T00:05:00"/>
    <n v="5"/>
    <n v="0"/>
    <n v="5"/>
    <n v="300"/>
    <n v="60"/>
    <x v="1"/>
  </r>
  <r>
    <x v="300"/>
    <d v="1899-12-30T17:00:35"/>
    <d v="1899-12-30T17:05:35"/>
    <d v="1899-12-30T00:05:00"/>
    <n v="5"/>
    <n v="0"/>
    <n v="5"/>
    <n v="300"/>
    <n v="60"/>
    <x v="1"/>
  </r>
  <r>
    <x v="202"/>
    <d v="1899-12-30T13:07:36"/>
    <d v="1899-12-30T13:12:37"/>
    <d v="1899-12-30T00:05:01"/>
    <n v="5"/>
    <n v="1"/>
    <n v="5.0199999999999996"/>
    <n v="301"/>
    <n v="59.800664451827245"/>
    <x v="1"/>
  </r>
  <r>
    <x v="183"/>
    <d v="1899-12-30T20:14:34"/>
    <d v="1899-12-30T20:19:35"/>
    <d v="1899-12-30T00:05:01"/>
    <n v="5"/>
    <n v="1"/>
    <n v="5.0199999999999996"/>
    <n v="301"/>
    <n v="59.800664451827245"/>
    <x v="1"/>
  </r>
  <r>
    <x v="267"/>
    <d v="1899-12-30T19:46:52"/>
    <d v="1899-12-30T19:51:52"/>
    <d v="1899-12-30T00:05:01"/>
    <n v="5"/>
    <n v="1"/>
    <n v="5.0199999999999996"/>
    <n v="301"/>
    <n v="59.800664451827245"/>
    <x v="1"/>
  </r>
  <r>
    <x v="115"/>
    <d v="1899-12-30T13:15:01"/>
    <d v="1899-12-30T13:10:00"/>
    <d v="1899-12-30T00:05:01"/>
    <n v="5"/>
    <n v="1"/>
    <n v="5.0199999999999996"/>
    <n v="301"/>
    <n v="59.800664451827245"/>
    <x v="1"/>
  </r>
  <r>
    <x v="369"/>
    <d v="1899-12-30T22:03:05"/>
    <d v="1899-12-30T21:58:04"/>
    <d v="1899-12-30T00:05:01"/>
    <n v="5"/>
    <n v="1"/>
    <n v="5.0199999999999996"/>
    <n v="301"/>
    <n v="59.800664451827245"/>
    <x v="1"/>
  </r>
  <r>
    <x v="153"/>
    <d v="1899-12-30T00:56:16"/>
    <d v="1899-12-30T01:01:18"/>
    <d v="1899-12-30T00:05:02"/>
    <n v="5"/>
    <n v="2"/>
    <n v="5.03"/>
    <n v="302"/>
    <n v="59.602649006622521"/>
    <x v="1"/>
  </r>
  <r>
    <x v="370"/>
    <d v="1899-12-30T01:10:36"/>
    <d v="1899-12-30T01:15:38"/>
    <d v="1899-12-30T00:05:02"/>
    <n v="5"/>
    <n v="2"/>
    <n v="5.03"/>
    <n v="302"/>
    <n v="59.602649006622521"/>
    <x v="1"/>
  </r>
  <r>
    <x v="371"/>
    <d v="1899-12-30T15:03:59"/>
    <d v="1899-12-30T14:58:57"/>
    <d v="1899-12-30T00:05:02"/>
    <n v="5"/>
    <n v="2"/>
    <n v="5.03"/>
    <n v="302"/>
    <n v="59.602649006622521"/>
    <x v="1"/>
  </r>
  <r>
    <x v="372"/>
    <d v="1899-12-30T22:36:38"/>
    <d v="1899-12-30T22:41:40"/>
    <d v="1899-12-30T00:05:02"/>
    <n v="5"/>
    <n v="2"/>
    <n v="5.03"/>
    <n v="302"/>
    <n v="59.602649006622521"/>
    <x v="1"/>
  </r>
  <r>
    <x v="331"/>
    <d v="1899-12-30T21:38:27"/>
    <d v="1899-12-30T21:43:30"/>
    <d v="1899-12-30T00:05:03"/>
    <n v="5"/>
    <n v="3"/>
    <n v="5.05"/>
    <n v="303"/>
    <n v="59.405940594059402"/>
    <x v="1"/>
  </r>
  <r>
    <x v="106"/>
    <d v="1899-12-30T13:49:25"/>
    <d v="1899-12-30T13:54:28"/>
    <d v="1899-12-30T00:05:03"/>
    <n v="5"/>
    <n v="3"/>
    <n v="5.05"/>
    <n v="303"/>
    <n v="59.405940594059402"/>
    <x v="1"/>
  </r>
  <r>
    <x v="0"/>
    <d v="1899-12-30T06:01:16"/>
    <d v="1899-12-30T05:56:13"/>
    <d v="1899-12-30T00:05:03"/>
    <n v="5"/>
    <n v="3"/>
    <n v="5.05"/>
    <n v="303"/>
    <n v="59.405940594059402"/>
    <x v="1"/>
  </r>
  <r>
    <x v="373"/>
    <d v="1899-12-30T23:12:54"/>
    <d v="1899-12-30T23:17:56"/>
    <d v="1899-12-30T00:05:03"/>
    <n v="5"/>
    <n v="3"/>
    <n v="5.05"/>
    <n v="303"/>
    <n v="59.405940594059402"/>
    <x v="1"/>
  </r>
  <r>
    <x v="27"/>
    <d v="1899-12-30T13:23:58"/>
    <d v="1899-12-30T13:18:54"/>
    <d v="1899-12-30T00:05:04"/>
    <n v="5"/>
    <n v="4"/>
    <n v="5.07"/>
    <n v="304"/>
    <n v="59.21052631578948"/>
    <x v="1"/>
  </r>
  <r>
    <x v="374"/>
    <d v="1899-12-30T16:01:35"/>
    <d v="1899-12-30T15:56:31"/>
    <d v="1899-12-30T00:05:04"/>
    <n v="5"/>
    <n v="4"/>
    <n v="5.07"/>
    <n v="304"/>
    <n v="59.21052631578948"/>
    <x v="1"/>
  </r>
  <r>
    <x v="347"/>
    <d v="1899-12-30T17:22:44"/>
    <d v="1899-12-30T17:27:48"/>
    <d v="1899-12-30T00:05:05"/>
    <n v="5"/>
    <n v="5"/>
    <n v="5.08"/>
    <n v="305"/>
    <n v="59.016393442622956"/>
    <x v="1"/>
  </r>
  <r>
    <x v="167"/>
    <d v="1899-12-30T19:18:13"/>
    <d v="1899-12-30T19:13:07"/>
    <d v="1899-12-30T00:05:05"/>
    <n v="5"/>
    <n v="5"/>
    <n v="5.08"/>
    <n v="305"/>
    <n v="59.016393442622956"/>
    <x v="1"/>
  </r>
  <r>
    <x v="375"/>
    <d v="1899-12-30T00:36:18"/>
    <d v="1899-12-30T00:41:23"/>
    <d v="1899-12-30T00:05:06"/>
    <n v="5"/>
    <n v="6"/>
    <n v="5.0999999999999996"/>
    <n v="306"/>
    <n v="58.82352941176471"/>
    <x v="1"/>
  </r>
  <r>
    <x v="138"/>
    <d v="1899-12-30T15:04:41"/>
    <d v="1899-12-30T14:59:35"/>
    <d v="1899-12-30T00:05:06"/>
    <n v="5"/>
    <n v="6"/>
    <n v="5.0999999999999996"/>
    <n v="306"/>
    <n v="58.82352941176471"/>
    <x v="1"/>
  </r>
  <r>
    <x v="57"/>
    <d v="1899-12-30T19:16:51"/>
    <d v="1899-12-30T19:11:45"/>
    <d v="1899-12-30T00:05:06"/>
    <n v="5"/>
    <n v="6"/>
    <n v="5.0999999999999996"/>
    <n v="306"/>
    <n v="58.82352941176471"/>
    <x v="1"/>
  </r>
  <r>
    <x v="376"/>
    <d v="1899-12-30T06:44:55"/>
    <d v="1899-12-30T06:39:50"/>
    <d v="1899-12-30T00:05:06"/>
    <n v="5"/>
    <n v="6"/>
    <n v="5.0999999999999996"/>
    <n v="306"/>
    <n v="58.82352941176471"/>
    <x v="1"/>
  </r>
  <r>
    <x v="114"/>
    <d v="1899-12-30T01:33:01"/>
    <d v="1899-12-30T01:27:54"/>
    <d v="1899-12-30T00:05:07"/>
    <n v="5"/>
    <n v="7"/>
    <n v="5.12"/>
    <n v="307"/>
    <n v="58.631921824104232"/>
    <x v="1"/>
  </r>
  <r>
    <x v="35"/>
    <d v="1899-12-30T14:18:21"/>
    <d v="1899-12-30T14:23:28"/>
    <d v="1899-12-30T00:05:07"/>
    <n v="5"/>
    <n v="7"/>
    <n v="5.12"/>
    <n v="307"/>
    <n v="58.631921824104232"/>
    <x v="1"/>
  </r>
  <r>
    <x v="94"/>
    <d v="1899-12-30T05:17:18"/>
    <d v="1899-12-30T05:12:12"/>
    <d v="1899-12-30T00:05:07"/>
    <n v="5"/>
    <n v="7"/>
    <n v="5.12"/>
    <n v="307"/>
    <n v="58.631921824104232"/>
    <x v="1"/>
  </r>
  <r>
    <x v="377"/>
    <d v="1899-12-30T15:30:10"/>
    <d v="1899-12-30T15:35:17"/>
    <d v="1899-12-30T00:05:07"/>
    <n v="5"/>
    <n v="7"/>
    <n v="5.12"/>
    <n v="307"/>
    <n v="58.631921824104232"/>
    <x v="1"/>
  </r>
  <r>
    <x v="5"/>
    <d v="1899-12-30T08:07:54"/>
    <d v="1899-12-30T08:13:02"/>
    <d v="1899-12-30T00:05:08"/>
    <n v="5"/>
    <n v="8"/>
    <n v="5.13"/>
    <n v="308"/>
    <n v="58.441558441558442"/>
    <x v="1"/>
  </r>
  <r>
    <x v="58"/>
    <d v="1899-12-30T03:00:43"/>
    <d v="1899-12-30T02:55:35"/>
    <d v="1899-12-30T00:05:08"/>
    <n v="5"/>
    <n v="8"/>
    <n v="5.13"/>
    <n v="308"/>
    <n v="58.441558441558442"/>
    <x v="1"/>
  </r>
  <r>
    <x v="192"/>
    <d v="1899-12-30T01:09:40"/>
    <d v="1899-12-30T01:04:32"/>
    <d v="1899-12-30T00:05:08"/>
    <n v="5"/>
    <n v="8"/>
    <n v="5.13"/>
    <n v="308"/>
    <n v="58.441558441558442"/>
    <x v="1"/>
  </r>
  <r>
    <x v="378"/>
    <d v="1899-12-30T12:46:32"/>
    <d v="1899-12-30T12:41:24"/>
    <d v="1899-12-30T00:05:08"/>
    <n v="5"/>
    <n v="8"/>
    <n v="5.13"/>
    <n v="308"/>
    <n v="58.441558441558442"/>
    <x v="1"/>
  </r>
  <r>
    <x v="379"/>
    <d v="1899-12-30T03:07:24"/>
    <d v="1899-12-30T03:12:33"/>
    <d v="1899-12-30T00:05:08"/>
    <n v="5"/>
    <n v="8"/>
    <n v="5.13"/>
    <n v="308"/>
    <n v="58.441558441558442"/>
    <x v="1"/>
  </r>
  <r>
    <x v="55"/>
    <d v="1899-12-30T12:41:04"/>
    <d v="1899-12-30T12:35:55"/>
    <d v="1899-12-30T00:05:09"/>
    <n v="5"/>
    <n v="9"/>
    <n v="5.15"/>
    <n v="309"/>
    <n v="58.252427184466022"/>
    <x v="1"/>
  </r>
  <r>
    <x v="312"/>
    <d v="1899-12-30T12:30:58"/>
    <d v="1899-12-30T12:25:49"/>
    <d v="1899-12-30T00:05:09"/>
    <n v="5"/>
    <n v="9"/>
    <n v="5.15"/>
    <n v="309"/>
    <n v="58.252427184466022"/>
    <x v="1"/>
  </r>
  <r>
    <x v="35"/>
    <d v="1899-12-30T03:15:34"/>
    <d v="1899-12-30T03:20:43"/>
    <d v="1899-12-30T00:05:09"/>
    <n v="5"/>
    <n v="9"/>
    <n v="5.15"/>
    <n v="309"/>
    <n v="58.252427184466022"/>
    <x v="1"/>
  </r>
  <r>
    <x v="18"/>
    <d v="1899-12-30T16:32:02"/>
    <d v="1899-12-30T16:37:11"/>
    <d v="1899-12-30T00:05:10"/>
    <n v="5"/>
    <n v="10"/>
    <n v="5.17"/>
    <n v="310"/>
    <n v="58.064516129032256"/>
    <x v="1"/>
  </r>
  <r>
    <x v="52"/>
    <d v="1899-12-30T17:10:24"/>
    <d v="1899-12-30T17:15:36"/>
    <d v="1899-12-30T00:05:11"/>
    <n v="5"/>
    <n v="11"/>
    <n v="5.18"/>
    <n v="311"/>
    <n v="57.877813504823152"/>
    <x v="1"/>
  </r>
  <r>
    <x v="43"/>
    <d v="1899-12-30T15:07:09"/>
    <d v="1899-12-30T15:01:58"/>
    <d v="1899-12-30T00:05:11"/>
    <n v="5"/>
    <n v="11"/>
    <n v="5.18"/>
    <n v="311"/>
    <n v="57.877813504823152"/>
    <x v="1"/>
  </r>
  <r>
    <x v="277"/>
    <d v="1899-12-30T22:27:54"/>
    <d v="1899-12-30T22:33:05"/>
    <d v="1899-12-30T00:05:11"/>
    <n v="5"/>
    <n v="11"/>
    <n v="5.18"/>
    <n v="311"/>
    <n v="57.877813504823152"/>
    <x v="1"/>
  </r>
  <r>
    <x v="380"/>
    <d v="1899-12-30T12:17:30"/>
    <d v="1899-12-30T12:12:18"/>
    <d v="1899-12-30T00:05:11"/>
    <n v="5"/>
    <n v="11"/>
    <n v="5.18"/>
    <n v="311"/>
    <n v="57.877813504823152"/>
    <x v="1"/>
  </r>
  <r>
    <x v="321"/>
    <d v="1899-12-30T05:55:18"/>
    <d v="1899-12-30T05:50:06"/>
    <d v="1899-12-30T00:05:12"/>
    <n v="5"/>
    <n v="12"/>
    <n v="5.2"/>
    <n v="312"/>
    <n v="57.692307692307693"/>
    <x v="1"/>
  </r>
  <r>
    <x v="326"/>
    <d v="1899-12-30T10:57:51"/>
    <d v="1899-12-30T10:52:39"/>
    <d v="1899-12-30T00:05:12"/>
    <n v="5"/>
    <n v="12"/>
    <n v="5.2"/>
    <n v="312"/>
    <n v="57.692307692307693"/>
    <x v="1"/>
  </r>
  <r>
    <x v="381"/>
    <d v="1899-12-30T23:10:21"/>
    <d v="1899-12-30T23:05:09"/>
    <d v="1899-12-30T00:05:12"/>
    <n v="5"/>
    <n v="12"/>
    <n v="5.2"/>
    <n v="312"/>
    <n v="57.692307692307693"/>
    <x v="1"/>
  </r>
  <r>
    <x v="288"/>
    <d v="1899-12-30T23:29:19"/>
    <d v="1899-12-30T23:24:06"/>
    <d v="1899-12-30T00:05:13"/>
    <n v="5"/>
    <n v="13"/>
    <n v="5.22"/>
    <n v="313"/>
    <n v="57.507987220447284"/>
    <x v="1"/>
  </r>
  <r>
    <x v="106"/>
    <d v="1899-12-30T02:44:09"/>
    <d v="1899-12-30T02:49:22"/>
    <d v="1899-12-30T00:05:13"/>
    <n v="5"/>
    <n v="13"/>
    <n v="5.22"/>
    <n v="313"/>
    <n v="57.507987220447284"/>
    <x v="1"/>
  </r>
  <r>
    <x v="43"/>
    <d v="1899-12-31T00:03:27"/>
    <d v="1899-12-30T23:58:14"/>
    <d v="1899-12-30T00:05:13"/>
    <n v="5"/>
    <n v="13"/>
    <n v="5.22"/>
    <n v="313"/>
    <n v="57.507987220447284"/>
    <x v="1"/>
  </r>
  <r>
    <x v="28"/>
    <d v="1899-12-30T02:17:34"/>
    <d v="1899-12-30T02:12:21"/>
    <d v="1899-12-30T00:05:13"/>
    <n v="5"/>
    <n v="13"/>
    <n v="5.22"/>
    <n v="313"/>
    <n v="57.507987220447284"/>
    <x v="1"/>
  </r>
  <r>
    <x v="277"/>
    <d v="1899-12-30T04:04:41"/>
    <d v="1899-12-30T03:59:28"/>
    <d v="1899-12-30T00:05:13"/>
    <n v="5"/>
    <n v="13"/>
    <n v="5.22"/>
    <n v="313"/>
    <n v="57.507987220447284"/>
    <x v="1"/>
  </r>
  <r>
    <x v="382"/>
    <d v="1899-12-30T03:33:19"/>
    <d v="1899-12-30T03:28:05"/>
    <d v="1899-12-30T00:05:14"/>
    <n v="5"/>
    <n v="14"/>
    <n v="5.23"/>
    <n v="314"/>
    <n v="57.324840764331206"/>
    <x v="1"/>
  </r>
  <r>
    <x v="383"/>
    <d v="1899-12-30T14:13:02"/>
    <d v="1899-12-30T14:07:48"/>
    <d v="1899-12-30T00:05:14"/>
    <n v="5"/>
    <n v="14"/>
    <n v="5.23"/>
    <n v="314"/>
    <n v="57.324840764331206"/>
    <x v="1"/>
  </r>
  <r>
    <x v="221"/>
    <d v="1899-12-30T05:33:11"/>
    <d v="1899-12-30T05:38:26"/>
    <d v="1899-12-30T00:05:15"/>
    <n v="5"/>
    <n v="15"/>
    <n v="5.25"/>
    <n v="315"/>
    <n v="57.142857142857146"/>
    <x v="1"/>
  </r>
  <r>
    <x v="27"/>
    <d v="1899-12-30T12:31:12"/>
    <d v="1899-12-30T12:36:27"/>
    <d v="1899-12-30T00:05:15"/>
    <n v="5"/>
    <n v="15"/>
    <n v="5.25"/>
    <n v="315"/>
    <n v="57.142857142857146"/>
    <x v="1"/>
  </r>
  <r>
    <x v="0"/>
    <d v="1899-12-30T08:02:59"/>
    <d v="1899-12-30T08:08:14"/>
    <d v="1899-12-30T00:05:15"/>
    <n v="5"/>
    <n v="15"/>
    <n v="5.25"/>
    <n v="315"/>
    <n v="57.142857142857146"/>
    <x v="1"/>
  </r>
  <r>
    <x v="57"/>
    <d v="1899-12-30T13:09:13"/>
    <d v="1899-12-30T13:03:58"/>
    <d v="1899-12-30T00:05:15"/>
    <n v="5"/>
    <n v="15"/>
    <n v="5.25"/>
    <n v="315"/>
    <n v="57.142857142857146"/>
    <x v="1"/>
  </r>
  <r>
    <x v="343"/>
    <d v="1899-12-30T04:38:41"/>
    <d v="1899-12-30T04:33:25"/>
    <d v="1899-12-30T00:05:16"/>
    <n v="5"/>
    <n v="16"/>
    <n v="5.27"/>
    <n v="316"/>
    <n v="56.962025316455694"/>
    <x v="1"/>
  </r>
  <r>
    <x v="58"/>
    <d v="1899-12-30T16:29:04"/>
    <d v="1899-12-30T16:34:20"/>
    <d v="1899-12-30T00:05:16"/>
    <n v="5"/>
    <n v="16"/>
    <n v="5.27"/>
    <n v="316"/>
    <n v="56.962025316455694"/>
    <x v="1"/>
  </r>
  <r>
    <x v="0"/>
    <d v="1899-12-30T20:41:49"/>
    <d v="1899-12-30T20:47:05"/>
    <d v="1899-12-30T00:05:16"/>
    <n v="5"/>
    <n v="16"/>
    <n v="5.27"/>
    <n v="316"/>
    <n v="56.962025316455694"/>
    <x v="1"/>
  </r>
  <r>
    <x v="13"/>
    <d v="1899-12-30T08:31:16"/>
    <d v="1899-12-30T08:36:32"/>
    <d v="1899-12-30T00:05:16"/>
    <n v="5"/>
    <n v="16"/>
    <n v="5.27"/>
    <n v="316"/>
    <n v="56.962025316455694"/>
    <x v="1"/>
  </r>
  <r>
    <x v="210"/>
    <d v="1899-12-30T06:28:28"/>
    <d v="1899-12-30T06:23:11"/>
    <d v="1899-12-30T00:05:17"/>
    <n v="5"/>
    <n v="17"/>
    <n v="5.28"/>
    <n v="317"/>
    <n v="56.782334384858046"/>
    <x v="1"/>
  </r>
  <r>
    <x v="115"/>
    <d v="1899-12-30T04:05:05"/>
    <d v="1899-12-30T04:10:22"/>
    <d v="1899-12-30T00:05:17"/>
    <n v="5"/>
    <n v="17"/>
    <n v="5.28"/>
    <n v="317"/>
    <n v="56.782334384858046"/>
    <x v="1"/>
  </r>
  <r>
    <x v="297"/>
    <d v="1899-12-30T23:18:48"/>
    <d v="1899-12-30T23:24:05"/>
    <d v="1899-12-30T00:05:17"/>
    <n v="5"/>
    <n v="17"/>
    <n v="5.28"/>
    <n v="317"/>
    <n v="56.782334384858046"/>
    <x v="1"/>
  </r>
  <r>
    <x v="384"/>
    <d v="1899-12-30T06:15:57"/>
    <d v="1899-12-30T06:10:40"/>
    <d v="1899-12-30T00:05:17"/>
    <n v="5"/>
    <n v="17"/>
    <n v="5.28"/>
    <n v="317"/>
    <n v="56.782334384858046"/>
    <x v="1"/>
  </r>
  <r>
    <x v="385"/>
    <d v="1899-12-30T04:55:48"/>
    <d v="1899-12-30T04:50:31"/>
    <d v="1899-12-30T00:05:17"/>
    <n v="5"/>
    <n v="17"/>
    <n v="5.28"/>
    <n v="317"/>
    <n v="56.782334384858046"/>
    <x v="1"/>
  </r>
  <r>
    <x v="386"/>
    <d v="1899-12-30T11:12:17"/>
    <d v="1899-12-30T11:17:34"/>
    <d v="1899-12-30T00:05:17"/>
    <n v="5"/>
    <n v="17"/>
    <n v="5.28"/>
    <n v="317"/>
    <n v="56.782334384858046"/>
    <x v="1"/>
  </r>
  <r>
    <x v="57"/>
    <d v="1899-12-30T22:02:43"/>
    <d v="1899-12-30T22:08:01"/>
    <d v="1899-12-30T00:05:18"/>
    <n v="5"/>
    <n v="18"/>
    <n v="5.3"/>
    <n v="318"/>
    <n v="56.603773584905653"/>
    <x v="1"/>
  </r>
  <r>
    <x v="387"/>
    <d v="1899-12-30T14:58:26"/>
    <d v="1899-12-30T15:03:44"/>
    <d v="1899-12-30T00:05:18"/>
    <n v="5"/>
    <n v="18"/>
    <n v="5.3"/>
    <n v="318"/>
    <n v="56.603773584905653"/>
    <x v="1"/>
  </r>
  <r>
    <x v="100"/>
    <d v="1899-12-30T04:25:27"/>
    <d v="1899-12-30T04:30:46"/>
    <d v="1899-12-30T00:05:19"/>
    <n v="5"/>
    <n v="19"/>
    <n v="5.32"/>
    <n v="319"/>
    <n v="56.426332288401255"/>
    <x v="1"/>
  </r>
  <r>
    <x v="0"/>
    <d v="1899-12-30T13:41:51"/>
    <d v="1899-12-30T13:36:32"/>
    <d v="1899-12-30T00:05:19"/>
    <n v="5"/>
    <n v="19"/>
    <n v="5.32"/>
    <n v="319"/>
    <n v="56.426332288401255"/>
    <x v="1"/>
  </r>
  <r>
    <x v="71"/>
    <d v="1899-12-30T19:37:36"/>
    <d v="1899-12-30T19:32:15"/>
    <d v="1899-12-30T00:05:20"/>
    <n v="5"/>
    <n v="20"/>
    <n v="5.33"/>
    <n v="320"/>
    <n v="56.25"/>
    <x v="1"/>
  </r>
  <r>
    <x v="58"/>
    <d v="1899-12-30T14:27:24"/>
    <d v="1899-12-30T14:32:44"/>
    <d v="1899-12-30T00:05:20"/>
    <n v="5"/>
    <n v="20"/>
    <n v="5.33"/>
    <n v="320"/>
    <n v="56.25"/>
    <x v="1"/>
  </r>
  <r>
    <x v="213"/>
    <d v="1899-12-30T09:40:23"/>
    <d v="1899-12-30T09:35:03"/>
    <d v="1899-12-30T00:05:20"/>
    <n v="5"/>
    <n v="20"/>
    <n v="5.33"/>
    <n v="320"/>
    <n v="56.25"/>
    <x v="1"/>
  </r>
  <r>
    <x v="388"/>
    <d v="1899-12-30T01:18:15"/>
    <d v="1899-12-30T01:23:34"/>
    <d v="1899-12-30T00:05:20"/>
    <n v="5"/>
    <n v="20"/>
    <n v="5.33"/>
    <n v="320"/>
    <n v="56.25"/>
    <x v="1"/>
  </r>
  <r>
    <x v="312"/>
    <d v="1899-12-30T12:26:17"/>
    <d v="1899-12-30T12:20:57"/>
    <d v="1899-12-30T00:05:21"/>
    <n v="5"/>
    <n v="21"/>
    <n v="5.35"/>
    <n v="321"/>
    <n v="56.074766355140184"/>
    <x v="1"/>
  </r>
  <r>
    <x v="334"/>
    <d v="1899-12-30T05:32:15"/>
    <d v="1899-12-30T05:26:54"/>
    <d v="1899-12-30T00:05:21"/>
    <n v="5"/>
    <n v="21"/>
    <n v="5.35"/>
    <n v="321"/>
    <n v="56.074766355140184"/>
    <x v="1"/>
  </r>
  <r>
    <x v="389"/>
    <d v="1899-12-30T05:40:20"/>
    <d v="1899-12-30T05:34:58"/>
    <d v="1899-12-30T00:05:22"/>
    <n v="5"/>
    <n v="22"/>
    <n v="5.37"/>
    <n v="322"/>
    <n v="55.900621118012424"/>
    <x v="1"/>
  </r>
  <r>
    <x v="57"/>
    <d v="1899-12-30T06:48:26"/>
    <d v="1899-12-30T06:43:04"/>
    <d v="1899-12-30T00:05:22"/>
    <n v="5"/>
    <n v="22"/>
    <n v="5.37"/>
    <n v="322"/>
    <n v="55.900621118012424"/>
    <x v="1"/>
  </r>
  <r>
    <x v="42"/>
    <d v="1899-12-30T08:28:58"/>
    <d v="1899-12-30T08:34:20"/>
    <d v="1899-12-30T00:05:22"/>
    <n v="5"/>
    <n v="22"/>
    <n v="5.37"/>
    <n v="322"/>
    <n v="55.900621118012424"/>
    <x v="1"/>
  </r>
  <r>
    <x v="116"/>
    <d v="1899-12-30T07:46:00"/>
    <d v="1899-12-30T07:40:38"/>
    <d v="1899-12-30T00:05:22"/>
    <n v="5"/>
    <n v="22"/>
    <n v="5.37"/>
    <n v="322"/>
    <n v="55.900621118012424"/>
    <x v="1"/>
  </r>
  <r>
    <x v="71"/>
    <d v="1899-12-30T10:43:35"/>
    <d v="1899-12-30T10:38:13"/>
    <d v="1899-12-30T00:05:22"/>
    <n v="5"/>
    <n v="22"/>
    <n v="5.37"/>
    <n v="322"/>
    <n v="55.900621118012424"/>
    <x v="1"/>
  </r>
  <r>
    <x v="93"/>
    <d v="1899-12-30T17:05:07"/>
    <d v="1899-12-30T17:10:29"/>
    <d v="1899-12-30T00:05:22"/>
    <n v="5"/>
    <n v="22"/>
    <n v="5.37"/>
    <n v="322"/>
    <n v="55.900621118012424"/>
    <x v="1"/>
  </r>
  <r>
    <x v="390"/>
    <d v="1899-12-30T07:06:17"/>
    <d v="1899-12-30T07:00:55"/>
    <d v="1899-12-30T00:05:22"/>
    <n v="5"/>
    <n v="22"/>
    <n v="5.37"/>
    <n v="322"/>
    <n v="55.900621118012424"/>
    <x v="1"/>
  </r>
  <r>
    <x v="229"/>
    <d v="1899-12-30T20:27:13"/>
    <d v="1899-12-30T20:21:50"/>
    <d v="1899-12-30T00:05:23"/>
    <n v="5"/>
    <n v="23"/>
    <n v="5.38"/>
    <n v="323"/>
    <n v="55.727554179566567"/>
    <x v="1"/>
  </r>
  <r>
    <x v="295"/>
    <d v="1899-12-30T09:05:24"/>
    <d v="1899-12-30T09:10:47"/>
    <d v="1899-12-30T00:05:23"/>
    <n v="5"/>
    <n v="23"/>
    <n v="5.38"/>
    <n v="323"/>
    <n v="55.727554179566567"/>
    <x v="1"/>
  </r>
  <r>
    <x v="8"/>
    <d v="1899-12-30T08:50:36"/>
    <d v="1899-12-30T08:45:13"/>
    <d v="1899-12-30T00:05:23"/>
    <n v="5"/>
    <n v="23"/>
    <n v="5.38"/>
    <n v="323"/>
    <n v="55.727554179566567"/>
    <x v="1"/>
  </r>
  <r>
    <x v="0"/>
    <d v="1899-12-30T19:28:55"/>
    <d v="1899-12-30T19:34:19"/>
    <d v="1899-12-30T00:05:23"/>
    <n v="5"/>
    <n v="23"/>
    <n v="5.38"/>
    <n v="323"/>
    <n v="55.727554179566567"/>
    <x v="1"/>
  </r>
  <r>
    <x v="35"/>
    <d v="1899-12-30T03:26:14"/>
    <d v="1899-12-30T03:31:38"/>
    <d v="1899-12-30T00:05:23"/>
    <n v="5"/>
    <n v="23"/>
    <n v="5.38"/>
    <n v="323"/>
    <n v="55.727554179566567"/>
    <x v="1"/>
  </r>
  <r>
    <x v="391"/>
    <d v="1899-12-30T22:04:56"/>
    <d v="1899-12-30T22:10:19"/>
    <d v="1899-12-30T00:05:23"/>
    <n v="5"/>
    <n v="23"/>
    <n v="5.38"/>
    <n v="323"/>
    <n v="55.727554179566567"/>
    <x v="1"/>
  </r>
  <r>
    <x v="234"/>
    <d v="1899-12-30T11:06:42"/>
    <d v="1899-12-30T11:01:18"/>
    <d v="1899-12-30T00:05:24"/>
    <n v="5"/>
    <n v="24"/>
    <n v="5.4"/>
    <n v="324"/>
    <n v="55.555555555555557"/>
    <x v="1"/>
  </r>
  <r>
    <x v="191"/>
    <d v="1899-12-30T00:10:58"/>
    <d v="1899-12-30T00:05:34"/>
    <d v="1899-12-30T00:05:24"/>
    <n v="5"/>
    <n v="24"/>
    <n v="5.4"/>
    <n v="324"/>
    <n v="55.555555555555557"/>
    <x v="1"/>
  </r>
  <r>
    <x v="136"/>
    <d v="1899-12-30T12:09:12"/>
    <d v="1899-12-30T12:03:48"/>
    <d v="1899-12-30T00:05:24"/>
    <n v="5"/>
    <n v="24"/>
    <n v="5.4"/>
    <n v="324"/>
    <n v="55.555555555555557"/>
    <x v="1"/>
  </r>
  <r>
    <x v="23"/>
    <d v="1899-12-30T14:01:48"/>
    <d v="1899-12-30T14:07:12"/>
    <d v="1899-12-30T00:05:24"/>
    <n v="5"/>
    <n v="24"/>
    <n v="5.4"/>
    <n v="324"/>
    <n v="55.555555555555557"/>
    <x v="1"/>
  </r>
  <r>
    <x v="392"/>
    <d v="1899-12-30T00:46:03"/>
    <d v="1899-12-30T00:51:27"/>
    <d v="1899-12-30T00:05:24"/>
    <n v="5"/>
    <n v="24"/>
    <n v="5.4"/>
    <n v="324"/>
    <n v="55.555555555555557"/>
    <x v="1"/>
  </r>
  <r>
    <x v="393"/>
    <d v="1899-12-30T21:08:49"/>
    <d v="1899-12-30T21:03:25"/>
    <d v="1899-12-30T00:05:24"/>
    <n v="5"/>
    <n v="24"/>
    <n v="5.4"/>
    <n v="324"/>
    <n v="55.555555555555557"/>
    <x v="1"/>
  </r>
  <r>
    <x v="394"/>
    <d v="1899-12-30T19:37:36"/>
    <d v="1899-12-30T19:43:01"/>
    <d v="1899-12-30T00:05:25"/>
    <n v="5"/>
    <n v="25"/>
    <n v="5.42"/>
    <n v="325"/>
    <n v="55.384615384615387"/>
    <x v="1"/>
  </r>
  <r>
    <x v="395"/>
    <d v="1899-12-30T16:04:18"/>
    <d v="1899-12-30T15:58:53"/>
    <d v="1899-12-30T00:05:25"/>
    <n v="5"/>
    <n v="25"/>
    <n v="5.42"/>
    <n v="325"/>
    <n v="55.384615384615387"/>
    <x v="1"/>
  </r>
  <r>
    <x v="24"/>
    <d v="1899-12-30T17:41:56"/>
    <d v="1899-12-30T17:36:30"/>
    <d v="1899-12-30T00:05:26"/>
    <n v="5"/>
    <n v="26"/>
    <n v="5.43"/>
    <n v="326"/>
    <n v="55.214723926380373"/>
    <x v="1"/>
  </r>
  <r>
    <x v="58"/>
    <d v="1899-12-30T20:43:05"/>
    <d v="1899-12-30T20:48:31"/>
    <d v="1899-12-30T00:05:26"/>
    <n v="5"/>
    <n v="26"/>
    <n v="5.43"/>
    <n v="326"/>
    <n v="55.214723926380373"/>
    <x v="1"/>
  </r>
  <r>
    <x v="396"/>
    <d v="1899-12-30T01:15:50"/>
    <d v="1899-12-30T01:10:24"/>
    <d v="1899-12-30T00:05:26"/>
    <n v="5"/>
    <n v="26"/>
    <n v="5.43"/>
    <n v="326"/>
    <n v="55.214723926380373"/>
    <x v="1"/>
  </r>
  <r>
    <x v="397"/>
    <d v="1899-12-30T18:26:57"/>
    <d v="1899-12-30T18:32:23"/>
    <d v="1899-12-30T00:05:26"/>
    <n v="5"/>
    <n v="26"/>
    <n v="5.43"/>
    <n v="326"/>
    <n v="55.214723926380373"/>
    <x v="1"/>
  </r>
  <r>
    <x v="35"/>
    <d v="1899-12-30T07:35:47"/>
    <d v="1899-12-30T07:30:21"/>
    <d v="1899-12-30T00:05:27"/>
    <n v="5"/>
    <n v="27"/>
    <n v="5.45"/>
    <n v="327"/>
    <n v="55.045871559633028"/>
    <x v="1"/>
  </r>
  <r>
    <x v="17"/>
    <d v="1899-12-30T07:05:23"/>
    <d v="1899-12-30T07:10:51"/>
    <d v="1899-12-30T00:05:27"/>
    <n v="5"/>
    <n v="27"/>
    <n v="5.45"/>
    <n v="327"/>
    <n v="55.045871559633028"/>
    <x v="1"/>
  </r>
  <r>
    <x v="76"/>
    <d v="1899-12-30T11:01:22"/>
    <d v="1899-12-30T10:55:55"/>
    <d v="1899-12-30T00:05:27"/>
    <n v="5"/>
    <n v="27"/>
    <n v="5.45"/>
    <n v="327"/>
    <n v="55.045871559633028"/>
    <x v="1"/>
  </r>
  <r>
    <x v="398"/>
    <d v="1899-12-30T16:31:17"/>
    <d v="1899-12-30T16:36:44"/>
    <d v="1899-12-30T00:05:27"/>
    <n v="5"/>
    <n v="27"/>
    <n v="5.45"/>
    <n v="327"/>
    <n v="55.045871559633028"/>
    <x v="1"/>
  </r>
  <r>
    <x v="399"/>
    <d v="1899-12-30T10:18:22"/>
    <d v="1899-12-30T10:12:55"/>
    <d v="1899-12-30T00:05:27"/>
    <n v="5"/>
    <n v="27"/>
    <n v="5.45"/>
    <n v="327"/>
    <n v="55.045871559633028"/>
    <x v="1"/>
  </r>
  <r>
    <x v="228"/>
    <d v="1899-12-30T22:19:05"/>
    <d v="1899-12-30T22:13:37"/>
    <d v="1899-12-30T00:05:28"/>
    <n v="5"/>
    <n v="28"/>
    <n v="5.47"/>
    <n v="328"/>
    <n v="54.878048780487809"/>
    <x v="1"/>
  </r>
  <r>
    <x v="58"/>
    <d v="1899-12-30T07:12:24"/>
    <d v="1899-12-30T07:17:52"/>
    <d v="1899-12-30T00:05:28"/>
    <n v="5"/>
    <n v="28"/>
    <n v="5.47"/>
    <n v="328"/>
    <n v="54.878048780487809"/>
    <x v="1"/>
  </r>
  <r>
    <x v="71"/>
    <d v="1899-12-30T07:59:00"/>
    <d v="1899-12-30T07:53:31"/>
    <d v="1899-12-30T00:05:28"/>
    <n v="5"/>
    <n v="28"/>
    <n v="5.47"/>
    <n v="328"/>
    <n v="54.878048780487809"/>
    <x v="1"/>
  </r>
  <r>
    <x v="262"/>
    <d v="1899-12-30T12:48:01"/>
    <d v="1899-12-30T12:42:32"/>
    <d v="1899-12-30T00:05:29"/>
    <n v="5"/>
    <n v="29"/>
    <n v="5.48"/>
    <n v="329"/>
    <n v="54.711246200607903"/>
    <x v="1"/>
  </r>
  <r>
    <x v="100"/>
    <d v="1899-12-30T18:13:55"/>
    <d v="1899-12-30T18:08:26"/>
    <d v="1899-12-30T00:05:29"/>
    <n v="5"/>
    <n v="29"/>
    <n v="5.48"/>
    <n v="329"/>
    <n v="54.711246200607903"/>
    <x v="1"/>
  </r>
  <r>
    <x v="58"/>
    <d v="1899-12-30T20:55:16"/>
    <d v="1899-12-30T21:00:45"/>
    <d v="1899-12-30T00:05:29"/>
    <n v="5"/>
    <n v="29"/>
    <n v="5.48"/>
    <n v="329"/>
    <n v="54.711246200607903"/>
    <x v="1"/>
  </r>
  <r>
    <x v="35"/>
    <d v="1899-12-30T01:50:52"/>
    <d v="1899-12-30T01:45:22"/>
    <d v="1899-12-30T00:05:29"/>
    <n v="5"/>
    <n v="29"/>
    <n v="5.48"/>
    <n v="329"/>
    <n v="54.711246200607903"/>
    <x v="1"/>
  </r>
  <r>
    <x v="170"/>
    <d v="1899-12-30T05:00:07"/>
    <d v="1899-12-30T05:05:37"/>
    <d v="1899-12-30T00:05:29"/>
    <n v="5"/>
    <n v="29"/>
    <n v="5.48"/>
    <n v="329"/>
    <n v="54.711246200607903"/>
    <x v="1"/>
  </r>
  <r>
    <x v="104"/>
    <d v="1899-12-30T00:42:57"/>
    <d v="1899-12-30T00:48:26"/>
    <d v="1899-12-30T00:05:29"/>
    <n v="5"/>
    <n v="29"/>
    <n v="5.48"/>
    <n v="329"/>
    <n v="54.711246200607903"/>
    <x v="1"/>
  </r>
  <r>
    <x v="400"/>
    <d v="1899-12-30T05:44:27"/>
    <d v="1899-12-30T05:49:55"/>
    <d v="1899-12-30T00:05:29"/>
    <n v="5"/>
    <n v="29"/>
    <n v="5.48"/>
    <n v="329"/>
    <n v="54.711246200607903"/>
    <x v="1"/>
  </r>
  <r>
    <x v="140"/>
    <d v="1899-12-30T10:44:46"/>
    <d v="1899-12-30T10:50:16"/>
    <d v="1899-12-30T00:05:30"/>
    <n v="5"/>
    <n v="30"/>
    <n v="5.5"/>
    <n v="330"/>
    <n v="54.54545454545454"/>
    <x v="1"/>
  </r>
  <r>
    <x v="14"/>
    <d v="1899-12-30T01:41:01"/>
    <d v="1899-12-30T01:35:31"/>
    <d v="1899-12-30T00:05:30"/>
    <n v="5"/>
    <n v="30"/>
    <n v="5.5"/>
    <n v="330"/>
    <n v="54.54545454545454"/>
    <x v="1"/>
  </r>
  <r>
    <x v="401"/>
    <d v="1899-12-30T09:08:29"/>
    <d v="1899-12-30T09:02:59"/>
    <d v="1899-12-30T00:05:30"/>
    <n v="5"/>
    <n v="30"/>
    <n v="5.5"/>
    <n v="330"/>
    <n v="54.54545454545454"/>
    <x v="1"/>
  </r>
  <r>
    <x v="62"/>
    <d v="1899-12-30T15:49:02"/>
    <d v="1899-12-30T15:54:33"/>
    <d v="1899-12-30T00:05:31"/>
    <n v="5"/>
    <n v="31"/>
    <n v="5.52"/>
    <n v="331"/>
    <n v="54.380664652567972"/>
    <x v="1"/>
  </r>
  <r>
    <x v="402"/>
    <d v="1899-12-30T11:23:20"/>
    <d v="1899-12-30T11:17:50"/>
    <d v="1899-12-30T00:05:31"/>
    <n v="5"/>
    <n v="31"/>
    <n v="5.52"/>
    <n v="331"/>
    <n v="54.380664652567972"/>
    <x v="1"/>
  </r>
  <r>
    <x v="403"/>
    <d v="1899-12-30T13:26:37"/>
    <d v="1899-12-30T13:21:06"/>
    <d v="1899-12-30T00:05:31"/>
    <n v="5"/>
    <n v="31"/>
    <n v="5.52"/>
    <n v="331"/>
    <n v="54.380664652567972"/>
    <x v="1"/>
  </r>
  <r>
    <x v="4"/>
    <d v="1899-12-30T14:11:49"/>
    <d v="1899-12-30T14:06:17"/>
    <d v="1899-12-30T00:05:32"/>
    <n v="5"/>
    <n v="32"/>
    <n v="5.53"/>
    <n v="332"/>
    <n v="54.216867469879517"/>
    <x v="1"/>
  </r>
  <r>
    <x v="143"/>
    <d v="1899-12-30T05:33:16"/>
    <d v="1899-12-30T05:27:44"/>
    <d v="1899-12-30T00:05:32"/>
    <n v="5"/>
    <n v="32"/>
    <n v="5.53"/>
    <n v="332"/>
    <n v="54.216867469879517"/>
    <x v="1"/>
  </r>
  <r>
    <x v="280"/>
    <d v="1899-12-30T15:14:56"/>
    <d v="1899-12-30T15:20:28"/>
    <d v="1899-12-30T00:05:32"/>
    <n v="5"/>
    <n v="32"/>
    <n v="5.53"/>
    <n v="332"/>
    <n v="54.216867469879517"/>
    <x v="1"/>
  </r>
  <r>
    <x v="404"/>
    <d v="1899-12-30T02:08:36"/>
    <d v="1899-12-30T02:14:08"/>
    <d v="1899-12-30T00:05:33"/>
    <n v="5"/>
    <n v="33"/>
    <n v="5.55"/>
    <n v="333"/>
    <n v="54.054054054054049"/>
    <x v="1"/>
  </r>
  <r>
    <x v="196"/>
    <d v="1899-12-30T18:23:00"/>
    <d v="1899-12-30T18:17:28"/>
    <d v="1899-12-30T00:05:33"/>
    <n v="5"/>
    <n v="33"/>
    <n v="5.55"/>
    <n v="333"/>
    <n v="54.054054054054049"/>
    <x v="1"/>
  </r>
  <r>
    <x v="405"/>
    <d v="1899-12-30T09:47:04"/>
    <d v="1899-12-30T09:41:30"/>
    <d v="1899-12-30T00:05:33"/>
    <n v="5"/>
    <n v="33"/>
    <n v="5.55"/>
    <n v="333"/>
    <n v="54.054054054054049"/>
    <x v="1"/>
  </r>
  <r>
    <x v="17"/>
    <d v="1899-12-30T03:24:19"/>
    <d v="1899-12-30T03:29:53"/>
    <d v="1899-12-30T00:05:34"/>
    <n v="5"/>
    <n v="34"/>
    <n v="5.57"/>
    <n v="334"/>
    <n v="53.892215568862277"/>
    <x v="1"/>
  </r>
  <r>
    <x v="15"/>
    <d v="1899-12-30T15:36:19"/>
    <d v="1899-12-30T15:30:45"/>
    <d v="1899-12-30T00:05:34"/>
    <n v="5"/>
    <n v="34"/>
    <n v="5.57"/>
    <n v="334"/>
    <n v="53.892215568862277"/>
    <x v="1"/>
  </r>
  <r>
    <x v="0"/>
    <d v="1899-12-30T22:21:20"/>
    <d v="1899-12-30T22:26:53"/>
    <d v="1899-12-30T00:05:34"/>
    <n v="5"/>
    <n v="34"/>
    <n v="5.57"/>
    <n v="334"/>
    <n v="53.892215568862277"/>
    <x v="1"/>
  </r>
  <r>
    <x v="100"/>
    <d v="1899-12-30T07:31:34"/>
    <d v="1899-12-30T07:37:07"/>
    <d v="1899-12-30T00:05:34"/>
    <n v="5"/>
    <n v="34"/>
    <n v="5.57"/>
    <n v="334"/>
    <n v="53.892215568862277"/>
    <x v="1"/>
  </r>
  <r>
    <x v="406"/>
    <d v="1899-12-30T00:25:46"/>
    <d v="1899-12-30T00:20:12"/>
    <d v="1899-12-30T00:05:34"/>
    <n v="5"/>
    <n v="34"/>
    <n v="5.57"/>
    <n v="334"/>
    <n v="53.892215568862277"/>
    <x v="1"/>
  </r>
  <r>
    <x v="240"/>
    <d v="1899-12-30T20:04:12"/>
    <d v="1899-12-30T19:58:37"/>
    <d v="1899-12-30T00:05:35"/>
    <n v="5"/>
    <n v="35"/>
    <n v="5.58"/>
    <n v="335"/>
    <n v="53.731343283582092"/>
    <x v="1"/>
  </r>
  <r>
    <x v="343"/>
    <d v="1899-12-30T10:14:23"/>
    <d v="1899-12-30T10:08:48"/>
    <d v="1899-12-30T00:05:35"/>
    <n v="5"/>
    <n v="35"/>
    <n v="5.58"/>
    <n v="335"/>
    <n v="53.731343283582092"/>
    <x v="1"/>
  </r>
  <r>
    <x v="169"/>
    <d v="1899-12-30T21:38:30"/>
    <d v="1899-12-30T21:44:05"/>
    <d v="1899-12-30T00:05:35"/>
    <n v="5"/>
    <n v="35"/>
    <n v="5.58"/>
    <n v="335"/>
    <n v="53.731343283582092"/>
    <x v="1"/>
  </r>
  <r>
    <x v="61"/>
    <d v="1899-12-30T15:19:38"/>
    <d v="1899-12-30T15:25:13"/>
    <d v="1899-12-30T00:05:35"/>
    <n v="5"/>
    <n v="35"/>
    <n v="5.58"/>
    <n v="335"/>
    <n v="53.731343283582092"/>
    <x v="1"/>
  </r>
  <r>
    <x v="64"/>
    <d v="1899-12-30T02:54:18"/>
    <d v="1899-12-30T02:59:53"/>
    <d v="1899-12-30T00:05:36"/>
    <n v="5"/>
    <n v="36"/>
    <n v="5.6"/>
    <n v="336"/>
    <n v="53.571428571428569"/>
    <x v="1"/>
  </r>
  <r>
    <x v="0"/>
    <d v="1899-12-30T04:12:04"/>
    <d v="1899-12-30T04:17:40"/>
    <d v="1899-12-30T00:05:36"/>
    <n v="5"/>
    <n v="36"/>
    <n v="5.6"/>
    <n v="336"/>
    <n v="53.571428571428569"/>
    <x v="1"/>
  </r>
  <r>
    <x v="177"/>
    <d v="1899-12-30T08:03:58"/>
    <d v="1899-12-30T07:58:22"/>
    <d v="1899-12-30T00:05:36"/>
    <n v="5"/>
    <n v="36"/>
    <n v="5.6"/>
    <n v="336"/>
    <n v="53.571428571428569"/>
    <x v="1"/>
  </r>
  <r>
    <x v="118"/>
    <d v="1899-12-30T02:36:42"/>
    <d v="1899-12-30T02:31:06"/>
    <d v="1899-12-30T00:05:36"/>
    <n v="5"/>
    <n v="36"/>
    <n v="5.6"/>
    <n v="336"/>
    <n v="53.571428571428569"/>
    <x v="1"/>
  </r>
  <r>
    <x v="100"/>
    <d v="1899-12-30T02:56:42"/>
    <d v="1899-12-30T02:51:06"/>
    <d v="1899-12-30T00:05:36"/>
    <n v="5"/>
    <n v="36"/>
    <n v="5.6"/>
    <n v="336"/>
    <n v="53.571428571428569"/>
    <x v="1"/>
  </r>
  <r>
    <x v="24"/>
    <d v="1899-12-30T13:36:15"/>
    <d v="1899-12-30T13:30:39"/>
    <d v="1899-12-30T00:05:36"/>
    <n v="5"/>
    <n v="36"/>
    <n v="5.6"/>
    <n v="336"/>
    <n v="53.571428571428569"/>
    <x v="1"/>
  </r>
  <r>
    <x v="200"/>
    <d v="1899-12-30T06:57:43"/>
    <d v="1899-12-30T07:03:21"/>
    <d v="1899-12-30T00:05:37"/>
    <n v="5"/>
    <n v="37"/>
    <n v="5.62"/>
    <n v="337"/>
    <n v="53.412462908011868"/>
    <x v="1"/>
  </r>
  <r>
    <x v="120"/>
    <d v="1899-12-30T20:32:44"/>
    <d v="1899-12-30T20:27:07"/>
    <d v="1899-12-30T00:05:37"/>
    <n v="5"/>
    <n v="37"/>
    <n v="5.62"/>
    <n v="337"/>
    <n v="53.412462908011868"/>
    <x v="1"/>
  </r>
  <r>
    <x v="57"/>
    <d v="1899-12-30T04:19:06"/>
    <d v="1899-12-30T04:13:29"/>
    <d v="1899-12-30T00:05:37"/>
    <n v="5"/>
    <n v="37"/>
    <n v="5.62"/>
    <n v="337"/>
    <n v="53.412462908011868"/>
    <x v="1"/>
  </r>
  <r>
    <x v="89"/>
    <d v="1899-12-30T16:40:14"/>
    <d v="1899-12-30T16:45:51"/>
    <d v="1899-12-30T00:05:37"/>
    <n v="5"/>
    <n v="37"/>
    <n v="5.62"/>
    <n v="337"/>
    <n v="53.412462908011868"/>
    <x v="1"/>
  </r>
  <r>
    <x v="47"/>
    <d v="1899-12-30T03:50:47"/>
    <d v="1899-12-30T03:56:24"/>
    <d v="1899-12-30T00:05:37"/>
    <n v="5"/>
    <n v="37"/>
    <n v="5.62"/>
    <n v="337"/>
    <n v="53.412462908011868"/>
    <x v="1"/>
  </r>
  <r>
    <x v="407"/>
    <d v="1899-12-30T01:10:49"/>
    <d v="1899-12-30T01:05:12"/>
    <d v="1899-12-30T00:05:37"/>
    <n v="5"/>
    <n v="37"/>
    <n v="5.62"/>
    <n v="337"/>
    <n v="53.412462908011868"/>
    <x v="1"/>
  </r>
  <r>
    <x v="408"/>
    <d v="1899-12-30T19:03:10"/>
    <d v="1899-12-30T19:08:47"/>
    <d v="1899-12-30T00:05:37"/>
    <n v="5"/>
    <n v="37"/>
    <n v="5.62"/>
    <n v="337"/>
    <n v="53.412462908011868"/>
    <x v="1"/>
  </r>
  <r>
    <x v="409"/>
    <d v="1899-12-30T15:40:23"/>
    <d v="1899-12-30T15:34:46"/>
    <d v="1899-12-30T00:05:37"/>
    <n v="5"/>
    <n v="37"/>
    <n v="5.62"/>
    <n v="337"/>
    <n v="53.412462908011868"/>
    <x v="1"/>
  </r>
  <r>
    <x v="0"/>
    <d v="1899-12-30T13:11:33"/>
    <d v="1899-12-30T13:17:11"/>
    <d v="1899-12-30T00:05:38"/>
    <n v="5"/>
    <n v="38"/>
    <n v="5.63"/>
    <n v="338"/>
    <n v="53.254437869822482"/>
    <x v="1"/>
  </r>
  <r>
    <x v="173"/>
    <d v="1899-12-30T11:06:49"/>
    <d v="1899-12-30T11:12:27"/>
    <d v="1899-12-30T00:05:38"/>
    <n v="5"/>
    <n v="38"/>
    <n v="5.63"/>
    <n v="338"/>
    <n v="53.254437869822482"/>
    <x v="1"/>
  </r>
  <r>
    <x v="35"/>
    <d v="1899-12-30T03:01:56"/>
    <d v="1899-12-30T02:56:18"/>
    <d v="1899-12-30T00:05:38"/>
    <n v="5"/>
    <n v="38"/>
    <n v="5.63"/>
    <n v="338"/>
    <n v="53.254437869822482"/>
    <x v="1"/>
  </r>
  <r>
    <x v="410"/>
    <d v="1899-12-30T23:01:44"/>
    <d v="1899-12-30T23:07:22"/>
    <d v="1899-12-30T00:05:38"/>
    <n v="5"/>
    <n v="38"/>
    <n v="5.63"/>
    <n v="338"/>
    <n v="53.254437869822482"/>
    <x v="1"/>
  </r>
  <r>
    <x v="123"/>
    <d v="1899-12-30T13:24:18"/>
    <d v="1899-12-30T13:18:40"/>
    <d v="1899-12-30T00:05:39"/>
    <n v="5"/>
    <n v="39"/>
    <n v="5.65"/>
    <n v="339"/>
    <n v="53.097345132743364"/>
    <x v="1"/>
  </r>
  <r>
    <x v="411"/>
    <d v="1899-12-30T03:44:09"/>
    <d v="1899-12-30T03:38:29"/>
    <d v="1899-12-30T00:05:39"/>
    <n v="5"/>
    <n v="39"/>
    <n v="5.65"/>
    <n v="339"/>
    <n v="53.097345132743364"/>
    <x v="1"/>
  </r>
  <r>
    <x v="412"/>
    <d v="1899-12-30T17:58:43"/>
    <d v="1899-12-30T18:04:22"/>
    <d v="1899-12-30T00:05:39"/>
    <n v="5"/>
    <n v="39"/>
    <n v="5.65"/>
    <n v="339"/>
    <n v="53.097345132743364"/>
    <x v="1"/>
  </r>
  <r>
    <x v="413"/>
    <d v="1899-12-30T16:26:06"/>
    <d v="1899-12-30T16:31:46"/>
    <d v="1899-12-30T00:05:40"/>
    <n v="5"/>
    <n v="40"/>
    <n v="5.67"/>
    <n v="340"/>
    <n v="52.941176470588232"/>
    <x v="1"/>
  </r>
  <r>
    <x v="414"/>
    <d v="1899-12-30T10:09:20"/>
    <d v="1899-12-30T10:03:40"/>
    <d v="1899-12-30T00:05:40"/>
    <n v="5"/>
    <n v="40"/>
    <n v="5.67"/>
    <n v="340"/>
    <n v="52.941176470588232"/>
    <x v="1"/>
  </r>
  <r>
    <x v="415"/>
    <d v="1899-12-30T16:11:05"/>
    <d v="1899-12-30T16:05:25"/>
    <d v="1899-12-30T00:05:40"/>
    <n v="5"/>
    <n v="40"/>
    <n v="5.67"/>
    <n v="340"/>
    <n v="52.941176470588232"/>
    <x v="1"/>
  </r>
  <r>
    <x v="416"/>
    <d v="1899-12-30T15:26:26"/>
    <d v="1899-12-30T15:20:46"/>
    <d v="1899-12-30T00:05:40"/>
    <n v="5"/>
    <n v="40"/>
    <n v="5.67"/>
    <n v="340"/>
    <n v="52.941176470588232"/>
    <x v="1"/>
  </r>
  <r>
    <x v="417"/>
    <d v="1899-12-30T20:42:51"/>
    <d v="1899-12-30T20:37:10"/>
    <d v="1899-12-30T00:05:41"/>
    <n v="5"/>
    <n v="41"/>
    <n v="5.68"/>
    <n v="341"/>
    <n v="52.785923753665685"/>
    <x v="1"/>
  </r>
  <r>
    <x v="7"/>
    <d v="1899-12-30T22:26:10"/>
    <d v="1899-12-30T22:31:52"/>
    <d v="1899-12-30T00:05:41"/>
    <n v="5"/>
    <n v="41"/>
    <n v="5.68"/>
    <n v="341"/>
    <n v="52.785923753665685"/>
    <x v="1"/>
  </r>
  <r>
    <x v="338"/>
    <d v="1899-12-30T23:30:50"/>
    <d v="1899-12-30T23:36:30"/>
    <d v="1899-12-30T00:05:41"/>
    <n v="5"/>
    <n v="41"/>
    <n v="5.68"/>
    <n v="341"/>
    <n v="52.785923753665685"/>
    <x v="1"/>
  </r>
  <r>
    <x v="58"/>
    <d v="1899-12-30T14:40:11"/>
    <d v="1899-12-30T14:45:53"/>
    <d v="1899-12-30T00:05:41"/>
    <n v="5"/>
    <n v="41"/>
    <n v="5.68"/>
    <n v="341"/>
    <n v="52.785923753665685"/>
    <x v="1"/>
  </r>
  <r>
    <x v="58"/>
    <d v="1899-12-30T16:14:54"/>
    <d v="1899-12-30T16:09:12"/>
    <d v="1899-12-30T00:05:42"/>
    <n v="5"/>
    <n v="42"/>
    <n v="5.7"/>
    <n v="342"/>
    <n v="52.631578947368425"/>
    <x v="1"/>
  </r>
  <r>
    <x v="347"/>
    <d v="1899-12-30T14:55:00"/>
    <d v="1899-12-30T14:49:17"/>
    <d v="1899-12-30T00:05:42"/>
    <n v="5"/>
    <n v="42"/>
    <n v="5.7"/>
    <n v="342"/>
    <n v="52.631578947368425"/>
    <x v="1"/>
  </r>
  <r>
    <x v="255"/>
    <d v="1899-12-30T09:29:10"/>
    <d v="1899-12-30T09:23:26"/>
    <d v="1899-12-30T00:05:44"/>
    <n v="5"/>
    <n v="44"/>
    <n v="5.73"/>
    <n v="344"/>
    <n v="52.325581395348841"/>
    <x v="1"/>
  </r>
  <r>
    <x v="222"/>
    <d v="1899-12-30T15:18:45"/>
    <d v="1899-12-30T15:24:29"/>
    <d v="1899-12-30T00:05:44"/>
    <n v="5"/>
    <n v="44"/>
    <n v="5.73"/>
    <n v="344"/>
    <n v="52.325581395348841"/>
    <x v="1"/>
  </r>
  <r>
    <x v="417"/>
    <d v="1899-12-30T00:17:38"/>
    <d v="1899-12-30T00:23:21"/>
    <d v="1899-12-30T00:05:44"/>
    <n v="5"/>
    <n v="44"/>
    <n v="5.73"/>
    <n v="344"/>
    <n v="52.325581395348841"/>
    <x v="1"/>
  </r>
  <r>
    <x v="4"/>
    <d v="1899-12-30T07:59:54"/>
    <d v="1899-12-30T07:54:10"/>
    <d v="1899-12-30T00:05:44"/>
    <n v="5"/>
    <n v="44"/>
    <n v="5.73"/>
    <n v="344"/>
    <n v="52.325581395348841"/>
    <x v="1"/>
  </r>
  <r>
    <x v="35"/>
    <d v="1899-12-30T07:59:05"/>
    <d v="1899-12-30T08:04:49"/>
    <d v="1899-12-30T00:05:44"/>
    <n v="5"/>
    <n v="44"/>
    <n v="5.73"/>
    <n v="344"/>
    <n v="52.325581395348841"/>
    <x v="1"/>
  </r>
  <r>
    <x v="246"/>
    <d v="1899-12-30T07:39:55"/>
    <d v="1899-12-30T07:34:10"/>
    <d v="1899-12-30T00:05:45"/>
    <n v="5"/>
    <n v="45"/>
    <n v="5.75"/>
    <n v="345"/>
    <n v="52.173913043478265"/>
    <x v="1"/>
  </r>
  <r>
    <x v="76"/>
    <d v="1899-12-30T00:08:19"/>
    <d v="1899-12-30T00:02:35"/>
    <d v="1899-12-30T00:05:45"/>
    <n v="5"/>
    <n v="45"/>
    <n v="5.75"/>
    <n v="345"/>
    <n v="52.173913043478265"/>
    <x v="1"/>
  </r>
  <r>
    <x v="57"/>
    <d v="1899-12-30T16:08:38"/>
    <d v="1899-12-30T16:14:23"/>
    <d v="1899-12-30T00:05:45"/>
    <n v="5"/>
    <n v="45"/>
    <n v="5.75"/>
    <n v="345"/>
    <n v="52.173913043478265"/>
    <x v="1"/>
  </r>
  <r>
    <x v="24"/>
    <d v="1899-12-30T07:26:01"/>
    <d v="1899-12-30T07:31:45"/>
    <d v="1899-12-30T00:05:45"/>
    <n v="5"/>
    <n v="45"/>
    <n v="5.75"/>
    <n v="345"/>
    <n v="52.173913043478265"/>
    <x v="1"/>
  </r>
  <r>
    <x v="234"/>
    <d v="1899-12-30T03:08:12"/>
    <d v="1899-12-30T03:13:57"/>
    <d v="1899-12-30T00:05:45"/>
    <n v="5"/>
    <n v="45"/>
    <n v="5.75"/>
    <n v="345"/>
    <n v="52.173913043478265"/>
    <x v="1"/>
  </r>
  <r>
    <x v="72"/>
    <d v="1899-12-30T21:18:34"/>
    <d v="1899-12-30T21:12:48"/>
    <d v="1899-12-30T00:05:45"/>
    <n v="5"/>
    <n v="45"/>
    <n v="5.75"/>
    <n v="345"/>
    <n v="52.173913043478265"/>
    <x v="1"/>
  </r>
  <r>
    <x v="334"/>
    <d v="1899-12-30T12:59:56"/>
    <d v="1899-12-30T12:54:11"/>
    <d v="1899-12-30T00:05:45"/>
    <n v="5"/>
    <n v="45"/>
    <n v="5.75"/>
    <n v="345"/>
    <n v="52.173913043478265"/>
    <x v="1"/>
  </r>
  <r>
    <x v="417"/>
    <d v="1899-12-30T18:27:24"/>
    <d v="1899-12-30T18:21:39"/>
    <d v="1899-12-30T00:05:45"/>
    <n v="5"/>
    <n v="45"/>
    <n v="5.75"/>
    <n v="345"/>
    <n v="52.173913043478265"/>
    <x v="1"/>
  </r>
  <r>
    <x v="130"/>
    <d v="1899-12-30T11:24:01"/>
    <d v="1899-12-30T11:29:46"/>
    <d v="1899-12-30T00:05:45"/>
    <n v="5"/>
    <n v="45"/>
    <n v="5.75"/>
    <n v="345"/>
    <n v="52.173913043478265"/>
    <x v="1"/>
  </r>
  <r>
    <x v="418"/>
    <d v="1899-12-30T03:01:58"/>
    <d v="1899-12-30T03:07:43"/>
    <d v="1899-12-30T00:05:45"/>
    <n v="5"/>
    <n v="45"/>
    <n v="5.75"/>
    <n v="345"/>
    <n v="52.173913043478265"/>
    <x v="1"/>
  </r>
  <r>
    <x v="21"/>
    <d v="1899-12-30T00:39:01"/>
    <d v="1899-12-30T00:33:01"/>
    <d v="1899-12-30T00:06:00"/>
    <n v="6"/>
    <n v="0"/>
    <n v="6"/>
    <n v="360"/>
    <n v="50"/>
    <x v="1"/>
  </r>
  <r>
    <x v="419"/>
    <m/>
    <m/>
    <m/>
    <m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1">
  <r>
    <s v="NNI5982"/>
    <d v="1899-12-30T13:15:25"/>
    <d v="1899-12-30T13:17:26"/>
    <d v="1899-12-30T00:02:00"/>
    <n v="2"/>
    <n v="0"/>
    <n v="2"/>
    <n v="120"/>
    <n v="150"/>
    <n v="1"/>
    <x v="0"/>
  </r>
  <r>
    <s v="DJE2146"/>
    <d v="1899-12-30T18:48:54"/>
    <d v="1899-12-30T18:46:54"/>
    <d v="1899-12-30T00:02:00"/>
    <n v="2"/>
    <n v="0"/>
    <n v="2"/>
    <n v="120"/>
    <n v="150"/>
    <n v="1"/>
    <x v="1"/>
  </r>
  <r>
    <s v="WJ87174"/>
    <d v="1899-12-30T08:54:35"/>
    <d v="1899-12-30T08:52:35"/>
    <d v="1899-12-30T00:02:01"/>
    <n v="2"/>
    <n v="1"/>
    <n v="2.02"/>
    <n v="121"/>
    <n v="148.7603305785124"/>
    <n v="1"/>
    <x v="2"/>
  </r>
  <r>
    <s v="CG97781"/>
    <d v="1899-12-30T12:26:45"/>
    <d v="1899-12-30T12:28:47"/>
    <d v="1899-12-30T00:02:02"/>
    <n v="2"/>
    <n v="2"/>
    <n v="2.0299999999999998"/>
    <n v="122"/>
    <n v="147.54098360655738"/>
    <n v="1"/>
    <x v="3"/>
  </r>
  <r>
    <s v="NOL4507"/>
    <d v="1899-12-30T10:22:50"/>
    <d v="1899-12-30T10:20:47"/>
    <d v="1899-12-30T00:02:02"/>
    <n v="2"/>
    <n v="2"/>
    <n v="2.0299999999999998"/>
    <n v="122"/>
    <n v="147.54098360655738"/>
    <n v="1"/>
    <x v="4"/>
  </r>
  <r>
    <s v="CBR1005"/>
    <d v="1899-12-30T21:30:19"/>
    <d v="1899-12-30T21:28:17"/>
    <d v="1899-12-30T00:02:02"/>
    <n v="2"/>
    <n v="2"/>
    <n v="2.0299999999999998"/>
    <n v="122"/>
    <n v="147.54098360655738"/>
    <n v="1"/>
    <x v="5"/>
  </r>
  <r>
    <s v="FZI8967"/>
    <d v="1899-12-30T07:34:11"/>
    <d v="1899-12-30T07:32:08"/>
    <d v="1899-12-30T00:02:02"/>
    <n v="2"/>
    <n v="2"/>
    <n v="2.0299999999999998"/>
    <n v="122"/>
    <n v="147.54098360655738"/>
    <n v="1"/>
    <x v="6"/>
  </r>
  <r>
    <s v="KWI7049"/>
    <d v="1899-12-30T16:07:45"/>
    <d v="1899-12-30T16:09:46"/>
    <d v="1899-12-30T00:02:02"/>
    <n v="2"/>
    <n v="2"/>
    <n v="2.0299999999999998"/>
    <n v="122"/>
    <n v="147.54098360655738"/>
    <n v="1"/>
    <x v="7"/>
  </r>
  <r>
    <s v="NEL2373"/>
    <d v="1899-12-30T06:00:27"/>
    <d v="1899-12-30T05:58:25"/>
    <d v="1899-12-30T00:02:02"/>
    <n v="2"/>
    <n v="2"/>
    <n v="2.0299999999999998"/>
    <n v="122"/>
    <n v="147.54098360655738"/>
    <n v="1"/>
    <x v="8"/>
  </r>
  <r>
    <s v="WS94235"/>
    <d v="1899-12-30T22:14:09"/>
    <d v="1899-12-30T22:12:07"/>
    <d v="1899-12-30T00:02:02"/>
    <n v="2"/>
    <n v="2"/>
    <n v="2.0299999999999998"/>
    <n v="122"/>
    <n v="147.54098360655738"/>
    <n v="1"/>
    <x v="9"/>
  </r>
  <r>
    <s v="WSI3586"/>
    <d v="1899-12-30T11:58:03"/>
    <d v="1899-12-30T11:56:01"/>
    <d v="1899-12-30T00:02:02"/>
    <n v="2"/>
    <n v="2"/>
    <n v="2.0299999999999998"/>
    <n v="122"/>
    <n v="147.54098360655738"/>
    <n v="1"/>
    <x v="10"/>
  </r>
  <r>
    <s v="EZD7248"/>
    <d v="1899-12-30T16:32:34"/>
    <d v="1899-12-30T16:30:33"/>
    <d v="1899-12-30T00:02:02"/>
    <n v="2"/>
    <n v="2"/>
    <n v="2.0299999999999998"/>
    <n v="122"/>
    <n v="147.54098360655738"/>
    <n v="1"/>
    <x v="7"/>
  </r>
  <r>
    <s v="KWA9904"/>
    <d v="1899-12-30T03:58:48"/>
    <d v="1899-12-30T04:00:50"/>
    <d v="1899-12-30T00:02:02"/>
    <n v="2"/>
    <n v="2"/>
    <n v="2.0299999999999998"/>
    <n v="122"/>
    <n v="147.54098360655738"/>
    <n v="1"/>
    <x v="11"/>
  </r>
  <r>
    <s v="GSZ9176"/>
    <d v="1899-12-30T17:22:18"/>
    <d v="1899-12-30T17:24:22"/>
    <d v="1899-12-30T00:02:03"/>
    <n v="2"/>
    <n v="3"/>
    <n v="2.0499999999999998"/>
    <n v="123"/>
    <n v="146.34146341463415"/>
    <n v="1"/>
    <x v="12"/>
  </r>
  <r>
    <s v="NGI7942"/>
    <d v="1899-12-30T12:18:44"/>
    <d v="1899-12-30T12:16:41"/>
    <d v="1899-12-30T00:02:03"/>
    <n v="2"/>
    <n v="3"/>
    <n v="2.0499999999999998"/>
    <n v="123"/>
    <n v="146.34146341463415"/>
    <n v="1"/>
    <x v="3"/>
  </r>
  <r>
    <s v="EWE4423"/>
    <d v="1899-12-30T16:46:48"/>
    <d v="1899-12-30T16:48:50"/>
    <d v="1899-12-30T00:02:03"/>
    <n v="2"/>
    <n v="3"/>
    <n v="2.0499999999999998"/>
    <n v="123"/>
    <n v="146.34146341463415"/>
    <n v="1"/>
    <x v="7"/>
  </r>
  <r>
    <s v="DST6471"/>
    <d v="1899-12-30T00:34:55"/>
    <d v="1899-12-30T00:32:52"/>
    <d v="1899-12-30T00:02:03"/>
    <n v="2"/>
    <n v="3"/>
    <n v="2.0499999999999998"/>
    <n v="123"/>
    <n v="146.34146341463415"/>
    <n v="1"/>
    <x v="13"/>
  </r>
  <r>
    <s v="RZE7144"/>
    <d v="1899-12-30T10:46:05"/>
    <d v="1899-12-30T10:48:08"/>
    <d v="1899-12-30T00:02:03"/>
    <n v="2"/>
    <n v="3"/>
    <n v="2.0499999999999998"/>
    <n v="123"/>
    <n v="146.34146341463415"/>
    <n v="1"/>
    <x v="4"/>
  </r>
  <r>
    <s v="OP99731"/>
    <d v="1899-12-30T16:14:50"/>
    <d v="1899-12-30T16:12:47"/>
    <d v="1899-12-30T00:02:03"/>
    <n v="2"/>
    <n v="3"/>
    <n v="2.0499999999999998"/>
    <n v="123"/>
    <n v="146.34146341463415"/>
    <n v="1"/>
    <x v="7"/>
  </r>
  <r>
    <s v="NOL4507"/>
    <d v="1899-12-30T18:11:23"/>
    <d v="1899-12-30T18:09:20"/>
    <d v="1899-12-30T00:02:03"/>
    <n v="2"/>
    <n v="3"/>
    <n v="2.0499999999999998"/>
    <n v="123"/>
    <n v="146.34146341463415"/>
    <n v="1"/>
    <x v="1"/>
  </r>
  <r>
    <s v="BSU7002"/>
    <d v="1899-12-30T05:41:26"/>
    <d v="1899-12-30T05:39:21"/>
    <d v="1899-12-30T00:02:04"/>
    <n v="2"/>
    <n v="4"/>
    <n v="2.0699999999999998"/>
    <n v="124"/>
    <n v="145.16129032258064"/>
    <n v="1"/>
    <x v="14"/>
  </r>
  <r>
    <s v="ST19923"/>
    <d v="1899-12-30T20:17:35"/>
    <d v="1899-12-30T20:19:38"/>
    <d v="1899-12-30T00:02:04"/>
    <n v="2"/>
    <n v="4"/>
    <n v="2.0699999999999998"/>
    <n v="124"/>
    <n v="145.16129032258064"/>
    <n v="1"/>
    <x v="15"/>
  </r>
  <r>
    <s v="EP37557"/>
    <d v="1899-12-30T12:22:38"/>
    <d v="1899-12-30T12:24:43"/>
    <d v="1899-12-30T00:02:04"/>
    <n v="2"/>
    <n v="4"/>
    <n v="2.0699999999999998"/>
    <n v="124"/>
    <n v="145.16129032258064"/>
    <n v="1"/>
    <x v="3"/>
  </r>
  <r>
    <s v="GA43729"/>
    <d v="1899-12-30T12:06:06"/>
    <d v="1899-12-30T12:04:02"/>
    <d v="1899-12-30T00:02:04"/>
    <n v="2"/>
    <n v="4"/>
    <n v="2.0699999999999998"/>
    <n v="124"/>
    <n v="145.16129032258064"/>
    <n v="1"/>
    <x v="3"/>
  </r>
  <r>
    <s v="EBE7309"/>
    <d v="1899-12-30T17:33:16"/>
    <d v="1899-12-30T17:35:21"/>
    <d v="1899-12-30T00:02:05"/>
    <n v="2"/>
    <n v="5"/>
    <n v="2.08"/>
    <n v="125"/>
    <n v="144"/>
    <n v="1"/>
    <x v="12"/>
  </r>
  <r>
    <s v="NMR7567"/>
    <d v="1899-12-30T01:47:17"/>
    <d v="1899-12-30T01:45:12"/>
    <d v="1899-12-30T00:02:05"/>
    <n v="2"/>
    <n v="5"/>
    <n v="2.08"/>
    <n v="125"/>
    <n v="144"/>
    <n v="1"/>
    <x v="16"/>
  </r>
  <r>
    <s v="SWD1063"/>
    <d v="1899-12-30T12:49:11"/>
    <d v="1899-12-30T12:51:16"/>
    <d v="1899-12-30T00:02:05"/>
    <n v="2"/>
    <n v="5"/>
    <n v="2.08"/>
    <n v="125"/>
    <n v="144"/>
    <n v="1"/>
    <x v="3"/>
  </r>
  <r>
    <s v="SRB970D"/>
    <d v="1899-12-30T20:43:45"/>
    <d v="1899-12-30T20:45:51"/>
    <d v="1899-12-30T00:02:06"/>
    <n v="2"/>
    <n v="6"/>
    <n v="2.1"/>
    <n v="126"/>
    <n v="142.85714285714286"/>
    <n v="1"/>
    <x v="15"/>
  </r>
  <r>
    <s v="NLI1232"/>
    <d v="1899-12-30T20:15:56"/>
    <d v="1899-12-30T20:13:50"/>
    <d v="1899-12-30T00:02:06"/>
    <n v="2"/>
    <n v="6"/>
    <n v="2.1"/>
    <n v="126"/>
    <n v="142.85714285714286"/>
    <n v="1"/>
    <x v="15"/>
  </r>
  <r>
    <s v="EBR2763"/>
    <d v="1899-12-30T12:22:41"/>
    <d v="1899-12-30T12:24:48"/>
    <d v="1899-12-30T00:02:06"/>
    <n v="2"/>
    <n v="6"/>
    <n v="2.1"/>
    <n v="126"/>
    <n v="142.85714285714286"/>
    <n v="1"/>
    <x v="3"/>
  </r>
  <r>
    <s v="WZY9176"/>
    <d v="1899-12-30T08:25:27"/>
    <d v="1899-12-30T08:27:33"/>
    <d v="1899-12-30T00:02:06"/>
    <n v="2"/>
    <n v="6"/>
    <n v="2.1"/>
    <n v="126"/>
    <n v="142.85714285714286"/>
    <n v="1"/>
    <x v="2"/>
  </r>
  <r>
    <s v="CIN3593"/>
    <d v="1899-12-30T01:14:25"/>
    <d v="1899-12-30T01:16:32"/>
    <d v="1899-12-30T00:02:07"/>
    <n v="2"/>
    <n v="7"/>
    <n v="2.12"/>
    <n v="127"/>
    <n v="141.73228346456693"/>
    <n v="1"/>
    <x v="16"/>
  </r>
  <r>
    <s v="GDA2835"/>
    <d v="1899-12-30T13:15:12"/>
    <d v="1899-12-30T13:13:06"/>
    <d v="1899-12-30T00:02:07"/>
    <n v="2"/>
    <n v="7"/>
    <n v="2.12"/>
    <n v="127"/>
    <n v="141.73228346456693"/>
    <n v="1"/>
    <x v="0"/>
  </r>
  <r>
    <s v="RRS3368"/>
    <d v="1899-12-30T17:19:27"/>
    <d v="1899-12-30T17:21:33"/>
    <d v="1899-12-30T00:02:07"/>
    <n v="2"/>
    <n v="7"/>
    <n v="2.12"/>
    <n v="127"/>
    <n v="141.73228346456693"/>
    <n v="1"/>
    <x v="12"/>
  </r>
  <r>
    <s v="SZ51491"/>
    <d v="1899-12-30T17:43:14"/>
    <d v="1899-12-30T17:45:21"/>
    <d v="1899-12-30T00:02:08"/>
    <n v="2"/>
    <n v="8"/>
    <n v="2.13"/>
    <n v="128"/>
    <n v="140.625"/>
    <n v="1"/>
    <x v="12"/>
  </r>
  <r>
    <s v="PK16514"/>
    <d v="1899-12-30T04:00:37"/>
    <d v="1899-12-30T04:02:45"/>
    <d v="1899-12-30T00:02:08"/>
    <n v="2"/>
    <n v="8"/>
    <n v="2.13"/>
    <n v="128"/>
    <n v="140.625"/>
    <n v="1"/>
    <x v="17"/>
  </r>
  <r>
    <s v="NOE1810"/>
    <d v="1899-12-30T12:54:59"/>
    <d v="1899-12-30T12:57:08"/>
    <d v="1899-12-30T00:02:09"/>
    <n v="2"/>
    <n v="9"/>
    <n v="2.15"/>
    <n v="129"/>
    <n v="139.53488372093022"/>
    <n v="0"/>
    <x v="3"/>
  </r>
  <r>
    <s v="CGD5776"/>
    <d v="1899-12-30T08:37:29"/>
    <d v="1899-12-30T08:35:20"/>
    <d v="1899-12-30T00:02:09"/>
    <n v="2"/>
    <n v="9"/>
    <n v="2.15"/>
    <n v="129"/>
    <n v="139.53488372093022"/>
    <n v="0"/>
    <x v="2"/>
  </r>
  <r>
    <s v="EPA1431"/>
    <d v="1899-12-30T01:15:05"/>
    <d v="1899-12-30T01:12:57"/>
    <d v="1899-12-30T00:02:09"/>
    <n v="2"/>
    <n v="9"/>
    <n v="2.15"/>
    <n v="129"/>
    <n v="139.53488372093022"/>
    <n v="0"/>
    <x v="16"/>
  </r>
  <r>
    <s v="WZW7144"/>
    <d v="1899-12-30T09:58:38"/>
    <d v="1899-12-30T09:56:28"/>
    <d v="1899-12-30T00:02:10"/>
    <n v="2"/>
    <n v="10"/>
    <n v="2.17"/>
    <n v="130"/>
    <n v="138.46153846153845"/>
    <n v="0"/>
    <x v="18"/>
  </r>
  <r>
    <s v="WS87052"/>
    <d v="1899-12-30T03:19:14"/>
    <d v="1899-12-30T03:17:04"/>
    <d v="1899-12-30T00:02:10"/>
    <n v="2"/>
    <n v="10"/>
    <n v="2.17"/>
    <n v="130"/>
    <n v="138.46153846153845"/>
    <n v="0"/>
    <x v="11"/>
  </r>
  <r>
    <s v="DPL8260"/>
    <d v="1899-12-30T04:22:42"/>
    <d v="1899-12-30T04:20:32"/>
    <d v="1899-12-30T00:02:10"/>
    <n v="2"/>
    <n v="10"/>
    <n v="2.17"/>
    <n v="130"/>
    <n v="138.46153846153845"/>
    <n v="0"/>
    <x v="17"/>
  </r>
  <r>
    <s v="NEB9600"/>
    <d v="1899-12-30T06:37:17"/>
    <d v="1899-12-30T06:39:26"/>
    <d v="1899-12-30T00:02:10"/>
    <n v="2"/>
    <n v="10"/>
    <n v="2.17"/>
    <n v="130"/>
    <n v="138.46153846153845"/>
    <n v="0"/>
    <x v="8"/>
  </r>
  <r>
    <s v="NSZ8448"/>
    <d v="1899-12-30T05:25:17"/>
    <d v="1899-12-30T05:23:07"/>
    <d v="1899-12-30T00:02:10"/>
    <n v="2"/>
    <n v="10"/>
    <n v="2.17"/>
    <n v="130"/>
    <n v="138.46153846153845"/>
    <n v="0"/>
    <x v="14"/>
  </r>
  <r>
    <s v="EPA8924"/>
    <d v="1899-12-30T18:38:35"/>
    <d v="1899-12-30T18:36:25"/>
    <d v="1899-12-30T00:02:10"/>
    <n v="2"/>
    <n v="10"/>
    <n v="2.17"/>
    <n v="130"/>
    <n v="138.46153846153845"/>
    <n v="0"/>
    <x v="1"/>
  </r>
  <r>
    <s v="CAL4310"/>
    <d v="1899-12-30T12:06:28"/>
    <d v="1899-12-30T12:04:18"/>
    <d v="1899-12-30T00:02:10"/>
    <n v="2"/>
    <n v="10"/>
    <n v="2.17"/>
    <n v="130"/>
    <n v="138.46153846153845"/>
    <n v="0"/>
    <x v="3"/>
  </r>
  <r>
    <s v="CWL381S"/>
    <d v="1899-12-30T20:06:00"/>
    <d v="1899-12-30T20:03:50"/>
    <d v="1899-12-30T00:02:10"/>
    <n v="2"/>
    <n v="10"/>
    <n v="2.17"/>
    <n v="130"/>
    <n v="138.46153846153845"/>
    <n v="0"/>
    <x v="15"/>
  </r>
  <r>
    <s v="RZE7144"/>
    <d v="1899-12-30T12:31:50"/>
    <d v="1899-12-30T12:34:00"/>
    <d v="1899-12-30T00:02:10"/>
    <n v="2"/>
    <n v="10"/>
    <n v="2.17"/>
    <n v="130"/>
    <n v="138.46153846153845"/>
    <n v="0"/>
    <x v="3"/>
  </r>
  <r>
    <s v="FSU7573"/>
    <d v="1899-12-30T12:53:56"/>
    <d v="1899-12-30T12:56:06"/>
    <d v="1899-12-30T00:02:10"/>
    <n v="2"/>
    <n v="10"/>
    <n v="2.17"/>
    <n v="130"/>
    <n v="138.46153846153845"/>
    <n v="0"/>
    <x v="3"/>
  </r>
  <r>
    <s v="FZ46305"/>
    <d v="1899-12-30T20:44:37"/>
    <d v="1899-12-30T20:42:26"/>
    <d v="1899-12-30T00:02:11"/>
    <n v="2"/>
    <n v="11"/>
    <n v="2.1800000000000002"/>
    <n v="131"/>
    <n v="137.40458015267177"/>
    <n v="0"/>
    <x v="15"/>
  </r>
  <r>
    <s v="NBR3345"/>
    <d v="1899-12-30T06:25:17"/>
    <d v="1899-12-30T06:23:06"/>
    <d v="1899-12-30T00:02:11"/>
    <n v="2"/>
    <n v="11"/>
    <n v="2.1800000000000002"/>
    <n v="131"/>
    <n v="137.40458015267177"/>
    <n v="0"/>
    <x v="8"/>
  </r>
  <r>
    <s v="NBA102B"/>
    <d v="1899-12-30T21:22:11"/>
    <d v="1899-12-30T21:20:00"/>
    <d v="1899-12-30T00:02:11"/>
    <n v="2"/>
    <n v="11"/>
    <n v="2.1800000000000002"/>
    <n v="131"/>
    <n v="137.40458015267177"/>
    <n v="0"/>
    <x v="5"/>
  </r>
  <r>
    <s v="ZBI9880"/>
    <d v="1899-12-30T13:14:08"/>
    <d v="1899-12-30T13:16:19"/>
    <d v="1899-12-30T00:02:11"/>
    <n v="2"/>
    <n v="11"/>
    <n v="2.1800000000000002"/>
    <n v="131"/>
    <n v="137.40458015267177"/>
    <n v="0"/>
    <x v="0"/>
  </r>
  <r>
    <s v="DST6471"/>
    <d v="1899-12-30T16:08:57"/>
    <d v="1899-12-30T16:06:46"/>
    <d v="1899-12-30T00:02:12"/>
    <n v="2"/>
    <n v="12"/>
    <n v="2.2000000000000002"/>
    <n v="132"/>
    <n v="136.36363636363637"/>
    <n v="0"/>
    <x v="7"/>
  </r>
  <r>
    <s v="WZ23965"/>
    <d v="1899-12-30T03:10:55"/>
    <d v="1899-12-30T03:13:07"/>
    <d v="1899-12-30T00:02:12"/>
    <n v="2"/>
    <n v="12"/>
    <n v="2.2000000000000002"/>
    <n v="132"/>
    <n v="136.36363636363637"/>
    <n v="0"/>
    <x v="11"/>
  </r>
  <r>
    <s v="NMR7567"/>
    <d v="1899-12-30T05:33:34"/>
    <d v="1899-12-30T05:35:46"/>
    <d v="1899-12-30T00:02:12"/>
    <n v="2"/>
    <n v="12"/>
    <n v="2.2000000000000002"/>
    <n v="132"/>
    <n v="136.36363636363637"/>
    <n v="0"/>
    <x v="14"/>
  </r>
  <r>
    <s v="NIL3535"/>
    <d v="1899-12-30T10:12:42"/>
    <d v="1899-12-30T10:14:55"/>
    <d v="1899-12-30T00:02:12"/>
    <n v="2"/>
    <n v="12"/>
    <n v="2.2000000000000002"/>
    <n v="132"/>
    <n v="136.36363636363637"/>
    <n v="0"/>
    <x v="4"/>
  </r>
  <r>
    <s v="OB94491"/>
    <d v="1899-12-30T01:59:23"/>
    <d v="1899-12-30T02:01:34"/>
    <d v="1899-12-30T00:02:12"/>
    <n v="2"/>
    <n v="12"/>
    <n v="2.2000000000000002"/>
    <n v="132"/>
    <n v="136.36363636363637"/>
    <n v="0"/>
    <x v="16"/>
  </r>
  <r>
    <s v="NEB9600"/>
    <d v="1899-12-30T04:56:03"/>
    <d v="1899-12-30T04:58:16"/>
    <d v="1899-12-30T00:02:13"/>
    <n v="2"/>
    <n v="13"/>
    <n v="2.2200000000000002"/>
    <n v="133"/>
    <n v="135.33834586466165"/>
    <n v="0"/>
    <x v="17"/>
  </r>
  <r>
    <s v="TSZ4505"/>
    <d v="1899-12-30T05:50:57"/>
    <d v="1899-12-30T05:53:11"/>
    <d v="1899-12-30T00:02:14"/>
    <n v="2"/>
    <n v="14"/>
    <n v="2.23"/>
    <n v="134"/>
    <n v="134.32835820895522"/>
    <n v="0"/>
    <x v="14"/>
  </r>
  <r>
    <s v="NPI2072"/>
    <d v="1899-12-30T09:34:31"/>
    <d v="1899-12-30T09:36:45"/>
    <d v="1899-12-30T00:02:14"/>
    <n v="2"/>
    <n v="14"/>
    <n v="2.23"/>
    <n v="134"/>
    <n v="134.32835820895522"/>
    <n v="0"/>
    <x v="18"/>
  </r>
  <r>
    <s v="EWI961D"/>
    <d v="1899-12-30T04:11:13"/>
    <d v="1899-12-30T04:13:27"/>
    <d v="1899-12-30T00:02:14"/>
    <n v="2"/>
    <n v="14"/>
    <n v="2.23"/>
    <n v="134"/>
    <n v="134.32835820895522"/>
    <n v="0"/>
    <x v="17"/>
  </r>
  <r>
    <s v="TSZ4505"/>
    <d v="1899-12-30T15:32:36"/>
    <d v="1899-12-30T15:34:50"/>
    <d v="1899-12-30T00:02:14"/>
    <n v="2"/>
    <n v="14"/>
    <n v="2.23"/>
    <n v="134"/>
    <n v="134.32835820895522"/>
    <n v="0"/>
    <x v="19"/>
  </r>
  <r>
    <s v="NNM3913"/>
    <d v="1899-12-30T00:48:37"/>
    <d v="1899-12-30T00:50:51"/>
    <d v="1899-12-30T00:02:14"/>
    <n v="2"/>
    <n v="14"/>
    <n v="2.23"/>
    <n v="134"/>
    <n v="134.32835820895522"/>
    <n v="0"/>
    <x v="13"/>
  </r>
  <r>
    <s v="NOG3903"/>
    <d v="1899-12-30T09:18:15"/>
    <d v="1899-12-30T09:20:29"/>
    <d v="1899-12-30T00:02:14"/>
    <n v="2"/>
    <n v="14"/>
    <n v="2.23"/>
    <n v="134"/>
    <n v="134.32835820895522"/>
    <n v="0"/>
    <x v="18"/>
  </r>
  <r>
    <s v="CTR9653"/>
    <d v="1899-12-30T11:51:26"/>
    <d v="1899-12-30T11:49:11"/>
    <d v="1899-12-30T00:02:14"/>
    <n v="2"/>
    <n v="14"/>
    <n v="2.23"/>
    <n v="134"/>
    <n v="134.32835820895522"/>
    <n v="0"/>
    <x v="10"/>
  </r>
  <r>
    <s v="WI3373K"/>
    <d v="1899-12-30T09:08:09"/>
    <d v="1899-12-30T09:05:54"/>
    <d v="1899-12-30T00:02:15"/>
    <n v="2"/>
    <n v="15"/>
    <n v="2.25"/>
    <n v="135"/>
    <n v="133.33333333333334"/>
    <n v="0"/>
    <x v="18"/>
  </r>
  <r>
    <s v="GWE660D"/>
    <d v="1899-12-30T08:13:58"/>
    <d v="1899-12-30T08:16:14"/>
    <d v="1899-12-30T00:02:15"/>
    <n v="2"/>
    <n v="15"/>
    <n v="2.25"/>
    <n v="135"/>
    <n v="133.33333333333334"/>
    <n v="0"/>
    <x v="2"/>
  </r>
  <r>
    <s v="WPZ8966"/>
    <d v="1899-12-30T06:18:35"/>
    <d v="1899-12-30T06:20:50"/>
    <d v="1899-12-30T00:02:15"/>
    <n v="2"/>
    <n v="15"/>
    <n v="2.25"/>
    <n v="135"/>
    <n v="133.33333333333334"/>
    <n v="0"/>
    <x v="8"/>
  </r>
  <r>
    <s v="SRB024S"/>
    <d v="1899-12-30T15:11:41"/>
    <d v="1899-12-30T15:13:56"/>
    <d v="1899-12-30T00:02:15"/>
    <n v="2"/>
    <n v="15"/>
    <n v="2.25"/>
    <n v="135"/>
    <n v="133.33333333333334"/>
    <n v="0"/>
    <x v="19"/>
  </r>
  <r>
    <s v="NWE1882"/>
    <d v="1899-12-30T03:21:40"/>
    <d v="1899-12-30T03:23:56"/>
    <d v="1899-12-30T00:02:16"/>
    <n v="2"/>
    <n v="16"/>
    <n v="2.27"/>
    <n v="136"/>
    <n v="132.35294117647058"/>
    <n v="0"/>
    <x v="11"/>
  </r>
  <r>
    <s v="NGO9410"/>
    <d v="1899-12-30T17:27:10"/>
    <d v="1899-12-30T17:29:26"/>
    <d v="1899-12-30T00:02:16"/>
    <n v="2"/>
    <n v="16"/>
    <n v="2.27"/>
    <n v="136"/>
    <n v="132.35294117647058"/>
    <n v="0"/>
    <x v="12"/>
  </r>
  <r>
    <s v="SRS2013"/>
    <d v="1899-12-30T02:05:13"/>
    <d v="1899-12-30T02:02:57"/>
    <d v="1899-12-30T00:02:16"/>
    <n v="2"/>
    <n v="16"/>
    <n v="2.27"/>
    <n v="136"/>
    <n v="132.35294117647058"/>
    <n v="0"/>
    <x v="20"/>
  </r>
  <r>
    <s v="KTT8835"/>
    <d v="1899-12-30T09:41:20"/>
    <d v="1899-12-30T09:39:04"/>
    <d v="1899-12-30T00:02:16"/>
    <n v="2"/>
    <n v="16"/>
    <n v="2.27"/>
    <n v="136"/>
    <n v="132.35294117647058"/>
    <n v="0"/>
    <x v="18"/>
  </r>
  <r>
    <s v="LU68482"/>
    <d v="1899-12-30T22:24:53"/>
    <d v="1899-12-30T22:22:37"/>
    <d v="1899-12-30T00:02:17"/>
    <n v="2"/>
    <n v="17"/>
    <n v="2.2799999999999998"/>
    <n v="137"/>
    <n v="131.38686131386862"/>
    <n v="0"/>
    <x v="9"/>
  </r>
  <r>
    <s v="CCH9482"/>
    <d v="1899-12-30T14:03:23"/>
    <d v="1899-12-30T14:05:40"/>
    <d v="1899-12-30T00:02:17"/>
    <n v="2"/>
    <n v="17"/>
    <n v="2.2799999999999998"/>
    <n v="137"/>
    <n v="131.38686131386862"/>
    <n v="0"/>
    <x v="21"/>
  </r>
  <r>
    <s v="NEL2373"/>
    <d v="1899-12-30T23:56:57"/>
    <d v="1899-12-30T23:59:15"/>
    <d v="1899-12-30T00:02:18"/>
    <n v="2"/>
    <n v="18"/>
    <n v="2.2999999999999998"/>
    <n v="138"/>
    <n v="130.43478260869566"/>
    <n v="0"/>
    <x v="22"/>
  </r>
  <r>
    <s v="NOE1810"/>
    <d v="1899-12-30T04:40:13"/>
    <d v="1899-12-30T04:42:30"/>
    <d v="1899-12-30T00:02:18"/>
    <n v="2"/>
    <n v="18"/>
    <n v="2.2999999999999998"/>
    <n v="138"/>
    <n v="130.43478260869566"/>
    <n v="0"/>
    <x v="17"/>
  </r>
  <r>
    <s v="EWE455O"/>
    <d v="1899-12-30T17:14:04"/>
    <d v="1899-12-30T17:16:22"/>
    <d v="1899-12-30T00:02:18"/>
    <n v="2"/>
    <n v="18"/>
    <n v="2.2999999999999998"/>
    <n v="138"/>
    <n v="130.43478260869566"/>
    <n v="0"/>
    <x v="12"/>
  </r>
  <r>
    <s v="NO84797"/>
    <d v="1899-12-30T23:21:11"/>
    <d v="1899-12-30T23:23:30"/>
    <d v="1899-12-30T00:02:19"/>
    <n v="2"/>
    <n v="19"/>
    <n v="2.3199999999999998"/>
    <n v="139"/>
    <n v="129.49640287769785"/>
    <n v="0"/>
    <x v="22"/>
  </r>
  <r>
    <s v="EPD1467"/>
    <d v="1899-12-30T02:18:28"/>
    <d v="1899-12-30T02:20:47"/>
    <d v="1899-12-30T00:02:19"/>
    <n v="2"/>
    <n v="19"/>
    <n v="2.3199999999999998"/>
    <n v="139"/>
    <n v="129.49640287769785"/>
    <n v="0"/>
    <x v="20"/>
  </r>
  <r>
    <s v="CB96618"/>
    <d v="1899-12-30T21:22:44"/>
    <d v="1899-12-30T21:25:03"/>
    <d v="1899-12-30T00:02:19"/>
    <n v="2"/>
    <n v="19"/>
    <n v="2.3199999999999998"/>
    <n v="139"/>
    <n v="129.49640287769785"/>
    <n v="0"/>
    <x v="5"/>
  </r>
  <r>
    <s v="LB1414G"/>
    <d v="1899-12-30T04:59:17"/>
    <d v="1899-12-30T04:56:58"/>
    <d v="1899-12-30T00:02:19"/>
    <n v="2"/>
    <n v="19"/>
    <n v="2.3199999999999998"/>
    <n v="139"/>
    <n v="129.49640287769785"/>
    <n v="0"/>
    <x v="17"/>
  </r>
  <r>
    <s v="CTR5598"/>
    <d v="1899-12-30T14:45:00"/>
    <d v="1899-12-30T14:42:41"/>
    <d v="1899-12-30T00:02:19"/>
    <n v="2"/>
    <n v="19"/>
    <n v="2.3199999999999998"/>
    <n v="139"/>
    <n v="129.49640287769785"/>
    <n v="0"/>
    <x v="21"/>
  </r>
  <r>
    <s v="SWD1063"/>
    <d v="1899-12-30T07:06:26"/>
    <d v="1899-12-30T07:04:05"/>
    <d v="1899-12-30T00:02:20"/>
    <n v="2"/>
    <n v="20"/>
    <n v="2.33"/>
    <n v="140"/>
    <n v="128.57142857142858"/>
    <n v="0"/>
    <x v="6"/>
  </r>
  <r>
    <s v="NNM3913"/>
    <d v="1899-12-30T10:15:53"/>
    <d v="1899-12-30T10:18:13"/>
    <d v="1899-12-30T00:02:20"/>
    <n v="2"/>
    <n v="20"/>
    <n v="2.33"/>
    <n v="140"/>
    <n v="128.57142857142858"/>
    <n v="0"/>
    <x v="4"/>
  </r>
  <r>
    <s v="NNI5982"/>
    <d v="1899-12-30T21:48:17"/>
    <d v="1899-12-30T21:45:56"/>
    <d v="1899-12-30T00:02:20"/>
    <n v="2"/>
    <n v="20"/>
    <n v="2.33"/>
    <n v="140"/>
    <n v="128.57142857142858"/>
    <n v="0"/>
    <x v="5"/>
  </r>
  <r>
    <s v="EOP7868"/>
    <d v="1899-12-30T08:18:09"/>
    <d v="1899-12-30T08:15:49"/>
    <d v="1899-12-30T00:02:20"/>
    <n v="2"/>
    <n v="20"/>
    <n v="2.33"/>
    <n v="140"/>
    <n v="128.57142857142858"/>
    <n v="0"/>
    <x v="2"/>
  </r>
  <r>
    <s v="SRC6856"/>
    <d v="1899-12-30T08:58:43"/>
    <d v="1899-12-30T08:56:23"/>
    <d v="1899-12-30T00:02:20"/>
    <n v="2"/>
    <n v="20"/>
    <n v="2.33"/>
    <n v="140"/>
    <n v="128.57142857142858"/>
    <n v="0"/>
    <x v="2"/>
  </r>
  <r>
    <s v="LZ36064"/>
    <d v="1899-12-30T08:58:47"/>
    <d v="1899-12-30T09:01:07"/>
    <d v="1899-12-30T00:02:20"/>
    <n v="2"/>
    <n v="20"/>
    <n v="2.33"/>
    <n v="140"/>
    <n v="128.57142857142858"/>
    <n v="0"/>
    <x v="2"/>
  </r>
  <r>
    <s v="NOL5089"/>
    <d v="1899-12-30T22:39:13"/>
    <d v="1899-12-30T22:36:53"/>
    <d v="1899-12-30T00:02:20"/>
    <n v="2"/>
    <n v="20"/>
    <n v="2.33"/>
    <n v="140"/>
    <n v="128.57142857142858"/>
    <n v="0"/>
    <x v="9"/>
  </r>
  <r>
    <s v="BSU6951"/>
    <d v="1899-12-30T15:03:27"/>
    <d v="1899-12-30T15:01:07"/>
    <d v="1899-12-30T00:02:20"/>
    <n v="2"/>
    <n v="20"/>
    <n v="2.33"/>
    <n v="140"/>
    <n v="128.57142857142858"/>
    <n v="0"/>
    <x v="19"/>
  </r>
  <r>
    <s v="DKL3952"/>
    <d v="1899-12-30T18:14:40"/>
    <d v="1899-12-30T18:12:19"/>
    <d v="1899-12-30T00:02:21"/>
    <n v="2"/>
    <n v="21"/>
    <n v="2.35"/>
    <n v="141"/>
    <n v="127.65957446808511"/>
    <n v="0"/>
    <x v="1"/>
  </r>
  <r>
    <s v="FZG8877"/>
    <d v="1899-12-30T04:00:30"/>
    <d v="1899-12-30T03:58:10"/>
    <d v="1899-12-30T00:02:21"/>
    <n v="2"/>
    <n v="21"/>
    <n v="2.35"/>
    <n v="141"/>
    <n v="127.65957446808511"/>
    <n v="0"/>
    <x v="17"/>
  </r>
  <r>
    <s v="LU68482"/>
    <d v="1899-12-30T08:52:56"/>
    <d v="1899-12-30T08:50:34"/>
    <d v="1899-12-30T00:02:21"/>
    <n v="2"/>
    <n v="21"/>
    <n v="2.35"/>
    <n v="141"/>
    <n v="127.65957446808511"/>
    <n v="0"/>
    <x v="2"/>
  </r>
  <r>
    <s v="WZ23965"/>
    <d v="1899-12-30T12:49:23"/>
    <d v="1899-12-30T12:51:45"/>
    <d v="1899-12-30T00:02:21"/>
    <n v="2"/>
    <n v="21"/>
    <n v="2.35"/>
    <n v="141"/>
    <n v="127.65957446808511"/>
    <n v="0"/>
    <x v="3"/>
  </r>
  <r>
    <s v="DL55344"/>
    <d v="1899-12-30T06:27:31"/>
    <d v="1899-12-30T06:29:51"/>
    <d v="1899-12-30T00:02:21"/>
    <n v="2"/>
    <n v="21"/>
    <n v="2.35"/>
    <n v="141"/>
    <n v="127.65957446808511"/>
    <n v="0"/>
    <x v="8"/>
  </r>
  <r>
    <s v="NGO9410"/>
    <d v="1899-12-30T23:52:11"/>
    <d v="1899-12-30T23:54:32"/>
    <d v="1899-12-30T00:02:22"/>
    <n v="2"/>
    <n v="22"/>
    <n v="2.37"/>
    <n v="142"/>
    <n v="126.7605633802817"/>
    <n v="0"/>
    <x v="22"/>
  </r>
  <r>
    <s v="EWE4423"/>
    <d v="1899-12-30T06:47:51"/>
    <d v="1899-12-30T06:50:13"/>
    <d v="1899-12-30T00:02:22"/>
    <n v="2"/>
    <n v="22"/>
    <n v="2.37"/>
    <n v="142"/>
    <n v="126.7605633802817"/>
    <n v="0"/>
    <x v="8"/>
  </r>
  <r>
    <s v="CW78453"/>
    <d v="1899-12-30T03:37:19"/>
    <d v="1899-12-30T03:34:57"/>
    <d v="1899-12-30T00:02:22"/>
    <n v="2"/>
    <n v="22"/>
    <n v="2.37"/>
    <n v="142"/>
    <n v="126.7605633802817"/>
    <n v="0"/>
    <x v="11"/>
  </r>
  <r>
    <s v="EWI961D"/>
    <d v="1899-12-30T16:03:58"/>
    <d v="1899-12-30T16:01:36"/>
    <d v="1899-12-30T00:02:22"/>
    <n v="2"/>
    <n v="22"/>
    <n v="2.37"/>
    <n v="142"/>
    <n v="126.7605633802817"/>
    <n v="0"/>
    <x v="7"/>
  </r>
  <r>
    <s v="ZWA215K"/>
    <d v="1899-12-30T19:58:40"/>
    <d v="1899-12-30T19:56:18"/>
    <d v="1899-12-30T00:02:22"/>
    <n v="2"/>
    <n v="22"/>
    <n v="2.37"/>
    <n v="142"/>
    <n v="126.7605633802817"/>
    <n v="0"/>
    <x v="23"/>
  </r>
  <r>
    <s v="NOE1810"/>
    <d v="1899-12-30T12:37:05"/>
    <d v="1899-12-30T12:34:43"/>
    <d v="1899-12-30T00:02:22"/>
    <n v="2"/>
    <n v="22"/>
    <n v="2.37"/>
    <n v="142"/>
    <n v="126.7605633802817"/>
    <n v="0"/>
    <x v="3"/>
  </r>
  <r>
    <s v="CGR9703"/>
    <d v="1899-12-30T15:19:18"/>
    <d v="1899-12-30T15:21:41"/>
    <d v="1899-12-30T00:02:22"/>
    <n v="2"/>
    <n v="22"/>
    <n v="2.37"/>
    <n v="142"/>
    <n v="126.7605633802817"/>
    <n v="0"/>
    <x v="19"/>
  </r>
  <r>
    <s v="WZY9176"/>
    <d v="1899-12-30T02:55:46"/>
    <d v="1899-12-30T02:58:09"/>
    <d v="1899-12-30T00:02:23"/>
    <n v="2"/>
    <n v="23"/>
    <n v="2.38"/>
    <n v="143"/>
    <n v="125.87412587412587"/>
    <n v="0"/>
    <x v="20"/>
  </r>
  <r>
    <s v="NWE1882"/>
    <d v="1899-12-30T06:57:38"/>
    <d v="1899-12-30T07:00:01"/>
    <d v="1899-12-30T00:02:23"/>
    <n v="2"/>
    <n v="23"/>
    <n v="2.38"/>
    <n v="143"/>
    <n v="125.87412587412587"/>
    <n v="0"/>
    <x v="8"/>
  </r>
  <r>
    <s v="GSZ9176"/>
    <d v="1899-12-30T13:19:27"/>
    <d v="1899-12-30T13:21:50"/>
    <d v="1899-12-30T00:02:23"/>
    <n v="2"/>
    <n v="23"/>
    <n v="2.38"/>
    <n v="143"/>
    <n v="125.87412587412587"/>
    <n v="0"/>
    <x v="0"/>
  </r>
  <r>
    <s v="CW78453"/>
    <d v="1899-12-30T18:56:09"/>
    <d v="1899-12-30T18:53:46"/>
    <d v="1899-12-30T00:02:23"/>
    <n v="2"/>
    <n v="23"/>
    <n v="2.38"/>
    <n v="143"/>
    <n v="125.87412587412587"/>
    <n v="0"/>
    <x v="1"/>
  </r>
  <r>
    <s v="NEB9600"/>
    <d v="1899-12-30T07:17:01"/>
    <d v="1899-12-30T07:14:38"/>
    <d v="1899-12-30T00:02:23"/>
    <n v="2"/>
    <n v="23"/>
    <n v="2.38"/>
    <n v="143"/>
    <n v="125.87412587412587"/>
    <n v="0"/>
    <x v="6"/>
  </r>
  <r>
    <s v="NGI3330"/>
    <d v="1899-12-30T10:21:29"/>
    <d v="1899-12-30T10:23:53"/>
    <d v="1899-12-30T00:02:23"/>
    <n v="2"/>
    <n v="23"/>
    <n v="2.38"/>
    <n v="143"/>
    <n v="125.87412587412587"/>
    <n v="0"/>
    <x v="4"/>
  </r>
  <r>
    <s v="WY58670"/>
    <d v="1899-12-30T13:06:57"/>
    <d v="1899-12-30T13:09:21"/>
    <d v="1899-12-30T00:02:24"/>
    <n v="2"/>
    <n v="24"/>
    <n v="2.4"/>
    <n v="144"/>
    <n v="125"/>
    <n v="0"/>
    <x v="0"/>
  </r>
  <r>
    <s v="NO84797"/>
    <d v="1899-12-30T00:35:04"/>
    <d v="1899-12-30T00:37:28"/>
    <d v="1899-12-30T00:02:24"/>
    <n v="2"/>
    <n v="24"/>
    <n v="2.4"/>
    <n v="144"/>
    <n v="125"/>
    <n v="0"/>
    <x v="13"/>
  </r>
  <r>
    <s v="NLI1232"/>
    <d v="1899-12-30T18:15:49"/>
    <d v="1899-12-30T18:13:25"/>
    <d v="1899-12-30T00:02:24"/>
    <n v="2"/>
    <n v="24"/>
    <n v="2.4"/>
    <n v="144"/>
    <n v="125"/>
    <n v="0"/>
    <x v="1"/>
  </r>
  <r>
    <s v="KBC3869"/>
    <d v="1899-12-30T02:47:22"/>
    <d v="1899-12-30T02:49:48"/>
    <d v="1899-12-30T00:02:25"/>
    <n v="2"/>
    <n v="25"/>
    <n v="2.42"/>
    <n v="145"/>
    <n v="124.13793103448276"/>
    <n v="0"/>
    <x v="20"/>
  </r>
  <r>
    <s v="CT1893N"/>
    <d v="1899-12-30T14:28:56"/>
    <d v="1899-12-30T14:31:21"/>
    <d v="1899-12-30T00:02:25"/>
    <n v="2"/>
    <n v="25"/>
    <n v="2.42"/>
    <n v="145"/>
    <n v="124.13793103448276"/>
    <n v="0"/>
    <x v="21"/>
  </r>
  <r>
    <s v="EP37557"/>
    <d v="1899-12-30T00:57:41"/>
    <d v="1899-12-30T01:00:06"/>
    <d v="1899-12-30T00:02:25"/>
    <n v="2"/>
    <n v="25"/>
    <n v="2.42"/>
    <n v="145"/>
    <n v="124.13793103448276"/>
    <n v="0"/>
    <x v="13"/>
  </r>
  <r>
    <s v="FZG8877"/>
    <d v="1899-12-30T02:42:35"/>
    <d v="1899-12-30T02:45:01"/>
    <d v="1899-12-30T00:02:25"/>
    <n v="2"/>
    <n v="25"/>
    <n v="2.42"/>
    <n v="145"/>
    <n v="124.13793103448276"/>
    <n v="0"/>
    <x v="20"/>
  </r>
  <r>
    <s v="ELE6198"/>
    <d v="1899-12-30T13:38:17"/>
    <d v="1899-12-30T13:40:42"/>
    <d v="1899-12-30T00:02:25"/>
    <n v="2"/>
    <n v="25"/>
    <n v="2.42"/>
    <n v="145"/>
    <n v="124.13793103448276"/>
    <n v="0"/>
    <x v="0"/>
  </r>
  <r>
    <s v="CB71301"/>
    <d v="1899-12-30T16:43:36"/>
    <d v="1899-12-30T16:46:01"/>
    <d v="1899-12-30T00:02:25"/>
    <n v="2"/>
    <n v="25"/>
    <n v="2.42"/>
    <n v="145"/>
    <n v="124.13793103448276"/>
    <n v="0"/>
    <x v="7"/>
  </r>
  <r>
    <s v="CWA4963"/>
    <d v="1899-12-30T17:47:14"/>
    <d v="1899-12-30T17:49:41"/>
    <d v="1899-12-30T00:02:26"/>
    <n v="2"/>
    <n v="26"/>
    <n v="2.4300000000000002"/>
    <n v="146"/>
    <n v="123.2876712328767"/>
    <n v="0"/>
    <x v="12"/>
  </r>
  <r>
    <s v="DST6471"/>
    <d v="1899-12-30T10:08:24"/>
    <d v="1899-12-30T10:10:50"/>
    <d v="1899-12-30T00:02:26"/>
    <n v="2"/>
    <n v="26"/>
    <n v="2.4300000000000002"/>
    <n v="146"/>
    <n v="123.2876712328767"/>
    <n v="0"/>
    <x v="4"/>
  </r>
  <r>
    <s v="NO84797"/>
    <d v="1899-12-30T21:45:30"/>
    <d v="1899-12-30T21:47:56"/>
    <d v="1899-12-30T00:02:26"/>
    <n v="2"/>
    <n v="26"/>
    <n v="2.4300000000000002"/>
    <n v="146"/>
    <n v="123.2876712328767"/>
    <n v="0"/>
    <x v="5"/>
  </r>
  <r>
    <s v="RNI2447"/>
    <d v="1899-12-30T06:22:24"/>
    <d v="1899-12-30T06:24:50"/>
    <d v="1899-12-30T00:02:27"/>
    <n v="2"/>
    <n v="27"/>
    <n v="2.4500000000000002"/>
    <n v="147"/>
    <n v="122.44897959183673"/>
    <n v="0"/>
    <x v="8"/>
  </r>
  <r>
    <s v="EWE4423"/>
    <d v="1899-12-30T22:50:27"/>
    <d v="1899-12-30T22:48:00"/>
    <d v="1899-12-30T00:02:27"/>
    <n v="2"/>
    <n v="27"/>
    <n v="2.4500000000000002"/>
    <n v="147"/>
    <n v="122.44897959183673"/>
    <n v="0"/>
    <x v="9"/>
  </r>
  <r>
    <s v="WW8829E"/>
    <d v="1899-12-30T22:47:00"/>
    <d v="1899-12-30T22:49:26"/>
    <d v="1899-12-30T00:02:27"/>
    <n v="2"/>
    <n v="27"/>
    <n v="2.4500000000000002"/>
    <n v="147"/>
    <n v="122.44897959183673"/>
    <n v="0"/>
    <x v="9"/>
  </r>
  <r>
    <s v="RMI3407"/>
    <d v="1899-12-30T05:13:05"/>
    <d v="1899-12-30T05:10:38"/>
    <d v="1899-12-30T00:02:27"/>
    <n v="2"/>
    <n v="27"/>
    <n v="2.4500000000000002"/>
    <n v="147"/>
    <n v="122.44897959183673"/>
    <n v="0"/>
    <x v="14"/>
  </r>
  <r>
    <s v="NNI5982"/>
    <d v="1899-12-30T10:42:49"/>
    <d v="1899-12-30T10:45:16"/>
    <d v="1899-12-30T00:02:27"/>
    <n v="2"/>
    <n v="27"/>
    <n v="2.4500000000000002"/>
    <n v="147"/>
    <n v="122.44897959183673"/>
    <n v="0"/>
    <x v="4"/>
  </r>
  <r>
    <s v="FWS226P"/>
    <d v="1899-12-30T17:52:23"/>
    <d v="1899-12-30T17:54:50"/>
    <d v="1899-12-30T00:02:27"/>
    <n v="2"/>
    <n v="27"/>
    <n v="2.4500000000000002"/>
    <n v="147"/>
    <n v="122.44897959183673"/>
    <n v="0"/>
    <x v="12"/>
  </r>
  <r>
    <s v="WL49978"/>
    <d v="1899-12-30T07:48:48"/>
    <d v="1899-12-30T07:51:16"/>
    <d v="1899-12-30T00:02:28"/>
    <n v="2"/>
    <n v="28"/>
    <n v="2.4700000000000002"/>
    <n v="148"/>
    <n v="121.62162162162161"/>
    <n v="0"/>
    <x v="6"/>
  </r>
  <r>
    <s v="DL33730"/>
    <d v="1899-12-30T16:22:24"/>
    <d v="1899-12-30T16:24:52"/>
    <d v="1899-12-30T00:02:28"/>
    <n v="2"/>
    <n v="28"/>
    <n v="2.4700000000000002"/>
    <n v="148"/>
    <n v="121.62162162162161"/>
    <n v="0"/>
    <x v="7"/>
  </r>
  <r>
    <s v="NOG3903"/>
    <d v="1899-12-30T23:44:48"/>
    <d v="1899-12-30T23:42:20"/>
    <d v="1899-12-30T00:02:28"/>
    <n v="2"/>
    <n v="28"/>
    <n v="2.4700000000000002"/>
    <n v="148"/>
    <n v="121.62162162162161"/>
    <n v="0"/>
    <x v="22"/>
  </r>
  <r>
    <s v="NDZ6132"/>
    <d v="1899-12-30T08:27:05"/>
    <d v="1899-12-30T08:29:32"/>
    <d v="1899-12-30T00:02:28"/>
    <n v="2"/>
    <n v="28"/>
    <n v="2.4700000000000002"/>
    <n v="148"/>
    <n v="121.62162162162161"/>
    <n v="0"/>
    <x v="2"/>
  </r>
  <r>
    <s v="WJ87174"/>
    <d v="1899-12-30T17:24:25"/>
    <d v="1899-12-30T17:26:53"/>
    <d v="1899-12-30T00:02:28"/>
    <n v="2"/>
    <n v="28"/>
    <n v="2.4700000000000002"/>
    <n v="148"/>
    <n v="121.62162162162161"/>
    <n v="0"/>
    <x v="12"/>
  </r>
  <r>
    <s v="FZA9954"/>
    <d v="1899-12-30T00:56:03"/>
    <d v="1899-12-30T00:53:35"/>
    <d v="1899-12-30T00:02:28"/>
    <n v="2"/>
    <n v="28"/>
    <n v="2.4700000000000002"/>
    <n v="148"/>
    <n v="121.62162162162161"/>
    <n v="0"/>
    <x v="13"/>
  </r>
  <r>
    <s v="BSE8878"/>
    <d v="1899-12-30T02:48:49"/>
    <d v="1899-12-30T02:46:21"/>
    <d v="1899-12-30T00:02:28"/>
    <n v="2"/>
    <n v="28"/>
    <n v="2.4700000000000002"/>
    <n v="148"/>
    <n v="121.62162162162161"/>
    <n v="0"/>
    <x v="20"/>
  </r>
  <r>
    <s v="EOP3703"/>
    <d v="1899-12-30T21:28:03"/>
    <d v="1899-12-30T21:30:31"/>
    <d v="1899-12-30T00:02:28"/>
    <n v="2"/>
    <n v="28"/>
    <n v="2.4700000000000002"/>
    <n v="148"/>
    <n v="121.62162162162161"/>
    <n v="0"/>
    <x v="5"/>
  </r>
  <r>
    <s v="NBA1025"/>
    <d v="1899-12-30T08:51:00"/>
    <d v="1899-12-30T08:53:29"/>
    <d v="1899-12-30T00:02:29"/>
    <n v="2"/>
    <n v="29"/>
    <n v="2.48"/>
    <n v="149"/>
    <n v="120.80536912751677"/>
    <n v="0"/>
    <x v="2"/>
  </r>
  <r>
    <s v="NBR3345"/>
    <d v="1899-12-30T21:43:34"/>
    <d v="1899-12-30T21:41:06"/>
    <d v="1899-12-30T00:02:29"/>
    <n v="2"/>
    <n v="29"/>
    <n v="2.48"/>
    <n v="149"/>
    <n v="120.80536912751677"/>
    <n v="0"/>
    <x v="5"/>
  </r>
  <r>
    <s v="NSZ8448"/>
    <d v="1899-12-30T20:21:31"/>
    <d v="1899-12-30T20:24:00"/>
    <d v="1899-12-30T00:02:29"/>
    <n v="2"/>
    <n v="29"/>
    <n v="2.48"/>
    <n v="149"/>
    <n v="120.80536912751677"/>
    <n v="0"/>
    <x v="15"/>
  </r>
  <r>
    <s v="WJ87174"/>
    <d v="1899-12-30T19:49:11"/>
    <d v="1899-12-30T19:51:40"/>
    <d v="1899-12-30T00:02:29"/>
    <n v="2"/>
    <n v="29"/>
    <n v="2.48"/>
    <n v="149"/>
    <n v="120.80536912751677"/>
    <n v="0"/>
    <x v="23"/>
  </r>
  <r>
    <s v="KTT7762"/>
    <d v="1899-12-30T12:25:47"/>
    <d v="1899-12-30T12:23:18"/>
    <d v="1899-12-30T00:02:29"/>
    <n v="2"/>
    <n v="29"/>
    <n v="2.48"/>
    <n v="149"/>
    <n v="120.80536912751677"/>
    <n v="0"/>
    <x v="3"/>
  </r>
  <r>
    <s v="EP37557"/>
    <d v="1899-12-30T15:34:41"/>
    <d v="1899-12-30T15:37:11"/>
    <d v="1899-12-30T00:02:30"/>
    <n v="2"/>
    <n v="30"/>
    <n v="2.5"/>
    <n v="150"/>
    <n v="120"/>
    <n v="0"/>
    <x v="19"/>
  </r>
  <r>
    <s v="NE78145"/>
    <d v="1899-12-30T09:10:38"/>
    <d v="1899-12-30T09:08:08"/>
    <d v="1899-12-30T00:02:30"/>
    <n v="2"/>
    <n v="30"/>
    <n v="2.5"/>
    <n v="150"/>
    <n v="120"/>
    <n v="0"/>
    <x v="18"/>
  </r>
  <r>
    <s v="ELW6064"/>
    <d v="1899-12-30T19:57:05"/>
    <d v="1899-12-30T19:54:35"/>
    <d v="1899-12-30T00:02:30"/>
    <n v="2"/>
    <n v="30"/>
    <n v="2.5"/>
    <n v="150"/>
    <n v="120"/>
    <n v="0"/>
    <x v="23"/>
  </r>
  <r>
    <s v="WL69908"/>
    <d v="1899-12-30T22:00:57"/>
    <d v="1899-12-30T22:03:27"/>
    <d v="1899-12-30T00:02:30"/>
    <n v="2"/>
    <n v="30"/>
    <n v="2.5"/>
    <n v="150"/>
    <n v="120"/>
    <n v="0"/>
    <x v="9"/>
  </r>
  <r>
    <s v="PO1852D"/>
    <d v="1899-12-30T09:16:33"/>
    <d v="1899-12-30T09:14:02"/>
    <d v="1899-12-30T00:02:31"/>
    <n v="2"/>
    <n v="31"/>
    <n v="2.52"/>
    <n v="151"/>
    <n v="119.20529801324504"/>
    <n v="0"/>
    <x v="18"/>
  </r>
  <r>
    <s v="NEL2373"/>
    <d v="1899-12-30T20:12:14"/>
    <d v="1899-12-30T20:09:43"/>
    <d v="1899-12-30T00:02:31"/>
    <n v="2"/>
    <n v="31"/>
    <n v="2.52"/>
    <n v="151"/>
    <n v="119.20529801324504"/>
    <n v="0"/>
    <x v="15"/>
  </r>
  <r>
    <s v="NDZ6132"/>
    <d v="1899-12-30T10:31:37"/>
    <d v="1899-12-30T10:29:06"/>
    <d v="1899-12-30T00:02:31"/>
    <n v="2"/>
    <n v="31"/>
    <n v="2.52"/>
    <n v="151"/>
    <n v="119.20529801324504"/>
    <n v="0"/>
    <x v="4"/>
  </r>
  <r>
    <s v="GTC6032"/>
    <d v="1899-12-30T03:53:14"/>
    <d v="1899-12-30T03:55:45"/>
    <d v="1899-12-30T00:02:31"/>
    <n v="2"/>
    <n v="31"/>
    <n v="2.52"/>
    <n v="151"/>
    <n v="119.20529801324504"/>
    <n v="0"/>
    <x v="11"/>
  </r>
  <r>
    <s v="DKL3952"/>
    <d v="1899-12-30T13:26:43"/>
    <d v="1899-12-30T13:29:14"/>
    <d v="1899-12-30T00:02:31"/>
    <n v="2"/>
    <n v="31"/>
    <n v="2.52"/>
    <n v="151"/>
    <n v="119.20529801324504"/>
    <n v="0"/>
    <x v="0"/>
  </r>
  <r>
    <s v="NE43232"/>
    <d v="1899-12-30T00:48:49"/>
    <d v="1899-12-30T00:46:18"/>
    <d v="1899-12-30T00:02:31"/>
    <n v="2"/>
    <n v="31"/>
    <n v="2.52"/>
    <n v="151"/>
    <n v="119.20529801324504"/>
    <n v="0"/>
    <x v="13"/>
  </r>
  <r>
    <s v="NPI2072"/>
    <d v="1899-12-30T23:41:01"/>
    <d v="1899-12-30T23:43:33"/>
    <d v="1899-12-30T00:02:32"/>
    <n v="2"/>
    <n v="32"/>
    <n v="2.5299999999999998"/>
    <n v="152"/>
    <n v="118.42105263157896"/>
    <n v="0"/>
    <x v="22"/>
  </r>
  <r>
    <s v="NMR7567"/>
    <d v="1899-12-30T18:16:04"/>
    <d v="1899-12-30T18:13:31"/>
    <d v="1899-12-30T00:02:32"/>
    <n v="2"/>
    <n v="32"/>
    <n v="2.5299999999999998"/>
    <n v="152"/>
    <n v="118.42105263157896"/>
    <n v="0"/>
    <x v="1"/>
  </r>
  <r>
    <s v="NNM3913"/>
    <d v="1899-12-30T23:01:27"/>
    <d v="1899-12-30T22:58:55"/>
    <d v="1899-12-30T00:02:32"/>
    <n v="2"/>
    <n v="32"/>
    <n v="2.5299999999999998"/>
    <n v="152"/>
    <n v="118.42105263157896"/>
    <n v="0"/>
    <x v="22"/>
  </r>
  <r>
    <s v="NEL2373"/>
    <d v="1899-12-30T01:46:53"/>
    <d v="1899-12-30T01:49:26"/>
    <d v="1899-12-30T00:02:33"/>
    <n v="2"/>
    <n v="33"/>
    <n v="2.5499999999999998"/>
    <n v="153"/>
    <n v="117.64705882352942"/>
    <n v="0"/>
    <x v="16"/>
  </r>
  <r>
    <s v="ZWA67SA"/>
    <d v="1899-12-30T09:46:01"/>
    <d v="1899-12-30T09:43:28"/>
    <d v="1899-12-30T00:02:33"/>
    <n v="2"/>
    <n v="33"/>
    <n v="2.5499999999999998"/>
    <n v="153"/>
    <n v="117.64705882352942"/>
    <n v="0"/>
    <x v="18"/>
  </r>
  <r>
    <s v="WW85062"/>
    <d v="1899-12-30T00:56:06"/>
    <d v="1899-12-30T00:58:38"/>
    <d v="1899-12-30T00:02:33"/>
    <n v="2"/>
    <n v="33"/>
    <n v="2.5499999999999998"/>
    <n v="153"/>
    <n v="117.64705882352942"/>
    <n v="0"/>
    <x v="13"/>
  </r>
  <r>
    <s v="WW50312"/>
    <d v="1899-12-30T14:49:06"/>
    <d v="1899-12-30T14:51:39"/>
    <d v="1899-12-30T00:02:33"/>
    <n v="2"/>
    <n v="33"/>
    <n v="2.5499999999999998"/>
    <n v="153"/>
    <n v="117.64705882352942"/>
    <n v="0"/>
    <x v="21"/>
  </r>
  <r>
    <s v="NKE9304"/>
    <d v="1899-12-30T07:57:52"/>
    <d v="1899-12-30T08:00:26"/>
    <d v="1899-12-30T00:02:33"/>
    <n v="2"/>
    <n v="33"/>
    <n v="2.5499999999999998"/>
    <n v="153"/>
    <n v="117.64705882352942"/>
    <n v="0"/>
    <x v="6"/>
  </r>
  <r>
    <s v="KWA6482"/>
    <d v="1899-12-30T20:49:09"/>
    <d v="1899-12-30T20:46:35"/>
    <d v="1899-12-30T00:02:34"/>
    <n v="2"/>
    <n v="34"/>
    <n v="2.57"/>
    <n v="154"/>
    <n v="116.88311688311688"/>
    <n v="0"/>
    <x v="15"/>
  </r>
  <r>
    <s v="NKE9304"/>
    <d v="1899-12-30T10:31:00"/>
    <d v="1899-12-30T10:33:35"/>
    <d v="1899-12-30T00:02:34"/>
    <n v="2"/>
    <n v="34"/>
    <n v="2.57"/>
    <n v="154"/>
    <n v="116.88311688311688"/>
    <n v="0"/>
    <x v="4"/>
  </r>
  <r>
    <s v="WX21908"/>
    <d v="1899-12-30T10:12:42"/>
    <d v="1899-12-30T10:15:16"/>
    <d v="1899-12-30T00:02:34"/>
    <n v="2"/>
    <n v="34"/>
    <n v="2.57"/>
    <n v="154"/>
    <n v="116.88311688311688"/>
    <n v="0"/>
    <x v="4"/>
  </r>
  <r>
    <s v="BSE248P"/>
    <d v="1899-12-30T19:57:34"/>
    <d v="1899-12-30T19:55:00"/>
    <d v="1899-12-30T00:02:35"/>
    <n v="2"/>
    <n v="35"/>
    <n v="2.58"/>
    <n v="155"/>
    <n v="116.12903225806451"/>
    <n v="0"/>
    <x v="23"/>
  </r>
  <r>
    <s v="WY58670"/>
    <d v="1899-12-30T22:00:57"/>
    <d v="1899-12-30T21:58:22"/>
    <d v="1899-12-30T00:02:35"/>
    <n v="2"/>
    <n v="35"/>
    <n v="2.58"/>
    <n v="155"/>
    <n v="116.12903225806451"/>
    <n v="0"/>
    <x v="9"/>
  </r>
  <r>
    <s v="WA21713"/>
    <d v="1899-12-30T20:53:26"/>
    <d v="1899-12-30T20:50:52"/>
    <d v="1899-12-30T00:02:35"/>
    <n v="2"/>
    <n v="35"/>
    <n v="2.58"/>
    <n v="155"/>
    <n v="116.12903225806451"/>
    <n v="0"/>
    <x v="15"/>
  </r>
  <r>
    <s v="ETM257F"/>
    <d v="1899-12-30T10:53:45"/>
    <d v="1899-12-30T10:51:09"/>
    <d v="1899-12-30T00:02:36"/>
    <n v="2"/>
    <n v="36"/>
    <n v="2.6"/>
    <n v="156"/>
    <n v="115.38461538461539"/>
    <n v="0"/>
    <x v="4"/>
  </r>
  <r>
    <s v="WI3373K"/>
    <d v="1899-12-30T15:35:26"/>
    <d v="1899-12-30T15:38:01"/>
    <d v="1899-12-30T00:02:36"/>
    <n v="2"/>
    <n v="36"/>
    <n v="2.6"/>
    <n v="156"/>
    <n v="115.38461538461539"/>
    <n v="0"/>
    <x v="19"/>
  </r>
  <r>
    <s v="WPU705O"/>
    <d v="1899-12-30T20:15:08"/>
    <d v="1899-12-30T20:17:43"/>
    <d v="1899-12-30T00:02:36"/>
    <n v="2"/>
    <n v="36"/>
    <n v="2.6"/>
    <n v="156"/>
    <n v="115.38461538461539"/>
    <n v="0"/>
    <x v="15"/>
  </r>
  <r>
    <s v="NMR7567"/>
    <d v="1899-12-30T04:52:30"/>
    <d v="1899-12-30T04:55:06"/>
    <d v="1899-12-30T00:02:36"/>
    <n v="2"/>
    <n v="36"/>
    <n v="2.6"/>
    <n v="156"/>
    <n v="115.38461538461539"/>
    <n v="0"/>
    <x v="17"/>
  </r>
  <r>
    <s v="RMI3407"/>
    <d v="1899-12-30T19:06:30"/>
    <d v="1899-12-30T19:09:07"/>
    <d v="1899-12-30T00:02:37"/>
    <n v="2"/>
    <n v="37"/>
    <n v="2.62"/>
    <n v="157"/>
    <n v="114.64968152866241"/>
    <n v="0"/>
    <x v="23"/>
  </r>
  <r>
    <s v="NOL4507"/>
    <d v="1899-12-30T19:13:20"/>
    <d v="1899-12-30T19:10:43"/>
    <d v="1899-12-30T00:02:37"/>
    <n v="2"/>
    <n v="37"/>
    <n v="2.62"/>
    <n v="157"/>
    <n v="114.64968152866241"/>
    <n v="0"/>
    <x v="23"/>
  </r>
  <r>
    <s v="NKE9304"/>
    <d v="1899-12-30T16:16:20"/>
    <d v="1899-12-30T16:18:57"/>
    <d v="1899-12-30T00:02:37"/>
    <n v="2"/>
    <n v="37"/>
    <n v="2.62"/>
    <n v="157"/>
    <n v="114.64968152866241"/>
    <n v="0"/>
    <x v="7"/>
  </r>
  <r>
    <s v="WPZ7235"/>
    <d v="1899-12-30T14:55:44"/>
    <d v="1899-12-30T14:53:07"/>
    <d v="1899-12-30T00:02:37"/>
    <n v="2"/>
    <n v="37"/>
    <n v="2.62"/>
    <n v="157"/>
    <n v="114.64968152866241"/>
    <n v="0"/>
    <x v="21"/>
  </r>
  <r>
    <s v="NEL2373"/>
    <d v="1899-12-30T13:56:51"/>
    <d v="1899-12-30T13:59:28"/>
    <d v="1899-12-30T00:02:38"/>
    <n v="2"/>
    <n v="38"/>
    <n v="2.63"/>
    <n v="158"/>
    <n v="113.92405063291139"/>
    <n v="0"/>
    <x v="0"/>
  </r>
  <r>
    <s v="LZ36064"/>
    <d v="1899-12-30T12:22:30"/>
    <d v="1899-12-30T12:19:52"/>
    <d v="1899-12-30T00:02:38"/>
    <n v="2"/>
    <n v="38"/>
    <n v="2.63"/>
    <n v="158"/>
    <n v="113.92405063291139"/>
    <n v="0"/>
    <x v="3"/>
  </r>
  <r>
    <s v="SRS2013"/>
    <d v="1899-12-30T14:52:29"/>
    <d v="1899-12-30T14:55:07"/>
    <d v="1899-12-30T00:02:38"/>
    <n v="2"/>
    <n v="38"/>
    <n v="2.63"/>
    <n v="158"/>
    <n v="113.92405063291139"/>
    <n v="0"/>
    <x v="21"/>
  </r>
  <r>
    <s v="CGD8150"/>
    <d v="1899-12-30T12:22:47"/>
    <d v="1899-12-30T12:20:10"/>
    <d v="1899-12-30T00:02:38"/>
    <n v="2"/>
    <n v="38"/>
    <n v="2.63"/>
    <n v="158"/>
    <n v="113.92405063291139"/>
    <n v="0"/>
    <x v="3"/>
  </r>
  <r>
    <s v="NGI7942"/>
    <d v="1899-12-30T03:56:22"/>
    <d v="1899-12-30T03:53:45"/>
    <d v="1899-12-30T00:02:38"/>
    <n v="2"/>
    <n v="38"/>
    <n v="2.63"/>
    <n v="158"/>
    <n v="113.92405063291139"/>
    <n v="0"/>
    <x v="11"/>
  </r>
  <r>
    <s v="GBY6936"/>
    <d v="1899-12-30T07:04:43"/>
    <d v="1899-12-30T07:02:05"/>
    <d v="1899-12-30T00:02:38"/>
    <n v="2"/>
    <n v="38"/>
    <n v="2.63"/>
    <n v="158"/>
    <n v="113.92405063291139"/>
    <n v="0"/>
    <x v="6"/>
  </r>
  <r>
    <s v="SW85648"/>
    <d v="1899-12-30T04:02:27"/>
    <d v="1899-12-30T04:05:05"/>
    <d v="1899-12-30T00:02:38"/>
    <n v="2"/>
    <n v="38"/>
    <n v="2.63"/>
    <n v="158"/>
    <n v="113.92405063291139"/>
    <n v="0"/>
    <x v="17"/>
  </r>
  <r>
    <s v="CB96618"/>
    <d v="1899-12-30T08:19:38"/>
    <d v="1899-12-30T08:17:00"/>
    <d v="1899-12-30T00:02:39"/>
    <n v="2"/>
    <n v="39"/>
    <n v="2.65"/>
    <n v="159"/>
    <n v="113.20754716981131"/>
    <n v="0"/>
    <x v="2"/>
  </r>
  <r>
    <s v="NNM3913"/>
    <d v="1899-12-30T22:26:36"/>
    <d v="1899-12-30T22:29:15"/>
    <d v="1899-12-30T00:02:39"/>
    <n v="2"/>
    <n v="39"/>
    <n v="2.65"/>
    <n v="159"/>
    <n v="113.20754716981131"/>
    <n v="0"/>
    <x v="9"/>
  </r>
  <r>
    <s v="SY78603"/>
    <d v="1899-12-30T21:42:09"/>
    <d v="1899-12-30T21:44:48"/>
    <d v="1899-12-30T00:02:39"/>
    <n v="2"/>
    <n v="39"/>
    <n v="2.65"/>
    <n v="159"/>
    <n v="113.20754716981131"/>
    <n v="0"/>
    <x v="5"/>
  </r>
  <r>
    <s v="ETM4322"/>
    <d v="1899-12-30T15:02:09"/>
    <d v="1899-12-30T15:04:48"/>
    <d v="1899-12-30T00:02:39"/>
    <n v="2"/>
    <n v="39"/>
    <n v="2.65"/>
    <n v="159"/>
    <n v="113.20754716981131"/>
    <n v="0"/>
    <x v="19"/>
  </r>
  <r>
    <s v="NKE9304"/>
    <d v="1899-12-30T22:07:24"/>
    <d v="1899-12-30T22:04:43"/>
    <d v="1899-12-30T00:02:40"/>
    <n v="2"/>
    <n v="40"/>
    <n v="2.67"/>
    <n v="160"/>
    <n v="112.5"/>
    <n v="0"/>
    <x v="9"/>
  </r>
  <r>
    <s v="NOE1810"/>
    <d v="1899-12-30T00:57:41"/>
    <d v="1899-12-30T00:55:01"/>
    <d v="1899-12-30T00:02:40"/>
    <n v="2"/>
    <n v="40"/>
    <n v="2.67"/>
    <n v="160"/>
    <n v="112.5"/>
    <n v="0"/>
    <x v="13"/>
  </r>
  <r>
    <s v="RNI2447"/>
    <d v="1899-12-30T19:38:59"/>
    <d v="1899-12-30T19:41:39"/>
    <d v="1899-12-30T00:02:40"/>
    <n v="2"/>
    <n v="40"/>
    <n v="2.67"/>
    <n v="160"/>
    <n v="112.5"/>
    <n v="0"/>
    <x v="23"/>
  </r>
  <r>
    <s v="NOG3903"/>
    <d v="1899-12-30T14:00:47"/>
    <d v="1899-12-30T13:58:07"/>
    <d v="1899-12-30T00:02:40"/>
    <n v="2"/>
    <n v="40"/>
    <n v="2.67"/>
    <n v="160"/>
    <n v="112.5"/>
    <n v="0"/>
    <x v="21"/>
  </r>
  <r>
    <s v="NO84797"/>
    <d v="1899-12-30T00:17:19"/>
    <d v="1899-12-30T00:19:59"/>
    <d v="1899-12-30T00:02:40"/>
    <n v="2"/>
    <n v="40"/>
    <n v="2.67"/>
    <n v="160"/>
    <n v="112.5"/>
    <n v="0"/>
    <x v="13"/>
  </r>
  <r>
    <s v="CZN3150"/>
    <d v="1899-12-30T19:36:39"/>
    <d v="1899-12-30T19:39:19"/>
    <d v="1899-12-30T00:02:40"/>
    <n v="2"/>
    <n v="40"/>
    <n v="2.67"/>
    <n v="160"/>
    <n v="112.5"/>
    <n v="0"/>
    <x v="23"/>
  </r>
  <r>
    <s v="WPY9119"/>
    <d v="1899-12-30T03:27:41"/>
    <d v="1899-12-30T03:25:01"/>
    <d v="1899-12-30T00:02:40"/>
    <n v="2"/>
    <n v="40"/>
    <n v="2.67"/>
    <n v="160"/>
    <n v="112.5"/>
    <n v="0"/>
    <x v="11"/>
  </r>
  <r>
    <s v="NDZ6132"/>
    <d v="1899-12-30T05:12:16"/>
    <d v="1899-12-30T05:14:57"/>
    <d v="1899-12-30T00:02:41"/>
    <n v="2"/>
    <n v="41"/>
    <n v="2.68"/>
    <n v="161"/>
    <n v="111.80124223602485"/>
    <n v="0"/>
    <x v="14"/>
  </r>
  <r>
    <s v="SY38147"/>
    <d v="1899-12-30T22:22:36"/>
    <d v="1899-12-30T22:19:55"/>
    <d v="1899-12-30T00:02:41"/>
    <n v="2"/>
    <n v="41"/>
    <n v="2.68"/>
    <n v="161"/>
    <n v="111.80124223602485"/>
    <n v="0"/>
    <x v="9"/>
  </r>
  <r>
    <s v="NGO9410"/>
    <d v="1899-12-30T20:02:12"/>
    <d v="1899-12-30T19:59:31"/>
    <d v="1899-12-30T00:02:41"/>
    <n v="2"/>
    <n v="41"/>
    <n v="2.68"/>
    <n v="161"/>
    <n v="111.80124223602485"/>
    <n v="0"/>
    <x v="15"/>
  </r>
  <r>
    <s v="RZE7144"/>
    <d v="1899-12-30T14:41:43"/>
    <d v="1899-12-30T14:44:25"/>
    <d v="1899-12-30T00:02:41"/>
    <n v="2"/>
    <n v="41"/>
    <n v="2.68"/>
    <n v="161"/>
    <n v="111.80124223602485"/>
    <n v="0"/>
    <x v="21"/>
  </r>
  <r>
    <s v="CB95132"/>
    <d v="1899-12-30T05:40:00"/>
    <d v="1899-12-30T05:42:41"/>
    <d v="1899-12-30T00:02:41"/>
    <n v="2"/>
    <n v="41"/>
    <n v="2.68"/>
    <n v="161"/>
    <n v="111.80124223602485"/>
    <n v="0"/>
    <x v="14"/>
  </r>
  <r>
    <s v="NNM9579"/>
    <d v="1899-12-30T21:44:48"/>
    <d v="1899-12-30T21:47:28"/>
    <d v="1899-12-30T00:02:41"/>
    <n v="2"/>
    <n v="41"/>
    <n v="2.68"/>
    <n v="161"/>
    <n v="111.80124223602485"/>
    <n v="0"/>
    <x v="5"/>
  </r>
  <r>
    <s v="WKZ1004"/>
    <d v="1899-12-30T15:05:23"/>
    <d v="1899-12-30T15:08:04"/>
    <d v="1899-12-30T00:02:41"/>
    <n v="2"/>
    <n v="41"/>
    <n v="2.68"/>
    <n v="161"/>
    <n v="111.80124223602485"/>
    <n v="0"/>
    <x v="19"/>
  </r>
  <r>
    <s v="FSW4979"/>
    <d v="1899-12-30T18:53:02"/>
    <d v="1899-12-30T18:50:21"/>
    <d v="1899-12-30T00:02:41"/>
    <n v="2"/>
    <n v="41"/>
    <n v="2.68"/>
    <n v="161"/>
    <n v="111.80124223602485"/>
    <n v="0"/>
    <x v="1"/>
  </r>
  <r>
    <s v="SRS2013"/>
    <d v="1899-12-30T16:52:42"/>
    <d v="1899-12-30T16:50:00"/>
    <d v="1899-12-30T00:02:42"/>
    <n v="2"/>
    <n v="42"/>
    <n v="2.7"/>
    <n v="162"/>
    <n v="111.11111111111111"/>
    <n v="0"/>
    <x v="7"/>
  </r>
  <r>
    <s v="NOE1810"/>
    <d v="1899-12-30T09:49:45"/>
    <d v="1899-12-30T09:52:28"/>
    <d v="1899-12-30T00:02:42"/>
    <n v="2"/>
    <n v="42"/>
    <n v="2.7"/>
    <n v="162"/>
    <n v="111.11111111111111"/>
    <n v="0"/>
    <x v="18"/>
  </r>
  <r>
    <s v="NOE1810"/>
    <d v="1899-12-30T21:33:06"/>
    <d v="1899-12-30T21:35:48"/>
    <d v="1899-12-30T00:02:42"/>
    <n v="2"/>
    <n v="42"/>
    <n v="2.7"/>
    <n v="162"/>
    <n v="111.11111111111111"/>
    <n v="0"/>
    <x v="5"/>
  </r>
  <r>
    <s v="NMR7567"/>
    <d v="1899-12-30T09:15:38"/>
    <d v="1899-12-30T09:18:21"/>
    <d v="1899-12-30T00:02:42"/>
    <n v="2"/>
    <n v="42"/>
    <n v="2.7"/>
    <n v="162"/>
    <n v="111.11111111111111"/>
    <n v="0"/>
    <x v="18"/>
  </r>
  <r>
    <s v="NMR7567"/>
    <d v="1899-12-30T09:29:18"/>
    <d v="1899-12-30T09:26:36"/>
    <d v="1899-12-30T00:02:42"/>
    <n v="2"/>
    <n v="42"/>
    <n v="2.7"/>
    <n v="162"/>
    <n v="111.11111111111111"/>
    <n v="0"/>
    <x v="18"/>
  </r>
  <r>
    <s v="CTU1210"/>
    <d v="1899-12-30T06:11:15"/>
    <d v="1899-12-30T06:08:34"/>
    <d v="1899-12-30T00:02:42"/>
    <n v="2"/>
    <n v="42"/>
    <n v="2.7"/>
    <n v="162"/>
    <n v="111.11111111111111"/>
    <n v="0"/>
    <x v="8"/>
  </r>
  <r>
    <s v="NMR7567"/>
    <d v="1899-12-30T08:25:48"/>
    <d v="1899-12-30T08:23:07"/>
    <d v="1899-12-30T00:02:42"/>
    <n v="2"/>
    <n v="42"/>
    <n v="2.7"/>
    <n v="162"/>
    <n v="111.11111111111111"/>
    <n v="0"/>
    <x v="2"/>
  </r>
  <r>
    <s v="WKZ1364"/>
    <d v="1899-12-30T22:11:20"/>
    <d v="1899-12-30T22:14:03"/>
    <d v="1899-12-30T00:02:43"/>
    <n v="2"/>
    <n v="43"/>
    <n v="2.72"/>
    <n v="163"/>
    <n v="110.42944785276075"/>
    <n v="0"/>
    <x v="9"/>
  </r>
  <r>
    <s v="EZD788M"/>
    <d v="1899-12-30T07:23:39"/>
    <d v="1899-12-30T07:20:56"/>
    <d v="1899-12-30T00:02:43"/>
    <n v="2"/>
    <n v="43"/>
    <n v="2.72"/>
    <n v="163"/>
    <n v="110.42944785276075"/>
    <n v="0"/>
    <x v="6"/>
  </r>
  <r>
    <s v="NO84797"/>
    <d v="1899-12-30T12:09:48"/>
    <d v="1899-12-30T12:07:06"/>
    <d v="1899-12-30T00:02:43"/>
    <n v="2"/>
    <n v="43"/>
    <n v="2.72"/>
    <n v="163"/>
    <n v="110.42944785276075"/>
    <n v="0"/>
    <x v="3"/>
  </r>
  <r>
    <s v="NIL3535"/>
    <d v="1899-12-30T17:26:36"/>
    <d v="1899-12-30T17:29:19"/>
    <d v="1899-12-30T00:02:43"/>
    <n v="2"/>
    <n v="43"/>
    <n v="2.72"/>
    <n v="163"/>
    <n v="110.42944785276075"/>
    <n v="0"/>
    <x v="12"/>
  </r>
  <r>
    <s v="WK95525"/>
    <d v="1899-12-30T11:55:06"/>
    <d v="1899-12-30T11:52:22"/>
    <d v="1899-12-30T00:02:43"/>
    <n v="2"/>
    <n v="43"/>
    <n v="2.72"/>
    <n v="163"/>
    <n v="110.42944785276075"/>
    <n v="0"/>
    <x v="10"/>
  </r>
  <r>
    <s v="ETM257F"/>
    <d v="1899-12-30T10:23:52"/>
    <d v="1899-12-30T10:21:09"/>
    <d v="1899-12-30T00:02:43"/>
    <n v="2"/>
    <n v="43"/>
    <n v="2.72"/>
    <n v="163"/>
    <n v="110.42944785276075"/>
    <n v="0"/>
    <x v="4"/>
  </r>
  <r>
    <s v="BSI3245"/>
    <d v="1899-12-30T15:04:05"/>
    <d v="1899-12-30T15:06:49"/>
    <d v="1899-12-30T00:02:44"/>
    <n v="2"/>
    <n v="44"/>
    <n v="2.73"/>
    <n v="164"/>
    <n v="109.75609756097562"/>
    <n v="0"/>
    <x v="19"/>
  </r>
  <r>
    <s v="NE78145"/>
    <d v="1899-12-30T20:19:50"/>
    <d v="1899-12-30T20:22:33"/>
    <d v="1899-12-30T00:02:44"/>
    <n v="2"/>
    <n v="44"/>
    <n v="2.73"/>
    <n v="164"/>
    <n v="109.75609756097562"/>
    <n v="0"/>
    <x v="15"/>
  </r>
  <r>
    <s v="FZI8967"/>
    <d v="1899-12-30T22:46:05"/>
    <d v="1899-12-30T22:48:49"/>
    <d v="1899-12-30T00:02:44"/>
    <n v="2"/>
    <n v="44"/>
    <n v="2.73"/>
    <n v="164"/>
    <n v="109.75609756097562"/>
    <n v="0"/>
    <x v="9"/>
  </r>
  <r>
    <s v="RZE7144"/>
    <d v="1899-12-30T06:57:45"/>
    <d v="1899-12-30T07:00:29"/>
    <d v="1899-12-30T00:02:44"/>
    <n v="2"/>
    <n v="44"/>
    <n v="2.73"/>
    <n v="164"/>
    <n v="109.75609756097562"/>
    <n v="0"/>
    <x v="8"/>
  </r>
  <r>
    <s v="FGW7916"/>
    <d v="1899-12-30T21:53:50"/>
    <d v="1899-12-30T21:56:35"/>
    <d v="1899-12-30T00:02:45"/>
    <n v="2"/>
    <n v="45"/>
    <n v="2.75"/>
    <n v="165"/>
    <n v="109.09090909090908"/>
    <n v="0"/>
    <x v="5"/>
  </r>
  <r>
    <s v="TSA241J"/>
    <d v="1899-12-30T23:30:02"/>
    <d v="1899-12-30T23:27:17"/>
    <d v="1899-12-30T00:02:45"/>
    <n v="2"/>
    <n v="45"/>
    <n v="2.75"/>
    <n v="165"/>
    <n v="109.09090909090908"/>
    <n v="0"/>
    <x v="22"/>
  </r>
  <r>
    <s v="GWE9120"/>
    <d v="1899-12-30T00:13:26"/>
    <d v="1899-12-30T00:10:41"/>
    <d v="1899-12-30T00:02:45"/>
    <n v="2"/>
    <n v="45"/>
    <n v="2.75"/>
    <n v="165"/>
    <n v="109.09090909090908"/>
    <n v="0"/>
    <x v="13"/>
  </r>
  <r>
    <s v="FGW7916"/>
    <d v="1899-12-30T22:22:28"/>
    <d v="1899-12-30T22:25:14"/>
    <d v="1899-12-30T00:02:46"/>
    <n v="2"/>
    <n v="46"/>
    <n v="2.77"/>
    <n v="166"/>
    <n v="108.43373493975903"/>
    <n v="0"/>
    <x v="9"/>
  </r>
  <r>
    <s v="WSC9512"/>
    <d v="1899-12-30T04:57:25"/>
    <d v="1899-12-30T05:00:11"/>
    <d v="1899-12-30T00:02:46"/>
    <n v="2"/>
    <n v="46"/>
    <n v="2.77"/>
    <n v="166"/>
    <n v="108.43373493975903"/>
    <n v="0"/>
    <x v="17"/>
  </r>
  <r>
    <s v="CLI5630"/>
    <d v="1899-12-30T19:07:54"/>
    <d v="1899-12-30T19:05:09"/>
    <d v="1899-12-30T00:02:46"/>
    <n v="2"/>
    <n v="46"/>
    <n v="2.77"/>
    <n v="166"/>
    <n v="108.43373493975903"/>
    <n v="0"/>
    <x v="23"/>
  </r>
  <r>
    <s v="NO84797"/>
    <d v="1899-12-30T02:38:25"/>
    <d v="1899-12-30T02:35:40"/>
    <d v="1899-12-30T00:02:46"/>
    <n v="2"/>
    <n v="46"/>
    <n v="2.77"/>
    <n v="166"/>
    <n v="108.43373493975903"/>
    <n v="0"/>
    <x v="20"/>
  </r>
  <r>
    <s v="STA5802"/>
    <d v="1899-12-30T04:08:44"/>
    <d v="1899-12-30T04:05:58"/>
    <d v="1899-12-30T00:02:46"/>
    <n v="2"/>
    <n v="46"/>
    <n v="2.77"/>
    <n v="166"/>
    <n v="108.43373493975903"/>
    <n v="0"/>
    <x v="17"/>
  </r>
  <r>
    <s v="SRC187N"/>
    <d v="1899-12-30T17:08:31"/>
    <d v="1899-12-30T17:11:17"/>
    <d v="1899-12-30T00:02:46"/>
    <n v="2"/>
    <n v="46"/>
    <n v="2.77"/>
    <n v="166"/>
    <n v="108.43373493975903"/>
    <n v="0"/>
    <x v="12"/>
  </r>
  <r>
    <s v="WPU705O"/>
    <d v="1899-12-30T09:28:09"/>
    <d v="1899-12-30T09:30:56"/>
    <d v="1899-12-30T00:02:47"/>
    <n v="2"/>
    <n v="47"/>
    <n v="2.78"/>
    <n v="167"/>
    <n v="107.78443113772455"/>
    <n v="0"/>
    <x v="18"/>
  </r>
  <r>
    <s v="NNI5982"/>
    <d v="1899-12-30T21:16:20"/>
    <d v="1899-12-30T21:19:07"/>
    <d v="1899-12-30T00:02:47"/>
    <n v="2"/>
    <n v="47"/>
    <n v="2.78"/>
    <n v="167"/>
    <n v="107.78443113772455"/>
    <n v="0"/>
    <x v="5"/>
  </r>
  <r>
    <s v="NOG3903"/>
    <d v="1899-12-30T07:17:58"/>
    <d v="1899-12-30T07:15:11"/>
    <d v="1899-12-30T00:02:47"/>
    <n v="2"/>
    <n v="47"/>
    <n v="2.78"/>
    <n v="167"/>
    <n v="107.78443113772455"/>
    <n v="0"/>
    <x v="6"/>
  </r>
  <r>
    <s v="CLI5630"/>
    <d v="1899-12-30T19:18:30"/>
    <d v="1899-12-30T19:15:43"/>
    <d v="1899-12-30T00:02:47"/>
    <n v="2"/>
    <n v="47"/>
    <n v="2.78"/>
    <n v="167"/>
    <n v="107.78443113772455"/>
    <n v="0"/>
    <x v="23"/>
  </r>
  <r>
    <s v="CT31774"/>
    <d v="1899-12-30T09:04:32"/>
    <d v="1899-12-30T09:07:19"/>
    <d v="1899-12-30T00:02:47"/>
    <n v="2"/>
    <n v="47"/>
    <n v="2.78"/>
    <n v="167"/>
    <n v="107.78443113772455"/>
    <n v="0"/>
    <x v="18"/>
  </r>
  <r>
    <s v="EWE4423"/>
    <d v="1899-12-30T09:33:27"/>
    <d v="1899-12-30T09:36:14"/>
    <d v="1899-12-30T00:02:47"/>
    <n v="2"/>
    <n v="47"/>
    <n v="2.78"/>
    <n v="167"/>
    <n v="107.78443113772455"/>
    <n v="0"/>
    <x v="18"/>
  </r>
  <r>
    <s v="CSW8524"/>
    <d v="1899-12-30T00:19:56"/>
    <d v="1899-12-30T00:17:09"/>
    <d v="1899-12-30T00:02:47"/>
    <n v="2"/>
    <n v="47"/>
    <n v="2.78"/>
    <n v="167"/>
    <n v="107.78443113772455"/>
    <n v="0"/>
    <x v="13"/>
  </r>
  <r>
    <s v="WSK6080"/>
    <d v="1899-12-30T01:10:19"/>
    <d v="1899-12-30T01:13:07"/>
    <d v="1899-12-30T00:02:48"/>
    <n v="2"/>
    <n v="48"/>
    <n v="2.8"/>
    <n v="168"/>
    <n v="107.14285714285714"/>
    <n v="0"/>
    <x v="16"/>
  </r>
  <r>
    <s v="WPY7337"/>
    <d v="1899-12-30T12:20:59"/>
    <d v="1899-12-30T12:18:11"/>
    <d v="1899-12-30T00:02:48"/>
    <n v="2"/>
    <n v="48"/>
    <n v="2.8"/>
    <n v="168"/>
    <n v="107.14285714285714"/>
    <n v="0"/>
    <x v="3"/>
  </r>
  <r>
    <s v="WY58670"/>
    <d v="1899-12-30T23:46:41"/>
    <d v="1899-12-30T23:43:53"/>
    <d v="1899-12-30T00:02:48"/>
    <n v="2"/>
    <n v="48"/>
    <n v="2.8"/>
    <n v="168"/>
    <n v="107.14285714285714"/>
    <n v="0"/>
    <x v="22"/>
  </r>
  <r>
    <s v="CG97781"/>
    <d v="1899-12-30T19:24:51"/>
    <d v="1899-12-30T19:22:03"/>
    <d v="1899-12-30T00:02:48"/>
    <n v="2"/>
    <n v="48"/>
    <n v="2.8"/>
    <n v="168"/>
    <n v="107.14285714285714"/>
    <n v="0"/>
    <x v="23"/>
  </r>
  <r>
    <s v="STA4751"/>
    <d v="1899-12-30T00:05:58"/>
    <d v="1899-12-30T00:03:10"/>
    <d v="1899-12-30T00:02:48"/>
    <n v="2"/>
    <n v="48"/>
    <n v="2.8"/>
    <n v="168"/>
    <n v="107.14285714285714"/>
    <n v="0"/>
    <x v="13"/>
  </r>
  <r>
    <s v="NBA1025"/>
    <d v="1899-12-30T09:49:26"/>
    <d v="1899-12-30T09:52:16"/>
    <d v="1899-12-30T00:02:49"/>
    <n v="2"/>
    <n v="49"/>
    <n v="2.82"/>
    <n v="169"/>
    <n v="106.50887573964496"/>
    <n v="0"/>
    <x v="18"/>
  </r>
  <r>
    <s v="WK42847"/>
    <d v="1899-12-30T19:57:39"/>
    <d v="1899-12-30T19:54:50"/>
    <d v="1899-12-30T00:02:49"/>
    <n v="2"/>
    <n v="49"/>
    <n v="2.82"/>
    <n v="169"/>
    <n v="106.50887573964496"/>
    <n v="0"/>
    <x v="23"/>
  </r>
  <r>
    <s v="BLM550S"/>
    <d v="1899-12-30T01:40:09"/>
    <d v="1899-12-30T01:37:19"/>
    <d v="1899-12-30T00:02:50"/>
    <n v="2"/>
    <n v="50"/>
    <n v="2.83"/>
    <n v="170"/>
    <n v="105.88235294117646"/>
    <n v="0"/>
    <x v="16"/>
  </r>
  <r>
    <s v="TSK8689"/>
    <d v="1899-12-30T13:46:47"/>
    <d v="1899-12-30T13:43:58"/>
    <d v="1899-12-30T00:02:50"/>
    <n v="2"/>
    <n v="50"/>
    <n v="2.83"/>
    <n v="170"/>
    <n v="105.88235294117646"/>
    <n v="0"/>
    <x v="0"/>
  </r>
  <r>
    <s v="NOL4507"/>
    <d v="1899-12-30T04:46:23"/>
    <d v="1899-12-30T04:43:33"/>
    <d v="1899-12-30T00:02:50"/>
    <n v="2"/>
    <n v="50"/>
    <n v="2.83"/>
    <n v="170"/>
    <n v="105.88235294117646"/>
    <n v="0"/>
    <x v="17"/>
  </r>
  <r>
    <s v="NOE1810"/>
    <d v="1899-12-30T04:28:04"/>
    <d v="1899-12-30T04:25:14"/>
    <d v="1899-12-30T00:02:50"/>
    <n v="2"/>
    <n v="50"/>
    <n v="2.83"/>
    <n v="170"/>
    <n v="105.88235294117646"/>
    <n v="0"/>
    <x v="17"/>
  </r>
  <r>
    <s v="GCH6872"/>
    <d v="1899-12-30T07:52:02"/>
    <d v="1899-12-30T07:49:12"/>
    <d v="1899-12-30T00:02:50"/>
    <n v="2"/>
    <n v="50"/>
    <n v="2.83"/>
    <n v="170"/>
    <n v="105.88235294117646"/>
    <n v="0"/>
    <x v="6"/>
  </r>
  <r>
    <s v="WZY9376"/>
    <d v="1899-12-30T02:45:36"/>
    <d v="1899-12-30T02:42:45"/>
    <d v="1899-12-30T00:02:50"/>
    <n v="2"/>
    <n v="50"/>
    <n v="2.83"/>
    <n v="170"/>
    <n v="105.88235294117646"/>
    <n v="0"/>
    <x v="20"/>
  </r>
  <r>
    <s v="RT86483"/>
    <d v="1899-12-30T11:38:04"/>
    <d v="1899-12-30T11:35:14"/>
    <d v="1899-12-30T00:02:51"/>
    <n v="2"/>
    <n v="51"/>
    <n v="2.85"/>
    <n v="171"/>
    <n v="105.26315789473685"/>
    <n v="0"/>
    <x v="10"/>
  </r>
  <r>
    <s v="GSZ6990"/>
    <d v="1899-12-30T07:13:34"/>
    <d v="1899-12-30T07:10:42"/>
    <d v="1899-12-30T00:02:51"/>
    <n v="2"/>
    <n v="51"/>
    <n v="2.85"/>
    <n v="171"/>
    <n v="105.26315789473685"/>
    <n v="0"/>
    <x v="6"/>
  </r>
  <r>
    <s v="BLM550S"/>
    <d v="1899-12-30T04:53:22"/>
    <d v="1899-12-30T04:50:29"/>
    <d v="1899-12-30T00:02:52"/>
    <n v="2"/>
    <n v="52"/>
    <n v="2.87"/>
    <n v="172"/>
    <n v="104.65116279069768"/>
    <n v="0"/>
    <x v="17"/>
  </r>
  <r>
    <s v="CSW4471"/>
    <d v="1899-12-30T20:37:11"/>
    <d v="1899-12-30T20:34:19"/>
    <d v="1899-12-30T00:02:52"/>
    <n v="2"/>
    <n v="52"/>
    <n v="2.87"/>
    <n v="172"/>
    <n v="104.65116279069768"/>
    <n v="0"/>
    <x v="15"/>
  </r>
  <r>
    <s v="NOG3903"/>
    <d v="1899-12-30T08:43:57"/>
    <d v="1899-12-30T08:46:50"/>
    <d v="1899-12-30T00:02:53"/>
    <n v="2"/>
    <n v="53"/>
    <n v="2.88"/>
    <n v="173"/>
    <n v="104.04624277456648"/>
    <n v="0"/>
    <x v="2"/>
  </r>
  <r>
    <s v="FSL6199"/>
    <d v="1899-12-30T00:44:56"/>
    <d v="1899-12-30T00:42:02"/>
    <d v="1899-12-30T00:02:54"/>
    <n v="2"/>
    <n v="54"/>
    <n v="2.9"/>
    <n v="174"/>
    <n v="103.44827586206897"/>
    <n v="0"/>
    <x v="13"/>
  </r>
  <r>
    <s v="RZE7144"/>
    <d v="1899-12-30T12:24:59"/>
    <d v="1899-12-30T12:22:05"/>
    <d v="1899-12-30T00:02:54"/>
    <n v="2"/>
    <n v="54"/>
    <n v="2.9"/>
    <n v="174"/>
    <n v="103.44827586206897"/>
    <n v="0"/>
    <x v="3"/>
  </r>
  <r>
    <s v="BSK5990"/>
    <d v="1899-12-30T13:26:32"/>
    <d v="1899-12-30T13:23:39"/>
    <d v="1899-12-30T00:02:54"/>
    <n v="2"/>
    <n v="54"/>
    <n v="2.9"/>
    <n v="174"/>
    <n v="103.44827586206897"/>
    <n v="0"/>
    <x v="0"/>
  </r>
  <r>
    <s v="CBY9249"/>
    <d v="1899-12-30T00:51:47"/>
    <d v="1899-12-30T00:54:42"/>
    <d v="1899-12-30T00:02:54"/>
    <n v="2"/>
    <n v="54"/>
    <n v="2.9"/>
    <n v="174"/>
    <n v="103.44827586206897"/>
    <n v="0"/>
    <x v="13"/>
  </r>
  <r>
    <s v="RTA4619"/>
    <d v="1899-12-30T13:16:32"/>
    <d v="1899-12-30T13:19:26"/>
    <d v="1899-12-30T00:02:54"/>
    <n v="2"/>
    <n v="54"/>
    <n v="2.9"/>
    <n v="174"/>
    <n v="103.44827586206897"/>
    <n v="0"/>
    <x v="0"/>
  </r>
  <r>
    <s v="NO84797"/>
    <d v="1899-12-30T04:14:35"/>
    <d v="1899-12-30T04:11:40"/>
    <d v="1899-12-30T00:02:55"/>
    <n v="2"/>
    <n v="55"/>
    <n v="2.92"/>
    <n v="175"/>
    <n v="102.85714285714286"/>
    <n v="0"/>
    <x v="17"/>
  </r>
  <r>
    <s v="NNM3913"/>
    <d v="1899-12-30T20:09:51"/>
    <d v="1899-12-30T20:12:45"/>
    <d v="1899-12-30T00:02:55"/>
    <n v="2"/>
    <n v="55"/>
    <n v="2.92"/>
    <n v="175"/>
    <n v="102.85714285714286"/>
    <n v="0"/>
    <x v="15"/>
  </r>
  <r>
    <s v="ST19923"/>
    <d v="1899-12-30T06:49:29"/>
    <d v="1899-12-30T06:52:24"/>
    <d v="1899-12-30T00:02:55"/>
    <n v="2"/>
    <n v="55"/>
    <n v="2.92"/>
    <n v="175"/>
    <n v="102.85714285714286"/>
    <n v="0"/>
    <x v="8"/>
  </r>
  <r>
    <s v="DZL6373"/>
    <d v="1899-12-30T02:19:15"/>
    <d v="1899-12-30T02:16:20"/>
    <d v="1899-12-30T00:02:55"/>
    <n v="2"/>
    <n v="55"/>
    <n v="2.92"/>
    <n v="175"/>
    <n v="102.85714285714286"/>
    <n v="0"/>
    <x v="20"/>
  </r>
  <r>
    <s v="KBC2269"/>
    <d v="1899-12-30T16:37:53"/>
    <d v="1899-12-30T16:40:48"/>
    <d v="1899-12-30T00:02:55"/>
    <n v="2"/>
    <n v="55"/>
    <n v="2.92"/>
    <n v="175"/>
    <n v="102.85714285714286"/>
    <n v="0"/>
    <x v="7"/>
  </r>
  <r>
    <s v="FZ79420"/>
    <d v="1899-12-30T03:24:31"/>
    <d v="1899-12-30T03:21:36"/>
    <d v="1899-12-30T00:02:55"/>
    <n v="2"/>
    <n v="55"/>
    <n v="2.92"/>
    <n v="175"/>
    <n v="102.85714285714286"/>
    <n v="0"/>
    <x v="11"/>
  </r>
  <r>
    <s v="WR41039"/>
    <d v="1899-12-30T11:12:54"/>
    <d v="1899-12-30T11:15:51"/>
    <d v="1899-12-30T00:02:56"/>
    <n v="2"/>
    <n v="56"/>
    <n v="2.93"/>
    <n v="176"/>
    <n v="102.27272727272727"/>
    <n v="0"/>
    <x v="10"/>
  </r>
  <r>
    <s v="NOG3903"/>
    <d v="1899-12-30T20:52:24"/>
    <d v="1899-12-30T20:49:28"/>
    <d v="1899-12-30T00:02:56"/>
    <n v="2"/>
    <n v="56"/>
    <n v="2.93"/>
    <n v="176"/>
    <n v="102.27272727272727"/>
    <n v="0"/>
    <x v="15"/>
  </r>
  <r>
    <s v="NO84796"/>
    <d v="1899-12-30T04:00:41"/>
    <d v="1899-12-30T03:57:45"/>
    <d v="1899-12-30T00:02:56"/>
    <n v="2"/>
    <n v="56"/>
    <n v="2.93"/>
    <n v="176"/>
    <n v="102.27272727272727"/>
    <n v="0"/>
    <x v="17"/>
  </r>
  <r>
    <s v="CTR7456"/>
    <d v="1899-12-30T21:16:45"/>
    <d v="1899-12-30T21:19:42"/>
    <d v="1899-12-30T00:02:57"/>
    <n v="2"/>
    <n v="57"/>
    <n v="2.95"/>
    <n v="177"/>
    <n v="101.69491525423729"/>
    <n v="0"/>
    <x v="5"/>
  </r>
  <r>
    <s v="RP20247"/>
    <d v="1899-12-30T19:54:18"/>
    <d v="1899-12-30T19:51:21"/>
    <d v="1899-12-30T00:02:57"/>
    <n v="2"/>
    <n v="57"/>
    <n v="2.95"/>
    <n v="177"/>
    <n v="101.69491525423729"/>
    <n v="0"/>
    <x v="23"/>
  </r>
  <r>
    <s v="WZW7144"/>
    <d v="1899-12-30T13:14:28"/>
    <d v="1899-12-30T13:11:30"/>
    <d v="1899-12-30T00:02:57"/>
    <n v="2"/>
    <n v="57"/>
    <n v="2.95"/>
    <n v="177"/>
    <n v="101.69491525423729"/>
    <n v="0"/>
    <x v="0"/>
  </r>
  <r>
    <s v="DKA9237"/>
    <d v="1899-12-30T06:59:36"/>
    <d v="1899-12-30T07:02:33"/>
    <d v="1899-12-30T00:02:57"/>
    <n v="2"/>
    <n v="57"/>
    <n v="2.95"/>
    <n v="177"/>
    <n v="101.69491525423729"/>
    <n v="0"/>
    <x v="8"/>
  </r>
  <r>
    <s v="LWL7458"/>
    <d v="1899-12-30T15:59:01"/>
    <d v="1899-12-30T15:56:04"/>
    <d v="1899-12-30T00:02:57"/>
    <n v="2"/>
    <n v="57"/>
    <n v="2.95"/>
    <n v="177"/>
    <n v="101.69491525423729"/>
    <n v="0"/>
    <x v="19"/>
  </r>
  <r>
    <s v="KBC3869"/>
    <d v="1899-12-30T16:47:20"/>
    <d v="1899-12-30T16:50:18"/>
    <d v="1899-12-30T00:02:58"/>
    <n v="2"/>
    <n v="58"/>
    <n v="2.97"/>
    <n v="178"/>
    <n v="101.12359550561798"/>
    <n v="0"/>
    <x v="7"/>
  </r>
  <r>
    <s v="NNM3913"/>
    <d v="1899-12-30T06:16:21"/>
    <d v="1899-12-30T06:19:19"/>
    <d v="1899-12-30T00:02:58"/>
    <n v="2"/>
    <n v="58"/>
    <n v="2.97"/>
    <n v="178"/>
    <n v="101.12359550561798"/>
    <n v="0"/>
    <x v="8"/>
  </r>
  <r>
    <s v="NNM3913"/>
    <d v="1899-12-30T23:21:51"/>
    <d v="1899-12-30T23:18:53"/>
    <d v="1899-12-30T00:02:58"/>
    <n v="2"/>
    <n v="58"/>
    <n v="2.97"/>
    <n v="178"/>
    <n v="101.12359550561798"/>
    <n v="0"/>
    <x v="22"/>
  </r>
  <r>
    <s v="RPR8482"/>
    <d v="1899-12-30T03:33:51"/>
    <d v="1899-12-30T03:30:53"/>
    <d v="1899-12-30T00:02:58"/>
    <n v="2"/>
    <n v="58"/>
    <n v="2.97"/>
    <n v="178"/>
    <n v="101.12359550561798"/>
    <n v="0"/>
    <x v="11"/>
  </r>
  <r>
    <s v="NLI1232"/>
    <d v="1899-12-30T03:59:51"/>
    <d v="1899-12-30T04:02:49"/>
    <d v="1899-12-30T00:02:59"/>
    <n v="2"/>
    <n v="59"/>
    <n v="2.98"/>
    <n v="179"/>
    <n v="100.55865921787711"/>
    <n v="0"/>
    <x v="11"/>
  </r>
  <r>
    <s v="NO84799"/>
    <d v="1899-12-30T10:59:16"/>
    <d v="1899-12-30T10:56:17"/>
    <d v="1899-12-30T00:02:59"/>
    <n v="2"/>
    <n v="59"/>
    <n v="2.98"/>
    <n v="179"/>
    <n v="100.55865921787711"/>
    <n v="0"/>
    <x v="4"/>
  </r>
  <r>
    <s v="NGO9410"/>
    <d v="1899-12-30T22:04:33"/>
    <d v="1899-12-30T22:01:34"/>
    <d v="1899-12-30T00:02:59"/>
    <n v="2"/>
    <n v="59"/>
    <n v="2.98"/>
    <n v="179"/>
    <n v="100.55865921787711"/>
    <n v="0"/>
    <x v="9"/>
  </r>
  <r>
    <s v="GA40781"/>
    <d v="1899-12-30T02:56:55"/>
    <d v="1899-12-30T02:53:56"/>
    <d v="1899-12-30T00:02:59"/>
    <n v="2"/>
    <n v="59"/>
    <n v="2.98"/>
    <n v="179"/>
    <n v="100.55865921787711"/>
    <n v="0"/>
    <x v="20"/>
  </r>
  <r>
    <s v="DKA1443"/>
    <d v="1899-12-30T13:17:07"/>
    <d v="1899-12-30T13:20:08"/>
    <d v="1899-12-30T00:03:00"/>
    <n v="3"/>
    <n v="0"/>
    <n v="3"/>
    <n v="180"/>
    <n v="100"/>
    <n v="0"/>
    <x v="0"/>
  </r>
  <r>
    <s v="TST606F"/>
    <d v="1899-12-30T05:10:54"/>
    <d v="1899-12-30T05:13:54"/>
    <d v="1899-12-30T00:03:00"/>
    <n v="3"/>
    <n v="0"/>
    <n v="3"/>
    <n v="180"/>
    <n v="100"/>
    <n v="0"/>
    <x v="14"/>
  </r>
  <r>
    <s v="NEB9600"/>
    <d v="1899-12-30T14:45:30"/>
    <d v="1899-12-30T14:42:29"/>
    <d v="1899-12-30T00:03:00"/>
    <n v="3"/>
    <n v="0"/>
    <n v="3"/>
    <n v="180"/>
    <n v="100"/>
    <n v="0"/>
    <x v="21"/>
  </r>
  <r>
    <s v="CBY5051"/>
    <d v="1899-12-30T14:10:25"/>
    <d v="1899-12-30T14:07:25"/>
    <d v="1899-12-30T00:03:00"/>
    <n v="3"/>
    <n v="0"/>
    <n v="3"/>
    <n v="180"/>
    <n v="100"/>
    <n v="0"/>
    <x v="21"/>
  </r>
  <r>
    <s v="CW37343"/>
    <d v="1899-12-30T14:55:45"/>
    <d v="1899-12-30T14:58:45"/>
    <d v="1899-12-30T00:03:00"/>
    <n v="3"/>
    <n v="0"/>
    <n v="3"/>
    <n v="180"/>
    <n v="100"/>
    <n v="0"/>
    <x v="21"/>
  </r>
  <r>
    <s v="WSE356D"/>
    <d v="1899-12-30T01:24:44"/>
    <d v="1899-12-30T01:21:44"/>
    <d v="1899-12-30T00:03:00"/>
    <n v="3"/>
    <n v="0"/>
    <n v="3"/>
    <n v="180"/>
    <n v="100"/>
    <n v="0"/>
    <x v="16"/>
  </r>
  <r>
    <s v="CZN5274"/>
    <d v="1899-12-30T15:33:18"/>
    <d v="1899-12-30T15:30:18"/>
    <d v="1899-12-30T00:03:00"/>
    <n v="3"/>
    <n v="0"/>
    <n v="3"/>
    <n v="180"/>
    <n v="100"/>
    <n v="0"/>
    <x v="19"/>
  </r>
  <r>
    <s v="ZBI196E"/>
    <d v="1899-12-30T09:33:57"/>
    <d v="1899-12-30T09:36:59"/>
    <d v="1899-12-30T00:03:02"/>
    <n v="3"/>
    <n v="2"/>
    <n v="3.03"/>
    <n v="182"/>
    <n v="98.901098901098905"/>
    <n v="0"/>
    <x v="18"/>
  </r>
  <r>
    <s v="KTT2196"/>
    <d v="1899-12-30T02:22:15"/>
    <d v="1899-12-30T02:19:13"/>
    <d v="1899-12-30T00:03:02"/>
    <n v="3"/>
    <n v="2"/>
    <n v="3.03"/>
    <n v="182"/>
    <n v="98.901098901098905"/>
    <n v="0"/>
    <x v="20"/>
  </r>
  <r>
    <s v="NBR3345"/>
    <d v="1899-12-30T06:09:30"/>
    <d v="1899-12-30T06:12:33"/>
    <d v="1899-12-30T00:03:02"/>
    <n v="3"/>
    <n v="2"/>
    <n v="3.03"/>
    <n v="182"/>
    <n v="98.901098901098905"/>
    <n v="0"/>
    <x v="8"/>
  </r>
  <r>
    <s v="CGR1261"/>
    <d v="1899-12-30T05:17:48"/>
    <d v="1899-12-30T05:14:46"/>
    <d v="1899-12-30T00:03:02"/>
    <n v="3"/>
    <n v="2"/>
    <n v="3.03"/>
    <n v="182"/>
    <n v="98.901098901098905"/>
    <n v="0"/>
    <x v="14"/>
  </r>
  <r>
    <s v="WW71217"/>
    <d v="1899-12-30T03:01:44"/>
    <d v="1899-12-30T03:04:47"/>
    <d v="1899-12-30T00:03:02"/>
    <n v="3"/>
    <n v="2"/>
    <n v="3.03"/>
    <n v="182"/>
    <n v="98.901098901098905"/>
    <n v="0"/>
    <x v="11"/>
  </r>
  <r>
    <s v="BS53470"/>
    <d v="1899-12-30T18:33:43"/>
    <d v="1899-12-30T18:36:46"/>
    <d v="1899-12-30T00:03:03"/>
    <n v="3"/>
    <n v="3"/>
    <n v="3.05"/>
    <n v="183"/>
    <n v="98.360655737704917"/>
    <n v="0"/>
    <x v="1"/>
  </r>
  <r>
    <s v="NIL3535"/>
    <d v="1899-12-30T17:13:54"/>
    <d v="1899-12-30T17:10:50"/>
    <d v="1899-12-30T00:03:04"/>
    <n v="3"/>
    <n v="4"/>
    <n v="3.07"/>
    <n v="184"/>
    <n v="97.826086956521735"/>
    <n v="0"/>
    <x v="12"/>
  </r>
  <r>
    <s v="CAL2064"/>
    <d v="1899-12-30T04:39:11"/>
    <d v="1899-12-30T04:36:08"/>
    <d v="1899-12-30T00:03:04"/>
    <n v="3"/>
    <n v="4"/>
    <n v="3.07"/>
    <n v="184"/>
    <n v="97.826086956521735"/>
    <n v="0"/>
    <x v="17"/>
  </r>
  <r>
    <s v="CCH7924"/>
    <d v="1899-12-30T10:01:47"/>
    <d v="1899-12-30T09:58:43"/>
    <d v="1899-12-30T00:03:04"/>
    <n v="3"/>
    <n v="4"/>
    <n v="3.07"/>
    <n v="184"/>
    <n v="97.826086956521735"/>
    <n v="0"/>
    <x v="4"/>
  </r>
  <r>
    <s v="DJE2824"/>
    <d v="1899-12-30T07:50:20"/>
    <d v="1899-12-30T07:53:24"/>
    <d v="1899-12-30T00:03:04"/>
    <n v="3"/>
    <n v="4"/>
    <n v="3.07"/>
    <n v="184"/>
    <n v="97.826086956521735"/>
    <n v="0"/>
    <x v="6"/>
  </r>
  <r>
    <s v="ELE9063"/>
    <d v="1899-12-30T21:08:26"/>
    <d v="1899-12-30T21:11:30"/>
    <d v="1899-12-30T00:03:04"/>
    <n v="3"/>
    <n v="4"/>
    <n v="3.07"/>
    <n v="184"/>
    <n v="97.826086956521735"/>
    <n v="0"/>
    <x v="5"/>
  </r>
  <r>
    <s v="CCH2234"/>
    <d v="1899-12-30T05:00:28"/>
    <d v="1899-12-30T05:03:33"/>
    <d v="1899-12-30T00:03:05"/>
    <n v="3"/>
    <n v="5"/>
    <n v="3.08"/>
    <n v="185"/>
    <n v="97.297297297297291"/>
    <n v="0"/>
    <x v="14"/>
  </r>
  <r>
    <s v="NLI1232"/>
    <d v="1899-12-30T22:44:01"/>
    <d v="1899-12-30T22:47:07"/>
    <d v="1899-12-30T00:03:05"/>
    <n v="3"/>
    <n v="5"/>
    <n v="3.08"/>
    <n v="185"/>
    <n v="97.297297297297291"/>
    <n v="0"/>
    <x v="9"/>
  </r>
  <r>
    <s v="CIN2517"/>
    <d v="1899-12-30T16:14:35"/>
    <d v="1899-12-30T16:17:41"/>
    <d v="1899-12-30T00:03:05"/>
    <n v="3"/>
    <n v="5"/>
    <n v="3.08"/>
    <n v="185"/>
    <n v="97.297297297297291"/>
    <n v="0"/>
    <x v="7"/>
  </r>
  <r>
    <s v="WRA7205"/>
    <d v="1899-12-30T01:24:24"/>
    <d v="1899-12-30T01:21:19"/>
    <d v="1899-12-30T00:03:05"/>
    <n v="3"/>
    <n v="5"/>
    <n v="3.08"/>
    <n v="185"/>
    <n v="97.297297297297291"/>
    <n v="0"/>
    <x v="16"/>
  </r>
  <r>
    <s v="KWI9178"/>
    <d v="1899-12-30T17:55:36"/>
    <d v="1899-12-30T17:52:32"/>
    <d v="1899-12-30T00:03:05"/>
    <n v="3"/>
    <n v="5"/>
    <n v="3.08"/>
    <n v="185"/>
    <n v="97.297297297297291"/>
    <n v="0"/>
    <x v="12"/>
  </r>
  <r>
    <s v="RP5592K"/>
    <d v="1899-12-30T02:20:20"/>
    <d v="1899-12-30T02:23:26"/>
    <d v="1899-12-30T00:03:05"/>
    <n v="3"/>
    <n v="5"/>
    <n v="3.08"/>
    <n v="185"/>
    <n v="97.297297297297291"/>
    <n v="0"/>
    <x v="20"/>
  </r>
  <r>
    <s v="DKL3952"/>
    <d v="1899-12-30T23:36:34"/>
    <d v="1899-12-30T23:39:40"/>
    <d v="1899-12-30T00:03:06"/>
    <n v="3"/>
    <n v="6"/>
    <n v="3.1"/>
    <n v="186"/>
    <n v="96.774193548387103"/>
    <n v="0"/>
    <x v="22"/>
  </r>
  <r>
    <s v="NEB9600"/>
    <d v="1899-12-30T15:34:49"/>
    <d v="1899-12-30T15:31:43"/>
    <d v="1899-12-30T00:03:06"/>
    <n v="3"/>
    <n v="6"/>
    <n v="3.1"/>
    <n v="186"/>
    <n v="96.774193548387103"/>
    <n v="0"/>
    <x v="19"/>
  </r>
  <r>
    <s v="RTA5016"/>
    <d v="1899-12-30T22:42:33"/>
    <d v="1899-12-30T22:45:40"/>
    <d v="1899-12-30T00:03:06"/>
    <n v="3"/>
    <n v="6"/>
    <n v="3.1"/>
    <n v="186"/>
    <n v="96.774193548387103"/>
    <n v="0"/>
    <x v="9"/>
  </r>
  <r>
    <s v="NOG3903"/>
    <d v="1899-12-30T05:38:32"/>
    <d v="1899-12-30T05:35:26"/>
    <d v="1899-12-30T00:03:06"/>
    <n v="3"/>
    <n v="6"/>
    <n v="3.1"/>
    <n v="186"/>
    <n v="96.774193548387103"/>
    <n v="0"/>
    <x v="14"/>
  </r>
  <r>
    <s v="OPO3720"/>
    <d v="1899-12-30T00:11:51"/>
    <d v="1899-12-30T00:14:56"/>
    <d v="1899-12-30T00:03:06"/>
    <n v="3"/>
    <n v="6"/>
    <n v="3.1"/>
    <n v="186"/>
    <n v="96.774193548387103"/>
    <n v="0"/>
    <x v="13"/>
  </r>
  <r>
    <s v="WRA9291"/>
    <d v="1899-12-30T11:26:19"/>
    <d v="1899-12-30T11:29:25"/>
    <d v="1899-12-30T00:03:06"/>
    <n v="3"/>
    <n v="6"/>
    <n v="3.1"/>
    <n v="186"/>
    <n v="96.774193548387103"/>
    <n v="0"/>
    <x v="10"/>
  </r>
  <r>
    <s v="NSZ8448"/>
    <d v="1899-12-30T17:39:42"/>
    <d v="1899-12-30T17:42:49"/>
    <d v="1899-12-30T00:03:07"/>
    <n v="3"/>
    <n v="7"/>
    <n v="3.12"/>
    <n v="187"/>
    <n v="96.256684491978604"/>
    <n v="0"/>
    <x v="12"/>
  </r>
  <r>
    <s v="NBA1025"/>
    <d v="1899-12-30T10:00:57"/>
    <d v="1899-12-30T10:04:04"/>
    <d v="1899-12-30T00:03:07"/>
    <n v="3"/>
    <n v="7"/>
    <n v="3.12"/>
    <n v="187"/>
    <n v="96.256684491978604"/>
    <n v="0"/>
    <x v="4"/>
  </r>
  <r>
    <s v="NBA102A"/>
    <d v="1899-12-30T21:44:15"/>
    <d v="1899-12-30T21:47:22"/>
    <d v="1899-12-30T00:03:07"/>
    <n v="3"/>
    <n v="7"/>
    <n v="3.12"/>
    <n v="187"/>
    <n v="96.256684491978604"/>
    <n v="0"/>
    <x v="5"/>
  </r>
  <r>
    <s v="WSZ3763"/>
    <d v="1899-12-30T12:31:45"/>
    <d v="1899-12-30T12:34:52"/>
    <d v="1899-12-30T00:03:07"/>
    <n v="3"/>
    <n v="7"/>
    <n v="3.12"/>
    <n v="187"/>
    <n v="96.256684491978604"/>
    <n v="0"/>
    <x v="3"/>
  </r>
  <r>
    <s v="BLM1403"/>
    <d v="1899-12-30T16:28:35"/>
    <d v="1899-12-30T16:31:42"/>
    <d v="1899-12-30T00:03:07"/>
    <n v="3"/>
    <n v="7"/>
    <n v="3.12"/>
    <n v="187"/>
    <n v="96.256684491978604"/>
    <n v="0"/>
    <x v="7"/>
  </r>
  <r>
    <s v="NGI7942"/>
    <d v="1899-12-30T22:46:41"/>
    <d v="1899-12-30T22:43:33"/>
    <d v="1899-12-30T00:03:08"/>
    <n v="3"/>
    <n v="8"/>
    <n v="3.13"/>
    <n v="188"/>
    <n v="95.744680851063833"/>
    <n v="0"/>
    <x v="9"/>
  </r>
  <r>
    <s v="NOL4507"/>
    <d v="1899-12-30T07:57:32"/>
    <d v="1899-12-30T08:00:40"/>
    <d v="1899-12-30T00:03:08"/>
    <n v="3"/>
    <n v="8"/>
    <n v="3.13"/>
    <n v="188"/>
    <n v="95.744680851063833"/>
    <n v="0"/>
    <x v="6"/>
  </r>
  <r>
    <s v="EPD1467"/>
    <d v="1899-12-30T21:44:11"/>
    <d v="1899-12-30T21:47:19"/>
    <d v="1899-12-30T00:03:08"/>
    <n v="3"/>
    <n v="8"/>
    <n v="3.13"/>
    <n v="188"/>
    <n v="95.744680851063833"/>
    <n v="0"/>
    <x v="5"/>
  </r>
  <r>
    <s v="CWL381S"/>
    <d v="1899-12-30T15:47:16"/>
    <d v="1899-12-30T15:44:08"/>
    <d v="1899-12-30T00:03:08"/>
    <n v="3"/>
    <n v="8"/>
    <n v="3.13"/>
    <n v="188"/>
    <n v="95.744680851063833"/>
    <n v="0"/>
    <x v="19"/>
  </r>
  <r>
    <s v="NOL4507"/>
    <d v="1899-12-30T04:04:45"/>
    <d v="1899-12-30T04:07:53"/>
    <d v="1899-12-30T00:03:08"/>
    <n v="3"/>
    <n v="8"/>
    <n v="3.13"/>
    <n v="188"/>
    <n v="95.744680851063833"/>
    <n v="0"/>
    <x v="17"/>
  </r>
  <r>
    <s v="DSR1552"/>
    <d v="1899-12-30T12:11:31"/>
    <d v="1899-12-30T12:08:22"/>
    <d v="1899-12-30T00:03:09"/>
    <n v="3"/>
    <n v="9"/>
    <n v="3.15"/>
    <n v="189"/>
    <n v="95.238095238095241"/>
    <n v="0"/>
    <x v="3"/>
  </r>
  <r>
    <s v="NOG3903"/>
    <d v="1899-12-30T01:15:40"/>
    <d v="1899-12-30T01:12:31"/>
    <d v="1899-12-30T00:03:09"/>
    <n v="3"/>
    <n v="9"/>
    <n v="3.15"/>
    <n v="189"/>
    <n v="95.238095238095241"/>
    <n v="0"/>
    <x v="16"/>
  </r>
  <r>
    <s v="BL5582G"/>
    <d v="1899-12-30T02:24:32"/>
    <d v="1899-12-30T02:21:23"/>
    <d v="1899-12-30T00:03:09"/>
    <n v="3"/>
    <n v="9"/>
    <n v="3.15"/>
    <n v="189"/>
    <n v="95.238095238095241"/>
    <n v="0"/>
    <x v="20"/>
  </r>
  <r>
    <s v="NKE9304"/>
    <d v="1899-12-30T22:20:16"/>
    <d v="1899-12-30T22:17:07"/>
    <d v="1899-12-30T00:03:09"/>
    <n v="3"/>
    <n v="9"/>
    <n v="3.15"/>
    <n v="189"/>
    <n v="95.238095238095241"/>
    <n v="0"/>
    <x v="9"/>
  </r>
  <r>
    <s v="NMR424I"/>
    <d v="1899-12-30T12:47:02"/>
    <d v="1899-12-30T12:50:12"/>
    <d v="1899-12-30T00:03:09"/>
    <n v="3"/>
    <n v="9"/>
    <n v="3.15"/>
    <n v="189"/>
    <n v="95.238095238095241"/>
    <n v="0"/>
    <x v="3"/>
  </r>
  <r>
    <s v="NO33338"/>
    <d v="1899-12-30T12:33:57"/>
    <d v="1899-12-30T12:37:06"/>
    <d v="1899-12-30T00:03:09"/>
    <n v="3"/>
    <n v="9"/>
    <n v="3.15"/>
    <n v="189"/>
    <n v="95.238095238095241"/>
    <n v="0"/>
    <x v="3"/>
  </r>
  <r>
    <s v="DPL8275"/>
    <d v="1899-12-30T15:25:40"/>
    <d v="1899-12-30T15:22:29"/>
    <d v="1899-12-30T00:03:10"/>
    <n v="3"/>
    <n v="10"/>
    <n v="3.17"/>
    <n v="190"/>
    <n v="94.73684210526315"/>
    <n v="0"/>
    <x v="19"/>
  </r>
  <r>
    <s v="RT43110"/>
    <d v="1899-12-30T14:59:28"/>
    <d v="1899-12-30T15:02:38"/>
    <d v="1899-12-30T00:03:10"/>
    <n v="3"/>
    <n v="10"/>
    <n v="3.17"/>
    <n v="190"/>
    <n v="94.73684210526315"/>
    <n v="0"/>
    <x v="21"/>
  </r>
  <r>
    <s v="GTC6032"/>
    <d v="1899-12-30T22:07:01"/>
    <d v="1899-12-30T22:03:50"/>
    <d v="1899-12-30T00:03:11"/>
    <n v="3"/>
    <n v="11"/>
    <n v="3.18"/>
    <n v="191"/>
    <n v="94.240837696335092"/>
    <n v="0"/>
    <x v="9"/>
  </r>
  <r>
    <s v="NEL2373"/>
    <d v="1899-12-30T21:09:47"/>
    <d v="1899-12-30T21:06:36"/>
    <d v="1899-12-30T00:03:11"/>
    <n v="3"/>
    <n v="11"/>
    <n v="3.18"/>
    <n v="191"/>
    <n v="94.240837696335092"/>
    <n v="0"/>
    <x v="5"/>
  </r>
  <r>
    <s v="NE78145"/>
    <d v="1899-12-30T22:33:14"/>
    <d v="1899-12-30T22:36:26"/>
    <d v="1899-12-30T00:03:11"/>
    <n v="3"/>
    <n v="11"/>
    <n v="3.18"/>
    <n v="191"/>
    <n v="94.240837696335092"/>
    <n v="0"/>
    <x v="9"/>
  </r>
  <r>
    <s v="NLI1232"/>
    <d v="1899-12-30T18:17:01"/>
    <d v="1899-12-30T18:13:50"/>
    <d v="1899-12-30T00:03:11"/>
    <n v="3"/>
    <n v="11"/>
    <n v="3.18"/>
    <n v="191"/>
    <n v="94.240837696335092"/>
    <n v="0"/>
    <x v="1"/>
  </r>
  <r>
    <s v="CLI5630"/>
    <d v="1899-12-30T17:03:49"/>
    <d v="1899-12-30T17:00:38"/>
    <d v="1899-12-30T00:03:11"/>
    <n v="3"/>
    <n v="11"/>
    <n v="3.18"/>
    <n v="191"/>
    <n v="94.240837696335092"/>
    <n v="0"/>
    <x v="12"/>
  </r>
  <r>
    <s v="BSU5919"/>
    <d v="1899-12-30T18:46:16"/>
    <d v="1899-12-30T18:43:05"/>
    <d v="1899-12-30T00:03:11"/>
    <n v="3"/>
    <n v="11"/>
    <n v="3.18"/>
    <n v="191"/>
    <n v="94.240837696335092"/>
    <n v="0"/>
    <x v="1"/>
  </r>
  <r>
    <s v="KBR5778"/>
    <d v="1899-12-30T22:46:58"/>
    <d v="1899-12-30T22:43:46"/>
    <d v="1899-12-30T00:03:12"/>
    <n v="3"/>
    <n v="12"/>
    <n v="3.2"/>
    <n v="192"/>
    <n v="93.75"/>
    <n v="0"/>
    <x v="9"/>
  </r>
  <r>
    <s v="WRA7205"/>
    <d v="1899-12-30T11:34:55"/>
    <d v="1899-12-30T11:31:43"/>
    <d v="1899-12-30T00:03:12"/>
    <n v="3"/>
    <n v="12"/>
    <n v="3.2"/>
    <n v="192"/>
    <n v="93.75"/>
    <n v="0"/>
    <x v="10"/>
  </r>
  <r>
    <s v="NWE1882"/>
    <d v="1899-12-30T07:29:55"/>
    <d v="1899-12-30T07:26:43"/>
    <d v="1899-12-30T00:03:12"/>
    <n v="3"/>
    <n v="12"/>
    <n v="3.2"/>
    <n v="192"/>
    <n v="93.75"/>
    <n v="0"/>
    <x v="6"/>
  </r>
  <r>
    <s v="CBR1005"/>
    <d v="1899-12-30T17:03:41"/>
    <d v="1899-12-30T17:06:53"/>
    <d v="1899-12-30T00:03:12"/>
    <n v="3"/>
    <n v="12"/>
    <n v="3.2"/>
    <n v="192"/>
    <n v="93.75"/>
    <n v="0"/>
    <x v="12"/>
  </r>
  <r>
    <s v="FZA9218"/>
    <d v="1899-12-30T21:43:46"/>
    <d v="1899-12-30T21:46:58"/>
    <d v="1899-12-30T00:03:12"/>
    <n v="3"/>
    <n v="12"/>
    <n v="3.2"/>
    <n v="192"/>
    <n v="93.75"/>
    <n v="0"/>
    <x v="5"/>
  </r>
  <r>
    <s v="NNM3913"/>
    <d v="1899-12-30T19:40:57"/>
    <d v="1899-12-30T19:44:10"/>
    <d v="1899-12-30T00:03:12"/>
    <n v="3"/>
    <n v="12"/>
    <n v="3.2"/>
    <n v="192"/>
    <n v="93.75"/>
    <n v="0"/>
    <x v="23"/>
  </r>
  <r>
    <s v="FGW6941"/>
    <d v="1899-12-30T07:10:25"/>
    <d v="1899-12-30T07:07:13"/>
    <d v="1899-12-30T00:03:12"/>
    <n v="3"/>
    <n v="12"/>
    <n v="3.2"/>
    <n v="192"/>
    <n v="93.75"/>
    <n v="0"/>
    <x v="6"/>
  </r>
  <r>
    <s v="NDZ3838"/>
    <d v="1899-12-30T01:38:07"/>
    <d v="1899-12-30T01:41:19"/>
    <d v="1899-12-30T00:03:12"/>
    <n v="3"/>
    <n v="12"/>
    <n v="3.2"/>
    <n v="192"/>
    <n v="93.75"/>
    <n v="0"/>
    <x v="16"/>
  </r>
  <r>
    <s v="GCZ6717"/>
    <d v="1899-12-30T10:58:15"/>
    <d v="1899-12-30T11:01:29"/>
    <d v="1899-12-30T00:03:13"/>
    <n v="3"/>
    <n v="13"/>
    <n v="3.22"/>
    <n v="193"/>
    <n v="93.264248704663203"/>
    <n v="0"/>
    <x v="4"/>
  </r>
  <r>
    <s v="GD56329"/>
    <d v="1899-12-30T13:54:09"/>
    <d v="1899-12-30T13:57:23"/>
    <d v="1899-12-30T00:03:13"/>
    <n v="3"/>
    <n v="13"/>
    <n v="3.22"/>
    <n v="193"/>
    <n v="93.264248704663203"/>
    <n v="0"/>
    <x v="0"/>
  </r>
  <r>
    <s v="BSK8702"/>
    <d v="1899-12-30T00:20:28"/>
    <d v="1899-12-30T00:17:15"/>
    <d v="1899-12-30T00:03:13"/>
    <n v="3"/>
    <n v="13"/>
    <n v="3.22"/>
    <n v="193"/>
    <n v="93.264248704663203"/>
    <n v="0"/>
    <x v="13"/>
  </r>
  <r>
    <s v="FZ46305"/>
    <d v="1899-12-30T17:14:20"/>
    <d v="1899-12-30T17:17:34"/>
    <d v="1899-12-30T00:03:14"/>
    <n v="3"/>
    <n v="14"/>
    <n v="3.23"/>
    <n v="194"/>
    <n v="92.783505154639187"/>
    <n v="0"/>
    <x v="12"/>
  </r>
  <r>
    <s v="RZE7144"/>
    <d v="1899-12-30T12:14:23"/>
    <d v="1899-12-30T12:11:09"/>
    <d v="1899-12-30T00:03:14"/>
    <n v="3"/>
    <n v="14"/>
    <n v="3.23"/>
    <n v="194"/>
    <n v="92.783505154639187"/>
    <n v="0"/>
    <x v="3"/>
  </r>
  <r>
    <s v="WZY9176"/>
    <d v="1899-12-30T08:34:34"/>
    <d v="1899-12-30T08:31:21"/>
    <d v="1899-12-30T00:03:14"/>
    <n v="3"/>
    <n v="14"/>
    <n v="3.23"/>
    <n v="194"/>
    <n v="92.783505154639187"/>
    <n v="0"/>
    <x v="2"/>
  </r>
  <r>
    <s v="NEL2373"/>
    <d v="1899-12-30T17:17:22"/>
    <d v="1899-12-30T17:20:36"/>
    <d v="1899-12-30T00:03:14"/>
    <n v="3"/>
    <n v="14"/>
    <n v="3.23"/>
    <n v="194"/>
    <n v="92.783505154639187"/>
    <n v="0"/>
    <x v="12"/>
  </r>
  <r>
    <s v="SRB970D"/>
    <d v="1899-12-30T20:38:27"/>
    <d v="1899-12-30T20:35:13"/>
    <d v="1899-12-30T00:03:14"/>
    <n v="3"/>
    <n v="14"/>
    <n v="3.23"/>
    <n v="194"/>
    <n v="92.783505154639187"/>
    <n v="0"/>
    <x v="15"/>
  </r>
  <r>
    <s v="NO84797"/>
    <d v="1899-12-30T17:37:09"/>
    <d v="1899-12-30T17:33:56"/>
    <d v="1899-12-30T00:03:14"/>
    <n v="3"/>
    <n v="14"/>
    <n v="3.23"/>
    <n v="194"/>
    <n v="92.783505154639187"/>
    <n v="0"/>
    <x v="12"/>
  </r>
  <r>
    <s v="NOE1810"/>
    <d v="1899-12-30T10:19:32"/>
    <d v="1899-12-30T10:22:47"/>
    <d v="1899-12-30T00:03:15"/>
    <n v="3"/>
    <n v="15"/>
    <n v="3.25"/>
    <n v="195"/>
    <n v="92.307692307692292"/>
    <n v="0"/>
    <x v="4"/>
  </r>
  <r>
    <s v="NLI1232"/>
    <d v="1899-12-30T17:41:05"/>
    <d v="1899-12-30T17:37:50"/>
    <d v="1899-12-30T00:03:15"/>
    <n v="3"/>
    <n v="15"/>
    <n v="3.25"/>
    <n v="195"/>
    <n v="92.307692307692292"/>
    <n v="0"/>
    <x v="12"/>
  </r>
  <r>
    <s v="LZA7617"/>
    <d v="1899-12-30T17:26:29"/>
    <d v="1899-12-30T17:23:14"/>
    <d v="1899-12-30T00:03:15"/>
    <n v="3"/>
    <n v="15"/>
    <n v="3.25"/>
    <n v="195"/>
    <n v="92.307692307692292"/>
    <n v="0"/>
    <x v="12"/>
  </r>
  <r>
    <s v="WZU5215"/>
    <d v="1899-12-30T07:43:38"/>
    <d v="1899-12-30T07:46:54"/>
    <d v="1899-12-30T00:03:16"/>
    <n v="3"/>
    <n v="16"/>
    <n v="3.27"/>
    <n v="196"/>
    <n v="91.83673469387756"/>
    <n v="0"/>
    <x v="6"/>
  </r>
  <r>
    <s v="NPI2072"/>
    <d v="1899-12-30T00:27:01"/>
    <d v="1899-12-30T00:30:17"/>
    <d v="1899-12-30T00:03:16"/>
    <n v="3"/>
    <n v="16"/>
    <n v="3.27"/>
    <n v="196"/>
    <n v="91.83673469387756"/>
    <n v="0"/>
    <x v="13"/>
  </r>
  <r>
    <s v="NBR3345"/>
    <d v="1899-12-30T02:05:55"/>
    <d v="1899-12-30T02:02:40"/>
    <d v="1899-12-30T00:03:16"/>
    <n v="3"/>
    <n v="16"/>
    <n v="3.27"/>
    <n v="196"/>
    <n v="91.83673469387756"/>
    <n v="0"/>
    <x v="20"/>
  </r>
  <r>
    <s v="NO84797"/>
    <d v="1899-12-30T19:16:04"/>
    <d v="1899-12-30T19:19:20"/>
    <d v="1899-12-30T00:03:16"/>
    <n v="3"/>
    <n v="16"/>
    <n v="3.27"/>
    <n v="196"/>
    <n v="91.83673469387756"/>
    <n v="0"/>
    <x v="23"/>
  </r>
  <r>
    <s v="GTC6032"/>
    <d v="1899-12-30T20:41:36"/>
    <d v="1899-12-30T20:38:20"/>
    <d v="1899-12-30T00:03:16"/>
    <n v="3"/>
    <n v="16"/>
    <n v="3.27"/>
    <n v="196"/>
    <n v="91.83673469387756"/>
    <n v="0"/>
    <x v="15"/>
  </r>
  <r>
    <s v="CBY9249"/>
    <d v="1899-12-30T17:50:45"/>
    <d v="1899-12-30T17:54:01"/>
    <d v="1899-12-30T00:03:16"/>
    <n v="3"/>
    <n v="16"/>
    <n v="3.27"/>
    <n v="196"/>
    <n v="91.83673469387756"/>
    <n v="0"/>
    <x v="12"/>
  </r>
  <r>
    <s v="WA22592"/>
    <d v="1899-12-30T16:37:29"/>
    <d v="1899-12-30T16:34:14"/>
    <d v="1899-12-30T00:03:16"/>
    <n v="3"/>
    <n v="16"/>
    <n v="3.27"/>
    <n v="196"/>
    <n v="91.83673469387756"/>
    <n v="0"/>
    <x v="7"/>
  </r>
  <r>
    <s v="WW85062"/>
    <d v="1899-12-30T16:23:33"/>
    <d v="1899-12-30T16:20:17"/>
    <d v="1899-12-30T00:03:16"/>
    <n v="3"/>
    <n v="16"/>
    <n v="3.27"/>
    <n v="196"/>
    <n v="91.83673469387756"/>
    <n v="0"/>
    <x v="7"/>
  </r>
  <r>
    <s v="NNI5982"/>
    <d v="1899-12-30T02:26:25"/>
    <d v="1899-12-30T02:23:09"/>
    <d v="1899-12-30T00:03:16"/>
    <n v="3"/>
    <n v="16"/>
    <n v="3.27"/>
    <n v="196"/>
    <n v="91.83673469387756"/>
    <n v="0"/>
    <x v="20"/>
  </r>
  <r>
    <s v="WW17659"/>
    <d v="1899-12-30T00:52:57"/>
    <d v="1899-12-30T00:49:42"/>
    <d v="1899-12-30T00:03:16"/>
    <n v="3"/>
    <n v="16"/>
    <n v="3.27"/>
    <n v="196"/>
    <n v="91.83673469387756"/>
    <n v="0"/>
    <x v="13"/>
  </r>
  <r>
    <s v="EOP7868"/>
    <d v="1899-12-30T08:19:00"/>
    <d v="1899-12-30T08:22:18"/>
    <d v="1899-12-30T00:03:17"/>
    <n v="3"/>
    <n v="17"/>
    <n v="3.28"/>
    <n v="197"/>
    <n v="91.370558375634516"/>
    <n v="0"/>
    <x v="2"/>
  </r>
  <r>
    <s v="NIL3535"/>
    <d v="1899-12-30T00:32:27"/>
    <d v="1899-12-30T00:29:10"/>
    <d v="1899-12-30T00:03:17"/>
    <n v="3"/>
    <n v="17"/>
    <n v="3.28"/>
    <n v="197"/>
    <n v="91.370558375634516"/>
    <n v="0"/>
    <x v="13"/>
  </r>
  <r>
    <s v="NNM3913"/>
    <d v="1899-12-30T05:16:14"/>
    <d v="1899-12-30T05:12:57"/>
    <d v="1899-12-30T00:03:17"/>
    <n v="3"/>
    <n v="17"/>
    <n v="3.28"/>
    <n v="197"/>
    <n v="91.370558375634516"/>
    <n v="0"/>
    <x v="14"/>
  </r>
  <r>
    <s v="SRC6856"/>
    <d v="1899-12-30T15:51:18"/>
    <d v="1899-12-30T15:48:01"/>
    <d v="1899-12-30T00:03:17"/>
    <n v="3"/>
    <n v="17"/>
    <n v="3.28"/>
    <n v="197"/>
    <n v="91.370558375634516"/>
    <n v="0"/>
    <x v="19"/>
  </r>
  <r>
    <s v="WSK6080"/>
    <d v="1899-12-30T07:30:23"/>
    <d v="1899-12-30T07:33:40"/>
    <d v="1899-12-30T00:03:17"/>
    <n v="3"/>
    <n v="17"/>
    <n v="3.28"/>
    <n v="197"/>
    <n v="91.370558375634516"/>
    <n v="0"/>
    <x v="6"/>
  </r>
  <r>
    <s v="WS87052"/>
    <d v="1899-12-30T23:52:22"/>
    <d v="1899-12-30T23:55:39"/>
    <d v="1899-12-30T00:03:17"/>
    <n v="3"/>
    <n v="17"/>
    <n v="3.28"/>
    <n v="197"/>
    <n v="91.370558375634516"/>
    <n v="0"/>
    <x v="22"/>
  </r>
  <r>
    <s v="NWE1882"/>
    <d v="1899-12-30T14:17:39"/>
    <d v="1899-12-30T14:20:56"/>
    <d v="1899-12-30T00:03:17"/>
    <n v="3"/>
    <n v="17"/>
    <n v="3.28"/>
    <n v="197"/>
    <n v="91.370558375634516"/>
    <n v="0"/>
    <x v="21"/>
  </r>
  <r>
    <s v="NOE1810"/>
    <d v="1899-12-30T20:22:29"/>
    <d v="1899-12-30T20:19:12"/>
    <d v="1899-12-30T00:03:17"/>
    <n v="3"/>
    <n v="17"/>
    <n v="3.28"/>
    <n v="197"/>
    <n v="91.370558375634516"/>
    <n v="0"/>
    <x v="15"/>
  </r>
  <r>
    <s v="NEB4258"/>
    <d v="1899-12-30T12:59:22"/>
    <d v="1899-12-30T13:02:39"/>
    <d v="1899-12-30T00:03:17"/>
    <n v="3"/>
    <n v="17"/>
    <n v="3.28"/>
    <n v="197"/>
    <n v="91.370558375634516"/>
    <n v="0"/>
    <x v="3"/>
  </r>
  <r>
    <s v="WPZ8966"/>
    <d v="1899-12-30T03:04:12"/>
    <d v="1899-12-30T03:00:53"/>
    <d v="1899-12-30T00:03:18"/>
    <n v="3"/>
    <n v="18"/>
    <n v="3.3"/>
    <n v="198"/>
    <n v="90.909090909090921"/>
    <n v="0"/>
    <x v="11"/>
  </r>
  <r>
    <s v="DZL5538"/>
    <d v="1899-12-30T04:53:57"/>
    <d v="1899-12-30T04:50:39"/>
    <d v="1899-12-30T00:03:18"/>
    <n v="3"/>
    <n v="18"/>
    <n v="3.3"/>
    <n v="198"/>
    <n v="90.909090909090921"/>
    <n v="0"/>
    <x v="17"/>
  </r>
  <r>
    <s v="LU68482"/>
    <d v="1899-12-30T13:40:39"/>
    <d v="1899-12-30T13:43:58"/>
    <d v="1899-12-30T00:03:18"/>
    <n v="3"/>
    <n v="18"/>
    <n v="3.3"/>
    <n v="198"/>
    <n v="90.909090909090921"/>
    <n v="0"/>
    <x v="0"/>
  </r>
  <r>
    <s v="PO13340"/>
    <d v="1899-12-30T19:24:22"/>
    <d v="1899-12-30T19:21:04"/>
    <d v="1899-12-30T00:03:18"/>
    <n v="3"/>
    <n v="18"/>
    <n v="3.3"/>
    <n v="198"/>
    <n v="90.909090909090921"/>
    <n v="0"/>
    <x v="23"/>
  </r>
  <r>
    <s v="GCH6429"/>
    <d v="1899-12-30T13:06:53"/>
    <d v="1899-12-30T13:03:35"/>
    <d v="1899-12-30T00:03:18"/>
    <n v="3"/>
    <n v="18"/>
    <n v="3.3"/>
    <n v="198"/>
    <n v="90.909090909090921"/>
    <n v="0"/>
    <x v="0"/>
  </r>
  <r>
    <s v="EWI961D"/>
    <d v="1899-12-30T23:00:14"/>
    <d v="1899-12-30T23:03:33"/>
    <d v="1899-12-30T00:03:19"/>
    <n v="3"/>
    <n v="19"/>
    <n v="3.32"/>
    <n v="199"/>
    <n v="90.452261306532648"/>
    <n v="0"/>
    <x v="22"/>
  </r>
  <r>
    <s v="SB16521"/>
    <d v="1899-12-30T09:51:17"/>
    <d v="1899-12-30T09:54:35"/>
    <d v="1899-12-30T00:03:19"/>
    <n v="3"/>
    <n v="19"/>
    <n v="3.32"/>
    <n v="199"/>
    <n v="90.452261306532648"/>
    <n v="0"/>
    <x v="18"/>
  </r>
  <r>
    <s v="TSK8689"/>
    <d v="1899-12-30T08:47:54"/>
    <d v="1899-12-30T08:51:13"/>
    <d v="1899-12-30T00:03:19"/>
    <n v="3"/>
    <n v="19"/>
    <n v="3.32"/>
    <n v="199"/>
    <n v="90.452261306532648"/>
    <n v="0"/>
    <x v="2"/>
  </r>
  <r>
    <s v="WR41039"/>
    <d v="1899-12-30T08:14:47"/>
    <d v="1899-12-30T08:18:07"/>
    <d v="1899-12-30T00:03:19"/>
    <n v="3"/>
    <n v="19"/>
    <n v="3.32"/>
    <n v="199"/>
    <n v="90.452261306532648"/>
    <n v="0"/>
    <x v="2"/>
  </r>
  <r>
    <s v="NNM3913"/>
    <d v="1899-12-30T13:44:42"/>
    <d v="1899-12-30T13:48:01"/>
    <d v="1899-12-30T00:03:19"/>
    <n v="3"/>
    <n v="19"/>
    <n v="3.32"/>
    <n v="199"/>
    <n v="90.452261306532648"/>
    <n v="0"/>
    <x v="0"/>
  </r>
  <r>
    <s v="NPI201N"/>
    <d v="1899-12-30T08:16:17"/>
    <d v="1899-12-30T08:19:36"/>
    <d v="1899-12-30T00:03:19"/>
    <n v="3"/>
    <n v="19"/>
    <n v="3.32"/>
    <n v="199"/>
    <n v="90.452261306532648"/>
    <n v="0"/>
    <x v="2"/>
  </r>
  <r>
    <s v="GA77712"/>
    <d v="1899-12-30T10:47:21"/>
    <d v="1899-12-30T10:44:01"/>
    <d v="1899-12-30T00:03:20"/>
    <n v="3"/>
    <n v="20"/>
    <n v="3.33"/>
    <n v="200"/>
    <n v="90"/>
    <n v="0"/>
    <x v="4"/>
  </r>
  <r>
    <s v="EWE4423"/>
    <d v="1899-12-30T22:05:41"/>
    <d v="1899-12-30T22:09:01"/>
    <d v="1899-12-30T00:03:20"/>
    <n v="3"/>
    <n v="20"/>
    <n v="3.33"/>
    <n v="200"/>
    <n v="90"/>
    <n v="0"/>
    <x v="9"/>
  </r>
  <r>
    <s v="CG59243"/>
    <d v="1899-12-30T17:44:09"/>
    <d v="1899-12-30T17:47:29"/>
    <d v="1899-12-30T00:03:20"/>
    <n v="3"/>
    <n v="20"/>
    <n v="3.33"/>
    <n v="200"/>
    <n v="90"/>
    <n v="0"/>
    <x v="12"/>
  </r>
  <r>
    <s v="NOE1810"/>
    <d v="1899-12-30T06:35:49"/>
    <d v="1899-12-30T06:39:10"/>
    <d v="1899-12-30T00:03:21"/>
    <n v="3"/>
    <n v="21"/>
    <n v="3.35"/>
    <n v="201"/>
    <n v="89.552238805970148"/>
    <n v="0"/>
    <x v="8"/>
  </r>
  <r>
    <s v="WL49978"/>
    <d v="1899-12-30T15:18:51"/>
    <d v="1899-12-30T15:15:30"/>
    <d v="1899-12-30T00:03:21"/>
    <n v="3"/>
    <n v="21"/>
    <n v="3.35"/>
    <n v="201"/>
    <n v="89.552238805970148"/>
    <n v="0"/>
    <x v="19"/>
  </r>
  <r>
    <s v="SR84334"/>
    <d v="1899-12-30T12:37:18"/>
    <d v="1899-12-30T12:40:39"/>
    <d v="1899-12-30T00:03:21"/>
    <n v="3"/>
    <n v="21"/>
    <n v="3.35"/>
    <n v="201"/>
    <n v="89.552238805970148"/>
    <n v="0"/>
    <x v="3"/>
  </r>
  <r>
    <s v="NOE1810"/>
    <d v="1899-12-30T17:30:40"/>
    <d v="1899-12-30T17:27:18"/>
    <d v="1899-12-30T00:03:21"/>
    <n v="3"/>
    <n v="21"/>
    <n v="3.35"/>
    <n v="201"/>
    <n v="89.552238805970148"/>
    <n v="0"/>
    <x v="12"/>
  </r>
  <r>
    <s v="RPZ6117"/>
    <d v="1899-12-30T00:57:02"/>
    <d v="1899-12-30T00:53:40"/>
    <d v="1899-12-30T00:03:21"/>
    <n v="3"/>
    <n v="21"/>
    <n v="3.35"/>
    <n v="201"/>
    <n v="89.552238805970148"/>
    <n v="0"/>
    <x v="13"/>
  </r>
  <r>
    <s v="RZE7144"/>
    <d v="1899-12-30T01:54:09"/>
    <d v="1899-12-30T01:57:30"/>
    <d v="1899-12-30T00:03:21"/>
    <n v="3"/>
    <n v="21"/>
    <n v="3.35"/>
    <n v="201"/>
    <n v="89.552238805970148"/>
    <n v="0"/>
    <x v="16"/>
  </r>
  <r>
    <s v="KBR7936"/>
    <d v="1899-12-30T01:14:29"/>
    <d v="1899-12-30T01:17:50"/>
    <d v="1899-12-30T00:03:21"/>
    <n v="3"/>
    <n v="21"/>
    <n v="3.35"/>
    <n v="201"/>
    <n v="89.552238805970148"/>
    <n v="0"/>
    <x v="16"/>
  </r>
  <r>
    <s v="SR1985M"/>
    <d v="1899-12-30T11:40:12"/>
    <d v="1899-12-30T11:43:33"/>
    <d v="1899-12-30T00:03:21"/>
    <n v="3"/>
    <n v="21"/>
    <n v="3.35"/>
    <n v="201"/>
    <n v="89.552238805970148"/>
    <n v="0"/>
    <x v="10"/>
  </r>
  <r>
    <s v="NOE1814"/>
    <d v="1899-12-30T06:42:42"/>
    <d v="1899-12-30T06:46:04"/>
    <d v="1899-12-30T00:03:22"/>
    <n v="3"/>
    <n v="22"/>
    <n v="3.37"/>
    <n v="202"/>
    <n v="89.108910891089124"/>
    <n v="0"/>
    <x v="8"/>
  </r>
  <r>
    <s v="NOE1810"/>
    <d v="1899-12-30T06:46:51"/>
    <d v="1899-12-30T06:50:14"/>
    <d v="1899-12-30T00:03:23"/>
    <n v="3"/>
    <n v="23"/>
    <n v="3.38"/>
    <n v="203"/>
    <n v="88.66995073891627"/>
    <n v="0"/>
    <x v="8"/>
  </r>
  <r>
    <s v="DJE4167"/>
    <d v="1899-12-30T12:29:05"/>
    <d v="1899-12-30T12:32:28"/>
    <d v="1899-12-30T00:03:23"/>
    <n v="3"/>
    <n v="23"/>
    <n v="3.38"/>
    <n v="203"/>
    <n v="88.66995073891627"/>
    <n v="0"/>
    <x v="3"/>
  </r>
  <r>
    <s v="OP99731"/>
    <d v="1899-12-30T09:52:44"/>
    <d v="1899-12-30T09:49:21"/>
    <d v="1899-12-30T00:03:23"/>
    <n v="3"/>
    <n v="23"/>
    <n v="3.38"/>
    <n v="203"/>
    <n v="88.66995073891627"/>
    <n v="0"/>
    <x v="18"/>
  </r>
  <r>
    <s v="KWA6482"/>
    <d v="1899-12-30T00:38:45"/>
    <d v="1899-12-30T00:42:08"/>
    <d v="1899-12-30T00:03:23"/>
    <n v="3"/>
    <n v="23"/>
    <n v="3.38"/>
    <n v="203"/>
    <n v="88.66995073891627"/>
    <n v="0"/>
    <x v="13"/>
  </r>
  <r>
    <s v="NPI2072"/>
    <d v="1899-12-30T09:48:47"/>
    <d v="1899-12-30T09:45:24"/>
    <d v="1899-12-30T00:03:23"/>
    <n v="3"/>
    <n v="23"/>
    <n v="3.38"/>
    <n v="203"/>
    <n v="88.66995073891627"/>
    <n v="0"/>
    <x v="18"/>
  </r>
  <r>
    <s v="BSI3245"/>
    <d v="1899-12-30T22:09:11"/>
    <d v="1899-12-30T22:05:46"/>
    <d v="1899-12-30T00:03:24"/>
    <n v="3"/>
    <n v="24"/>
    <n v="3.4"/>
    <n v="204"/>
    <n v="88.235294117647072"/>
    <n v="0"/>
    <x v="9"/>
  </r>
  <r>
    <s v="NE78145"/>
    <d v="1899-12-30T17:33:29"/>
    <d v="1899-12-30T17:30:04"/>
    <d v="1899-12-30T00:03:25"/>
    <n v="3"/>
    <n v="25"/>
    <n v="3.42"/>
    <n v="205"/>
    <n v="87.804878048780495"/>
    <n v="0"/>
    <x v="12"/>
  </r>
  <r>
    <s v="DJE4167"/>
    <d v="1899-12-30T01:22:02"/>
    <d v="1899-12-30T01:18:37"/>
    <d v="1899-12-30T00:03:25"/>
    <n v="3"/>
    <n v="25"/>
    <n v="3.42"/>
    <n v="205"/>
    <n v="87.804878048780495"/>
    <n v="0"/>
    <x v="16"/>
  </r>
  <r>
    <s v="NOG3903"/>
    <d v="1899-12-30T02:44:42"/>
    <d v="1899-12-30T02:48:07"/>
    <d v="1899-12-30T00:03:25"/>
    <n v="3"/>
    <n v="25"/>
    <n v="3.42"/>
    <n v="205"/>
    <n v="87.804878048780495"/>
    <n v="0"/>
    <x v="20"/>
  </r>
  <r>
    <s v="CZN4614"/>
    <d v="1899-12-30T01:49:09"/>
    <d v="1899-12-30T01:52:34"/>
    <d v="1899-12-30T00:03:26"/>
    <n v="3"/>
    <n v="26"/>
    <n v="3.43"/>
    <n v="206"/>
    <n v="87.378640776699029"/>
    <n v="0"/>
    <x v="16"/>
  </r>
  <r>
    <s v="CSW4471"/>
    <d v="1899-12-30T13:55:51"/>
    <d v="1899-12-30T13:59:16"/>
    <d v="1899-12-30T00:03:26"/>
    <n v="3"/>
    <n v="26"/>
    <n v="3.43"/>
    <n v="206"/>
    <n v="87.378640776699029"/>
    <n v="0"/>
    <x v="0"/>
  </r>
  <r>
    <s v="ETM257F"/>
    <d v="1899-12-30T22:50:30"/>
    <d v="1899-12-30T22:47:05"/>
    <d v="1899-12-30T00:03:26"/>
    <n v="3"/>
    <n v="26"/>
    <n v="3.43"/>
    <n v="206"/>
    <n v="87.378640776699029"/>
    <n v="0"/>
    <x v="9"/>
  </r>
  <r>
    <s v="RZE7144"/>
    <d v="1899-12-30T13:33:03"/>
    <d v="1899-12-30T13:29:38"/>
    <d v="1899-12-30T00:03:26"/>
    <n v="3"/>
    <n v="26"/>
    <n v="3.43"/>
    <n v="206"/>
    <n v="87.378640776699029"/>
    <n v="0"/>
    <x v="0"/>
  </r>
  <r>
    <s v="BMN3894"/>
    <d v="1899-12-30T18:59:06"/>
    <d v="1899-12-30T18:55:40"/>
    <d v="1899-12-30T00:03:26"/>
    <n v="3"/>
    <n v="26"/>
    <n v="3.43"/>
    <n v="206"/>
    <n v="87.378640776699029"/>
    <n v="0"/>
    <x v="1"/>
  </r>
  <r>
    <s v="ST97059"/>
    <d v="1899-12-30T05:09:05"/>
    <d v="1899-12-30T05:12:31"/>
    <d v="1899-12-30T00:03:26"/>
    <n v="3"/>
    <n v="26"/>
    <n v="3.43"/>
    <n v="206"/>
    <n v="87.378640776699029"/>
    <n v="0"/>
    <x v="14"/>
  </r>
  <r>
    <s v="OB18936"/>
    <d v="1899-12-30T17:22:42"/>
    <d v="1899-12-30T17:26:09"/>
    <d v="1899-12-30T00:03:27"/>
    <n v="3"/>
    <n v="27"/>
    <n v="3.45"/>
    <n v="207"/>
    <n v="86.956521739130437"/>
    <n v="0"/>
    <x v="12"/>
  </r>
  <r>
    <s v="BL96936"/>
    <d v="1899-12-30T07:29:26"/>
    <d v="1899-12-30T07:32:53"/>
    <d v="1899-12-30T00:03:27"/>
    <n v="3"/>
    <n v="27"/>
    <n v="3.45"/>
    <n v="207"/>
    <n v="86.956521739130437"/>
    <n v="0"/>
    <x v="6"/>
  </r>
  <r>
    <s v="GTC745B"/>
    <d v="1899-12-30T19:25:45"/>
    <d v="1899-12-30T19:29:12"/>
    <d v="1899-12-30T00:03:27"/>
    <n v="3"/>
    <n v="27"/>
    <n v="3.45"/>
    <n v="207"/>
    <n v="86.956521739130437"/>
    <n v="0"/>
    <x v="23"/>
  </r>
  <r>
    <s v="CIN2517"/>
    <d v="1899-12-30T21:33:15"/>
    <d v="1899-12-30T21:36:43"/>
    <d v="1899-12-30T00:03:28"/>
    <n v="3"/>
    <n v="28"/>
    <n v="3.47"/>
    <n v="208"/>
    <n v="86.538461538461533"/>
    <n v="0"/>
    <x v="5"/>
  </r>
  <r>
    <s v="OPO5592"/>
    <d v="1899-12-30T14:54:18"/>
    <d v="1899-12-30T14:57:46"/>
    <d v="1899-12-30T00:03:28"/>
    <n v="3"/>
    <n v="28"/>
    <n v="3.47"/>
    <n v="208"/>
    <n v="86.538461538461533"/>
    <n v="0"/>
    <x v="21"/>
  </r>
  <r>
    <s v="WS87052"/>
    <d v="1899-12-30T20:28:20"/>
    <d v="1899-12-30T20:24:52"/>
    <d v="1899-12-30T00:03:28"/>
    <n v="3"/>
    <n v="28"/>
    <n v="3.47"/>
    <n v="208"/>
    <n v="86.538461538461533"/>
    <n v="0"/>
    <x v="15"/>
  </r>
  <r>
    <s v="NGO9410"/>
    <d v="1899-12-30T01:36:09"/>
    <d v="1899-12-30T01:39:37"/>
    <d v="1899-12-30T00:03:28"/>
    <n v="3"/>
    <n v="28"/>
    <n v="3.47"/>
    <n v="208"/>
    <n v="86.538461538461533"/>
    <n v="0"/>
    <x v="16"/>
  </r>
  <r>
    <s v="NOE1810"/>
    <d v="1899-12-30T22:56:15"/>
    <d v="1899-12-30T22:52:47"/>
    <d v="1899-12-30T00:03:28"/>
    <n v="3"/>
    <n v="28"/>
    <n v="3.47"/>
    <n v="208"/>
    <n v="86.538461538461533"/>
    <n v="0"/>
    <x v="9"/>
  </r>
  <r>
    <s v="NNI5982"/>
    <d v="1899-12-30T18:45:43"/>
    <d v="1899-12-30T18:49:12"/>
    <d v="1899-12-30T00:03:29"/>
    <n v="3"/>
    <n v="29"/>
    <n v="3.48"/>
    <n v="209"/>
    <n v="86.124401913875602"/>
    <n v="0"/>
    <x v="1"/>
  </r>
  <r>
    <s v="LZA7235"/>
    <d v="1899-12-30T23:04:48"/>
    <d v="1899-12-30T23:01:19"/>
    <d v="1899-12-30T00:03:29"/>
    <n v="3"/>
    <n v="29"/>
    <n v="3.48"/>
    <n v="209"/>
    <n v="86.124401913875602"/>
    <n v="0"/>
    <x v="22"/>
  </r>
  <r>
    <s v="CG47792"/>
    <d v="1899-12-30T14:10:49"/>
    <d v="1899-12-30T14:14:18"/>
    <d v="1899-12-30T00:03:29"/>
    <n v="3"/>
    <n v="29"/>
    <n v="3.48"/>
    <n v="209"/>
    <n v="86.124401913875602"/>
    <n v="0"/>
    <x v="21"/>
  </r>
  <r>
    <s v="RRS3699"/>
    <d v="1899-12-30T22:36:01"/>
    <d v="1899-12-30T22:39:32"/>
    <d v="1899-12-30T00:03:30"/>
    <n v="3"/>
    <n v="30"/>
    <n v="3.5"/>
    <n v="210"/>
    <n v="85.714285714285708"/>
    <n v="0"/>
    <x v="9"/>
  </r>
  <r>
    <s v="NO84797"/>
    <d v="1899-12-30T10:19:38"/>
    <d v="1899-12-30T10:23:08"/>
    <d v="1899-12-30T00:03:30"/>
    <n v="3"/>
    <n v="30"/>
    <n v="3.5"/>
    <n v="210"/>
    <n v="85.714285714285708"/>
    <n v="0"/>
    <x v="4"/>
  </r>
  <r>
    <s v="NSZ8448"/>
    <d v="1899-12-30T10:34:39"/>
    <d v="1899-12-30T10:31:09"/>
    <d v="1899-12-30T00:03:30"/>
    <n v="3"/>
    <n v="30"/>
    <n v="3.5"/>
    <n v="210"/>
    <n v="85.714285714285708"/>
    <n v="0"/>
    <x v="4"/>
  </r>
  <r>
    <s v="DST5125"/>
    <d v="1899-12-30T09:55:55"/>
    <d v="1899-12-30T09:59:25"/>
    <d v="1899-12-30T00:03:30"/>
    <n v="3"/>
    <n v="30"/>
    <n v="3.5"/>
    <n v="210"/>
    <n v="85.714285714285708"/>
    <n v="0"/>
    <x v="18"/>
  </r>
  <r>
    <s v="LU21178"/>
    <d v="1899-12-30T14:02:09"/>
    <d v="1899-12-30T14:05:39"/>
    <d v="1899-12-30T00:03:30"/>
    <n v="3"/>
    <n v="30"/>
    <n v="3.5"/>
    <n v="210"/>
    <n v="85.714285714285708"/>
    <n v="0"/>
    <x v="21"/>
  </r>
  <r>
    <s v="NGI7942"/>
    <d v="1899-12-30T03:02:17"/>
    <d v="1899-12-30T03:05:48"/>
    <d v="1899-12-30T00:03:31"/>
    <n v="3"/>
    <n v="31"/>
    <n v="3.52"/>
    <n v="211"/>
    <n v="85.308056872037923"/>
    <n v="0"/>
    <x v="11"/>
  </r>
  <r>
    <s v="NOG3903"/>
    <d v="1899-12-30T18:48:28"/>
    <d v="1899-12-30T18:51:59"/>
    <d v="1899-12-30T00:03:31"/>
    <n v="3"/>
    <n v="31"/>
    <n v="3.52"/>
    <n v="211"/>
    <n v="85.308056872037923"/>
    <n v="0"/>
    <x v="1"/>
  </r>
  <r>
    <s v="NWE1882"/>
    <d v="1899-12-30T02:10:42"/>
    <d v="1899-12-30T02:14:14"/>
    <d v="1899-12-30T00:03:31"/>
    <n v="3"/>
    <n v="31"/>
    <n v="3.52"/>
    <n v="211"/>
    <n v="85.308056872037923"/>
    <n v="0"/>
    <x v="20"/>
  </r>
  <r>
    <s v="NO84797"/>
    <d v="1899-12-30T05:53:00"/>
    <d v="1899-12-30T05:49:30"/>
    <d v="1899-12-30T00:03:31"/>
    <n v="3"/>
    <n v="31"/>
    <n v="3.52"/>
    <n v="211"/>
    <n v="85.308056872037923"/>
    <n v="0"/>
    <x v="14"/>
  </r>
  <r>
    <s v="FSU1902"/>
    <d v="1899-12-30T16:01:27"/>
    <d v="1899-12-30T16:04:58"/>
    <d v="1899-12-30T00:03:31"/>
    <n v="3"/>
    <n v="31"/>
    <n v="3.52"/>
    <n v="211"/>
    <n v="85.308056872037923"/>
    <n v="0"/>
    <x v="7"/>
  </r>
  <r>
    <s v="WPY7337"/>
    <d v="1899-12-30T21:34:21"/>
    <d v="1899-12-30T21:37:52"/>
    <d v="1899-12-30T00:03:32"/>
    <n v="3"/>
    <n v="32"/>
    <n v="3.53"/>
    <n v="212"/>
    <n v="84.905660377358487"/>
    <n v="0"/>
    <x v="5"/>
  </r>
  <r>
    <s v="WSC9512"/>
    <d v="1899-12-30T14:51:17"/>
    <d v="1899-12-30T14:47:45"/>
    <d v="1899-12-30T00:03:32"/>
    <n v="3"/>
    <n v="32"/>
    <n v="3.53"/>
    <n v="212"/>
    <n v="84.905660377358487"/>
    <n v="0"/>
    <x v="21"/>
  </r>
  <r>
    <s v="EWI961D"/>
    <d v="1899-12-30T01:53:13"/>
    <d v="1899-12-30T01:49:41"/>
    <d v="1899-12-30T00:03:32"/>
    <n v="3"/>
    <n v="32"/>
    <n v="3.53"/>
    <n v="212"/>
    <n v="84.905660377358487"/>
    <n v="0"/>
    <x v="16"/>
  </r>
  <r>
    <s v="NOL4507"/>
    <d v="1899-12-30T09:36:27"/>
    <d v="1899-12-30T09:39:58"/>
    <d v="1899-12-30T00:03:32"/>
    <n v="3"/>
    <n v="32"/>
    <n v="3.53"/>
    <n v="212"/>
    <n v="84.905660377358487"/>
    <n v="0"/>
    <x v="18"/>
  </r>
  <r>
    <s v="EBR2763"/>
    <d v="1899-12-30T10:41:14"/>
    <d v="1899-12-30T10:44:47"/>
    <d v="1899-12-30T00:03:33"/>
    <n v="3"/>
    <n v="33"/>
    <n v="3.55"/>
    <n v="213"/>
    <n v="84.507042253521121"/>
    <n v="0"/>
    <x v="4"/>
  </r>
  <r>
    <s v="NNM3913"/>
    <d v="1899-12-30T02:09:26"/>
    <d v="1899-12-30T02:12:59"/>
    <d v="1899-12-30T00:03:33"/>
    <n v="3"/>
    <n v="33"/>
    <n v="3.55"/>
    <n v="213"/>
    <n v="84.507042253521121"/>
    <n v="0"/>
    <x v="20"/>
  </r>
  <r>
    <s v="NOG3903"/>
    <d v="1899-12-30T17:51:43"/>
    <d v="1899-12-30T17:55:16"/>
    <d v="1899-12-30T00:03:33"/>
    <n v="3"/>
    <n v="33"/>
    <n v="3.55"/>
    <n v="213"/>
    <n v="84.507042253521121"/>
    <n v="0"/>
    <x v="12"/>
  </r>
  <r>
    <s v="WZ23965"/>
    <d v="1899-12-30T08:45:18"/>
    <d v="1899-12-30T08:48:51"/>
    <d v="1899-12-30T00:03:33"/>
    <n v="3"/>
    <n v="33"/>
    <n v="3.55"/>
    <n v="213"/>
    <n v="84.507042253521121"/>
    <n v="0"/>
    <x v="2"/>
  </r>
  <r>
    <s v="DL55328"/>
    <d v="1899-12-30T21:20:13"/>
    <d v="1899-12-30T21:16:41"/>
    <d v="1899-12-30T00:03:33"/>
    <n v="3"/>
    <n v="33"/>
    <n v="3.55"/>
    <n v="213"/>
    <n v="84.507042253521121"/>
    <n v="0"/>
    <x v="5"/>
  </r>
  <r>
    <s v="TSZ4162"/>
    <d v="1899-12-30T01:21:20"/>
    <d v="1899-12-30T01:24:53"/>
    <d v="1899-12-30T00:03:33"/>
    <n v="3"/>
    <n v="33"/>
    <n v="3.55"/>
    <n v="213"/>
    <n v="84.507042253521121"/>
    <n v="0"/>
    <x v="16"/>
  </r>
  <r>
    <s v="NOG3903"/>
    <d v="1899-12-30T17:36:28"/>
    <d v="1899-12-30T17:32:54"/>
    <d v="1899-12-30T00:03:34"/>
    <n v="3"/>
    <n v="34"/>
    <n v="3.57"/>
    <n v="214"/>
    <n v="84.112149532710276"/>
    <n v="0"/>
    <x v="12"/>
  </r>
  <r>
    <s v="WU2974D"/>
    <d v="1899-12-30T11:46:25"/>
    <d v="1899-12-30T11:49:59"/>
    <d v="1899-12-30T00:03:34"/>
    <n v="3"/>
    <n v="34"/>
    <n v="3.57"/>
    <n v="214"/>
    <n v="84.112149532710276"/>
    <n v="0"/>
    <x v="10"/>
  </r>
  <r>
    <s v="CT86442"/>
    <d v="1899-12-30T10:50:27"/>
    <d v="1899-12-30T10:54:00"/>
    <d v="1899-12-30T00:03:34"/>
    <n v="3"/>
    <n v="34"/>
    <n v="3.57"/>
    <n v="214"/>
    <n v="84.112149532710276"/>
    <n v="0"/>
    <x v="4"/>
  </r>
  <r>
    <s v="FGW6752"/>
    <d v="1899-12-30T02:05:56"/>
    <d v="1899-12-30T02:09:30"/>
    <d v="1899-12-30T00:03:34"/>
    <n v="3"/>
    <n v="34"/>
    <n v="3.57"/>
    <n v="214"/>
    <n v="84.112149532710276"/>
    <n v="0"/>
    <x v="20"/>
  </r>
  <r>
    <s v="BL96936"/>
    <d v="1899-12-30T18:49:47"/>
    <d v="1899-12-30T18:53:22"/>
    <d v="1899-12-30T00:03:35"/>
    <n v="3"/>
    <n v="35"/>
    <n v="3.58"/>
    <n v="215"/>
    <n v="83.720930232558146"/>
    <n v="0"/>
    <x v="1"/>
  </r>
  <r>
    <s v="FSU8901"/>
    <d v="1899-12-30T22:32:33"/>
    <d v="1899-12-30T22:36:07"/>
    <d v="1899-12-30T00:03:35"/>
    <n v="3"/>
    <n v="35"/>
    <n v="3.58"/>
    <n v="215"/>
    <n v="83.720930232558146"/>
    <n v="0"/>
    <x v="9"/>
  </r>
  <r>
    <s v="BSI3245"/>
    <d v="1899-12-30T14:11:32"/>
    <d v="1899-12-30T14:15:07"/>
    <d v="1899-12-30T00:03:36"/>
    <n v="3"/>
    <n v="36"/>
    <n v="3.6"/>
    <n v="216"/>
    <n v="83.333333333333343"/>
    <n v="0"/>
    <x v="21"/>
  </r>
  <r>
    <s v="FZG8877"/>
    <d v="1899-12-30T13:32:36"/>
    <d v="1899-12-30T13:29:00"/>
    <d v="1899-12-30T00:03:36"/>
    <n v="3"/>
    <n v="36"/>
    <n v="3.6"/>
    <n v="216"/>
    <n v="83.333333333333343"/>
    <n v="0"/>
    <x v="0"/>
  </r>
  <r>
    <s v="DL33730"/>
    <d v="1899-12-30T03:07:15"/>
    <d v="1899-12-30T03:10:50"/>
    <d v="1899-12-30T00:03:36"/>
    <n v="3"/>
    <n v="36"/>
    <n v="3.6"/>
    <n v="216"/>
    <n v="83.333333333333343"/>
    <n v="0"/>
    <x v="11"/>
  </r>
  <r>
    <s v="NOG3903"/>
    <d v="1899-12-30T04:47:10"/>
    <d v="1899-12-30T04:50:46"/>
    <d v="1899-12-30T00:03:36"/>
    <n v="3"/>
    <n v="36"/>
    <n v="3.6"/>
    <n v="216"/>
    <n v="83.333333333333343"/>
    <n v="0"/>
    <x v="17"/>
  </r>
  <r>
    <s v="ETM257F"/>
    <d v="1899-12-30T19:54:22"/>
    <d v="1899-12-30T19:50:45"/>
    <d v="1899-12-30T00:03:36"/>
    <n v="3"/>
    <n v="36"/>
    <n v="3.6"/>
    <n v="216"/>
    <n v="83.333333333333343"/>
    <n v="0"/>
    <x v="23"/>
  </r>
  <r>
    <s v="BS62755"/>
    <d v="1899-12-30T20:12:21"/>
    <d v="1899-12-30T20:15:58"/>
    <d v="1899-12-30T00:03:36"/>
    <n v="3"/>
    <n v="36"/>
    <n v="3.6"/>
    <n v="216"/>
    <n v="83.333333333333343"/>
    <n v="0"/>
    <x v="15"/>
  </r>
  <r>
    <s v="NO84797"/>
    <d v="1899-12-30T13:50:11"/>
    <d v="1899-12-30T13:46:34"/>
    <d v="1899-12-30T00:03:37"/>
    <n v="3"/>
    <n v="37"/>
    <n v="3.62"/>
    <n v="217"/>
    <n v="82.94930875576037"/>
    <n v="0"/>
    <x v="0"/>
  </r>
  <r>
    <s v="NGI7942"/>
    <d v="1899-12-30T10:55:44"/>
    <d v="1899-12-30T10:59:21"/>
    <d v="1899-12-30T00:03:37"/>
    <n v="3"/>
    <n v="37"/>
    <n v="3.62"/>
    <n v="217"/>
    <n v="82.94930875576037"/>
    <n v="0"/>
    <x v="4"/>
  </r>
  <r>
    <s v="EZG1393"/>
    <d v="1899-12-30T14:53:37"/>
    <d v="1899-12-30T14:57:14"/>
    <d v="1899-12-30T00:03:37"/>
    <n v="3"/>
    <n v="37"/>
    <n v="3.62"/>
    <n v="217"/>
    <n v="82.94930875576037"/>
    <n v="0"/>
    <x v="21"/>
  </r>
  <r>
    <s v="NO84797"/>
    <d v="1899-12-30T03:24:57"/>
    <d v="1899-12-30T03:28:35"/>
    <d v="1899-12-30T00:03:38"/>
    <n v="3"/>
    <n v="38"/>
    <n v="3.63"/>
    <n v="218"/>
    <n v="82.568807339449535"/>
    <n v="0"/>
    <x v="11"/>
  </r>
  <r>
    <s v="SB16521"/>
    <d v="1899-12-30T13:15:54"/>
    <d v="1899-12-30T13:19:32"/>
    <d v="1899-12-30T00:03:38"/>
    <n v="3"/>
    <n v="38"/>
    <n v="3.63"/>
    <n v="218"/>
    <n v="82.568807339449535"/>
    <n v="0"/>
    <x v="0"/>
  </r>
  <r>
    <s v="NMR7567"/>
    <d v="1899-12-30T03:19:37"/>
    <d v="1899-12-30T03:23:15"/>
    <d v="1899-12-30T00:03:38"/>
    <n v="3"/>
    <n v="38"/>
    <n v="3.63"/>
    <n v="218"/>
    <n v="82.568807339449535"/>
    <n v="0"/>
    <x v="11"/>
  </r>
  <r>
    <s v="BSU7002"/>
    <d v="1899-12-30T04:32:05"/>
    <d v="1899-12-30T04:28:27"/>
    <d v="1899-12-30T00:03:38"/>
    <n v="3"/>
    <n v="38"/>
    <n v="3.63"/>
    <n v="218"/>
    <n v="82.568807339449535"/>
    <n v="0"/>
    <x v="17"/>
  </r>
  <r>
    <s v="GDA2515"/>
    <d v="1899-12-30T02:11:40"/>
    <d v="1899-12-30T02:15:18"/>
    <d v="1899-12-30T00:03:38"/>
    <n v="3"/>
    <n v="38"/>
    <n v="3.63"/>
    <n v="218"/>
    <n v="82.568807339449535"/>
    <n v="0"/>
    <x v="20"/>
  </r>
  <r>
    <s v="CBR5883"/>
    <d v="1899-12-30T02:55:47"/>
    <d v="1899-12-30T02:59:26"/>
    <d v="1899-12-30T00:03:38"/>
    <n v="3"/>
    <n v="38"/>
    <n v="3.63"/>
    <n v="218"/>
    <n v="82.568807339449535"/>
    <n v="0"/>
    <x v="20"/>
  </r>
  <r>
    <s v="POB6651"/>
    <d v="1899-12-30T14:08:35"/>
    <d v="1899-12-30T14:12:12"/>
    <d v="1899-12-30T00:03:38"/>
    <n v="3"/>
    <n v="38"/>
    <n v="3.63"/>
    <n v="218"/>
    <n v="82.568807339449535"/>
    <n v="0"/>
    <x v="21"/>
  </r>
  <r>
    <s v="BMN5915"/>
    <d v="1899-12-30T08:33:54"/>
    <d v="1899-12-30T08:37:32"/>
    <d v="1899-12-30T00:03:38"/>
    <n v="3"/>
    <n v="38"/>
    <n v="3.63"/>
    <n v="218"/>
    <n v="82.568807339449535"/>
    <n v="0"/>
    <x v="2"/>
  </r>
  <r>
    <s v="DB67589"/>
    <d v="1899-12-30T00:44:55"/>
    <d v="1899-12-30T00:41:16"/>
    <d v="1899-12-30T00:03:38"/>
    <n v="3"/>
    <n v="38"/>
    <n v="3.63"/>
    <n v="218"/>
    <n v="82.568807339449535"/>
    <n v="0"/>
    <x v="13"/>
  </r>
  <r>
    <s v="GDA138R"/>
    <d v="1899-12-30T21:40:21"/>
    <d v="1899-12-30T21:43:59"/>
    <d v="1899-12-30T00:03:38"/>
    <n v="3"/>
    <n v="38"/>
    <n v="3.63"/>
    <n v="218"/>
    <n v="82.568807339449535"/>
    <n v="0"/>
    <x v="5"/>
  </r>
  <r>
    <s v="LB42424"/>
    <d v="1899-12-30T21:54:54"/>
    <d v="1899-12-30T21:51:16"/>
    <d v="1899-12-30T00:03:38"/>
    <n v="3"/>
    <n v="38"/>
    <n v="3.63"/>
    <n v="218"/>
    <n v="82.568807339449535"/>
    <n v="0"/>
    <x v="5"/>
  </r>
  <r>
    <s v="NSZ8448"/>
    <d v="1899-12-30T10:32:38"/>
    <d v="1899-12-30T10:28:59"/>
    <d v="1899-12-30T00:03:39"/>
    <n v="3"/>
    <n v="39"/>
    <n v="3.65"/>
    <n v="219"/>
    <n v="82.191780821917817"/>
    <n v="0"/>
    <x v="4"/>
  </r>
  <r>
    <s v="EPD1467"/>
    <d v="1899-12-30T11:51:24"/>
    <d v="1899-12-30T11:55:03"/>
    <d v="1899-12-30T00:03:40"/>
    <n v="3"/>
    <n v="40"/>
    <n v="3.67"/>
    <n v="220"/>
    <n v="81.818181818181813"/>
    <n v="0"/>
    <x v="10"/>
  </r>
  <r>
    <s v="NEB9600"/>
    <d v="1899-12-30T18:46:40"/>
    <d v="1899-12-30T18:50:20"/>
    <d v="1899-12-30T00:03:40"/>
    <n v="3"/>
    <n v="40"/>
    <n v="3.67"/>
    <n v="220"/>
    <n v="81.818181818181813"/>
    <n v="0"/>
    <x v="1"/>
  </r>
  <r>
    <s v="NKE9304"/>
    <d v="1899-12-30T20:11:34"/>
    <d v="1899-12-30T20:07:54"/>
    <d v="1899-12-30T00:03:40"/>
    <n v="3"/>
    <n v="40"/>
    <n v="3.67"/>
    <n v="220"/>
    <n v="81.818181818181813"/>
    <n v="0"/>
    <x v="15"/>
  </r>
  <r>
    <s v="BSE248P"/>
    <d v="1899-12-30T16:48:49"/>
    <d v="1899-12-30T16:52:30"/>
    <d v="1899-12-30T00:03:40"/>
    <n v="3"/>
    <n v="40"/>
    <n v="3.67"/>
    <n v="220"/>
    <n v="81.818181818181813"/>
    <n v="0"/>
    <x v="7"/>
  </r>
  <r>
    <s v="GBY2123"/>
    <d v="1899-12-30T16:38:37"/>
    <d v="1899-12-30T16:34:57"/>
    <d v="1899-12-30T00:03:40"/>
    <n v="3"/>
    <n v="40"/>
    <n v="3.67"/>
    <n v="220"/>
    <n v="81.818181818181813"/>
    <n v="0"/>
    <x v="7"/>
  </r>
  <r>
    <s v="CWA131O"/>
    <d v="1899-12-30T15:44:31"/>
    <d v="1899-12-30T15:40:50"/>
    <d v="1899-12-30T00:03:40"/>
    <n v="3"/>
    <n v="40"/>
    <n v="3.67"/>
    <n v="220"/>
    <n v="81.818181818181813"/>
    <n v="0"/>
    <x v="19"/>
  </r>
  <r>
    <s v="DPL8260"/>
    <d v="1899-12-30T18:02:37"/>
    <d v="1899-12-30T17:58:56"/>
    <d v="1899-12-30T00:03:41"/>
    <n v="3"/>
    <n v="41"/>
    <n v="3.68"/>
    <n v="221"/>
    <n v="81.447963800904972"/>
    <n v="0"/>
    <x v="1"/>
  </r>
  <r>
    <s v="NOL4507"/>
    <d v="1899-12-30T07:04:11"/>
    <d v="1899-12-30T07:00:30"/>
    <d v="1899-12-30T00:03:41"/>
    <n v="3"/>
    <n v="41"/>
    <n v="3.68"/>
    <n v="221"/>
    <n v="81.447963800904972"/>
    <n v="0"/>
    <x v="6"/>
  </r>
  <r>
    <s v="NNI5982"/>
    <d v="1899-12-30T04:28:15"/>
    <d v="1899-12-30T04:24:33"/>
    <d v="1899-12-30T00:03:42"/>
    <n v="3"/>
    <n v="42"/>
    <n v="3.7"/>
    <n v="222"/>
    <n v="81.081081081081095"/>
    <n v="0"/>
    <x v="17"/>
  </r>
  <r>
    <s v="WI3373K"/>
    <d v="1899-12-30T01:16:45"/>
    <d v="1899-12-30T01:13:03"/>
    <d v="1899-12-30T00:03:42"/>
    <n v="3"/>
    <n v="42"/>
    <n v="3.7"/>
    <n v="222"/>
    <n v="81.081081081081095"/>
    <n v="0"/>
    <x v="16"/>
  </r>
  <r>
    <s v="WSI3602"/>
    <d v="1899-12-30T17:21:46"/>
    <d v="1899-12-30T17:18:03"/>
    <d v="1899-12-30T00:03:43"/>
    <n v="3"/>
    <n v="43"/>
    <n v="3.72"/>
    <n v="223"/>
    <n v="80.717488789237677"/>
    <n v="0"/>
    <x v="12"/>
  </r>
  <r>
    <s v="BSU7002"/>
    <d v="1899-12-30T04:57:02"/>
    <d v="1899-12-30T04:53:20"/>
    <d v="1899-12-30T00:03:43"/>
    <n v="3"/>
    <n v="43"/>
    <n v="3.72"/>
    <n v="223"/>
    <n v="80.717488789237677"/>
    <n v="0"/>
    <x v="17"/>
  </r>
  <r>
    <s v="NGI7942"/>
    <d v="1899-12-30T03:42:09"/>
    <d v="1899-12-30T03:38:27"/>
    <d v="1899-12-30T00:03:43"/>
    <n v="3"/>
    <n v="43"/>
    <n v="3.72"/>
    <n v="223"/>
    <n v="80.717488789237677"/>
    <n v="0"/>
    <x v="11"/>
  </r>
  <r>
    <s v="NBR9068"/>
    <d v="1899-12-30T08:14:35"/>
    <d v="1899-12-30T08:18:18"/>
    <d v="1899-12-30T00:03:43"/>
    <n v="3"/>
    <n v="43"/>
    <n v="3.72"/>
    <n v="223"/>
    <n v="80.717488789237677"/>
    <n v="0"/>
    <x v="2"/>
  </r>
  <r>
    <s v="KWI9918"/>
    <d v="1899-12-30T00:37:00"/>
    <d v="1899-12-30T00:33:17"/>
    <d v="1899-12-30T00:03:43"/>
    <n v="3"/>
    <n v="43"/>
    <n v="3.72"/>
    <n v="223"/>
    <n v="80.717488789237677"/>
    <n v="0"/>
    <x v="13"/>
  </r>
  <r>
    <s v="GBY2123"/>
    <d v="1899-12-30T14:43:40"/>
    <d v="1899-12-30T14:39:56"/>
    <d v="1899-12-30T00:03:44"/>
    <n v="3"/>
    <n v="44"/>
    <n v="3.73"/>
    <n v="224"/>
    <n v="80.357142857142861"/>
    <n v="0"/>
    <x v="21"/>
  </r>
  <r>
    <s v="WW20137"/>
    <d v="1899-12-30T17:56:21"/>
    <d v="1899-12-30T17:52:37"/>
    <d v="1899-12-30T00:03:44"/>
    <n v="3"/>
    <n v="44"/>
    <n v="3.73"/>
    <n v="224"/>
    <n v="80.357142857142861"/>
    <n v="0"/>
    <x v="12"/>
  </r>
  <r>
    <s v="BS62755"/>
    <d v="1899-12-30T22:11:30"/>
    <d v="1899-12-30T22:15:14"/>
    <d v="1899-12-30T00:03:44"/>
    <n v="3"/>
    <n v="44"/>
    <n v="3.73"/>
    <n v="224"/>
    <n v="80.357142857142861"/>
    <n v="0"/>
    <x v="9"/>
  </r>
  <r>
    <s v="NO84797"/>
    <d v="1899-12-30T17:27:47"/>
    <d v="1899-12-30T17:31:31"/>
    <d v="1899-12-30T00:03:44"/>
    <n v="3"/>
    <n v="44"/>
    <n v="3.73"/>
    <n v="224"/>
    <n v="80.357142857142861"/>
    <n v="0"/>
    <x v="12"/>
  </r>
  <r>
    <s v="WU95639"/>
    <d v="1899-12-30T00:27:50"/>
    <d v="1899-12-30T00:24:06"/>
    <d v="1899-12-30T00:03:45"/>
    <n v="3"/>
    <n v="45"/>
    <n v="3.75"/>
    <n v="225"/>
    <n v="80"/>
    <n v="0"/>
    <x v="13"/>
  </r>
  <r>
    <s v="NIL3535"/>
    <d v="1899-12-30T23:19:06"/>
    <d v="1899-12-30T23:15:22"/>
    <d v="1899-12-30T00:03:45"/>
    <n v="3"/>
    <n v="45"/>
    <n v="3.75"/>
    <n v="225"/>
    <n v="80"/>
    <n v="0"/>
    <x v="22"/>
  </r>
  <r>
    <s v="ELE4598"/>
    <d v="1899-12-30T20:04:33"/>
    <d v="1899-12-30T20:08:18"/>
    <d v="1899-12-30T00:03:45"/>
    <n v="3"/>
    <n v="45"/>
    <n v="3.75"/>
    <n v="225"/>
    <n v="80"/>
    <n v="0"/>
    <x v="15"/>
  </r>
  <r>
    <s v="WK95525"/>
    <d v="1899-12-30T11:46:29"/>
    <d v="1899-12-30T11:42:44"/>
    <d v="1899-12-30T00:03:45"/>
    <n v="3"/>
    <n v="45"/>
    <n v="3.75"/>
    <n v="225"/>
    <n v="80"/>
    <n v="0"/>
    <x v="10"/>
  </r>
  <r>
    <s v="NSZ8448"/>
    <d v="1899-12-30T09:43:30"/>
    <d v="1899-12-30T09:39:45"/>
    <d v="1899-12-30T00:03:45"/>
    <n v="3"/>
    <n v="45"/>
    <n v="3.75"/>
    <n v="225"/>
    <n v="80"/>
    <n v="0"/>
    <x v="18"/>
  </r>
  <r>
    <s v="KWI7049"/>
    <d v="1899-12-30T15:55:46"/>
    <d v="1899-12-30T15:52:00"/>
    <d v="1899-12-30T00:03:46"/>
    <n v="3"/>
    <n v="46"/>
    <n v="3.77"/>
    <n v="226"/>
    <n v="79.646017699115049"/>
    <n v="0"/>
    <x v="19"/>
  </r>
  <r>
    <s v="WW85062"/>
    <d v="1899-12-30T05:29:05"/>
    <d v="1899-12-30T05:32:51"/>
    <d v="1899-12-30T00:03:46"/>
    <n v="3"/>
    <n v="46"/>
    <n v="3.77"/>
    <n v="226"/>
    <n v="79.646017699115049"/>
    <n v="0"/>
    <x v="14"/>
  </r>
  <r>
    <s v="FSW5992"/>
    <d v="1899-12-30T05:48:14"/>
    <d v="1899-12-30T05:44:28"/>
    <d v="1899-12-30T00:03:46"/>
    <n v="3"/>
    <n v="46"/>
    <n v="3.77"/>
    <n v="226"/>
    <n v="79.646017699115049"/>
    <n v="0"/>
    <x v="14"/>
  </r>
  <r>
    <s v="CGD9990"/>
    <d v="1899-12-30T03:29:48"/>
    <d v="1899-12-30T03:26:02"/>
    <d v="1899-12-30T00:03:46"/>
    <n v="3"/>
    <n v="46"/>
    <n v="3.77"/>
    <n v="226"/>
    <n v="79.646017699115049"/>
    <n v="0"/>
    <x v="11"/>
  </r>
  <r>
    <s v="CWL2921"/>
    <d v="1899-12-30T15:24:56"/>
    <d v="1899-12-30T15:28:43"/>
    <d v="1899-12-30T00:03:46"/>
    <n v="3"/>
    <n v="46"/>
    <n v="3.77"/>
    <n v="226"/>
    <n v="79.646017699115049"/>
    <n v="0"/>
    <x v="19"/>
  </r>
  <r>
    <s v="DZL4203"/>
    <d v="1899-12-30T17:54:04"/>
    <d v="1899-12-30T17:57:50"/>
    <d v="1899-12-30T00:03:46"/>
    <n v="3"/>
    <n v="46"/>
    <n v="3.77"/>
    <n v="226"/>
    <n v="79.646017699115049"/>
    <n v="0"/>
    <x v="12"/>
  </r>
  <r>
    <s v="WX21908"/>
    <d v="1899-12-30T23:10:54"/>
    <d v="1899-12-30T23:07:07"/>
    <d v="1899-12-30T00:03:47"/>
    <n v="3"/>
    <n v="47"/>
    <n v="3.78"/>
    <n v="227"/>
    <n v="79.295154185022028"/>
    <n v="0"/>
    <x v="22"/>
  </r>
  <r>
    <s v="ZBI683A"/>
    <d v="1899-12-30T07:17:38"/>
    <d v="1899-12-30T07:13:51"/>
    <d v="1899-12-30T00:03:47"/>
    <n v="3"/>
    <n v="47"/>
    <n v="3.78"/>
    <n v="227"/>
    <n v="79.295154185022028"/>
    <n v="0"/>
    <x v="6"/>
  </r>
  <r>
    <s v="LU35521"/>
    <d v="1899-12-30T06:07:32"/>
    <d v="1899-12-30T06:11:19"/>
    <d v="1899-12-30T00:03:47"/>
    <n v="3"/>
    <n v="47"/>
    <n v="3.78"/>
    <n v="227"/>
    <n v="79.295154185022028"/>
    <n v="0"/>
    <x v="8"/>
  </r>
  <r>
    <s v="GCZ2096"/>
    <d v="1899-12-30T12:43:50"/>
    <d v="1899-12-30T12:47:37"/>
    <d v="1899-12-30T00:03:47"/>
    <n v="3"/>
    <n v="47"/>
    <n v="3.78"/>
    <n v="227"/>
    <n v="79.295154185022028"/>
    <n v="0"/>
    <x v="3"/>
  </r>
  <r>
    <s v="GCH864N"/>
    <d v="1899-12-30T19:32:40"/>
    <d v="1899-12-30T19:28:52"/>
    <d v="1899-12-30T00:03:48"/>
    <n v="3"/>
    <n v="48"/>
    <n v="3.8"/>
    <n v="228"/>
    <n v="78.94736842105263"/>
    <n v="0"/>
    <x v="23"/>
  </r>
  <r>
    <s v="NGO9410"/>
    <d v="1899-12-30T16:09:19"/>
    <d v="1899-12-30T16:13:07"/>
    <d v="1899-12-30T00:03:48"/>
    <n v="3"/>
    <n v="48"/>
    <n v="3.8"/>
    <n v="228"/>
    <n v="78.94736842105263"/>
    <n v="0"/>
    <x v="7"/>
  </r>
  <r>
    <s v="CTU1210"/>
    <d v="1899-12-30T10:43:03"/>
    <d v="1899-12-30T10:46:52"/>
    <d v="1899-12-30T00:03:49"/>
    <n v="3"/>
    <n v="49"/>
    <n v="3.82"/>
    <n v="229"/>
    <n v="78.602620087336248"/>
    <n v="0"/>
    <x v="4"/>
  </r>
  <r>
    <s v="WO182CT"/>
    <d v="1899-12-30T14:32:08"/>
    <d v="1899-12-30T14:35:57"/>
    <d v="1899-12-30T00:03:49"/>
    <n v="3"/>
    <n v="49"/>
    <n v="3.82"/>
    <n v="229"/>
    <n v="78.602620087336248"/>
    <n v="0"/>
    <x v="21"/>
  </r>
  <r>
    <s v="NKE9304"/>
    <d v="1899-12-30T17:49:07"/>
    <d v="1899-12-30T17:45:18"/>
    <d v="1899-12-30T00:03:49"/>
    <n v="3"/>
    <n v="49"/>
    <n v="3.82"/>
    <n v="229"/>
    <n v="78.602620087336248"/>
    <n v="0"/>
    <x v="12"/>
  </r>
  <r>
    <s v="NMR7567"/>
    <d v="1899-12-30T08:00:38"/>
    <d v="1899-12-30T07:56:48"/>
    <d v="1899-12-30T00:03:49"/>
    <n v="3"/>
    <n v="49"/>
    <n v="3.82"/>
    <n v="229"/>
    <n v="78.602620087336248"/>
    <n v="0"/>
    <x v="2"/>
  </r>
  <r>
    <s v="WY27675"/>
    <d v="1899-12-30T03:31:29"/>
    <d v="1899-12-30T03:35:18"/>
    <d v="1899-12-30T00:03:49"/>
    <n v="3"/>
    <n v="49"/>
    <n v="3.82"/>
    <n v="229"/>
    <n v="78.602620087336248"/>
    <n v="0"/>
    <x v="11"/>
  </r>
  <r>
    <s v="NNI5982"/>
    <d v="1899-12-30T19:04:05"/>
    <d v="1899-12-30T19:00:15"/>
    <d v="1899-12-30T00:03:50"/>
    <n v="3"/>
    <n v="50"/>
    <n v="3.83"/>
    <n v="230"/>
    <n v="78.260869565217391"/>
    <n v="0"/>
    <x v="23"/>
  </r>
  <r>
    <s v="DJE4167"/>
    <d v="1899-12-30T15:58:57"/>
    <d v="1899-12-30T15:55:06"/>
    <d v="1899-12-30T00:03:51"/>
    <n v="3"/>
    <n v="51"/>
    <n v="3.85"/>
    <n v="231"/>
    <n v="77.922077922077918"/>
    <n v="0"/>
    <x v="19"/>
  </r>
  <r>
    <s v="OPO5592"/>
    <d v="1899-12-30T23:01:30"/>
    <d v="1899-12-30T22:57:39"/>
    <d v="1899-12-30T00:03:51"/>
    <n v="3"/>
    <n v="51"/>
    <n v="3.85"/>
    <n v="231"/>
    <n v="77.922077922077918"/>
    <n v="0"/>
    <x v="22"/>
  </r>
  <r>
    <s v="TSK8689"/>
    <d v="1899-12-30T20:04:08"/>
    <d v="1899-12-30T20:07:59"/>
    <d v="1899-12-30T00:03:51"/>
    <n v="3"/>
    <n v="51"/>
    <n v="3.85"/>
    <n v="231"/>
    <n v="77.922077922077918"/>
    <n v="0"/>
    <x v="15"/>
  </r>
  <r>
    <s v="TSA2570"/>
    <d v="1899-12-30T00:29:29"/>
    <d v="1899-12-30T00:25:38"/>
    <d v="1899-12-30T00:03:51"/>
    <n v="3"/>
    <n v="51"/>
    <n v="3.85"/>
    <n v="231"/>
    <n v="77.922077922077918"/>
    <n v="0"/>
    <x v="13"/>
  </r>
  <r>
    <s v="NEB9600"/>
    <d v="1899-12-30T04:04:54"/>
    <d v="1899-12-30T04:01:03"/>
    <d v="1899-12-30T00:03:51"/>
    <n v="3"/>
    <n v="51"/>
    <n v="3.85"/>
    <n v="231"/>
    <n v="77.922077922077918"/>
    <n v="0"/>
    <x v="17"/>
  </r>
  <r>
    <s v="NMR7567"/>
    <d v="1899-12-30T22:55:00"/>
    <d v="1899-12-30T22:51:09"/>
    <d v="1899-12-30T00:03:51"/>
    <n v="3"/>
    <n v="51"/>
    <n v="3.85"/>
    <n v="231"/>
    <n v="77.922077922077918"/>
    <n v="0"/>
    <x v="9"/>
  </r>
  <r>
    <s v="DST4194"/>
    <d v="1899-12-30T05:13:54"/>
    <d v="1899-12-30T05:10:04"/>
    <d v="1899-12-30T00:03:51"/>
    <n v="3"/>
    <n v="51"/>
    <n v="3.85"/>
    <n v="231"/>
    <n v="77.922077922077918"/>
    <n v="0"/>
    <x v="14"/>
  </r>
  <r>
    <s v="GTC7381"/>
    <d v="1899-12-30T06:40:09"/>
    <d v="1899-12-30T06:44:00"/>
    <d v="1899-12-30T00:03:51"/>
    <n v="3"/>
    <n v="51"/>
    <n v="3.85"/>
    <n v="231"/>
    <n v="77.922077922077918"/>
    <n v="0"/>
    <x v="8"/>
  </r>
  <r>
    <s v="NGO9410"/>
    <d v="1899-12-30T19:17:58"/>
    <d v="1899-12-30T19:21:50"/>
    <d v="1899-12-30T00:03:52"/>
    <n v="3"/>
    <n v="52"/>
    <n v="3.87"/>
    <n v="232"/>
    <n v="77.58620689655173"/>
    <n v="0"/>
    <x v="23"/>
  </r>
  <r>
    <s v="NDZ6132"/>
    <d v="1899-12-30T23:59:11"/>
    <d v="1899-12-30T23:55:20"/>
    <d v="1899-12-30T00:03:52"/>
    <n v="3"/>
    <n v="52"/>
    <n v="3.87"/>
    <n v="232"/>
    <n v="77.58620689655173"/>
    <n v="0"/>
    <x v="22"/>
  </r>
  <r>
    <s v="NMR7567"/>
    <d v="1899-12-30T19:23:29"/>
    <d v="1899-12-30T19:19:37"/>
    <d v="1899-12-30T00:03:52"/>
    <n v="3"/>
    <n v="52"/>
    <n v="3.87"/>
    <n v="232"/>
    <n v="77.58620689655173"/>
    <n v="0"/>
    <x v="23"/>
  </r>
  <r>
    <s v="CAL4310"/>
    <d v="1899-12-30T04:31:17"/>
    <d v="1899-12-30T04:35:09"/>
    <d v="1899-12-30T00:03:52"/>
    <n v="3"/>
    <n v="52"/>
    <n v="3.87"/>
    <n v="232"/>
    <n v="77.58620689655173"/>
    <n v="0"/>
    <x v="17"/>
  </r>
  <r>
    <s v="RZE7144"/>
    <d v="1899-12-30T07:44:06"/>
    <d v="1899-12-30T07:40:14"/>
    <d v="1899-12-30T00:03:52"/>
    <n v="3"/>
    <n v="52"/>
    <n v="3.87"/>
    <n v="232"/>
    <n v="77.58620689655173"/>
    <n v="0"/>
    <x v="6"/>
  </r>
  <r>
    <s v="RPZ5906"/>
    <d v="1899-12-30T18:44:30"/>
    <d v="1899-12-30T18:40:38"/>
    <d v="1899-12-30T00:03:52"/>
    <n v="3"/>
    <n v="52"/>
    <n v="3.87"/>
    <n v="232"/>
    <n v="77.58620689655173"/>
    <n v="0"/>
    <x v="1"/>
  </r>
  <r>
    <s v="EZD788M"/>
    <d v="1899-12-30T02:14:06"/>
    <d v="1899-12-30T02:10:13"/>
    <d v="1899-12-30T00:03:53"/>
    <n v="3"/>
    <n v="53"/>
    <n v="3.88"/>
    <n v="233"/>
    <n v="77.253218884120173"/>
    <n v="0"/>
    <x v="20"/>
  </r>
  <r>
    <s v="WSI3602"/>
    <d v="1899-12-30T03:24:25"/>
    <d v="1899-12-30T03:20:32"/>
    <d v="1899-12-30T00:03:53"/>
    <n v="3"/>
    <n v="53"/>
    <n v="3.88"/>
    <n v="233"/>
    <n v="77.253218884120173"/>
    <n v="0"/>
    <x v="11"/>
  </r>
  <r>
    <s v="WW52111"/>
    <d v="1899-12-30T02:27:28"/>
    <d v="1899-12-30T02:23:35"/>
    <d v="1899-12-30T00:03:53"/>
    <n v="3"/>
    <n v="53"/>
    <n v="3.88"/>
    <n v="233"/>
    <n v="77.253218884120173"/>
    <n v="0"/>
    <x v="20"/>
  </r>
  <r>
    <s v="RPZ6117"/>
    <d v="1899-12-30T12:56:45"/>
    <d v="1899-12-30T12:52:52"/>
    <d v="1899-12-30T00:03:54"/>
    <n v="3"/>
    <n v="54"/>
    <n v="3.9"/>
    <n v="234"/>
    <n v="76.92307692307692"/>
    <n v="0"/>
    <x v="3"/>
  </r>
  <r>
    <s v="RRS3699"/>
    <d v="1899-12-30T10:38:39"/>
    <d v="1899-12-30T10:42:34"/>
    <d v="1899-12-30T00:03:54"/>
    <n v="3"/>
    <n v="54"/>
    <n v="3.9"/>
    <n v="234"/>
    <n v="76.92307692307692"/>
    <n v="0"/>
    <x v="4"/>
  </r>
  <r>
    <s v="NE78145"/>
    <d v="1899-12-30T05:55:55"/>
    <d v="1899-12-30T05:52:01"/>
    <d v="1899-12-30T00:03:54"/>
    <n v="3"/>
    <n v="54"/>
    <n v="3.9"/>
    <n v="234"/>
    <n v="76.92307692307692"/>
    <n v="0"/>
    <x v="14"/>
  </r>
  <r>
    <s v="NBR3345"/>
    <d v="1899-12-30T19:42:01"/>
    <d v="1899-12-30T19:38:08"/>
    <d v="1899-12-30T00:03:54"/>
    <n v="3"/>
    <n v="54"/>
    <n v="3.9"/>
    <n v="234"/>
    <n v="76.92307692307692"/>
    <n v="0"/>
    <x v="23"/>
  </r>
  <r>
    <s v="NBA102S"/>
    <d v="1899-12-30T12:34:20"/>
    <d v="1899-12-30T12:38:14"/>
    <d v="1899-12-30T00:03:54"/>
    <n v="3"/>
    <n v="54"/>
    <n v="3.9"/>
    <n v="234"/>
    <n v="76.92307692307692"/>
    <n v="0"/>
    <x v="3"/>
  </r>
  <r>
    <s v="NEL2373"/>
    <d v="1899-12-30T12:58:07"/>
    <d v="1899-12-30T13:02:01"/>
    <d v="1899-12-30T00:03:54"/>
    <n v="3"/>
    <n v="54"/>
    <n v="3.9"/>
    <n v="234"/>
    <n v="76.92307692307692"/>
    <n v="0"/>
    <x v="3"/>
  </r>
  <r>
    <s v="NO8479C"/>
    <d v="1899-12-30T20:01:20"/>
    <d v="1899-12-30T20:05:14"/>
    <d v="1899-12-30T00:03:54"/>
    <n v="3"/>
    <n v="54"/>
    <n v="3.9"/>
    <n v="234"/>
    <n v="76.92307692307692"/>
    <n v="0"/>
    <x v="15"/>
  </r>
  <r>
    <s v="FZI1328"/>
    <d v="1899-12-30T20:38:54"/>
    <d v="1899-12-30T20:42:48"/>
    <d v="1899-12-30T00:03:54"/>
    <n v="3"/>
    <n v="54"/>
    <n v="3.9"/>
    <n v="234"/>
    <n v="76.92307692307692"/>
    <n v="0"/>
    <x v="15"/>
  </r>
  <r>
    <s v="WU95639"/>
    <d v="1899-12-30T11:07:56"/>
    <d v="1899-12-30T11:11:51"/>
    <d v="1899-12-30T00:03:55"/>
    <n v="3"/>
    <n v="55"/>
    <n v="3.92"/>
    <n v="235"/>
    <n v="76.59574468085107"/>
    <n v="0"/>
    <x v="10"/>
  </r>
  <r>
    <s v="NMR7567"/>
    <d v="1899-12-30T20:28:56"/>
    <d v="1899-12-30T20:32:51"/>
    <d v="1899-12-30T00:03:55"/>
    <n v="3"/>
    <n v="55"/>
    <n v="3.92"/>
    <n v="235"/>
    <n v="76.59574468085107"/>
    <n v="0"/>
    <x v="15"/>
  </r>
  <r>
    <s v="ST19923"/>
    <d v="1899-12-30T21:24:12"/>
    <d v="1899-12-30T21:28:07"/>
    <d v="1899-12-30T00:03:55"/>
    <n v="3"/>
    <n v="55"/>
    <n v="3.92"/>
    <n v="235"/>
    <n v="76.59574468085107"/>
    <n v="0"/>
    <x v="5"/>
  </r>
  <r>
    <s v="SZ51491"/>
    <d v="1899-12-30T00:56:23"/>
    <d v="1899-12-30T01:00:18"/>
    <d v="1899-12-30T00:03:55"/>
    <n v="3"/>
    <n v="55"/>
    <n v="3.92"/>
    <n v="235"/>
    <n v="76.59574468085107"/>
    <n v="0"/>
    <x v="13"/>
  </r>
  <r>
    <s v="SY38147"/>
    <d v="1899-12-30T18:39:39"/>
    <d v="1899-12-30T18:35:44"/>
    <d v="1899-12-30T00:03:55"/>
    <n v="3"/>
    <n v="55"/>
    <n v="3.92"/>
    <n v="235"/>
    <n v="76.59574468085107"/>
    <n v="0"/>
    <x v="1"/>
  </r>
  <r>
    <s v="NOE1810"/>
    <d v="1899-12-30T23:37:50"/>
    <d v="1899-12-30T23:33:55"/>
    <d v="1899-12-30T00:03:55"/>
    <n v="3"/>
    <n v="55"/>
    <n v="3.92"/>
    <n v="235"/>
    <n v="76.59574468085107"/>
    <n v="0"/>
    <x v="22"/>
  </r>
  <r>
    <s v="NOE1810"/>
    <d v="1899-12-30T20:30:18"/>
    <d v="1899-12-30T20:26:23"/>
    <d v="1899-12-30T00:03:55"/>
    <n v="3"/>
    <n v="55"/>
    <n v="3.92"/>
    <n v="235"/>
    <n v="76.59574468085107"/>
    <n v="0"/>
    <x v="15"/>
  </r>
  <r>
    <s v="LB56852"/>
    <d v="1899-12-30T09:12:36"/>
    <d v="1899-12-30T09:16:30"/>
    <d v="1899-12-30T00:03:55"/>
    <n v="3"/>
    <n v="55"/>
    <n v="3.92"/>
    <n v="235"/>
    <n v="76.59574468085107"/>
    <n v="0"/>
    <x v="18"/>
  </r>
  <r>
    <s v="NE78145"/>
    <d v="1899-12-30T13:55:35"/>
    <d v="1899-12-30T13:59:31"/>
    <d v="1899-12-30T00:03:55"/>
    <n v="3"/>
    <n v="55"/>
    <n v="3.92"/>
    <n v="235"/>
    <n v="76.59574468085107"/>
    <n v="0"/>
    <x v="0"/>
  </r>
  <r>
    <s v="LUB1054"/>
    <d v="1899-12-30T17:23:44"/>
    <d v="1899-12-30T17:19:49"/>
    <d v="1899-12-30T00:03:55"/>
    <n v="3"/>
    <n v="55"/>
    <n v="3.92"/>
    <n v="235"/>
    <n v="76.59574468085107"/>
    <n v="0"/>
    <x v="12"/>
  </r>
  <r>
    <s v="DKA1443"/>
    <d v="1899-12-30T20:05:19"/>
    <d v="1899-12-30T20:09:14"/>
    <d v="1899-12-30T00:03:56"/>
    <n v="3"/>
    <n v="56"/>
    <n v="3.93"/>
    <n v="236"/>
    <n v="76.271186440677965"/>
    <n v="0"/>
    <x v="15"/>
  </r>
  <r>
    <s v="NOG3903"/>
    <d v="1899-12-30T02:48:18"/>
    <d v="1899-12-30T02:44:21"/>
    <d v="1899-12-30T00:03:56"/>
    <n v="3"/>
    <n v="56"/>
    <n v="3.93"/>
    <n v="236"/>
    <n v="76.271186440677965"/>
    <n v="0"/>
    <x v="20"/>
  </r>
  <r>
    <s v="NGI7942"/>
    <d v="1899-12-30T21:18:49"/>
    <d v="1899-12-30T21:14:53"/>
    <d v="1899-12-30T00:03:56"/>
    <n v="3"/>
    <n v="56"/>
    <n v="3.93"/>
    <n v="236"/>
    <n v="76.271186440677965"/>
    <n v="0"/>
    <x v="5"/>
  </r>
  <r>
    <s v="GCZ6717"/>
    <d v="1899-12-30T08:26:54"/>
    <d v="1899-12-30T08:30:49"/>
    <d v="1899-12-30T00:03:56"/>
    <n v="3"/>
    <n v="56"/>
    <n v="3.93"/>
    <n v="236"/>
    <n v="76.271186440677965"/>
    <n v="0"/>
    <x v="2"/>
  </r>
  <r>
    <s v="NIL3535"/>
    <d v="1899-12-30T13:39:36"/>
    <d v="1899-12-30T13:35:40"/>
    <d v="1899-12-30T00:03:56"/>
    <n v="3"/>
    <n v="56"/>
    <n v="3.93"/>
    <n v="236"/>
    <n v="76.271186440677965"/>
    <n v="0"/>
    <x v="0"/>
  </r>
  <r>
    <s v="SC21037"/>
    <d v="1899-12-30T03:01:01"/>
    <d v="1899-12-30T02:57:04"/>
    <d v="1899-12-30T00:03:57"/>
    <n v="3"/>
    <n v="57"/>
    <n v="3.95"/>
    <n v="237"/>
    <n v="75.949367088607588"/>
    <n v="0"/>
    <x v="11"/>
  </r>
  <r>
    <s v="STA5802"/>
    <d v="1899-12-30T13:11:16"/>
    <d v="1899-12-30T13:07:20"/>
    <d v="1899-12-30T00:03:57"/>
    <n v="3"/>
    <n v="57"/>
    <n v="3.95"/>
    <n v="237"/>
    <n v="75.949367088607588"/>
    <n v="0"/>
    <x v="0"/>
  </r>
  <r>
    <s v="NGI7942"/>
    <d v="1899-12-30T04:45:20"/>
    <d v="1899-12-30T04:49:17"/>
    <d v="1899-12-30T00:03:57"/>
    <n v="3"/>
    <n v="57"/>
    <n v="3.95"/>
    <n v="237"/>
    <n v="75.949367088607588"/>
    <n v="0"/>
    <x v="17"/>
  </r>
  <r>
    <s v="FSL6199"/>
    <d v="1899-12-30T11:49:05"/>
    <d v="1899-12-30T11:53:02"/>
    <d v="1899-12-30T00:03:57"/>
    <n v="3"/>
    <n v="57"/>
    <n v="3.95"/>
    <n v="237"/>
    <n v="75.949367088607588"/>
    <n v="0"/>
    <x v="10"/>
  </r>
  <r>
    <s v="BSI1759"/>
    <d v="1899-12-30T05:51:50"/>
    <d v="1899-12-30T05:55:47"/>
    <d v="1899-12-30T00:03:57"/>
    <n v="3"/>
    <n v="57"/>
    <n v="3.95"/>
    <n v="237"/>
    <n v="75.949367088607588"/>
    <n v="0"/>
    <x v="14"/>
  </r>
  <r>
    <s v="KBR5778"/>
    <d v="1899-12-30T03:17:09"/>
    <d v="1899-12-30T03:13:11"/>
    <d v="1899-12-30T00:03:58"/>
    <n v="3"/>
    <n v="58"/>
    <n v="3.97"/>
    <n v="238"/>
    <n v="75.630252100840337"/>
    <n v="0"/>
    <x v="11"/>
  </r>
  <r>
    <s v="RP20247"/>
    <d v="1899-12-30T14:03:05"/>
    <d v="1899-12-30T14:07:03"/>
    <d v="1899-12-30T00:03:58"/>
    <n v="3"/>
    <n v="58"/>
    <n v="3.97"/>
    <n v="238"/>
    <n v="75.630252100840337"/>
    <n v="0"/>
    <x v="21"/>
  </r>
  <r>
    <s v="ZWA9726"/>
    <d v="1899-12-30T16:48:17"/>
    <d v="1899-12-30T16:52:15"/>
    <d v="1899-12-30T00:03:58"/>
    <n v="3"/>
    <n v="58"/>
    <n v="3.97"/>
    <n v="238"/>
    <n v="75.630252100840337"/>
    <n v="0"/>
    <x v="7"/>
  </r>
  <r>
    <s v="NNI5982"/>
    <d v="1899-12-30T14:46:40"/>
    <d v="1899-12-30T14:42:41"/>
    <d v="1899-12-30T00:03:59"/>
    <n v="3"/>
    <n v="59"/>
    <n v="3.98"/>
    <n v="239"/>
    <n v="75.313807531380746"/>
    <n v="0"/>
    <x v="21"/>
  </r>
  <r>
    <s v="EP37557"/>
    <d v="1899-12-30T01:35:33"/>
    <d v="1899-12-30T01:31:34"/>
    <d v="1899-12-30T00:03:59"/>
    <n v="3"/>
    <n v="59"/>
    <n v="3.98"/>
    <n v="239"/>
    <n v="75.313807531380746"/>
    <n v="0"/>
    <x v="16"/>
  </r>
  <r>
    <s v="WX30361"/>
    <d v="1899-12-30T06:55:14"/>
    <d v="1899-12-30T06:59:13"/>
    <d v="1899-12-30T00:03:59"/>
    <n v="3"/>
    <n v="59"/>
    <n v="3.98"/>
    <n v="239"/>
    <n v="75.313807531380746"/>
    <n v="0"/>
    <x v="8"/>
  </r>
  <r>
    <s v="FG18816"/>
    <d v="1899-12-30T20:49:21"/>
    <d v="1899-12-30T20:53:22"/>
    <d v="1899-12-30T00:04:00"/>
    <n v="4"/>
    <n v="0"/>
    <n v="4"/>
    <n v="240"/>
    <n v="75"/>
    <n v="0"/>
    <x v="15"/>
  </r>
  <r>
    <s v="WT96288"/>
    <d v="1899-12-30T18:02:14"/>
    <d v="1899-12-30T18:06:14"/>
    <d v="1899-12-30T00:04:00"/>
    <n v="4"/>
    <n v="0"/>
    <n v="4"/>
    <n v="240"/>
    <n v="75"/>
    <n v="0"/>
    <x v="1"/>
  </r>
  <r>
    <s v="NOL4507"/>
    <d v="1899-12-30T18:02:39"/>
    <d v="1899-12-30T18:06:39"/>
    <d v="1899-12-30T00:04:00"/>
    <n v="4"/>
    <n v="0"/>
    <n v="4"/>
    <n v="240"/>
    <n v="75"/>
    <n v="0"/>
    <x v="1"/>
  </r>
  <r>
    <s v="DSR1552"/>
    <d v="1899-12-30T22:22:55"/>
    <d v="1899-12-30T22:18:55"/>
    <d v="1899-12-30T00:04:00"/>
    <n v="4"/>
    <n v="0"/>
    <n v="4"/>
    <n v="240"/>
    <n v="75"/>
    <n v="0"/>
    <x v="9"/>
  </r>
  <r>
    <s v="TSZ4505"/>
    <d v="1899-12-30T00:32:08"/>
    <d v="1899-12-30T00:28:09"/>
    <d v="1899-12-30T00:04:00"/>
    <n v="4"/>
    <n v="0"/>
    <n v="4"/>
    <n v="240"/>
    <n v="75"/>
    <n v="0"/>
    <x v="13"/>
  </r>
  <r>
    <s v="EWE4571"/>
    <d v="1899-12-30T12:42:14"/>
    <d v="1899-12-30T12:46:14"/>
    <d v="1899-12-30T00:04:00"/>
    <n v="4"/>
    <n v="0"/>
    <n v="4"/>
    <n v="240"/>
    <n v="75"/>
    <n v="0"/>
    <x v="3"/>
  </r>
  <r>
    <s v="TST606F"/>
    <d v="1899-12-30T01:34:05"/>
    <d v="1899-12-30T01:30:04"/>
    <d v="1899-12-30T00:04:01"/>
    <n v="4"/>
    <n v="1"/>
    <n v="4.0199999999999996"/>
    <n v="241"/>
    <n v="74.68879668049793"/>
    <n v="0"/>
    <x v="16"/>
  </r>
  <r>
    <s v="EZG9571"/>
    <d v="1899-12-30T12:42:32"/>
    <d v="1899-12-30T12:38:31"/>
    <d v="1899-12-30T00:04:01"/>
    <n v="4"/>
    <n v="1"/>
    <n v="4.0199999999999996"/>
    <n v="241"/>
    <n v="74.68879668049793"/>
    <n v="0"/>
    <x v="3"/>
  </r>
  <r>
    <s v="STY3028"/>
    <d v="1899-12-30T20:33:19"/>
    <d v="1899-12-30T20:37:20"/>
    <d v="1899-12-30T00:04:01"/>
    <n v="4"/>
    <n v="1"/>
    <n v="4.0199999999999996"/>
    <n v="241"/>
    <n v="74.68879668049793"/>
    <n v="0"/>
    <x v="15"/>
  </r>
  <r>
    <s v="NO84797"/>
    <d v="1899-12-30T03:42:59"/>
    <d v="1899-12-30T03:38:58"/>
    <d v="1899-12-30T00:04:01"/>
    <n v="4"/>
    <n v="1"/>
    <n v="4.0199999999999996"/>
    <n v="241"/>
    <n v="74.68879668049793"/>
    <n v="0"/>
    <x v="11"/>
  </r>
  <r>
    <s v="RZE7144"/>
    <d v="1899-12-30T10:43:10"/>
    <d v="1899-12-30T10:47:12"/>
    <d v="1899-12-30T00:04:02"/>
    <n v="4"/>
    <n v="2"/>
    <n v="4.03"/>
    <n v="242"/>
    <n v="74.380165289256198"/>
    <n v="0"/>
    <x v="4"/>
  </r>
  <r>
    <s v="EZD788M"/>
    <d v="1899-12-30T17:01:09"/>
    <d v="1899-12-30T16:57:07"/>
    <d v="1899-12-30T00:04:02"/>
    <n v="4"/>
    <n v="2"/>
    <n v="4.03"/>
    <n v="242"/>
    <n v="74.380165289256198"/>
    <n v="0"/>
    <x v="12"/>
  </r>
  <r>
    <s v="EOP7868"/>
    <d v="1899-12-30T18:17:44"/>
    <d v="1899-12-30T18:13:43"/>
    <d v="1899-12-30T00:04:02"/>
    <n v="4"/>
    <n v="2"/>
    <n v="4.03"/>
    <n v="242"/>
    <n v="74.380165289256198"/>
    <n v="0"/>
    <x v="1"/>
  </r>
  <r>
    <s v="WSI3602"/>
    <d v="1899-12-30T07:59:34"/>
    <d v="1899-12-30T08:03:37"/>
    <d v="1899-12-30T00:04:03"/>
    <n v="4"/>
    <n v="3"/>
    <n v="4.05"/>
    <n v="243"/>
    <n v="74.074074074074076"/>
    <n v="0"/>
    <x v="6"/>
  </r>
  <r>
    <s v="NBA1025"/>
    <d v="1899-12-30T06:34:23"/>
    <d v="1899-12-30T06:30:20"/>
    <d v="1899-12-30T00:04:03"/>
    <n v="4"/>
    <n v="3"/>
    <n v="4.05"/>
    <n v="243"/>
    <n v="74.074074074074076"/>
    <n v="0"/>
    <x v="8"/>
  </r>
  <r>
    <s v="NIL3535"/>
    <d v="1899-12-30T05:30:43"/>
    <d v="1899-12-30T05:34:45"/>
    <d v="1899-12-30T00:04:03"/>
    <n v="4"/>
    <n v="3"/>
    <n v="4.05"/>
    <n v="243"/>
    <n v="74.074074074074076"/>
    <n v="0"/>
    <x v="14"/>
  </r>
  <r>
    <s v="RZE7144"/>
    <d v="1899-12-30T18:08:16"/>
    <d v="1899-12-30T18:04:13"/>
    <d v="1899-12-30T00:04:03"/>
    <n v="4"/>
    <n v="3"/>
    <n v="4.05"/>
    <n v="243"/>
    <n v="74.074074074074076"/>
    <n v="0"/>
    <x v="1"/>
  </r>
  <r>
    <s v="RMI3407"/>
    <d v="1899-12-30T12:26:14"/>
    <d v="1899-12-30T12:30:18"/>
    <d v="1899-12-30T00:04:04"/>
    <n v="4"/>
    <n v="4"/>
    <n v="4.07"/>
    <n v="244"/>
    <n v="73.770491803278688"/>
    <n v="0"/>
    <x v="3"/>
  </r>
  <r>
    <s v="WX21908"/>
    <d v="1899-12-30T18:05:38"/>
    <d v="1899-12-30T18:09:43"/>
    <d v="1899-12-30T00:04:04"/>
    <n v="4"/>
    <n v="4"/>
    <n v="4.07"/>
    <n v="244"/>
    <n v="73.770491803278688"/>
    <n v="0"/>
    <x v="1"/>
  </r>
  <r>
    <s v="NOE1810"/>
    <d v="1899-12-30T03:16:33"/>
    <d v="1899-12-30T03:20:37"/>
    <d v="1899-12-30T00:04:04"/>
    <n v="4"/>
    <n v="4"/>
    <n v="4.07"/>
    <n v="244"/>
    <n v="73.770491803278688"/>
    <n v="0"/>
    <x v="11"/>
  </r>
  <r>
    <s v="KBR5778"/>
    <d v="1899-12-30T02:10:54"/>
    <d v="1899-12-30T02:14:57"/>
    <d v="1899-12-30T00:04:04"/>
    <n v="4"/>
    <n v="4"/>
    <n v="4.07"/>
    <n v="244"/>
    <n v="73.770491803278688"/>
    <n v="0"/>
    <x v="20"/>
  </r>
  <r>
    <s v="NO84797"/>
    <d v="1899-12-30T13:42:43"/>
    <d v="1899-12-30T13:46:47"/>
    <d v="1899-12-30T00:04:04"/>
    <n v="4"/>
    <n v="4"/>
    <n v="4.07"/>
    <n v="244"/>
    <n v="73.770491803278688"/>
    <n v="0"/>
    <x v="0"/>
  </r>
  <r>
    <s v="NMR7567"/>
    <d v="1899-12-30T01:24:00"/>
    <d v="1899-12-30T01:19:55"/>
    <d v="1899-12-30T00:04:05"/>
    <n v="4"/>
    <n v="5"/>
    <n v="4.08"/>
    <n v="245"/>
    <n v="73.469387755102048"/>
    <n v="0"/>
    <x v="16"/>
  </r>
  <r>
    <s v="RPR8482"/>
    <d v="1899-12-30T15:32:26"/>
    <d v="1899-12-30T15:28:21"/>
    <d v="1899-12-30T00:04:05"/>
    <n v="4"/>
    <n v="5"/>
    <n v="4.08"/>
    <n v="245"/>
    <n v="73.469387755102048"/>
    <n v="0"/>
    <x v="19"/>
  </r>
  <r>
    <s v="NBR3345"/>
    <d v="1899-12-30T09:01:38"/>
    <d v="1899-12-30T08:57:33"/>
    <d v="1899-12-30T00:04:05"/>
    <n v="4"/>
    <n v="5"/>
    <n v="4.08"/>
    <n v="245"/>
    <n v="73.469387755102048"/>
    <n v="0"/>
    <x v="18"/>
  </r>
  <r>
    <s v="CTU6811"/>
    <d v="1899-12-30T13:57:10"/>
    <d v="1899-12-30T13:53:05"/>
    <d v="1899-12-30T00:04:05"/>
    <n v="4"/>
    <n v="5"/>
    <n v="4.08"/>
    <n v="245"/>
    <n v="73.469387755102048"/>
    <n v="0"/>
    <x v="0"/>
  </r>
  <r>
    <s v="SZ51491"/>
    <d v="1899-12-30T22:43:39"/>
    <d v="1899-12-30T22:47:45"/>
    <d v="1899-12-30T00:04:06"/>
    <n v="4"/>
    <n v="6"/>
    <n v="4.0999999999999996"/>
    <n v="246"/>
    <n v="73.170731707317074"/>
    <n v="0"/>
    <x v="9"/>
  </r>
  <r>
    <s v="SW39699"/>
    <d v="1899-12-30T20:44:21"/>
    <d v="1899-12-30T20:48:27"/>
    <d v="1899-12-30T00:04:06"/>
    <n v="4"/>
    <n v="6"/>
    <n v="4.0999999999999996"/>
    <n v="246"/>
    <n v="73.170731707317074"/>
    <n v="0"/>
    <x v="15"/>
  </r>
  <r>
    <s v="EBE7309"/>
    <d v="1899-12-30T18:40:28"/>
    <d v="1899-12-30T18:36:22"/>
    <d v="1899-12-30T00:04:06"/>
    <n v="4"/>
    <n v="6"/>
    <n v="4.0999999999999996"/>
    <n v="246"/>
    <n v="73.170731707317074"/>
    <n v="0"/>
    <x v="1"/>
  </r>
  <r>
    <s v="SRC6856"/>
    <d v="1899-12-30T12:16:54"/>
    <d v="1899-12-30T12:21:01"/>
    <d v="1899-12-30T00:04:07"/>
    <n v="4"/>
    <n v="7"/>
    <n v="4.12"/>
    <n v="247"/>
    <n v="72.874493927125513"/>
    <n v="0"/>
    <x v="3"/>
  </r>
  <r>
    <s v="WA22592"/>
    <d v="1899-12-30T01:33:29"/>
    <d v="1899-12-30T01:29:22"/>
    <d v="1899-12-30T00:04:07"/>
    <n v="4"/>
    <n v="7"/>
    <n v="4.12"/>
    <n v="247"/>
    <n v="72.874493927125513"/>
    <n v="0"/>
    <x v="16"/>
  </r>
  <r>
    <s v="SC21037"/>
    <d v="1899-12-30T22:11:37"/>
    <d v="1899-12-30T22:07:30"/>
    <d v="1899-12-30T00:04:07"/>
    <n v="4"/>
    <n v="7"/>
    <n v="4.12"/>
    <n v="247"/>
    <n v="72.874493927125513"/>
    <n v="0"/>
    <x v="9"/>
  </r>
  <r>
    <s v="DL33730"/>
    <d v="1899-12-30T20:15:27"/>
    <d v="1899-12-30T20:19:34"/>
    <d v="1899-12-30T00:04:07"/>
    <n v="4"/>
    <n v="7"/>
    <n v="4.12"/>
    <n v="247"/>
    <n v="72.874493927125513"/>
    <n v="0"/>
    <x v="15"/>
  </r>
  <r>
    <s v="WSK9224"/>
    <d v="1899-12-30T11:05:21"/>
    <d v="1899-12-30T11:01:14"/>
    <d v="1899-12-30T00:04:07"/>
    <n v="4"/>
    <n v="7"/>
    <n v="4.12"/>
    <n v="247"/>
    <n v="72.874493927125513"/>
    <n v="0"/>
    <x v="10"/>
  </r>
  <r>
    <s v="WPU705O"/>
    <d v="1899-12-30T22:19:47"/>
    <d v="1899-12-30T22:23:56"/>
    <d v="1899-12-30T00:04:08"/>
    <n v="4"/>
    <n v="8"/>
    <n v="4.13"/>
    <n v="248"/>
    <n v="72.58064516129032"/>
    <n v="0"/>
    <x v="9"/>
  </r>
  <r>
    <s v="FSU1902"/>
    <d v="1899-12-30T16:36:35"/>
    <d v="1899-12-30T16:32:27"/>
    <d v="1899-12-30T00:04:08"/>
    <n v="4"/>
    <n v="8"/>
    <n v="4.13"/>
    <n v="248"/>
    <n v="72.58064516129032"/>
    <n v="0"/>
    <x v="7"/>
  </r>
  <r>
    <s v="WZ58017"/>
    <d v="1899-12-30T10:10:06"/>
    <d v="1899-12-30T10:05:58"/>
    <d v="1899-12-30T00:04:08"/>
    <n v="4"/>
    <n v="8"/>
    <n v="4.13"/>
    <n v="248"/>
    <n v="72.58064516129032"/>
    <n v="0"/>
    <x v="4"/>
  </r>
  <r>
    <s v="WSZ3763"/>
    <d v="1899-12-30T09:18:28"/>
    <d v="1899-12-30T09:14:19"/>
    <d v="1899-12-30T00:04:09"/>
    <n v="4"/>
    <n v="9"/>
    <n v="4.1500000000000004"/>
    <n v="249"/>
    <n v="72.289156626506028"/>
    <n v="0"/>
    <x v="18"/>
  </r>
  <r>
    <s v="WPY7337"/>
    <d v="1899-12-30T10:19:14"/>
    <d v="1899-12-30T10:15:04"/>
    <d v="1899-12-30T00:04:10"/>
    <n v="4"/>
    <n v="10"/>
    <n v="4.17"/>
    <n v="250"/>
    <n v="72"/>
    <n v="0"/>
    <x v="4"/>
  </r>
  <r>
    <s v="NNI5982"/>
    <d v="1899-12-30T13:59:38"/>
    <d v="1899-12-30T13:55:28"/>
    <d v="1899-12-30T00:04:10"/>
    <n v="4"/>
    <n v="10"/>
    <n v="4.17"/>
    <n v="250"/>
    <n v="72"/>
    <n v="0"/>
    <x v="0"/>
  </r>
  <r>
    <s v="SB16521"/>
    <d v="1899-12-30T00:33:07"/>
    <d v="1899-12-30T00:37:17"/>
    <d v="1899-12-30T00:04:10"/>
    <n v="4"/>
    <n v="10"/>
    <n v="4.17"/>
    <n v="250"/>
    <n v="72"/>
    <n v="0"/>
    <x v="13"/>
  </r>
  <r>
    <s v="EPD1467"/>
    <d v="1899-12-30T20:31:45"/>
    <d v="1899-12-30T20:35:55"/>
    <d v="1899-12-30T00:04:10"/>
    <n v="4"/>
    <n v="10"/>
    <n v="4.17"/>
    <n v="250"/>
    <n v="72"/>
    <n v="0"/>
    <x v="15"/>
  </r>
  <r>
    <s v="EZG5773"/>
    <d v="1899-12-30T20:48:49"/>
    <d v="1899-12-30T20:44:40"/>
    <d v="1899-12-30T00:04:10"/>
    <n v="4"/>
    <n v="10"/>
    <n v="4.17"/>
    <n v="250"/>
    <n v="72"/>
    <n v="0"/>
    <x v="15"/>
  </r>
  <r>
    <s v="RPR3058"/>
    <d v="1899-12-30T06:14:37"/>
    <d v="1899-12-30T06:10:28"/>
    <d v="1899-12-30T00:04:10"/>
    <n v="4"/>
    <n v="10"/>
    <n v="4.17"/>
    <n v="250"/>
    <n v="72"/>
    <n v="0"/>
    <x v="8"/>
  </r>
  <r>
    <s v="CLI2574"/>
    <d v="1899-12-30T19:36:43"/>
    <d v="1899-12-30T19:32:33"/>
    <d v="1899-12-30T00:04:10"/>
    <n v="4"/>
    <n v="10"/>
    <n v="4.17"/>
    <n v="250"/>
    <n v="72"/>
    <n v="0"/>
    <x v="23"/>
  </r>
  <r>
    <s v="BL96936"/>
    <d v="1899-12-30T12:48:15"/>
    <d v="1899-12-30T12:52:26"/>
    <d v="1899-12-30T00:04:11"/>
    <n v="4"/>
    <n v="11"/>
    <n v="4.18"/>
    <n v="251"/>
    <n v="71.713147410358559"/>
    <n v="0"/>
    <x v="3"/>
  </r>
  <r>
    <s v="WZU5215"/>
    <d v="1899-12-30T06:57:45"/>
    <d v="1899-12-30T07:01:56"/>
    <d v="1899-12-30T00:04:11"/>
    <n v="4"/>
    <n v="11"/>
    <n v="4.18"/>
    <n v="251"/>
    <n v="71.713147410358559"/>
    <n v="0"/>
    <x v="8"/>
  </r>
  <r>
    <s v="RT86483"/>
    <d v="1899-12-30T22:42:19"/>
    <d v="1899-12-30T22:38:08"/>
    <d v="1899-12-30T00:04:11"/>
    <n v="4"/>
    <n v="11"/>
    <n v="4.18"/>
    <n v="251"/>
    <n v="71.713147410358559"/>
    <n v="0"/>
    <x v="9"/>
  </r>
  <r>
    <s v="WW50312"/>
    <d v="1899-12-30T17:28:00"/>
    <d v="1899-12-30T17:23:49"/>
    <d v="1899-12-30T00:04:11"/>
    <n v="4"/>
    <n v="11"/>
    <n v="4.18"/>
    <n v="251"/>
    <n v="71.713147410358559"/>
    <n v="0"/>
    <x v="12"/>
  </r>
  <r>
    <s v="NEB9600"/>
    <d v="1899-12-30T22:02:29"/>
    <d v="1899-12-30T21:58:18"/>
    <d v="1899-12-30T00:04:11"/>
    <n v="4"/>
    <n v="11"/>
    <n v="4.18"/>
    <n v="251"/>
    <n v="71.713147410358559"/>
    <n v="0"/>
    <x v="9"/>
  </r>
  <r>
    <s v="EPA8924"/>
    <d v="1899-12-30T23:27:46"/>
    <d v="1899-12-30T23:31:56"/>
    <d v="1899-12-30T00:04:11"/>
    <n v="4"/>
    <n v="11"/>
    <n v="4.18"/>
    <n v="251"/>
    <n v="71.713147410358559"/>
    <n v="0"/>
    <x v="22"/>
  </r>
  <r>
    <s v="EPD7404"/>
    <d v="1899-12-30T18:45:51"/>
    <d v="1899-12-30T18:50:03"/>
    <d v="1899-12-30T00:04:11"/>
    <n v="4"/>
    <n v="11"/>
    <n v="4.18"/>
    <n v="251"/>
    <n v="71.713147410358559"/>
    <n v="0"/>
    <x v="1"/>
  </r>
  <r>
    <s v="RZE7144"/>
    <d v="1899-12-30T03:50:32"/>
    <d v="1899-12-30T03:46:20"/>
    <d v="1899-12-30T00:04:12"/>
    <n v="4"/>
    <n v="12"/>
    <n v="4.2"/>
    <n v="252"/>
    <n v="71.428571428571431"/>
    <n v="0"/>
    <x v="11"/>
  </r>
  <r>
    <s v="WW8829E"/>
    <d v="1899-12-30T21:39:23"/>
    <d v="1899-12-30T21:35:11"/>
    <d v="1899-12-30T00:04:12"/>
    <n v="4"/>
    <n v="12"/>
    <n v="4.2"/>
    <n v="252"/>
    <n v="71.428571428571431"/>
    <n v="0"/>
    <x v="5"/>
  </r>
  <r>
    <s v="NNI5982"/>
    <d v="1899-12-30T13:57:21"/>
    <d v="1899-12-30T13:53:08"/>
    <d v="1899-12-30T00:04:13"/>
    <n v="4"/>
    <n v="13"/>
    <n v="4.22"/>
    <n v="253"/>
    <n v="71.146245059288532"/>
    <n v="0"/>
    <x v="0"/>
  </r>
  <r>
    <s v="RZE7144"/>
    <d v="1899-12-30T04:39:04"/>
    <d v="1899-12-30T04:34:51"/>
    <d v="1899-12-30T00:04:13"/>
    <n v="4"/>
    <n v="13"/>
    <n v="4.22"/>
    <n v="253"/>
    <n v="71.146245059288532"/>
    <n v="0"/>
    <x v="17"/>
  </r>
  <r>
    <s v="EOP1476"/>
    <d v="1899-12-30T03:53:47"/>
    <d v="1899-12-30T03:49:34"/>
    <d v="1899-12-30T00:04:13"/>
    <n v="4"/>
    <n v="13"/>
    <n v="4.22"/>
    <n v="253"/>
    <n v="71.146245059288532"/>
    <n v="0"/>
    <x v="11"/>
  </r>
  <r>
    <s v="FZG1291"/>
    <d v="1899-12-30T14:59:11"/>
    <d v="1899-12-30T14:54:57"/>
    <d v="1899-12-30T00:04:13"/>
    <n v="4"/>
    <n v="13"/>
    <n v="4.22"/>
    <n v="253"/>
    <n v="71.146245059288532"/>
    <n v="0"/>
    <x v="21"/>
  </r>
  <r>
    <s v="NOL4507"/>
    <d v="1899-12-30T20:24:05"/>
    <d v="1899-12-30T20:28:19"/>
    <d v="1899-12-30T00:04:14"/>
    <n v="4"/>
    <n v="14"/>
    <n v="4.2300000000000004"/>
    <n v="254"/>
    <n v="70.866141732283467"/>
    <n v="0"/>
    <x v="15"/>
  </r>
  <r>
    <s v="NMR7567"/>
    <d v="1899-12-30T18:51:18"/>
    <d v="1899-12-30T18:47:04"/>
    <d v="1899-12-30T00:04:14"/>
    <n v="4"/>
    <n v="14"/>
    <n v="4.2300000000000004"/>
    <n v="254"/>
    <n v="70.866141732283467"/>
    <n v="0"/>
    <x v="1"/>
  </r>
  <r>
    <s v="WU95639"/>
    <d v="1899-12-30T20:28:50"/>
    <d v="1899-12-30T20:33:05"/>
    <d v="1899-12-30T00:04:14"/>
    <n v="4"/>
    <n v="14"/>
    <n v="4.2300000000000004"/>
    <n v="254"/>
    <n v="70.866141732283467"/>
    <n v="0"/>
    <x v="15"/>
  </r>
  <r>
    <s v="NNM3913"/>
    <d v="1899-12-30T04:26:12"/>
    <d v="1899-12-30T04:21:58"/>
    <d v="1899-12-30T00:04:14"/>
    <n v="4"/>
    <n v="14"/>
    <n v="4.2300000000000004"/>
    <n v="254"/>
    <n v="70.866141732283467"/>
    <n v="0"/>
    <x v="17"/>
  </r>
  <r>
    <s v="NOE1810"/>
    <d v="1899-12-30T18:52:05"/>
    <d v="1899-12-30T18:56:20"/>
    <d v="1899-12-30T00:04:15"/>
    <n v="4"/>
    <n v="15"/>
    <n v="4.25"/>
    <n v="255"/>
    <n v="70.588235294117652"/>
    <n v="0"/>
    <x v="1"/>
  </r>
  <r>
    <s v="EPD1467"/>
    <d v="1899-12-30T03:21:32"/>
    <d v="1899-12-30T03:25:48"/>
    <d v="1899-12-30T00:04:15"/>
    <n v="4"/>
    <n v="15"/>
    <n v="4.25"/>
    <n v="255"/>
    <n v="70.588235294117652"/>
    <n v="0"/>
    <x v="11"/>
  </r>
  <r>
    <s v="WZU5215"/>
    <d v="1899-12-30T08:16:18"/>
    <d v="1899-12-30T08:20:33"/>
    <d v="1899-12-30T00:04:15"/>
    <n v="4"/>
    <n v="15"/>
    <n v="4.25"/>
    <n v="255"/>
    <n v="70.588235294117652"/>
    <n v="0"/>
    <x v="2"/>
  </r>
  <r>
    <s v="TST8888"/>
    <d v="1899-12-30T06:05:13"/>
    <d v="1899-12-30T06:09:28"/>
    <d v="1899-12-30T00:04:15"/>
    <n v="4"/>
    <n v="15"/>
    <n v="4.25"/>
    <n v="255"/>
    <n v="70.588235294117652"/>
    <n v="0"/>
    <x v="8"/>
  </r>
  <r>
    <s v="NOL4507"/>
    <d v="1899-12-30T20:53:44"/>
    <d v="1899-12-30T20:58:00"/>
    <d v="1899-12-30T00:04:16"/>
    <n v="4"/>
    <n v="16"/>
    <n v="4.2699999999999996"/>
    <n v="256"/>
    <n v="70.3125"/>
    <n v="0"/>
    <x v="15"/>
  </r>
  <r>
    <s v="NPI2072"/>
    <d v="1899-12-30T06:07:52"/>
    <d v="1899-12-30T06:12:08"/>
    <d v="1899-12-30T00:04:16"/>
    <n v="4"/>
    <n v="16"/>
    <n v="4.2699999999999996"/>
    <n v="256"/>
    <n v="70.3125"/>
    <n v="0"/>
    <x v="8"/>
  </r>
  <r>
    <s v="ETM257F"/>
    <d v="1899-12-30T01:59:40"/>
    <d v="1899-12-30T01:55:24"/>
    <d v="1899-12-30T00:04:16"/>
    <n v="4"/>
    <n v="16"/>
    <n v="4.2699999999999996"/>
    <n v="256"/>
    <n v="70.3125"/>
    <n v="0"/>
    <x v="16"/>
  </r>
  <r>
    <s v="ETM8116"/>
    <d v="1899-12-30T07:23:47"/>
    <d v="1899-12-30T07:19:30"/>
    <d v="1899-12-30T00:04:16"/>
    <n v="4"/>
    <n v="16"/>
    <n v="4.2699999999999996"/>
    <n v="256"/>
    <n v="70.3125"/>
    <n v="0"/>
    <x v="6"/>
  </r>
  <r>
    <s v="SWD617N"/>
    <d v="1899-12-30T02:47:31"/>
    <d v="1899-12-30T02:43:15"/>
    <d v="1899-12-30T00:04:16"/>
    <n v="4"/>
    <n v="16"/>
    <n v="4.2699999999999996"/>
    <n v="256"/>
    <n v="70.3125"/>
    <n v="0"/>
    <x v="20"/>
  </r>
  <r>
    <s v="STA5802"/>
    <d v="1899-12-30T03:56:01"/>
    <d v="1899-12-30T04:00:18"/>
    <d v="1899-12-30T00:04:17"/>
    <n v="4"/>
    <n v="17"/>
    <n v="4.28"/>
    <n v="257"/>
    <n v="70.038910505836583"/>
    <n v="0"/>
    <x v="11"/>
  </r>
  <r>
    <s v="CBY9249"/>
    <d v="1899-12-30T05:17:17"/>
    <d v="1899-12-30T05:21:34"/>
    <d v="1899-12-30T00:04:17"/>
    <n v="4"/>
    <n v="17"/>
    <n v="4.28"/>
    <n v="257"/>
    <n v="70.038910505836583"/>
    <n v="0"/>
    <x v="14"/>
  </r>
  <r>
    <s v="EP37557"/>
    <d v="1899-12-30T04:47:03"/>
    <d v="1899-12-30T04:42:46"/>
    <d v="1899-12-30T00:04:17"/>
    <n v="4"/>
    <n v="17"/>
    <n v="4.28"/>
    <n v="257"/>
    <n v="70.038910505836583"/>
    <n v="0"/>
    <x v="17"/>
  </r>
  <r>
    <s v="STY3028"/>
    <d v="1899-12-30T22:49:07"/>
    <d v="1899-12-30T22:44:50"/>
    <d v="1899-12-30T00:04:17"/>
    <n v="4"/>
    <n v="17"/>
    <n v="4.28"/>
    <n v="257"/>
    <n v="70.038910505836583"/>
    <n v="0"/>
    <x v="9"/>
  </r>
  <r>
    <s v="LUB9718"/>
    <d v="1899-12-30T11:30:07"/>
    <d v="1899-12-30T11:25:49"/>
    <d v="1899-12-30T00:04:18"/>
    <n v="4"/>
    <n v="18"/>
    <n v="4.3"/>
    <n v="258"/>
    <n v="69.767441860465112"/>
    <n v="0"/>
    <x v="10"/>
  </r>
  <r>
    <s v="FSL9473"/>
    <d v="1899-12-30T06:30:18"/>
    <d v="1899-12-30T06:34:36"/>
    <d v="1899-12-30T00:04:18"/>
    <n v="4"/>
    <n v="18"/>
    <n v="4.3"/>
    <n v="258"/>
    <n v="69.767441860465112"/>
    <n v="0"/>
    <x v="8"/>
  </r>
  <r>
    <s v="LB56852"/>
    <d v="1899-12-30T01:36:34"/>
    <d v="1899-12-30T01:40:53"/>
    <d v="1899-12-30T00:04:19"/>
    <n v="4"/>
    <n v="19"/>
    <n v="4.32"/>
    <n v="259"/>
    <n v="69.498069498069498"/>
    <n v="0"/>
    <x v="16"/>
  </r>
  <r>
    <s v="SC21037"/>
    <d v="1899-12-30T05:49:50"/>
    <d v="1899-12-30T05:54:08"/>
    <d v="1899-12-30T00:04:19"/>
    <n v="4"/>
    <n v="19"/>
    <n v="4.32"/>
    <n v="259"/>
    <n v="69.498069498069498"/>
    <n v="0"/>
    <x v="14"/>
  </r>
  <r>
    <s v="ELW4637"/>
    <d v="1899-12-30T01:23:38"/>
    <d v="1899-12-30T01:19:18"/>
    <d v="1899-12-30T00:04:20"/>
    <n v="4"/>
    <n v="20"/>
    <n v="4.33"/>
    <n v="260"/>
    <n v="69.230769230769226"/>
    <n v="0"/>
    <x v="16"/>
  </r>
  <r>
    <s v="NSZ8448"/>
    <d v="1899-12-30T08:01:09"/>
    <d v="1899-12-30T07:56:49"/>
    <d v="1899-12-30T00:04:20"/>
    <n v="4"/>
    <n v="20"/>
    <n v="4.33"/>
    <n v="260"/>
    <n v="69.230769230769226"/>
    <n v="0"/>
    <x v="2"/>
  </r>
  <r>
    <s v="NO84797"/>
    <d v="1899-12-30T11:45:11"/>
    <d v="1899-12-30T11:49:32"/>
    <d v="1899-12-30T00:04:20"/>
    <n v="4"/>
    <n v="20"/>
    <n v="4.33"/>
    <n v="260"/>
    <n v="69.230769230769226"/>
    <n v="0"/>
    <x v="10"/>
  </r>
  <r>
    <s v="NOL4507"/>
    <d v="1899-12-30T05:05:01"/>
    <d v="1899-12-30T05:00:40"/>
    <d v="1899-12-30T00:04:21"/>
    <n v="4"/>
    <n v="21"/>
    <n v="4.3499999999999996"/>
    <n v="261"/>
    <n v="68.965517241379303"/>
    <n v="0"/>
    <x v="14"/>
  </r>
  <r>
    <s v="NWE1882"/>
    <d v="1899-12-30T03:24:01"/>
    <d v="1899-12-30T03:19:39"/>
    <d v="1899-12-30T00:04:21"/>
    <n v="4"/>
    <n v="21"/>
    <n v="4.3499999999999996"/>
    <n v="261"/>
    <n v="68.965517241379303"/>
    <n v="0"/>
    <x v="11"/>
  </r>
  <r>
    <s v="NSZ8448"/>
    <d v="1899-12-30T03:29:34"/>
    <d v="1899-12-30T03:33:55"/>
    <d v="1899-12-30T00:04:21"/>
    <n v="4"/>
    <n v="21"/>
    <n v="4.3499999999999996"/>
    <n v="261"/>
    <n v="68.965517241379303"/>
    <n v="0"/>
    <x v="11"/>
  </r>
  <r>
    <s v="NGO9410"/>
    <d v="1899-12-30T10:31:53"/>
    <d v="1899-12-30T10:27:32"/>
    <d v="1899-12-30T00:04:21"/>
    <n v="4"/>
    <n v="21"/>
    <n v="4.3499999999999996"/>
    <n v="261"/>
    <n v="68.965517241379303"/>
    <n v="0"/>
    <x v="4"/>
  </r>
  <r>
    <s v="NO84797"/>
    <d v="1899-12-30T10:07:22"/>
    <d v="1899-12-30T10:11:43"/>
    <d v="1899-12-30T00:04:21"/>
    <n v="4"/>
    <n v="21"/>
    <n v="4.3499999999999996"/>
    <n v="261"/>
    <n v="68.965517241379303"/>
    <n v="0"/>
    <x v="4"/>
  </r>
  <r>
    <s v="SC32502"/>
    <d v="1899-12-30T14:37:21"/>
    <d v="1899-12-30T14:33:00"/>
    <d v="1899-12-30T00:04:21"/>
    <n v="4"/>
    <n v="21"/>
    <n v="4.3499999999999996"/>
    <n v="261"/>
    <n v="68.965517241379303"/>
    <n v="0"/>
    <x v="21"/>
  </r>
  <r>
    <s v="DKL4966"/>
    <d v="1899-12-30T23:54:32"/>
    <d v="1899-12-30T23:50:11"/>
    <d v="1899-12-30T00:04:21"/>
    <n v="4"/>
    <n v="21"/>
    <n v="4.3499999999999996"/>
    <n v="261"/>
    <n v="68.965517241379303"/>
    <n v="0"/>
    <x v="22"/>
  </r>
  <r>
    <s v="NOG3903"/>
    <d v="1899-12-30T21:05:20"/>
    <d v="1899-12-30T21:00:58"/>
    <d v="1899-12-30T00:04:22"/>
    <n v="4"/>
    <n v="22"/>
    <n v="4.37"/>
    <n v="262"/>
    <n v="68.702290076335885"/>
    <n v="0"/>
    <x v="5"/>
  </r>
  <r>
    <s v="CTU8578"/>
    <d v="1899-12-30T15:05:08"/>
    <d v="1899-12-30T15:09:30"/>
    <d v="1899-12-30T00:04:22"/>
    <n v="4"/>
    <n v="22"/>
    <n v="4.37"/>
    <n v="262"/>
    <n v="68.702290076335885"/>
    <n v="0"/>
    <x v="19"/>
  </r>
  <r>
    <s v="NPI2072"/>
    <d v="1899-12-30T21:06:29"/>
    <d v="1899-12-30T21:10:53"/>
    <d v="1899-12-30T00:04:23"/>
    <n v="4"/>
    <n v="23"/>
    <n v="4.38"/>
    <n v="263"/>
    <n v="68.441064638783274"/>
    <n v="0"/>
    <x v="5"/>
  </r>
  <r>
    <s v="CSW4471"/>
    <d v="1899-12-30T14:26:13"/>
    <d v="1899-12-30T14:21:49"/>
    <d v="1899-12-30T00:04:23"/>
    <n v="4"/>
    <n v="23"/>
    <n v="4.38"/>
    <n v="263"/>
    <n v="68.441064638783274"/>
    <n v="0"/>
    <x v="21"/>
  </r>
  <r>
    <s v="NEL2042"/>
    <d v="1899-12-30T08:21:00"/>
    <d v="1899-12-30T08:25:23"/>
    <d v="1899-12-30T00:04:23"/>
    <n v="4"/>
    <n v="23"/>
    <n v="4.38"/>
    <n v="263"/>
    <n v="68.441064638783274"/>
    <n v="0"/>
    <x v="2"/>
  </r>
  <r>
    <s v="SRS6116"/>
    <d v="1899-12-30T14:07:54"/>
    <d v="1899-12-30T14:03:31"/>
    <d v="1899-12-30T00:04:23"/>
    <n v="4"/>
    <n v="23"/>
    <n v="4.38"/>
    <n v="263"/>
    <n v="68.441064638783274"/>
    <n v="0"/>
    <x v="21"/>
  </r>
  <r>
    <s v="NOL4507"/>
    <d v="1899-12-30T10:09:26"/>
    <d v="1899-12-30T10:13:50"/>
    <d v="1899-12-30T00:04:24"/>
    <n v="4"/>
    <n v="24"/>
    <n v="4.4000000000000004"/>
    <n v="264"/>
    <n v="68.181818181818187"/>
    <n v="0"/>
    <x v="4"/>
  </r>
  <r>
    <s v="NBR3345"/>
    <d v="1899-12-30T11:09:03"/>
    <d v="1899-12-30T11:04:38"/>
    <d v="1899-12-30T00:04:24"/>
    <n v="4"/>
    <n v="24"/>
    <n v="4.4000000000000004"/>
    <n v="264"/>
    <n v="68.181818181818187"/>
    <n v="0"/>
    <x v="10"/>
  </r>
  <r>
    <s v="CTR7456"/>
    <d v="1899-12-30T07:32:19"/>
    <d v="1899-12-30T07:36:44"/>
    <d v="1899-12-30T00:04:24"/>
    <n v="4"/>
    <n v="24"/>
    <n v="4.4000000000000004"/>
    <n v="264"/>
    <n v="68.181818181818187"/>
    <n v="0"/>
    <x v="6"/>
  </r>
  <r>
    <s v="DZL5538"/>
    <d v="1899-12-30T12:22:12"/>
    <d v="1899-12-30T12:26:36"/>
    <d v="1899-12-30T00:04:24"/>
    <n v="4"/>
    <n v="24"/>
    <n v="4.4000000000000004"/>
    <n v="264"/>
    <n v="68.181818181818187"/>
    <n v="0"/>
    <x v="3"/>
  </r>
  <r>
    <s v="WPU9780"/>
    <d v="1899-12-30T10:39:24"/>
    <d v="1899-12-30T10:43:48"/>
    <d v="1899-12-30T00:04:24"/>
    <n v="4"/>
    <n v="24"/>
    <n v="4.4000000000000004"/>
    <n v="264"/>
    <n v="68.181818181818187"/>
    <n v="0"/>
    <x v="4"/>
  </r>
  <r>
    <s v="FZI8967"/>
    <d v="1899-12-30T09:26:01"/>
    <d v="1899-12-30T09:30:25"/>
    <d v="1899-12-30T00:04:25"/>
    <n v="4"/>
    <n v="25"/>
    <n v="4.42"/>
    <n v="265"/>
    <n v="67.924528301886795"/>
    <n v="0"/>
    <x v="18"/>
  </r>
  <r>
    <s v="EPA8924"/>
    <d v="1899-12-30T05:09:08"/>
    <d v="1899-12-30T05:13:33"/>
    <d v="1899-12-30T00:04:25"/>
    <n v="4"/>
    <n v="25"/>
    <n v="4.42"/>
    <n v="265"/>
    <n v="67.924528301886795"/>
    <n v="0"/>
    <x v="14"/>
  </r>
  <r>
    <s v="BMN6560"/>
    <d v="1899-12-30T12:49:01"/>
    <d v="1899-12-30T12:44:37"/>
    <d v="1899-12-30T00:04:25"/>
    <n v="4"/>
    <n v="25"/>
    <n v="4.42"/>
    <n v="265"/>
    <n v="67.924528301886795"/>
    <n v="0"/>
    <x v="3"/>
  </r>
  <r>
    <s v="NOG3903"/>
    <d v="1899-12-30T17:33:32"/>
    <d v="1899-12-30T17:37:57"/>
    <d v="1899-12-30T00:04:25"/>
    <n v="4"/>
    <n v="25"/>
    <n v="4.42"/>
    <n v="265"/>
    <n v="67.924528301886795"/>
    <n v="0"/>
    <x v="12"/>
  </r>
  <r>
    <s v="LZ94980"/>
    <d v="1899-12-30T18:13:54"/>
    <d v="1899-12-30T18:18:19"/>
    <d v="1899-12-30T00:04:25"/>
    <n v="4"/>
    <n v="25"/>
    <n v="4.42"/>
    <n v="265"/>
    <n v="67.924528301886795"/>
    <n v="0"/>
    <x v="1"/>
  </r>
  <r>
    <s v="SB68800"/>
    <d v="1899-12-30T22:57:49"/>
    <d v="1899-12-30T22:53:24"/>
    <d v="1899-12-30T00:04:25"/>
    <n v="4"/>
    <n v="25"/>
    <n v="4.42"/>
    <n v="265"/>
    <n v="67.924528301886795"/>
    <n v="0"/>
    <x v="9"/>
  </r>
  <r>
    <s v="SZ59202"/>
    <d v="1899-12-30T17:12:35"/>
    <d v="1899-12-30T17:08:10"/>
    <d v="1899-12-30T00:04:25"/>
    <n v="4"/>
    <n v="25"/>
    <n v="4.42"/>
    <n v="265"/>
    <n v="67.924528301886795"/>
    <n v="0"/>
    <x v="12"/>
  </r>
  <r>
    <s v="BL96423"/>
    <d v="1899-12-30T12:37:40"/>
    <d v="1899-12-30T12:42:05"/>
    <d v="1899-12-30T00:04:25"/>
    <n v="4"/>
    <n v="25"/>
    <n v="4.42"/>
    <n v="265"/>
    <n v="67.924528301886795"/>
    <n v="0"/>
    <x v="3"/>
  </r>
  <r>
    <s v="LWL5004"/>
    <d v="1899-12-30T13:34:30"/>
    <d v="1899-12-30T13:38:56"/>
    <d v="1899-12-30T00:04:26"/>
    <n v="4"/>
    <n v="26"/>
    <n v="4.43"/>
    <n v="266"/>
    <n v="67.669172932330824"/>
    <n v="0"/>
    <x v="0"/>
  </r>
  <r>
    <s v="NWE1882"/>
    <d v="1899-12-30T19:59:22"/>
    <d v="1899-12-30T19:54:57"/>
    <d v="1899-12-30T00:04:26"/>
    <n v="4"/>
    <n v="26"/>
    <n v="4.43"/>
    <n v="266"/>
    <n v="67.669172932330824"/>
    <n v="0"/>
    <x v="23"/>
  </r>
  <r>
    <s v="RRS3699"/>
    <d v="1899-12-30T15:50:14"/>
    <d v="1899-12-30T15:45:48"/>
    <d v="1899-12-30T00:04:26"/>
    <n v="4"/>
    <n v="26"/>
    <n v="4.43"/>
    <n v="266"/>
    <n v="67.669172932330824"/>
    <n v="0"/>
    <x v="19"/>
  </r>
  <r>
    <s v="CB96618"/>
    <d v="1899-12-30T07:19:21"/>
    <d v="1899-12-30T07:23:48"/>
    <d v="1899-12-30T00:04:27"/>
    <n v="4"/>
    <n v="27"/>
    <n v="4.45"/>
    <n v="267"/>
    <n v="67.415730337078642"/>
    <n v="0"/>
    <x v="6"/>
  </r>
  <r>
    <s v="CSW4060"/>
    <d v="1899-12-30T20:33:46"/>
    <d v="1899-12-30T20:29:19"/>
    <d v="1899-12-30T00:04:27"/>
    <n v="4"/>
    <n v="27"/>
    <n v="4.45"/>
    <n v="267"/>
    <n v="67.415730337078642"/>
    <n v="0"/>
    <x v="15"/>
  </r>
  <r>
    <s v="CW78453"/>
    <d v="1899-12-30T05:55:28"/>
    <d v="1899-12-30T05:51:00"/>
    <d v="1899-12-30T00:04:28"/>
    <n v="4"/>
    <n v="28"/>
    <n v="4.47"/>
    <n v="268"/>
    <n v="67.164179104477611"/>
    <n v="0"/>
    <x v="14"/>
  </r>
  <r>
    <s v="RNI3021"/>
    <d v="1899-12-30T19:37:16"/>
    <d v="1899-12-30T19:32:48"/>
    <d v="1899-12-30T00:04:28"/>
    <n v="4"/>
    <n v="28"/>
    <n v="4.47"/>
    <n v="268"/>
    <n v="67.164179104477611"/>
    <n v="0"/>
    <x v="23"/>
  </r>
  <r>
    <s v="WRA7205"/>
    <d v="1899-12-30T13:11:35"/>
    <d v="1899-12-30T13:07:07"/>
    <d v="1899-12-30T00:04:29"/>
    <n v="4"/>
    <n v="29"/>
    <n v="4.4800000000000004"/>
    <n v="269"/>
    <n v="66.914498141263948"/>
    <n v="0"/>
    <x v="0"/>
  </r>
  <r>
    <s v="NOL4507"/>
    <d v="1899-12-30T11:34:05"/>
    <d v="1899-12-30T11:38:35"/>
    <d v="1899-12-30T00:04:29"/>
    <n v="4"/>
    <n v="29"/>
    <n v="4.4800000000000004"/>
    <n v="269"/>
    <n v="66.914498141263948"/>
    <n v="0"/>
    <x v="10"/>
  </r>
  <r>
    <s v="WKZ1364"/>
    <d v="1899-12-30T21:57:59"/>
    <d v="1899-12-30T22:02:28"/>
    <d v="1899-12-30T00:04:29"/>
    <n v="4"/>
    <n v="29"/>
    <n v="4.4800000000000004"/>
    <n v="269"/>
    <n v="66.914498141263948"/>
    <n v="0"/>
    <x v="5"/>
  </r>
  <r>
    <s v="WT62996"/>
    <d v="1899-12-30T00:10:55"/>
    <d v="1899-12-30T00:15:24"/>
    <d v="1899-12-30T00:04:29"/>
    <n v="4"/>
    <n v="29"/>
    <n v="4.4800000000000004"/>
    <n v="269"/>
    <n v="66.914498141263948"/>
    <n v="0"/>
    <x v="13"/>
  </r>
  <r>
    <s v="KBC3948"/>
    <d v="1899-12-30T22:07:10"/>
    <d v="1899-12-30T22:11:39"/>
    <d v="1899-12-30T00:04:29"/>
    <n v="4"/>
    <n v="29"/>
    <n v="4.4800000000000004"/>
    <n v="269"/>
    <n v="66.914498141263948"/>
    <n v="0"/>
    <x v="9"/>
  </r>
  <r>
    <s v="NLI1232"/>
    <d v="1899-12-30T13:24:29"/>
    <d v="1899-12-30T13:19:59"/>
    <d v="1899-12-30T00:04:30"/>
    <n v="4"/>
    <n v="30"/>
    <n v="4.5"/>
    <n v="270"/>
    <n v="66.666666666666671"/>
    <n v="0"/>
    <x v="0"/>
  </r>
  <r>
    <s v="CGR5488"/>
    <d v="1899-12-30T10:18:43"/>
    <d v="1899-12-30T10:14:14"/>
    <d v="1899-12-30T00:04:30"/>
    <n v="4"/>
    <n v="30"/>
    <n v="4.5"/>
    <n v="270"/>
    <n v="66.666666666666671"/>
    <n v="0"/>
    <x v="4"/>
  </r>
  <r>
    <s v="LWL5004"/>
    <d v="1899-12-30T05:58:26"/>
    <d v="1899-12-30T06:02:56"/>
    <d v="1899-12-30T00:04:30"/>
    <n v="4"/>
    <n v="30"/>
    <n v="4.5"/>
    <n v="270"/>
    <n v="66.666666666666671"/>
    <n v="0"/>
    <x v="14"/>
  </r>
  <r>
    <s v="NWE1882"/>
    <d v="1899-12-30T15:21:54"/>
    <d v="1899-12-30T15:26:24"/>
    <d v="1899-12-30T00:04:30"/>
    <n v="4"/>
    <n v="30"/>
    <n v="4.5"/>
    <n v="270"/>
    <n v="66.666666666666671"/>
    <n v="0"/>
    <x v="19"/>
  </r>
  <r>
    <s v="GBY8879"/>
    <d v="1899-12-30T08:27:32"/>
    <d v="1899-12-30T08:32:02"/>
    <d v="1899-12-30T00:04:30"/>
    <n v="4"/>
    <n v="30"/>
    <n v="4.5"/>
    <n v="270"/>
    <n v="66.666666666666671"/>
    <n v="0"/>
    <x v="2"/>
  </r>
  <r>
    <s v="WW20137"/>
    <d v="1899-12-30T15:47:58"/>
    <d v="1899-12-30T15:43:27"/>
    <d v="1899-12-30T00:04:31"/>
    <n v="4"/>
    <n v="31"/>
    <n v="4.5199999999999996"/>
    <n v="271"/>
    <n v="66.420664206642059"/>
    <n v="0"/>
    <x v="19"/>
  </r>
  <r>
    <s v="ELE4598"/>
    <d v="1899-12-30T13:17:18"/>
    <d v="1899-12-30T13:12:47"/>
    <d v="1899-12-30T00:04:31"/>
    <n v="4"/>
    <n v="31"/>
    <n v="4.5199999999999996"/>
    <n v="271"/>
    <n v="66.420664206642059"/>
    <n v="0"/>
    <x v="0"/>
  </r>
  <r>
    <s v="BSK586A"/>
    <d v="1899-12-30T23:56:18"/>
    <d v="1899-12-30T23:51:47"/>
    <d v="1899-12-30T00:04:31"/>
    <n v="4"/>
    <n v="31"/>
    <n v="4.5199999999999996"/>
    <n v="271"/>
    <n v="66.420664206642059"/>
    <n v="0"/>
    <x v="22"/>
  </r>
  <r>
    <s v="DB79091"/>
    <d v="1899-12-30T06:29:54"/>
    <d v="1899-12-30T06:25:22"/>
    <d v="1899-12-30T00:04:32"/>
    <n v="4"/>
    <n v="32"/>
    <n v="4.53"/>
    <n v="272"/>
    <n v="66.17647058823529"/>
    <n v="0"/>
    <x v="8"/>
  </r>
  <r>
    <s v="BMN6560"/>
    <d v="1899-12-30T15:09:02"/>
    <d v="1899-12-30T15:13:34"/>
    <d v="1899-12-30T00:04:32"/>
    <n v="4"/>
    <n v="32"/>
    <n v="4.53"/>
    <n v="272"/>
    <n v="66.17647058823529"/>
    <n v="0"/>
    <x v="19"/>
  </r>
  <r>
    <s v="NMR7567"/>
    <d v="1899-12-30T01:10:20"/>
    <d v="1899-12-30T01:14:52"/>
    <d v="1899-12-30T00:04:32"/>
    <n v="4"/>
    <n v="32"/>
    <n v="4.53"/>
    <n v="272"/>
    <n v="66.17647058823529"/>
    <n v="0"/>
    <x v="16"/>
  </r>
  <r>
    <s v="CWA4963"/>
    <d v="1899-12-30T21:42:09"/>
    <d v="1899-12-30T21:37:35"/>
    <d v="1899-12-30T00:04:33"/>
    <n v="4"/>
    <n v="33"/>
    <n v="4.55"/>
    <n v="273"/>
    <n v="65.934065934065927"/>
    <n v="0"/>
    <x v="5"/>
  </r>
  <r>
    <s v="DKA1443"/>
    <d v="1899-12-30T12:26:23"/>
    <d v="1899-12-30T12:30:55"/>
    <d v="1899-12-30T00:04:33"/>
    <n v="4"/>
    <n v="33"/>
    <n v="4.55"/>
    <n v="273"/>
    <n v="65.934065934065927"/>
    <n v="0"/>
    <x v="3"/>
  </r>
  <r>
    <s v="NE78145"/>
    <d v="1899-12-30T13:25:28"/>
    <d v="1899-12-30T13:20:55"/>
    <d v="1899-12-30T00:04:33"/>
    <n v="4"/>
    <n v="33"/>
    <n v="4.55"/>
    <n v="273"/>
    <n v="65.934065934065927"/>
    <n v="0"/>
    <x v="0"/>
  </r>
  <r>
    <s v="NOE8398"/>
    <d v="1899-12-30T14:53:41"/>
    <d v="1899-12-30T14:58:14"/>
    <d v="1899-12-30T00:04:33"/>
    <n v="4"/>
    <n v="33"/>
    <n v="4.55"/>
    <n v="273"/>
    <n v="65.934065934065927"/>
    <n v="0"/>
    <x v="21"/>
  </r>
  <r>
    <s v="FG67386"/>
    <d v="1899-12-30T07:19:41"/>
    <d v="1899-12-30T07:24:13"/>
    <d v="1899-12-30T00:04:33"/>
    <n v="4"/>
    <n v="33"/>
    <n v="4.55"/>
    <n v="273"/>
    <n v="65.934065934065927"/>
    <n v="0"/>
    <x v="6"/>
  </r>
  <r>
    <s v="RTA5016"/>
    <d v="1899-12-30T07:47:33"/>
    <d v="1899-12-30T07:42:59"/>
    <d v="1899-12-30T00:04:34"/>
    <n v="4"/>
    <n v="34"/>
    <n v="4.57"/>
    <n v="274"/>
    <n v="65.693430656934311"/>
    <n v="0"/>
    <x v="6"/>
  </r>
  <r>
    <s v="DSR2326"/>
    <d v="1899-12-30T22:06:01"/>
    <d v="1899-12-30T22:10:35"/>
    <d v="1899-12-30T00:04:34"/>
    <n v="4"/>
    <n v="34"/>
    <n v="4.57"/>
    <n v="274"/>
    <n v="65.693430656934311"/>
    <n v="0"/>
    <x v="9"/>
  </r>
  <r>
    <s v="RZE7144"/>
    <d v="1899-12-30T11:45:31"/>
    <d v="1899-12-30T11:50:05"/>
    <d v="1899-12-30T00:04:34"/>
    <n v="4"/>
    <n v="34"/>
    <n v="4.57"/>
    <n v="274"/>
    <n v="65.693430656934311"/>
    <n v="0"/>
    <x v="10"/>
  </r>
  <r>
    <s v="NEB9600"/>
    <d v="1899-12-30T13:47:39"/>
    <d v="1899-12-30T13:52:14"/>
    <d v="1899-12-30T00:04:35"/>
    <n v="4"/>
    <n v="35"/>
    <n v="4.58"/>
    <n v="275"/>
    <n v="65.454545454545453"/>
    <n v="0"/>
    <x v="0"/>
  </r>
  <r>
    <s v="EWI961D"/>
    <d v="1899-12-30T23:48:05"/>
    <d v="1899-12-30T23:52:40"/>
    <d v="1899-12-30T00:04:35"/>
    <n v="4"/>
    <n v="35"/>
    <n v="4.58"/>
    <n v="275"/>
    <n v="65.454545454545453"/>
    <n v="0"/>
    <x v="22"/>
  </r>
  <r>
    <s v="BSK5990"/>
    <d v="1899-12-30T11:06:53"/>
    <d v="1899-12-30T11:02:17"/>
    <d v="1899-12-30T00:04:36"/>
    <n v="4"/>
    <n v="36"/>
    <n v="4.5999999999999996"/>
    <n v="276"/>
    <n v="65.217391304347828"/>
    <n v="0"/>
    <x v="10"/>
  </r>
  <r>
    <s v="TSA2570"/>
    <d v="1899-12-30T06:31:39"/>
    <d v="1899-12-30T06:27:03"/>
    <d v="1899-12-30T00:04:36"/>
    <n v="4"/>
    <n v="36"/>
    <n v="4.5999999999999996"/>
    <n v="276"/>
    <n v="65.217391304347828"/>
    <n v="0"/>
    <x v="8"/>
  </r>
  <r>
    <s v="POB1989"/>
    <d v="1899-12-30T06:06:47"/>
    <d v="1899-12-30T06:11:23"/>
    <d v="1899-12-30T00:04:36"/>
    <n v="4"/>
    <n v="36"/>
    <n v="4.5999999999999996"/>
    <n v="276"/>
    <n v="65.217391304347828"/>
    <n v="0"/>
    <x v="8"/>
  </r>
  <r>
    <s v="NPI2072"/>
    <d v="1899-12-30T17:07:57"/>
    <d v="1899-12-30T17:03:20"/>
    <d v="1899-12-30T00:04:36"/>
    <n v="4"/>
    <n v="36"/>
    <n v="4.5999999999999996"/>
    <n v="276"/>
    <n v="65.217391304347828"/>
    <n v="0"/>
    <x v="12"/>
  </r>
  <r>
    <s v="GDA2515"/>
    <d v="1899-12-30T00:42:43"/>
    <d v="1899-12-30T00:47:20"/>
    <d v="1899-12-30T00:04:37"/>
    <n v="4"/>
    <n v="37"/>
    <n v="4.62"/>
    <n v="277"/>
    <n v="64.981949458483754"/>
    <n v="0"/>
    <x v="13"/>
  </r>
  <r>
    <s v="CWL381S"/>
    <d v="1899-12-30T13:44:20"/>
    <d v="1899-12-30T13:48:57"/>
    <d v="1899-12-30T00:04:37"/>
    <n v="4"/>
    <n v="37"/>
    <n v="4.62"/>
    <n v="277"/>
    <n v="64.981949458483754"/>
    <n v="0"/>
    <x v="0"/>
  </r>
  <r>
    <s v="NOL4507"/>
    <d v="1899-12-30T16:03:04"/>
    <d v="1899-12-30T16:07:41"/>
    <d v="1899-12-30T00:04:37"/>
    <n v="4"/>
    <n v="37"/>
    <n v="4.62"/>
    <n v="277"/>
    <n v="64.981949458483754"/>
    <n v="0"/>
    <x v="7"/>
  </r>
  <r>
    <s v="FG41856"/>
    <d v="1899-12-30T11:03:34"/>
    <d v="1899-12-30T11:08:11"/>
    <d v="1899-12-30T00:04:37"/>
    <n v="4"/>
    <n v="37"/>
    <n v="4.62"/>
    <n v="277"/>
    <n v="64.981949458483754"/>
    <n v="0"/>
    <x v="10"/>
  </r>
  <r>
    <s v="EPA1590"/>
    <d v="1899-12-30T21:14:45"/>
    <d v="1899-12-30T21:10:07"/>
    <d v="1899-12-30T00:04:37"/>
    <n v="4"/>
    <n v="37"/>
    <n v="4.62"/>
    <n v="277"/>
    <n v="64.981949458483754"/>
    <n v="0"/>
    <x v="5"/>
  </r>
  <r>
    <s v="PO13340"/>
    <d v="1899-12-30T21:27:08"/>
    <d v="1899-12-30T21:31:47"/>
    <d v="1899-12-30T00:04:38"/>
    <n v="4"/>
    <n v="38"/>
    <n v="4.63"/>
    <n v="278"/>
    <n v="64.748201438848923"/>
    <n v="0"/>
    <x v="5"/>
  </r>
  <r>
    <s v="NOE1810"/>
    <d v="1899-12-30T22:54:53"/>
    <d v="1899-12-30T22:50:16"/>
    <d v="1899-12-30T00:04:38"/>
    <n v="4"/>
    <n v="38"/>
    <n v="4.63"/>
    <n v="278"/>
    <n v="64.748201438848923"/>
    <n v="0"/>
    <x v="9"/>
  </r>
  <r>
    <s v="NNM3913"/>
    <d v="1899-12-30T17:45:14"/>
    <d v="1899-12-30T17:49:52"/>
    <d v="1899-12-30T00:04:38"/>
    <n v="4"/>
    <n v="38"/>
    <n v="4.63"/>
    <n v="278"/>
    <n v="64.748201438848923"/>
    <n v="0"/>
    <x v="12"/>
  </r>
  <r>
    <s v="CWA6850"/>
    <d v="1899-12-30T10:18:27"/>
    <d v="1899-12-30T10:13:49"/>
    <d v="1899-12-30T00:04:38"/>
    <n v="4"/>
    <n v="38"/>
    <n v="4.63"/>
    <n v="278"/>
    <n v="64.748201438848923"/>
    <n v="0"/>
    <x v="4"/>
  </r>
  <r>
    <s v="CT31774"/>
    <d v="1899-12-30T06:02:54"/>
    <d v="1899-12-30T06:07:33"/>
    <d v="1899-12-30T00:04:39"/>
    <n v="4"/>
    <n v="39"/>
    <n v="4.6500000000000004"/>
    <n v="279"/>
    <n v="64.516129032258064"/>
    <n v="0"/>
    <x v="8"/>
  </r>
  <r>
    <s v="NMR7567"/>
    <d v="1899-12-30T10:45:48"/>
    <d v="1899-12-30T10:50:27"/>
    <d v="1899-12-30T00:04:39"/>
    <n v="4"/>
    <n v="39"/>
    <n v="4.6500000000000004"/>
    <n v="279"/>
    <n v="64.516129032258064"/>
    <n v="0"/>
    <x v="4"/>
  </r>
  <r>
    <s v="NO84797"/>
    <d v="1899-12-30T07:08:27"/>
    <d v="1899-12-30T07:13:06"/>
    <d v="1899-12-30T00:04:39"/>
    <n v="4"/>
    <n v="39"/>
    <n v="4.6500000000000004"/>
    <n v="279"/>
    <n v="64.516129032258064"/>
    <n v="0"/>
    <x v="6"/>
  </r>
  <r>
    <s v="NDZ6132"/>
    <d v="1899-12-30T19:49:22"/>
    <d v="1899-12-30T19:54:01"/>
    <d v="1899-12-30T00:04:39"/>
    <n v="4"/>
    <n v="39"/>
    <n v="4.6500000000000004"/>
    <n v="279"/>
    <n v="64.516129032258064"/>
    <n v="0"/>
    <x v="23"/>
  </r>
  <r>
    <s v="EZD9842"/>
    <d v="1899-12-30T02:52:42"/>
    <d v="1899-12-30T02:48:04"/>
    <d v="1899-12-30T00:04:39"/>
    <n v="4"/>
    <n v="39"/>
    <n v="4.6500000000000004"/>
    <n v="279"/>
    <n v="64.516129032258064"/>
    <n v="0"/>
    <x v="20"/>
  </r>
  <r>
    <s v="POB1989"/>
    <d v="1899-12-30T02:20:44"/>
    <d v="1899-12-30T02:16:04"/>
    <d v="1899-12-30T00:04:40"/>
    <n v="4"/>
    <n v="40"/>
    <n v="4.67"/>
    <n v="280"/>
    <n v="64.285714285714292"/>
    <n v="0"/>
    <x v="20"/>
  </r>
  <r>
    <s v="NNM3913"/>
    <d v="1899-12-30T22:42:50"/>
    <d v="1899-12-30T22:47:30"/>
    <d v="1899-12-30T00:04:40"/>
    <n v="4"/>
    <n v="40"/>
    <n v="4.67"/>
    <n v="280"/>
    <n v="64.285714285714292"/>
    <n v="0"/>
    <x v="9"/>
  </r>
  <r>
    <s v="SRB970D"/>
    <d v="1899-12-30T19:22:33"/>
    <d v="1899-12-30T19:17:53"/>
    <d v="1899-12-30T00:04:40"/>
    <n v="4"/>
    <n v="40"/>
    <n v="4.67"/>
    <n v="280"/>
    <n v="64.285714285714292"/>
    <n v="0"/>
    <x v="23"/>
  </r>
  <r>
    <s v="STY3028"/>
    <d v="1899-12-30T04:37:19"/>
    <d v="1899-12-30T04:32:39"/>
    <d v="1899-12-30T00:04:40"/>
    <n v="4"/>
    <n v="40"/>
    <n v="4.67"/>
    <n v="280"/>
    <n v="64.285714285714292"/>
    <n v="0"/>
    <x v="17"/>
  </r>
  <r>
    <s v="EWI961D"/>
    <d v="1899-12-30T21:14:49"/>
    <d v="1899-12-30T21:10:10"/>
    <d v="1899-12-30T00:04:40"/>
    <n v="4"/>
    <n v="40"/>
    <n v="4.67"/>
    <n v="280"/>
    <n v="64.285714285714292"/>
    <n v="0"/>
    <x v="5"/>
  </r>
  <r>
    <s v="FWS1238"/>
    <d v="1899-12-30T05:35:01"/>
    <d v="1899-12-30T05:39:42"/>
    <d v="1899-12-30T00:04:41"/>
    <n v="4"/>
    <n v="41"/>
    <n v="4.68"/>
    <n v="281"/>
    <n v="64.056939501779354"/>
    <n v="0"/>
    <x v="14"/>
  </r>
  <r>
    <s v="NBR3345"/>
    <d v="1899-12-30T03:06:09"/>
    <d v="1899-12-30T03:01:27"/>
    <d v="1899-12-30T00:04:42"/>
    <n v="4"/>
    <n v="42"/>
    <n v="4.7"/>
    <n v="282"/>
    <n v="63.829787234042556"/>
    <n v="0"/>
    <x v="11"/>
  </r>
  <r>
    <s v="WZW7144"/>
    <d v="1899-12-30T12:05:02"/>
    <d v="1899-12-30T12:09:44"/>
    <d v="1899-12-30T00:04:42"/>
    <n v="4"/>
    <n v="42"/>
    <n v="4.7"/>
    <n v="282"/>
    <n v="63.829787234042556"/>
    <n v="0"/>
    <x v="3"/>
  </r>
  <r>
    <s v="EZG9571"/>
    <d v="1899-12-30T07:04:29"/>
    <d v="1899-12-30T07:09:11"/>
    <d v="1899-12-30T00:04:42"/>
    <n v="4"/>
    <n v="42"/>
    <n v="4.7"/>
    <n v="282"/>
    <n v="63.829787234042556"/>
    <n v="0"/>
    <x v="6"/>
  </r>
  <r>
    <s v="NOG3903"/>
    <d v="1899-12-30T10:40:55"/>
    <d v="1899-12-30T10:45:37"/>
    <d v="1899-12-30T00:04:42"/>
    <n v="4"/>
    <n v="42"/>
    <n v="4.7"/>
    <n v="282"/>
    <n v="63.829787234042556"/>
    <n v="0"/>
    <x v="4"/>
  </r>
  <r>
    <s v="GCZ2644"/>
    <d v="1899-12-30T17:14:11"/>
    <d v="1899-12-30T17:09:29"/>
    <d v="1899-12-30T00:04:42"/>
    <n v="4"/>
    <n v="42"/>
    <n v="4.7"/>
    <n v="282"/>
    <n v="63.829787234042556"/>
    <n v="0"/>
    <x v="12"/>
  </r>
  <r>
    <s v="FSW8833"/>
    <d v="1899-12-30T01:38:43"/>
    <d v="1899-12-30T01:33:59"/>
    <d v="1899-12-30T00:04:43"/>
    <n v="4"/>
    <n v="43"/>
    <n v="4.72"/>
    <n v="283"/>
    <n v="63.60424028268551"/>
    <n v="0"/>
    <x v="16"/>
  </r>
  <r>
    <s v="FSL6199"/>
    <d v="1899-12-30T23:39:57"/>
    <d v="1899-12-30T23:35:14"/>
    <d v="1899-12-30T00:04:43"/>
    <n v="4"/>
    <n v="43"/>
    <n v="4.72"/>
    <n v="283"/>
    <n v="63.60424028268551"/>
    <n v="0"/>
    <x v="22"/>
  </r>
  <r>
    <s v="NOE1810"/>
    <d v="1899-12-30T10:07:18"/>
    <d v="1899-12-30T10:12:01"/>
    <d v="1899-12-30T00:04:43"/>
    <n v="4"/>
    <n v="43"/>
    <n v="4.72"/>
    <n v="283"/>
    <n v="63.60424028268551"/>
    <n v="0"/>
    <x v="4"/>
  </r>
  <r>
    <s v="WZU7839"/>
    <d v="1899-12-30T23:13:25"/>
    <d v="1899-12-30T23:08:42"/>
    <d v="1899-12-30T00:04:43"/>
    <n v="4"/>
    <n v="43"/>
    <n v="4.72"/>
    <n v="283"/>
    <n v="63.60424028268551"/>
    <n v="0"/>
    <x v="22"/>
  </r>
  <r>
    <s v="WSE1444"/>
    <d v="1899-12-30T14:55:05"/>
    <d v="1899-12-30T14:50:20"/>
    <d v="1899-12-30T00:04:44"/>
    <n v="4"/>
    <n v="44"/>
    <n v="4.7300000000000004"/>
    <n v="284"/>
    <n v="63.380281690140848"/>
    <n v="0"/>
    <x v="21"/>
  </r>
  <r>
    <s v="RT86483"/>
    <d v="1899-12-30T22:15:38"/>
    <d v="1899-12-30T22:10:54"/>
    <d v="1899-12-30T00:04:44"/>
    <n v="4"/>
    <n v="44"/>
    <n v="4.7300000000000004"/>
    <n v="284"/>
    <n v="63.380281690140848"/>
    <n v="0"/>
    <x v="9"/>
  </r>
  <r>
    <s v="CCH2234"/>
    <d v="1899-12-30T02:36:44"/>
    <d v="1899-12-30T02:32:00"/>
    <d v="1899-12-30T00:04:44"/>
    <n v="4"/>
    <n v="44"/>
    <n v="4.7300000000000004"/>
    <n v="284"/>
    <n v="63.380281690140848"/>
    <n v="0"/>
    <x v="20"/>
  </r>
  <r>
    <s v="NIL3535"/>
    <d v="1899-12-30T17:06:38"/>
    <d v="1899-12-30T17:11:22"/>
    <d v="1899-12-30T00:04:44"/>
    <n v="4"/>
    <n v="44"/>
    <n v="4.7300000000000004"/>
    <n v="284"/>
    <n v="63.380281690140848"/>
    <n v="0"/>
    <x v="12"/>
  </r>
  <r>
    <s v="NNM3913"/>
    <d v="1899-12-30T13:31:57"/>
    <d v="1899-12-30T13:27:13"/>
    <d v="1899-12-30T00:04:44"/>
    <n v="4"/>
    <n v="44"/>
    <n v="4.7300000000000004"/>
    <n v="284"/>
    <n v="63.380281690140848"/>
    <n v="0"/>
    <x v="0"/>
  </r>
  <r>
    <s v="NOS9404"/>
    <d v="1899-12-30T21:45:16"/>
    <d v="1899-12-30T21:50:00"/>
    <d v="1899-12-30T00:04:44"/>
    <n v="4"/>
    <n v="44"/>
    <n v="4.7300000000000004"/>
    <n v="284"/>
    <n v="63.380281690140848"/>
    <n v="0"/>
    <x v="5"/>
  </r>
  <r>
    <s v="ZSZ5258"/>
    <d v="1899-12-30T21:52:29"/>
    <d v="1899-12-30T21:57:13"/>
    <d v="1899-12-30T00:04:44"/>
    <n v="4"/>
    <n v="44"/>
    <n v="4.7300000000000004"/>
    <n v="284"/>
    <n v="63.380281690140848"/>
    <n v="0"/>
    <x v="5"/>
  </r>
  <r>
    <s v="CAL4310"/>
    <d v="1899-12-30T14:12:49"/>
    <d v="1899-12-30T14:17:34"/>
    <d v="1899-12-30T00:04:45"/>
    <n v="4"/>
    <n v="45"/>
    <n v="4.75"/>
    <n v="285"/>
    <n v="63.15789473684211"/>
    <n v="0"/>
    <x v="21"/>
  </r>
  <r>
    <s v="NNI5982"/>
    <d v="1899-12-30T12:38:06"/>
    <d v="1899-12-30T12:33:22"/>
    <d v="1899-12-30T00:04:45"/>
    <n v="4"/>
    <n v="45"/>
    <n v="4.75"/>
    <n v="285"/>
    <n v="63.15789473684211"/>
    <n v="0"/>
    <x v="3"/>
  </r>
  <r>
    <s v="LWL7800"/>
    <d v="1899-12-30T20:22:07"/>
    <d v="1899-12-30T20:26:53"/>
    <d v="1899-12-30T00:04:45"/>
    <n v="4"/>
    <n v="45"/>
    <n v="4.75"/>
    <n v="285"/>
    <n v="63.15789473684211"/>
    <n v="0"/>
    <x v="15"/>
  </r>
  <r>
    <s v="DPL8260"/>
    <d v="1899-12-30T00:36:27"/>
    <d v="1899-12-30T00:41:13"/>
    <d v="1899-12-30T00:04:46"/>
    <n v="4"/>
    <n v="46"/>
    <n v="4.7699999999999996"/>
    <n v="286"/>
    <n v="62.937062937062933"/>
    <n v="0"/>
    <x v="13"/>
  </r>
  <r>
    <s v="RZE7144"/>
    <d v="1899-12-30T06:12:57"/>
    <d v="1899-12-30T06:17:43"/>
    <d v="1899-12-30T00:04:46"/>
    <n v="4"/>
    <n v="46"/>
    <n v="4.7699999999999996"/>
    <n v="286"/>
    <n v="62.937062937062933"/>
    <n v="0"/>
    <x v="8"/>
  </r>
  <r>
    <s v="NMR7567"/>
    <d v="1899-12-30T08:47:29"/>
    <d v="1899-12-30T08:42:43"/>
    <d v="1899-12-30T00:04:46"/>
    <n v="4"/>
    <n v="46"/>
    <n v="4.7699999999999996"/>
    <n v="286"/>
    <n v="62.937062937062933"/>
    <n v="0"/>
    <x v="2"/>
  </r>
  <r>
    <s v="NBR3345"/>
    <d v="1899-12-30T05:28:41"/>
    <d v="1899-12-30T05:23:54"/>
    <d v="1899-12-30T00:04:47"/>
    <n v="4"/>
    <n v="47"/>
    <n v="4.78"/>
    <n v="287"/>
    <n v="62.717770034843205"/>
    <n v="0"/>
    <x v="14"/>
  </r>
  <r>
    <s v="EPA8924"/>
    <d v="1899-12-30T01:24:11"/>
    <d v="1899-12-30T01:28:58"/>
    <d v="1899-12-30T00:04:47"/>
    <n v="4"/>
    <n v="47"/>
    <n v="4.78"/>
    <n v="287"/>
    <n v="62.717770034843205"/>
    <n v="0"/>
    <x v="16"/>
  </r>
  <r>
    <s v="LZA7235"/>
    <d v="1899-12-30T01:49:41"/>
    <d v="1899-12-30T01:54:27"/>
    <d v="1899-12-30T00:04:47"/>
    <n v="4"/>
    <n v="47"/>
    <n v="4.78"/>
    <n v="287"/>
    <n v="62.717770034843205"/>
    <n v="0"/>
    <x v="16"/>
  </r>
  <r>
    <s v="ELE4598"/>
    <d v="1899-12-30T14:35:44"/>
    <d v="1899-12-30T14:40:31"/>
    <d v="1899-12-30T00:04:47"/>
    <n v="4"/>
    <n v="47"/>
    <n v="4.78"/>
    <n v="287"/>
    <n v="62.717770034843205"/>
    <n v="0"/>
    <x v="21"/>
  </r>
  <r>
    <s v="FSW8833"/>
    <d v="1899-12-30T21:27:58"/>
    <d v="1899-12-30T21:23:11"/>
    <d v="1899-12-30T00:04:47"/>
    <n v="4"/>
    <n v="47"/>
    <n v="4.78"/>
    <n v="287"/>
    <n v="62.717770034843205"/>
    <n v="0"/>
    <x v="5"/>
  </r>
  <r>
    <s v="NOG3903"/>
    <d v="1899-12-30T09:42:10"/>
    <d v="1899-12-30T09:46:56"/>
    <d v="1899-12-30T00:04:47"/>
    <n v="4"/>
    <n v="47"/>
    <n v="4.78"/>
    <n v="287"/>
    <n v="62.717770034843205"/>
    <n v="0"/>
    <x v="18"/>
  </r>
  <r>
    <s v="NNI5982"/>
    <d v="1899-12-30T17:01:44"/>
    <d v="1899-12-30T17:06:31"/>
    <d v="1899-12-30T00:04:47"/>
    <n v="4"/>
    <n v="47"/>
    <n v="4.78"/>
    <n v="287"/>
    <n v="62.717770034843205"/>
    <n v="0"/>
    <x v="12"/>
  </r>
  <r>
    <s v="WSZ9428"/>
    <d v="1899-12-30T18:19:31"/>
    <d v="1899-12-30T18:14:44"/>
    <d v="1899-12-30T00:04:47"/>
    <n v="4"/>
    <n v="47"/>
    <n v="4.78"/>
    <n v="287"/>
    <n v="62.717770034843205"/>
    <n v="0"/>
    <x v="1"/>
  </r>
  <r>
    <s v="CTU1210"/>
    <d v="1899-12-30T22:48:34"/>
    <d v="1899-12-30T22:53:22"/>
    <d v="1899-12-30T00:04:48"/>
    <n v="4"/>
    <n v="48"/>
    <n v="4.8"/>
    <n v="288"/>
    <n v="62.5"/>
    <n v="0"/>
    <x v="9"/>
  </r>
  <r>
    <s v="NOG3903"/>
    <d v="1899-12-30T05:37:05"/>
    <d v="1899-12-30T05:32:17"/>
    <d v="1899-12-30T00:04:48"/>
    <n v="4"/>
    <n v="48"/>
    <n v="4.8"/>
    <n v="288"/>
    <n v="62.5"/>
    <n v="0"/>
    <x v="14"/>
  </r>
  <r>
    <s v="LUB2655"/>
    <d v="1899-12-30T19:25:27"/>
    <d v="1899-12-30T19:30:15"/>
    <d v="1899-12-30T00:04:48"/>
    <n v="4"/>
    <n v="48"/>
    <n v="4.8"/>
    <n v="288"/>
    <n v="62.5"/>
    <n v="0"/>
    <x v="23"/>
  </r>
  <r>
    <s v="NBA1025"/>
    <d v="1899-12-30T15:50:56"/>
    <d v="1899-12-30T15:46:07"/>
    <d v="1899-12-30T00:04:49"/>
    <n v="4"/>
    <n v="49"/>
    <n v="4.82"/>
    <n v="289"/>
    <n v="62.283737024221459"/>
    <n v="0"/>
    <x v="19"/>
  </r>
  <r>
    <s v="NO84797"/>
    <d v="1899-12-30T17:50:10"/>
    <d v="1899-12-30T17:54:59"/>
    <d v="1899-12-30T00:04:49"/>
    <n v="4"/>
    <n v="49"/>
    <n v="4.82"/>
    <n v="289"/>
    <n v="62.283737024221459"/>
    <n v="0"/>
    <x v="12"/>
  </r>
  <r>
    <s v="GA77712"/>
    <d v="1899-12-30T12:52:26"/>
    <d v="1899-12-30T12:47:37"/>
    <d v="1899-12-30T00:04:49"/>
    <n v="4"/>
    <n v="49"/>
    <n v="4.82"/>
    <n v="289"/>
    <n v="62.283737024221459"/>
    <n v="0"/>
    <x v="3"/>
  </r>
  <r>
    <s v="BLM8782"/>
    <d v="1899-12-30T13:57:15"/>
    <d v="1899-12-30T14:02:04"/>
    <d v="1899-12-30T00:04:49"/>
    <n v="4"/>
    <n v="49"/>
    <n v="4.82"/>
    <n v="289"/>
    <n v="62.283737024221459"/>
    <n v="0"/>
    <x v="0"/>
  </r>
  <r>
    <s v="NGO2477"/>
    <d v="1899-12-30T06:11:14"/>
    <d v="1899-12-30T06:06:25"/>
    <d v="1899-12-30T00:04:49"/>
    <n v="4"/>
    <n v="49"/>
    <n v="4.82"/>
    <n v="289"/>
    <n v="62.283737024221459"/>
    <n v="0"/>
    <x v="8"/>
  </r>
  <r>
    <s v="DKA7028"/>
    <d v="1899-12-30T18:31:30"/>
    <d v="1899-12-30T18:26:41"/>
    <d v="1899-12-30T00:04:49"/>
    <n v="4"/>
    <n v="49"/>
    <n v="4.82"/>
    <n v="289"/>
    <n v="62.283737024221459"/>
    <n v="0"/>
    <x v="1"/>
  </r>
  <r>
    <s v="WW8829E"/>
    <d v="1899-12-30T03:52:25"/>
    <d v="1899-12-30T03:47:36"/>
    <d v="1899-12-30T00:04:50"/>
    <n v="4"/>
    <n v="50"/>
    <n v="4.83"/>
    <n v="290"/>
    <n v="62.068965517241381"/>
    <n v="0"/>
    <x v="11"/>
  </r>
  <r>
    <s v="NO84797"/>
    <d v="1899-12-30T21:31:48"/>
    <d v="1899-12-30T21:26:59"/>
    <d v="1899-12-30T00:04:50"/>
    <n v="4"/>
    <n v="50"/>
    <n v="4.83"/>
    <n v="290"/>
    <n v="62.068965517241381"/>
    <n v="0"/>
    <x v="5"/>
  </r>
  <r>
    <s v="ELW4637"/>
    <d v="1899-12-30T12:55:57"/>
    <d v="1899-12-30T12:51:06"/>
    <d v="1899-12-30T00:04:50"/>
    <n v="4"/>
    <n v="50"/>
    <n v="4.83"/>
    <n v="290"/>
    <n v="62.068965517241381"/>
    <n v="0"/>
    <x v="3"/>
  </r>
  <r>
    <s v="FZA9218"/>
    <d v="1899-12-30T09:25:10"/>
    <d v="1899-12-30T09:30:00"/>
    <d v="1899-12-30T00:04:50"/>
    <n v="4"/>
    <n v="50"/>
    <n v="4.83"/>
    <n v="290"/>
    <n v="62.068965517241381"/>
    <n v="0"/>
    <x v="18"/>
  </r>
  <r>
    <s v="NO84797"/>
    <d v="1899-12-30T00:34:17"/>
    <d v="1899-12-30T00:29:27"/>
    <d v="1899-12-30T00:04:50"/>
    <n v="4"/>
    <n v="50"/>
    <n v="4.83"/>
    <n v="290"/>
    <n v="62.068965517241381"/>
    <n v="0"/>
    <x v="13"/>
  </r>
  <r>
    <s v="RZE7144"/>
    <d v="1899-12-30T17:58:43"/>
    <d v="1899-12-30T17:53:53"/>
    <d v="1899-12-30T00:04:50"/>
    <n v="4"/>
    <n v="50"/>
    <n v="4.83"/>
    <n v="290"/>
    <n v="62.068965517241381"/>
    <n v="0"/>
    <x v="12"/>
  </r>
  <r>
    <s v="RZE7144"/>
    <d v="1899-12-30T02:54:49"/>
    <d v="1899-12-30T02:59:39"/>
    <d v="1899-12-30T00:04:50"/>
    <n v="4"/>
    <n v="50"/>
    <n v="4.83"/>
    <n v="290"/>
    <n v="62.068965517241381"/>
    <n v="0"/>
    <x v="20"/>
  </r>
  <r>
    <s v="BSK5990"/>
    <d v="1899-12-30T05:14:32"/>
    <d v="1899-12-30T05:09:42"/>
    <d v="1899-12-30T00:04:50"/>
    <n v="4"/>
    <n v="50"/>
    <n v="4.83"/>
    <n v="290"/>
    <n v="62.068965517241381"/>
    <n v="0"/>
    <x v="14"/>
  </r>
  <r>
    <s v="WA22592"/>
    <d v="1899-12-30T17:12:30"/>
    <d v="1899-12-30T17:07:40"/>
    <d v="1899-12-30T00:04:50"/>
    <n v="4"/>
    <n v="50"/>
    <n v="4.83"/>
    <n v="290"/>
    <n v="62.068965517241381"/>
    <n v="0"/>
    <x v="12"/>
  </r>
  <r>
    <s v="CBR7720"/>
    <d v="1899-12-30T03:18:16"/>
    <d v="1899-12-30T03:13:26"/>
    <d v="1899-12-30T00:04:50"/>
    <n v="4"/>
    <n v="50"/>
    <n v="4.83"/>
    <n v="290"/>
    <n v="62.068965517241381"/>
    <n v="0"/>
    <x v="11"/>
  </r>
  <r>
    <s v="RZE7144"/>
    <d v="1899-12-30T23:34:46"/>
    <d v="1899-12-30T23:39:38"/>
    <d v="1899-12-30T00:04:51"/>
    <n v="4"/>
    <n v="51"/>
    <n v="4.8499999999999996"/>
    <n v="291"/>
    <n v="61.855670103092784"/>
    <n v="0"/>
    <x v="22"/>
  </r>
  <r>
    <s v="SWD1063"/>
    <d v="1899-12-30T19:07:55"/>
    <d v="1899-12-30T19:12:46"/>
    <d v="1899-12-30T00:04:51"/>
    <n v="4"/>
    <n v="51"/>
    <n v="4.8499999999999996"/>
    <n v="291"/>
    <n v="61.855670103092784"/>
    <n v="0"/>
    <x v="23"/>
  </r>
  <r>
    <s v="LZ36064"/>
    <d v="1899-12-30T09:29:47"/>
    <d v="1899-12-30T09:24:56"/>
    <d v="1899-12-30T00:04:51"/>
    <n v="4"/>
    <n v="51"/>
    <n v="4.8499999999999996"/>
    <n v="291"/>
    <n v="61.855670103092784"/>
    <n v="0"/>
    <x v="18"/>
  </r>
  <r>
    <s v="ELW4637"/>
    <d v="1899-12-30T09:28:28"/>
    <d v="1899-12-30T09:23:38"/>
    <d v="1899-12-30T00:04:51"/>
    <n v="4"/>
    <n v="51"/>
    <n v="4.8499999999999996"/>
    <n v="291"/>
    <n v="61.855670103092784"/>
    <n v="0"/>
    <x v="18"/>
  </r>
  <r>
    <s v="NOE1810"/>
    <d v="1899-12-30T19:42:46"/>
    <d v="1899-12-30T19:47:37"/>
    <d v="1899-12-30T00:04:51"/>
    <n v="4"/>
    <n v="51"/>
    <n v="4.8499999999999996"/>
    <n v="291"/>
    <n v="61.855670103092784"/>
    <n v="0"/>
    <x v="23"/>
  </r>
  <r>
    <s v="FZ17044"/>
    <d v="1899-12-30T19:55:18"/>
    <d v="1899-12-30T19:50:27"/>
    <d v="1899-12-30T00:04:51"/>
    <n v="4"/>
    <n v="51"/>
    <n v="4.8499999999999996"/>
    <n v="291"/>
    <n v="61.855670103092784"/>
    <n v="0"/>
    <x v="23"/>
  </r>
  <r>
    <s v="FZG4304"/>
    <d v="1899-12-30T08:19:36"/>
    <d v="1899-12-30T08:24:27"/>
    <d v="1899-12-30T00:04:51"/>
    <n v="4"/>
    <n v="51"/>
    <n v="4.8499999999999996"/>
    <n v="291"/>
    <n v="61.855670103092784"/>
    <n v="0"/>
    <x v="2"/>
  </r>
  <r>
    <s v="GA77712"/>
    <d v="1899-12-30T01:29:13"/>
    <d v="1899-12-30T01:24:21"/>
    <d v="1899-12-30T00:04:52"/>
    <n v="4"/>
    <n v="52"/>
    <n v="4.87"/>
    <n v="292"/>
    <n v="61.643835616438352"/>
    <n v="0"/>
    <x v="16"/>
  </r>
  <r>
    <s v="KTT2196"/>
    <d v="1899-12-30T08:54:44"/>
    <d v="1899-12-30T08:59:36"/>
    <d v="1899-12-30T00:04:52"/>
    <n v="4"/>
    <n v="52"/>
    <n v="4.87"/>
    <n v="292"/>
    <n v="61.643835616438352"/>
    <n v="0"/>
    <x v="2"/>
  </r>
  <r>
    <s v="WT96288"/>
    <d v="1899-12-30T20:56:04"/>
    <d v="1899-12-30T20:51:12"/>
    <d v="1899-12-30T00:04:52"/>
    <n v="4"/>
    <n v="52"/>
    <n v="4.87"/>
    <n v="292"/>
    <n v="61.643835616438352"/>
    <n v="0"/>
    <x v="15"/>
  </r>
  <r>
    <s v="CAL4809"/>
    <d v="1899-12-30T22:31:33"/>
    <d v="1899-12-30T22:36:25"/>
    <d v="1899-12-30T00:04:52"/>
    <n v="4"/>
    <n v="52"/>
    <n v="4.87"/>
    <n v="292"/>
    <n v="61.643835616438352"/>
    <n v="0"/>
    <x v="9"/>
  </r>
  <r>
    <s v="NOE1810"/>
    <d v="1899-12-30T12:10:33"/>
    <d v="1899-12-30T12:15:26"/>
    <d v="1899-12-30T00:04:53"/>
    <n v="4"/>
    <n v="53"/>
    <n v="4.88"/>
    <n v="293"/>
    <n v="61.43344709897611"/>
    <n v="0"/>
    <x v="3"/>
  </r>
  <r>
    <s v="CG97781"/>
    <d v="1899-12-30T01:34:19"/>
    <d v="1899-12-30T01:39:12"/>
    <d v="1899-12-30T00:04:53"/>
    <n v="4"/>
    <n v="53"/>
    <n v="4.88"/>
    <n v="293"/>
    <n v="61.43344709897611"/>
    <n v="0"/>
    <x v="16"/>
  </r>
  <r>
    <s v="NMR7567"/>
    <d v="1899-12-30T01:30:19"/>
    <d v="1899-12-30T01:35:13"/>
    <d v="1899-12-30T00:04:53"/>
    <n v="4"/>
    <n v="53"/>
    <n v="4.88"/>
    <n v="293"/>
    <n v="61.43344709897611"/>
    <n v="0"/>
    <x v="16"/>
  </r>
  <r>
    <s v="NOG3903"/>
    <d v="1899-12-30T14:21:59"/>
    <d v="1899-12-30T14:17:06"/>
    <d v="1899-12-30T00:04:53"/>
    <n v="4"/>
    <n v="53"/>
    <n v="4.88"/>
    <n v="293"/>
    <n v="61.43344709897611"/>
    <n v="0"/>
    <x v="21"/>
  </r>
  <r>
    <s v="ZSZ29GR"/>
    <d v="1899-12-30T17:04:04"/>
    <d v="1899-12-30T16:59:11"/>
    <d v="1899-12-30T00:04:53"/>
    <n v="4"/>
    <n v="53"/>
    <n v="4.88"/>
    <n v="293"/>
    <n v="61.43344709897611"/>
    <n v="0"/>
    <x v="12"/>
  </r>
  <r>
    <s v="CT31774"/>
    <d v="1899-12-30T01:14:41"/>
    <d v="1899-12-30T01:19:34"/>
    <d v="1899-12-30T00:04:53"/>
    <n v="4"/>
    <n v="53"/>
    <n v="4.88"/>
    <n v="293"/>
    <n v="61.43344709897611"/>
    <n v="0"/>
    <x v="16"/>
  </r>
  <r>
    <s v="GWE660D"/>
    <d v="1899-12-30T18:51:29"/>
    <d v="1899-12-30T18:56:23"/>
    <d v="1899-12-30T00:04:54"/>
    <n v="4"/>
    <n v="54"/>
    <n v="4.9000000000000004"/>
    <n v="294"/>
    <n v="61.224489795918366"/>
    <n v="0"/>
    <x v="1"/>
  </r>
  <r>
    <s v="BS62755"/>
    <d v="1899-12-30T08:38:01"/>
    <d v="1899-12-30T08:33:07"/>
    <d v="1899-12-30T00:04:54"/>
    <n v="4"/>
    <n v="54"/>
    <n v="4.9000000000000004"/>
    <n v="294"/>
    <n v="61.224489795918366"/>
    <n v="0"/>
    <x v="2"/>
  </r>
  <r>
    <s v="CGR5488"/>
    <d v="1899-12-30T19:05:39"/>
    <d v="1899-12-30T19:00:45"/>
    <d v="1899-12-30T00:04:54"/>
    <n v="4"/>
    <n v="54"/>
    <n v="4.9000000000000004"/>
    <n v="294"/>
    <n v="61.224489795918366"/>
    <n v="0"/>
    <x v="23"/>
  </r>
  <r>
    <s v="NOL4507"/>
    <d v="1899-12-30T13:16:09"/>
    <d v="1899-12-30T13:21:03"/>
    <d v="1899-12-30T00:04:54"/>
    <n v="4"/>
    <n v="54"/>
    <n v="4.9000000000000004"/>
    <n v="294"/>
    <n v="61.224489795918366"/>
    <n v="0"/>
    <x v="0"/>
  </r>
  <r>
    <s v="FZI4964"/>
    <d v="1899-12-30T18:23:53"/>
    <d v="1899-12-30T18:18:59"/>
    <d v="1899-12-30T00:04:54"/>
    <n v="4"/>
    <n v="54"/>
    <n v="4.9000000000000004"/>
    <n v="294"/>
    <n v="61.224489795918366"/>
    <n v="0"/>
    <x v="1"/>
  </r>
  <r>
    <s v="CGD8150"/>
    <d v="1899-12-30T19:03:09"/>
    <d v="1899-12-30T18:58:14"/>
    <d v="1899-12-30T00:04:55"/>
    <n v="4"/>
    <n v="55"/>
    <n v="4.92"/>
    <n v="295"/>
    <n v="61.016949152542367"/>
    <n v="0"/>
    <x v="23"/>
  </r>
  <r>
    <s v="EOP7868"/>
    <d v="1899-12-30T17:51:03"/>
    <d v="1899-12-30T17:55:58"/>
    <d v="1899-12-30T00:04:55"/>
    <n v="4"/>
    <n v="55"/>
    <n v="4.92"/>
    <n v="295"/>
    <n v="61.016949152542367"/>
    <n v="0"/>
    <x v="12"/>
  </r>
  <r>
    <s v="SW39699"/>
    <d v="1899-12-30T11:19:09"/>
    <d v="1899-12-30T11:14:13"/>
    <d v="1899-12-30T00:04:55"/>
    <n v="4"/>
    <n v="55"/>
    <n v="4.92"/>
    <n v="295"/>
    <n v="61.016949152542367"/>
    <n v="0"/>
    <x v="10"/>
  </r>
  <r>
    <s v="NOG3903"/>
    <d v="1899-12-30T12:28:40"/>
    <d v="1899-12-30T12:33:35"/>
    <d v="1899-12-30T00:04:55"/>
    <n v="4"/>
    <n v="55"/>
    <n v="4.92"/>
    <n v="295"/>
    <n v="61.016949152542367"/>
    <n v="0"/>
    <x v="3"/>
  </r>
  <r>
    <s v="NLI1794"/>
    <d v="1899-12-30T22:13:54"/>
    <d v="1899-12-30T22:08:59"/>
    <d v="1899-12-30T00:04:55"/>
    <n v="4"/>
    <n v="55"/>
    <n v="4.92"/>
    <n v="295"/>
    <n v="61.016949152542367"/>
    <n v="0"/>
    <x v="9"/>
  </r>
  <r>
    <s v="NPI2072"/>
    <d v="1899-12-30T16:11:14"/>
    <d v="1899-12-30T16:16:10"/>
    <d v="1899-12-30T00:04:56"/>
    <n v="4"/>
    <n v="56"/>
    <n v="4.93"/>
    <n v="296"/>
    <n v="60.810810810810807"/>
    <n v="0"/>
    <x v="7"/>
  </r>
  <r>
    <s v="WSK6080"/>
    <d v="1899-12-30T17:45:32"/>
    <d v="1899-12-30T17:50:28"/>
    <d v="1899-12-30T00:04:56"/>
    <n v="4"/>
    <n v="56"/>
    <n v="4.93"/>
    <n v="296"/>
    <n v="60.810810810810807"/>
    <n v="0"/>
    <x v="12"/>
  </r>
  <r>
    <s v="WL49978"/>
    <d v="1899-12-30T01:31:25"/>
    <d v="1899-12-30T01:36:21"/>
    <d v="1899-12-30T00:04:56"/>
    <n v="4"/>
    <n v="56"/>
    <n v="4.93"/>
    <n v="296"/>
    <n v="60.810810810810807"/>
    <n v="0"/>
    <x v="16"/>
  </r>
  <r>
    <s v="SR84334"/>
    <d v="1899-12-30T17:09:09"/>
    <d v="1899-12-30T17:14:05"/>
    <d v="1899-12-30T00:04:56"/>
    <n v="4"/>
    <n v="56"/>
    <n v="4.93"/>
    <n v="296"/>
    <n v="60.810810810810807"/>
    <n v="0"/>
    <x v="12"/>
  </r>
  <r>
    <s v="KWA9676"/>
    <d v="1899-12-30T13:26:28"/>
    <d v="1899-12-30T13:21:32"/>
    <d v="1899-12-30T00:04:56"/>
    <n v="4"/>
    <n v="56"/>
    <n v="4.93"/>
    <n v="296"/>
    <n v="60.810810810810807"/>
    <n v="0"/>
    <x v="0"/>
  </r>
  <r>
    <s v="WW82357"/>
    <d v="1899-12-30T17:03:34"/>
    <d v="1899-12-30T16:58:38"/>
    <d v="1899-12-30T00:04:56"/>
    <n v="4"/>
    <n v="56"/>
    <n v="4.93"/>
    <n v="296"/>
    <n v="60.810810810810807"/>
    <n v="0"/>
    <x v="12"/>
  </r>
  <r>
    <s v="FSW8833"/>
    <d v="1899-12-30T06:00:11"/>
    <d v="1899-12-30T05:55:14"/>
    <d v="1899-12-30T00:04:57"/>
    <n v="4"/>
    <n v="57"/>
    <n v="4.95"/>
    <n v="297"/>
    <n v="60.606060606060609"/>
    <n v="0"/>
    <x v="8"/>
  </r>
  <r>
    <s v="NGO9410"/>
    <d v="1899-12-30T11:45:10"/>
    <d v="1899-12-30T11:40:13"/>
    <d v="1899-12-30T00:04:57"/>
    <n v="4"/>
    <n v="57"/>
    <n v="4.95"/>
    <n v="297"/>
    <n v="60.606060606060609"/>
    <n v="0"/>
    <x v="10"/>
  </r>
  <r>
    <s v="STY6873"/>
    <d v="1899-12-30T09:12:34"/>
    <d v="1899-12-30T09:07:37"/>
    <d v="1899-12-30T00:04:57"/>
    <n v="4"/>
    <n v="57"/>
    <n v="4.95"/>
    <n v="297"/>
    <n v="60.606060606060609"/>
    <n v="0"/>
    <x v="18"/>
  </r>
  <r>
    <s v="DSR6069"/>
    <d v="1899-12-30T22:15:23"/>
    <d v="1899-12-30T22:20:21"/>
    <d v="1899-12-30T00:04:57"/>
    <n v="4"/>
    <n v="57"/>
    <n v="4.95"/>
    <n v="297"/>
    <n v="60.606060606060609"/>
    <n v="0"/>
    <x v="9"/>
  </r>
  <r>
    <s v="NOG3903"/>
    <d v="1899-12-30T04:49:59"/>
    <d v="1899-12-30T04:45:01"/>
    <d v="1899-12-30T00:04:58"/>
    <n v="4"/>
    <n v="58"/>
    <n v="4.97"/>
    <n v="298"/>
    <n v="60.402684563758385"/>
    <n v="0"/>
    <x v="17"/>
  </r>
  <r>
    <s v="NIL3535"/>
    <d v="1899-12-30T01:22:45"/>
    <d v="1899-12-30T01:17:47"/>
    <d v="1899-12-30T00:04:58"/>
    <n v="4"/>
    <n v="58"/>
    <n v="4.97"/>
    <n v="298"/>
    <n v="60.402684563758385"/>
    <n v="0"/>
    <x v="16"/>
  </r>
  <r>
    <s v="EP33151"/>
    <d v="1899-12-30T14:11:15"/>
    <d v="1899-12-30T14:06:17"/>
    <d v="1899-12-30T00:04:58"/>
    <n v="4"/>
    <n v="58"/>
    <n v="4.97"/>
    <n v="298"/>
    <n v="60.402684563758385"/>
    <n v="0"/>
    <x v="21"/>
  </r>
  <r>
    <s v="NKE9304"/>
    <d v="1899-12-30T15:42:41"/>
    <d v="1899-12-30T15:47:40"/>
    <d v="1899-12-30T00:04:59"/>
    <n v="4"/>
    <n v="59"/>
    <n v="4.9800000000000004"/>
    <n v="299"/>
    <n v="60.200668896321076"/>
    <n v="0"/>
    <x v="19"/>
  </r>
  <r>
    <s v="NOE1810"/>
    <d v="1899-12-30T17:52:22"/>
    <d v="1899-12-30T17:57:21"/>
    <d v="1899-12-30T00:04:59"/>
    <n v="4"/>
    <n v="59"/>
    <n v="4.9800000000000004"/>
    <n v="299"/>
    <n v="60.200668896321076"/>
    <n v="0"/>
    <x v="12"/>
  </r>
  <r>
    <s v="NO84797"/>
    <d v="1899-12-30T02:01:26"/>
    <d v="1899-12-30T01:56:27"/>
    <d v="1899-12-30T00:04:59"/>
    <n v="4"/>
    <n v="59"/>
    <n v="4.9800000000000004"/>
    <n v="299"/>
    <n v="60.200668896321076"/>
    <n v="0"/>
    <x v="20"/>
  </r>
  <r>
    <s v="NO84797"/>
    <d v="1899-12-30T11:01:39"/>
    <d v="1899-12-30T10:56:38"/>
    <d v="1899-12-30T00:05:00"/>
    <n v="5"/>
    <n v="0"/>
    <n v="5"/>
    <n v="300"/>
    <n v="60"/>
    <n v="0"/>
    <x v="10"/>
  </r>
  <r>
    <s v="LZA7235"/>
    <d v="1899-12-30T23:05:07"/>
    <d v="1899-12-30T23:00:07"/>
    <d v="1899-12-30T00:05:00"/>
    <n v="5"/>
    <n v="0"/>
    <n v="5"/>
    <n v="300"/>
    <n v="60"/>
    <n v="0"/>
    <x v="22"/>
  </r>
  <r>
    <s v="ZSZ97CD"/>
    <d v="1899-12-30T19:22:44"/>
    <d v="1899-12-30T19:17:44"/>
    <d v="1899-12-30T00:05:00"/>
    <n v="5"/>
    <n v="0"/>
    <n v="5"/>
    <n v="300"/>
    <n v="60"/>
    <n v="0"/>
    <x v="23"/>
  </r>
  <r>
    <s v="SW39699"/>
    <d v="1899-12-30T17:00:35"/>
    <d v="1899-12-30T17:05:35"/>
    <d v="1899-12-30T00:05:00"/>
    <n v="5"/>
    <n v="0"/>
    <n v="5"/>
    <n v="300"/>
    <n v="60"/>
    <n v="0"/>
    <x v="12"/>
  </r>
  <r>
    <s v="DSR1552"/>
    <d v="1899-12-30T13:07:36"/>
    <d v="1899-12-30T13:12:37"/>
    <d v="1899-12-30T00:05:01"/>
    <n v="5"/>
    <n v="1"/>
    <n v="5.0199999999999996"/>
    <n v="301"/>
    <n v="59.800664451827245"/>
    <n v="0"/>
    <x v="0"/>
  </r>
  <r>
    <s v="KTT2196"/>
    <d v="1899-12-30T20:14:34"/>
    <d v="1899-12-30T20:19:35"/>
    <d v="1899-12-30T00:05:01"/>
    <n v="5"/>
    <n v="1"/>
    <n v="5.0199999999999996"/>
    <n v="301"/>
    <n v="59.800664451827245"/>
    <n v="0"/>
    <x v="15"/>
  </r>
  <r>
    <s v="WW20137"/>
    <d v="1899-12-30T19:46:52"/>
    <d v="1899-12-30T19:51:52"/>
    <d v="1899-12-30T00:05:01"/>
    <n v="5"/>
    <n v="1"/>
    <n v="5.0199999999999996"/>
    <n v="301"/>
    <n v="59.800664451827245"/>
    <n v="0"/>
    <x v="23"/>
  </r>
  <r>
    <s v="NKE9304"/>
    <d v="1899-12-30T13:15:01"/>
    <d v="1899-12-30T13:10:00"/>
    <d v="1899-12-30T00:05:01"/>
    <n v="5"/>
    <n v="1"/>
    <n v="5.0199999999999996"/>
    <n v="301"/>
    <n v="59.800664451827245"/>
    <n v="0"/>
    <x v="0"/>
  </r>
  <r>
    <s v="WSC4081"/>
    <d v="1899-12-30T22:03:05"/>
    <d v="1899-12-30T21:58:04"/>
    <d v="1899-12-30T00:05:01"/>
    <n v="5"/>
    <n v="1"/>
    <n v="5.0199999999999996"/>
    <n v="301"/>
    <n v="59.800664451827245"/>
    <n v="0"/>
    <x v="9"/>
  </r>
  <r>
    <s v="BLM550S"/>
    <d v="1899-12-30T00:56:16"/>
    <d v="1899-12-30T01:01:18"/>
    <d v="1899-12-30T00:05:02"/>
    <n v="5"/>
    <n v="2"/>
    <n v="5.03"/>
    <n v="302"/>
    <n v="59.602649006622521"/>
    <n v="0"/>
    <x v="13"/>
  </r>
  <r>
    <s v="RMI7902"/>
    <d v="1899-12-30T01:10:36"/>
    <d v="1899-12-30T01:15:38"/>
    <d v="1899-12-30T00:05:02"/>
    <n v="5"/>
    <n v="2"/>
    <n v="5.03"/>
    <n v="302"/>
    <n v="59.602649006622521"/>
    <n v="0"/>
    <x v="16"/>
  </r>
  <r>
    <s v="EBR2084"/>
    <d v="1899-12-30T15:03:59"/>
    <d v="1899-12-30T14:58:57"/>
    <d v="1899-12-30T00:05:02"/>
    <n v="5"/>
    <n v="2"/>
    <n v="5.03"/>
    <n v="302"/>
    <n v="59.602649006622521"/>
    <n v="0"/>
    <x v="19"/>
  </r>
  <r>
    <s v="KBR9340"/>
    <d v="1899-12-30T22:36:38"/>
    <d v="1899-12-30T22:41:40"/>
    <d v="1899-12-30T00:05:02"/>
    <n v="5"/>
    <n v="2"/>
    <n v="5.03"/>
    <n v="302"/>
    <n v="59.602649006622521"/>
    <n v="0"/>
    <x v="9"/>
  </r>
  <r>
    <s v="CGR5488"/>
    <d v="1899-12-30T21:38:27"/>
    <d v="1899-12-30T21:43:30"/>
    <d v="1899-12-30T00:05:03"/>
    <n v="5"/>
    <n v="3"/>
    <n v="5.05"/>
    <n v="303"/>
    <n v="59.405940594059402"/>
    <n v="0"/>
    <x v="5"/>
  </r>
  <r>
    <s v="NE78145"/>
    <d v="1899-12-30T13:49:25"/>
    <d v="1899-12-30T13:54:28"/>
    <d v="1899-12-30T00:05:03"/>
    <n v="5"/>
    <n v="3"/>
    <n v="5.05"/>
    <n v="303"/>
    <n v="59.405940594059402"/>
    <n v="0"/>
    <x v="0"/>
  </r>
  <r>
    <s v="NNI5982"/>
    <d v="1899-12-30T06:01:16"/>
    <d v="1899-12-30T05:56:13"/>
    <d v="1899-12-30T00:05:03"/>
    <n v="5"/>
    <n v="3"/>
    <n v="5.05"/>
    <n v="303"/>
    <n v="59.405940594059402"/>
    <n v="0"/>
    <x v="8"/>
  </r>
  <r>
    <s v="PK18222"/>
    <d v="1899-12-30T23:12:54"/>
    <d v="1899-12-30T23:17:56"/>
    <d v="1899-12-30T00:05:03"/>
    <n v="5"/>
    <n v="3"/>
    <n v="5.05"/>
    <n v="303"/>
    <n v="59.405940594059402"/>
    <n v="0"/>
    <x v="22"/>
  </r>
  <r>
    <s v="NLI1232"/>
    <d v="1899-12-30T13:23:58"/>
    <d v="1899-12-30T13:18:54"/>
    <d v="1899-12-30T00:05:04"/>
    <n v="5"/>
    <n v="4"/>
    <n v="5.07"/>
    <n v="304"/>
    <n v="59.21052631578948"/>
    <n v="0"/>
    <x v="0"/>
  </r>
  <r>
    <s v="OP67817"/>
    <d v="1899-12-30T16:01:35"/>
    <d v="1899-12-30T15:56:31"/>
    <d v="1899-12-30T00:05:04"/>
    <n v="5"/>
    <n v="4"/>
    <n v="5.07"/>
    <n v="304"/>
    <n v="59.21052631578948"/>
    <n v="0"/>
    <x v="7"/>
  </r>
  <r>
    <s v="WSE1444"/>
    <d v="1899-12-30T17:22:44"/>
    <d v="1899-12-30T17:27:48"/>
    <d v="1899-12-30T00:05:05"/>
    <n v="5"/>
    <n v="5"/>
    <n v="5.08"/>
    <n v="305"/>
    <n v="59.016393442622956"/>
    <n v="0"/>
    <x v="12"/>
  </r>
  <r>
    <s v="WR41039"/>
    <d v="1899-12-30T19:18:13"/>
    <d v="1899-12-30T19:13:07"/>
    <d v="1899-12-30T00:05:05"/>
    <n v="5"/>
    <n v="5"/>
    <n v="5.08"/>
    <n v="305"/>
    <n v="59.016393442622956"/>
    <n v="0"/>
    <x v="23"/>
  </r>
  <r>
    <s v="ZSZ2700"/>
    <d v="1899-12-30T00:36:18"/>
    <d v="1899-12-30T00:41:23"/>
    <d v="1899-12-30T00:05:06"/>
    <n v="5"/>
    <n v="6"/>
    <n v="5.0999999999999996"/>
    <n v="306"/>
    <n v="58.82352941176471"/>
    <n v="0"/>
    <x v="13"/>
  </r>
  <r>
    <s v="WK95525"/>
    <d v="1899-12-30T15:04:41"/>
    <d v="1899-12-30T14:59:35"/>
    <d v="1899-12-30T00:05:06"/>
    <n v="5"/>
    <n v="6"/>
    <n v="5.0999999999999996"/>
    <n v="306"/>
    <n v="58.82352941176471"/>
    <n v="0"/>
    <x v="19"/>
  </r>
  <r>
    <s v="NNM3913"/>
    <d v="1899-12-30T19:16:51"/>
    <d v="1899-12-30T19:11:45"/>
    <d v="1899-12-30T00:05:06"/>
    <n v="5"/>
    <n v="6"/>
    <n v="5.0999999999999996"/>
    <n v="306"/>
    <n v="58.82352941176471"/>
    <n v="0"/>
    <x v="23"/>
  </r>
  <r>
    <s v="BSI7235"/>
    <d v="1899-12-30T06:44:55"/>
    <d v="1899-12-30T06:39:50"/>
    <d v="1899-12-30T00:05:06"/>
    <n v="5"/>
    <n v="6"/>
    <n v="5.0999999999999996"/>
    <n v="306"/>
    <n v="58.82352941176471"/>
    <n v="0"/>
    <x v="8"/>
  </r>
  <r>
    <s v="WW50312"/>
    <d v="1899-12-30T01:33:01"/>
    <d v="1899-12-30T01:27:54"/>
    <d v="1899-12-30T00:05:07"/>
    <n v="5"/>
    <n v="7"/>
    <n v="5.12"/>
    <n v="307"/>
    <n v="58.631921824104232"/>
    <n v="0"/>
    <x v="16"/>
  </r>
  <r>
    <s v="NOE1810"/>
    <d v="1899-12-30T14:18:21"/>
    <d v="1899-12-30T14:23:28"/>
    <d v="1899-12-30T00:05:07"/>
    <n v="5"/>
    <n v="7"/>
    <n v="5.12"/>
    <n v="307"/>
    <n v="58.631921824104232"/>
    <n v="0"/>
    <x v="21"/>
  </r>
  <r>
    <s v="RNI2447"/>
    <d v="1899-12-30T05:17:18"/>
    <d v="1899-12-30T05:12:12"/>
    <d v="1899-12-30T00:05:07"/>
    <n v="5"/>
    <n v="7"/>
    <n v="5.12"/>
    <n v="307"/>
    <n v="58.631921824104232"/>
    <n v="0"/>
    <x v="14"/>
  </r>
  <r>
    <s v="CLI7557"/>
    <d v="1899-12-30T15:30:10"/>
    <d v="1899-12-30T15:35:17"/>
    <d v="1899-12-30T00:05:07"/>
    <n v="5"/>
    <n v="7"/>
    <n v="5.12"/>
    <n v="307"/>
    <n v="58.631921824104232"/>
    <n v="0"/>
    <x v="19"/>
  </r>
  <r>
    <s v="CBR1005"/>
    <d v="1899-12-30T08:07:54"/>
    <d v="1899-12-30T08:13:02"/>
    <d v="1899-12-30T00:05:08"/>
    <n v="5"/>
    <n v="8"/>
    <n v="5.13"/>
    <n v="308"/>
    <n v="58.441558441558442"/>
    <n v="0"/>
    <x v="2"/>
  </r>
  <r>
    <s v="NOG3903"/>
    <d v="1899-12-30T03:00:43"/>
    <d v="1899-12-30T02:55:35"/>
    <d v="1899-12-30T00:05:08"/>
    <n v="5"/>
    <n v="8"/>
    <n v="5.13"/>
    <n v="308"/>
    <n v="58.441558441558442"/>
    <n v="0"/>
    <x v="11"/>
  </r>
  <r>
    <s v="CIN2517"/>
    <d v="1899-12-30T01:09:40"/>
    <d v="1899-12-30T01:04:32"/>
    <d v="1899-12-30T00:05:08"/>
    <n v="5"/>
    <n v="8"/>
    <n v="5.13"/>
    <n v="308"/>
    <n v="58.441558441558442"/>
    <n v="0"/>
    <x v="16"/>
  </r>
  <r>
    <s v="BS31698"/>
    <d v="1899-12-30T12:46:32"/>
    <d v="1899-12-30T12:41:24"/>
    <d v="1899-12-30T00:05:08"/>
    <n v="5"/>
    <n v="8"/>
    <n v="5.13"/>
    <n v="308"/>
    <n v="58.441558441558442"/>
    <n v="0"/>
    <x v="3"/>
  </r>
  <r>
    <s v="EPD160N"/>
    <d v="1899-12-30T03:07:24"/>
    <d v="1899-12-30T03:12:33"/>
    <d v="1899-12-30T00:05:08"/>
    <n v="5"/>
    <n v="8"/>
    <n v="5.13"/>
    <n v="308"/>
    <n v="58.441558441558442"/>
    <n v="0"/>
    <x v="11"/>
  </r>
  <r>
    <s v="NPI2072"/>
    <d v="1899-12-30T12:41:04"/>
    <d v="1899-12-30T12:35:55"/>
    <d v="1899-12-30T00:05:09"/>
    <n v="5"/>
    <n v="9"/>
    <n v="5.15"/>
    <n v="309"/>
    <n v="58.252427184466022"/>
    <n v="0"/>
    <x v="3"/>
  </r>
  <r>
    <s v="LUB9718"/>
    <d v="1899-12-30T12:30:58"/>
    <d v="1899-12-30T12:25:49"/>
    <d v="1899-12-30T00:05:09"/>
    <n v="5"/>
    <n v="9"/>
    <n v="5.15"/>
    <n v="309"/>
    <n v="58.252427184466022"/>
    <n v="0"/>
    <x v="3"/>
  </r>
  <r>
    <s v="NOE1810"/>
    <d v="1899-12-30T03:15:34"/>
    <d v="1899-12-30T03:20:43"/>
    <d v="1899-12-30T00:05:09"/>
    <n v="5"/>
    <n v="9"/>
    <n v="5.15"/>
    <n v="309"/>
    <n v="58.252427184466022"/>
    <n v="0"/>
    <x v="11"/>
  </r>
  <r>
    <s v="OP99731"/>
    <d v="1899-12-30T16:32:02"/>
    <d v="1899-12-30T16:37:11"/>
    <d v="1899-12-30T00:05:10"/>
    <n v="5"/>
    <n v="10"/>
    <n v="5.17"/>
    <n v="310"/>
    <n v="58.064516129032256"/>
    <n v="0"/>
    <x v="7"/>
  </r>
  <r>
    <s v="NIL3535"/>
    <d v="1899-12-30T17:10:24"/>
    <d v="1899-12-30T17:15:36"/>
    <d v="1899-12-30T00:05:11"/>
    <n v="5"/>
    <n v="11"/>
    <n v="5.18"/>
    <n v="311"/>
    <n v="57.877813504823152"/>
    <n v="0"/>
    <x v="12"/>
  </r>
  <r>
    <s v="EPA8924"/>
    <d v="1899-12-30T15:07:09"/>
    <d v="1899-12-30T15:01:58"/>
    <d v="1899-12-30T00:05:11"/>
    <n v="5"/>
    <n v="11"/>
    <n v="5.18"/>
    <n v="311"/>
    <n v="57.877813504823152"/>
    <n v="0"/>
    <x v="19"/>
  </r>
  <r>
    <s v="GCH864N"/>
    <d v="1899-12-30T22:27:54"/>
    <d v="1899-12-30T22:33:05"/>
    <d v="1899-12-30T00:05:11"/>
    <n v="5"/>
    <n v="11"/>
    <n v="5.18"/>
    <n v="311"/>
    <n v="57.877813504823152"/>
    <n v="0"/>
    <x v="9"/>
  </r>
  <r>
    <s v="EBR4237"/>
    <d v="1899-12-30T12:17:30"/>
    <d v="1899-12-30T12:12:18"/>
    <d v="1899-12-30T00:05:11"/>
    <n v="5"/>
    <n v="11"/>
    <n v="5.18"/>
    <n v="311"/>
    <n v="57.877813504823152"/>
    <n v="0"/>
    <x v="3"/>
  </r>
  <r>
    <s v="BMN6560"/>
    <d v="1899-12-30T05:55:18"/>
    <d v="1899-12-30T05:50:06"/>
    <d v="1899-12-30T00:05:12"/>
    <n v="5"/>
    <n v="12"/>
    <n v="5.2"/>
    <n v="312"/>
    <n v="57.692307692307693"/>
    <n v="0"/>
    <x v="14"/>
  </r>
  <r>
    <s v="LWL5004"/>
    <d v="1899-12-30T10:57:51"/>
    <d v="1899-12-30T10:52:39"/>
    <d v="1899-12-30T00:05:12"/>
    <n v="5"/>
    <n v="12"/>
    <n v="5.2"/>
    <n v="312"/>
    <n v="57.692307692307693"/>
    <n v="0"/>
    <x v="4"/>
  </r>
  <r>
    <s v="CW96921"/>
    <d v="1899-12-30T23:10:21"/>
    <d v="1899-12-30T23:05:09"/>
    <d v="1899-12-30T00:05:12"/>
    <n v="5"/>
    <n v="12"/>
    <n v="5.2"/>
    <n v="312"/>
    <n v="57.692307692307693"/>
    <n v="0"/>
    <x v="22"/>
  </r>
  <r>
    <s v="LB56852"/>
    <d v="1899-12-30T23:29:19"/>
    <d v="1899-12-30T23:24:06"/>
    <d v="1899-12-30T00:05:13"/>
    <n v="5"/>
    <n v="13"/>
    <n v="5.22"/>
    <n v="313"/>
    <n v="57.507987220447284"/>
    <n v="0"/>
    <x v="22"/>
  </r>
  <r>
    <s v="NE78145"/>
    <d v="1899-12-30T02:44:09"/>
    <d v="1899-12-30T02:49:22"/>
    <d v="1899-12-30T00:05:13"/>
    <n v="5"/>
    <n v="13"/>
    <n v="5.22"/>
    <n v="313"/>
    <n v="57.507987220447284"/>
    <n v="0"/>
    <x v="20"/>
  </r>
  <r>
    <s v="EPA8924"/>
    <d v="1899-12-31T00:03:27"/>
    <d v="1899-12-30T23:58:14"/>
    <d v="1899-12-30T00:05:13"/>
    <n v="5"/>
    <n v="13"/>
    <n v="5.22"/>
    <n v="313"/>
    <n v="57.507987220447284"/>
    <n v="0"/>
    <x v="13"/>
  </r>
  <r>
    <s v="EBR2763"/>
    <d v="1899-12-30T02:17:34"/>
    <d v="1899-12-30T02:12:21"/>
    <d v="1899-12-30T00:05:13"/>
    <n v="5"/>
    <n v="13"/>
    <n v="5.22"/>
    <n v="313"/>
    <n v="57.507987220447284"/>
    <n v="0"/>
    <x v="20"/>
  </r>
  <r>
    <s v="GCH864N"/>
    <d v="1899-12-30T04:04:41"/>
    <d v="1899-12-30T03:59:28"/>
    <d v="1899-12-30T00:05:13"/>
    <n v="5"/>
    <n v="13"/>
    <n v="5.22"/>
    <n v="313"/>
    <n v="57.507987220447284"/>
    <n v="0"/>
    <x v="17"/>
  </r>
  <r>
    <s v="CB187BL"/>
    <d v="1899-12-30T03:33:19"/>
    <d v="1899-12-30T03:28:05"/>
    <d v="1899-12-30T00:05:14"/>
    <n v="5"/>
    <n v="14"/>
    <n v="5.23"/>
    <n v="314"/>
    <n v="57.324840764331206"/>
    <n v="0"/>
    <x v="11"/>
  </r>
  <r>
    <s v="EWI1216"/>
    <d v="1899-12-30T14:13:02"/>
    <d v="1899-12-30T14:07:48"/>
    <d v="1899-12-30T00:05:14"/>
    <n v="5"/>
    <n v="14"/>
    <n v="5.23"/>
    <n v="314"/>
    <n v="57.324840764331206"/>
    <n v="0"/>
    <x v="21"/>
  </r>
  <r>
    <s v="DZL5538"/>
    <d v="1899-12-30T05:33:11"/>
    <d v="1899-12-30T05:38:26"/>
    <d v="1899-12-30T00:05:15"/>
    <n v="5"/>
    <n v="15"/>
    <n v="5.25"/>
    <n v="315"/>
    <n v="57.142857142857146"/>
    <n v="0"/>
    <x v="14"/>
  </r>
  <r>
    <s v="NLI1232"/>
    <d v="1899-12-30T12:31:12"/>
    <d v="1899-12-30T12:36:27"/>
    <d v="1899-12-30T00:05:15"/>
    <n v="5"/>
    <n v="15"/>
    <n v="5.25"/>
    <n v="315"/>
    <n v="57.142857142857146"/>
    <n v="0"/>
    <x v="3"/>
  </r>
  <r>
    <s v="NNI5982"/>
    <d v="1899-12-30T08:02:59"/>
    <d v="1899-12-30T08:08:14"/>
    <d v="1899-12-30T00:05:15"/>
    <n v="5"/>
    <n v="15"/>
    <n v="5.25"/>
    <n v="315"/>
    <n v="57.142857142857146"/>
    <n v="0"/>
    <x v="2"/>
  </r>
  <r>
    <s v="NNM3913"/>
    <d v="1899-12-30T13:09:13"/>
    <d v="1899-12-30T13:03:58"/>
    <d v="1899-12-30T00:05:15"/>
    <n v="5"/>
    <n v="15"/>
    <n v="5.25"/>
    <n v="315"/>
    <n v="57.142857142857146"/>
    <n v="0"/>
    <x v="0"/>
  </r>
  <r>
    <s v="FWS1238"/>
    <d v="1899-12-30T04:38:41"/>
    <d v="1899-12-30T04:33:25"/>
    <d v="1899-12-30T00:05:16"/>
    <n v="5"/>
    <n v="16"/>
    <n v="5.27"/>
    <n v="316"/>
    <n v="56.962025316455694"/>
    <n v="0"/>
    <x v="17"/>
  </r>
  <r>
    <s v="NOG3903"/>
    <d v="1899-12-30T16:29:04"/>
    <d v="1899-12-30T16:34:20"/>
    <d v="1899-12-30T00:05:16"/>
    <n v="5"/>
    <n v="16"/>
    <n v="5.27"/>
    <n v="316"/>
    <n v="56.962025316455694"/>
    <n v="0"/>
    <x v="7"/>
  </r>
  <r>
    <s v="NNI5982"/>
    <d v="1899-12-30T20:41:49"/>
    <d v="1899-12-30T20:47:05"/>
    <d v="1899-12-30T00:05:16"/>
    <n v="5"/>
    <n v="16"/>
    <n v="5.27"/>
    <n v="316"/>
    <n v="56.962025316455694"/>
    <n v="0"/>
    <x v="15"/>
  </r>
  <r>
    <s v="GSZ9176"/>
    <d v="1899-12-30T08:31:16"/>
    <d v="1899-12-30T08:36:32"/>
    <d v="1899-12-30T00:05:16"/>
    <n v="5"/>
    <n v="16"/>
    <n v="5.27"/>
    <n v="316"/>
    <n v="56.962025316455694"/>
    <n v="0"/>
    <x v="2"/>
  </r>
  <r>
    <s v="FZA9218"/>
    <d v="1899-12-30T06:28:28"/>
    <d v="1899-12-30T06:23:11"/>
    <d v="1899-12-30T00:05:17"/>
    <n v="5"/>
    <n v="17"/>
    <n v="5.28"/>
    <n v="317"/>
    <n v="56.782334384858046"/>
    <n v="0"/>
    <x v="8"/>
  </r>
  <r>
    <s v="NKE9304"/>
    <d v="1899-12-30T04:05:05"/>
    <d v="1899-12-30T04:10:22"/>
    <d v="1899-12-30T00:05:17"/>
    <n v="5"/>
    <n v="17"/>
    <n v="5.28"/>
    <n v="317"/>
    <n v="56.782334384858046"/>
    <n v="0"/>
    <x v="17"/>
  </r>
  <r>
    <s v="EZG9571"/>
    <d v="1899-12-30T23:18:48"/>
    <d v="1899-12-30T23:24:05"/>
    <d v="1899-12-30T00:05:17"/>
    <n v="5"/>
    <n v="17"/>
    <n v="5.28"/>
    <n v="317"/>
    <n v="56.782334384858046"/>
    <n v="0"/>
    <x v="22"/>
  </r>
  <r>
    <s v="GWE7036"/>
    <d v="1899-12-30T06:15:57"/>
    <d v="1899-12-30T06:10:40"/>
    <d v="1899-12-30T00:05:17"/>
    <n v="5"/>
    <n v="17"/>
    <n v="5.28"/>
    <n v="317"/>
    <n v="56.782334384858046"/>
    <n v="0"/>
    <x v="8"/>
  </r>
  <r>
    <s v="NWE5330"/>
    <d v="1899-12-30T04:55:48"/>
    <d v="1899-12-30T04:50:31"/>
    <d v="1899-12-30T00:05:17"/>
    <n v="5"/>
    <n v="17"/>
    <n v="5.28"/>
    <n v="317"/>
    <n v="56.782334384858046"/>
    <n v="0"/>
    <x v="17"/>
  </r>
  <r>
    <s v="PO36336"/>
    <d v="1899-12-30T11:12:17"/>
    <d v="1899-12-30T11:17:34"/>
    <d v="1899-12-30T00:05:17"/>
    <n v="5"/>
    <n v="17"/>
    <n v="5.28"/>
    <n v="317"/>
    <n v="56.782334384858046"/>
    <n v="0"/>
    <x v="10"/>
  </r>
  <r>
    <s v="NNM3913"/>
    <d v="1899-12-30T22:02:43"/>
    <d v="1899-12-30T22:08:01"/>
    <d v="1899-12-30T00:05:18"/>
    <n v="5"/>
    <n v="18"/>
    <n v="5.3"/>
    <n v="318"/>
    <n v="56.603773584905653"/>
    <n v="0"/>
    <x v="9"/>
  </r>
  <r>
    <s v="FZA9518"/>
    <d v="1899-12-30T14:58:26"/>
    <d v="1899-12-30T15:03:44"/>
    <d v="1899-12-30T00:05:18"/>
    <n v="5"/>
    <n v="18"/>
    <n v="5.3"/>
    <n v="318"/>
    <n v="56.603773584905653"/>
    <n v="0"/>
    <x v="21"/>
  </r>
  <r>
    <s v="NDZ6132"/>
    <d v="1899-12-30T04:25:27"/>
    <d v="1899-12-30T04:30:46"/>
    <d v="1899-12-30T00:05:19"/>
    <n v="5"/>
    <n v="19"/>
    <n v="5.32"/>
    <n v="319"/>
    <n v="56.426332288401255"/>
    <n v="0"/>
    <x v="17"/>
  </r>
  <r>
    <s v="NNI5982"/>
    <d v="1899-12-30T13:41:51"/>
    <d v="1899-12-30T13:36:32"/>
    <d v="1899-12-30T00:05:19"/>
    <n v="5"/>
    <n v="19"/>
    <n v="5.32"/>
    <n v="319"/>
    <n v="56.426332288401255"/>
    <n v="0"/>
    <x v="0"/>
  </r>
  <r>
    <s v="NO84797"/>
    <d v="1899-12-30T19:37:36"/>
    <d v="1899-12-30T19:32:15"/>
    <d v="1899-12-30T00:05:20"/>
    <n v="5"/>
    <n v="20"/>
    <n v="5.33"/>
    <n v="320"/>
    <n v="56.25"/>
    <n v="0"/>
    <x v="23"/>
  </r>
  <r>
    <s v="NOG3903"/>
    <d v="1899-12-30T14:27:24"/>
    <d v="1899-12-30T14:32:44"/>
    <d v="1899-12-30T00:05:20"/>
    <n v="5"/>
    <n v="20"/>
    <n v="5.33"/>
    <n v="320"/>
    <n v="56.25"/>
    <n v="0"/>
    <x v="21"/>
  </r>
  <r>
    <s v="GCZ6717"/>
    <d v="1899-12-30T09:40:23"/>
    <d v="1899-12-30T09:35:03"/>
    <d v="1899-12-30T00:05:20"/>
    <n v="5"/>
    <n v="20"/>
    <n v="5.33"/>
    <n v="320"/>
    <n v="56.25"/>
    <n v="0"/>
    <x v="18"/>
  </r>
  <r>
    <s v="WJ47079"/>
    <d v="1899-12-30T01:18:15"/>
    <d v="1899-12-30T01:23:34"/>
    <d v="1899-12-30T00:05:20"/>
    <n v="5"/>
    <n v="20"/>
    <n v="5.33"/>
    <n v="320"/>
    <n v="56.25"/>
    <n v="0"/>
    <x v="16"/>
  </r>
  <r>
    <s v="LUB9718"/>
    <d v="1899-12-30T12:26:17"/>
    <d v="1899-12-30T12:20:57"/>
    <d v="1899-12-30T00:05:21"/>
    <n v="5"/>
    <n v="21"/>
    <n v="5.35"/>
    <n v="321"/>
    <n v="56.074766355140184"/>
    <n v="0"/>
    <x v="3"/>
  </r>
  <r>
    <s v="DB79091"/>
    <d v="1899-12-30T05:32:15"/>
    <d v="1899-12-30T05:26:54"/>
    <d v="1899-12-30T00:05:21"/>
    <n v="5"/>
    <n v="21"/>
    <n v="5.35"/>
    <n v="321"/>
    <n v="56.074766355140184"/>
    <n v="0"/>
    <x v="14"/>
  </r>
  <r>
    <s v="ZBI6356"/>
    <d v="1899-12-30T05:40:20"/>
    <d v="1899-12-30T05:34:58"/>
    <d v="1899-12-30T00:05:22"/>
    <n v="5"/>
    <n v="22"/>
    <n v="5.37"/>
    <n v="322"/>
    <n v="55.900621118012424"/>
    <n v="0"/>
    <x v="14"/>
  </r>
  <r>
    <s v="NNM3913"/>
    <d v="1899-12-30T06:48:26"/>
    <d v="1899-12-30T06:43:04"/>
    <d v="1899-12-30T00:05:22"/>
    <n v="5"/>
    <n v="22"/>
    <n v="5.37"/>
    <n v="322"/>
    <n v="55.900621118012424"/>
    <n v="0"/>
    <x v="8"/>
  </r>
  <r>
    <s v="NSZ8448"/>
    <d v="1899-12-30T08:28:58"/>
    <d v="1899-12-30T08:34:20"/>
    <d v="1899-12-30T00:05:22"/>
    <n v="5"/>
    <n v="22"/>
    <n v="5.37"/>
    <n v="322"/>
    <n v="55.900621118012424"/>
    <n v="0"/>
    <x v="2"/>
  </r>
  <r>
    <s v="KWA6482"/>
    <d v="1899-12-30T07:46:00"/>
    <d v="1899-12-30T07:40:38"/>
    <d v="1899-12-30T00:05:22"/>
    <n v="5"/>
    <n v="22"/>
    <n v="5.37"/>
    <n v="322"/>
    <n v="55.900621118012424"/>
    <n v="0"/>
    <x v="6"/>
  </r>
  <r>
    <s v="NO84797"/>
    <d v="1899-12-30T10:43:35"/>
    <d v="1899-12-30T10:38:13"/>
    <d v="1899-12-30T00:05:22"/>
    <n v="5"/>
    <n v="22"/>
    <n v="5.37"/>
    <n v="322"/>
    <n v="55.900621118012424"/>
    <n v="0"/>
    <x v="4"/>
  </r>
  <r>
    <s v="CWA4963"/>
    <d v="1899-12-30T17:05:07"/>
    <d v="1899-12-30T17:10:29"/>
    <d v="1899-12-30T00:05:22"/>
    <n v="5"/>
    <n v="22"/>
    <n v="5.37"/>
    <n v="322"/>
    <n v="55.900621118012424"/>
    <n v="0"/>
    <x v="12"/>
  </r>
  <r>
    <s v="NSZ1891"/>
    <d v="1899-12-30T07:06:17"/>
    <d v="1899-12-30T07:00:55"/>
    <d v="1899-12-30T00:05:22"/>
    <n v="5"/>
    <n v="22"/>
    <n v="5.37"/>
    <n v="322"/>
    <n v="55.900621118012424"/>
    <n v="0"/>
    <x v="6"/>
  </r>
  <r>
    <s v="RPZ6117"/>
    <d v="1899-12-30T20:27:13"/>
    <d v="1899-12-30T20:21:50"/>
    <d v="1899-12-30T00:05:23"/>
    <n v="5"/>
    <n v="23"/>
    <n v="5.38"/>
    <n v="323"/>
    <n v="55.727554179566567"/>
    <n v="0"/>
    <x v="15"/>
  </r>
  <r>
    <s v="WT96288"/>
    <d v="1899-12-30T09:05:24"/>
    <d v="1899-12-30T09:10:47"/>
    <d v="1899-12-30T00:05:23"/>
    <n v="5"/>
    <n v="23"/>
    <n v="5.38"/>
    <n v="323"/>
    <n v="55.727554179566567"/>
    <n v="0"/>
    <x v="18"/>
  </r>
  <r>
    <s v="NEL2373"/>
    <d v="1899-12-30T08:50:36"/>
    <d v="1899-12-30T08:45:13"/>
    <d v="1899-12-30T00:05:23"/>
    <n v="5"/>
    <n v="23"/>
    <n v="5.38"/>
    <n v="323"/>
    <n v="55.727554179566567"/>
    <n v="0"/>
    <x v="2"/>
  </r>
  <r>
    <s v="NNI5982"/>
    <d v="1899-12-30T19:28:55"/>
    <d v="1899-12-30T19:34:19"/>
    <d v="1899-12-30T00:05:23"/>
    <n v="5"/>
    <n v="23"/>
    <n v="5.38"/>
    <n v="323"/>
    <n v="55.727554179566567"/>
    <n v="0"/>
    <x v="23"/>
  </r>
  <r>
    <s v="NOE1810"/>
    <d v="1899-12-30T03:26:14"/>
    <d v="1899-12-30T03:31:38"/>
    <d v="1899-12-30T00:05:23"/>
    <n v="5"/>
    <n v="23"/>
    <n v="5.38"/>
    <n v="323"/>
    <n v="55.727554179566567"/>
    <n v="0"/>
    <x v="11"/>
  </r>
  <r>
    <s v="FG189FK"/>
    <d v="1899-12-30T22:04:56"/>
    <d v="1899-12-30T22:10:19"/>
    <d v="1899-12-30T00:05:23"/>
    <n v="5"/>
    <n v="23"/>
    <n v="5.38"/>
    <n v="323"/>
    <n v="55.727554179566567"/>
    <n v="0"/>
    <x v="9"/>
  </r>
  <r>
    <s v="CZN4614"/>
    <d v="1899-12-30T11:06:42"/>
    <d v="1899-12-30T11:01:18"/>
    <d v="1899-12-30T00:05:24"/>
    <n v="5"/>
    <n v="24"/>
    <n v="5.4"/>
    <n v="324"/>
    <n v="55.555555555555557"/>
    <n v="0"/>
    <x v="10"/>
  </r>
  <r>
    <s v="CCH2234"/>
    <d v="1899-12-30T00:10:58"/>
    <d v="1899-12-30T00:05:34"/>
    <d v="1899-12-30T00:05:24"/>
    <n v="5"/>
    <n v="24"/>
    <n v="5.4"/>
    <n v="324"/>
    <n v="55.555555555555557"/>
    <n v="0"/>
    <x v="13"/>
  </r>
  <r>
    <s v="WKZ1364"/>
    <d v="1899-12-30T12:09:12"/>
    <d v="1899-12-30T12:03:48"/>
    <d v="1899-12-30T00:05:24"/>
    <n v="5"/>
    <n v="24"/>
    <n v="5.4"/>
    <n v="324"/>
    <n v="55.555555555555557"/>
    <n v="0"/>
    <x v="3"/>
  </r>
  <r>
    <s v="EBE7309"/>
    <d v="1899-12-30T14:01:48"/>
    <d v="1899-12-30T14:07:12"/>
    <d v="1899-12-30T00:05:24"/>
    <n v="5"/>
    <n v="24"/>
    <n v="5.4"/>
    <n v="324"/>
    <n v="55.555555555555557"/>
    <n v="0"/>
    <x v="21"/>
  </r>
  <r>
    <s v="EWI2309"/>
    <d v="1899-12-30T00:46:03"/>
    <d v="1899-12-30T00:51:27"/>
    <d v="1899-12-30T00:05:24"/>
    <n v="5"/>
    <n v="24"/>
    <n v="5.4"/>
    <n v="324"/>
    <n v="55.555555555555557"/>
    <n v="0"/>
    <x v="13"/>
  </r>
  <r>
    <s v="NNI6370"/>
    <d v="1899-12-30T21:08:49"/>
    <d v="1899-12-30T21:03:25"/>
    <d v="1899-12-30T00:05:24"/>
    <n v="5"/>
    <n v="24"/>
    <n v="5.4"/>
    <n v="324"/>
    <n v="55.555555555555557"/>
    <n v="0"/>
    <x v="5"/>
  </r>
  <r>
    <s v="CT68312"/>
    <d v="1899-12-30T19:37:36"/>
    <d v="1899-12-30T19:43:01"/>
    <d v="1899-12-30T00:05:25"/>
    <n v="5"/>
    <n v="25"/>
    <n v="5.42"/>
    <n v="325"/>
    <n v="55.384615384615387"/>
    <n v="0"/>
    <x v="23"/>
  </r>
  <r>
    <s v="EP89410"/>
    <d v="1899-12-30T16:04:18"/>
    <d v="1899-12-30T15:58:53"/>
    <d v="1899-12-30T00:05:25"/>
    <n v="5"/>
    <n v="25"/>
    <n v="5.42"/>
    <n v="325"/>
    <n v="55.384615384615387"/>
    <n v="0"/>
    <x v="7"/>
  </r>
  <r>
    <s v="NMR7567"/>
    <d v="1899-12-30T17:41:56"/>
    <d v="1899-12-30T17:36:30"/>
    <d v="1899-12-30T00:05:26"/>
    <n v="5"/>
    <n v="26"/>
    <n v="5.43"/>
    <n v="326"/>
    <n v="55.214723926380373"/>
    <n v="0"/>
    <x v="12"/>
  </r>
  <r>
    <s v="NOG3903"/>
    <d v="1899-12-30T20:43:05"/>
    <d v="1899-12-30T20:48:31"/>
    <d v="1899-12-30T00:05:26"/>
    <n v="5"/>
    <n v="26"/>
    <n v="5.43"/>
    <n v="326"/>
    <n v="55.214723926380373"/>
    <n v="0"/>
    <x v="15"/>
  </r>
  <r>
    <s v="WZW2110"/>
    <d v="1899-12-30T01:15:50"/>
    <d v="1899-12-30T01:10:24"/>
    <d v="1899-12-30T00:05:26"/>
    <n v="5"/>
    <n v="26"/>
    <n v="5.43"/>
    <n v="326"/>
    <n v="55.214723926380373"/>
    <n v="0"/>
    <x v="16"/>
  </r>
  <r>
    <s v="CIN691K"/>
    <d v="1899-12-30T18:26:57"/>
    <d v="1899-12-30T18:32:23"/>
    <d v="1899-12-30T00:05:26"/>
    <n v="5"/>
    <n v="26"/>
    <n v="5.43"/>
    <n v="326"/>
    <n v="55.214723926380373"/>
    <n v="0"/>
    <x v="1"/>
  </r>
  <r>
    <s v="NOE1810"/>
    <d v="1899-12-30T07:35:47"/>
    <d v="1899-12-30T07:30:21"/>
    <d v="1899-12-30T00:05:27"/>
    <n v="5"/>
    <n v="27"/>
    <n v="5.45"/>
    <n v="327"/>
    <n v="55.045871559633028"/>
    <n v="0"/>
    <x v="6"/>
  </r>
  <r>
    <s v="RZE7144"/>
    <d v="1899-12-30T07:05:23"/>
    <d v="1899-12-30T07:10:51"/>
    <d v="1899-12-30T00:05:27"/>
    <n v="5"/>
    <n v="27"/>
    <n v="5.45"/>
    <n v="327"/>
    <n v="55.045871559633028"/>
    <n v="0"/>
    <x v="6"/>
  </r>
  <r>
    <s v="EOP7868"/>
    <d v="1899-12-30T11:01:22"/>
    <d v="1899-12-30T10:55:55"/>
    <d v="1899-12-30T00:05:27"/>
    <n v="5"/>
    <n v="27"/>
    <n v="5.45"/>
    <n v="327"/>
    <n v="55.045871559633028"/>
    <n v="0"/>
    <x v="10"/>
  </r>
  <r>
    <s v="BSE7433"/>
    <d v="1899-12-30T16:31:17"/>
    <d v="1899-12-30T16:36:44"/>
    <d v="1899-12-30T00:05:27"/>
    <n v="5"/>
    <n v="27"/>
    <n v="5.45"/>
    <n v="327"/>
    <n v="55.045871559633028"/>
    <n v="0"/>
    <x v="7"/>
  </r>
  <r>
    <s v="FWS4179"/>
    <d v="1899-12-30T10:18:22"/>
    <d v="1899-12-30T10:12:55"/>
    <d v="1899-12-30T00:05:27"/>
    <n v="5"/>
    <n v="27"/>
    <n v="5.45"/>
    <n v="327"/>
    <n v="55.045871559633028"/>
    <n v="0"/>
    <x v="4"/>
  </r>
  <r>
    <s v="SR84334"/>
    <d v="1899-12-30T22:19:05"/>
    <d v="1899-12-30T22:13:37"/>
    <d v="1899-12-30T00:05:28"/>
    <n v="5"/>
    <n v="28"/>
    <n v="5.47"/>
    <n v="328"/>
    <n v="54.878048780487809"/>
    <n v="0"/>
    <x v="9"/>
  </r>
  <r>
    <s v="NOG3903"/>
    <d v="1899-12-30T07:12:24"/>
    <d v="1899-12-30T07:17:52"/>
    <d v="1899-12-30T00:05:28"/>
    <n v="5"/>
    <n v="28"/>
    <n v="5.47"/>
    <n v="328"/>
    <n v="54.878048780487809"/>
    <n v="0"/>
    <x v="6"/>
  </r>
  <r>
    <s v="NO84797"/>
    <d v="1899-12-30T07:59:00"/>
    <d v="1899-12-30T07:53:31"/>
    <d v="1899-12-30T00:05:28"/>
    <n v="5"/>
    <n v="28"/>
    <n v="5.47"/>
    <n v="328"/>
    <n v="54.878048780487809"/>
    <n v="0"/>
    <x v="6"/>
  </r>
  <r>
    <s v="GBY2123"/>
    <d v="1899-12-30T12:48:01"/>
    <d v="1899-12-30T12:42:32"/>
    <d v="1899-12-30T00:05:29"/>
    <n v="5"/>
    <n v="29"/>
    <n v="5.48"/>
    <n v="329"/>
    <n v="54.711246200607903"/>
    <n v="0"/>
    <x v="3"/>
  </r>
  <r>
    <s v="NDZ6132"/>
    <d v="1899-12-30T18:13:55"/>
    <d v="1899-12-30T18:08:26"/>
    <d v="1899-12-30T00:05:29"/>
    <n v="5"/>
    <n v="29"/>
    <n v="5.48"/>
    <n v="329"/>
    <n v="54.711246200607903"/>
    <n v="0"/>
    <x v="1"/>
  </r>
  <r>
    <s v="NOG3903"/>
    <d v="1899-12-30T20:55:16"/>
    <d v="1899-12-30T21:00:45"/>
    <d v="1899-12-30T00:05:29"/>
    <n v="5"/>
    <n v="29"/>
    <n v="5.48"/>
    <n v="329"/>
    <n v="54.711246200607903"/>
    <n v="0"/>
    <x v="15"/>
  </r>
  <r>
    <s v="NOE1810"/>
    <d v="1899-12-30T01:50:52"/>
    <d v="1899-12-30T01:45:22"/>
    <d v="1899-12-30T00:05:29"/>
    <n v="5"/>
    <n v="29"/>
    <n v="5.48"/>
    <n v="329"/>
    <n v="54.711246200607903"/>
    <n v="0"/>
    <x v="16"/>
  </r>
  <r>
    <s v="RP20247"/>
    <d v="1899-12-30T05:00:07"/>
    <d v="1899-12-30T05:05:37"/>
    <d v="1899-12-30T00:05:29"/>
    <n v="5"/>
    <n v="29"/>
    <n v="5.48"/>
    <n v="329"/>
    <n v="54.711246200607903"/>
    <n v="0"/>
    <x v="14"/>
  </r>
  <r>
    <s v="NBA1025"/>
    <d v="1899-12-30T00:42:57"/>
    <d v="1899-12-30T00:48:26"/>
    <d v="1899-12-30T00:05:29"/>
    <n v="5"/>
    <n v="29"/>
    <n v="5.48"/>
    <n v="329"/>
    <n v="54.711246200607903"/>
    <n v="0"/>
    <x v="13"/>
  </r>
  <r>
    <s v="GSZ1612"/>
    <d v="1899-12-30T05:44:27"/>
    <d v="1899-12-30T05:49:55"/>
    <d v="1899-12-30T00:05:29"/>
    <n v="5"/>
    <n v="29"/>
    <n v="5.48"/>
    <n v="329"/>
    <n v="54.711246200607903"/>
    <n v="0"/>
    <x v="14"/>
  </r>
  <r>
    <s v="FGW7916"/>
    <d v="1899-12-30T10:44:46"/>
    <d v="1899-12-30T10:50:16"/>
    <d v="1899-12-30T00:05:30"/>
    <n v="5"/>
    <n v="30"/>
    <n v="5.5"/>
    <n v="330"/>
    <n v="54.54545454545454"/>
    <n v="0"/>
    <x v="4"/>
  </r>
  <r>
    <s v="NGI7942"/>
    <d v="1899-12-30T01:41:01"/>
    <d v="1899-12-30T01:35:31"/>
    <d v="1899-12-30T00:05:30"/>
    <n v="5"/>
    <n v="30"/>
    <n v="5.5"/>
    <n v="330"/>
    <n v="54.54545454545454"/>
    <n v="0"/>
    <x v="16"/>
  </r>
  <r>
    <s v="NBA7692"/>
    <d v="1899-12-30T09:08:29"/>
    <d v="1899-12-30T09:02:59"/>
    <d v="1899-12-30T00:05:30"/>
    <n v="5"/>
    <n v="30"/>
    <n v="5.5"/>
    <n v="330"/>
    <n v="54.54545454545454"/>
    <n v="0"/>
    <x v="18"/>
  </r>
  <r>
    <s v="WPZ8966"/>
    <d v="1899-12-30T15:49:02"/>
    <d v="1899-12-30T15:54:33"/>
    <d v="1899-12-30T00:05:31"/>
    <n v="5"/>
    <n v="31"/>
    <n v="5.52"/>
    <n v="331"/>
    <n v="54.380664652567972"/>
    <n v="0"/>
    <x v="19"/>
  </r>
  <r>
    <s v="NOG4844"/>
    <d v="1899-12-30T11:23:20"/>
    <d v="1899-12-30T11:17:50"/>
    <d v="1899-12-30T00:05:31"/>
    <n v="5"/>
    <n v="31"/>
    <n v="5.52"/>
    <n v="331"/>
    <n v="54.380664652567972"/>
    <n v="0"/>
    <x v="10"/>
  </r>
  <r>
    <s v="GD19511"/>
    <d v="1899-12-30T13:26:37"/>
    <d v="1899-12-30T13:21:06"/>
    <d v="1899-12-30T00:05:31"/>
    <n v="5"/>
    <n v="31"/>
    <n v="5.52"/>
    <n v="331"/>
    <n v="54.380664652567972"/>
    <n v="0"/>
    <x v="0"/>
  </r>
  <r>
    <s v="NOL4507"/>
    <d v="1899-12-30T14:11:49"/>
    <d v="1899-12-30T14:06:17"/>
    <d v="1899-12-30T00:05:32"/>
    <n v="5"/>
    <n v="32"/>
    <n v="5.53"/>
    <n v="332"/>
    <n v="54.216867469879517"/>
    <n v="0"/>
    <x v="21"/>
  </r>
  <r>
    <s v="WSC9512"/>
    <d v="1899-12-30T05:33:16"/>
    <d v="1899-12-30T05:27:44"/>
    <d v="1899-12-30T00:05:32"/>
    <n v="5"/>
    <n v="32"/>
    <n v="5.53"/>
    <n v="332"/>
    <n v="54.216867469879517"/>
    <n v="0"/>
    <x v="14"/>
  </r>
  <r>
    <s v="TSA2570"/>
    <d v="1899-12-30T15:14:56"/>
    <d v="1899-12-30T15:20:28"/>
    <d v="1899-12-30T00:05:32"/>
    <n v="5"/>
    <n v="32"/>
    <n v="5.53"/>
    <n v="332"/>
    <n v="54.216867469879517"/>
    <n v="0"/>
    <x v="19"/>
  </r>
  <r>
    <s v="ZWA2184"/>
    <d v="1899-12-30T02:08:36"/>
    <d v="1899-12-30T02:14:08"/>
    <d v="1899-12-30T00:05:33"/>
    <n v="5"/>
    <n v="33"/>
    <n v="5.55"/>
    <n v="333"/>
    <n v="54.054054054054049"/>
    <n v="0"/>
    <x v="20"/>
  </r>
  <r>
    <s v="RTA5016"/>
    <d v="1899-12-30T18:23:00"/>
    <d v="1899-12-30T18:17:28"/>
    <d v="1899-12-30T00:05:33"/>
    <n v="5"/>
    <n v="33"/>
    <n v="5.55"/>
    <n v="333"/>
    <n v="54.054054054054049"/>
    <n v="0"/>
    <x v="1"/>
  </r>
  <r>
    <s v="DB58025"/>
    <d v="1899-12-30T09:47:04"/>
    <d v="1899-12-30T09:41:30"/>
    <d v="1899-12-30T00:05:33"/>
    <n v="5"/>
    <n v="33"/>
    <n v="5.55"/>
    <n v="333"/>
    <n v="54.054054054054049"/>
    <n v="0"/>
    <x v="18"/>
  </r>
  <r>
    <s v="RZE7144"/>
    <d v="1899-12-30T03:24:19"/>
    <d v="1899-12-30T03:29:53"/>
    <d v="1899-12-30T00:05:34"/>
    <n v="5"/>
    <n v="34"/>
    <n v="5.57"/>
    <n v="334"/>
    <n v="53.892215568862277"/>
    <n v="0"/>
    <x v="11"/>
  </r>
  <r>
    <s v="EWE4423"/>
    <d v="1899-12-30T15:36:19"/>
    <d v="1899-12-30T15:30:45"/>
    <d v="1899-12-30T00:05:34"/>
    <n v="5"/>
    <n v="34"/>
    <n v="5.57"/>
    <n v="334"/>
    <n v="53.892215568862277"/>
    <n v="0"/>
    <x v="19"/>
  </r>
  <r>
    <s v="NNI5982"/>
    <d v="1899-12-30T22:21:20"/>
    <d v="1899-12-30T22:26:53"/>
    <d v="1899-12-30T00:05:34"/>
    <n v="5"/>
    <n v="34"/>
    <n v="5.57"/>
    <n v="334"/>
    <n v="53.892215568862277"/>
    <n v="0"/>
    <x v="9"/>
  </r>
  <r>
    <s v="NDZ6132"/>
    <d v="1899-12-30T07:31:34"/>
    <d v="1899-12-30T07:37:07"/>
    <d v="1899-12-30T00:05:34"/>
    <n v="5"/>
    <n v="34"/>
    <n v="5.57"/>
    <n v="334"/>
    <n v="53.892215568862277"/>
    <n v="0"/>
    <x v="6"/>
  </r>
  <r>
    <s v="FG0951N"/>
    <d v="1899-12-30T00:25:46"/>
    <d v="1899-12-30T00:20:12"/>
    <d v="1899-12-30T00:05:34"/>
    <n v="5"/>
    <n v="34"/>
    <n v="5.57"/>
    <n v="334"/>
    <n v="53.892215568862277"/>
    <n v="0"/>
    <x v="13"/>
  </r>
  <r>
    <s v="OPO5592"/>
    <d v="1899-12-30T20:04:12"/>
    <d v="1899-12-30T19:58:37"/>
    <d v="1899-12-30T00:05:35"/>
    <n v="5"/>
    <n v="35"/>
    <n v="5.58"/>
    <n v="335"/>
    <n v="53.731343283582092"/>
    <n v="0"/>
    <x v="15"/>
  </r>
  <r>
    <s v="FWS1238"/>
    <d v="1899-12-30T10:14:23"/>
    <d v="1899-12-30T10:08:48"/>
    <d v="1899-12-30T00:05:35"/>
    <n v="5"/>
    <n v="35"/>
    <n v="5.58"/>
    <n v="335"/>
    <n v="53.731343283582092"/>
    <n v="0"/>
    <x v="4"/>
  </r>
  <r>
    <s v="CTR7456"/>
    <d v="1899-12-30T21:38:30"/>
    <d v="1899-12-30T21:44:05"/>
    <d v="1899-12-30T00:05:35"/>
    <n v="5"/>
    <n v="35"/>
    <n v="5.58"/>
    <n v="335"/>
    <n v="53.731343283582092"/>
    <n v="0"/>
    <x v="5"/>
  </r>
  <r>
    <s v="GWE660D"/>
    <d v="1899-12-30T15:19:38"/>
    <d v="1899-12-30T15:25:13"/>
    <d v="1899-12-30T00:05:35"/>
    <n v="5"/>
    <n v="35"/>
    <n v="5.58"/>
    <n v="335"/>
    <n v="53.731343283582092"/>
    <n v="0"/>
    <x v="19"/>
  </r>
  <r>
    <s v="NWE1882"/>
    <d v="1899-12-30T02:54:18"/>
    <d v="1899-12-30T02:59:53"/>
    <d v="1899-12-30T00:05:36"/>
    <n v="5"/>
    <n v="36"/>
    <n v="5.6"/>
    <n v="336"/>
    <n v="53.571428571428569"/>
    <n v="0"/>
    <x v="20"/>
  </r>
  <r>
    <s v="NNI5982"/>
    <d v="1899-12-30T04:12:04"/>
    <d v="1899-12-30T04:17:40"/>
    <d v="1899-12-30T00:05:36"/>
    <n v="5"/>
    <n v="36"/>
    <n v="5.6"/>
    <n v="336"/>
    <n v="53.571428571428569"/>
    <n v="0"/>
    <x v="17"/>
  </r>
  <r>
    <s v="TST606F"/>
    <d v="1899-12-30T08:03:58"/>
    <d v="1899-12-30T07:58:22"/>
    <d v="1899-12-30T00:05:36"/>
    <n v="5"/>
    <n v="36"/>
    <n v="5.6"/>
    <n v="336"/>
    <n v="53.571428571428569"/>
    <n v="0"/>
    <x v="2"/>
  </r>
  <r>
    <s v="BSE248P"/>
    <d v="1899-12-30T02:36:42"/>
    <d v="1899-12-30T02:31:06"/>
    <d v="1899-12-30T00:05:36"/>
    <n v="5"/>
    <n v="36"/>
    <n v="5.6"/>
    <n v="336"/>
    <n v="53.571428571428569"/>
    <n v="0"/>
    <x v="20"/>
  </r>
  <r>
    <s v="NDZ6132"/>
    <d v="1899-12-30T02:56:42"/>
    <d v="1899-12-30T02:51:06"/>
    <d v="1899-12-30T00:05:36"/>
    <n v="5"/>
    <n v="36"/>
    <n v="5.6"/>
    <n v="336"/>
    <n v="53.571428571428569"/>
    <n v="0"/>
    <x v="20"/>
  </r>
  <r>
    <s v="NMR7567"/>
    <d v="1899-12-30T13:36:15"/>
    <d v="1899-12-30T13:30:39"/>
    <d v="1899-12-30T00:05:36"/>
    <n v="5"/>
    <n v="36"/>
    <n v="5.6"/>
    <n v="336"/>
    <n v="53.571428571428569"/>
    <n v="0"/>
    <x v="0"/>
  </r>
  <r>
    <s v="WSZ3763"/>
    <d v="1899-12-30T06:57:43"/>
    <d v="1899-12-30T07:03:21"/>
    <d v="1899-12-30T00:05:37"/>
    <n v="5"/>
    <n v="37"/>
    <n v="5.62"/>
    <n v="337"/>
    <n v="53.412462908011868"/>
    <n v="0"/>
    <x v="8"/>
  </r>
  <r>
    <s v="ETM257F"/>
    <d v="1899-12-30T20:32:44"/>
    <d v="1899-12-30T20:27:07"/>
    <d v="1899-12-30T00:05:37"/>
    <n v="5"/>
    <n v="37"/>
    <n v="5.62"/>
    <n v="337"/>
    <n v="53.412462908011868"/>
    <n v="0"/>
    <x v="15"/>
  </r>
  <r>
    <s v="NNM3913"/>
    <d v="1899-12-30T04:19:06"/>
    <d v="1899-12-30T04:13:29"/>
    <d v="1899-12-30T00:05:37"/>
    <n v="5"/>
    <n v="37"/>
    <n v="5.62"/>
    <n v="337"/>
    <n v="53.412462908011868"/>
    <n v="0"/>
    <x v="17"/>
  </r>
  <r>
    <s v="KBC3869"/>
    <d v="1899-12-30T16:40:14"/>
    <d v="1899-12-30T16:45:51"/>
    <d v="1899-12-30T00:05:37"/>
    <n v="5"/>
    <n v="37"/>
    <n v="5.62"/>
    <n v="337"/>
    <n v="53.412462908011868"/>
    <n v="0"/>
    <x v="7"/>
  </r>
  <r>
    <s v="FZ46305"/>
    <d v="1899-12-30T03:50:47"/>
    <d v="1899-12-30T03:56:24"/>
    <d v="1899-12-30T00:05:37"/>
    <n v="5"/>
    <n v="37"/>
    <n v="5.62"/>
    <n v="337"/>
    <n v="53.412462908011868"/>
    <n v="0"/>
    <x v="11"/>
  </r>
  <r>
    <s v="EBE7668"/>
    <d v="1899-12-30T01:10:49"/>
    <d v="1899-12-30T01:05:12"/>
    <d v="1899-12-30T00:05:37"/>
    <n v="5"/>
    <n v="37"/>
    <n v="5.62"/>
    <n v="337"/>
    <n v="53.412462908011868"/>
    <n v="0"/>
    <x v="16"/>
  </r>
  <r>
    <s v="DPL8466"/>
    <d v="1899-12-30T19:03:10"/>
    <d v="1899-12-30T19:08:47"/>
    <d v="1899-12-30T00:05:37"/>
    <n v="5"/>
    <n v="37"/>
    <n v="5.62"/>
    <n v="337"/>
    <n v="53.412462908011868"/>
    <n v="0"/>
    <x v="23"/>
  </r>
  <r>
    <s v="EBE6538"/>
    <d v="1899-12-30T15:40:23"/>
    <d v="1899-12-30T15:34:46"/>
    <d v="1899-12-30T00:05:37"/>
    <n v="5"/>
    <n v="37"/>
    <n v="5.62"/>
    <n v="337"/>
    <n v="53.412462908011868"/>
    <n v="0"/>
    <x v="19"/>
  </r>
  <r>
    <s v="NNI5982"/>
    <d v="1899-12-30T13:11:33"/>
    <d v="1899-12-30T13:17:11"/>
    <d v="1899-12-30T00:05:38"/>
    <n v="5"/>
    <n v="38"/>
    <n v="5.63"/>
    <n v="338"/>
    <n v="53.254437869822482"/>
    <n v="0"/>
    <x v="0"/>
  </r>
  <r>
    <s v="RPR8482"/>
    <d v="1899-12-30T11:06:49"/>
    <d v="1899-12-30T11:12:27"/>
    <d v="1899-12-30T00:05:38"/>
    <n v="5"/>
    <n v="38"/>
    <n v="5.63"/>
    <n v="338"/>
    <n v="53.254437869822482"/>
    <n v="0"/>
    <x v="10"/>
  </r>
  <r>
    <s v="NOE1810"/>
    <d v="1899-12-30T03:01:56"/>
    <d v="1899-12-30T02:56:18"/>
    <d v="1899-12-30T00:05:38"/>
    <n v="5"/>
    <n v="38"/>
    <n v="5.63"/>
    <n v="338"/>
    <n v="53.254437869822482"/>
    <n v="0"/>
    <x v="11"/>
  </r>
  <r>
    <s v="WI32726"/>
    <d v="1899-12-30T23:01:44"/>
    <d v="1899-12-30T23:07:22"/>
    <d v="1899-12-30T00:05:38"/>
    <n v="5"/>
    <n v="38"/>
    <n v="5.63"/>
    <n v="338"/>
    <n v="53.254437869822482"/>
    <n v="0"/>
    <x v="22"/>
  </r>
  <r>
    <s v="CGD8150"/>
    <d v="1899-12-30T13:24:18"/>
    <d v="1899-12-30T13:18:40"/>
    <d v="1899-12-30T00:05:39"/>
    <n v="5"/>
    <n v="39"/>
    <n v="5.65"/>
    <n v="339"/>
    <n v="53.097345132743364"/>
    <n v="0"/>
    <x v="0"/>
  </r>
  <r>
    <s v="DKL5927"/>
    <d v="1899-12-30T03:44:09"/>
    <d v="1899-12-30T03:38:29"/>
    <d v="1899-12-30T00:05:39"/>
    <n v="5"/>
    <n v="39"/>
    <n v="5.65"/>
    <n v="339"/>
    <n v="53.097345132743364"/>
    <n v="0"/>
    <x v="11"/>
  </r>
  <r>
    <s v="CBY8643"/>
    <d v="1899-12-30T17:58:43"/>
    <d v="1899-12-30T18:04:22"/>
    <d v="1899-12-30T00:05:39"/>
    <n v="5"/>
    <n v="39"/>
    <n v="5.65"/>
    <n v="339"/>
    <n v="53.097345132743364"/>
    <n v="0"/>
    <x v="12"/>
  </r>
  <r>
    <s v="CWL3378"/>
    <d v="1899-12-30T16:26:06"/>
    <d v="1899-12-30T16:31:46"/>
    <d v="1899-12-30T00:05:40"/>
    <n v="5"/>
    <n v="40"/>
    <n v="5.67"/>
    <n v="340"/>
    <n v="52.941176470588232"/>
    <n v="0"/>
    <x v="7"/>
  </r>
  <r>
    <s v="FSL518H"/>
    <d v="1899-12-30T10:09:20"/>
    <d v="1899-12-30T10:03:40"/>
    <d v="1899-12-30T00:05:40"/>
    <n v="5"/>
    <n v="40"/>
    <n v="5.67"/>
    <n v="340"/>
    <n v="52.941176470588232"/>
    <n v="0"/>
    <x v="4"/>
  </r>
  <r>
    <s v="TSK2073"/>
    <d v="1899-12-30T16:11:05"/>
    <d v="1899-12-30T16:05:25"/>
    <d v="1899-12-30T00:05:40"/>
    <n v="5"/>
    <n v="40"/>
    <n v="5.67"/>
    <n v="340"/>
    <n v="52.941176470588232"/>
    <n v="0"/>
    <x v="7"/>
  </r>
  <r>
    <s v="ELW1531"/>
    <d v="1899-12-30T15:26:26"/>
    <d v="1899-12-30T15:20:46"/>
    <d v="1899-12-30T00:05:40"/>
    <n v="5"/>
    <n v="40"/>
    <n v="5.67"/>
    <n v="340"/>
    <n v="52.941176470588232"/>
    <n v="0"/>
    <x v="19"/>
  </r>
  <r>
    <s v="GD23556"/>
    <d v="1899-12-30T20:42:51"/>
    <d v="1899-12-30T20:37:10"/>
    <d v="1899-12-30T00:05:41"/>
    <n v="5"/>
    <n v="41"/>
    <n v="5.68"/>
    <n v="341"/>
    <n v="52.785923753665685"/>
    <n v="0"/>
    <x v="15"/>
  </r>
  <r>
    <s v="KWI7049"/>
    <d v="1899-12-30T22:26:10"/>
    <d v="1899-12-30T22:31:52"/>
    <d v="1899-12-30T00:05:41"/>
    <n v="5"/>
    <n v="41"/>
    <n v="5.68"/>
    <n v="341"/>
    <n v="52.785923753665685"/>
    <n v="0"/>
    <x v="9"/>
  </r>
  <r>
    <s v="POB1989"/>
    <d v="1899-12-30T23:30:50"/>
    <d v="1899-12-30T23:36:30"/>
    <d v="1899-12-30T00:05:41"/>
    <n v="5"/>
    <n v="41"/>
    <n v="5.68"/>
    <n v="341"/>
    <n v="52.785923753665685"/>
    <n v="0"/>
    <x v="22"/>
  </r>
  <r>
    <s v="NOG3903"/>
    <d v="1899-12-30T14:40:11"/>
    <d v="1899-12-30T14:45:53"/>
    <d v="1899-12-30T00:05:41"/>
    <n v="5"/>
    <n v="41"/>
    <n v="5.68"/>
    <n v="341"/>
    <n v="52.785923753665685"/>
    <n v="0"/>
    <x v="21"/>
  </r>
  <r>
    <s v="NOG3903"/>
    <d v="1899-12-30T16:14:54"/>
    <d v="1899-12-30T16:09:12"/>
    <d v="1899-12-30T00:05:42"/>
    <n v="5"/>
    <n v="42"/>
    <n v="5.7"/>
    <n v="342"/>
    <n v="52.631578947368425"/>
    <n v="0"/>
    <x v="7"/>
  </r>
  <r>
    <s v="WSE1444"/>
    <d v="1899-12-30T14:55:00"/>
    <d v="1899-12-30T14:49:17"/>
    <d v="1899-12-30T00:05:42"/>
    <n v="5"/>
    <n v="42"/>
    <n v="5.7"/>
    <n v="342"/>
    <n v="52.631578947368425"/>
    <n v="0"/>
    <x v="21"/>
  </r>
  <r>
    <s v="GDA2515"/>
    <d v="1899-12-30T09:29:10"/>
    <d v="1899-12-30T09:23:26"/>
    <d v="1899-12-30T00:05:44"/>
    <n v="5"/>
    <n v="44"/>
    <n v="5.73"/>
    <n v="344"/>
    <n v="52.325581395348841"/>
    <n v="0"/>
    <x v="18"/>
  </r>
  <r>
    <s v="PO13340"/>
    <d v="1899-12-30T15:18:45"/>
    <d v="1899-12-30T15:24:29"/>
    <d v="1899-12-30T00:05:44"/>
    <n v="5"/>
    <n v="44"/>
    <n v="5.73"/>
    <n v="344"/>
    <n v="52.325581395348841"/>
    <n v="0"/>
    <x v="19"/>
  </r>
  <r>
    <s v="GD23556"/>
    <d v="1899-12-30T00:17:38"/>
    <d v="1899-12-30T00:23:21"/>
    <d v="1899-12-30T00:05:44"/>
    <n v="5"/>
    <n v="44"/>
    <n v="5.73"/>
    <n v="344"/>
    <n v="52.325581395348841"/>
    <n v="0"/>
    <x v="13"/>
  </r>
  <r>
    <s v="NOL4507"/>
    <d v="1899-12-30T07:59:54"/>
    <d v="1899-12-30T07:54:10"/>
    <d v="1899-12-30T00:05:44"/>
    <n v="5"/>
    <n v="44"/>
    <n v="5.73"/>
    <n v="344"/>
    <n v="52.325581395348841"/>
    <n v="0"/>
    <x v="6"/>
  </r>
  <r>
    <s v="NOE1810"/>
    <d v="1899-12-30T07:59:05"/>
    <d v="1899-12-30T08:04:49"/>
    <d v="1899-12-30T00:05:44"/>
    <n v="5"/>
    <n v="44"/>
    <n v="5.73"/>
    <n v="344"/>
    <n v="52.325581395348841"/>
    <n v="0"/>
    <x v="6"/>
  </r>
  <r>
    <s v="FSU1902"/>
    <d v="1899-12-30T07:39:55"/>
    <d v="1899-12-30T07:34:10"/>
    <d v="1899-12-30T00:05:45"/>
    <n v="5"/>
    <n v="45"/>
    <n v="5.75"/>
    <n v="345"/>
    <n v="52.173913043478265"/>
    <n v="0"/>
    <x v="6"/>
  </r>
  <r>
    <s v="EOP7868"/>
    <d v="1899-12-30T00:08:19"/>
    <d v="1899-12-30T00:02:35"/>
    <d v="1899-12-30T00:05:45"/>
    <n v="5"/>
    <n v="45"/>
    <n v="5.75"/>
    <n v="345"/>
    <n v="52.173913043478265"/>
    <n v="0"/>
    <x v="13"/>
  </r>
  <r>
    <s v="NNM3913"/>
    <d v="1899-12-30T16:08:38"/>
    <d v="1899-12-30T16:14:23"/>
    <d v="1899-12-30T00:05:45"/>
    <n v="5"/>
    <n v="45"/>
    <n v="5.75"/>
    <n v="345"/>
    <n v="52.173913043478265"/>
    <n v="0"/>
    <x v="7"/>
  </r>
  <r>
    <s v="NMR7567"/>
    <d v="1899-12-30T07:26:01"/>
    <d v="1899-12-30T07:31:45"/>
    <d v="1899-12-30T00:05:45"/>
    <n v="5"/>
    <n v="45"/>
    <n v="5.75"/>
    <n v="345"/>
    <n v="52.173913043478265"/>
    <n v="0"/>
    <x v="6"/>
  </r>
  <r>
    <s v="CZN4614"/>
    <d v="1899-12-30T03:08:12"/>
    <d v="1899-12-30T03:13:57"/>
    <d v="1899-12-30T00:05:45"/>
    <n v="5"/>
    <n v="45"/>
    <n v="5.75"/>
    <n v="345"/>
    <n v="52.173913043478265"/>
    <n v="0"/>
    <x v="11"/>
  </r>
  <r>
    <s v="EPD1467"/>
    <d v="1899-12-30T21:18:34"/>
    <d v="1899-12-30T21:12:48"/>
    <d v="1899-12-30T00:05:45"/>
    <n v="5"/>
    <n v="45"/>
    <n v="5.75"/>
    <n v="345"/>
    <n v="52.173913043478265"/>
    <n v="0"/>
    <x v="5"/>
  </r>
  <r>
    <s v="DB79091"/>
    <d v="1899-12-30T12:59:56"/>
    <d v="1899-12-30T12:54:11"/>
    <d v="1899-12-30T00:05:45"/>
    <n v="5"/>
    <n v="45"/>
    <n v="5.75"/>
    <n v="345"/>
    <n v="52.173913043478265"/>
    <n v="0"/>
    <x v="3"/>
  </r>
  <r>
    <s v="GD23556"/>
    <d v="1899-12-30T18:27:24"/>
    <d v="1899-12-30T18:21:39"/>
    <d v="1899-12-30T00:05:45"/>
    <n v="5"/>
    <n v="45"/>
    <n v="5.75"/>
    <n v="345"/>
    <n v="52.173913043478265"/>
    <n v="0"/>
    <x v="1"/>
  </r>
  <r>
    <s v="SY38147"/>
    <d v="1899-12-30T11:24:01"/>
    <d v="1899-12-30T11:29:46"/>
    <d v="1899-12-30T00:05:45"/>
    <n v="5"/>
    <n v="45"/>
    <n v="5.75"/>
    <n v="345"/>
    <n v="52.173913043478265"/>
    <n v="0"/>
    <x v="10"/>
  </r>
  <r>
    <s v="WR97385"/>
    <d v="1899-12-30T03:01:58"/>
    <d v="1899-12-30T03:07:43"/>
    <d v="1899-12-30T00:05:45"/>
    <n v="5"/>
    <n v="45"/>
    <n v="5.75"/>
    <n v="345"/>
    <n v="52.173913043478265"/>
    <n v="0"/>
    <x v="11"/>
  </r>
  <r>
    <s v="EP37557"/>
    <d v="1899-12-30T00:39:01"/>
    <d v="1899-12-30T00:33:01"/>
    <d v="1899-12-30T00:06:00"/>
    <n v="6"/>
    <n v="0"/>
    <n v="6"/>
    <n v="360"/>
    <n v="50"/>
    <n v="0"/>
    <x v="13"/>
  </r>
  <r>
    <m/>
    <m/>
    <m/>
    <m/>
    <m/>
    <m/>
    <m/>
    <m/>
    <m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5" cacheId="1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A1:B2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13"/>
        <item x="16"/>
        <item x="20"/>
        <item x="11"/>
        <item x="17"/>
        <item x="14"/>
        <item x="8"/>
        <item x="6"/>
        <item x="2"/>
        <item x="18"/>
        <item x="4"/>
        <item x="10"/>
        <item x="3"/>
        <item x="0"/>
        <item x="21"/>
        <item x="19"/>
        <item x="7"/>
        <item x="12"/>
        <item x="1"/>
        <item x="23"/>
        <item x="15"/>
        <item x="5"/>
        <item x="9"/>
        <item x="22"/>
        <item x="24"/>
        <item t="default"/>
      </items>
    </pivotField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Liczba z numer rejestracyjn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3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numer">
  <location ref="A3:B40" firstHeaderRow="1" firstDataRow="1" firstDataCol="1" rowPageCount="1" colPageCount="1"/>
  <pivotFields count="10">
    <pivotField axis="axisRow" showAll="0">
      <items count="421">
        <item x="203"/>
        <item x="325"/>
        <item x="238"/>
        <item x="201"/>
        <item x="153"/>
        <item x="353"/>
        <item x="235"/>
        <item x="258"/>
        <item x="321"/>
        <item x="378"/>
        <item x="186"/>
        <item x="253"/>
        <item x="118"/>
        <item x="398"/>
        <item x="102"/>
        <item x="291"/>
        <item x="139"/>
        <item x="376"/>
        <item x="333"/>
        <item x="161"/>
        <item x="215"/>
        <item x="208"/>
        <item x="80"/>
        <item x="19"/>
        <item x="187"/>
        <item x="44"/>
        <item x="359"/>
        <item x="382"/>
        <item x="92"/>
        <item x="131"/>
        <item x="73"/>
        <item x="5"/>
        <item x="256"/>
        <item x="356"/>
        <item x="178"/>
        <item x="412"/>
        <item x="162"/>
        <item x="191"/>
        <item x="188"/>
        <item x="69"/>
        <item x="242"/>
        <item x="227"/>
        <item x="3"/>
        <item x="36"/>
        <item x="123"/>
        <item x="271"/>
        <item x="184"/>
        <item x="331"/>
        <item x="86"/>
        <item x="192"/>
        <item x="30"/>
        <item x="397"/>
        <item x="305"/>
        <item x="144"/>
        <item x="377"/>
        <item x="327"/>
        <item x="159"/>
        <item x="148"/>
        <item x="90"/>
        <item x="147"/>
        <item x="394"/>
        <item x="250"/>
        <item x="75"/>
        <item x="169"/>
        <item x="59"/>
        <item x="135"/>
        <item x="299"/>
        <item x="317"/>
        <item x="179"/>
        <item x="84"/>
        <item x="381"/>
        <item x="263"/>
        <item x="93"/>
        <item x="341"/>
        <item x="272"/>
        <item x="413"/>
        <item x="45"/>
        <item x="128"/>
        <item x="234"/>
        <item x="181"/>
        <item x="405"/>
        <item x="259"/>
        <item x="334"/>
        <item x="1"/>
        <item x="189"/>
        <item x="233"/>
        <item x="176"/>
        <item x="355"/>
        <item x="171"/>
        <item x="81"/>
        <item x="316"/>
        <item x="411"/>
        <item x="99"/>
        <item x="247"/>
        <item x="83"/>
        <item x="40"/>
        <item x="206"/>
        <item x="408"/>
        <item x="202"/>
        <item x="337"/>
        <item x="366"/>
        <item x="281"/>
        <item x="244"/>
        <item x="16"/>
        <item x="273"/>
        <item x="221"/>
        <item x="164"/>
        <item x="409"/>
        <item x="23"/>
        <item x="407"/>
        <item x="371"/>
        <item x="28"/>
        <item x="380"/>
        <item x="269"/>
        <item x="91"/>
        <item x="190"/>
        <item x="416"/>
        <item x="314"/>
        <item x="107"/>
        <item x="307"/>
        <item x="103"/>
        <item x="76"/>
        <item x="367"/>
        <item x="21"/>
        <item x="395"/>
        <item x="37"/>
        <item x="340"/>
        <item x="43"/>
        <item x="72"/>
        <item x="379"/>
        <item x="306"/>
        <item x="120"/>
        <item x="127"/>
        <item x="310"/>
        <item x="15"/>
        <item x="70"/>
        <item x="296"/>
        <item x="383"/>
        <item x="392"/>
        <item x="56"/>
        <item x="11"/>
        <item x="137"/>
        <item x="342"/>
        <item x="254"/>
        <item x="303"/>
        <item x="297"/>
        <item x="406"/>
        <item x="294"/>
        <item x="391"/>
        <item x="339"/>
        <item x="336"/>
        <item x="251"/>
        <item x="211"/>
        <item x="140"/>
        <item x="414"/>
        <item x="160"/>
        <item x="313"/>
        <item x="246"/>
        <item x="46"/>
        <item x="252"/>
        <item x="134"/>
        <item x="270"/>
        <item x="345"/>
        <item x="343"/>
        <item x="97"/>
        <item x="399"/>
        <item x="357"/>
        <item x="47"/>
        <item x="166"/>
        <item x="210"/>
        <item x="387"/>
        <item x="101"/>
        <item x="308"/>
        <item x="358"/>
        <item x="82"/>
        <item x="287"/>
        <item x="361"/>
        <item x="6"/>
        <item x="175"/>
        <item x="22"/>
        <item x="226"/>
        <item x="262"/>
        <item x="124"/>
        <item x="332"/>
        <item x="223"/>
        <item x="155"/>
        <item x="277"/>
        <item x="276"/>
        <item x="344"/>
        <item x="213"/>
        <item x="403"/>
        <item x="417"/>
        <item x="214"/>
        <item x="260"/>
        <item x="255"/>
        <item x="31"/>
        <item x="400"/>
        <item x="158"/>
        <item x="13"/>
        <item x="110"/>
        <item x="282"/>
        <item x="239"/>
        <item x="61"/>
        <item x="384"/>
        <item x="142"/>
        <item x="165"/>
        <item x="89"/>
        <item x="330"/>
        <item x="209"/>
        <item x="230"/>
        <item x="372"/>
        <item x="183"/>
        <item x="105"/>
        <item x="67"/>
        <item x="116"/>
        <item x="363"/>
        <item x="12"/>
        <item x="7"/>
        <item x="194"/>
        <item x="266"/>
        <item x="74"/>
        <item x="261"/>
        <item x="288"/>
        <item x="245"/>
        <item x="275"/>
        <item x="68"/>
        <item x="289"/>
        <item x="352"/>
        <item x="312"/>
        <item x="326"/>
        <item x="172"/>
        <item x="350"/>
        <item x="78"/>
        <item x="322"/>
        <item x="241"/>
        <item x="216"/>
        <item x="104"/>
        <item x="199"/>
        <item x="49"/>
        <item x="285"/>
        <item x="401"/>
        <item x="48"/>
        <item x="265"/>
        <item x="212"/>
        <item x="100"/>
        <item x="111"/>
        <item x="106"/>
        <item x="220"/>
        <item x="41"/>
        <item x="318"/>
        <item x="8"/>
        <item x="87"/>
        <item x="14"/>
        <item x="354"/>
        <item x="65"/>
        <item x="52"/>
        <item x="115"/>
        <item x="27"/>
        <item x="362"/>
        <item x="204"/>
        <item x="24"/>
        <item x="0"/>
        <item x="393"/>
        <item x="57"/>
        <item x="132"/>
        <item x="205"/>
        <item x="168"/>
        <item x="71"/>
        <item x="174"/>
        <item x="286"/>
        <item x="35"/>
        <item x="232"/>
        <item x="335"/>
        <item x="58"/>
        <item x="402"/>
        <item x="4"/>
        <item x="79"/>
        <item x="348"/>
        <item x="225"/>
        <item x="55"/>
        <item x="390"/>
        <item x="42"/>
        <item x="64"/>
        <item x="385"/>
        <item x="237"/>
        <item x="53"/>
        <item x="374"/>
        <item x="18"/>
        <item x="197"/>
        <item x="240"/>
        <item x="34"/>
        <item x="373"/>
        <item x="222"/>
        <item x="109"/>
        <item x="386"/>
        <item x="338"/>
        <item x="257"/>
        <item x="96"/>
        <item x="370"/>
        <item x="94"/>
        <item x="328"/>
        <item x="170"/>
        <item x="195"/>
        <item x="304"/>
        <item x="173"/>
        <item x="283"/>
        <item x="229"/>
        <item x="32"/>
        <item x="243"/>
        <item x="207"/>
        <item x="157"/>
        <item x="163"/>
        <item x="196"/>
        <item x="17"/>
        <item x="224"/>
        <item x="323"/>
        <item x="290"/>
        <item x="315"/>
        <item x="231"/>
        <item x="228"/>
        <item x="63"/>
        <item x="26"/>
        <item x="146"/>
        <item x="77"/>
        <item x="66"/>
        <item x="319"/>
        <item x="20"/>
        <item x="236"/>
        <item x="151"/>
        <item x="145"/>
        <item x="298"/>
        <item x="365"/>
        <item x="300"/>
        <item x="125"/>
        <item x="25"/>
        <item x="311"/>
        <item x="130"/>
        <item x="126"/>
        <item x="33"/>
        <item x="324"/>
        <item x="141"/>
        <item x="280"/>
        <item x="415"/>
        <item x="154"/>
        <item x="177"/>
        <item x="309"/>
        <item x="248"/>
        <item x="54"/>
        <item x="119"/>
        <item x="218"/>
        <item x="410"/>
        <item x="60"/>
        <item x="388"/>
        <item x="2"/>
        <item x="152"/>
        <item x="138"/>
        <item x="133"/>
        <item x="136"/>
        <item x="98"/>
        <item x="108"/>
        <item x="278"/>
        <item x="121"/>
        <item x="320"/>
        <item x="150"/>
        <item x="129"/>
        <item x="122"/>
        <item x="62"/>
        <item x="167"/>
        <item x="418"/>
        <item x="193"/>
        <item x="198"/>
        <item x="39"/>
        <item x="9"/>
        <item x="369"/>
        <item x="143"/>
        <item x="347"/>
        <item x="180"/>
        <item x="10"/>
        <item x="264"/>
        <item x="149"/>
        <item x="301"/>
        <item x="200"/>
        <item x="351"/>
        <item x="329"/>
        <item x="295"/>
        <item x="249"/>
        <item x="268"/>
        <item x="219"/>
        <item x="267"/>
        <item x="114"/>
        <item x="284"/>
        <item x="185"/>
        <item x="364"/>
        <item x="113"/>
        <item x="95"/>
        <item x="117"/>
        <item x="293"/>
        <item x="279"/>
        <item x="88"/>
        <item x="51"/>
        <item x="302"/>
        <item x="217"/>
        <item x="346"/>
        <item x="396"/>
        <item x="38"/>
        <item x="29"/>
        <item x="156"/>
        <item x="182"/>
        <item x="389"/>
        <item x="274"/>
        <item x="50"/>
        <item x="375"/>
        <item x="360"/>
        <item x="349"/>
        <item x="368"/>
        <item x="85"/>
        <item x="404"/>
        <item x="112"/>
        <item x="292"/>
        <item x="4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">
        <item h="1" x="1"/>
        <item x="0"/>
        <item x="2"/>
        <item t="default"/>
      </items>
    </pivotField>
  </pivotFields>
  <rowFields count="1">
    <field x="0"/>
  </rowFields>
  <rowItems count="37">
    <i>
      <x v="23"/>
    </i>
    <i>
      <x v="31"/>
    </i>
    <i>
      <x v="42"/>
    </i>
    <i>
      <x v="50"/>
    </i>
    <i>
      <x v="83"/>
    </i>
    <i>
      <x v="103"/>
    </i>
    <i>
      <x v="108"/>
    </i>
    <i>
      <x v="111"/>
    </i>
    <i>
      <x v="123"/>
    </i>
    <i>
      <x v="134"/>
    </i>
    <i>
      <x v="140"/>
    </i>
    <i>
      <x v="177"/>
    </i>
    <i>
      <x v="179"/>
    </i>
    <i>
      <x v="195"/>
    </i>
    <i>
      <x v="198"/>
    </i>
    <i>
      <x v="216"/>
    </i>
    <i>
      <x v="217"/>
    </i>
    <i>
      <x v="250"/>
    </i>
    <i>
      <x v="252"/>
    </i>
    <i>
      <x v="257"/>
    </i>
    <i>
      <x v="260"/>
    </i>
    <i>
      <x v="261"/>
    </i>
    <i>
      <x v="275"/>
    </i>
    <i>
      <x v="287"/>
    </i>
    <i>
      <x v="290"/>
    </i>
    <i>
      <x v="307"/>
    </i>
    <i>
      <x v="313"/>
    </i>
    <i>
      <x v="321"/>
    </i>
    <i>
      <x v="326"/>
    </i>
    <i>
      <x v="334"/>
    </i>
    <i>
      <x v="338"/>
    </i>
    <i>
      <x v="353"/>
    </i>
    <i>
      <x v="372"/>
    </i>
    <i>
      <x v="377"/>
    </i>
    <i>
      <x v="405"/>
    </i>
    <i>
      <x v="419"/>
    </i>
    <i t="grand">
      <x/>
    </i>
  </rowItems>
  <colItems count="1">
    <i/>
  </colItems>
  <pageFields count="1">
    <pageField fld="9" hier="-1"/>
  </pageFields>
  <dataFields count="1">
    <dataField name="czy przekroczył o ponad 50" fld="9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424" firstHeaderRow="1" firstDataRow="1" firstDataCol="1"/>
  <pivotFields count="3">
    <pivotField axis="axisRow" dataField="1" showAll="0" sortType="descending">
      <items count="421">
        <item x="182"/>
        <item x="343"/>
        <item x="90"/>
        <item x="344"/>
        <item x="6"/>
        <item x="183"/>
        <item x="184"/>
        <item x="345"/>
        <item x="11"/>
        <item x="185"/>
        <item x="346"/>
        <item x="147"/>
        <item x="52"/>
        <item x="186"/>
        <item x="347"/>
        <item x="348"/>
        <item x="35"/>
        <item x="187"/>
        <item x="188"/>
        <item x="113"/>
        <item x="349"/>
        <item x="189"/>
        <item x="350"/>
        <item x="10"/>
        <item x="190"/>
        <item x="102"/>
        <item x="351"/>
        <item x="179"/>
        <item x="352"/>
        <item x="191"/>
        <item x="128"/>
        <item x="3"/>
        <item x="192"/>
        <item x="353"/>
        <item x="193"/>
        <item x="354"/>
        <item x="33"/>
        <item x="28"/>
        <item x="194"/>
        <item x="355"/>
        <item x="356"/>
        <item x="195"/>
        <item x="74"/>
        <item x="196"/>
        <item x="63"/>
        <item x="357"/>
        <item x="197"/>
        <item x="87"/>
        <item x="358"/>
        <item x="38"/>
        <item x="198"/>
        <item x="359"/>
        <item x="360"/>
        <item x="118"/>
        <item x="199"/>
        <item x="361"/>
        <item x="65"/>
        <item x="200"/>
        <item x="170"/>
        <item x="123"/>
        <item x="201"/>
        <item x="362"/>
        <item x="363"/>
        <item x="56"/>
        <item x="202"/>
        <item x="59"/>
        <item x="364"/>
        <item x="203"/>
        <item x="204"/>
        <item x="136"/>
        <item x="365"/>
        <item x="205"/>
        <item x="41"/>
        <item x="366"/>
        <item x="367"/>
        <item x="206"/>
        <item x="117"/>
        <item x="207"/>
        <item x="27"/>
        <item x="368"/>
        <item x="208"/>
        <item x="369"/>
        <item x="129"/>
        <item x="370"/>
        <item x="209"/>
        <item x="12"/>
        <item x="68"/>
        <item x="371"/>
        <item x="210"/>
        <item x="98"/>
        <item x="372"/>
        <item x="211"/>
        <item x="148"/>
        <item x="212"/>
        <item x="373"/>
        <item x="93"/>
        <item x="213"/>
        <item x="374"/>
        <item x="22"/>
        <item x="214"/>
        <item x="375"/>
        <item x="215"/>
        <item x="376"/>
        <item x="119"/>
        <item x="377"/>
        <item x="82"/>
        <item x="216"/>
        <item x="378"/>
        <item x="78"/>
        <item x="217"/>
        <item x="379"/>
        <item x="97"/>
        <item x="218"/>
        <item x="79"/>
        <item x="219"/>
        <item x="380"/>
        <item x="381"/>
        <item x="26"/>
        <item x="220"/>
        <item x="221"/>
        <item x="382"/>
        <item x="54"/>
        <item x="383"/>
        <item x="131"/>
        <item x="222"/>
        <item x="384"/>
        <item x="223"/>
        <item x="15"/>
        <item x="83"/>
        <item x="224"/>
        <item x="385"/>
        <item x="111"/>
        <item x="386"/>
        <item x="225"/>
        <item x="101"/>
        <item x="387"/>
        <item x="226"/>
        <item x="388"/>
        <item x="227"/>
        <item x="55"/>
        <item x="389"/>
        <item x="103"/>
        <item x="228"/>
        <item x="390"/>
        <item x="229"/>
        <item x="89"/>
        <item x="230"/>
        <item x="132"/>
        <item x="178"/>
        <item x="169"/>
        <item x="391"/>
        <item x="392"/>
        <item x="231"/>
        <item x="8"/>
        <item x="232"/>
        <item x="114"/>
        <item x="393"/>
        <item x="100"/>
        <item x="233"/>
        <item x="394"/>
        <item x="395"/>
        <item x="234"/>
        <item x="5"/>
        <item x="44"/>
        <item x="235"/>
        <item x="396"/>
        <item x="236"/>
        <item x="133"/>
        <item x="397"/>
        <item x="43"/>
        <item x="398"/>
        <item x="237"/>
        <item x="399"/>
        <item x="238"/>
        <item x="108"/>
        <item x="400"/>
        <item x="239"/>
        <item x="71"/>
        <item x="240"/>
        <item x="401"/>
        <item x="153"/>
        <item x="69"/>
        <item x="241"/>
        <item x="402"/>
        <item x="403"/>
        <item x="242"/>
        <item x="112"/>
        <item x="404"/>
        <item x="243"/>
        <item x="42"/>
        <item x="405"/>
        <item x="151"/>
        <item x="244"/>
        <item x="406"/>
        <item x="106"/>
        <item x="245"/>
        <item x="407"/>
        <item x="246"/>
        <item x="21"/>
        <item x="1"/>
        <item x="247"/>
        <item x="408"/>
        <item x="80"/>
        <item x="248"/>
        <item x="409"/>
        <item x="249"/>
        <item x="94"/>
        <item x="410"/>
        <item x="14"/>
        <item x="250"/>
        <item x="411"/>
        <item x="99"/>
        <item x="412"/>
        <item x="251"/>
        <item x="75"/>
        <item x="252"/>
        <item x="413"/>
        <item x="32"/>
        <item x="253"/>
        <item x="414"/>
        <item x="254"/>
        <item x="415"/>
        <item x="122"/>
        <item x="416"/>
        <item x="255"/>
        <item x="124"/>
        <item x="256"/>
        <item x="417"/>
        <item x="67"/>
        <item x="96"/>
        <item x="257"/>
        <item x="418"/>
        <item x="158"/>
        <item x="258"/>
        <item x="19"/>
        <item x="259"/>
        <item x="105"/>
        <item x="171"/>
        <item x="180"/>
        <item x="177"/>
        <item x="260"/>
        <item x="13"/>
        <item x="261"/>
        <item x="262"/>
        <item x="62"/>
        <item x="263"/>
        <item x="154"/>
        <item x="264"/>
        <item x="72"/>
        <item x="265"/>
        <item x="18"/>
        <item x="266"/>
        <item x="24"/>
        <item x="267"/>
        <item x="81"/>
        <item x="58"/>
        <item x="9"/>
        <item x="47"/>
        <item x="268"/>
        <item x="269"/>
        <item x="45"/>
        <item x="39"/>
        <item x="270"/>
        <item x="116"/>
        <item x="271"/>
        <item x="272"/>
        <item x="164"/>
        <item x="161"/>
        <item x="172"/>
        <item x="181"/>
        <item x="2"/>
        <item x="163"/>
        <item x="273"/>
        <item x="107"/>
        <item x="274"/>
        <item x="73"/>
        <item x="275"/>
        <item x="276"/>
        <item x="277"/>
        <item x="66"/>
        <item x="278"/>
        <item x="70"/>
        <item x="0"/>
        <item x="279"/>
        <item x="150"/>
        <item x="280"/>
        <item x="281"/>
        <item x="135"/>
        <item x="282"/>
        <item x="29"/>
        <item x="283"/>
        <item x="176"/>
        <item x="125"/>
        <item x="84"/>
        <item x="284"/>
        <item x="104"/>
        <item x="285"/>
        <item x="95"/>
        <item x="286"/>
        <item x="77"/>
        <item x="287"/>
        <item x="157"/>
        <item x="288"/>
        <item x="289"/>
        <item x="48"/>
        <item x="290"/>
        <item x="7"/>
        <item x="291"/>
        <item x="92"/>
        <item x="292"/>
        <item x="137"/>
        <item x="293"/>
        <item x="16"/>
        <item x="85"/>
        <item x="134"/>
        <item x="294"/>
        <item x="141"/>
        <item x="295"/>
        <item x="296"/>
        <item x="149"/>
        <item x="297"/>
        <item x="50"/>
        <item x="298"/>
        <item x="110"/>
        <item x="60"/>
        <item x="299"/>
        <item x="138"/>
        <item x="300"/>
        <item x="301"/>
        <item x="4"/>
        <item x="109"/>
        <item x="302"/>
        <item x="144"/>
        <item x="303"/>
        <item x="46"/>
        <item x="304"/>
        <item x="155"/>
        <item x="305"/>
        <item x="143"/>
        <item x="306"/>
        <item x="307"/>
        <item x="88"/>
        <item x="308"/>
        <item x="51"/>
        <item x="64"/>
        <item x="309"/>
        <item x="310"/>
        <item x="91"/>
        <item x="311"/>
        <item x="162"/>
        <item x="312"/>
        <item x="130"/>
        <item x="313"/>
        <item x="156"/>
        <item x="314"/>
        <item x="120"/>
        <item x="315"/>
        <item x="30"/>
        <item x="127"/>
        <item x="316"/>
        <item x="168"/>
        <item x="76"/>
        <item x="317"/>
        <item x="34"/>
        <item x="318"/>
        <item x="319"/>
        <item x="17"/>
        <item x="142"/>
        <item x="320"/>
        <item x="86"/>
        <item x="321"/>
        <item x="140"/>
        <item x="322"/>
        <item x="323"/>
        <item x="49"/>
        <item x="53"/>
        <item x="324"/>
        <item x="325"/>
        <item x="36"/>
        <item x="115"/>
        <item x="326"/>
        <item x="25"/>
        <item x="327"/>
        <item x="328"/>
        <item x="160"/>
        <item x="329"/>
        <item x="159"/>
        <item x="331"/>
        <item x="126"/>
        <item x="145"/>
        <item x="332"/>
        <item x="330"/>
        <item x="333"/>
        <item x="121"/>
        <item x="139"/>
        <item x="146"/>
        <item x="334"/>
        <item x="335"/>
        <item x="57"/>
        <item x="152"/>
        <item x="336"/>
        <item x="23"/>
        <item x="337"/>
        <item x="338"/>
        <item x="20"/>
        <item x="61"/>
        <item x="339"/>
        <item x="173"/>
        <item x="31"/>
        <item x="165"/>
        <item x="340"/>
        <item x="40"/>
        <item x="175"/>
        <item x="341"/>
        <item x="167"/>
        <item x="174"/>
        <item x="37"/>
        <item x="166"/>
        <item x="342"/>
        <item x="4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0"/>
  </rowFields>
  <rowItems count="421">
    <i>
      <x v="273"/>
    </i>
    <i>
      <x v="270"/>
    </i>
    <i>
      <x v="267"/>
    </i>
    <i>
      <x v="260"/>
    </i>
    <i>
      <x v="263"/>
    </i>
    <i>
      <x v="261"/>
    </i>
    <i>
      <x v="313"/>
    </i>
    <i>
      <x v="275"/>
    </i>
    <i>
      <x v="255"/>
    </i>
    <i>
      <x v="256"/>
    </i>
    <i>
      <x v="282"/>
    </i>
    <i>
      <x v="254"/>
    </i>
    <i>
      <x v="281"/>
    </i>
    <i>
      <x v="246"/>
    </i>
    <i>
      <x v="244"/>
    </i>
    <i>
      <x v="248"/>
    </i>
    <i>
      <x v="279"/>
    </i>
    <i>
      <x v="250"/>
    </i>
    <i>
      <x v="257"/>
    </i>
    <i>
      <x v="241"/>
    </i>
    <i>
      <x v="252"/>
    </i>
    <i>
      <x v="139"/>
    </i>
    <i>
      <x v="131"/>
    </i>
    <i>
      <x v="128"/>
    </i>
    <i>
      <x v="121"/>
    </i>
    <i>
      <x v="134"/>
    </i>
    <i>
      <x v="123"/>
    </i>
    <i>
      <x v="127"/>
    </i>
    <i>
      <x v="236"/>
    </i>
    <i>
      <x v="86"/>
    </i>
    <i>
      <x v="341"/>
    </i>
    <i>
      <x v="310"/>
    </i>
    <i>
      <x v="89"/>
    </i>
    <i>
      <x v="374"/>
    </i>
    <i>
      <x v="92"/>
    </i>
    <i>
      <x v="292"/>
    </i>
    <i>
      <x v="95"/>
    </i>
    <i>
      <x v="324"/>
    </i>
    <i>
      <x v="98"/>
    </i>
    <i>
      <x v="357"/>
    </i>
    <i>
      <x v="103"/>
    </i>
    <i>
      <x v="389"/>
    </i>
    <i>
      <x v="105"/>
    </i>
    <i>
      <x v="78"/>
    </i>
    <i>
      <x v="108"/>
    </i>
    <i>
      <x v="301"/>
    </i>
    <i>
      <x v="111"/>
    </i>
    <i>
      <x v="316"/>
    </i>
    <i>
      <x v="113"/>
    </i>
    <i>
      <x v="332"/>
    </i>
    <i>
      <x v="117"/>
    </i>
    <i>
      <x v="349"/>
    </i>
    <i>
      <x v="2"/>
    </i>
    <i>
      <x v="366"/>
    </i>
    <i>
      <x v="4"/>
    </i>
    <i>
      <x v="381"/>
    </i>
    <i>
      <x v="8"/>
    </i>
    <i>
      <x v="398"/>
    </i>
    <i>
      <x v="11"/>
    </i>
    <i>
      <x v="72"/>
    </i>
    <i>
      <x v="12"/>
    </i>
    <i>
      <x v="287"/>
    </i>
    <i>
      <x v="16"/>
    </i>
    <i>
      <x v="297"/>
    </i>
    <i>
      <x v="19"/>
    </i>
    <i>
      <x v="306"/>
    </i>
    <i>
      <x v="141"/>
    </i>
    <i>
      <x v="85"/>
    </i>
    <i>
      <x v="145"/>
    </i>
    <i>
      <x v="321"/>
    </i>
    <i>
      <x v="153"/>
    </i>
    <i>
      <x v="329"/>
    </i>
    <i>
      <x v="155"/>
    </i>
    <i>
      <x v="336"/>
    </i>
    <i>
      <x v="157"/>
    </i>
    <i>
      <x v="344"/>
    </i>
    <i>
      <x v="162"/>
    </i>
    <i>
      <x v="353"/>
    </i>
    <i>
      <x v="163"/>
    </i>
    <i>
      <x v="361"/>
    </i>
    <i>
      <x v="167"/>
    </i>
    <i>
      <x v="369"/>
    </i>
    <i>
      <x v="169"/>
    </i>
    <i>
      <x v="378"/>
    </i>
    <i>
      <x v="174"/>
    </i>
    <i>
      <x v="386"/>
    </i>
    <i>
      <x v="177"/>
    </i>
    <i>
      <x v="394"/>
    </i>
    <i>
      <x v="180"/>
    </i>
    <i>
      <x v="401"/>
    </i>
    <i>
      <x v="181"/>
    </i>
    <i>
      <x v="69"/>
    </i>
    <i>
      <x v="186"/>
    </i>
    <i>
      <x v="76"/>
    </i>
    <i>
      <x v="189"/>
    </i>
    <i>
      <x v="82"/>
    </i>
    <i>
      <x v="191"/>
    </i>
    <i>
      <x v="289"/>
    </i>
    <i>
      <x v="194"/>
    </i>
    <i>
      <x v="295"/>
    </i>
    <i>
      <x v="198"/>
    </i>
    <i>
      <x v="299"/>
    </i>
    <i>
      <x v="199"/>
    </i>
    <i>
      <x v="304"/>
    </i>
    <i>
      <x v="202"/>
    </i>
    <i>
      <x v="308"/>
    </i>
    <i>
      <x v="206"/>
    </i>
    <i>
      <x v="312"/>
    </i>
    <i>
      <x v="211"/>
    </i>
    <i>
      <x v="314"/>
    </i>
    <i>
      <x v="214"/>
    </i>
    <i>
      <x v="319"/>
    </i>
    <i>
      <x v="217"/>
    </i>
    <i>
      <x v="323"/>
    </i>
    <i>
      <x v="222"/>
    </i>
    <i>
      <x v="326"/>
    </i>
    <i>
      <x v="225"/>
    </i>
    <i>
      <x v="330"/>
    </i>
    <i>
      <x v="228"/>
    </i>
    <i>
      <x v="334"/>
    </i>
    <i>
      <x v="229"/>
    </i>
    <i>
      <x v="338"/>
    </i>
    <i>
      <x v="232"/>
    </i>
    <i>
      <x v="343"/>
    </i>
    <i>
      <x v="234"/>
    </i>
    <i>
      <x v="347"/>
    </i>
    <i>
      <x v="405"/>
    </i>
    <i>
      <x v="351"/>
    </i>
    <i>
      <x v="23"/>
    </i>
    <i>
      <x v="355"/>
    </i>
    <i>
      <x v="25"/>
    </i>
    <i>
      <x v="358"/>
    </i>
    <i>
      <x v="30"/>
    </i>
    <i>
      <x v="363"/>
    </i>
    <i>
      <x v="31"/>
    </i>
    <i>
      <x v="367"/>
    </i>
    <i>
      <x v="36"/>
    </i>
    <i>
      <x v="371"/>
    </i>
    <i>
      <x v="37"/>
    </i>
    <i>
      <x v="375"/>
    </i>
    <i>
      <x v="42"/>
    </i>
    <i>
      <x v="379"/>
    </i>
    <i>
      <x v="44"/>
    </i>
    <i>
      <x v="384"/>
    </i>
    <i>
      <x v="47"/>
    </i>
    <i>
      <x v="388"/>
    </i>
    <i>
      <x v="49"/>
    </i>
    <i>
      <x v="393"/>
    </i>
    <i>
      <x v="53"/>
    </i>
    <i>
      <x v="395"/>
    </i>
    <i>
      <x v="56"/>
    </i>
    <i>
      <x v="399"/>
    </i>
    <i>
      <x v="59"/>
    </i>
    <i>
      <x v="404"/>
    </i>
    <i>
      <x v="63"/>
    </i>
    <i>
      <x v="65"/>
    </i>
    <i>
      <x v="208"/>
    </i>
    <i>
      <x v="412"/>
    </i>
    <i>
      <x v="348"/>
    </i>
    <i>
      <x v="112"/>
    </i>
    <i>
      <x v="158"/>
    </i>
    <i>
      <x v="380"/>
    </i>
    <i>
      <x v="159"/>
    </i>
    <i>
      <x v="300"/>
    </i>
    <i>
      <x v="160"/>
    </i>
    <i>
      <x v="120"/>
    </i>
    <i>
      <x v="161"/>
    </i>
    <i>
      <x v="364"/>
    </i>
    <i>
      <x v="52"/>
    </i>
    <i>
      <x v="396"/>
    </i>
    <i>
      <x v="18"/>
    </i>
    <i>
      <x v="100"/>
    </i>
    <i>
      <x v="164"/>
    </i>
    <i>
      <x v="107"/>
    </i>
    <i>
      <x v="165"/>
    </i>
    <i>
      <x v="116"/>
    </i>
    <i>
      <x v="166"/>
    </i>
    <i>
      <x v="340"/>
    </i>
    <i>
      <x v="54"/>
    </i>
    <i>
      <x v="356"/>
    </i>
    <i>
      <x v="168"/>
    </i>
    <i>
      <x v="372"/>
    </i>
    <i>
      <x v="55"/>
    </i>
    <i>
      <x v="147"/>
    </i>
    <i>
      <x v="170"/>
    </i>
    <i>
      <x v="50"/>
    </i>
    <i>
      <x v="171"/>
    </i>
    <i>
      <x v="288"/>
    </i>
    <i>
      <x v="172"/>
    </i>
    <i>
      <x v="296"/>
    </i>
    <i>
      <x v="173"/>
    </i>
    <i>
      <x v="35"/>
    </i>
    <i>
      <x v="7"/>
    </i>
    <i>
      <x v="109"/>
    </i>
    <i>
      <x v="175"/>
    </i>
    <i>
      <x v="320"/>
    </i>
    <i>
      <x v="176"/>
    </i>
    <i>
      <x v="328"/>
    </i>
    <i>
      <x v="57"/>
    </i>
    <i>
      <x v="122"/>
    </i>
    <i>
      <x v="178"/>
    </i>
    <i>
      <x v="126"/>
    </i>
    <i>
      <x v="179"/>
    </i>
    <i>
      <x v="352"/>
    </i>
    <i>
      <x v="58"/>
    </i>
    <i>
      <x v="360"/>
    </i>
    <i>
      <x v="20"/>
    </i>
    <i>
      <x v="368"/>
    </i>
    <i>
      <x v="182"/>
    </i>
    <i>
      <x v="376"/>
    </i>
    <i>
      <x v="183"/>
    </i>
    <i>
      <x v="48"/>
    </i>
    <i>
      <x v="184"/>
    </i>
    <i>
      <x v="392"/>
    </i>
    <i>
      <x v="185"/>
    </i>
    <i>
      <x v="400"/>
    </i>
    <i>
      <x v="60"/>
    </i>
    <i>
      <x v="408"/>
    </i>
    <i>
      <x v="187"/>
    </i>
    <i>
      <x v="416"/>
    </i>
    <i>
      <x v="188"/>
    </i>
    <i>
      <x v="290"/>
    </i>
    <i>
      <x v="61"/>
    </i>
    <i>
      <x v="294"/>
    </i>
    <i>
      <x v="190"/>
    </i>
    <i>
      <x v="298"/>
    </i>
    <i>
      <x v="62"/>
    </i>
    <i>
      <x v="302"/>
    </i>
    <i>
      <x v="192"/>
    </i>
    <i>
      <x v="106"/>
    </i>
    <i>
      <x v="193"/>
    </i>
    <i>
      <x v="5"/>
    </i>
    <i>
      <x v="21"/>
    </i>
    <i>
      <x v="13"/>
    </i>
    <i>
      <x v="195"/>
    </i>
    <i>
      <x v="318"/>
    </i>
    <i>
      <x v="196"/>
    </i>
    <i>
      <x v="322"/>
    </i>
    <i>
      <x v="197"/>
    </i>
    <i>
      <x v="39"/>
    </i>
    <i>
      <x v="64"/>
    </i>
    <i>
      <x v="119"/>
    </i>
    <i>
      <x v="22"/>
    </i>
    <i>
      <x v="40"/>
    </i>
    <i>
      <x v="200"/>
    </i>
    <i>
      <x v="41"/>
    </i>
    <i>
      <x v="201"/>
    </i>
    <i>
      <x v="342"/>
    </i>
    <i>
      <x v="66"/>
    </i>
    <i>
      <x v="346"/>
    </i>
    <i>
      <x v="203"/>
    </i>
    <i>
      <x v="350"/>
    </i>
    <i>
      <x v="204"/>
    </i>
    <i>
      <x v="354"/>
    </i>
    <i>
      <x v="205"/>
    </i>
    <i>
      <x v="133"/>
    </i>
    <i>
      <x v="67"/>
    </i>
    <i>
      <x v="362"/>
    </i>
    <i>
      <x v="207"/>
    </i>
    <i>
      <x v="136"/>
    </i>
    <i>
      <x v="418"/>
    </i>
    <i>
      <x v="370"/>
    </i>
    <i>
      <x/>
    </i>
    <i>
      <x v="140"/>
    </i>
    <i>
      <x v="210"/>
    </i>
    <i>
      <x v="142"/>
    </i>
    <i>
      <x v="68"/>
    </i>
    <i>
      <x v="382"/>
    </i>
    <i>
      <x v="212"/>
    </i>
    <i>
      <x v="146"/>
    </i>
    <i>
      <x v="213"/>
    </i>
    <i>
      <x v="390"/>
    </i>
    <i>
      <x v="3"/>
    </i>
    <i>
      <x v="150"/>
    </i>
    <i>
      <x v="215"/>
    </i>
    <i>
      <x v="152"/>
    </i>
    <i>
      <x v="216"/>
    </i>
    <i>
      <x v="402"/>
    </i>
    <i>
      <x v="70"/>
    </i>
    <i>
      <x v="406"/>
    </i>
    <i>
      <x v="218"/>
    </i>
    <i>
      <x v="410"/>
    </i>
    <i>
      <x v="219"/>
    </i>
    <i>
      <x v="414"/>
    </i>
    <i>
      <x v="220"/>
    </i>
    <i>
      <x v="51"/>
    </i>
    <i>
      <x v="221"/>
    </i>
    <i>
      <x v="99"/>
    </i>
    <i>
      <x v="71"/>
    </i>
    <i>
      <x v="291"/>
    </i>
    <i>
      <x v="223"/>
    </i>
    <i>
      <x v="293"/>
    </i>
    <i>
      <x v="224"/>
    </i>
    <i>
      <x v="101"/>
    </i>
    <i>
      <x v="24"/>
    </i>
    <i>
      <x v="102"/>
    </i>
    <i>
      <x v="226"/>
    </i>
    <i>
      <x v="34"/>
    </i>
    <i>
      <x v="227"/>
    </i>
    <i>
      <x v="104"/>
    </i>
    <i>
      <x v="73"/>
    </i>
    <i>
      <x v="303"/>
    </i>
    <i>
      <x v="74"/>
    </i>
    <i>
      <x v="305"/>
    </i>
    <i>
      <x v="230"/>
    </i>
    <i>
      <x v="307"/>
    </i>
    <i>
      <x v="231"/>
    </i>
    <i>
      <x v="309"/>
    </i>
    <i>
      <x v="75"/>
    </i>
    <i>
      <x v="311"/>
    </i>
    <i>
      <x v="233"/>
    </i>
    <i>
      <x v="110"/>
    </i>
    <i>
      <x v="9"/>
    </i>
    <i>
      <x v="315"/>
    </i>
    <i>
      <x v="235"/>
    </i>
    <i>
      <x v="317"/>
    </i>
    <i>
      <x v="77"/>
    </i>
    <i>
      <x v="38"/>
    </i>
    <i>
      <x v="237"/>
    </i>
    <i>
      <x v="114"/>
    </i>
    <i>
      <x v="238"/>
    </i>
    <i>
      <x v="115"/>
    </i>
    <i>
      <x v="239"/>
    </i>
    <i>
      <x v="325"/>
    </i>
    <i>
      <x v="240"/>
    </i>
    <i>
      <x v="327"/>
    </i>
    <i>
      <x v="26"/>
    </i>
    <i>
      <x v="118"/>
    </i>
    <i>
      <x v="242"/>
    </i>
    <i>
      <x v="331"/>
    </i>
    <i>
      <x v="243"/>
    </i>
    <i>
      <x v="333"/>
    </i>
    <i>
      <x v="79"/>
    </i>
    <i>
      <x v="335"/>
    </i>
    <i>
      <x v="245"/>
    </i>
    <i>
      <x v="337"/>
    </i>
    <i>
      <x v="80"/>
    </i>
    <i>
      <x v="339"/>
    </i>
    <i>
      <x v="247"/>
    </i>
    <i>
      <x v="124"/>
    </i>
    <i>
      <x v="81"/>
    </i>
    <i>
      <x v="125"/>
    </i>
    <i>
      <x v="249"/>
    </i>
    <i>
      <x v="345"/>
    </i>
    <i>
      <x v="27"/>
    </i>
    <i>
      <x v="14"/>
    </i>
    <i>
      <x v="251"/>
    </i>
    <i>
      <x v="43"/>
    </i>
    <i>
      <x v="83"/>
    </i>
    <i>
      <x v="129"/>
    </i>
    <i>
      <x v="253"/>
    </i>
    <i>
      <x v="130"/>
    </i>
    <i>
      <x v="84"/>
    </i>
    <i>
      <x v="15"/>
    </i>
    <i>
      <x v="28"/>
    </i>
    <i>
      <x v="132"/>
    </i>
    <i>
      <x v="29"/>
    </i>
    <i>
      <x v="359"/>
    </i>
    <i>
      <x v="87"/>
    </i>
    <i>
      <x v="45"/>
    </i>
    <i>
      <x v="258"/>
    </i>
    <i>
      <x v="135"/>
    </i>
    <i>
      <x v="259"/>
    </i>
    <i>
      <x v="365"/>
    </i>
    <i>
      <x v="88"/>
    </i>
    <i>
      <x v="137"/>
    </i>
    <i>
      <x v="10"/>
    </i>
    <i>
      <x v="138"/>
    </i>
    <i>
      <x v="262"/>
    </i>
    <i>
      <x v="46"/>
    </i>
    <i>
      <x v="90"/>
    </i>
    <i>
      <x v="373"/>
    </i>
    <i>
      <x v="264"/>
    </i>
    <i>
      <x v="6"/>
    </i>
    <i>
      <x v="265"/>
    </i>
    <i>
      <x v="377"/>
    </i>
    <i>
      <x v="266"/>
    </i>
    <i>
      <x v="143"/>
    </i>
    <i>
      <x v="91"/>
    </i>
    <i>
      <x v="144"/>
    </i>
    <i>
      <x v="268"/>
    </i>
    <i>
      <x v="383"/>
    </i>
    <i>
      <x v="269"/>
    </i>
    <i>
      <x v="385"/>
    </i>
    <i>
      <x v="1"/>
    </i>
    <i>
      <x v="387"/>
    </i>
    <i>
      <x v="271"/>
    </i>
    <i>
      <x v="148"/>
    </i>
    <i>
      <x v="272"/>
    </i>
    <i>
      <x v="391"/>
    </i>
    <i>
      <x v="93"/>
    </i>
    <i>
      <x v="149"/>
    </i>
    <i>
      <x v="274"/>
    </i>
    <i>
      <x v="151"/>
    </i>
    <i>
      <x v="94"/>
    </i>
    <i>
      <x v="397"/>
    </i>
    <i>
      <x v="276"/>
    </i>
    <i>
      <x v="17"/>
    </i>
    <i>
      <x v="277"/>
    </i>
    <i>
      <x v="154"/>
    </i>
    <i>
      <x v="278"/>
    </i>
    <i>
      <x v="403"/>
    </i>
    <i>
      <x v="32"/>
    </i>
    <i>
      <x v="156"/>
    </i>
    <i>
      <x v="280"/>
    </i>
    <i>
      <x v="407"/>
    </i>
    <i>
      <x v="96"/>
    </i>
    <i>
      <x v="409"/>
    </i>
    <i>
      <x v="97"/>
    </i>
    <i>
      <x v="411"/>
    </i>
    <i>
      <x v="283"/>
    </i>
    <i>
      <x v="413"/>
    </i>
    <i>
      <x v="284"/>
    </i>
    <i>
      <x v="415"/>
    </i>
    <i>
      <x v="285"/>
    </i>
    <i>
      <x v="417"/>
    </i>
    <i>
      <x v="286"/>
    </i>
    <i>
      <x v="33"/>
    </i>
    <i>
      <x v="209"/>
    </i>
    <i>
      <x v="419"/>
    </i>
    <i t="grand">
      <x/>
    </i>
  </rowItems>
  <colItems count="1">
    <i/>
  </colItems>
  <dataFields count="1">
    <dataField name="Ilość przejazdów" fld="0" subtotal="count" baseField="0" baseItem="0"/>
  </dataFields>
  <formats count="2">
    <format dxfId="1">
      <pivotArea collapsedLevelsAreSubtotals="1" fieldPosition="0">
        <references count="1">
          <reference field="0" count="10">
            <x v="255"/>
            <x v="256"/>
            <x v="260"/>
            <x v="261"/>
            <x v="263"/>
            <x v="267"/>
            <x v="270"/>
            <x v="273"/>
            <x v="275"/>
            <x v="313"/>
          </reference>
        </references>
      </pivotArea>
    </format>
    <format dxfId="0">
      <pivotArea dataOnly="0" labelOnly="1" fieldPosition="0">
        <references count="1">
          <reference field="0" count="10">
            <x v="255"/>
            <x v="256"/>
            <x v="260"/>
            <x v="261"/>
            <x v="263"/>
            <x v="267"/>
            <x v="270"/>
            <x v="273"/>
            <x v="275"/>
            <x v="3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pomiar_2" connectionId="8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omiar_1" connectionId="2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pomiar" connectionId="1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pomiar" connectionId="1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pomiar_1" connectionId="20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pomiar_2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pomiar_2" connectionId="6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pomiar_1" connectionId="1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pomiar" connectionId="12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pomiar_1" connectionId="2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pomiar" connectionId="11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pomiar_1" connectionId="18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pomiar_2" connectionId="5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pomiar_1" connectionId="17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pomiar" connectionId="10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pomiar_2" connectionId="4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pomiar" connectionId="9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pomiar_2" connectionId="3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pomiar_1" connectionId="16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pomiar" connectionId="2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pomiar_1" connectionId="15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pomiar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9.xml"/><Relationship Id="rId2" Type="http://schemas.openxmlformats.org/officeDocument/2006/relationships/queryTable" Target="../queryTables/queryTable18.xml"/><Relationship Id="rId1" Type="http://schemas.openxmlformats.org/officeDocument/2006/relationships/queryTable" Target="../queryTables/query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1.xml"/><Relationship Id="rId1" Type="http://schemas.openxmlformats.org/officeDocument/2006/relationships/queryTable" Target="../queryTables/queryTable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M3" sqref="M3"/>
    </sheetView>
  </sheetViews>
  <sheetFormatPr defaultRowHeight="15" x14ac:dyDescent="0.25"/>
  <cols>
    <col min="1" max="1" width="17.7109375" bestFit="1" customWidth="1"/>
    <col min="2" max="2" width="26.28515625" bestFit="1" customWidth="1"/>
  </cols>
  <sheetData>
    <row r="1" spans="1:2" x14ac:dyDescent="0.25">
      <c r="A1" s="11" t="s">
        <v>433</v>
      </c>
      <c r="B1" t="s">
        <v>436</v>
      </c>
    </row>
    <row r="2" spans="1:2" x14ac:dyDescent="0.25">
      <c r="A2" s="12">
        <v>0</v>
      </c>
      <c r="B2" s="13">
        <v>42</v>
      </c>
    </row>
    <row r="3" spans="1:2" x14ac:dyDescent="0.25">
      <c r="A3" s="12">
        <v>1</v>
      </c>
      <c r="B3" s="13">
        <v>44</v>
      </c>
    </row>
    <row r="4" spans="1:2" x14ac:dyDescent="0.25">
      <c r="A4" s="12">
        <v>2</v>
      </c>
      <c r="B4" s="13">
        <v>37</v>
      </c>
    </row>
    <row r="5" spans="1:2" x14ac:dyDescent="0.25">
      <c r="A5" s="12">
        <v>3</v>
      </c>
      <c r="B5" s="13">
        <v>45</v>
      </c>
    </row>
    <row r="6" spans="1:2" x14ac:dyDescent="0.25">
      <c r="A6" s="12">
        <v>4</v>
      </c>
      <c r="B6" s="13">
        <v>38</v>
      </c>
    </row>
    <row r="7" spans="1:2" x14ac:dyDescent="0.25">
      <c r="A7" s="12">
        <v>5</v>
      </c>
      <c r="B7" s="13">
        <v>38</v>
      </c>
    </row>
    <row r="8" spans="1:2" x14ac:dyDescent="0.25">
      <c r="A8" s="12">
        <v>6</v>
      </c>
      <c r="B8" s="13">
        <v>39</v>
      </c>
    </row>
    <row r="9" spans="1:2" x14ac:dyDescent="0.25">
      <c r="A9" s="12">
        <v>7</v>
      </c>
      <c r="B9" s="13">
        <v>39</v>
      </c>
    </row>
    <row r="10" spans="1:2" x14ac:dyDescent="0.25">
      <c r="A10" s="12">
        <v>8</v>
      </c>
      <c r="B10" s="13">
        <v>37</v>
      </c>
    </row>
    <row r="11" spans="1:2" x14ac:dyDescent="0.25">
      <c r="A11" s="12">
        <v>9</v>
      </c>
      <c r="B11" s="13">
        <v>36</v>
      </c>
    </row>
    <row r="12" spans="1:2" x14ac:dyDescent="0.25">
      <c r="A12" s="12">
        <v>10</v>
      </c>
      <c r="B12" s="13">
        <v>44</v>
      </c>
    </row>
    <row r="13" spans="1:2" x14ac:dyDescent="0.25">
      <c r="A13" s="12">
        <v>11</v>
      </c>
      <c r="B13" s="13">
        <v>30</v>
      </c>
    </row>
    <row r="14" spans="1:2" x14ac:dyDescent="0.25">
      <c r="A14" s="12">
        <v>12</v>
      </c>
      <c r="B14" s="13">
        <v>54</v>
      </c>
    </row>
    <row r="15" spans="1:2" x14ac:dyDescent="0.25">
      <c r="A15" s="12">
        <v>13</v>
      </c>
      <c r="B15" s="13">
        <v>50</v>
      </c>
    </row>
    <row r="16" spans="1:2" x14ac:dyDescent="0.25">
      <c r="A16" s="12">
        <v>14</v>
      </c>
      <c r="B16" s="13">
        <v>42</v>
      </c>
    </row>
    <row r="17" spans="1:2" x14ac:dyDescent="0.25">
      <c r="A17" s="12">
        <v>15</v>
      </c>
      <c r="B17" s="13">
        <v>39</v>
      </c>
    </row>
    <row r="18" spans="1:2" x14ac:dyDescent="0.25">
      <c r="A18" s="12">
        <v>16</v>
      </c>
      <c r="B18" s="13">
        <v>34</v>
      </c>
    </row>
    <row r="19" spans="1:2" x14ac:dyDescent="0.25">
      <c r="A19" s="12">
        <v>17</v>
      </c>
      <c r="B19" s="13">
        <v>58</v>
      </c>
    </row>
    <row r="20" spans="1:2" x14ac:dyDescent="0.25">
      <c r="A20" s="12">
        <v>18</v>
      </c>
      <c r="B20" s="13">
        <v>37</v>
      </c>
    </row>
    <row r="21" spans="1:2" x14ac:dyDescent="0.25">
      <c r="A21" s="12">
        <v>19</v>
      </c>
      <c r="B21" s="13">
        <v>42</v>
      </c>
    </row>
    <row r="22" spans="1:2" x14ac:dyDescent="0.25">
      <c r="A22" s="12">
        <v>20</v>
      </c>
      <c r="B22" s="13">
        <v>48</v>
      </c>
    </row>
    <row r="23" spans="1:2" x14ac:dyDescent="0.25">
      <c r="A23" s="12">
        <v>21</v>
      </c>
      <c r="B23" s="13">
        <v>41</v>
      </c>
    </row>
    <row r="24" spans="1:2" x14ac:dyDescent="0.25">
      <c r="A24" s="12">
        <v>22</v>
      </c>
      <c r="B24" s="13">
        <v>54</v>
      </c>
    </row>
    <row r="25" spans="1:2" x14ac:dyDescent="0.25">
      <c r="A25" s="12">
        <v>23</v>
      </c>
      <c r="B25" s="13">
        <v>32</v>
      </c>
    </row>
    <row r="26" spans="1:2" x14ac:dyDescent="0.25">
      <c r="A26" s="12" t="s">
        <v>434</v>
      </c>
      <c r="B26" s="13"/>
    </row>
    <row r="27" spans="1:2" x14ac:dyDescent="0.25">
      <c r="A27" s="12" t="s">
        <v>435</v>
      </c>
      <c r="B27" s="13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K1048576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6.5703125" bestFit="1" customWidth="1"/>
    <col min="9" max="9" width="11.5703125" bestFit="1" customWidth="1"/>
    <col min="10" max="10" width="19.28515625" bestFit="1" customWidth="1"/>
    <col min="11" max="11" width="13.140625" style="17" bestFit="1" customWidth="1"/>
  </cols>
  <sheetData>
    <row r="1" spans="1:11" x14ac:dyDescent="0.25">
      <c r="A1" s="8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1" t="s">
        <v>423</v>
      </c>
      <c r="H1" s="1" t="s">
        <v>424</v>
      </c>
      <c r="I1" s="9" t="s">
        <v>425</v>
      </c>
      <c r="J1" s="9" t="s">
        <v>439</v>
      </c>
      <c r="K1" s="17" t="s">
        <v>444</v>
      </c>
    </row>
    <row r="2" spans="1:11" x14ac:dyDescent="0.25">
      <c r="A2" s="8" t="s">
        <v>41</v>
      </c>
      <c r="B2" s="1">
        <v>0.55237700000000001</v>
      </c>
      <c r="C2" s="1">
        <v>0.55376899999999996</v>
      </c>
      <c r="D2" s="1">
        <f>IF(B2&gt;C2,B2-C2,C2-B2)</f>
        <v>1.3919999999999488E-3</v>
      </c>
      <c r="E2">
        <f>MINUTE(D2)</f>
        <v>2</v>
      </c>
      <c r="F2">
        <f>SECOND(D2)</f>
        <v>0</v>
      </c>
      <c r="G2">
        <f>ROUND(E2+F2/60,2)</f>
        <v>2</v>
      </c>
      <c r="H2">
        <f>60*E2+F2</f>
        <v>120</v>
      </c>
      <c r="I2" s="10">
        <f>5*(3600/H2)</f>
        <v>150</v>
      </c>
      <c r="J2" s="16">
        <f>IF(I2&gt;140,1,0)</f>
        <v>1</v>
      </c>
      <c r="K2" s="17">
        <f>HOUR(B2)</f>
        <v>13</v>
      </c>
    </row>
    <row r="3" spans="1:11" x14ac:dyDescent="0.25">
      <c r="A3" s="8" t="s">
        <v>369</v>
      </c>
      <c r="B3" s="1">
        <v>0.78395599999999999</v>
      </c>
      <c r="C3" s="1">
        <v>0.78256400000000004</v>
      </c>
      <c r="D3" s="1">
        <f>IF(B3&gt;C3,B3-C3,C3-B3)</f>
        <v>1.3919999999999488E-3</v>
      </c>
      <c r="E3">
        <f>MINUTE(D3)</f>
        <v>2</v>
      </c>
      <c r="F3">
        <f>SECOND(D3)</f>
        <v>0</v>
      </c>
      <c r="G3">
        <f>ROUND(E3+F3/60,2)</f>
        <v>2</v>
      </c>
      <c r="H3">
        <f>60*E3+F3</f>
        <v>120</v>
      </c>
      <c r="I3" s="10">
        <f>5*(3600/H3)</f>
        <v>150</v>
      </c>
      <c r="J3" s="16">
        <f t="shared" ref="J3:J66" si="0">IF(I3&gt;140,1,0)</f>
        <v>1</v>
      </c>
      <c r="K3" s="17">
        <f t="shared" ref="K3:K66" si="1">HOUR(B3)</f>
        <v>18</v>
      </c>
    </row>
    <row r="4" spans="1:11" x14ac:dyDescent="0.25">
      <c r="A4" s="4" t="s">
        <v>157</v>
      </c>
      <c r="B4" s="1">
        <v>0.37124299999999999</v>
      </c>
      <c r="C4" s="1">
        <v>0.36984699999999998</v>
      </c>
      <c r="D4" s="1">
        <f>IF(B4&gt;C4,B4-C4,C4-B4)</f>
        <v>1.3960000000000083E-3</v>
      </c>
      <c r="E4">
        <f>MINUTE(D4)</f>
        <v>2</v>
      </c>
      <c r="F4">
        <f>SECOND(D4)</f>
        <v>1</v>
      </c>
      <c r="G4">
        <f>ROUND(E4+F4/60,2)</f>
        <v>2.02</v>
      </c>
      <c r="H4">
        <f>60*E4+F4</f>
        <v>121</v>
      </c>
      <c r="I4" s="3">
        <f>5*(3600/H4)</f>
        <v>148.7603305785124</v>
      </c>
      <c r="J4" s="16">
        <f t="shared" si="0"/>
        <v>1</v>
      </c>
      <c r="K4" s="17">
        <f t="shared" si="1"/>
        <v>8</v>
      </c>
    </row>
    <row r="5" spans="1:11" x14ac:dyDescent="0.25">
      <c r="A5" s="4" t="s">
        <v>76</v>
      </c>
      <c r="B5" s="1">
        <v>0.51857500000000001</v>
      </c>
      <c r="C5" s="1">
        <v>0.51999099999999998</v>
      </c>
      <c r="D5" s="1">
        <f>IF(B5&gt;C5,B5-C5,C5-B5)</f>
        <v>1.4159999999999728E-3</v>
      </c>
      <c r="E5">
        <f>MINUTE(D5)</f>
        <v>2</v>
      </c>
      <c r="F5">
        <f>SECOND(D5)</f>
        <v>2</v>
      </c>
      <c r="G5">
        <f>ROUND(E5+F5/60,2)</f>
        <v>2.0299999999999998</v>
      </c>
      <c r="H5">
        <f>60*E5+F5</f>
        <v>122</v>
      </c>
      <c r="I5" s="3">
        <f>5*(3600/H5)</f>
        <v>147.54098360655738</v>
      </c>
      <c r="J5" s="16">
        <f t="shared" si="0"/>
        <v>1</v>
      </c>
      <c r="K5" s="17">
        <f t="shared" si="1"/>
        <v>12</v>
      </c>
    </row>
    <row r="6" spans="1:11" x14ac:dyDescent="0.25">
      <c r="A6" s="4" t="s">
        <v>75</v>
      </c>
      <c r="B6" s="1">
        <v>0.43252099999999999</v>
      </c>
      <c r="C6" s="1">
        <v>0.43110500000000002</v>
      </c>
      <c r="D6" s="1">
        <f>IF(B6&gt;C6,B6-C6,C6-B6)</f>
        <v>1.4159999999999728E-3</v>
      </c>
      <c r="E6">
        <f>MINUTE(D6)</f>
        <v>2</v>
      </c>
      <c r="F6">
        <f>SECOND(D6)</f>
        <v>2</v>
      </c>
      <c r="G6">
        <f>ROUND(E6+F6/60,2)</f>
        <v>2.0299999999999998</v>
      </c>
      <c r="H6">
        <f>60*E6+F6</f>
        <v>122</v>
      </c>
      <c r="I6" s="3">
        <f>5*(3600/H6)</f>
        <v>147.54098360655738</v>
      </c>
      <c r="J6" s="16">
        <f t="shared" si="0"/>
        <v>1</v>
      </c>
      <c r="K6" s="17">
        <f t="shared" si="1"/>
        <v>10</v>
      </c>
    </row>
    <row r="7" spans="1:11" x14ac:dyDescent="0.25">
      <c r="A7" s="4" t="s">
        <v>6</v>
      </c>
      <c r="B7" s="1">
        <v>0.89605199999999996</v>
      </c>
      <c r="C7" s="1">
        <v>0.89464399999999999</v>
      </c>
      <c r="D7" s="1">
        <f>IF(B7&gt;C7,B7-C7,C7-B7)</f>
        <v>1.4079999999999648E-3</v>
      </c>
      <c r="E7">
        <f>MINUTE(D7)</f>
        <v>2</v>
      </c>
      <c r="F7">
        <f>SECOND(D7)</f>
        <v>2</v>
      </c>
      <c r="G7">
        <f>ROUND(E7+F7/60,2)</f>
        <v>2.0299999999999998</v>
      </c>
      <c r="H7">
        <f>60*E7+F7</f>
        <v>122</v>
      </c>
      <c r="I7" s="3">
        <f>5*(3600/H7)</f>
        <v>147.54098360655738</v>
      </c>
      <c r="J7" s="16">
        <f t="shared" si="0"/>
        <v>1</v>
      </c>
      <c r="K7" s="17">
        <f t="shared" si="1"/>
        <v>21</v>
      </c>
    </row>
    <row r="8" spans="1:11" x14ac:dyDescent="0.25">
      <c r="A8" s="4" t="s">
        <v>73</v>
      </c>
      <c r="B8" s="1">
        <v>0.31540200000000002</v>
      </c>
      <c r="C8" s="1">
        <v>0.31398599999999999</v>
      </c>
      <c r="D8" s="1">
        <f>IF(B8&gt;C8,B8-C8,C8-B8)</f>
        <v>1.4160000000000283E-3</v>
      </c>
      <c r="E8">
        <f>MINUTE(D8)</f>
        <v>2</v>
      </c>
      <c r="F8">
        <f>SECOND(D8)</f>
        <v>2</v>
      </c>
      <c r="G8">
        <f>ROUND(E8+F8/60,2)</f>
        <v>2.0299999999999998</v>
      </c>
      <c r="H8">
        <f>60*E8+F8</f>
        <v>122</v>
      </c>
      <c r="I8" s="3">
        <f>5*(3600/H8)</f>
        <v>147.54098360655738</v>
      </c>
      <c r="J8" s="16">
        <f t="shared" si="0"/>
        <v>1</v>
      </c>
      <c r="K8" s="17">
        <f t="shared" si="1"/>
        <v>7</v>
      </c>
    </row>
    <row r="9" spans="1:11" x14ac:dyDescent="0.25">
      <c r="A9" s="4" t="s">
        <v>428</v>
      </c>
      <c r="B9" s="1">
        <v>0.67204299999999995</v>
      </c>
      <c r="C9" s="1">
        <v>0.67345100000000002</v>
      </c>
      <c r="D9" s="1">
        <f>IF(B9&gt;C9,B9-C9,C9-B9)</f>
        <v>1.4080000000000759E-3</v>
      </c>
      <c r="E9">
        <f>MINUTE(D9)</f>
        <v>2</v>
      </c>
      <c r="F9">
        <f>SECOND(D9)</f>
        <v>2</v>
      </c>
      <c r="G9">
        <f>ROUND(E9+F9/60,2)</f>
        <v>2.0299999999999998</v>
      </c>
      <c r="H9">
        <f>60*E9+F9</f>
        <v>122</v>
      </c>
      <c r="I9" s="3">
        <f>5*(3600/H9)</f>
        <v>147.54098360655738</v>
      </c>
      <c r="J9" s="16">
        <f t="shared" si="0"/>
        <v>1</v>
      </c>
      <c r="K9" s="17">
        <f t="shared" si="1"/>
        <v>16</v>
      </c>
    </row>
    <row r="10" spans="1:11" x14ac:dyDescent="0.25">
      <c r="A10" s="4" t="s">
        <v>21</v>
      </c>
      <c r="B10" s="1">
        <v>0.25031599999999998</v>
      </c>
      <c r="C10" s="1">
        <v>0.24890399999999999</v>
      </c>
      <c r="D10" s="1">
        <f>IF(B10&gt;C10,B10-C10,C10-B10)</f>
        <v>1.4119999999999966E-3</v>
      </c>
      <c r="E10">
        <f>MINUTE(D10)</f>
        <v>2</v>
      </c>
      <c r="F10">
        <f>SECOND(D10)</f>
        <v>2</v>
      </c>
      <c r="G10">
        <f>ROUND(E10+F10/60,2)</f>
        <v>2.0299999999999998</v>
      </c>
      <c r="H10">
        <f>60*E10+F10</f>
        <v>122</v>
      </c>
      <c r="I10" s="3">
        <f>5*(3600/H10)</f>
        <v>147.54098360655738</v>
      </c>
      <c r="J10" s="16">
        <f t="shared" si="0"/>
        <v>1</v>
      </c>
      <c r="K10" s="17">
        <f t="shared" si="1"/>
        <v>6</v>
      </c>
    </row>
    <row r="11" spans="1:11" x14ac:dyDescent="0.25">
      <c r="A11" s="4" t="s">
        <v>321</v>
      </c>
      <c r="B11" s="1">
        <v>0.92649000000000004</v>
      </c>
      <c r="C11" s="1">
        <v>0.92508199999999996</v>
      </c>
      <c r="D11" s="1">
        <f>IF(B11&gt;C11,B11-C11,C11-B11)</f>
        <v>1.4080000000000759E-3</v>
      </c>
      <c r="E11">
        <f>MINUTE(D11)</f>
        <v>2</v>
      </c>
      <c r="F11">
        <f>SECOND(D11)</f>
        <v>2</v>
      </c>
      <c r="G11">
        <f>ROUND(E11+F11/60,2)</f>
        <v>2.0299999999999998</v>
      </c>
      <c r="H11">
        <f>60*E11+F11</f>
        <v>122</v>
      </c>
      <c r="I11" s="3">
        <f>5*(3600/H11)</f>
        <v>147.54098360655738</v>
      </c>
      <c r="J11" s="16">
        <f t="shared" si="0"/>
        <v>1</v>
      </c>
      <c r="K11" s="17">
        <f t="shared" si="1"/>
        <v>22</v>
      </c>
    </row>
    <row r="12" spans="1:11" x14ac:dyDescent="0.25">
      <c r="A12" s="4" t="s">
        <v>324</v>
      </c>
      <c r="B12" s="1">
        <v>0.49864799999999998</v>
      </c>
      <c r="C12" s="1">
        <v>0.49723600000000001</v>
      </c>
      <c r="D12" s="1">
        <f>IF(B12&gt;C12,B12-C12,C12-B12)</f>
        <v>1.4119999999999688E-3</v>
      </c>
      <c r="E12">
        <f>MINUTE(D12)</f>
        <v>2</v>
      </c>
      <c r="F12">
        <f>SECOND(D12)</f>
        <v>2</v>
      </c>
      <c r="G12">
        <f>ROUND(E12+F12/60,2)</f>
        <v>2.0299999999999998</v>
      </c>
      <c r="H12">
        <f>60*E12+F12</f>
        <v>122</v>
      </c>
      <c r="I12" s="3">
        <f>5*(3600/H12)</f>
        <v>147.54098360655738</v>
      </c>
      <c r="J12" s="16">
        <f t="shared" si="0"/>
        <v>1</v>
      </c>
      <c r="K12" s="17">
        <f t="shared" si="1"/>
        <v>11</v>
      </c>
    </row>
    <row r="13" spans="1:11" x14ac:dyDescent="0.25">
      <c r="A13" s="4" t="s">
        <v>388</v>
      </c>
      <c r="B13" s="1">
        <v>0.68928500000000004</v>
      </c>
      <c r="C13" s="1">
        <v>0.68787699999999996</v>
      </c>
      <c r="D13" s="1">
        <f>IF(B13&gt;C13,B13-C13,C13-B13)</f>
        <v>1.4080000000000759E-3</v>
      </c>
      <c r="E13">
        <f>MINUTE(D13)</f>
        <v>2</v>
      </c>
      <c r="F13">
        <f>SECOND(D13)</f>
        <v>2</v>
      </c>
      <c r="G13">
        <f>ROUND(E13+F13/60,2)</f>
        <v>2.0299999999999998</v>
      </c>
      <c r="H13">
        <f>60*E13+F13</f>
        <v>122</v>
      </c>
      <c r="I13" s="3">
        <f>5*(3600/H13)</f>
        <v>147.54098360655738</v>
      </c>
      <c r="J13" s="16">
        <f t="shared" si="0"/>
        <v>1</v>
      </c>
      <c r="K13" s="17">
        <f t="shared" si="1"/>
        <v>16</v>
      </c>
    </row>
    <row r="14" spans="1:11" x14ac:dyDescent="0.25">
      <c r="A14" s="4" t="s">
        <v>412</v>
      </c>
      <c r="B14" s="1">
        <v>0.16583700000000001</v>
      </c>
      <c r="C14" s="1">
        <v>0.16724900000000001</v>
      </c>
      <c r="D14" s="1">
        <f>IF(B14&gt;C14,B14-C14,C14-B14)</f>
        <v>1.4119999999999966E-3</v>
      </c>
      <c r="E14">
        <f>MINUTE(D14)</f>
        <v>2</v>
      </c>
      <c r="F14">
        <f>SECOND(D14)</f>
        <v>2</v>
      </c>
      <c r="G14">
        <f>ROUND(E14+F14/60,2)</f>
        <v>2.0299999999999998</v>
      </c>
      <c r="H14">
        <f>60*E14+F14</f>
        <v>122</v>
      </c>
      <c r="I14" s="3">
        <f>5*(3600/H14)</f>
        <v>147.54098360655738</v>
      </c>
      <c r="J14" s="16">
        <f t="shared" si="0"/>
        <v>1</v>
      </c>
      <c r="K14" s="17">
        <f t="shared" si="1"/>
        <v>3</v>
      </c>
    </row>
    <row r="15" spans="1:11" x14ac:dyDescent="0.25">
      <c r="A15" s="4" t="s">
        <v>24</v>
      </c>
      <c r="B15" s="1">
        <v>0.72382100000000005</v>
      </c>
      <c r="C15" s="1">
        <v>0.72524900000000003</v>
      </c>
      <c r="D15" s="1">
        <f>IF(B15&gt;C15,B15-C15,C15-B15)</f>
        <v>1.4279999999999848E-3</v>
      </c>
      <c r="E15">
        <f>MINUTE(D15)</f>
        <v>2</v>
      </c>
      <c r="F15">
        <f>SECOND(D15)</f>
        <v>3</v>
      </c>
      <c r="G15">
        <f>ROUND(E15+F15/60,2)</f>
        <v>2.0499999999999998</v>
      </c>
      <c r="H15">
        <f>60*E15+F15</f>
        <v>123</v>
      </c>
      <c r="I15" s="3">
        <f>5*(3600/H15)</f>
        <v>146.34146341463415</v>
      </c>
      <c r="J15" s="16">
        <f t="shared" si="0"/>
        <v>1</v>
      </c>
      <c r="K15" s="17">
        <f t="shared" si="1"/>
        <v>17</v>
      </c>
    </row>
    <row r="16" spans="1:11" x14ac:dyDescent="0.25">
      <c r="A16" s="4" t="s">
        <v>27</v>
      </c>
      <c r="B16" s="1">
        <v>0.51301399999999997</v>
      </c>
      <c r="C16" s="1">
        <v>0.51158599999999999</v>
      </c>
      <c r="D16" s="1">
        <f>IF(B16&gt;C16,B16-C16,C16-B16)</f>
        <v>1.4279999999999848E-3</v>
      </c>
      <c r="E16">
        <f>MINUTE(D16)</f>
        <v>2</v>
      </c>
      <c r="F16">
        <f>SECOND(D16)</f>
        <v>3</v>
      </c>
      <c r="G16">
        <f>ROUND(E16+F16/60,2)</f>
        <v>2.0499999999999998</v>
      </c>
      <c r="H16">
        <f>60*E16+F16</f>
        <v>123</v>
      </c>
      <c r="I16" s="3">
        <f>5*(3600/H16)</f>
        <v>146.34146341463415</v>
      </c>
      <c r="J16" s="16">
        <f t="shared" si="0"/>
        <v>1</v>
      </c>
      <c r="K16" s="17">
        <f t="shared" si="1"/>
        <v>12</v>
      </c>
    </row>
    <row r="17" spans="1:11" x14ac:dyDescent="0.25">
      <c r="A17" s="4" t="s">
        <v>103</v>
      </c>
      <c r="B17" s="1">
        <v>0.69916400000000001</v>
      </c>
      <c r="C17" s="1">
        <v>0.70058399999999998</v>
      </c>
      <c r="D17" s="1">
        <f>IF(B17&gt;C17,B17-C17,C17-B17)</f>
        <v>1.4199999999999768E-3</v>
      </c>
      <c r="E17">
        <f>MINUTE(D17)</f>
        <v>2</v>
      </c>
      <c r="F17">
        <f>SECOND(D17)</f>
        <v>3</v>
      </c>
      <c r="G17">
        <f>ROUND(E17+F17/60,2)</f>
        <v>2.0499999999999998</v>
      </c>
      <c r="H17">
        <f>60*E17+F17</f>
        <v>123</v>
      </c>
      <c r="I17" s="3">
        <f>5*(3600/H17)</f>
        <v>146.34146341463415</v>
      </c>
      <c r="J17" s="16">
        <f t="shared" si="0"/>
        <v>1</v>
      </c>
      <c r="K17" s="17">
        <f t="shared" si="1"/>
        <v>16</v>
      </c>
    </row>
    <row r="18" spans="1:11" x14ac:dyDescent="0.25">
      <c r="A18" s="4" t="s">
        <v>120</v>
      </c>
      <c r="B18" s="1">
        <v>2.4251999999999999E-2</v>
      </c>
      <c r="C18" s="1">
        <v>2.2828000000000001E-2</v>
      </c>
      <c r="D18" s="1">
        <f>IF(B18&gt;C18,B18-C18,C18-B18)</f>
        <v>1.4239999999999982E-3</v>
      </c>
      <c r="E18">
        <f>MINUTE(D18)</f>
        <v>2</v>
      </c>
      <c r="F18">
        <f>SECOND(D18)</f>
        <v>3</v>
      </c>
      <c r="G18">
        <f>ROUND(E18+F18/60,2)</f>
        <v>2.0499999999999998</v>
      </c>
      <c r="H18">
        <f>60*E18+F18</f>
        <v>123</v>
      </c>
      <c r="I18" s="3">
        <f>5*(3600/H18)</f>
        <v>146.34146341463415</v>
      </c>
      <c r="J18" s="16">
        <f t="shared" si="0"/>
        <v>1</v>
      </c>
      <c r="K18" s="17">
        <f t="shared" si="1"/>
        <v>0</v>
      </c>
    </row>
    <row r="19" spans="1:11" x14ac:dyDescent="0.25">
      <c r="A19" s="4" t="s">
        <v>87</v>
      </c>
      <c r="B19" s="1">
        <v>0.44867299999999999</v>
      </c>
      <c r="C19" s="1">
        <v>0.45009300000000002</v>
      </c>
      <c r="D19" s="1">
        <f>IF(B19&gt;C19,B19-C19,C19-B19)</f>
        <v>1.4200000000000323E-3</v>
      </c>
      <c r="E19">
        <f>MINUTE(D19)</f>
        <v>2</v>
      </c>
      <c r="F19">
        <f>SECOND(D19)</f>
        <v>3</v>
      </c>
      <c r="G19">
        <f>ROUND(E19+F19/60,2)</f>
        <v>2.0499999999999998</v>
      </c>
      <c r="H19">
        <f>60*E19+F19</f>
        <v>123</v>
      </c>
      <c r="I19" s="3">
        <f>5*(3600/H19)</f>
        <v>146.34146341463415</v>
      </c>
      <c r="J19" s="16">
        <f t="shared" si="0"/>
        <v>1</v>
      </c>
      <c r="K19" s="17">
        <f t="shared" si="1"/>
        <v>10</v>
      </c>
    </row>
    <row r="20" spans="1:11" x14ac:dyDescent="0.25">
      <c r="A20" s="4" t="s">
        <v>136</v>
      </c>
      <c r="B20" s="1">
        <v>0.67697099999999999</v>
      </c>
      <c r="C20" s="1">
        <v>0.67554700000000001</v>
      </c>
      <c r="D20" s="1">
        <f>IF(B20&gt;C20,B20-C20,C20-B20)</f>
        <v>1.4239999999999808E-3</v>
      </c>
      <c r="E20">
        <f>MINUTE(D20)</f>
        <v>2</v>
      </c>
      <c r="F20">
        <f>SECOND(D20)</f>
        <v>3</v>
      </c>
      <c r="G20">
        <f>ROUND(E20+F20/60,2)</f>
        <v>2.0499999999999998</v>
      </c>
      <c r="H20">
        <f>60*E20+F20</f>
        <v>123</v>
      </c>
      <c r="I20" s="3">
        <f>5*(3600/H20)</f>
        <v>146.34146341463415</v>
      </c>
      <c r="J20" s="16">
        <f t="shared" si="0"/>
        <v>1</v>
      </c>
      <c r="K20" s="17">
        <f t="shared" si="1"/>
        <v>16</v>
      </c>
    </row>
    <row r="21" spans="1:11" x14ac:dyDescent="0.25">
      <c r="A21" s="4" t="s">
        <v>75</v>
      </c>
      <c r="B21" s="1">
        <v>0.75790400000000002</v>
      </c>
      <c r="C21" s="1">
        <v>0.75648000000000004</v>
      </c>
      <c r="D21" s="1">
        <f>IF(B21&gt;C21,B21-C21,C21-B21)</f>
        <v>1.4239999999999808E-3</v>
      </c>
      <c r="E21">
        <f>MINUTE(D21)</f>
        <v>2</v>
      </c>
      <c r="F21">
        <f>SECOND(D21)</f>
        <v>3</v>
      </c>
      <c r="G21">
        <f>ROUND(E21+F21/60,2)</f>
        <v>2.0499999999999998</v>
      </c>
      <c r="H21">
        <f>60*E21+F21</f>
        <v>123</v>
      </c>
      <c r="I21" s="3">
        <f>5*(3600/H21)</f>
        <v>146.34146341463415</v>
      </c>
      <c r="J21" s="16">
        <f t="shared" si="0"/>
        <v>1</v>
      </c>
      <c r="K21" s="17">
        <f t="shared" si="1"/>
        <v>18</v>
      </c>
    </row>
    <row r="22" spans="1:11" x14ac:dyDescent="0.25">
      <c r="A22" s="4" t="s">
        <v>13</v>
      </c>
      <c r="B22" s="1">
        <v>0.23710300000000001</v>
      </c>
      <c r="C22" s="1">
        <v>0.23566300000000001</v>
      </c>
      <c r="D22" s="1">
        <f>IF(B22&gt;C22,B22-C22,C22-B22)</f>
        <v>1.4399999999999968E-3</v>
      </c>
      <c r="E22">
        <f>MINUTE(D22)</f>
        <v>2</v>
      </c>
      <c r="F22">
        <f>SECOND(D22)</f>
        <v>4</v>
      </c>
      <c r="G22">
        <f>ROUND(E22+F22/60,2)</f>
        <v>2.0699999999999998</v>
      </c>
      <c r="H22">
        <f>60*E22+F22</f>
        <v>124</v>
      </c>
      <c r="I22" s="3">
        <f>5*(3600/H22)</f>
        <v>145.16129032258064</v>
      </c>
      <c r="J22" s="16">
        <f t="shared" si="0"/>
        <v>1</v>
      </c>
      <c r="K22" s="17">
        <f t="shared" si="1"/>
        <v>5</v>
      </c>
    </row>
    <row r="23" spans="1:11" x14ac:dyDescent="0.25">
      <c r="A23" s="4" t="s">
        <v>139</v>
      </c>
      <c r="B23" s="1">
        <v>0.84553900000000004</v>
      </c>
      <c r="C23" s="1">
        <v>0.84697100000000003</v>
      </c>
      <c r="D23" s="1">
        <f>IF(B23&gt;C23,B23-C23,C23-B23)</f>
        <v>1.4319999999999888E-3</v>
      </c>
      <c r="E23">
        <f>MINUTE(D23)</f>
        <v>2</v>
      </c>
      <c r="F23">
        <f>SECOND(D23)</f>
        <v>4</v>
      </c>
      <c r="G23">
        <f>ROUND(E23+F23/60,2)</f>
        <v>2.0699999999999998</v>
      </c>
      <c r="H23">
        <f>60*E23+F23</f>
        <v>124</v>
      </c>
      <c r="I23" s="3">
        <f>5*(3600/H23)</f>
        <v>145.16129032258064</v>
      </c>
      <c r="J23" s="16">
        <f t="shared" si="0"/>
        <v>1</v>
      </c>
      <c r="K23" s="17">
        <f t="shared" si="1"/>
        <v>20</v>
      </c>
    </row>
    <row r="24" spans="1:11" x14ac:dyDescent="0.25">
      <c r="A24" s="4" t="s">
        <v>132</v>
      </c>
      <c r="B24" s="1">
        <v>0.51571999999999996</v>
      </c>
      <c r="C24" s="1">
        <v>0.51715999999999995</v>
      </c>
      <c r="D24" s="1">
        <f>IF(B24&gt;C24,B24-C24,C24-B24)</f>
        <v>1.4399999999999968E-3</v>
      </c>
      <c r="E24">
        <f>MINUTE(D24)</f>
        <v>2</v>
      </c>
      <c r="F24">
        <f>SECOND(D24)</f>
        <v>4</v>
      </c>
      <c r="G24">
        <f>ROUND(E24+F24/60,2)</f>
        <v>2.0699999999999998</v>
      </c>
      <c r="H24">
        <f>60*E24+F24</f>
        <v>124</v>
      </c>
      <c r="I24" s="3">
        <f>5*(3600/H24)</f>
        <v>145.16129032258064</v>
      </c>
      <c r="J24" s="16">
        <f t="shared" si="0"/>
        <v>1</v>
      </c>
      <c r="K24" s="17">
        <f t="shared" si="1"/>
        <v>12</v>
      </c>
    </row>
    <row r="25" spans="1:11" x14ac:dyDescent="0.25">
      <c r="A25" s="4" t="s">
        <v>400</v>
      </c>
      <c r="B25" s="1">
        <v>0.50423899999999999</v>
      </c>
      <c r="C25" s="1">
        <v>0.502799</v>
      </c>
      <c r="D25" s="1">
        <f>IF(B25&gt;C25,B25-C25,C25-B25)</f>
        <v>1.4399999999999968E-3</v>
      </c>
      <c r="E25">
        <f>MINUTE(D25)</f>
        <v>2</v>
      </c>
      <c r="F25">
        <f>SECOND(D25)</f>
        <v>4</v>
      </c>
      <c r="G25">
        <f>ROUND(E25+F25/60,2)</f>
        <v>2.0699999999999998</v>
      </c>
      <c r="H25">
        <f>60*E25+F25</f>
        <v>124</v>
      </c>
      <c r="I25" s="3">
        <f>5*(3600/H25)</f>
        <v>145.16129032258064</v>
      </c>
      <c r="J25" s="16">
        <f t="shared" si="0"/>
        <v>1</v>
      </c>
      <c r="K25" s="17">
        <f t="shared" si="1"/>
        <v>12</v>
      </c>
    </row>
    <row r="26" spans="1:11" x14ac:dyDescent="0.25">
      <c r="A26" s="4" t="s">
        <v>80</v>
      </c>
      <c r="B26" s="1">
        <v>0.73143899999999995</v>
      </c>
      <c r="C26" s="1">
        <v>0.73288699999999996</v>
      </c>
      <c r="D26" s="1">
        <f>IF(B26&gt;C26,B26-C26,C26-B26)</f>
        <v>1.4480000000000048E-3</v>
      </c>
      <c r="E26">
        <f>MINUTE(D26)</f>
        <v>2</v>
      </c>
      <c r="F26">
        <f>SECOND(D26)</f>
        <v>5</v>
      </c>
      <c r="G26">
        <f>ROUND(E26+F26/60,2)</f>
        <v>2.08</v>
      </c>
      <c r="H26">
        <f>60*E26+F26</f>
        <v>125</v>
      </c>
      <c r="I26" s="3">
        <f>5*(3600/H26)</f>
        <v>144</v>
      </c>
      <c r="J26" s="16">
        <f t="shared" si="0"/>
        <v>1</v>
      </c>
      <c r="K26" s="17">
        <f t="shared" si="1"/>
        <v>17</v>
      </c>
    </row>
    <row r="27" spans="1:11" x14ac:dyDescent="0.25">
      <c r="A27" s="4" t="s">
        <v>47</v>
      </c>
      <c r="B27" s="1">
        <v>7.4501999999999999E-2</v>
      </c>
      <c r="C27" s="1">
        <v>7.3053999999999994E-2</v>
      </c>
      <c r="D27" s="1">
        <f>IF(B27&gt;C27,B27-C27,C27-B27)</f>
        <v>1.4480000000000048E-3</v>
      </c>
      <c r="E27">
        <f>MINUTE(D27)</f>
        <v>2</v>
      </c>
      <c r="F27">
        <f>SECOND(D27)</f>
        <v>5</v>
      </c>
      <c r="G27">
        <f>ROUND(E27+F27/60,2)</f>
        <v>2.08</v>
      </c>
      <c r="H27">
        <f>60*E27+F27</f>
        <v>125</v>
      </c>
      <c r="I27" s="3">
        <f>5*(3600/H27)</f>
        <v>144</v>
      </c>
      <c r="J27" s="16">
        <f t="shared" si="0"/>
        <v>1</v>
      </c>
      <c r="K27" s="17">
        <f t="shared" si="1"/>
        <v>1</v>
      </c>
    </row>
    <row r="28" spans="1:11" x14ac:dyDescent="0.25">
      <c r="A28" s="4" t="s">
        <v>48</v>
      </c>
      <c r="B28" s="1">
        <v>0.53415599999999996</v>
      </c>
      <c r="C28" s="1">
        <v>0.53560399999999997</v>
      </c>
      <c r="D28" s="1">
        <f>IF(B28&gt;C28,B28-C28,C28-B28)</f>
        <v>1.4480000000000048E-3</v>
      </c>
      <c r="E28">
        <f>MINUTE(D28)</f>
        <v>2</v>
      </c>
      <c r="F28">
        <f>SECOND(D28)</f>
        <v>5</v>
      </c>
      <c r="G28">
        <f>ROUND(E28+F28/60,2)</f>
        <v>2.08</v>
      </c>
      <c r="H28">
        <f>60*E28+F28</f>
        <v>125</v>
      </c>
      <c r="I28" s="3">
        <f>5*(3600/H28)</f>
        <v>144</v>
      </c>
      <c r="J28" s="16">
        <f t="shared" si="0"/>
        <v>1</v>
      </c>
      <c r="K28" s="17">
        <f t="shared" si="1"/>
        <v>12</v>
      </c>
    </row>
    <row r="29" spans="1:11" x14ac:dyDescent="0.25">
      <c r="A29" s="4" t="s">
        <v>52</v>
      </c>
      <c r="B29" s="1">
        <v>0.86371399999999998</v>
      </c>
      <c r="C29" s="1">
        <v>0.86516999999999999</v>
      </c>
      <c r="D29" s="1">
        <f>IF(B29&gt;C29,B29-C29,C29-B29)</f>
        <v>1.4560000000000128E-3</v>
      </c>
      <c r="E29">
        <f>MINUTE(D29)</f>
        <v>2</v>
      </c>
      <c r="F29">
        <f>SECOND(D29)</f>
        <v>6</v>
      </c>
      <c r="G29">
        <f>ROUND(E29+F29/60,2)</f>
        <v>2.1</v>
      </c>
      <c r="H29">
        <f>60*E29+F29</f>
        <v>126</v>
      </c>
      <c r="I29" s="3">
        <f>5*(3600/H29)</f>
        <v>142.85714285714286</v>
      </c>
      <c r="J29" s="16">
        <f t="shared" si="0"/>
        <v>1</v>
      </c>
      <c r="K29" s="17">
        <f t="shared" si="1"/>
        <v>20</v>
      </c>
    </row>
    <row r="30" spans="1:11" x14ac:dyDescent="0.25">
      <c r="A30" s="4" t="s">
        <v>49</v>
      </c>
      <c r="B30" s="1">
        <v>0.84440099999999996</v>
      </c>
      <c r="C30" s="1">
        <v>0.84294100000000005</v>
      </c>
      <c r="D30" s="1">
        <f>IF(B30&gt;C30,B30-C30,C30-B30)</f>
        <v>1.4599999999999058E-3</v>
      </c>
      <c r="E30">
        <f>MINUTE(D30)</f>
        <v>2</v>
      </c>
      <c r="F30">
        <f>SECOND(D30)</f>
        <v>6</v>
      </c>
      <c r="G30">
        <f>ROUND(E30+F30/60,2)</f>
        <v>2.1</v>
      </c>
      <c r="H30">
        <f>60*E30+F30</f>
        <v>126</v>
      </c>
      <c r="I30" s="3">
        <f>5*(3600/H30)</f>
        <v>142.85714285714286</v>
      </c>
      <c r="J30" s="16">
        <f t="shared" si="0"/>
        <v>1</v>
      </c>
      <c r="K30" s="17">
        <f t="shared" si="1"/>
        <v>20</v>
      </c>
    </row>
    <row r="31" spans="1:11" x14ac:dyDescent="0.25">
      <c r="A31" s="4" t="s">
        <v>99</v>
      </c>
      <c r="B31" s="1">
        <v>0.51575599999999999</v>
      </c>
      <c r="C31" s="1">
        <v>0.51722000000000001</v>
      </c>
      <c r="D31" s="1">
        <f>IF(B31&gt;C31,B31-C31,C31-B31)</f>
        <v>1.4640000000000208E-3</v>
      </c>
      <c r="E31">
        <f>MINUTE(D31)</f>
        <v>2</v>
      </c>
      <c r="F31">
        <f>SECOND(D31)</f>
        <v>6</v>
      </c>
      <c r="G31">
        <f>ROUND(E31+F31/60,2)</f>
        <v>2.1</v>
      </c>
      <c r="H31">
        <f>60*E31+F31</f>
        <v>126</v>
      </c>
      <c r="I31" s="3">
        <f>5*(3600/H31)</f>
        <v>142.85714285714286</v>
      </c>
      <c r="J31" s="16">
        <f t="shared" si="0"/>
        <v>1</v>
      </c>
      <c r="K31" s="17">
        <f t="shared" si="1"/>
        <v>12</v>
      </c>
    </row>
    <row r="32" spans="1:11" x14ac:dyDescent="0.25">
      <c r="A32" s="4" t="s">
        <v>63</v>
      </c>
      <c r="B32" s="1">
        <v>0.35100700000000001</v>
      </c>
      <c r="C32" s="1">
        <v>0.35246300000000003</v>
      </c>
      <c r="D32" s="1">
        <f>IF(B32&gt;C32,B32-C32,C32-B32)</f>
        <v>1.4560000000000128E-3</v>
      </c>
      <c r="E32">
        <f>MINUTE(D32)</f>
        <v>2</v>
      </c>
      <c r="F32">
        <f>SECOND(D32)</f>
        <v>6</v>
      </c>
      <c r="G32">
        <f>ROUND(E32+F32/60,2)</f>
        <v>2.1</v>
      </c>
      <c r="H32">
        <f>60*E32+F32</f>
        <v>126</v>
      </c>
      <c r="I32" s="3">
        <f>5*(3600/H32)</f>
        <v>142.85714285714286</v>
      </c>
      <c r="J32" s="16">
        <f t="shared" si="0"/>
        <v>1</v>
      </c>
      <c r="K32" s="17">
        <f t="shared" si="1"/>
        <v>8</v>
      </c>
    </row>
    <row r="33" spans="1:11" x14ac:dyDescent="0.25">
      <c r="A33" s="4" t="s">
        <v>199</v>
      </c>
      <c r="B33" s="1">
        <v>5.1676E-2</v>
      </c>
      <c r="C33" s="1">
        <v>5.3148000000000001E-2</v>
      </c>
      <c r="D33" s="1">
        <f>IF(B33&gt;C33,B33-C33,C33-B33)</f>
        <v>1.4720000000000011E-3</v>
      </c>
      <c r="E33">
        <f>MINUTE(D33)</f>
        <v>2</v>
      </c>
      <c r="F33">
        <f>SECOND(D33)</f>
        <v>7</v>
      </c>
      <c r="G33">
        <f>ROUND(E33+F33/60,2)</f>
        <v>2.12</v>
      </c>
      <c r="H33">
        <f>60*E33+F33</f>
        <v>127</v>
      </c>
      <c r="I33" s="3">
        <f>5*(3600/H33)</f>
        <v>141.73228346456693</v>
      </c>
      <c r="J33" s="16">
        <f t="shared" si="0"/>
        <v>1</v>
      </c>
      <c r="K33" s="17">
        <f t="shared" si="1"/>
        <v>1</v>
      </c>
    </row>
    <row r="34" spans="1:11" x14ac:dyDescent="0.25">
      <c r="A34" s="4" t="s">
        <v>246</v>
      </c>
      <c r="B34" s="1">
        <v>0.55222700000000002</v>
      </c>
      <c r="C34" s="1">
        <v>0.550759</v>
      </c>
      <c r="D34" s="1">
        <f>IF(B34&gt;C34,B34-C34,C34-B34)</f>
        <v>1.4680000000000248E-3</v>
      </c>
      <c r="E34">
        <f>MINUTE(D34)</f>
        <v>2</v>
      </c>
      <c r="F34">
        <f>SECOND(D34)</f>
        <v>7</v>
      </c>
      <c r="G34">
        <f>ROUND(E34+F34/60,2)</f>
        <v>2.12</v>
      </c>
      <c r="H34">
        <f>60*E34+F34</f>
        <v>127</v>
      </c>
      <c r="I34" s="3">
        <f>5*(3600/H34)</f>
        <v>141.73228346456693</v>
      </c>
      <c r="J34" s="16">
        <f t="shared" si="0"/>
        <v>1</v>
      </c>
      <c r="K34" s="17">
        <f t="shared" si="1"/>
        <v>13</v>
      </c>
    </row>
    <row r="35" spans="1:11" x14ac:dyDescent="0.25">
      <c r="A35" s="4" t="s">
        <v>291</v>
      </c>
      <c r="B35" s="1">
        <v>0.72183600000000003</v>
      </c>
      <c r="C35" s="1">
        <v>0.72330399999999995</v>
      </c>
      <c r="D35" s="1">
        <f>IF(B35&gt;C35,B35-C35,C35-B35)</f>
        <v>1.4679999999999138E-3</v>
      </c>
      <c r="E35">
        <f>MINUTE(D35)</f>
        <v>2</v>
      </c>
      <c r="F35">
        <f>SECOND(D35)</f>
        <v>7</v>
      </c>
      <c r="G35">
        <f>ROUND(E35+F35/60,2)</f>
        <v>2.12</v>
      </c>
      <c r="H35">
        <f>60*E35+F35</f>
        <v>127</v>
      </c>
      <c r="I35" s="3">
        <f>5*(3600/H35)</f>
        <v>141.73228346456693</v>
      </c>
      <c r="J35" s="16">
        <f t="shared" si="0"/>
        <v>1</v>
      </c>
      <c r="K35" s="17">
        <f t="shared" si="1"/>
        <v>17</v>
      </c>
    </row>
    <row r="36" spans="1:11" x14ac:dyDescent="0.25">
      <c r="A36" s="4" t="s">
        <v>144</v>
      </c>
      <c r="B36" s="1">
        <v>0.73835600000000001</v>
      </c>
      <c r="C36" s="1">
        <v>0.73983200000000005</v>
      </c>
      <c r="D36" s="1">
        <f>IF(B36&gt;C36,B36-C36,C36-B36)</f>
        <v>1.4760000000000328E-3</v>
      </c>
      <c r="E36">
        <f>MINUTE(D36)</f>
        <v>2</v>
      </c>
      <c r="F36">
        <f>SECOND(D36)</f>
        <v>8</v>
      </c>
      <c r="G36">
        <f>ROUND(E36+F36/60,2)</f>
        <v>2.13</v>
      </c>
      <c r="H36">
        <f>60*E36+F36</f>
        <v>128</v>
      </c>
      <c r="I36" s="3">
        <f>5*(3600/H36)</f>
        <v>140.625</v>
      </c>
      <c r="J36" s="16">
        <f t="shared" si="0"/>
        <v>1</v>
      </c>
      <c r="K36" s="17">
        <f t="shared" si="1"/>
        <v>17</v>
      </c>
    </row>
    <row r="37" spans="1:11" x14ac:dyDescent="0.25">
      <c r="A37" s="4" t="s">
        <v>283</v>
      </c>
      <c r="B37" s="1">
        <v>0.16709599999999999</v>
      </c>
      <c r="C37" s="1">
        <v>0.16858000000000001</v>
      </c>
      <c r="D37" s="1">
        <f>IF(B37&gt;C37,B37-C37,C37-B37)</f>
        <v>1.4840000000000131E-3</v>
      </c>
      <c r="E37">
        <f>MINUTE(D37)</f>
        <v>2</v>
      </c>
      <c r="F37">
        <f>SECOND(D37)</f>
        <v>8</v>
      </c>
      <c r="G37">
        <f>ROUND(E37+F37/60,2)</f>
        <v>2.13</v>
      </c>
      <c r="H37">
        <f>60*E37+F37</f>
        <v>128</v>
      </c>
      <c r="I37" s="3">
        <f>5*(3600/H37)</f>
        <v>140.625</v>
      </c>
      <c r="J37" s="16">
        <f t="shared" si="0"/>
        <v>1</v>
      </c>
      <c r="K37" s="17">
        <f t="shared" si="1"/>
        <v>4</v>
      </c>
    </row>
    <row r="38" spans="1:11" x14ac:dyDescent="0.25">
      <c r="A38" s="4" t="s">
        <v>5</v>
      </c>
      <c r="B38" s="1">
        <v>0.53817999999999999</v>
      </c>
      <c r="C38" s="1">
        <v>0.53967600000000004</v>
      </c>
      <c r="D38" s="1">
        <f>IF(B38&gt;C38,B38-C38,C38-B38)</f>
        <v>1.4960000000000528E-3</v>
      </c>
      <c r="E38">
        <f>MINUTE(D38)</f>
        <v>2</v>
      </c>
      <c r="F38">
        <f>SECOND(D38)</f>
        <v>9</v>
      </c>
      <c r="G38">
        <f>ROUND(E38+F38/60,2)</f>
        <v>2.15</v>
      </c>
      <c r="H38">
        <f>60*E38+F38</f>
        <v>129</v>
      </c>
      <c r="I38" s="3">
        <f>5*(3600/H38)</f>
        <v>139.53488372093022</v>
      </c>
      <c r="J38" s="16">
        <f t="shared" si="0"/>
        <v>0</v>
      </c>
      <c r="K38" s="17">
        <f t="shared" si="1"/>
        <v>12</v>
      </c>
    </row>
    <row r="39" spans="1:11" x14ac:dyDescent="0.25">
      <c r="A39" s="4" t="s">
        <v>197</v>
      </c>
      <c r="B39" s="1">
        <v>0.35936200000000001</v>
      </c>
      <c r="C39" s="1">
        <v>0.35786600000000002</v>
      </c>
      <c r="D39" s="1">
        <f>IF(B39&gt;C39,B39-C39,C39-B39)</f>
        <v>1.4959999999999973E-3</v>
      </c>
      <c r="E39">
        <f>MINUTE(D39)</f>
        <v>2</v>
      </c>
      <c r="F39">
        <f>SECOND(D39)</f>
        <v>9</v>
      </c>
      <c r="G39">
        <f>ROUND(E39+F39/60,2)</f>
        <v>2.15</v>
      </c>
      <c r="H39">
        <f>60*E39+F39</f>
        <v>129</v>
      </c>
      <c r="I39" s="3">
        <f>5*(3600/H39)</f>
        <v>139.53488372093022</v>
      </c>
      <c r="J39" s="16">
        <f t="shared" si="0"/>
        <v>0</v>
      </c>
      <c r="K39" s="17">
        <f t="shared" si="1"/>
        <v>8</v>
      </c>
    </row>
    <row r="40" spans="1:11" x14ac:dyDescent="0.25">
      <c r="A40" s="4" t="s">
        <v>383</v>
      </c>
      <c r="B40" s="1">
        <v>5.2143000000000002E-2</v>
      </c>
      <c r="C40" s="1">
        <v>5.0654999999999999E-2</v>
      </c>
      <c r="D40" s="1">
        <f>IF(B40&gt;C40,B40-C40,C40-B40)</f>
        <v>1.4880000000000032E-3</v>
      </c>
      <c r="E40">
        <f>MINUTE(D40)</f>
        <v>2</v>
      </c>
      <c r="F40">
        <f>SECOND(D40)</f>
        <v>9</v>
      </c>
      <c r="G40">
        <f>ROUND(E40+F40/60,2)</f>
        <v>2.15</v>
      </c>
      <c r="H40">
        <f>60*E40+F40</f>
        <v>129</v>
      </c>
      <c r="I40" s="3">
        <f>5*(3600/H40)</f>
        <v>139.53488372093022</v>
      </c>
      <c r="J40" s="16">
        <f t="shared" si="0"/>
        <v>0</v>
      </c>
      <c r="K40" s="17">
        <f t="shared" si="1"/>
        <v>1</v>
      </c>
    </row>
    <row r="41" spans="1:11" x14ac:dyDescent="0.25">
      <c r="A41" s="4" t="s">
        <v>23</v>
      </c>
      <c r="B41" s="1">
        <v>0.41572100000000001</v>
      </c>
      <c r="C41" s="1">
        <v>0.414217</v>
      </c>
      <c r="D41" s="1">
        <f>IF(B41&gt;C41,B41-C41,C41-B41)</f>
        <v>1.5040000000000053E-3</v>
      </c>
      <c r="E41">
        <f>MINUTE(D41)</f>
        <v>2</v>
      </c>
      <c r="F41">
        <f>SECOND(D41)</f>
        <v>10</v>
      </c>
      <c r="G41">
        <f>ROUND(E41+F41/60,2)</f>
        <v>2.17</v>
      </c>
      <c r="H41">
        <f>60*E41+F41</f>
        <v>130</v>
      </c>
      <c r="I41" s="3">
        <f>5*(3600/H41)</f>
        <v>138.46153846153845</v>
      </c>
      <c r="J41" s="16">
        <f t="shared" si="0"/>
        <v>0</v>
      </c>
      <c r="K41" s="17">
        <f t="shared" si="1"/>
        <v>9</v>
      </c>
    </row>
    <row r="42" spans="1:11" x14ac:dyDescent="0.25">
      <c r="A42" s="4" t="s">
        <v>141</v>
      </c>
      <c r="B42" s="1">
        <v>0.138354</v>
      </c>
      <c r="C42" s="1">
        <v>0.13685</v>
      </c>
      <c r="D42" s="1">
        <f>IF(B42&gt;C42,B42-C42,C42-B42)</f>
        <v>1.5040000000000053E-3</v>
      </c>
      <c r="E42">
        <f>MINUTE(D42)</f>
        <v>2</v>
      </c>
      <c r="F42">
        <f>SECOND(D42)</f>
        <v>10</v>
      </c>
      <c r="G42">
        <f>ROUND(E42+F42/60,2)</f>
        <v>2.17</v>
      </c>
      <c r="H42">
        <f>60*E42+F42</f>
        <v>130</v>
      </c>
      <c r="I42" s="3">
        <f>5*(3600/H42)</f>
        <v>138.46153846153845</v>
      </c>
      <c r="J42" s="16">
        <f t="shared" si="0"/>
        <v>0</v>
      </c>
      <c r="K42" s="17">
        <f t="shared" si="1"/>
        <v>3</v>
      </c>
    </row>
    <row r="43" spans="1:11" x14ac:dyDescent="0.25">
      <c r="A43" s="4" t="s">
        <v>95</v>
      </c>
      <c r="B43" s="1">
        <v>0.18242900000000001</v>
      </c>
      <c r="C43" s="1">
        <v>0.18092900000000001</v>
      </c>
      <c r="D43" s="1">
        <f>IF(B43&gt;C43,B43-C43,C43-B43)</f>
        <v>1.5000000000000013E-3</v>
      </c>
      <c r="E43">
        <f>MINUTE(D43)</f>
        <v>2</v>
      </c>
      <c r="F43">
        <f>SECOND(D43)</f>
        <v>10</v>
      </c>
      <c r="G43">
        <f>ROUND(E43+F43/60,2)</f>
        <v>2.17</v>
      </c>
      <c r="H43">
        <f>60*E43+F43</f>
        <v>130</v>
      </c>
      <c r="I43" s="3">
        <f>5*(3600/H43)</f>
        <v>138.46153846153845</v>
      </c>
      <c r="J43" s="16">
        <f t="shared" si="0"/>
        <v>0</v>
      </c>
      <c r="K43" s="17">
        <f t="shared" si="1"/>
        <v>4</v>
      </c>
    </row>
    <row r="44" spans="1:11" x14ac:dyDescent="0.25">
      <c r="A44" s="4" t="s">
        <v>74</v>
      </c>
      <c r="B44" s="1">
        <v>0.27588800000000002</v>
      </c>
      <c r="C44" s="1">
        <v>0.27738800000000002</v>
      </c>
      <c r="D44" s="1">
        <f>IF(B44&gt;C44,B44-C44,C44-B44)</f>
        <v>1.5000000000000013E-3</v>
      </c>
      <c r="E44">
        <f>MINUTE(D44)</f>
        <v>2</v>
      </c>
      <c r="F44">
        <f>SECOND(D44)</f>
        <v>10</v>
      </c>
      <c r="G44">
        <f>ROUND(E44+F44/60,2)</f>
        <v>2.17</v>
      </c>
      <c r="H44">
        <f>60*E44+F44</f>
        <v>130</v>
      </c>
      <c r="I44" s="3">
        <f>5*(3600/H44)</f>
        <v>138.46153846153845</v>
      </c>
      <c r="J44" s="16">
        <f t="shared" si="0"/>
        <v>0</v>
      </c>
      <c r="K44" s="17">
        <f t="shared" si="1"/>
        <v>6</v>
      </c>
    </row>
    <row r="45" spans="1:11" x14ac:dyDescent="0.25">
      <c r="A45" s="4" t="s">
        <v>72</v>
      </c>
      <c r="B45" s="1">
        <v>0.22588900000000001</v>
      </c>
      <c r="C45" s="1">
        <v>0.224385</v>
      </c>
      <c r="D45" s="1">
        <f>IF(B45&gt;C45,B45-C45,C45-B45)</f>
        <v>1.5040000000000053E-3</v>
      </c>
      <c r="E45">
        <f>MINUTE(D45)</f>
        <v>2</v>
      </c>
      <c r="F45">
        <f>SECOND(D45)</f>
        <v>10</v>
      </c>
      <c r="G45">
        <f>ROUND(E45+F45/60,2)</f>
        <v>2.17</v>
      </c>
      <c r="H45">
        <f>60*E45+F45</f>
        <v>130</v>
      </c>
      <c r="I45" s="3">
        <f>5*(3600/H45)</f>
        <v>138.46153846153845</v>
      </c>
      <c r="J45" s="16">
        <f t="shared" si="0"/>
        <v>0</v>
      </c>
      <c r="K45" s="17">
        <f t="shared" si="1"/>
        <v>5</v>
      </c>
    </row>
    <row r="46" spans="1:11" x14ac:dyDescent="0.25">
      <c r="A46" s="4" t="s">
        <v>18</v>
      </c>
      <c r="B46" s="1">
        <v>0.77679200000000004</v>
      </c>
      <c r="C46" s="1">
        <v>0.77528799999999998</v>
      </c>
      <c r="D46" s="1">
        <f>IF(B46&gt;C46,B46-C46,C46-B46)</f>
        <v>1.5040000000000608E-3</v>
      </c>
      <c r="E46">
        <f>MINUTE(D46)</f>
        <v>2</v>
      </c>
      <c r="F46">
        <f>SECOND(D46)</f>
        <v>10</v>
      </c>
      <c r="G46">
        <f>ROUND(E46+F46/60,2)</f>
        <v>2.17</v>
      </c>
      <c r="H46">
        <f>60*E46+F46</f>
        <v>130</v>
      </c>
      <c r="I46" s="3">
        <f>5*(3600/H46)</f>
        <v>138.46153846153845</v>
      </c>
      <c r="J46" s="16">
        <f t="shared" si="0"/>
        <v>0</v>
      </c>
      <c r="K46" s="17">
        <f t="shared" si="1"/>
        <v>18</v>
      </c>
    </row>
    <row r="47" spans="1:11" x14ac:dyDescent="0.25">
      <c r="A47" s="4" t="s">
        <v>104</v>
      </c>
      <c r="B47" s="1">
        <v>0.50448999999999999</v>
      </c>
      <c r="C47" s="1">
        <v>0.50298200000000004</v>
      </c>
      <c r="D47" s="1">
        <f>IF(B47&gt;C47,B47-C47,C47-B47)</f>
        <v>1.5079999999999538E-3</v>
      </c>
      <c r="E47">
        <f>MINUTE(D47)</f>
        <v>2</v>
      </c>
      <c r="F47">
        <f>SECOND(D47)</f>
        <v>10</v>
      </c>
      <c r="G47">
        <f>ROUND(E47+F47/60,2)</f>
        <v>2.17</v>
      </c>
      <c r="H47">
        <f>60*E47+F47</f>
        <v>130</v>
      </c>
      <c r="I47" s="3">
        <f>5*(3600/H47)</f>
        <v>138.46153846153845</v>
      </c>
      <c r="J47" s="16">
        <f t="shared" si="0"/>
        <v>0</v>
      </c>
      <c r="K47" s="17">
        <f t="shared" si="1"/>
        <v>12</v>
      </c>
    </row>
    <row r="48" spans="1:11" x14ac:dyDescent="0.25">
      <c r="A48" s="4" t="s">
        <v>118</v>
      </c>
      <c r="B48" s="1">
        <v>0.83749799999999996</v>
      </c>
      <c r="C48" s="1">
        <v>0.83599400000000001</v>
      </c>
      <c r="D48" s="1">
        <f>IF(B48&gt;C48,B48-C48,C48-B48)</f>
        <v>1.5039999999999498E-3</v>
      </c>
      <c r="E48">
        <f>MINUTE(D48)</f>
        <v>2</v>
      </c>
      <c r="F48">
        <f>SECOND(D48)</f>
        <v>10</v>
      </c>
      <c r="G48">
        <f>ROUND(E48+F48/60,2)</f>
        <v>2.17</v>
      </c>
      <c r="H48">
        <f>60*E48+F48</f>
        <v>130</v>
      </c>
      <c r="I48" s="3">
        <f>5*(3600/H48)</f>
        <v>138.46153846153845</v>
      </c>
      <c r="J48" s="16">
        <f t="shared" si="0"/>
        <v>0</v>
      </c>
      <c r="K48" s="17">
        <f t="shared" si="1"/>
        <v>20</v>
      </c>
    </row>
    <row r="49" spans="1:11" x14ac:dyDescent="0.25">
      <c r="A49" s="4" t="s">
        <v>87</v>
      </c>
      <c r="B49" s="1">
        <v>0.52210599999999996</v>
      </c>
      <c r="C49" s="1">
        <v>0.52360600000000002</v>
      </c>
      <c r="D49" s="1">
        <f>IF(B49&gt;C49,B49-C49,C49-B49)</f>
        <v>1.5000000000000568E-3</v>
      </c>
      <c r="E49">
        <f>MINUTE(D49)</f>
        <v>2</v>
      </c>
      <c r="F49">
        <f>SECOND(D49)</f>
        <v>10</v>
      </c>
      <c r="G49">
        <f>ROUND(E49+F49/60,2)</f>
        <v>2.17</v>
      </c>
      <c r="H49">
        <f>60*E49+F49</f>
        <v>130</v>
      </c>
      <c r="I49" s="3">
        <f>5*(3600/H49)</f>
        <v>138.46153846153845</v>
      </c>
      <c r="J49" s="16">
        <f t="shared" si="0"/>
        <v>0</v>
      </c>
      <c r="K49" s="17">
        <f t="shared" si="1"/>
        <v>12</v>
      </c>
    </row>
    <row r="50" spans="1:11" x14ac:dyDescent="0.25">
      <c r="A50" s="4" t="s">
        <v>234</v>
      </c>
      <c r="B50" s="1">
        <v>0.53744899999999995</v>
      </c>
      <c r="C50" s="1">
        <v>0.53895300000000002</v>
      </c>
      <c r="D50" s="1">
        <f>IF(B50&gt;C50,B50-C50,C50-B50)</f>
        <v>1.5040000000000608E-3</v>
      </c>
      <c r="E50">
        <f>MINUTE(D50)</f>
        <v>2</v>
      </c>
      <c r="F50">
        <f>SECOND(D50)</f>
        <v>10</v>
      </c>
      <c r="G50">
        <f>ROUND(E50+F50/60,2)</f>
        <v>2.17</v>
      </c>
      <c r="H50">
        <f>60*E50+F50</f>
        <v>130</v>
      </c>
      <c r="I50" s="3">
        <f>5*(3600/H50)</f>
        <v>138.46153846153845</v>
      </c>
      <c r="J50" s="16">
        <f t="shared" si="0"/>
        <v>0</v>
      </c>
      <c r="K50" s="17">
        <f t="shared" si="1"/>
        <v>12</v>
      </c>
    </row>
    <row r="51" spans="1:11" x14ac:dyDescent="0.25">
      <c r="A51" s="4" t="s">
        <v>134</v>
      </c>
      <c r="B51" s="1">
        <v>0.86431400000000003</v>
      </c>
      <c r="C51" s="1">
        <v>0.86280199999999996</v>
      </c>
      <c r="D51" s="1">
        <f>IF(B51&gt;C51,B51-C51,C51-B51)</f>
        <v>1.5120000000000688E-3</v>
      </c>
      <c r="E51">
        <f>MINUTE(D51)</f>
        <v>2</v>
      </c>
      <c r="F51">
        <f>SECOND(D51)</f>
        <v>11</v>
      </c>
      <c r="G51">
        <f>ROUND(E51+F51/60,2)</f>
        <v>2.1800000000000002</v>
      </c>
      <c r="H51">
        <f>60*E51+F51</f>
        <v>131</v>
      </c>
      <c r="I51" s="3">
        <f>5*(3600/H51)</f>
        <v>137.40458015267177</v>
      </c>
      <c r="J51" s="16">
        <f t="shared" si="0"/>
        <v>0</v>
      </c>
      <c r="K51" s="17">
        <f t="shared" si="1"/>
        <v>20</v>
      </c>
    </row>
    <row r="52" spans="1:11" x14ac:dyDescent="0.25">
      <c r="A52" s="4" t="s">
        <v>16</v>
      </c>
      <c r="B52" s="1">
        <v>0.26755400000000001</v>
      </c>
      <c r="C52" s="1">
        <v>0.266042</v>
      </c>
      <c r="D52" s="1">
        <f>IF(B52&gt;C52,B52-C52,C52-B52)</f>
        <v>1.5120000000000133E-3</v>
      </c>
      <c r="E52">
        <f>MINUTE(D52)</f>
        <v>2</v>
      </c>
      <c r="F52">
        <f>SECOND(D52)</f>
        <v>11</v>
      </c>
      <c r="G52">
        <f>ROUND(E52+F52/60,2)</f>
        <v>2.1800000000000002</v>
      </c>
      <c r="H52">
        <f>60*E52+F52</f>
        <v>131</v>
      </c>
      <c r="I52" s="3">
        <f>5*(3600/H52)</f>
        <v>137.40458015267177</v>
      </c>
      <c r="J52" s="16">
        <f t="shared" si="0"/>
        <v>0</v>
      </c>
      <c r="K52" s="17">
        <f t="shared" si="1"/>
        <v>6</v>
      </c>
    </row>
    <row r="53" spans="1:11" x14ac:dyDescent="0.25">
      <c r="A53" s="4" t="s">
        <v>181</v>
      </c>
      <c r="B53" s="1">
        <v>0.89040600000000003</v>
      </c>
      <c r="C53" s="1">
        <v>0.88888599999999995</v>
      </c>
      <c r="D53" s="1">
        <f>IF(B53&gt;C53,B53-C53,C53-B53)</f>
        <v>1.5200000000000768E-3</v>
      </c>
      <c r="E53">
        <f>MINUTE(D53)</f>
        <v>2</v>
      </c>
      <c r="F53">
        <f>SECOND(D53)</f>
        <v>11</v>
      </c>
      <c r="G53">
        <f>ROUND(E53+F53/60,2)</f>
        <v>2.1800000000000002</v>
      </c>
      <c r="H53">
        <f>60*E53+F53</f>
        <v>131</v>
      </c>
      <c r="I53" s="3">
        <f>5*(3600/H53)</f>
        <v>137.40458015267177</v>
      </c>
      <c r="J53" s="16">
        <f t="shared" si="0"/>
        <v>0</v>
      </c>
      <c r="K53" s="17">
        <f t="shared" si="1"/>
        <v>21</v>
      </c>
    </row>
    <row r="54" spans="1:11" x14ac:dyDescent="0.25">
      <c r="A54" s="4" t="s">
        <v>339</v>
      </c>
      <c r="B54" s="1">
        <v>0.55148399999999997</v>
      </c>
      <c r="C54" s="1">
        <v>0.55299600000000004</v>
      </c>
      <c r="D54" s="1">
        <f>IF(B54&gt;C54,B54-C54,C54-B54)</f>
        <v>1.5120000000000688E-3</v>
      </c>
      <c r="E54">
        <f>MINUTE(D54)</f>
        <v>2</v>
      </c>
      <c r="F54">
        <f>SECOND(D54)</f>
        <v>11</v>
      </c>
      <c r="G54">
        <f>ROUND(E54+F54/60,2)</f>
        <v>2.1800000000000002</v>
      </c>
      <c r="H54">
        <f>60*E54+F54</f>
        <v>131</v>
      </c>
      <c r="I54" s="3">
        <f>5*(3600/H54)</f>
        <v>137.40458015267177</v>
      </c>
      <c r="J54" s="16">
        <f t="shared" si="0"/>
        <v>0</v>
      </c>
      <c r="K54" s="17">
        <f t="shared" si="1"/>
        <v>13</v>
      </c>
    </row>
    <row r="55" spans="1:11" x14ac:dyDescent="0.25">
      <c r="A55" s="4" t="s">
        <v>120</v>
      </c>
      <c r="B55" s="1">
        <v>0.67288400000000004</v>
      </c>
      <c r="C55" s="1">
        <v>0.67135999999999996</v>
      </c>
      <c r="D55" s="1">
        <f>IF(B55&gt;C55,B55-C55,C55-B55)</f>
        <v>1.5240000000000808E-3</v>
      </c>
      <c r="E55">
        <f>MINUTE(D55)</f>
        <v>2</v>
      </c>
      <c r="F55">
        <f>SECOND(D55)</f>
        <v>12</v>
      </c>
      <c r="G55">
        <f>ROUND(E55+F55/60,2)</f>
        <v>2.2000000000000002</v>
      </c>
      <c r="H55">
        <f>60*E55+F55</f>
        <v>132</v>
      </c>
      <c r="I55" s="3">
        <f>5*(3600/H55)</f>
        <v>136.36363636363637</v>
      </c>
      <c r="J55" s="16">
        <f t="shared" si="0"/>
        <v>0</v>
      </c>
      <c r="K55" s="17">
        <f t="shared" si="1"/>
        <v>16</v>
      </c>
    </row>
    <row r="56" spans="1:11" x14ac:dyDescent="0.25">
      <c r="A56" s="4" t="s">
        <v>153</v>
      </c>
      <c r="B56" s="1">
        <v>0.13258500000000001</v>
      </c>
      <c r="C56" s="1">
        <v>0.13410900000000001</v>
      </c>
      <c r="D56" s="1">
        <f>IF(B56&gt;C56,B56-C56,C56-B56)</f>
        <v>1.5239999999999976E-3</v>
      </c>
      <c r="E56">
        <f>MINUTE(D56)</f>
        <v>2</v>
      </c>
      <c r="F56">
        <f>SECOND(D56)</f>
        <v>12</v>
      </c>
      <c r="G56">
        <f>ROUND(E56+F56/60,2)</f>
        <v>2.2000000000000002</v>
      </c>
      <c r="H56">
        <f>60*E56+F56</f>
        <v>132</v>
      </c>
      <c r="I56" s="3">
        <f>5*(3600/H56)</f>
        <v>136.36363636363637</v>
      </c>
      <c r="J56" s="16">
        <f t="shared" si="0"/>
        <v>0</v>
      </c>
      <c r="K56" s="17">
        <f t="shared" si="1"/>
        <v>3</v>
      </c>
    </row>
    <row r="57" spans="1:11" x14ac:dyDescent="0.25">
      <c r="A57" s="4" t="s">
        <v>47</v>
      </c>
      <c r="B57" s="1">
        <v>0.23163800000000001</v>
      </c>
      <c r="C57" s="1">
        <v>0.23316999999999999</v>
      </c>
      <c r="D57" s="1">
        <f>IF(B57&gt;C57,B57-C57,C57-B57)</f>
        <v>1.5319999999999778E-3</v>
      </c>
      <c r="E57">
        <f>MINUTE(D57)</f>
        <v>2</v>
      </c>
      <c r="F57">
        <f>SECOND(D57)</f>
        <v>12</v>
      </c>
      <c r="G57">
        <f>ROUND(E57+F57/60,2)</f>
        <v>2.2000000000000002</v>
      </c>
      <c r="H57">
        <f>60*E57+F57</f>
        <v>132</v>
      </c>
      <c r="I57" s="3">
        <f>5*(3600/H57)</f>
        <v>136.36363636363637</v>
      </c>
      <c r="J57" s="16">
        <f t="shared" si="0"/>
        <v>0</v>
      </c>
      <c r="K57" s="17">
        <f t="shared" si="1"/>
        <v>5</v>
      </c>
    </row>
    <row r="58" spans="1:11" x14ac:dyDescent="0.25">
      <c r="A58" s="4" t="s">
        <v>60</v>
      </c>
      <c r="B58" s="1">
        <v>0.42548900000000001</v>
      </c>
      <c r="C58" s="1">
        <v>0.42702099999999998</v>
      </c>
      <c r="D58" s="1">
        <f>IF(B58&gt;C58,B58-C58,C58-B58)</f>
        <v>1.5319999999999778E-3</v>
      </c>
      <c r="E58">
        <f>MINUTE(D58)</f>
        <v>2</v>
      </c>
      <c r="F58">
        <f>SECOND(D58)</f>
        <v>12</v>
      </c>
      <c r="G58">
        <f>ROUND(E58+F58/60,2)</f>
        <v>2.2000000000000002</v>
      </c>
      <c r="H58">
        <f>60*E58+F58</f>
        <v>132</v>
      </c>
      <c r="I58" s="3">
        <f>5*(3600/H58)</f>
        <v>136.36363636363637</v>
      </c>
      <c r="J58" s="16">
        <f t="shared" si="0"/>
        <v>0</v>
      </c>
      <c r="K58" s="17">
        <f t="shared" si="1"/>
        <v>10</v>
      </c>
    </row>
    <row r="59" spans="1:11" x14ac:dyDescent="0.25">
      <c r="A59" s="4" t="s">
        <v>280</v>
      </c>
      <c r="B59" s="1">
        <v>8.2901000000000002E-2</v>
      </c>
      <c r="C59" s="1">
        <v>8.4425E-2</v>
      </c>
      <c r="D59" s="1">
        <f>IF(B59&gt;C59,B59-C59,C59-B59)</f>
        <v>1.5239999999999976E-3</v>
      </c>
      <c r="E59">
        <f>MINUTE(D59)</f>
        <v>2</v>
      </c>
      <c r="F59">
        <f>SECOND(D59)</f>
        <v>12</v>
      </c>
      <c r="G59">
        <f>ROUND(E59+F59/60,2)</f>
        <v>2.2000000000000002</v>
      </c>
      <c r="H59">
        <f>60*E59+F59</f>
        <v>132</v>
      </c>
      <c r="I59" s="3">
        <f>5*(3600/H59)</f>
        <v>136.36363636363637</v>
      </c>
      <c r="J59" s="16">
        <f t="shared" si="0"/>
        <v>0</v>
      </c>
      <c r="K59" s="17">
        <f t="shared" si="1"/>
        <v>1</v>
      </c>
    </row>
    <row r="60" spans="1:11" x14ac:dyDescent="0.25">
      <c r="A60" s="4" t="s">
        <v>74</v>
      </c>
      <c r="B60" s="1">
        <v>0.20558899999999999</v>
      </c>
      <c r="C60" s="1">
        <v>0.20712900000000001</v>
      </c>
      <c r="D60" s="1">
        <f>IF(B60&gt;C60,B60-C60,C60-B60)</f>
        <v>1.5400000000000136E-3</v>
      </c>
      <c r="E60">
        <f>MINUTE(D60)</f>
        <v>2</v>
      </c>
      <c r="F60">
        <f>SECOND(D60)</f>
        <v>13</v>
      </c>
      <c r="G60">
        <f>ROUND(E60+F60/60,2)</f>
        <v>2.2200000000000002</v>
      </c>
      <c r="H60">
        <f>60*E60+F60</f>
        <v>133</v>
      </c>
      <c r="I60" s="3">
        <f>5*(3600/H60)</f>
        <v>135.33834586466165</v>
      </c>
      <c r="J60" s="16">
        <f t="shared" si="0"/>
        <v>0</v>
      </c>
      <c r="K60" s="17">
        <f t="shared" si="1"/>
        <v>4</v>
      </c>
    </row>
    <row r="61" spans="1:11" x14ac:dyDescent="0.25">
      <c r="A61" s="4" t="s">
        <v>93</v>
      </c>
      <c r="B61" s="1">
        <v>0.24371599999999999</v>
      </c>
      <c r="C61" s="1">
        <v>0.24526400000000001</v>
      </c>
      <c r="D61" s="1">
        <f>IF(B61&gt;C61,B61-C61,C61-B61)</f>
        <v>1.5480000000000216E-3</v>
      </c>
      <c r="E61">
        <f>MINUTE(D61)</f>
        <v>2</v>
      </c>
      <c r="F61">
        <f>SECOND(D61)</f>
        <v>14</v>
      </c>
      <c r="G61">
        <f>ROUND(E61+F61/60,2)</f>
        <v>2.23</v>
      </c>
      <c r="H61">
        <f>60*E61+F61</f>
        <v>134</v>
      </c>
      <c r="I61" s="3">
        <f>5*(3600/H61)</f>
        <v>134.32835820895522</v>
      </c>
      <c r="J61" s="16">
        <f t="shared" si="0"/>
        <v>0</v>
      </c>
      <c r="K61" s="17">
        <f t="shared" si="1"/>
        <v>5</v>
      </c>
    </row>
    <row r="62" spans="1:11" x14ac:dyDescent="0.25">
      <c r="A62" s="4" t="s">
        <v>68</v>
      </c>
      <c r="B62" s="1">
        <v>0.398974</v>
      </c>
      <c r="C62" s="1">
        <v>0.40052599999999999</v>
      </c>
      <c r="D62" s="1">
        <f>IF(B62&gt;C62,B62-C62,C62-B62)</f>
        <v>1.5519999999999978E-3</v>
      </c>
      <c r="E62">
        <f>MINUTE(D62)</f>
        <v>2</v>
      </c>
      <c r="F62">
        <f>SECOND(D62)</f>
        <v>14</v>
      </c>
      <c r="G62">
        <f>ROUND(E62+F62/60,2)</f>
        <v>2.23</v>
      </c>
      <c r="H62">
        <f>60*E62+F62</f>
        <v>134</v>
      </c>
      <c r="I62" s="3">
        <f>5*(3600/H62)</f>
        <v>134.32835820895522</v>
      </c>
      <c r="J62" s="16">
        <f t="shared" si="0"/>
        <v>0</v>
      </c>
      <c r="K62" s="17">
        <f t="shared" si="1"/>
        <v>9</v>
      </c>
    </row>
    <row r="63" spans="1:11" x14ac:dyDescent="0.25">
      <c r="A63" s="4" t="s">
        <v>57</v>
      </c>
      <c r="B63" s="1">
        <v>0.174453</v>
      </c>
      <c r="C63" s="1">
        <v>0.176009</v>
      </c>
      <c r="D63" s="1">
        <f>IF(B63&gt;C63,B63-C63,C63-B63)</f>
        <v>1.5560000000000018E-3</v>
      </c>
      <c r="E63">
        <f>MINUTE(D63)</f>
        <v>2</v>
      </c>
      <c r="F63">
        <f>SECOND(D63)</f>
        <v>14</v>
      </c>
      <c r="G63">
        <f>ROUND(E63+F63/60,2)</f>
        <v>2.23</v>
      </c>
      <c r="H63">
        <f>60*E63+F63</f>
        <v>134</v>
      </c>
      <c r="I63" s="3">
        <f>5*(3600/H63)</f>
        <v>134.32835820895522</v>
      </c>
      <c r="J63" s="16">
        <f t="shared" si="0"/>
        <v>0</v>
      </c>
      <c r="K63" s="17">
        <f t="shared" si="1"/>
        <v>4</v>
      </c>
    </row>
    <row r="64" spans="1:11" x14ac:dyDescent="0.25">
      <c r="A64" s="4" t="s">
        <v>93</v>
      </c>
      <c r="B64" s="1">
        <v>0.64764299999999997</v>
      </c>
      <c r="C64" s="1">
        <v>0.64919099999999996</v>
      </c>
      <c r="D64" s="1">
        <f>IF(B64&gt;C64,B64-C64,C64-B64)</f>
        <v>1.5479999999999938E-3</v>
      </c>
      <c r="E64">
        <f>MINUTE(D64)</f>
        <v>2</v>
      </c>
      <c r="F64">
        <f>SECOND(D64)</f>
        <v>14</v>
      </c>
      <c r="G64">
        <f>ROUND(E64+F64/60,2)</f>
        <v>2.23</v>
      </c>
      <c r="H64">
        <f>60*E64+F64</f>
        <v>134</v>
      </c>
      <c r="I64" s="3">
        <f>5*(3600/H64)</f>
        <v>134.32835820895522</v>
      </c>
      <c r="J64" s="16">
        <f t="shared" si="0"/>
        <v>0</v>
      </c>
      <c r="K64" s="17">
        <f t="shared" si="1"/>
        <v>15</v>
      </c>
    </row>
    <row r="65" spans="1:11" x14ac:dyDescent="0.25">
      <c r="A65" s="4" t="s">
        <v>117</v>
      </c>
      <c r="B65" s="1">
        <v>3.3759999999999998E-2</v>
      </c>
      <c r="C65" s="1">
        <v>3.5316E-2</v>
      </c>
      <c r="D65" s="1">
        <f>IF(B65&gt;C65,B65-C65,C65-B65)</f>
        <v>1.5560000000000018E-3</v>
      </c>
      <c r="E65">
        <f>MINUTE(D65)</f>
        <v>2</v>
      </c>
      <c r="F65">
        <f>SECOND(D65)</f>
        <v>14</v>
      </c>
      <c r="G65">
        <f>ROUND(E65+F65/60,2)</f>
        <v>2.23</v>
      </c>
      <c r="H65">
        <f>60*E65+F65</f>
        <v>134</v>
      </c>
      <c r="I65" s="3">
        <f>5*(3600/H65)</f>
        <v>134.32835820895522</v>
      </c>
      <c r="J65" s="16">
        <f t="shared" si="0"/>
        <v>0</v>
      </c>
      <c r="K65" s="17">
        <f t="shared" si="1"/>
        <v>0</v>
      </c>
    </row>
    <row r="66" spans="1:11" x14ac:dyDescent="0.25">
      <c r="A66" s="4" t="s">
        <v>109</v>
      </c>
      <c r="B66" s="1">
        <v>0.38767800000000002</v>
      </c>
      <c r="C66" s="1">
        <v>0.38923000000000002</v>
      </c>
      <c r="D66" s="1">
        <f>IF(B66&gt;C66,B66-C66,C66-B66)</f>
        <v>1.5519999999999978E-3</v>
      </c>
      <c r="E66">
        <f>MINUTE(D66)</f>
        <v>2</v>
      </c>
      <c r="F66">
        <f>SECOND(D66)</f>
        <v>14</v>
      </c>
      <c r="G66">
        <f>ROUND(E66+F66/60,2)</f>
        <v>2.23</v>
      </c>
      <c r="H66">
        <f>60*E66+F66</f>
        <v>134</v>
      </c>
      <c r="I66" s="3">
        <f>5*(3600/H66)</f>
        <v>134.32835820895522</v>
      </c>
      <c r="J66" s="16">
        <f t="shared" si="0"/>
        <v>0</v>
      </c>
      <c r="K66" s="17">
        <f t="shared" si="1"/>
        <v>9</v>
      </c>
    </row>
    <row r="67" spans="1:11" x14ac:dyDescent="0.25">
      <c r="A67" s="4" t="s">
        <v>203</v>
      </c>
      <c r="B67" s="1">
        <v>0.49404599999999999</v>
      </c>
      <c r="C67" s="1">
        <v>0.49249399999999999</v>
      </c>
      <c r="D67" s="1">
        <f>IF(B67&gt;C67,B67-C67,C67-B67)</f>
        <v>1.5519999999999978E-3</v>
      </c>
      <c r="E67">
        <f>MINUTE(D67)</f>
        <v>2</v>
      </c>
      <c r="F67">
        <f>SECOND(D67)</f>
        <v>14</v>
      </c>
      <c r="G67">
        <f>ROUND(E67+F67/60,2)</f>
        <v>2.23</v>
      </c>
      <c r="H67">
        <f>60*E67+F67</f>
        <v>134</v>
      </c>
      <c r="I67" s="3">
        <f>5*(3600/H67)</f>
        <v>134.32835820895522</v>
      </c>
      <c r="J67" s="16">
        <f t="shared" ref="J67:J130" si="2">IF(I67&gt;140,1,0)</f>
        <v>0</v>
      </c>
      <c r="K67" s="17">
        <f t="shared" ref="K67:K130" si="3">HOUR(B67)</f>
        <v>11</v>
      </c>
    </row>
    <row r="68" spans="1:11" x14ac:dyDescent="0.25">
      <c r="A68" s="4" t="s">
        <v>131</v>
      </c>
      <c r="B68" s="1">
        <v>0.380658</v>
      </c>
      <c r="C68" s="1">
        <v>0.37909399999999999</v>
      </c>
      <c r="D68" s="1">
        <f>IF(B68&gt;C68,B68-C68,C68-B68)</f>
        <v>1.5640000000000098E-3</v>
      </c>
      <c r="E68">
        <f>MINUTE(D68)</f>
        <v>2</v>
      </c>
      <c r="F68">
        <f>SECOND(D68)</f>
        <v>15</v>
      </c>
      <c r="G68">
        <f>ROUND(E68+F68/60,2)</f>
        <v>2.25</v>
      </c>
      <c r="H68">
        <f>60*E68+F68</f>
        <v>135</v>
      </c>
      <c r="I68" s="3">
        <f>5*(3600/H68)</f>
        <v>133.33333333333334</v>
      </c>
      <c r="J68" s="16">
        <f t="shared" si="2"/>
        <v>0</v>
      </c>
      <c r="K68" s="17">
        <f t="shared" si="3"/>
        <v>9</v>
      </c>
    </row>
    <row r="69" spans="1:11" x14ac:dyDescent="0.25">
      <c r="A69" s="4" t="s">
        <v>82</v>
      </c>
      <c r="B69" s="1">
        <v>0.34303299999999998</v>
      </c>
      <c r="C69" s="1">
        <v>0.34460099999999999</v>
      </c>
      <c r="D69" s="1">
        <f>IF(B69&gt;C69,B69-C69,C69-B69)</f>
        <v>1.5680000000000138E-3</v>
      </c>
      <c r="E69">
        <f>MINUTE(D69)</f>
        <v>2</v>
      </c>
      <c r="F69">
        <f>SECOND(D69)</f>
        <v>15</v>
      </c>
      <c r="G69">
        <f>ROUND(E69+F69/60,2)</f>
        <v>2.25</v>
      </c>
      <c r="H69">
        <f>60*E69+F69</f>
        <v>135</v>
      </c>
      <c r="I69" s="3">
        <f>5*(3600/H69)</f>
        <v>133.33333333333334</v>
      </c>
      <c r="J69" s="16">
        <f t="shared" si="2"/>
        <v>0</v>
      </c>
      <c r="K69" s="17">
        <f t="shared" si="3"/>
        <v>8</v>
      </c>
    </row>
    <row r="70" spans="1:11" x14ac:dyDescent="0.25">
      <c r="A70" s="4" t="s">
        <v>20</v>
      </c>
      <c r="B70" s="1">
        <v>0.262909</v>
      </c>
      <c r="C70" s="1">
        <v>0.26447300000000001</v>
      </c>
      <c r="D70" s="1">
        <f>IF(B70&gt;C70,B70-C70,C70-B70)</f>
        <v>1.5640000000000098E-3</v>
      </c>
      <c r="E70">
        <f>MINUTE(D70)</f>
        <v>2</v>
      </c>
      <c r="F70">
        <f>SECOND(D70)</f>
        <v>15</v>
      </c>
      <c r="G70">
        <f>ROUND(E70+F70/60,2)</f>
        <v>2.25</v>
      </c>
      <c r="H70">
        <f>60*E70+F70</f>
        <v>135</v>
      </c>
      <c r="I70" s="3">
        <f>5*(3600/H70)</f>
        <v>133.33333333333334</v>
      </c>
      <c r="J70" s="16">
        <f t="shared" si="2"/>
        <v>0</v>
      </c>
      <c r="K70" s="17">
        <f t="shared" si="3"/>
        <v>6</v>
      </c>
    </row>
    <row r="71" spans="1:11" x14ac:dyDescent="0.25">
      <c r="A71" s="4" t="s">
        <v>297</v>
      </c>
      <c r="B71" s="1">
        <v>0.63311200000000001</v>
      </c>
      <c r="C71" s="1">
        <v>0.63467600000000002</v>
      </c>
      <c r="D71" s="1">
        <f>IF(B71&gt;C71,B71-C71,C71-B71)</f>
        <v>1.5640000000000098E-3</v>
      </c>
      <c r="E71">
        <f>MINUTE(D71)</f>
        <v>2</v>
      </c>
      <c r="F71">
        <f>SECOND(D71)</f>
        <v>15</v>
      </c>
      <c r="G71">
        <f>ROUND(E71+F71/60,2)</f>
        <v>2.25</v>
      </c>
      <c r="H71">
        <f>60*E71+F71</f>
        <v>135</v>
      </c>
      <c r="I71" s="3">
        <f>5*(3600/H71)</f>
        <v>133.33333333333334</v>
      </c>
      <c r="J71" s="16">
        <f t="shared" si="2"/>
        <v>0</v>
      </c>
      <c r="K71" s="17">
        <f t="shared" si="3"/>
        <v>15</v>
      </c>
    </row>
    <row r="72" spans="1:11" x14ac:dyDescent="0.25">
      <c r="A72" s="4" t="s">
        <v>3</v>
      </c>
      <c r="B72" s="1">
        <v>0.140041</v>
      </c>
      <c r="C72" s="1">
        <v>0.14161699999999999</v>
      </c>
      <c r="D72" s="1">
        <f>IF(B72&gt;C72,B72-C72,C72-B72)</f>
        <v>1.5759999999999941E-3</v>
      </c>
      <c r="E72">
        <f>MINUTE(D72)</f>
        <v>2</v>
      </c>
      <c r="F72">
        <f>SECOND(D72)</f>
        <v>16</v>
      </c>
      <c r="G72">
        <f>ROUND(E72+F72/60,2)</f>
        <v>2.27</v>
      </c>
      <c r="H72">
        <f>60*E72+F72</f>
        <v>136</v>
      </c>
      <c r="I72" s="3">
        <f>5*(3600/H72)</f>
        <v>132.35294117647058</v>
      </c>
      <c r="J72" s="16">
        <f t="shared" si="2"/>
        <v>0</v>
      </c>
      <c r="K72" s="17">
        <f t="shared" si="3"/>
        <v>3</v>
      </c>
    </row>
    <row r="73" spans="1:11" x14ac:dyDescent="0.25">
      <c r="A73" s="4" t="s">
        <v>83</v>
      </c>
      <c r="B73" s="1">
        <v>0.72719900000000004</v>
      </c>
      <c r="C73" s="1">
        <v>0.72877099999999995</v>
      </c>
      <c r="D73" s="1">
        <f>IF(B73&gt;C73,B73-C73,C73-B73)</f>
        <v>1.5719999999999068E-3</v>
      </c>
      <c r="E73">
        <f>MINUTE(D73)</f>
        <v>2</v>
      </c>
      <c r="F73">
        <f>SECOND(D73)</f>
        <v>16</v>
      </c>
      <c r="G73">
        <f>ROUND(E73+F73/60,2)</f>
        <v>2.27</v>
      </c>
      <c r="H73">
        <f>60*E73+F73</f>
        <v>136</v>
      </c>
      <c r="I73" s="3">
        <f>5*(3600/H73)</f>
        <v>132.35294117647058</v>
      </c>
      <c r="J73" s="16">
        <f t="shared" si="2"/>
        <v>0</v>
      </c>
      <c r="K73" s="17">
        <f t="shared" si="3"/>
        <v>17</v>
      </c>
    </row>
    <row r="74" spans="1:11" x14ac:dyDescent="0.25">
      <c r="A74" s="4" t="s">
        <v>62</v>
      </c>
      <c r="B74" s="1">
        <v>8.6955000000000005E-2</v>
      </c>
      <c r="C74" s="1">
        <v>8.5378999999999997E-2</v>
      </c>
      <c r="D74" s="1">
        <f>IF(B74&gt;C74,B74-C74,C74-B74)</f>
        <v>1.576000000000008E-3</v>
      </c>
      <c r="E74">
        <f>MINUTE(D74)</f>
        <v>2</v>
      </c>
      <c r="F74">
        <f>SECOND(D74)</f>
        <v>16</v>
      </c>
      <c r="G74">
        <f>ROUND(E74+F74/60,2)</f>
        <v>2.27</v>
      </c>
      <c r="H74">
        <f>60*E74+F74</f>
        <v>136</v>
      </c>
      <c r="I74" s="3">
        <f>5*(3600/H74)</f>
        <v>132.35294117647058</v>
      </c>
      <c r="J74" s="16">
        <f t="shared" si="2"/>
        <v>0</v>
      </c>
      <c r="K74" s="17">
        <f t="shared" si="3"/>
        <v>2</v>
      </c>
    </row>
    <row r="75" spans="1:11" x14ac:dyDescent="0.25">
      <c r="A75" s="4" t="s">
        <v>252</v>
      </c>
      <c r="B75" s="1">
        <v>0.40370400000000001</v>
      </c>
      <c r="C75" s="1">
        <v>0.40213199999999999</v>
      </c>
      <c r="D75" s="1">
        <f>IF(B75&gt;C75,B75-C75,C75-B75)</f>
        <v>1.5720000000000178E-3</v>
      </c>
      <c r="E75">
        <f>MINUTE(D75)</f>
        <v>2</v>
      </c>
      <c r="F75">
        <f>SECOND(D75)</f>
        <v>16</v>
      </c>
      <c r="G75">
        <f>ROUND(E75+F75/60,2)</f>
        <v>2.27</v>
      </c>
      <c r="H75">
        <f>60*E75+F75</f>
        <v>136</v>
      </c>
      <c r="I75" s="3">
        <f>5*(3600/H75)</f>
        <v>132.35294117647058</v>
      </c>
      <c r="J75" s="16">
        <f t="shared" si="2"/>
        <v>0</v>
      </c>
      <c r="K75" s="17">
        <f t="shared" si="3"/>
        <v>9</v>
      </c>
    </row>
    <row r="76" spans="1:11" x14ac:dyDescent="0.25">
      <c r="A76" s="4" t="s">
        <v>125</v>
      </c>
      <c r="B76" s="1">
        <v>0.93394999999999995</v>
      </c>
      <c r="C76" s="1">
        <v>0.93237000000000003</v>
      </c>
      <c r="D76" s="1">
        <f>IF(B76&gt;C76,B76-C76,C76-B76)</f>
        <v>1.5799999999999148E-3</v>
      </c>
      <c r="E76">
        <f>MINUTE(D76)</f>
        <v>2</v>
      </c>
      <c r="F76">
        <f>SECOND(D76)</f>
        <v>17</v>
      </c>
      <c r="G76">
        <f>ROUND(E76+F76/60,2)</f>
        <v>2.2799999999999998</v>
      </c>
      <c r="H76">
        <f>60*E76+F76</f>
        <v>137</v>
      </c>
      <c r="I76" s="3">
        <f>5*(3600/H76)</f>
        <v>131.38686131386862</v>
      </c>
      <c r="J76" s="16">
        <f t="shared" si="2"/>
        <v>0</v>
      </c>
      <c r="K76" s="17">
        <f t="shared" si="3"/>
        <v>22</v>
      </c>
    </row>
    <row r="77" spans="1:11" x14ac:dyDescent="0.25">
      <c r="A77" s="4" t="s">
        <v>354</v>
      </c>
      <c r="B77" s="1">
        <v>0.58568299999999995</v>
      </c>
      <c r="C77" s="1">
        <v>0.58726699999999998</v>
      </c>
      <c r="D77" s="1">
        <f>IF(B77&gt;C77,B77-C77,C77-B77)</f>
        <v>1.5840000000000298E-3</v>
      </c>
      <c r="E77">
        <f>MINUTE(D77)</f>
        <v>2</v>
      </c>
      <c r="F77">
        <f>SECOND(D77)</f>
        <v>17</v>
      </c>
      <c r="G77">
        <f>ROUND(E77+F77/60,2)</f>
        <v>2.2799999999999998</v>
      </c>
      <c r="H77">
        <f>60*E77+F77</f>
        <v>137</v>
      </c>
      <c r="I77" s="3">
        <f>5*(3600/H77)</f>
        <v>131.38686131386862</v>
      </c>
      <c r="J77" s="16">
        <f t="shared" si="2"/>
        <v>0</v>
      </c>
      <c r="K77" s="17">
        <f t="shared" si="3"/>
        <v>14</v>
      </c>
    </row>
    <row r="78" spans="1:11" x14ac:dyDescent="0.25">
      <c r="A78" s="4" t="s">
        <v>21</v>
      </c>
      <c r="B78" s="1">
        <v>0.99788299999999996</v>
      </c>
      <c r="C78" s="1">
        <v>0.99948300000000001</v>
      </c>
      <c r="D78" s="1">
        <f>IF(B78&gt;C78,B78-C78,C78-B78)</f>
        <v>1.6000000000000458E-3</v>
      </c>
      <c r="E78">
        <f>MINUTE(D78)</f>
        <v>2</v>
      </c>
      <c r="F78">
        <f>SECOND(D78)</f>
        <v>18</v>
      </c>
      <c r="G78">
        <f>ROUND(E78+F78/60,2)</f>
        <v>2.2999999999999998</v>
      </c>
      <c r="H78">
        <f>60*E78+F78</f>
        <v>138</v>
      </c>
      <c r="I78" s="3">
        <f>5*(3600/H78)</f>
        <v>130.43478260869566</v>
      </c>
      <c r="J78" s="16">
        <f t="shared" si="2"/>
        <v>0</v>
      </c>
      <c r="K78" s="17">
        <f t="shared" si="3"/>
        <v>23</v>
      </c>
    </row>
    <row r="79" spans="1:11" x14ac:dyDescent="0.25">
      <c r="A79" s="4" t="s">
        <v>5</v>
      </c>
      <c r="B79" s="1">
        <v>0.19459099999999999</v>
      </c>
      <c r="C79" s="1">
        <v>0.196183</v>
      </c>
      <c r="D79" s="1">
        <f>IF(B79&gt;C79,B79-C79,C79-B79)</f>
        <v>1.5920000000000101E-3</v>
      </c>
      <c r="E79">
        <f>MINUTE(D79)</f>
        <v>2</v>
      </c>
      <c r="F79">
        <f>SECOND(D79)</f>
        <v>18</v>
      </c>
      <c r="G79">
        <f>ROUND(E79+F79/60,2)</f>
        <v>2.2999999999999998</v>
      </c>
      <c r="H79">
        <f>60*E79+F79</f>
        <v>138</v>
      </c>
      <c r="I79" s="3">
        <f>5*(3600/H79)</f>
        <v>130.43478260869566</v>
      </c>
      <c r="J79" s="16">
        <f t="shared" si="2"/>
        <v>0</v>
      </c>
      <c r="K79" s="17">
        <f t="shared" si="3"/>
        <v>4</v>
      </c>
    </row>
    <row r="80" spans="1:11" x14ac:dyDescent="0.25">
      <c r="A80" s="4" t="s">
        <v>386</v>
      </c>
      <c r="B80" s="1">
        <v>0.71810700000000005</v>
      </c>
      <c r="C80" s="1">
        <v>0.71969899999999998</v>
      </c>
      <c r="D80" s="1">
        <f>IF(B80&gt;C80,B80-C80,C80-B80)</f>
        <v>1.5919999999999268E-3</v>
      </c>
      <c r="E80">
        <f>MINUTE(D80)</f>
        <v>2</v>
      </c>
      <c r="F80">
        <f>SECOND(D80)</f>
        <v>18</v>
      </c>
      <c r="G80">
        <f>ROUND(E80+F80/60,2)</f>
        <v>2.2999999999999998</v>
      </c>
      <c r="H80">
        <f>60*E80+F80</f>
        <v>138</v>
      </c>
      <c r="I80" s="3">
        <f>5*(3600/H80)</f>
        <v>130.43478260869566</v>
      </c>
      <c r="J80" s="16">
        <f t="shared" si="2"/>
        <v>0</v>
      </c>
      <c r="K80" s="17">
        <f t="shared" si="3"/>
        <v>17</v>
      </c>
    </row>
    <row r="81" spans="1:11" x14ac:dyDescent="0.25">
      <c r="A81" s="4" t="s">
        <v>162</v>
      </c>
      <c r="B81" s="1">
        <v>0.97303899999999999</v>
      </c>
      <c r="C81" s="1">
        <v>0.97464700000000004</v>
      </c>
      <c r="D81" s="1">
        <f>IF(B81&gt;C81,B81-C81,C81-B81)</f>
        <v>1.6080000000000538E-3</v>
      </c>
      <c r="E81">
        <f>MINUTE(D81)</f>
        <v>2</v>
      </c>
      <c r="F81">
        <f>SECOND(D81)</f>
        <v>19</v>
      </c>
      <c r="G81">
        <f>ROUND(E81+F81/60,2)</f>
        <v>2.3199999999999998</v>
      </c>
      <c r="H81">
        <f>60*E81+F81</f>
        <v>139</v>
      </c>
      <c r="I81" s="3">
        <f>5*(3600/H81)</f>
        <v>129.49640287769785</v>
      </c>
      <c r="J81" s="16">
        <f t="shared" si="2"/>
        <v>0</v>
      </c>
      <c r="K81" s="17">
        <f t="shared" si="3"/>
        <v>23</v>
      </c>
    </row>
    <row r="82" spans="1:11" x14ac:dyDescent="0.25">
      <c r="A82" s="4" t="s">
        <v>85</v>
      </c>
      <c r="B82" s="1">
        <v>9.6156000000000005E-2</v>
      </c>
      <c r="C82" s="1">
        <v>9.7767999999999994E-2</v>
      </c>
      <c r="D82" s="1">
        <f>IF(B82&gt;C82,B82-C82,C82-B82)</f>
        <v>1.6119999999999884E-3</v>
      </c>
      <c r="E82">
        <f>MINUTE(D82)</f>
        <v>2</v>
      </c>
      <c r="F82">
        <f>SECOND(D82)</f>
        <v>19</v>
      </c>
      <c r="G82">
        <f>ROUND(E82+F82/60,2)</f>
        <v>2.3199999999999998</v>
      </c>
      <c r="H82">
        <f>60*E82+F82</f>
        <v>139</v>
      </c>
      <c r="I82" s="3">
        <f>5*(3600/H82)</f>
        <v>129.49640287769785</v>
      </c>
      <c r="J82" s="16">
        <f t="shared" si="2"/>
        <v>0</v>
      </c>
      <c r="K82" s="17">
        <f t="shared" si="3"/>
        <v>2</v>
      </c>
    </row>
    <row r="83" spans="1:11" x14ac:dyDescent="0.25">
      <c r="A83" s="4" t="s">
        <v>129</v>
      </c>
      <c r="B83" s="1">
        <v>0.89078199999999996</v>
      </c>
      <c r="C83" s="1">
        <v>0.89239400000000002</v>
      </c>
      <c r="D83" s="1">
        <f>IF(B83&gt;C83,B83-C83,C83-B83)</f>
        <v>1.6120000000000578E-3</v>
      </c>
      <c r="E83">
        <f>MINUTE(D83)</f>
        <v>2</v>
      </c>
      <c r="F83">
        <f>SECOND(D83)</f>
        <v>19</v>
      </c>
      <c r="G83">
        <f>ROUND(E83+F83/60,2)</f>
        <v>2.3199999999999998</v>
      </c>
      <c r="H83">
        <f>60*E83+F83</f>
        <v>139</v>
      </c>
      <c r="I83" s="3">
        <f>5*(3600/H83)</f>
        <v>129.49640287769785</v>
      </c>
      <c r="J83" s="16">
        <f t="shared" si="2"/>
        <v>0</v>
      </c>
      <c r="K83" s="17">
        <f t="shared" si="3"/>
        <v>21</v>
      </c>
    </row>
    <row r="84" spans="1:11" x14ac:dyDescent="0.25">
      <c r="A84" s="4" t="s">
        <v>254</v>
      </c>
      <c r="B84" s="1">
        <v>0.20783799999999999</v>
      </c>
      <c r="C84" s="1">
        <v>0.20622599999999999</v>
      </c>
      <c r="D84" s="1">
        <f>IF(B84&gt;C84,B84-C84,C84-B84)</f>
        <v>1.6120000000000023E-3</v>
      </c>
      <c r="E84">
        <f>MINUTE(D84)</f>
        <v>2</v>
      </c>
      <c r="F84">
        <f>SECOND(D84)</f>
        <v>19</v>
      </c>
      <c r="G84">
        <f>ROUND(E84+F84/60,2)</f>
        <v>2.3199999999999998</v>
      </c>
      <c r="H84">
        <f>60*E84+F84</f>
        <v>139</v>
      </c>
      <c r="I84" s="3">
        <f>5*(3600/H84)</f>
        <v>129.49640287769785</v>
      </c>
      <c r="J84" s="16">
        <f t="shared" si="2"/>
        <v>0</v>
      </c>
      <c r="K84" s="17">
        <f t="shared" si="3"/>
        <v>4</v>
      </c>
    </row>
    <row r="85" spans="1:11" x14ac:dyDescent="0.25">
      <c r="A85" s="4" t="s">
        <v>362</v>
      </c>
      <c r="B85" s="1">
        <v>0.61457899999999999</v>
      </c>
      <c r="C85" s="1">
        <v>0.61297100000000004</v>
      </c>
      <c r="D85" s="1">
        <f>IF(B85&gt;C85,B85-C85,C85-B85)</f>
        <v>1.6079999999999428E-3</v>
      </c>
      <c r="E85">
        <f>MINUTE(D85)</f>
        <v>2</v>
      </c>
      <c r="F85">
        <f>SECOND(D85)</f>
        <v>19</v>
      </c>
      <c r="G85">
        <f>ROUND(E85+F85/60,2)</f>
        <v>2.3199999999999998</v>
      </c>
      <c r="H85">
        <f>60*E85+F85</f>
        <v>139</v>
      </c>
      <c r="I85" s="3">
        <f>5*(3600/H85)</f>
        <v>129.49640287769785</v>
      </c>
      <c r="J85" s="16">
        <f t="shared" si="2"/>
        <v>0</v>
      </c>
      <c r="K85" s="17">
        <f t="shared" si="3"/>
        <v>14</v>
      </c>
    </row>
    <row r="86" spans="1:11" x14ac:dyDescent="0.25">
      <c r="A86" s="4" t="s">
        <v>48</v>
      </c>
      <c r="B86" s="1">
        <v>0.29613200000000001</v>
      </c>
      <c r="C86" s="1">
        <v>0.29450799999999999</v>
      </c>
      <c r="D86" s="1">
        <f>IF(B86&gt;C86,B86-C86,C86-B86)</f>
        <v>1.6240000000000143E-3</v>
      </c>
      <c r="E86">
        <f>MINUTE(D86)</f>
        <v>2</v>
      </c>
      <c r="F86">
        <f>SECOND(D86)</f>
        <v>20</v>
      </c>
      <c r="G86">
        <f>ROUND(E86+F86/60,2)</f>
        <v>2.33</v>
      </c>
      <c r="H86">
        <f>60*E86+F86</f>
        <v>140</v>
      </c>
      <c r="I86" s="3">
        <f>5*(3600/H86)</f>
        <v>128.57142857142858</v>
      </c>
      <c r="J86" s="16">
        <f t="shared" si="2"/>
        <v>0</v>
      </c>
      <c r="K86" s="17">
        <f t="shared" si="3"/>
        <v>7</v>
      </c>
    </row>
    <row r="87" spans="1:11" x14ac:dyDescent="0.25">
      <c r="A87" s="4" t="s">
        <v>117</v>
      </c>
      <c r="B87" s="1">
        <v>0.42769200000000002</v>
      </c>
      <c r="C87" s="1">
        <v>0.42931599999999998</v>
      </c>
      <c r="D87" s="1">
        <f>IF(B87&gt;C87,B87-C87,C87-B87)</f>
        <v>1.6239999999999588E-3</v>
      </c>
      <c r="E87">
        <f>MINUTE(D87)</f>
        <v>2</v>
      </c>
      <c r="F87">
        <f>SECOND(D87)</f>
        <v>20</v>
      </c>
      <c r="G87">
        <f>ROUND(E87+F87/60,2)</f>
        <v>2.33</v>
      </c>
      <c r="H87">
        <f>60*E87+F87</f>
        <v>140</v>
      </c>
      <c r="I87" s="3">
        <f>5*(3600/H87)</f>
        <v>128.57142857142858</v>
      </c>
      <c r="J87" s="16">
        <f t="shared" si="2"/>
        <v>0</v>
      </c>
      <c r="K87" s="17">
        <f t="shared" si="3"/>
        <v>10</v>
      </c>
    </row>
    <row r="88" spans="1:11" x14ac:dyDescent="0.25">
      <c r="A88" s="4" t="s">
        <v>41</v>
      </c>
      <c r="B88" s="1">
        <v>0.90852699999999997</v>
      </c>
      <c r="C88" s="1">
        <v>0.90690300000000001</v>
      </c>
      <c r="D88" s="1">
        <f>IF(B88&gt;C88,B88-C88,C88-B88)</f>
        <v>1.6239999999999588E-3</v>
      </c>
      <c r="E88">
        <f>MINUTE(D88)</f>
        <v>2</v>
      </c>
      <c r="F88">
        <f>SECOND(D88)</f>
        <v>20</v>
      </c>
      <c r="G88">
        <f>ROUND(E88+F88/60,2)</f>
        <v>2.33</v>
      </c>
      <c r="H88">
        <f>60*E88+F88</f>
        <v>140</v>
      </c>
      <c r="I88" s="3">
        <f>5*(3600/H88)</f>
        <v>128.57142857142858</v>
      </c>
      <c r="J88" s="16">
        <f t="shared" si="2"/>
        <v>0</v>
      </c>
      <c r="K88" s="17">
        <f t="shared" si="3"/>
        <v>21</v>
      </c>
    </row>
    <row r="89" spans="1:11" x14ac:dyDescent="0.25">
      <c r="A89" s="4" t="s">
        <v>56</v>
      </c>
      <c r="B89" s="1">
        <v>0.34593800000000002</v>
      </c>
      <c r="C89" s="1">
        <v>0.34431400000000001</v>
      </c>
      <c r="D89" s="1">
        <f>IF(B89&gt;C89,B89-C89,C89-B89)</f>
        <v>1.6240000000000143E-3</v>
      </c>
      <c r="E89">
        <f>MINUTE(D89)</f>
        <v>2</v>
      </c>
      <c r="F89">
        <f>SECOND(D89)</f>
        <v>20</v>
      </c>
      <c r="G89">
        <f>ROUND(E89+F89/60,2)</f>
        <v>2.33</v>
      </c>
      <c r="H89">
        <f>60*E89+F89</f>
        <v>140</v>
      </c>
      <c r="I89" s="3">
        <f>5*(3600/H89)</f>
        <v>128.57142857142858</v>
      </c>
      <c r="J89" s="16">
        <f t="shared" si="2"/>
        <v>0</v>
      </c>
      <c r="K89" s="17">
        <f t="shared" si="3"/>
        <v>8</v>
      </c>
    </row>
    <row r="90" spans="1:11" x14ac:dyDescent="0.25">
      <c r="A90" s="4" t="s">
        <v>111</v>
      </c>
      <c r="B90" s="1">
        <v>0.37411299999999997</v>
      </c>
      <c r="C90" s="1">
        <v>0.37249300000000002</v>
      </c>
      <c r="D90" s="1">
        <f>IF(B90&gt;C90,B90-C90,C90-B90)</f>
        <v>1.6199999999999548E-3</v>
      </c>
      <c r="E90">
        <f>MINUTE(D90)</f>
        <v>2</v>
      </c>
      <c r="F90">
        <f>SECOND(D90)</f>
        <v>20</v>
      </c>
      <c r="G90">
        <f>ROUND(E90+F90/60,2)</f>
        <v>2.33</v>
      </c>
      <c r="H90">
        <f>60*E90+F90</f>
        <v>140</v>
      </c>
      <c r="I90" s="3">
        <f>5*(3600/H90)</f>
        <v>128.57142857142858</v>
      </c>
      <c r="J90" s="16">
        <f t="shared" si="2"/>
        <v>0</v>
      </c>
      <c r="K90" s="17">
        <f t="shared" si="3"/>
        <v>8</v>
      </c>
    </row>
    <row r="91" spans="1:11" x14ac:dyDescent="0.25">
      <c r="A91" s="4" t="s">
        <v>159</v>
      </c>
      <c r="B91" s="1">
        <v>0.37415799999999999</v>
      </c>
      <c r="C91" s="1">
        <v>0.375778</v>
      </c>
      <c r="D91" s="1">
        <f>IF(B91&gt;C91,B91-C91,C91-B91)</f>
        <v>1.6200000000000103E-3</v>
      </c>
      <c r="E91">
        <f>MINUTE(D91)</f>
        <v>2</v>
      </c>
      <c r="F91">
        <f>SECOND(D91)</f>
        <v>20</v>
      </c>
      <c r="G91">
        <f>ROUND(E91+F91/60,2)</f>
        <v>2.33</v>
      </c>
      <c r="H91">
        <f>60*E91+F91</f>
        <v>140</v>
      </c>
      <c r="I91" s="3">
        <f>5*(3600/H91)</f>
        <v>128.57142857142858</v>
      </c>
      <c r="J91" s="16">
        <f t="shared" si="2"/>
        <v>0</v>
      </c>
      <c r="K91" s="17">
        <f t="shared" si="3"/>
        <v>8</v>
      </c>
    </row>
    <row r="92" spans="1:11" x14ac:dyDescent="0.25">
      <c r="A92" s="4" t="s">
        <v>275</v>
      </c>
      <c r="B92" s="1">
        <v>0.94390099999999999</v>
      </c>
      <c r="C92" s="1">
        <v>0.94228100000000004</v>
      </c>
      <c r="D92" s="1">
        <f>IF(B92&gt;C92,B92-C92,C92-B92)</f>
        <v>1.6199999999999548E-3</v>
      </c>
      <c r="E92">
        <f>MINUTE(D92)</f>
        <v>2</v>
      </c>
      <c r="F92">
        <f>SECOND(D92)</f>
        <v>20</v>
      </c>
      <c r="G92">
        <f>ROUND(E92+F92/60,2)</f>
        <v>2.33</v>
      </c>
      <c r="H92">
        <f>60*E92+F92</f>
        <v>140</v>
      </c>
      <c r="I92" s="3">
        <f>5*(3600/H92)</f>
        <v>128.57142857142858</v>
      </c>
      <c r="J92" s="16">
        <f t="shared" si="2"/>
        <v>0</v>
      </c>
      <c r="K92" s="17">
        <f t="shared" si="3"/>
        <v>22</v>
      </c>
    </row>
    <row r="93" spans="1:11" x14ac:dyDescent="0.25">
      <c r="A93" s="4" t="s">
        <v>349</v>
      </c>
      <c r="B93" s="1">
        <v>0.62740099999999999</v>
      </c>
      <c r="C93" s="1">
        <v>0.62578100000000003</v>
      </c>
      <c r="D93" s="1">
        <f>IF(B93&gt;C93,B93-C93,C93-B93)</f>
        <v>1.6199999999999548E-3</v>
      </c>
      <c r="E93">
        <f>MINUTE(D93)</f>
        <v>2</v>
      </c>
      <c r="F93">
        <f>SECOND(D93)</f>
        <v>20</v>
      </c>
      <c r="G93">
        <f>ROUND(E93+F93/60,2)</f>
        <v>2.33</v>
      </c>
      <c r="H93">
        <f>60*E93+F93</f>
        <v>140</v>
      </c>
      <c r="I93" s="3">
        <f>5*(3600/H93)</f>
        <v>128.57142857142858</v>
      </c>
      <c r="J93" s="16">
        <f t="shared" si="2"/>
        <v>0</v>
      </c>
      <c r="K93" s="17">
        <f t="shared" si="3"/>
        <v>15</v>
      </c>
    </row>
    <row r="94" spans="1:11" x14ac:dyDescent="0.25">
      <c r="A94" s="4" t="s">
        <v>100</v>
      </c>
      <c r="B94" s="1">
        <v>0.76018399999999997</v>
      </c>
      <c r="C94" s="1">
        <v>0.75855600000000001</v>
      </c>
      <c r="D94" s="1">
        <f>IF(B94&gt;C94,B94-C94,C94-B94)</f>
        <v>1.6279999999999628E-3</v>
      </c>
      <c r="E94">
        <f>MINUTE(D94)</f>
        <v>2</v>
      </c>
      <c r="F94">
        <f>SECOND(D94)</f>
        <v>21</v>
      </c>
      <c r="G94">
        <f>ROUND(E94+F94/60,2)</f>
        <v>2.35</v>
      </c>
      <c r="H94">
        <f>60*E94+F94</f>
        <v>141</v>
      </c>
      <c r="I94" s="3">
        <f>5*(3600/H94)</f>
        <v>127.65957446808511</v>
      </c>
      <c r="J94" s="16">
        <f t="shared" si="2"/>
        <v>0</v>
      </c>
      <c r="K94" s="17">
        <f t="shared" si="3"/>
        <v>18</v>
      </c>
    </row>
    <row r="95" spans="1:11" x14ac:dyDescent="0.25">
      <c r="A95" s="4" t="s">
        <v>110</v>
      </c>
      <c r="B95" s="1">
        <v>0.167017</v>
      </c>
      <c r="C95" s="1">
        <v>0.16538900000000001</v>
      </c>
      <c r="D95" s="1">
        <f>IF(B95&gt;C95,B95-C95,C95-B95)</f>
        <v>1.6279999999999906E-3</v>
      </c>
      <c r="E95">
        <f>MINUTE(D95)</f>
        <v>2</v>
      </c>
      <c r="F95">
        <f>SECOND(D95)</f>
        <v>21</v>
      </c>
      <c r="G95">
        <f>ROUND(E95+F95/60,2)</f>
        <v>2.35</v>
      </c>
      <c r="H95">
        <f>60*E95+F95</f>
        <v>141</v>
      </c>
      <c r="I95" s="3">
        <f>5*(3600/H95)</f>
        <v>127.65957446808511</v>
      </c>
      <c r="J95" s="16">
        <f t="shared" si="2"/>
        <v>0</v>
      </c>
      <c r="K95" s="17">
        <f t="shared" si="3"/>
        <v>4</v>
      </c>
    </row>
    <row r="96" spans="1:11" x14ac:dyDescent="0.25">
      <c r="A96" s="4" t="s">
        <v>125</v>
      </c>
      <c r="B96" s="1">
        <v>0.37008999999999997</v>
      </c>
      <c r="C96" s="1">
        <v>0.368454</v>
      </c>
      <c r="D96" s="1">
        <f>IF(B96&gt;C96,B96-C96,C96-B96)</f>
        <v>1.6359999999999708E-3</v>
      </c>
      <c r="E96">
        <f>MINUTE(D96)</f>
        <v>2</v>
      </c>
      <c r="F96">
        <f>SECOND(D96)</f>
        <v>21</v>
      </c>
      <c r="G96">
        <f>ROUND(E96+F96/60,2)</f>
        <v>2.35</v>
      </c>
      <c r="H96">
        <f>60*E96+F96</f>
        <v>141</v>
      </c>
      <c r="I96" s="3">
        <f>5*(3600/H96)</f>
        <v>127.65957446808511</v>
      </c>
      <c r="J96" s="16">
        <f t="shared" si="2"/>
        <v>0</v>
      </c>
      <c r="K96" s="17">
        <f t="shared" si="3"/>
        <v>8</v>
      </c>
    </row>
    <row r="97" spans="1:11" x14ac:dyDescent="0.25">
      <c r="A97" s="4" t="s">
        <v>153</v>
      </c>
      <c r="B97" s="1">
        <v>0.53429599999999999</v>
      </c>
      <c r="C97" s="1">
        <v>0.53593199999999996</v>
      </c>
      <c r="D97" s="1">
        <f>IF(B97&gt;C97,B97-C97,C97-B97)</f>
        <v>1.6359999999999708E-3</v>
      </c>
      <c r="E97">
        <f>MINUTE(D97)</f>
        <v>2</v>
      </c>
      <c r="F97">
        <f>SECOND(D97)</f>
        <v>21</v>
      </c>
      <c r="G97">
        <f>ROUND(E97+F97/60,2)</f>
        <v>2.35</v>
      </c>
      <c r="H97">
        <f>60*E97+F97</f>
        <v>141</v>
      </c>
      <c r="I97" s="3">
        <f>5*(3600/H97)</f>
        <v>127.65957446808511</v>
      </c>
      <c r="J97" s="16">
        <f t="shared" si="2"/>
        <v>0</v>
      </c>
      <c r="K97" s="17">
        <f t="shared" si="3"/>
        <v>12</v>
      </c>
    </row>
    <row r="98" spans="1:11" x14ac:dyDescent="0.25">
      <c r="A98" s="4" t="s">
        <v>372</v>
      </c>
      <c r="B98" s="1">
        <v>0.26910400000000001</v>
      </c>
      <c r="C98" s="1">
        <v>0.27073199999999997</v>
      </c>
      <c r="D98" s="1">
        <f>IF(B98&gt;C98,B98-C98,C98-B98)</f>
        <v>1.6279999999999628E-3</v>
      </c>
      <c r="E98">
        <f>MINUTE(D98)</f>
        <v>2</v>
      </c>
      <c r="F98">
        <f>SECOND(D98)</f>
        <v>21</v>
      </c>
      <c r="G98">
        <f>ROUND(E98+F98/60,2)</f>
        <v>2.35</v>
      </c>
      <c r="H98">
        <f>60*E98+F98</f>
        <v>141</v>
      </c>
      <c r="I98" s="3">
        <f>5*(3600/H98)</f>
        <v>127.65957446808511</v>
      </c>
      <c r="J98" s="16">
        <f t="shared" si="2"/>
        <v>0</v>
      </c>
      <c r="K98" s="17">
        <f t="shared" si="3"/>
        <v>6</v>
      </c>
    </row>
    <row r="99" spans="1:11" x14ac:dyDescent="0.25">
      <c r="A99" s="4" t="s">
        <v>83</v>
      </c>
      <c r="B99" s="1">
        <v>0.99456699999999998</v>
      </c>
      <c r="C99" s="1">
        <v>0.99620699999999995</v>
      </c>
      <c r="D99" s="1">
        <f>IF(B99&gt;C99,B99-C99,C99-B99)</f>
        <v>1.6399999999999748E-3</v>
      </c>
      <c r="E99">
        <f>MINUTE(D99)</f>
        <v>2</v>
      </c>
      <c r="F99">
        <f>SECOND(D99)</f>
        <v>22</v>
      </c>
      <c r="G99">
        <f>ROUND(E99+F99/60,2)</f>
        <v>2.37</v>
      </c>
      <c r="H99">
        <f>60*E99+F99</f>
        <v>142</v>
      </c>
      <c r="I99" s="3">
        <f>5*(3600/H99)</f>
        <v>126.7605633802817</v>
      </c>
      <c r="J99" s="16">
        <f t="shared" si="2"/>
        <v>0</v>
      </c>
      <c r="K99" s="17">
        <f t="shared" si="3"/>
        <v>23</v>
      </c>
    </row>
    <row r="100" spans="1:11" x14ac:dyDescent="0.25">
      <c r="A100" s="4" t="s">
        <v>103</v>
      </c>
      <c r="B100" s="1">
        <v>0.28323100000000001</v>
      </c>
      <c r="C100" s="1">
        <v>0.28487099999999999</v>
      </c>
      <c r="D100" s="1">
        <f>IF(B100&gt;C100,B100-C100,C100-B100)</f>
        <v>1.6399999999999748E-3</v>
      </c>
      <c r="E100">
        <f>MINUTE(D100)</f>
        <v>2</v>
      </c>
      <c r="F100">
        <f>SECOND(D100)</f>
        <v>22</v>
      </c>
      <c r="G100">
        <f>ROUND(E100+F100/60,2)</f>
        <v>2.37</v>
      </c>
      <c r="H100">
        <f>60*E100+F100</f>
        <v>142</v>
      </c>
      <c r="I100" s="3">
        <f>5*(3600/H100)</f>
        <v>126.7605633802817</v>
      </c>
      <c r="J100" s="16">
        <f t="shared" si="2"/>
        <v>0</v>
      </c>
      <c r="K100" s="17">
        <f t="shared" si="3"/>
        <v>6</v>
      </c>
    </row>
    <row r="101" spans="1:11" x14ac:dyDescent="0.25">
      <c r="A101" s="4" t="s">
        <v>137</v>
      </c>
      <c r="B101" s="1">
        <v>0.15091399999999999</v>
      </c>
      <c r="C101" s="1">
        <v>0.14927399999999999</v>
      </c>
      <c r="D101" s="1">
        <f>IF(B101&gt;C101,B101-C101,C101-B101)</f>
        <v>1.6400000000000026E-3</v>
      </c>
      <c r="E101">
        <f>MINUTE(D101)</f>
        <v>2</v>
      </c>
      <c r="F101">
        <f>SECOND(D101)</f>
        <v>22</v>
      </c>
      <c r="G101">
        <f>ROUND(E101+F101/60,2)</f>
        <v>2.37</v>
      </c>
      <c r="H101">
        <f>60*E101+F101</f>
        <v>142</v>
      </c>
      <c r="I101" s="3">
        <f>5*(3600/H101)</f>
        <v>126.7605633802817</v>
      </c>
      <c r="J101" s="16">
        <f t="shared" si="2"/>
        <v>0</v>
      </c>
      <c r="K101" s="17">
        <f t="shared" si="3"/>
        <v>3</v>
      </c>
    </row>
    <row r="102" spans="1:11" x14ac:dyDescent="0.25">
      <c r="A102" s="4" t="s">
        <v>57</v>
      </c>
      <c r="B102" s="1">
        <v>0.66941799999999996</v>
      </c>
      <c r="C102" s="1">
        <v>0.66777399999999998</v>
      </c>
      <c r="D102" s="1">
        <f>IF(B102&gt;C102,B102-C102,C102-B102)</f>
        <v>1.6439999999999788E-3</v>
      </c>
      <c r="E102">
        <f>MINUTE(D102)</f>
        <v>2</v>
      </c>
      <c r="F102">
        <f>SECOND(D102)</f>
        <v>22</v>
      </c>
      <c r="G102">
        <f>ROUND(E102+F102/60,2)</f>
        <v>2.37</v>
      </c>
      <c r="H102">
        <f>60*E102+F102</f>
        <v>142</v>
      </c>
      <c r="I102" s="3">
        <f>5*(3600/H102)</f>
        <v>126.7605633802817</v>
      </c>
      <c r="J102" s="16">
        <f t="shared" si="2"/>
        <v>0</v>
      </c>
      <c r="K102" s="17">
        <f t="shared" si="3"/>
        <v>16</v>
      </c>
    </row>
    <row r="103" spans="1:11" x14ac:dyDescent="0.25">
      <c r="A103" s="4" t="s">
        <v>175</v>
      </c>
      <c r="B103" s="1">
        <v>0.832403</v>
      </c>
      <c r="C103" s="1">
        <v>0.83075900000000003</v>
      </c>
      <c r="D103" s="1">
        <f>IF(B103&gt;C103,B103-C103,C103-B103)</f>
        <v>1.6439999999999788E-3</v>
      </c>
      <c r="E103">
        <f>MINUTE(D103)</f>
        <v>2</v>
      </c>
      <c r="F103">
        <f>SECOND(D103)</f>
        <v>22</v>
      </c>
      <c r="G103">
        <f>ROUND(E103+F103/60,2)</f>
        <v>2.37</v>
      </c>
      <c r="H103">
        <f>60*E103+F103</f>
        <v>142</v>
      </c>
      <c r="I103" s="3">
        <f>5*(3600/H103)</f>
        <v>126.7605633802817</v>
      </c>
      <c r="J103" s="16">
        <f t="shared" si="2"/>
        <v>0</v>
      </c>
      <c r="K103" s="17">
        <f t="shared" si="3"/>
        <v>19</v>
      </c>
    </row>
    <row r="104" spans="1:11" x14ac:dyDescent="0.25">
      <c r="A104" s="4" t="s">
        <v>5</v>
      </c>
      <c r="B104" s="1">
        <v>0.52575099999999997</v>
      </c>
      <c r="C104" s="1">
        <v>0.52411099999999999</v>
      </c>
      <c r="D104" s="1">
        <f>IF(B104&gt;C104,B104-C104,C104-B104)</f>
        <v>1.6399999999999748E-3</v>
      </c>
      <c r="E104">
        <f>MINUTE(D104)</f>
        <v>2</v>
      </c>
      <c r="F104">
        <f>SECOND(D104)</f>
        <v>22</v>
      </c>
      <c r="G104">
        <f>ROUND(E104+F104/60,2)</f>
        <v>2.37</v>
      </c>
      <c r="H104">
        <f>60*E104+F104</f>
        <v>142</v>
      </c>
      <c r="I104" s="3">
        <f>5*(3600/H104)</f>
        <v>126.7605633802817</v>
      </c>
      <c r="J104" s="16">
        <f t="shared" si="2"/>
        <v>0</v>
      </c>
      <c r="K104" s="17">
        <f t="shared" si="3"/>
        <v>12</v>
      </c>
    </row>
    <row r="105" spans="1:11" x14ac:dyDescent="0.25">
      <c r="A105" s="4" t="s">
        <v>357</v>
      </c>
      <c r="B105" s="1">
        <v>0.63840600000000003</v>
      </c>
      <c r="C105" s="1">
        <v>0.64005400000000001</v>
      </c>
      <c r="D105" s="1">
        <f>IF(B105&gt;C105,B105-C105,C105-B105)</f>
        <v>1.6479999999999828E-3</v>
      </c>
      <c r="E105">
        <f>MINUTE(D105)</f>
        <v>2</v>
      </c>
      <c r="F105">
        <f>SECOND(D105)</f>
        <v>22</v>
      </c>
      <c r="G105">
        <f>ROUND(E105+F105/60,2)</f>
        <v>2.37</v>
      </c>
      <c r="H105">
        <f>60*E105+F105</f>
        <v>142</v>
      </c>
      <c r="I105" s="3">
        <f>5*(3600/H105)</f>
        <v>126.7605633802817</v>
      </c>
      <c r="J105" s="16">
        <f t="shared" si="2"/>
        <v>0</v>
      </c>
      <c r="K105" s="17">
        <f t="shared" si="3"/>
        <v>15</v>
      </c>
    </row>
    <row r="106" spans="1:11" x14ac:dyDescent="0.25">
      <c r="A106" s="4" t="s">
        <v>63</v>
      </c>
      <c r="B106" s="1">
        <v>0.122056</v>
      </c>
      <c r="C106" s="1">
        <v>0.12371600000000001</v>
      </c>
      <c r="D106" s="1">
        <f>IF(B106&gt;C106,B106-C106,C106-B106)</f>
        <v>1.6600000000000087E-3</v>
      </c>
      <c r="E106">
        <f>MINUTE(D106)</f>
        <v>2</v>
      </c>
      <c r="F106">
        <f>SECOND(D106)</f>
        <v>23</v>
      </c>
      <c r="G106">
        <f>ROUND(E106+F106/60,2)</f>
        <v>2.38</v>
      </c>
      <c r="H106">
        <f>60*E106+F106</f>
        <v>143</v>
      </c>
      <c r="I106" s="3">
        <f>5*(3600/H106)</f>
        <v>125.87412587412587</v>
      </c>
      <c r="J106" s="16">
        <f t="shared" si="2"/>
        <v>0</v>
      </c>
      <c r="K106" s="17">
        <f t="shared" si="3"/>
        <v>2</v>
      </c>
    </row>
    <row r="107" spans="1:11" x14ac:dyDescent="0.25">
      <c r="A107" s="4" t="s">
        <v>3</v>
      </c>
      <c r="B107" s="1">
        <v>0.29002600000000001</v>
      </c>
      <c r="C107" s="1">
        <v>0.291682</v>
      </c>
      <c r="D107" s="1">
        <f>IF(B107&gt;C107,B107-C107,C107-B107)</f>
        <v>1.6559999999999908E-3</v>
      </c>
      <c r="E107">
        <f>MINUTE(D107)</f>
        <v>2</v>
      </c>
      <c r="F107">
        <f>SECOND(D107)</f>
        <v>23</v>
      </c>
      <c r="G107">
        <f>ROUND(E107+F107/60,2)</f>
        <v>2.38</v>
      </c>
      <c r="H107">
        <f>60*E107+F107</f>
        <v>143</v>
      </c>
      <c r="I107" s="3">
        <f>5*(3600/H107)</f>
        <v>125.87412587412587</v>
      </c>
      <c r="J107" s="16">
        <f t="shared" si="2"/>
        <v>0</v>
      </c>
      <c r="K107" s="17">
        <f t="shared" si="3"/>
        <v>6</v>
      </c>
    </row>
    <row r="108" spans="1:11" x14ac:dyDescent="0.25">
      <c r="A108" s="4" t="s">
        <v>24</v>
      </c>
      <c r="B108" s="1">
        <v>0.55516799999999999</v>
      </c>
      <c r="C108" s="1">
        <v>0.55682399999999999</v>
      </c>
      <c r="D108" s="1">
        <f>IF(B108&gt;C108,B108-C108,C108-B108)</f>
        <v>1.6559999999999908E-3</v>
      </c>
      <c r="E108">
        <f>MINUTE(D108)</f>
        <v>2</v>
      </c>
      <c r="F108">
        <f>SECOND(D108)</f>
        <v>23</v>
      </c>
      <c r="G108">
        <f>ROUND(E108+F108/60,2)</f>
        <v>2.38</v>
      </c>
      <c r="H108">
        <f>60*E108+F108</f>
        <v>143</v>
      </c>
      <c r="I108" s="3">
        <f>5*(3600/H108)</f>
        <v>125.87412587412587</v>
      </c>
      <c r="J108" s="16">
        <f t="shared" si="2"/>
        <v>0</v>
      </c>
      <c r="K108" s="17">
        <f t="shared" si="3"/>
        <v>13</v>
      </c>
    </row>
    <row r="109" spans="1:11" x14ac:dyDescent="0.25">
      <c r="A109" s="4" t="s">
        <v>137</v>
      </c>
      <c r="B109" s="1">
        <v>0.78898900000000005</v>
      </c>
      <c r="C109" s="1">
        <v>0.78733299999999995</v>
      </c>
      <c r="D109" s="1">
        <f>IF(B109&gt;C109,B109-C109,C109-B109)</f>
        <v>1.6560000000001018E-3</v>
      </c>
      <c r="E109">
        <f>MINUTE(D109)</f>
        <v>2</v>
      </c>
      <c r="F109">
        <f>SECOND(D109)</f>
        <v>23</v>
      </c>
      <c r="G109">
        <f>ROUND(E109+F109/60,2)</f>
        <v>2.38</v>
      </c>
      <c r="H109">
        <f>60*E109+F109</f>
        <v>143</v>
      </c>
      <c r="I109" s="3">
        <f>5*(3600/H109)</f>
        <v>125.87412587412587</v>
      </c>
      <c r="J109" s="16">
        <f t="shared" si="2"/>
        <v>0</v>
      </c>
      <c r="K109" s="17">
        <f t="shared" si="3"/>
        <v>18</v>
      </c>
    </row>
    <row r="110" spans="1:11" x14ac:dyDescent="0.25">
      <c r="A110" s="4" t="s">
        <v>74</v>
      </c>
      <c r="B110" s="1">
        <v>0.30348399999999998</v>
      </c>
      <c r="C110" s="1">
        <v>0.30182799999999999</v>
      </c>
      <c r="D110" s="1">
        <f>IF(B110&gt;C110,B110-C110,C110-B110)</f>
        <v>1.6559999999999908E-3</v>
      </c>
      <c r="E110">
        <f>MINUTE(D110)</f>
        <v>2</v>
      </c>
      <c r="F110">
        <f>SECOND(D110)</f>
        <v>23</v>
      </c>
      <c r="G110">
        <f>ROUND(E110+F110/60,2)</f>
        <v>2.38</v>
      </c>
      <c r="H110">
        <f>60*E110+F110</f>
        <v>143</v>
      </c>
      <c r="I110" s="3">
        <f>5*(3600/H110)</f>
        <v>125.87412587412587</v>
      </c>
      <c r="J110" s="16">
        <f t="shared" si="2"/>
        <v>0</v>
      </c>
      <c r="K110" s="17">
        <f t="shared" si="3"/>
        <v>7</v>
      </c>
    </row>
    <row r="111" spans="1:11" x14ac:dyDescent="0.25">
      <c r="A111" s="4" t="s">
        <v>266</v>
      </c>
      <c r="B111" s="1">
        <v>0.431591</v>
      </c>
      <c r="C111" s="1">
        <v>0.43324699999999999</v>
      </c>
      <c r="D111" s="1">
        <f>IF(B111&gt;C111,B111-C111,C111-B111)</f>
        <v>1.6559999999999908E-3</v>
      </c>
      <c r="E111">
        <f>MINUTE(D111)</f>
        <v>2</v>
      </c>
      <c r="F111">
        <f>SECOND(D111)</f>
        <v>23</v>
      </c>
      <c r="G111">
        <f>ROUND(E111+F111/60,2)</f>
        <v>2.38</v>
      </c>
      <c r="H111">
        <f>60*E111+F111</f>
        <v>143</v>
      </c>
      <c r="I111" s="3">
        <f>5*(3600/H111)</f>
        <v>125.87412587412587</v>
      </c>
      <c r="J111" s="16">
        <f t="shared" si="2"/>
        <v>0</v>
      </c>
      <c r="K111" s="17">
        <f t="shared" si="3"/>
        <v>10</v>
      </c>
    </row>
    <row r="112" spans="1:11" x14ac:dyDescent="0.25">
      <c r="A112" s="4" t="s">
        <v>59</v>
      </c>
      <c r="B112" s="1">
        <v>0.54649099999999995</v>
      </c>
      <c r="C112" s="1">
        <v>0.54815899999999995</v>
      </c>
      <c r="D112" s="1">
        <f>IF(B112&gt;C112,B112-C112,C112-B112)</f>
        <v>1.6680000000000028E-3</v>
      </c>
      <c r="E112">
        <f>MINUTE(D112)</f>
        <v>2</v>
      </c>
      <c r="F112">
        <f>SECOND(D112)</f>
        <v>24</v>
      </c>
      <c r="G112">
        <f>ROUND(E112+F112/60,2)</f>
        <v>2.4</v>
      </c>
      <c r="H112">
        <f>60*E112+F112</f>
        <v>144</v>
      </c>
      <c r="I112" s="3">
        <f>5*(3600/H112)</f>
        <v>125</v>
      </c>
      <c r="J112" s="16">
        <f t="shared" si="2"/>
        <v>0</v>
      </c>
      <c r="K112" s="17">
        <f t="shared" si="3"/>
        <v>13</v>
      </c>
    </row>
    <row r="113" spans="1:11" x14ac:dyDescent="0.25">
      <c r="A113" s="4" t="s">
        <v>162</v>
      </c>
      <c r="B113" s="1">
        <v>2.4351000000000001E-2</v>
      </c>
      <c r="C113" s="1">
        <v>2.6023000000000001E-2</v>
      </c>
      <c r="D113" s="1">
        <f>IF(B113&gt;C113,B113-C113,C113-B113)</f>
        <v>1.6719999999999999E-3</v>
      </c>
      <c r="E113">
        <f>MINUTE(D113)</f>
        <v>2</v>
      </c>
      <c r="F113">
        <f>SECOND(D113)</f>
        <v>24</v>
      </c>
      <c r="G113">
        <f>ROUND(E113+F113/60,2)</f>
        <v>2.4</v>
      </c>
      <c r="H113">
        <f>60*E113+F113</f>
        <v>144</v>
      </c>
      <c r="I113" s="3">
        <f>5*(3600/H113)</f>
        <v>125</v>
      </c>
      <c r="J113" s="16">
        <f t="shared" si="2"/>
        <v>0</v>
      </c>
      <c r="K113" s="17">
        <f t="shared" si="3"/>
        <v>0</v>
      </c>
    </row>
    <row r="114" spans="1:11" x14ac:dyDescent="0.25">
      <c r="A114" s="4" t="s">
        <v>49</v>
      </c>
      <c r="B114" s="1">
        <v>0.76098399999999999</v>
      </c>
      <c r="C114" s="1">
        <v>0.75931599999999999</v>
      </c>
      <c r="D114" s="1">
        <f>IF(B114&gt;C114,B114-C114,C114-B114)</f>
        <v>1.6680000000000028E-3</v>
      </c>
      <c r="E114">
        <f>MINUTE(D114)</f>
        <v>2</v>
      </c>
      <c r="F114">
        <f>SECOND(D114)</f>
        <v>24</v>
      </c>
      <c r="G114">
        <f>ROUND(E114+F114/60,2)</f>
        <v>2.4</v>
      </c>
      <c r="H114">
        <f>60*E114+F114</f>
        <v>144</v>
      </c>
      <c r="I114" s="3">
        <f>5*(3600/H114)</f>
        <v>125</v>
      </c>
      <c r="J114" s="16">
        <f t="shared" si="2"/>
        <v>0</v>
      </c>
      <c r="K114" s="17">
        <f t="shared" si="3"/>
        <v>18</v>
      </c>
    </row>
    <row r="115" spans="1:11" x14ac:dyDescent="0.25">
      <c r="A115" s="4" t="s">
        <v>96</v>
      </c>
      <c r="B115" s="1">
        <v>0.116232</v>
      </c>
      <c r="C115" s="1">
        <v>0.11791600000000001</v>
      </c>
      <c r="D115" s="1">
        <f>IF(B115&gt;C115,B115-C115,C115-B115)</f>
        <v>1.6840000000000049E-3</v>
      </c>
      <c r="E115">
        <f>MINUTE(D115)</f>
        <v>2</v>
      </c>
      <c r="F115">
        <f>SECOND(D115)</f>
        <v>25</v>
      </c>
      <c r="G115">
        <f>ROUND(E115+F115/60,2)</f>
        <v>2.42</v>
      </c>
      <c r="H115">
        <f>60*E115+F115</f>
        <v>145</v>
      </c>
      <c r="I115" s="3">
        <f>5*(3600/H115)</f>
        <v>124.13793103448276</v>
      </c>
      <c r="J115" s="16">
        <f t="shared" si="2"/>
        <v>0</v>
      </c>
      <c r="K115" s="17">
        <f t="shared" si="3"/>
        <v>2</v>
      </c>
    </row>
    <row r="116" spans="1:11" x14ac:dyDescent="0.25">
      <c r="A116" s="8" t="s">
        <v>171</v>
      </c>
      <c r="B116" s="1">
        <v>0.60342499999999999</v>
      </c>
      <c r="C116" s="1">
        <v>0.605105</v>
      </c>
      <c r="D116" s="1">
        <f>IF(B116&gt;C116,B116-C116,C116-B116)</f>
        <v>1.6800000000000148E-3</v>
      </c>
      <c r="E116">
        <f>MINUTE(D116)</f>
        <v>2</v>
      </c>
      <c r="F116">
        <f>SECOND(D116)</f>
        <v>25</v>
      </c>
      <c r="G116">
        <f>ROUND(E116+F116/60,2)</f>
        <v>2.42</v>
      </c>
      <c r="H116">
        <f>60*E116+F116</f>
        <v>145</v>
      </c>
      <c r="I116" s="10">
        <f>5*(3600/H116)</f>
        <v>124.13793103448276</v>
      </c>
      <c r="J116" s="16">
        <f t="shared" si="2"/>
        <v>0</v>
      </c>
      <c r="K116" s="17">
        <f t="shared" si="3"/>
        <v>14</v>
      </c>
    </row>
    <row r="117" spans="1:11" x14ac:dyDescent="0.25">
      <c r="A117" s="4" t="s">
        <v>132</v>
      </c>
      <c r="B117" s="1">
        <v>4.0057000000000002E-2</v>
      </c>
      <c r="C117" s="1">
        <v>4.1741E-2</v>
      </c>
      <c r="D117" s="1">
        <f>IF(B117&gt;C117,B117-C117,C117-B117)</f>
        <v>1.683999999999998E-3</v>
      </c>
      <c r="E117">
        <f>MINUTE(D117)</f>
        <v>2</v>
      </c>
      <c r="F117">
        <f>SECOND(D117)</f>
        <v>25</v>
      </c>
      <c r="G117">
        <f>ROUND(E117+F117/60,2)</f>
        <v>2.42</v>
      </c>
      <c r="H117">
        <f>60*E117+F117</f>
        <v>145</v>
      </c>
      <c r="I117" s="3">
        <f>5*(3600/H117)</f>
        <v>124.13793103448276</v>
      </c>
      <c r="J117" s="16">
        <f t="shared" si="2"/>
        <v>0</v>
      </c>
      <c r="K117" s="17">
        <f t="shared" si="3"/>
        <v>0</v>
      </c>
    </row>
    <row r="118" spans="1:11" x14ac:dyDescent="0.25">
      <c r="A118" s="4" t="s">
        <v>110</v>
      </c>
      <c r="B118" s="1">
        <v>0.11290600000000001</v>
      </c>
      <c r="C118" s="1">
        <v>0.11459</v>
      </c>
      <c r="D118" s="1">
        <f>IF(B118&gt;C118,B118-C118,C118-B118)</f>
        <v>1.6839999999999911E-3</v>
      </c>
      <c r="E118">
        <f>MINUTE(D118)</f>
        <v>2</v>
      </c>
      <c r="F118">
        <f>SECOND(D118)</f>
        <v>25</v>
      </c>
      <c r="G118">
        <f>ROUND(E118+F118/60,2)</f>
        <v>2.42</v>
      </c>
      <c r="H118">
        <f>60*E118+F118</f>
        <v>145</v>
      </c>
      <c r="I118" s="3">
        <f>5*(3600/H118)</f>
        <v>124.13793103448276</v>
      </c>
      <c r="J118" s="16">
        <f t="shared" si="2"/>
        <v>0</v>
      </c>
      <c r="K118" s="17">
        <f t="shared" si="3"/>
        <v>2</v>
      </c>
    </row>
    <row r="119" spans="1:11" x14ac:dyDescent="0.25">
      <c r="A119" s="4" t="s">
        <v>220</v>
      </c>
      <c r="B119" s="1">
        <v>0.56824699999999995</v>
      </c>
      <c r="C119" s="1">
        <v>0.56993099999999997</v>
      </c>
      <c r="D119" s="1">
        <f>IF(B119&gt;C119,B119-C119,C119-B119)</f>
        <v>1.6840000000000188E-3</v>
      </c>
      <c r="E119">
        <f>MINUTE(D119)</f>
        <v>2</v>
      </c>
      <c r="F119">
        <f>SECOND(D119)</f>
        <v>25</v>
      </c>
      <c r="G119">
        <f>ROUND(E119+F119/60,2)</f>
        <v>2.42</v>
      </c>
      <c r="H119">
        <f>60*E119+F119</f>
        <v>145</v>
      </c>
      <c r="I119" s="3">
        <f>5*(3600/H119)</f>
        <v>124.13793103448276</v>
      </c>
      <c r="J119" s="16">
        <f t="shared" si="2"/>
        <v>0</v>
      </c>
      <c r="K119" s="17">
        <f t="shared" si="3"/>
        <v>13</v>
      </c>
    </row>
    <row r="120" spans="1:11" x14ac:dyDescent="0.25">
      <c r="A120" s="4" t="s">
        <v>351</v>
      </c>
      <c r="B120" s="1">
        <v>0.69694299999999998</v>
      </c>
      <c r="C120" s="1">
        <v>0.698627</v>
      </c>
      <c r="D120" s="1">
        <f>IF(B120&gt;C120,B120-C120,C120-B120)</f>
        <v>1.6840000000000188E-3</v>
      </c>
      <c r="E120">
        <f>MINUTE(D120)</f>
        <v>2</v>
      </c>
      <c r="F120">
        <f>SECOND(D120)</f>
        <v>25</v>
      </c>
      <c r="G120">
        <f>ROUND(E120+F120/60,2)</f>
        <v>2.42</v>
      </c>
      <c r="H120">
        <f>60*E120+F120</f>
        <v>145</v>
      </c>
      <c r="I120" s="3">
        <f>5*(3600/H120)</f>
        <v>124.13793103448276</v>
      </c>
      <c r="J120" s="16">
        <f t="shared" si="2"/>
        <v>0</v>
      </c>
      <c r="K120" s="17">
        <f t="shared" si="3"/>
        <v>16</v>
      </c>
    </row>
    <row r="121" spans="1:11" x14ac:dyDescent="0.25">
      <c r="A121" s="4" t="s">
        <v>43</v>
      </c>
      <c r="B121" s="1">
        <v>0.74113899999999999</v>
      </c>
      <c r="C121" s="1">
        <v>0.74283100000000002</v>
      </c>
      <c r="D121" s="1">
        <f>IF(B121&gt;C121,B121-C121,C121-B121)</f>
        <v>1.6920000000000268E-3</v>
      </c>
      <c r="E121">
        <f>MINUTE(D121)</f>
        <v>2</v>
      </c>
      <c r="F121">
        <f>SECOND(D121)</f>
        <v>26</v>
      </c>
      <c r="G121">
        <f>ROUND(E121+F121/60,2)</f>
        <v>2.4300000000000002</v>
      </c>
      <c r="H121">
        <f>60*E121+F121</f>
        <v>146</v>
      </c>
      <c r="I121" s="3">
        <f>5*(3600/H121)</f>
        <v>123.2876712328767</v>
      </c>
      <c r="J121" s="16">
        <f t="shared" si="2"/>
        <v>0</v>
      </c>
      <c r="K121" s="17">
        <f t="shared" si="3"/>
        <v>17</v>
      </c>
    </row>
    <row r="122" spans="1:11" x14ac:dyDescent="0.25">
      <c r="A122" s="4" t="s">
        <v>120</v>
      </c>
      <c r="B122" s="1">
        <v>0.42249799999999998</v>
      </c>
      <c r="C122" s="1">
        <v>0.42418600000000001</v>
      </c>
      <c r="D122" s="1">
        <f>IF(B122&gt;C122,B122-C122,C122-B122)</f>
        <v>1.6880000000000228E-3</v>
      </c>
      <c r="E122">
        <f>MINUTE(D122)</f>
        <v>2</v>
      </c>
      <c r="F122">
        <f>SECOND(D122)</f>
        <v>26</v>
      </c>
      <c r="G122">
        <f>ROUND(E122+F122/60,2)</f>
        <v>2.4300000000000002</v>
      </c>
      <c r="H122">
        <f>60*E122+F122</f>
        <v>146</v>
      </c>
      <c r="I122" s="3">
        <f>5*(3600/H122)</f>
        <v>123.2876712328767</v>
      </c>
      <c r="J122" s="16">
        <f t="shared" si="2"/>
        <v>0</v>
      </c>
      <c r="K122" s="17">
        <f t="shared" si="3"/>
        <v>10</v>
      </c>
    </row>
    <row r="123" spans="1:11" x14ac:dyDescent="0.25">
      <c r="A123" s="4" t="s">
        <v>162</v>
      </c>
      <c r="B123" s="1">
        <v>0.90659900000000004</v>
      </c>
      <c r="C123" s="1">
        <v>0.90828699999999996</v>
      </c>
      <c r="D123" s="1">
        <f>IF(B123&gt;C123,B123-C123,C123-B123)</f>
        <v>1.6879999999999118E-3</v>
      </c>
      <c r="E123">
        <f>MINUTE(D123)</f>
        <v>2</v>
      </c>
      <c r="F123">
        <f>SECOND(D123)</f>
        <v>26</v>
      </c>
      <c r="G123">
        <f>ROUND(E123+F123/60,2)</f>
        <v>2.4300000000000002</v>
      </c>
      <c r="H123">
        <f>60*E123+F123</f>
        <v>146</v>
      </c>
      <c r="I123" s="3">
        <f>5*(3600/H123)</f>
        <v>123.2876712328767</v>
      </c>
      <c r="J123" s="16">
        <f t="shared" si="2"/>
        <v>0</v>
      </c>
      <c r="K123" s="17">
        <f t="shared" si="3"/>
        <v>21</v>
      </c>
    </row>
    <row r="124" spans="1:11" x14ac:dyDescent="0.25">
      <c r="A124" s="4" t="s">
        <v>79</v>
      </c>
      <c r="B124" s="1">
        <v>0.26555499999999999</v>
      </c>
      <c r="C124" s="1">
        <v>0.26725100000000002</v>
      </c>
      <c r="D124" s="1">
        <f>IF(B124&gt;C124,B124-C124,C124-B124)</f>
        <v>1.6960000000000308E-3</v>
      </c>
      <c r="E124">
        <f>MINUTE(D124)</f>
        <v>2</v>
      </c>
      <c r="F124">
        <f>SECOND(D124)</f>
        <v>27</v>
      </c>
      <c r="G124">
        <f>ROUND(E124+F124/60,2)</f>
        <v>2.4500000000000002</v>
      </c>
      <c r="H124">
        <f>60*E124+F124</f>
        <v>147</v>
      </c>
      <c r="I124" s="3">
        <f>5*(3600/H124)</f>
        <v>122.44897959183673</v>
      </c>
      <c r="J124" s="16">
        <f t="shared" si="2"/>
        <v>0</v>
      </c>
      <c r="K124" s="17">
        <f t="shared" si="3"/>
        <v>6</v>
      </c>
    </row>
    <row r="125" spans="1:11" x14ac:dyDescent="0.25">
      <c r="A125" s="4" t="s">
        <v>103</v>
      </c>
      <c r="B125" s="1">
        <v>0.95169999999999999</v>
      </c>
      <c r="C125" s="1">
        <v>0.95000399999999996</v>
      </c>
      <c r="D125" s="1">
        <f>IF(B125&gt;C125,B125-C125,C125-B125)</f>
        <v>1.6960000000000308E-3</v>
      </c>
      <c r="E125">
        <f>MINUTE(D125)</f>
        <v>2</v>
      </c>
      <c r="F125">
        <f>SECOND(D125)</f>
        <v>27</v>
      </c>
      <c r="G125">
        <f>ROUND(E125+F125/60,2)</f>
        <v>2.4500000000000002</v>
      </c>
      <c r="H125">
        <f>60*E125+F125</f>
        <v>147</v>
      </c>
      <c r="I125" s="3">
        <f>5*(3600/H125)</f>
        <v>122.44897959183673</v>
      </c>
      <c r="J125" s="16">
        <f t="shared" si="2"/>
        <v>0</v>
      </c>
      <c r="K125" s="17">
        <f t="shared" si="3"/>
        <v>22</v>
      </c>
    </row>
    <row r="126" spans="1:11" x14ac:dyDescent="0.25">
      <c r="A126" s="4" t="s">
        <v>140</v>
      </c>
      <c r="B126" s="1">
        <v>0.94930499999999995</v>
      </c>
      <c r="C126" s="1">
        <v>0.95100099999999999</v>
      </c>
      <c r="D126" s="1">
        <f>IF(B126&gt;C126,B126-C126,C126-B126)</f>
        <v>1.6960000000000308E-3</v>
      </c>
      <c r="E126">
        <f>MINUTE(D126)</f>
        <v>2</v>
      </c>
      <c r="F126">
        <f>SECOND(D126)</f>
        <v>27</v>
      </c>
      <c r="G126">
        <f>ROUND(E126+F126/60,2)</f>
        <v>2.4500000000000002</v>
      </c>
      <c r="H126">
        <f>60*E126+F126</f>
        <v>147</v>
      </c>
      <c r="I126" s="3">
        <f>5*(3600/H126)</f>
        <v>122.44897959183673</v>
      </c>
      <c r="J126" s="16">
        <f t="shared" si="2"/>
        <v>0</v>
      </c>
      <c r="K126" s="17">
        <f t="shared" si="3"/>
        <v>22</v>
      </c>
    </row>
    <row r="127" spans="1:11" x14ac:dyDescent="0.25">
      <c r="A127" s="4" t="s">
        <v>97</v>
      </c>
      <c r="B127" s="1">
        <v>0.217417</v>
      </c>
      <c r="C127" s="1">
        <v>0.215721</v>
      </c>
      <c r="D127" s="1">
        <f>IF(B127&gt;C127,B127-C127,C127-B127)</f>
        <v>1.6960000000000031E-3</v>
      </c>
      <c r="E127">
        <f>MINUTE(D127)</f>
        <v>2</v>
      </c>
      <c r="F127">
        <f>SECOND(D127)</f>
        <v>27</v>
      </c>
      <c r="G127">
        <f>ROUND(E127+F127/60,2)</f>
        <v>2.4500000000000002</v>
      </c>
      <c r="H127">
        <f>60*E127+F127</f>
        <v>147</v>
      </c>
      <c r="I127" s="3">
        <f>5*(3600/H127)</f>
        <v>122.44897959183673</v>
      </c>
      <c r="J127" s="16">
        <f t="shared" si="2"/>
        <v>0</v>
      </c>
      <c r="K127" s="17">
        <f t="shared" si="3"/>
        <v>5</v>
      </c>
    </row>
    <row r="128" spans="1:11" x14ac:dyDescent="0.25">
      <c r="A128" s="4" t="s">
        <v>41</v>
      </c>
      <c r="B128" s="1">
        <v>0.44640400000000002</v>
      </c>
      <c r="C128" s="1">
        <v>0.4481</v>
      </c>
      <c r="D128" s="1">
        <f>IF(B128&gt;C128,B128-C128,C128-B128)</f>
        <v>1.6959999999999753E-3</v>
      </c>
      <c r="E128">
        <f>MINUTE(D128)</f>
        <v>2</v>
      </c>
      <c r="F128">
        <f>SECOND(D128)</f>
        <v>27</v>
      </c>
      <c r="G128">
        <f>ROUND(E128+F128/60,2)</f>
        <v>2.4500000000000002</v>
      </c>
      <c r="H128">
        <f>60*E128+F128</f>
        <v>147</v>
      </c>
      <c r="I128" s="3">
        <f>5*(3600/H128)</f>
        <v>122.44897959183673</v>
      </c>
      <c r="J128" s="16">
        <f t="shared" si="2"/>
        <v>0</v>
      </c>
      <c r="K128" s="17">
        <f t="shared" si="3"/>
        <v>10</v>
      </c>
    </row>
    <row r="129" spans="1:11" x14ac:dyDescent="0.25">
      <c r="A129" s="4" t="s">
        <v>236</v>
      </c>
      <c r="B129" s="1">
        <v>0.74470800000000004</v>
      </c>
      <c r="C129" s="1">
        <v>0.74641199999999996</v>
      </c>
      <c r="D129" s="1">
        <f>IF(B129&gt;C129,B129-C129,C129-B129)</f>
        <v>1.7039999999999278E-3</v>
      </c>
      <c r="E129">
        <f>MINUTE(D129)</f>
        <v>2</v>
      </c>
      <c r="F129">
        <f>SECOND(D129)</f>
        <v>27</v>
      </c>
      <c r="G129">
        <f>ROUND(E129+F129/60,2)</f>
        <v>2.4500000000000002</v>
      </c>
      <c r="H129">
        <f>60*E129+F129</f>
        <v>147</v>
      </c>
      <c r="I129" s="3">
        <f>5*(3600/H129)</f>
        <v>122.44897959183673</v>
      </c>
      <c r="J129" s="16">
        <f t="shared" si="2"/>
        <v>0</v>
      </c>
      <c r="K129" s="17">
        <f t="shared" si="3"/>
        <v>17</v>
      </c>
    </row>
    <row r="130" spans="1:11" x14ac:dyDescent="0.25">
      <c r="A130" s="4" t="s">
        <v>128</v>
      </c>
      <c r="B130" s="1">
        <v>0.32555600000000001</v>
      </c>
      <c r="C130" s="1">
        <v>0.327264</v>
      </c>
      <c r="D130" s="1">
        <f>IF(B130&gt;C130,B130-C130,C130-B130)</f>
        <v>1.7079999999999873E-3</v>
      </c>
      <c r="E130">
        <f>MINUTE(D130)</f>
        <v>2</v>
      </c>
      <c r="F130">
        <f>SECOND(D130)</f>
        <v>28</v>
      </c>
      <c r="G130">
        <f>ROUND(E130+F130/60,2)</f>
        <v>2.4700000000000002</v>
      </c>
      <c r="H130">
        <f>60*E130+F130</f>
        <v>148</v>
      </c>
      <c r="I130" s="3">
        <f>5*(3600/H130)</f>
        <v>121.62162162162161</v>
      </c>
      <c r="J130" s="16">
        <f t="shared" si="2"/>
        <v>0</v>
      </c>
      <c r="K130" s="17">
        <f t="shared" si="3"/>
        <v>7</v>
      </c>
    </row>
    <row r="131" spans="1:11" x14ac:dyDescent="0.25">
      <c r="A131" s="4" t="s">
        <v>149</v>
      </c>
      <c r="B131" s="1">
        <v>0.68221900000000002</v>
      </c>
      <c r="C131" s="1">
        <v>0.68393499999999996</v>
      </c>
      <c r="D131" s="1">
        <f>IF(B131&gt;C131,B131-C131,C131-B131)</f>
        <v>1.7159999999999398E-3</v>
      </c>
      <c r="E131">
        <f>MINUTE(D131)</f>
        <v>2</v>
      </c>
      <c r="F131">
        <f>SECOND(D131)</f>
        <v>28</v>
      </c>
      <c r="G131">
        <f>ROUND(E131+F131/60,2)</f>
        <v>2.4700000000000002</v>
      </c>
      <c r="H131">
        <f>60*E131+F131</f>
        <v>148</v>
      </c>
      <c r="I131" s="3">
        <f>5*(3600/H131)</f>
        <v>121.62162162162161</v>
      </c>
      <c r="J131" s="16">
        <f t="shared" ref="J131:J194" si="4">IF(I131&gt;140,1,0)</f>
        <v>0</v>
      </c>
      <c r="K131" s="17">
        <f t="shared" ref="K131:K194" si="5">HOUR(B131)</f>
        <v>16</v>
      </c>
    </row>
    <row r="132" spans="1:11" x14ac:dyDescent="0.25">
      <c r="A132" s="4" t="s">
        <v>109</v>
      </c>
      <c r="B132" s="1">
        <v>0.98943999999999999</v>
      </c>
      <c r="C132" s="1">
        <v>0.98772800000000005</v>
      </c>
      <c r="D132" s="1">
        <f>IF(B132&gt;C132,B132-C132,C132-B132)</f>
        <v>1.7119999999999358E-3</v>
      </c>
      <c r="E132">
        <f>MINUTE(D132)</f>
        <v>2</v>
      </c>
      <c r="F132">
        <f>SECOND(D132)</f>
        <v>28</v>
      </c>
      <c r="G132">
        <f>ROUND(E132+F132/60,2)</f>
        <v>2.4700000000000002</v>
      </c>
      <c r="H132">
        <f>60*E132+F132</f>
        <v>148</v>
      </c>
      <c r="I132" s="3">
        <f>5*(3600/H132)</f>
        <v>121.62162162162161</v>
      </c>
      <c r="J132" s="16">
        <f t="shared" si="4"/>
        <v>0</v>
      </c>
      <c r="K132" s="17">
        <f t="shared" si="5"/>
        <v>23</v>
      </c>
    </row>
    <row r="133" spans="1:11" x14ac:dyDescent="0.25">
      <c r="A133" s="4" t="s">
        <v>64</v>
      </c>
      <c r="B133" s="1">
        <v>0.352136</v>
      </c>
      <c r="C133" s="1">
        <v>0.35384399999999999</v>
      </c>
      <c r="D133" s="1">
        <f>IF(B133&gt;C133,B133-C133,C133-B133)</f>
        <v>1.7079999999999873E-3</v>
      </c>
      <c r="E133">
        <f>MINUTE(D133)</f>
        <v>2</v>
      </c>
      <c r="F133">
        <f>SECOND(D133)</f>
        <v>28</v>
      </c>
      <c r="G133">
        <f>ROUND(E133+F133/60,2)</f>
        <v>2.4700000000000002</v>
      </c>
      <c r="H133">
        <f>60*E133+F133</f>
        <v>148</v>
      </c>
      <c r="I133" s="3">
        <f>5*(3600/H133)</f>
        <v>121.62162162162161</v>
      </c>
      <c r="J133" s="16">
        <f t="shared" si="4"/>
        <v>0</v>
      </c>
      <c r="K133" s="17">
        <f t="shared" si="5"/>
        <v>8</v>
      </c>
    </row>
    <row r="134" spans="1:11" x14ac:dyDescent="0.25">
      <c r="A134" s="4" t="s">
        <v>157</v>
      </c>
      <c r="B134" s="1">
        <v>0.72528599999999999</v>
      </c>
      <c r="C134" s="1">
        <v>0.72699800000000003</v>
      </c>
      <c r="D134" s="1">
        <f>IF(B134&gt;C134,B134-C134,C134-B134)</f>
        <v>1.7120000000000468E-3</v>
      </c>
      <c r="E134">
        <f>MINUTE(D134)</f>
        <v>2</v>
      </c>
      <c r="F134">
        <f>SECOND(D134)</f>
        <v>28</v>
      </c>
      <c r="G134">
        <f>ROUND(E134+F134/60,2)</f>
        <v>2.4700000000000002</v>
      </c>
      <c r="H134">
        <f>60*E134+F134</f>
        <v>148</v>
      </c>
      <c r="I134" s="3">
        <f>5*(3600/H134)</f>
        <v>121.62162162162161</v>
      </c>
      <c r="J134" s="16">
        <f t="shared" si="4"/>
        <v>0</v>
      </c>
      <c r="K134" s="17">
        <f t="shared" si="5"/>
        <v>17</v>
      </c>
    </row>
    <row r="135" spans="1:11" x14ac:dyDescent="0.25">
      <c r="A135" s="4" t="s">
        <v>238</v>
      </c>
      <c r="B135" s="1">
        <v>3.8924E-2</v>
      </c>
      <c r="C135" s="1">
        <v>3.7212000000000002E-2</v>
      </c>
      <c r="D135" s="1">
        <f>IF(B135&gt;C135,B135-C135,C135-B135)</f>
        <v>1.7119999999999982E-3</v>
      </c>
      <c r="E135">
        <f>MINUTE(D135)</f>
        <v>2</v>
      </c>
      <c r="F135">
        <f>SECOND(D135)</f>
        <v>28</v>
      </c>
      <c r="G135">
        <f>ROUND(E135+F135/60,2)</f>
        <v>2.4700000000000002</v>
      </c>
      <c r="H135">
        <f>60*E135+F135</f>
        <v>148</v>
      </c>
      <c r="I135" s="3">
        <f>5*(3600/H135)</f>
        <v>121.62162162162161</v>
      </c>
      <c r="J135" s="16">
        <f t="shared" si="4"/>
        <v>0</v>
      </c>
      <c r="K135" s="17">
        <f t="shared" si="5"/>
        <v>0</v>
      </c>
    </row>
    <row r="136" spans="1:11" x14ac:dyDescent="0.25">
      <c r="A136" s="4" t="s">
        <v>346</v>
      </c>
      <c r="B136" s="1">
        <v>0.11723</v>
      </c>
      <c r="C136" s="1">
        <v>0.115522</v>
      </c>
      <c r="D136" s="1">
        <f>IF(B136&gt;C136,B136-C136,C136-B136)</f>
        <v>1.7080000000000012E-3</v>
      </c>
      <c r="E136">
        <f>MINUTE(D136)</f>
        <v>2</v>
      </c>
      <c r="F136">
        <f>SECOND(D136)</f>
        <v>28</v>
      </c>
      <c r="G136">
        <f>ROUND(E136+F136/60,2)</f>
        <v>2.4700000000000002</v>
      </c>
      <c r="H136">
        <f>60*E136+F136</f>
        <v>148</v>
      </c>
      <c r="I136" s="3">
        <f>5*(3600/H136)</f>
        <v>121.62162162162161</v>
      </c>
      <c r="J136" s="16">
        <f t="shared" si="4"/>
        <v>0</v>
      </c>
      <c r="K136" s="17">
        <f t="shared" si="5"/>
        <v>2</v>
      </c>
    </row>
    <row r="137" spans="1:11" x14ac:dyDescent="0.25">
      <c r="A137" s="4" t="s">
        <v>381</v>
      </c>
      <c r="B137" s="1">
        <v>0.89447600000000005</v>
      </c>
      <c r="C137" s="1">
        <v>0.89619199999999999</v>
      </c>
      <c r="D137" s="1">
        <f>IF(B137&gt;C137,B137-C137,C137-B137)</f>
        <v>1.7159999999999398E-3</v>
      </c>
      <c r="E137">
        <f>MINUTE(D137)</f>
        <v>2</v>
      </c>
      <c r="F137">
        <f>SECOND(D137)</f>
        <v>28</v>
      </c>
      <c r="G137">
        <f>ROUND(E137+F137/60,2)</f>
        <v>2.4700000000000002</v>
      </c>
      <c r="H137">
        <f>60*E137+F137</f>
        <v>148</v>
      </c>
      <c r="I137" s="3">
        <f>5*(3600/H137)</f>
        <v>121.62162162162161</v>
      </c>
      <c r="J137" s="16">
        <f t="shared" si="4"/>
        <v>0</v>
      </c>
      <c r="K137" s="17">
        <f t="shared" si="5"/>
        <v>21</v>
      </c>
    </row>
    <row r="138" spans="1:11" x14ac:dyDescent="0.25">
      <c r="A138" s="4" t="s">
        <v>107</v>
      </c>
      <c r="B138" s="1">
        <v>0.36874600000000002</v>
      </c>
      <c r="C138" s="1">
        <v>0.37047400000000003</v>
      </c>
      <c r="D138" s="1">
        <f>IF(B138&gt;C138,B138-C138,C138-B138)</f>
        <v>1.7280000000000073E-3</v>
      </c>
      <c r="E138">
        <f>MINUTE(D138)</f>
        <v>2</v>
      </c>
      <c r="F138">
        <f>SECOND(D138)</f>
        <v>29</v>
      </c>
      <c r="G138">
        <f>ROUND(E138+F138/60,2)</f>
        <v>2.48</v>
      </c>
      <c r="H138">
        <f>60*E138+F138</f>
        <v>149</v>
      </c>
      <c r="I138" s="3">
        <f>5*(3600/H138)</f>
        <v>120.80536912751677</v>
      </c>
      <c r="J138" s="16">
        <f t="shared" si="4"/>
        <v>0</v>
      </c>
      <c r="K138" s="17">
        <f t="shared" si="5"/>
        <v>8</v>
      </c>
    </row>
    <row r="139" spans="1:11" x14ac:dyDescent="0.25">
      <c r="A139" s="4" t="s">
        <v>16</v>
      </c>
      <c r="B139" s="1">
        <v>0.90525999999999995</v>
      </c>
      <c r="C139" s="1">
        <v>0.90354000000000001</v>
      </c>
      <c r="D139" s="1">
        <f>IF(B139&gt;C139,B139-C139,C139-B139)</f>
        <v>1.7199999999999438E-3</v>
      </c>
      <c r="E139">
        <f>MINUTE(D139)</f>
        <v>2</v>
      </c>
      <c r="F139">
        <f>SECOND(D139)</f>
        <v>29</v>
      </c>
      <c r="G139">
        <f>ROUND(E139+F139/60,2)</f>
        <v>2.48</v>
      </c>
      <c r="H139">
        <f>60*E139+F139</f>
        <v>149</v>
      </c>
      <c r="I139" s="3">
        <f>5*(3600/H139)</f>
        <v>120.80536912751677</v>
      </c>
      <c r="J139" s="16">
        <f t="shared" si="4"/>
        <v>0</v>
      </c>
      <c r="K139" s="17">
        <f t="shared" si="5"/>
        <v>21</v>
      </c>
    </row>
    <row r="140" spans="1:11" x14ac:dyDescent="0.25">
      <c r="A140" s="4" t="s">
        <v>72</v>
      </c>
      <c r="B140" s="1">
        <v>0.848275</v>
      </c>
      <c r="C140" s="1">
        <v>0.84999499999999995</v>
      </c>
      <c r="D140" s="1">
        <f>IF(B140&gt;C140,B140-C140,C140-B140)</f>
        <v>1.7199999999999438E-3</v>
      </c>
      <c r="E140">
        <f>MINUTE(D140)</f>
        <v>2</v>
      </c>
      <c r="F140">
        <f>SECOND(D140)</f>
        <v>29</v>
      </c>
      <c r="G140">
        <f>ROUND(E140+F140/60,2)</f>
        <v>2.48</v>
      </c>
      <c r="H140">
        <f>60*E140+F140</f>
        <v>149</v>
      </c>
      <c r="I140" s="3">
        <f>5*(3600/H140)</f>
        <v>120.80536912751677</v>
      </c>
      <c r="J140" s="16">
        <f t="shared" si="4"/>
        <v>0</v>
      </c>
      <c r="K140" s="17">
        <f t="shared" si="5"/>
        <v>20</v>
      </c>
    </row>
    <row r="141" spans="1:11" x14ac:dyDescent="0.25">
      <c r="A141" s="4" t="s">
        <v>157</v>
      </c>
      <c r="B141" s="1">
        <v>0.82582299999999997</v>
      </c>
      <c r="C141" s="1">
        <v>0.82754700000000003</v>
      </c>
      <c r="D141" s="1">
        <f>IF(B141&gt;C141,B141-C141,C141-B141)</f>
        <v>1.7240000000000588E-3</v>
      </c>
      <c r="E141">
        <f>MINUTE(D141)</f>
        <v>2</v>
      </c>
      <c r="F141">
        <f>SECOND(D141)</f>
        <v>29</v>
      </c>
      <c r="G141">
        <f>ROUND(E141+F141/60,2)</f>
        <v>2.48</v>
      </c>
      <c r="H141">
        <f>60*E141+F141</f>
        <v>149</v>
      </c>
      <c r="I141" s="3">
        <f>5*(3600/H141)</f>
        <v>120.80536912751677</v>
      </c>
      <c r="J141" s="16">
        <f t="shared" si="4"/>
        <v>0</v>
      </c>
      <c r="K141" s="17">
        <f t="shared" si="5"/>
        <v>19</v>
      </c>
    </row>
    <row r="142" spans="1:11" x14ac:dyDescent="0.25">
      <c r="A142" s="4" t="s">
        <v>411</v>
      </c>
      <c r="B142" s="1">
        <v>0.51790700000000001</v>
      </c>
      <c r="C142" s="1">
        <v>0.51618299999999995</v>
      </c>
      <c r="D142" s="1">
        <f>IF(B142&gt;C142,B142-C142,C142-B142)</f>
        <v>1.7240000000000588E-3</v>
      </c>
      <c r="E142">
        <f>MINUTE(D142)</f>
        <v>2</v>
      </c>
      <c r="F142">
        <f>SECOND(D142)</f>
        <v>29</v>
      </c>
      <c r="G142">
        <f>ROUND(E142+F142/60,2)</f>
        <v>2.48</v>
      </c>
      <c r="H142">
        <f>60*E142+F142</f>
        <v>149</v>
      </c>
      <c r="I142" s="3">
        <f>5*(3600/H142)</f>
        <v>120.80536912751677</v>
      </c>
      <c r="J142" s="16">
        <f t="shared" si="4"/>
        <v>0</v>
      </c>
      <c r="K142" s="17">
        <f t="shared" si="5"/>
        <v>12</v>
      </c>
    </row>
    <row r="143" spans="1:11" x14ac:dyDescent="0.25">
      <c r="A143" s="4" t="s">
        <v>132</v>
      </c>
      <c r="B143" s="1">
        <v>0.64908500000000002</v>
      </c>
      <c r="C143" s="1">
        <v>0.65082499999999999</v>
      </c>
      <c r="D143" s="1">
        <f>IF(B143&gt;C143,B143-C143,C143-B143)</f>
        <v>1.7399999999999638E-3</v>
      </c>
      <c r="E143">
        <f>MINUTE(D143)</f>
        <v>2</v>
      </c>
      <c r="F143">
        <f>SECOND(D143)</f>
        <v>30</v>
      </c>
      <c r="G143">
        <f>ROUND(E143+F143/60,2)</f>
        <v>2.5</v>
      </c>
      <c r="H143">
        <f>60*E143+F143</f>
        <v>150</v>
      </c>
      <c r="I143" s="3">
        <f>5*(3600/H143)</f>
        <v>120</v>
      </c>
      <c r="J143" s="16">
        <f t="shared" si="4"/>
        <v>0</v>
      </c>
      <c r="K143" s="17">
        <f t="shared" si="5"/>
        <v>15</v>
      </c>
    </row>
    <row r="144" spans="1:11" x14ac:dyDescent="0.25">
      <c r="A144" s="4" t="s">
        <v>155</v>
      </c>
      <c r="B144" s="1">
        <v>0.38238299999999997</v>
      </c>
      <c r="C144" s="1">
        <v>0.38064700000000001</v>
      </c>
      <c r="D144" s="1">
        <f>IF(B144&gt;C144,B144-C144,C144-B144)</f>
        <v>1.7359999999999598E-3</v>
      </c>
      <c r="E144">
        <f>MINUTE(D144)</f>
        <v>2</v>
      </c>
      <c r="F144">
        <f>SECOND(D144)</f>
        <v>30</v>
      </c>
      <c r="G144">
        <f>ROUND(E144+F144/60,2)</f>
        <v>2.5</v>
      </c>
      <c r="H144">
        <f>60*E144+F144</f>
        <v>150</v>
      </c>
      <c r="I144" s="3">
        <f>5*(3600/H144)</f>
        <v>120</v>
      </c>
      <c r="J144" s="16">
        <f t="shared" si="4"/>
        <v>0</v>
      </c>
      <c r="K144" s="17">
        <f t="shared" si="5"/>
        <v>9</v>
      </c>
    </row>
    <row r="145" spans="1:11" x14ac:dyDescent="0.25">
      <c r="A145" s="4" t="s">
        <v>221</v>
      </c>
      <c r="B145" s="1">
        <v>0.83130700000000002</v>
      </c>
      <c r="C145" s="1">
        <v>0.82957099999999995</v>
      </c>
      <c r="D145" s="1">
        <f>IF(B145&gt;C145,B145-C145,C145-B145)</f>
        <v>1.7360000000000708E-3</v>
      </c>
      <c r="E145">
        <f>MINUTE(D145)</f>
        <v>2</v>
      </c>
      <c r="F145">
        <f>SECOND(D145)</f>
        <v>30</v>
      </c>
      <c r="G145">
        <f>ROUND(E145+F145/60,2)</f>
        <v>2.5</v>
      </c>
      <c r="H145">
        <f>60*E145+F145</f>
        <v>150</v>
      </c>
      <c r="I145" s="3">
        <f>5*(3600/H145)</f>
        <v>120</v>
      </c>
      <c r="J145" s="16">
        <f t="shared" si="4"/>
        <v>0</v>
      </c>
      <c r="K145" s="17">
        <f t="shared" si="5"/>
        <v>19</v>
      </c>
    </row>
    <row r="146" spans="1:11" x14ac:dyDescent="0.25">
      <c r="A146" s="4" t="s">
        <v>315</v>
      </c>
      <c r="B146" s="1">
        <v>0.91733100000000001</v>
      </c>
      <c r="C146" s="1">
        <v>0.91906299999999996</v>
      </c>
      <c r="D146" s="1">
        <f>IF(B146&gt;C146,B146-C146,C146-B146)</f>
        <v>1.7319999999999558E-3</v>
      </c>
      <c r="E146">
        <f>MINUTE(D146)</f>
        <v>2</v>
      </c>
      <c r="F146">
        <f>SECOND(D146)</f>
        <v>30</v>
      </c>
      <c r="G146">
        <f>ROUND(E146+F146/60,2)</f>
        <v>2.5</v>
      </c>
      <c r="H146">
        <f>60*E146+F146</f>
        <v>150</v>
      </c>
      <c r="I146" s="3">
        <f>5*(3600/H146)</f>
        <v>120</v>
      </c>
      <c r="J146" s="16">
        <f t="shared" si="4"/>
        <v>0</v>
      </c>
      <c r="K146" s="17">
        <f t="shared" si="5"/>
        <v>22</v>
      </c>
    </row>
    <row r="147" spans="1:11" x14ac:dyDescent="0.25">
      <c r="A147" s="8" t="s">
        <v>86</v>
      </c>
      <c r="B147" s="1">
        <v>0.386492</v>
      </c>
      <c r="C147" s="1">
        <v>0.38474799999999998</v>
      </c>
      <c r="D147" s="1">
        <f>IF(B147&gt;C147,B147-C147,C147-B147)</f>
        <v>1.7440000000000233E-3</v>
      </c>
      <c r="E147">
        <f>MINUTE(D147)</f>
        <v>2</v>
      </c>
      <c r="F147">
        <f>SECOND(D147)</f>
        <v>31</v>
      </c>
      <c r="G147">
        <f>ROUND(E147+F147/60,2)</f>
        <v>2.52</v>
      </c>
      <c r="H147">
        <f>60*E147+F147</f>
        <v>151</v>
      </c>
      <c r="I147" s="10">
        <f>5*(3600/H147)</f>
        <v>119.20529801324504</v>
      </c>
      <c r="J147" s="16">
        <f t="shared" si="4"/>
        <v>0</v>
      </c>
      <c r="K147" s="17">
        <f t="shared" si="5"/>
        <v>9</v>
      </c>
    </row>
    <row r="148" spans="1:11" x14ac:dyDescent="0.25">
      <c r="A148" s="4" t="s">
        <v>21</v>
      </c>
      <c r="B148" s="1">
        <v>0.84183399999999997</v>
      </c>
      <c r="C148" s="1">
        <v>0.840086</v>
      </c>
      <c r="D148" s="1">
        <f>IF(B148&gt;C148,B148-C148,C148-B148)</f>
        <v>1.7479999999999718E-3</v>
      </c>
      <c r="E148">
        <f>MINUTE(D148)</f>
        <v>2</v>
      </c>
      <c r="F148">
        <f>SECOND(D148)</f>
        <v>31</v>
      </c>
      <c r="G148">
        <f>ROUND(E148+F148/60,2)</f>
        <v>2.52</v>
      </c>
      <c r="H148">
        <f>60*E148+F148</f>
        <v>151</v>
      </c>
      <c r="I148" s="3">
        <f>5*(3600/H148)</f>
        <v>119.20529801324504</v>
      </c>
      <c r="J148" s="16">
        <f t="shared" si="4"/>
        <v>0</v>
      </c>
      <c r="K148" s="17">
        <f t="shared" si="5"/>
        <v>20</v>
      </c>
    </row>
    <row r="149" spans="1:11" x14ac:dyDescent="0.25">
      <c r="A149" s="4" t="s">
        <v>64</v>
      </c>
      <c r="B149" s="1">
        <v>0.43862400000000001</v>
      </c>
      <c r="C149" s="1">
        <v>0.43687599999999999</v>
      </c>
      <c r="D149" s="1">
        <f>IF(B149&gt;C149,B149-C149,C149-B149)</f>
        <v>1.7480000000000273E-3</v>
      </c>
      <c r="E149">
        <f>MINUTE(D149)</f>
        <v>2</v>
      </c>
      <c r="F149">
        <f>SECOND(D149)</f>
        <v>31</v>
      </c>
      <c r="G149">
        <f>ROUND(E149+F149/60,2)</f>
        <v>2.52</v>
      </c>
      <c r="H149">
        <f>60*E149+F149</f>
        <v>151</v>
      </c>
      <c r="I149" s="3">
        <f>5*(3600/H149)</f>
        <v>119.20529801324504</v>
      </c>
      <c r="J149" s="16">
        <f t="shared" si="4"/>
        <v>0</v>
      </c>
      <c r="K149" s="17">
        <f t="shared" si="5"/>
        <v>10</v>
      </c>
    </row>
    <row r="150" spans="1:11" x14ac:dyDescent="0.25">
      <c r="A150" s="4" t="s">
        <v>4</v>
      </c>
      <c r="B150" s="1">
        <v>0.16196199999999999</v>
      </c>
      <c r="C150" s="1">
        <v>0.16370999999999999</v>
      </c>
      <c r="D150" s="1">
        <f>IF(B150&gt;C150,B150-C150,C150-B150)</f>
        <v>1.7479999999999996E-3</v>
      </c>
      <c r="E150">
        <f>MINUTE(D150)</f>
        <v>2</v>
      </c>
      <c r="F150">
        <f>SECOND(D150)</f>
        <v>31</v>
      </c>
      <c r="G150">
        <f>ROUND(E150+F150/60,2)</f>
        <v>2.52</v>
      </c>
      <c r="H150">
        <f>60*E150+F150</f>
        <v>151</v>
      </c>
      <c r="I150" s="3">
        <f>5*(3600/H150)</f>
        <v>119.20529801324504</v>
      </c>
      <c r="J150" s="16">
        <f t="shared" si="4"/>
        <v>0</v>
      </c>
      <c r="K150" s="17">
        <f t="shared" si="5"/>
        <v>3</v>
      </c>
    </row>
    <row r="151" spans="1:11" x14ac:dyDescent="0.25">
      <c r="A151" s="4" t="s">
        <v>100</v>
      </c>
      <c r="B151" s="1">
        <v>0.56021500000000002</v>
      </c>
      <c r="C151" s="1">
        <v>0.56196699999999999</v>
      </c>
      <c r="D151" s="1">
        <f>IF(B151&gt;C151,B151-C151,C151-B151)</f>
        <v>1.7519999999999758E-3</v>
      </c>
      <c r="E151">
        <f>MINUTE(D151)</f>
        <v>2</v>
      </c>
      <c r="F151">
        <f>SECOND(D151)</f>
        <v>31</v>
      </c>
      <c r="G151">
        <f>ROUND(E151+F151/60,2)</f>
        <v>2.52</v>
      </c>
      <c r="H151">
        <f>60*E151+F151</f>
        <v>151</v>
      </c>
      <c r="I151" s="3">
        <f>5*(3600/H151)</f>
        <v>119.20529801324504</v>
      </c>
      <c r="J151" s="16">
        <f t="shared" si="4"/>
        <v>0</v>
      </c>
      <c r="K151" s="17">
        <f t="shared" si="5"/>
        <v>13</v>
      </c>
    </row>
    <row r="152" spans="1:11" x14ac:dyDescent="0.25">
      <c r="A152" s="4" t="s">
        <v>263</v>
      </c>
      <c r="B152" s="1">
        <v>3.39E-2</v>
      </c>
      <c r="C152" s="1">
        <v>3.2155999999999997E-2</v>
      </c>
      <c r="D152" s="1">
        <f>IF(B152&gt;C152,B152-C152,C152-B152)</f>
        <v>1.7440000000000025E-3</v>
      </c>
      <c r="E152">
        <f>MINUTE(D152)</f>
        <v>2</v>
      </c>
      <c r="F152">
        <f>SECOND(D152)</f>
        <v>31</v>
      </c>
      <c r="G152">
        <f>ROUND(E152+F152/60,2)</f>
        <v>2.52</v>
      </c>
      <c r="H152">
        <f>60*E152+F152</f>
        <v>151</v>
      </c>
      <c r="I152" s="3">
        <f>5*(3600/H152)</f>
        <v>119.20529801324504</v>
      </c>
      <c r="J152" s="16">
        <f t="shared" si="4"/>
        <v>0</v>
      </c>
      <c r="K152" s="17">
        <f t="shared" si="5"/>
        <v>0</v>
      </c>
    </row>
    <row r="153" spans="1:11" x14ac:dyDescent="0.25">
      <c r="A153" s="4" t="s">
        <v>68</v>
      </c>
      <c r="B153" s="1">
        <v>0.98681600000000003</v>
      </c>
      <c r="C153" s="1">
        <v>0.98857600000000001</v>
      </c>
      <c r="D153" s="1">
        <f>IF(B153&gt;C153,B153-C153,C153-B153)</f>
        <v>1.7599999999999838E-3</v>
      </c>
      <c r="E153">
        <f>MINUTE(D153)</f>
        <v>2</v>
      </c>
      <c r="F153">
        <f>SECOND(D153)</f>
        <v>32</v>
      </c>
      <c r="G153">
        <f>ROUND(E153+F153/60,2)</f>
        <v>2.5299999999999998</v>
      </c>
      <c r="H153">
        <f>60*E153+F153</f>
        <v>152</v>
      </c>
      <c r="I153" s="3">
        <f>5*(3600/H153)</f>
        <v>118.42105263157896</v>
      </c>
      <c r="J153" s="16">
        <f t="shared" si="4"/>
        <v>0</v>
      </c>
      <c r="K153" s="17">
        <f t="shared" si="5"/>
        <v>23</v>
      </c>
    </row>
    <row r="154" spans="1:11" x14ac:dyDescent="0.25">
      <c r="A154" s="4" t="s">
        <v>47</v>
      </c>
      <c r="B154" s="1">
        <v>0.76115200000000005</v>
      </c>
      <c r="C154" s="1">
        <v>0.75938799999999995</v>
      </c>
      <c r="D154" s="1">
        <f>IF(B154&gt;C154,B154-C154,C154-B154)</f>
        <v>1.7640000000000988E-3</v>
      </c>
      <c r="E154">
        <f>MINUTE(D154)</f>
        <v>2</v>
      </c>
      <c r="F154">
        <f>SECOND(D154)</f>
        <v>32</v>
      </c>
      <c r="G154">
        <f>ROUND(E154+F154/60,2)</f>
        <v>2.5299999999999998</v>
      </c>
      <c r="H154">
        <f>60*E154+F154</f>
        <v>152</v>
      </c>
      <c r="I154" s="3">
        <f>5*(3600/H154)</f>
        <v>118.42105263157896</v>
      </c>
      <c r="J154" s="16">
        <f t="shared" si="4"/>
        <v>0</v>
      </c>
      <c r="K154" s="17">
        <f t="shared" si="5"/>
        <v>18</v>
      </c>
    </row>
    <row r="155" spans="1:11" x14ac:dyDescent="0.25">
      <c r="A155" s="4" t="s">
        <v>117</v>
      </c>
      <c r="B155" s="1">
        <v>0.95934200000000003</v>
      </c>
      <c r="C155" s="1">
        <v>0.95758200000000004</v>
      </c>
      <c r="D155" s="1">
        <f>IF(B155&gt;C155,B155-C155,C155-B155)</f>
        <v>1.7599999999999838E-3</v>
      </c>
      <c r="E155">
        <f>MINUTE(D155)</f>
        <v>2</v>
      </c>
      <c r="F155">
        <f>SECOND(D155)</f>
        <v>32</v>
      </c>
      <c r="G155">
        <f>ROUND(E155+F155/60,2)</f>
        <v>2.5299999999999998</v>
      </c>
      <c r="H155">
        <f>60*E155+F155</f>
        <v>152</v>
      </c>
      <c r="I155" s="3">
        <f>5*(3600/H155)</f>
        <v>118.42105263157896</v>
      </c>
      <c r="J155" s="16">
        <f t="shared" si="4"/>
        <v>0</v>
      </c>
      <c r="K155" s="17">
        <f t="shared" si="5"/>
        <v>23</v>
      </c>
    </row>
    <row r="156" spans="1:11" x14ac:dyDescent="0.25">
      <c r="A156" s="4" t="s">
        <v>21</v>
      </c>
      <c r="B156" s="1">
        <v>7.4226E-2</v>
      </c>
      <c r="C156" s="1">
        <v>7.5994000000000006E-2</v>
      </c>
      <c r="D156" s="1">
        <f>IF(B156&gt;C156,B156-C156,C156-B156)</f>
        <v>1.7680000000000057E-3</v>
      </c>
      <c r="E156">
        <f>MINUTE(D156)</f>
        <v>2</v>
      </c>
      <c r="F156">
        <f>SECOND(D156)</f>
        <v>33</v>
      </c>
      <c r="G156">
        <f>ROUND(E156+F156/60,2)</f>
        <v>2.5499999999999998</v>
      </c>
      <c r="H156">
        <f>60*E156+F156</f>
        <v>153</v>
      </c>
      <c r="I156" s="3">
        <f>5*(3600/H156)</f>
        <v>117.64705882352942</v>
      </c>
      <c r="J156" s="16">
        <f t="shared" si="4"/>
        <v>0</v>
      </c>
      <c r="K156" s="17">
        <f t="shared" si="5"/>
        <v>1</v>
      </c>
    </row>
    <row r="157" spans="1:11" x14ac:dyDescent="0.25">
      <c r="A157" s="4" t="s">
        <v>167</v>
      </c>
      <c r="B157" s="1">
        <v>0.40695900000000002</v>
      </c>
      <c r="C157" s="1">
        <v>0.40518700000000002</v>
      </c>
      <c r="D157" s="1">
        <f>IF(B157&gt;C157,B157-C157,C157-B157)</f>
        <v>1.7719999999999958E-3</v>
      </c>
      <c r="E157">
        <f>MINUTE(D157)</f>
        <v>2</v>
      </c>
      <c r="F157">
        <f>SECOND(D157)</f>
        <v>33</v>
      </c>
      <c r="G157">
        <f>ROUND(E157+F157/60,2)</f>
        <v>2.5499999999999998</v>
      </c>
      <c r="H157">
        <f>60*E157+F157</f>
        <v>153</v>
      </c>
      <c r="I157" s="3">
        <f>5*(3600/H157)</f>
        <v>117.64705882352942</v>
      </c>
      <c r="J157" s="16">
        <f t="shared" si="4"/>
        <v>0</v>
      </c>
      <c r="K157" s="17">
        <f t="shared" si="5"/>
        <v>9</v>
      </c>
    </row>
    <row r="158" spans="1:11" x14ac:dyDescent="0.25">
      <c r="A158" s="4" t="s">
        <v>122</v>
      </c>
      <c r="B158" s="1">
        <v>3.8954000000000003E-2</v>
      </c>
      <c r="C158" s="1">
        <v>4.0722000000000001E-2</v>
      </c>
      <c r="D158" s="1">
        <f>IF(B158&gt;C158,B158-C158,C158-B158)</f>
        <v>1.7679999999999987E-3</v>
      </c>
      <c r="E158">
        <f>MINUTE(D158)</f>
        <v>2</v>
      </c>
      <c r="F158">
        <f>SECOND(D158)</f>
        <v>33</v>
      </c>
      <c r="G158">
        <f>ROUND(E158+F158/60,2)</f>
        <v>2.5499999999999998</v>
      </c>
      <c r="H158">
        <f>60*E158+F158</f>
        <v>153</v>
      </c>
      <c r="I158" s="3">
        <f>5*(3600/H158)</f>
        <v>117.64705882352942</v>
      </c>
      <c r="J158" s="16">
        <f t="shared" si="4"/>
        <v>0</v>
      </c>
      <c r="K158" s="17">
        <f t="shared" si="5"/>
        <v>0</v>
      </c>
    </row>
    <row r="159" spans="1:11" x14ac:dyDescent="0.25">
      <c r="A159" s="4" t="s">
        <v>146</v>
      </c>
      <c r="B159" s="1">
        <v>0.61743499999999996</v>
      </c>
      <c r="C159" s="1">
        <v>0.61920299999999995</v>
      </c>
      <c r="D159" s="1">
        <f>IF(B159&gt;C159,B159-C159,C159-B159)</f>
        <v>1.7679999999999918E-3</v>
      </c>
      <c r="E159">
        <f>MINUTE(D159)</f>
        <v>2</v>
      </c>
      <c r="F159">
        <f>SECOND(D159)</f>
        <v>33</v>
      </c>
      <c r="G159">
        <f>ROUND(E159+F159/60,2)</f>
        <v>2.5499999999999998</v>
      </c>
      <c r="H159">
        <f>60*E159+F159</f>
        <v>153</v>
      </c>
      <c r="I159" s="3">
        <f>5*(3600/H159)</f>
        <v>117.64705882352942</v>
      </c>
      <c r="J159" s="16">
        <f t="shared" si="4"/>
        <v>0</v>
      </c>
      <c r="K159" s="17">
        <f t="shared" si="5"/>
        <v>14</v>
      </c>
    </row>
    <row r="160" spans="1:11" x14ac:dyDescent="0.25">
      <c r="A160" s="4" t="s">
        <v>12</v>
      </c>
      <c r="B160" s="1">
        <v>0.33185700000000001</v>
      </c>
      <c r="C160" s="1">
        <v>0.33362900000000001</v>
      </c>
      <c r="D160" s="1">
        <f>IF(B160&gt;C160,B160-C160,C160-B160)</f>
        <v>1.7719999999999958E-3</v>
      </c>
      <c r="E160">
        <f>MINUTE(D160)</f>
        <v>2</v>
      </c>
      <c r="F160">
        <f>SECOND(D160)</f>
        <v>33</v>
      </c>
      <c r="G160">
        <f>ROUND(E160+F160/60,2)</f>
        <v>2.5499999999999998</v>
      </c>
      <c r="H160">
        <f>60*E160+F160</f>
        <v>153</v>
      </c>
      <c r="I160" s="3">
        <f>5*(3600/H160)</f>
        <v>117.64705882352942</v>
      </c>
      <c r="J160" s="16">
        <f t="shared" si="4"/>
        <v>0</v>
      </c>
      <c r="K160" s="17">
        <f t="shared" si="5"/>
        <v>7</v>
      </c>
    </row>
    <row r="161" spans="1:11" x14ac:dyDescent="0.25">
      <c r="A161" s="4" t="s">
        <v>77</v>
      </c>
      <c r="B161" s="1">
        <v>0.86746599999999996</v>
      </c>
      <c r="C161" s="1">
        <v>0.86568199999999995</v>
      </c>
      <c r="D161" s="1">
        <f>IF(B161&gt;C161,B161-C161,C161-B161)</f>
        <v>1.7840000000000078E-3</v>
      </c>
      <c r="E161">
        <f>MINUTE(D161)</f>
        <v>2</v>
      </c>
      <c r="F161">
        <f>SECOND(D161)</f>
        <v>34</v>
      </c>
      <c r="G161">
        <f>ROUND(E161+F161/60,2)</f>
        <v>2.57</v>
      </c>
      <c r="H161">
        <f>60*E161+F161</f>
        <v>154</v>
      </c>
      <c r="I161" s="3">
        <f>5*(3600/H161)</f>
        <v>116.88311688311688</v>
      </c>
      <c r="J161" s="16">
        <f t="shared" si="4"/>
        <v>0</v>
      </c>
      <c r="K161" s="17">
        <f t="shared" si="5"/>
        <v>20</v>
      </c>
    </row>
    <row r="162" spans="1:11" x14ac:dyDescent="0.25">
      <c r="A162" s="4" t="s">
        <v>12</v>
      </c>
      <c r="B162" s="1">
        <v>0.43819900000000001</v>
      </c>
      <c r="C162" s="1">
        <v>0.43998700000000002</v>
      </c>
      <c r="D162" s="1">
        <f>IF(B162&gt;C162,B162-C162,C162-B162)</f>
        <v>1.7880000000000118E-3</v>
      </c>
      <c r="E162">
        <f>MINUTE(D162)</f>
        <v>2</v>
      </c>
      <c r="F162">
        <f>SECOND(D162)</f>
        <v>34</v>
      </c>
      <c r="G162">
        <f>ROUND(E162+F162/60,2)</f>
        <v>2.57</v>
      </c>
      <c r="H162">
        <f>60*E162+F162</f>
        <v>154</v>
      </c>
      <c r="I162" s="3">
        <f>5*(3600/H162)</f>
        <v>116.88311688311688</v>
      </c>
      <c r="J162" s="16">
        <f t="shared" si="4"/>
        <v>0</v>
      </c>
      <c r="K162" s="17">
        <f t="shared" si="5"/>
        <v>10</v>
      </c>
    </row>
    <row r="163" spans="1:11" x14ac:dyDescent="0.25">
      <c r="A163" s="4" t="s">
        <v>147</v>
      </c>
      <c r="B163" s="1">
        <v>0.42548399999999997</v>
      </c>
      <c r="C163" s="1">
        <v>0.42727199999999999</v>
      </c>
      <c r="D163" s="1">
        <f>IF(B163&gt;C163,B163-C163,C163-B163)</f>
        <v>1.7880000000000118E-3</v>
      </c>
      <c r="E163">
        <f>MINUTE(D163)</f>
        <v>2</v>
      </c>
      <c r="F163">
        <f>SECOND(D163)</f>
        <v>34</v>
      </c>
      <c r="G163">
        <f>ROUND(E163+F163/60,2)</f>
        <v>2.57</v>
      </c>
      <c r="H163">
        <f>60*E163+F163</f>
        <v>154</v>
      </c>
      <c r="I163" s="3">
        <f>5*(3600/H163)</f>
        <v>116.88311688311688</v>
      </c>
      <c r="J163" s="16">
        <f t="shared" si="4"/>
        <v>0</v>
      </c>
      <c r="K163" s="17">
        <f t="shared" si="5"/>
        <v>10</v>
      </c>
    </row>
    <row r="164" spans="1:11" x14ac:dyDescent="0.25">
      <c r="A164" s="4" t="s">
        <v>54</v>
      </c>
      <c r="B164" s="1">
        <v>0.83164899999999997</v>
      </c>
      <c r="C164" s="1">
        <v>0.82985699999999996</v>
      </c>
      <c r="D164" s="1">
        <f>IF(B164&gt;C164,B164-C164,C164-B164)</f>
        <v>1.7920000000000158E-3</v>
      </c>
      <c r="E164">
        <f>MINUTE(D164)</f>
        <v>2</v>
      </c>
      <c r="F164">
        <f>SECOND(D164)</f>
        <v>35</v>
      </c>
      <c r="G164">
        <f>ROUND(E164+F164/60,2)</f>
        <v>2.58</v>
      </c>
      <c r="H164">
        <f>60*E164+F164</f>
        <v>155</v>
      </c>
      <c r="I164" s="3">
        <f>5*(3600/H164)</f>
        <v>116.12903225806451</v>
      </c>
      <c r="J164" s="16">
        <f t="shared" si="4"/>
        <v>0</v>
      </c>
      <c r="K164" s="17">
        <f t="shared" si="5"/>
        <v>19</v>
      </c>
    </row>
    <row r="165" spans="1:11" x14ac:dyDescent="0.25">
      <c r="A165" s="4" t="s">
        <v>59</v>
      </c>
      <c r="B165" s="1">
        <v>0.91732499999999995</v>
      </c>
      <c r="C165" s="1">
        <v>0.91552900000000004</v>
      </c>
      <c r="D165" s="1">
        <f>IF(B165&gt;C165,B165-C165,C165-B165)</f>
        <v>1.7959999999999088E-3</v>
      </c>
      <c r="E165">
        <f>MINUTE(D165)</f>
        <v>2</v>
      </c>
      <c r="F165">
        <f>SECOND(D165)</f>
        <v>35</v>
      </c>
      <c r="G165">
        <f>ROUND(E165+F165/60,2)</f>
        <v>2.58</v>
      </c>
      <c r="H165">
        <f>60*E165+F165</f>
        <v>155</v>
      </c>
      <c r="I165" s="3">
        <f>5*(3600/H165)</f>
        <v>116.12903225806451</v>
      </c>
      <c r="J165" s="16">
        <f t="shared" si="4"/>
        <v>0</v>
      </c>
      <c r="K165" s="17">
        <f t="shared" si="5"/>
        <v>22</v>
      </c>
    </row>
    <row r="166" spans="1:11" x14ac:dyDescent="0.25">
      <c r="A166" s="4" t="s">
        <v>310</v>
      </c>
      <c r="B166" s="1">
        <v>0.870444</v>
      </c>
      <c r="C166" s="1">
        <v>0.86865199999999998</v>
      </c>
      <c r="D166" s="1">
        <f>IF(B166&gt;C166,B166-C166,C166-B166)</f>
        <v>1.7920000000000158E-3</v>
      </c>
      <c r="E166">
        <f>MINUTE(D166)</f>
        <v>2</v>
      </c>
      <c r="F166">
        <f>SECOND(D166)</f>
        <v>35</v>
      </c>
      <c r="G166">
        <f>ROUND(E166+F166/60,2)</f>
        <v>2.58</v>
      </c>
      <c r="H166">
        <f>60*E166+F166</f>
        <v>155</v>
      </c>
      <c r="I166" s="3">
        <f>5*(3600/H166)</f>
        <v>116.12903225806451</v>
      </c>
      <c r="J166" s="16">
        <f t="shared" si="4"/>
        <v>0</v>
      </c>
      <c r="K166" s="17">
        <f t="shared" si="5"/>
        <v>20</v>
      </c>
    </row>
    <row r="167" spans="1:11" x14ac:dyDescent="0.25">
      <c r="A167" s="4" t="s">
        <v>112</v>
      </c>
      <c r="B167" s="1">
        <v>0.45399299999999998</v>
      </c>
      <c r="C167" s="1">
        <v>0.452185</v>
      </c>
      <c r="D167" s="1">
        <f>IF(B167&gt;C167,B167-C167,C167-B167)</f>
        <v>1.8079999999999763E-3</v>
      </c>
      <c r="E167">
        <f>MINUTE(D167)</f>
        <v>2</v>
      </c>
      <c r="F167">
        <f>SECOND(D167)</f>
        <v>36</v>
      </c>
      <c r="G167">
        <f>ROUND(E167+F167/60,2)</f>
        <v>2.6</v>
      </c>
      <c r="H167">
        <f>60*E167+F167</f>
        <v>156</v>
      </c>
      <c r="I167" s="3">
        <f>5*(3600/H167)</f>
        <v>115.38461538461539</v>
      </c>
      <c r="J167" s="16">
        <f t="shared" si="4"/>
        <v>0</v>
      </c>
      <c r="K167" s="17">
        <f t="shared" si="5"/>
        <v>10</v>
      </c>
    </row>
    <row r="168" spans="1:11" x14ac:dyDescent="0.25">
      <c r="A168" s="4" t="s">
        <v>131</v>
      </c>
      <c r="B168" s="1">
        <v>0.64960200000000001</v>
      </c>
      <c r="C168" s="1">
        <v>0.65140200000000004</v>
      </c>
      <c r="D168" s="1">
        <f>IF(B168&gt;C168,B168-C168,C168-B168)</f>
        <v>1.8000000000000238E-3</v>
      </c>
      <c r="E168">
        <f>MINUTE(D168)</f>
        <v>2</v>
      </c>
      <c r="F168">
        <f>SECOND(D168)</f>
        <v>36</v>
      </c>
      <c r="G168">
        <f>ROUND(E168+F168/60,2)</f>
        <v>2.6</v>
      </c>
      <c r="H168">
        <f>60*E168+F168</f>
        <v>156</v>
      </c>
      <c r="I168" s="3">
        <f>5*(3600/H168)</f>
        <v>115.38461538461539</v>
      </c>
      <c r="J168" s="16">
        <f t="shared" si="4"/>
        <v>0</v>
      </c>
      <c r="K168" s="17">
        <f t="shared" si="5"/>
        <v>15</v>
      </c>
    </row>
    <row r="169" spans="1:11" x14ac:dyDescent="0.25">
      <c r="A169" s="4" t="s">
        <v>78</v>
      </c>
      <c r="B169" s="1">
        <v>0.84384199999999998</v>
      </c>
      <c r="C169" s="1">
        <v>0.845642</v>
      </c>
      <c r="D169" s="1">
        <f>IF(B169&gt;C169,B169-C169,C169-B169)</f>
        <v>1.8000000000000238E-3</v>
      </c>
      <c r="E169">
        <f>MINUTE(D169)</f>
        <v>2</v>
      </c>
      <c r="F169">
        <f>SECOND(D169)</f>
        <v>36</v>
      </c>
      <c r="G169">
        <f>ROUND(E169+F169/60,2)</f>
        <v>2.6</v>
      </c>
      <c r="H169">
        <f>60*E169+F169</f>
        <v>156</v>
      </c>
      <c r="I169" s="3">
        <f>5*(3600/H169)</f>
        <v>115.38461538461539</v>
      </c>
      <c r="J169" s="16">
        <f t="shared" si="4"/>
        <v>0</v>
      </c>
      <c r="K169" s="17">
        <f t="shared" si="5"/>
        <v>20</v>
      </c>
    </row>
    <row r="170" spans="1:11" x14ac:dyDescent="0.25">
      <c r="A170" s="4" t="s">
        <v>47</v>
      </c>
      <c r="B170" s="1">
        <v>0.203124</v>
      </c>
      <c r="C170" s="1">
        <v>0.204928</v>
      </c>
      <c r="D170" s="1">
        <f>IF(B170&gt;C170,B170-C170,C170-B170)</f>
        <v>1.804E-3</v>
      </c>
      <c r="E170">
        <f>MINUTE(D170)</f>
        <v>2</v>
      </c>
      <c r="F170">
        <f>SECOND(D170)</f>
        <v>36</v>
      </c>
      <c r="G170">
        <f>ROUND(E170+F170/60,2)</f>
        <v>2.6</v>
      </c>
      <c r="H170">
        <f>60*E170+F170</f>
        <v>156</v>
      </c>
      <c r="I170" s="3">
        <f>5*(3600/H170)</f>
        <v>115.38461538461539</v>
      </c>
      <c r="J170" s="16">
        <f t="shared" si="4"/>
        <v>0</v>
      </c>
      <c r="K170" s="17">
        <f t="shared" si="5"/>
        <v>4</v>
      </c>
    </row>
    <row r="171" spans="1:11" x14ac:dyDescent="0.25">
      <c r="A171" s="4" t="s">
        <v>97</v>
      </c>
      <c r="B171" s="1">
        <v>0.79618299999999997</v>
      </c>
      <c r="C171" s="1">
        <v>0.79799500000000001</v>
      </c>
      <c r="D171" s="1">
        <f>IF(B171&gt;C171,B171-C171,C171-B171)</f>
        <v>1.8120000000000358E-3</v>
      </c>
      <c r="E171">
        <f>MINUTE(D171)</f>
        <v>2</v>
      </c>
      <c r="F171">
        <f>SECOND(D171)</f>
        <v>37</v>
      </c>
      <c r="G171">
        <f>ROUND(E171+F171/60,2)</f>
        <v>2.62</v>
      </c>
      <c r="H171">
        <f>60*E171+F171</f>
        <v>157</v>
      </c>
      <c r="I171" s="3">
        <f>5*(3600/H171)</f>
        <v>114.64968152866241</v>
      </c>
      <c r="J171" s="16">
        <f t="shared" si="4"/>
        <v>0</v>
      </c>
      <c r="K171" s="17">
        <f t="shared" si="5"/>
        <v>19</v>
      </c>
    </row>
    <row r="172" spans="1:11" x14ac:dyDescent="0.25">
      <c r="A172" s="4" t="s">
        <v>75</v>
      </c>
      <c r="B172" s="1">
        <v>0.80092399999999997</v>
      </c>
      <c r="C172" s="1">
        <v>0.79910400000000004</v>
      </c>
      <c r="D172" s="1">
        <f>IF(B172&gt;C172,B172-C172,C172-B172)</f>
        <v>1.8199999999999328E-3</v>
      </c>
      <c r="E172">
        <f>MINUTE(D172)</f>
        <v>2</v>
      </c>
      <c r="F172">
        <f>SECOND(D172)</f>
        <v>37</v>
      </c>
      <c r="G172">
        <f>ROUND(E172+F172/60,2)</f>
        <v>2.62</v>
      </c>
      <c r="H172">
        <f>60*E172+F172</f>
        <v>157</v>
      </c>
      <c r="I172" s="3">
        <f>5*(3600/H172)</f>
        <v>114.64968152866241</v>
      </c>
      <c r="J172" s="16">
        <f t="shared" si="4"/>
        <v>0</v>
      </c>
      <c r="K172" s="17">
        <f t="shared" si="5"/>
        <v>19</v>
      </c>
    </row>
    <row r="173" spans="1:11" x14ac:dyDescent="0.25">
      <c r="A173" s="4" t="s">
        <v>12</v>
      </c>
      <c r="B173" s="1">
        <v>0.67800800000000006</v>
      </c>
      <c r="C173" s="1">
        <v>0.67982399999999998</v>
      </c>
      <c r="D173" s="1">
        <f>IF(B173&gt;C173,B173-C173,C173-B173)</f>
        <v>1.8159999999999288E-3</v>
      </c>
      <c r="E173">
        <f>MINUTE(D173)</f>
        <v>2</v>
      </c>
      <c r="F173">
        <f>SECOND(D173)</f>
        <v>37</v>
      </c>
      <c r="G173">
        <f>ROUND(E173+F173/60,2)</f>
        <v>2.62</v>
      </c>
      <c r="H173">
        <f>60*E173+F173</f>
        <v>157</v>
      </c>
      <c r="I173" s="3">
        <f>5*(3600/H173)</f>
        <v>114.64968152866241</v>
      </c>
      <c r="J173" s="16">
        <f t="shared" si="4"/>
        <v>0</v>
      </c>
      <c r="K173" s="17">
        <f t="shared" si="5"/>
        <v>16</v>
      </c>
    </row>
    <row r="174" spans="1:11" x14ac:dyDescent="0.25">
      <c r="A174" s="4" t="s">
        <v>318</v>
      </c>
      <c r="B174" s="1">
        <v>0.62203600000000003</v>
      </c>
      <c r="C174" s="1">
        <v>0.620224</v>
      </c>
      <c r="D174" s="1">
        <f>IF(B174&gt;C174,B174-C174,C174-B174)</f>
        <v>1.8120000000000358E-3</v>
      </c>
      <c r="E174">
        <f>MINUTE(D174)</f>
        <v>2</v>
      </c>
      <c r="F174">
        <f>SECOND(D174)</f>
        <v>37</v>
      </c>
      <c r="G174">
        <f>ROUND(E174+F174/60,2)</f>
        <v>2.62</v>
      </c>
      <c r="H174">
        <f>60*E174+F174</f>
        <v>157</v>
      </c>
      <c r="I174" s="3">
        <f>5*(3600/H174)</f>
        <v>114.64968152866241</v>
      </c>
      <c r="J174" s="16">
        <f t="shared" si="4"/>
        <v>0</v>
      </c>
      <c r="K174" s="17">
        <f t="shared" si="5"/>
        <v>14</v>
      </c>
    </row>
    <row r="175" spans="1:11" x14ac:dyDescent="0.25">
      <c r="A175" s="4" t="s">
        <v>21</v>
      </c>
      <c r="B175" s="1">
        <v>0.58114299999999997</v>
      </c>
      <c r="C175" s="1">
        <v>0.58296700000000001</v>
      </c>
      <c r="D175" s="1">
        <f>IF(B175&gt;C175,B175-C175,C175-B175)</f>
        <v>1.8240000000000478E-3</v>
      </c>
      <c r="E175">
        <f>MINUTE(D175)</f>
        <v>2</v>
      </c>
      <c r="F175">
        <f>SECOND(D175)</f>
        <v>38</v>
      </c>
      <c r="G175">
        <f>ROUND(E175+F175/60,2)</f>
        <v>2.63</v>
      </c>
      <c r="H175">
        <f>60*E175+F175</f>
        <v>158</v>
      </c>
      <c r="I175" s="3">
        <f>5*(3600/H175)</f>
        <v>113.92405063291139</v>
      </c>
      <c r="J175" s="16">
        <f t="shared" si="4"/>
        <v>0</v>
      </c>
      <c r="K175" s="17">
        <f t="shared" si="5"/>
        <v>13</v>
      </c>
    </row>
    <row r="176" spans="1:11" x14ac:dyDescent="0.25">
      <c r="A176" s="4" t="s">
        <v>159</v>
      </c>
      <c r="B176" s="1">
        <v>0.515621</v>
      </c>
      <c r="C176" s="1">
        <v>0.51379300000000006</v>
      </c>
      <c r="D176" s="1">
        <f>IF(B176&gt;C176,B176-C176,C176-B176)</f>
        <v>1.8279999999999408E-3</v>
      </c>
      <c r="E176">
        <f>MINUTE(D176)</f>
        <v>2</v>
      </c>
      <c r="F176">
        <f>SECOND(D176)</f>
        <v>38</v>
      </c>
      <c r="G176">
        <f>ROUND(E176+F176/60,2)</f>
        <v>2.63</v>
      </c>
      <c r="H176">
        <f>60*E176+F176</f>
        <v>158</v>
      </c>
      <c r="I176" s="3">
        <f>5*(3600/H176)</f>
        <v>113.92405063291139</v>
      </c>
      <c r="J176" s="16">
        <f t="shared" si="4"/>
        <v>0</v>
      </c>
      <c r="K176" s="17">
        <f t="shared" si="5"/>
        <v>12</v>
      </c>
    </row>
    <row r="177" spans="1:11" x14ac:dyDescent="0.25">
      <c r="A177" s="4" t="s">
        <v>62</v>
      </c>
      <c r="B177" s="1">
        <v>0.61977899999999997</v>
      </c>
      <c r="C177" s="1">
        <v>0.62161100000000002</v>
      </c>
      <c r="D177" s="1">
        <f>IF(B177&gt;C177,B177-C177,C177-B177)</f>
        <v>1.8320000000000558E-3</v>
      </c>
      <c r="E177">
        <f>MINUTE(D177)</f>
        <v>2</v>
      </c>
      <c r="F177">
        <f>SECOND(D177)</f>
        <v>38</v>
      </c>
      <c r="G177">
        <f>ROUND(E177+F177/60,2)</f>
        <v>2.63</v>
      </c>
      <c r="H177">
        <f>60*E177+F177</f>
        <v>158</v>
      </c>
      <c r="I177" s="3">
        <f>5*(3600/H177)</f>
        <v>113.92405063291139</v>
      </c>
      <c r="J177" s="16">
        <f t="shared" si="4"/>
        <v>0</v>
      </c>
      <c r="K177" s="17">
        <f t="shared" si="5"/>
        <v>14</v>
      </c>
    </row>
    <row r="178" spans="1:11" x14ac:dyDescent="0.25">
      <c r="A178" s="4" t="s">
        <v>65</v>
      </c>
      <c r="B178" s="1">
        <v>0.51582700000000004</v>
      </c>
      <c r="C178" s="1">
        <v>0.51399899999999998</v>
      </c>
      <c r="D178" s="1">
        <f>IF(B178&gt;C178,B178-C178,C178-B178)</f>
        <v>1.8280000000000518E-3</v>
      </c>
      <c r="E178">
        <f>MINUTE(D178)</f>
        <v>2</v>
      </c>
      <c r="F178">
        <f>SECOND(D178)</f>
        <v>38</v>
      </c>
      <c r="G178">
        <f>ROUND(E178+F178/60,2)</f>
        <v>2.63</v>
      </c>
      <c r="H178">
        <f>60*E178+F178</f>
        <v>158</v>
      </c>
      <c r="I178" s="3">
        <f>5*(3600/H178)</f>
        <v>113.92405063291139</v>
      </c>
      <c r="J178" s="16">
        <f t="shared" si="4"/>
        <v>0</v>
      </c>
      <c r="K178" s="17">
        <f t="shared" si="5"/>
        <v>12</v>
      </c>
    </row>
    <row r="179" spans="1:11" x14ac:dyDescent="0.25">
      <c r="A179" s="4" t="s">
        <v>27</v>
      </c>
      <c r="B179" s="1">
        <v>0.16414500000000001</v>
      </c>
      <c r="C179" s="1">
        <v>0.16232099999999999</v>
      </c>
      <c r="D179" s="1">
        <f>IF(B179&gt;C179,B179-C179,C179-B179)</f>
        <v>1.82400000000002E-3</v>
      </c>
      <c r="E179">
        <f>MINUTE(D179)</f>
        <v>2</v>
      </c>
      <c r="F179">
        <f>SECOND(D179)</f>
        <v>38</v>
      </c>
      <c r="G179">
        <f>ROUND(E179+F179/60,2)</f>
        <v>2.63</v>
      </c>
      <c r="H179">
        <f>60*E179+F179</f>
        <v>158</v>
      </c>
      <c r="I179" s="3">
        <f>5*(3600/H179)</f>
        <v>113.92405063291139</v>
      </c>
      <c r="J179" s="16">
        <f t="shared" si="4"/>
        <v>0</v>
      </c>
      <c r="K179" s="17">
        <f t="shared" si="5"/>
        <v>3</v>
      </c>
    </row>
    <row r="180" spans="1:11" x14ac:dyDescent="0.25">
      <c r="A180" s="4" t="s">
        <v>242</v>
      </c>
      <c r="B180" s="1">
        <v>0.29494700000000001</v>
      </c>
      <c r="C180" s="1">
        <v>0.29311900000000002</v>
      </c>
      <c r="D180" s="1">
        <f>IF(B180&gt;C180,B180-C180,C180-B180)</f>
        <v>1.8279999999999963E-3</v>
      </c>
      <c r="E180">
        <f>MINUTE(D180)</f>
        <v>2</v>
      </c>
      <c r="F180">
        <f>SECOND(D180)</f>
        <v>38</v>
      </c>
      <c r="G180">
        <f>ROUND(E180+F180/60,2)</f>
        <v>2.63</v>
      </c>
      <c r="H180">
        <f>60*E180+F180</f>
        <v>158</v>
      </c>
      <c r="I180" s="3">
        <f>5*(3600/H180)</f>
        <v>113.92405063291139</v>
      </c>
      <c r="J180" s="16">
        <f t="shared" si="4"/>
        <v>0</v>
      </c>
      <c r="K180" s="17">
        <f t="shared" si="5"/>
        <v>7</v>
      </c>
    </row>
    <row r="181" spans="1:11" x14ac:dyDescent="0.25">
      <c r="A181" s="4" t="s">
        <v>302</v>
      </c>
      <c r="B181" s="1">
        <v>0.16837199999999999</v>
      </c>
      <c r="C181" s="1">
        <v>0.17019599999999999</v>
      </c>
      <c r="D181" s="1">
        <f>IF(B181&gt;C181,B181-C181,C181-B181)</f>
        <v>1.8239999999999923E-3</v>
      </c>
      <c r="E181">
        <f>MINUTE(D181)</f>
        <v>2</v>
      </c>
      <c r="F181">
        <f>SECOND(D181)</f>
        <v>38</v>
      </c>
      <c r="G181">
        <f>ROUND(E181+F181/60,2)</f>
        <v>2.63</v>
      </c>
      <c r="H181">
        <f>60*E181+F181</f>
        <v>158</v>
      </c>
      <c r="I181" s="3">
        <f>5*(3600/H181)</f>
        <v>113.92405063291139</v>
      </c>
      <c r="J181" s="16">
        <f t="shared" si="4"/>
        <v>0</v>
      </c>
      <c r="K181" s="17">
        <f t="shared" si="5"/>
        <v>4</v>
      </c>
    </row>
    <row r="182" spans="1:11" x14ac:dyDescent="0.25">
      <c r="A182" s="4" t="s">
        <v>129</v>
      </c>
      <c r="B182" s="1">
        <v>0.34697099999999997</v>
      </c>
      <c r="C182" s="1">
        <v>0.34513500000000003</v>
      </c>
      <c r="D182" s="1">
        <f>IF(B182&gt;C182,B182-C182,C182-B182)</f>
        <v>1.8359999999999488E-3</v>
      </c>
      <c r="E182">
        <f>MINUTE(D182)</f>
        <v>2</v>
      </c>
      <c r="F182">
        <f>SECOND(D182)</f>
        <v>39</v>
      </c>
      <c r="G182">
        <f>ROUND(E182+F182/60,2)</f>
        <v>2.65</v>
      </c>
      <c r="H182">
        <f>60*E182+F182</f>
        <v>159</v>
      </c>
      <c r="I182" s="3">
        <f>5*(3600/H182)</f>
        <v>113.20754716981131</v>
      </c>
      <c r="J182" s="16">
        <f t="shared" si="4"/>
        <v>0</v>
      </c>
      <c r="K182" s="17">
        <f t="shared" si="5"/>
        <v>8</v>
      </c>
    </row>
    <row r="183" spans="1:11" x14ac:dyDescent="0.25">
      <c r="A183" s="4" t="s">
        <v>117</v>
      </c>
      <c r="B183" s="1">
        <v>0.93513800000000002</v>
      </c>
      <c r="C183" s="1">
        <v>0.93698199999999998</v>
      </c>
      <c r="D183" s="1">
        <f>IF(B183&gt;C183,B183-C183,C183-B183)</f>
        <v>1.8439999999999568E-3</v>
      </c>
      <c r="E183">
        <f>MINUTE(D183)</f>
        <v>2</v>
      </c>
      <c r="F183">
        <f>SECOND(D183)</f>
        <v>39</v>
      </c>
      <c r="G183">
        <f>ROUND(E183+F183/60,2)</f>
        <v>2.65</v>
      </c>
      <c r="H183">
        <f>60*E183+F183</f>
        <v>159</v>
      </c>
      <c r="I183" s="3">
        <f>5*(3600/H183)</f>
        <v>113.20754716981131</v>
      </c>
      <c r="J183" s="16">
        <f t="shared" si="4"/>
        <v>0</v>
      </c>
      <c r="K183" s="17">
        <f t="shared" si="5"/>
        <v>22</v>
      </c>
    </row>
    <row r="184" spans="1:11" x14ac:dyDescent="0.25">
      <c r="A184" s="4" t="s">
        <v>304</v>
      </c>
      <c r="B184" s="1">
        <v>0.90426600000000001</v>
      </c>
      <c r="C184" s="1">
        <v>0.90610999999999997</v>
      </c>
      <c r="D184" s="1">
        <f>IF(B184&gt;C184,B184-C184,C184-B184)</f>
        <v>1.8439999999999568E-3</v>
      </c>
      <c r="E184">
        <f>MINUTE(D184)</f>
        <v>2</v>
      </c>
      <c r="F184">
        <f>SECOND(D184)</f>
        <v>39</v>
      </c>
      <c r="G184">
        <f>ROUND(E184+F184/60,2)</f>
        <v>2.65</v>
      </c>
      <c r="H184">
        <f>60*E184+F184</f>
        <v>159</v>
      </c>
      <c r="I184" s="3">
        <f>5*(3600/H184)</f>
        <v>113.20754716981131</v>
      </c>
      <c r="J184" s="16">
        <f t="shared" si="4"/>
        <v>0</v>
      </c>
      <c r="K184" s="17">
        <f t="shared" si="5"/>
        <v>21</v>
      </c>
    </row>
    <row r="185" spans="1:11" x14ac:dyDescent="0.25">
      <c r="A185" s="4" t="s">
        <v>385</v>
      </c>
      <c r="B185" s="1">
        <v>0.626494</v>
      </c>
      <c r="C185" s="1">
        <v>0.62833399999999995</v>
      </c>
      <c r="D185" s="1">
        <f>IF(B185&gt;C185,B185-C185,C185-B185)</f>
        <v>1.8399999999999528E-3</v>
      </c>
      <c r="E185">
        <f>MINUTE(D185)</f>
        <v>2</v>
      </c>
      <c r="F185">
        <f>SECOND(D185)</f>
        <v>39</v>
      </c>
      <c r="G185">
        <f>ROUND(E185+F185/60,2)</f>
        <v>2.65</v>
      </c>
      <c r="H185">
        <f>60*E185+F185</f>
        <v>159</v>
      </c>
      <c r="I185" s="3">
        <f>5*(3600/H185)</f>
        <v>113.20754716981131</v>
      </c>
      <c r="J185" s="16">
        <f t="shared" si="4"/>
        <v>0</v>
      </c>
      <c r="K185" s="17">
        <f t="shared" si="5"/>
        <v>15</v>
      </c>
    </row>
    <row r="186" spans="1:11" x14ac:dyDescent="0.25">
      <c r="A186" s="4" t="s">
        <v>12</v>
      </c>
      <c r="B186" s="1">
        <v>0.92180200000000001</v>
      </c>
      <c r="C186" s="1">
        <v>0.91994600000000004</v>
      </c>
      <c r="D186" s="1">
        <f>IF(B186&gt;C186,B186-C186,C186-B186)</f>
        <v>1.8559999999999688E-3</v>
      </c>
      <c r="E186">
        <f>MINUTE(D186)</f>
        <v>2</v>
      </c>
      <c r="F186">
        <f>SECOND(D186)</f>
        <v>40</v>
      </c>
      <c r="G186">
        <f>ROUND(E186+F186/60,2)</f>
        <v>2.67</v>
      </c>
      <c r="H186">
        <f>60*E186+F186</f>
        <v>160</v>
      </c>
      <c r="I186" s="3">
        <f>5*(3600/H186)</f>
        <v>112.5</v>
      </c>
      <c r="J186" s="16">
        <f t="shared" si="4"/>
        <v>0</v>
      </c>
      <c r="K186" s="17">
        <f t="shared" si="5"/>
        <v>22</v>
      </c>
    </row>
    <row r="187" spans="1:11" x14ac:dyDescent="0.25">
      <c r="A187" s="4" t="s">
        <v>5</v>
      </c>
      <c r="B187" s="1">
        <v>4.0059999999999998E-2</v>
      </c>
      <c r="C187" s="1">
        <v>3.8204000000000002E-2</v>
      </c>
      <c r="D187" s="1">
        <f>IF(B187&gt;C187,B187-C187,C187-B187)</f>
        <v>1.8559999999999965E-3</v>
      </c>
      <c r="E187">
        <f>MINUTE(D187)</f>
        <v>2</v>
      </c>
      <c r="F187">
        <f>SECOND(D187)</f>
        <v>40</v>
      </c>
      <c r="G187">
        <f>ROUND(E187+F187/60,2)</f>
        <v>2.67</v>
      </c>
      <c r="H187">
        <f>60*E187+F187</f>
        <v>160</v>
      </c>
      <c r="I187" s="3">
        <f>5*(3600/H187)</f>
        <v>112.5</v>
      </c>
      <c r="J187" s="16">
        <f t="shared" si="4"/>
        <v>0</v>
      </c>
      <c r="K187" s="17">
        <f t="shared" si="5"/>
        <v>0</v>
      </c>
    </row>
    <row r="188" spans="1:11" x14ac:dyDescent="0.25">
      <c r="A188" s="4" t="s">
        <v>79</v>
      </c>
      <c r="B188" s="1">
        <v>0.81873700000000005</v>
      </c>
      <c r="C188" s="1">
        <v>0.82059300000000002</v>
      </c>
      <c r="D188" s="1">
        <f>IF(B188&gt;C188,B188-C188,C188-B188)</f>
        <v>1.8559999999999688E-3</v>
      </c>
      <c r="E188">
        <f>MINUTE(D188)</f>
        <v>2</v>
      </c>
      <c r="F188">
        <f>SECOND(D188)</f>
        <v>40</v>
      </c>
      <c r="G188">
        <f>ROUND(E188+F188/60,2)</f>
        <v>2.67</v>
      </c>
      <c r="H188">
        <f>60*E188+F188</f>
        <v>160</v>
      </c>
      <c r="I188" s="3">
        <f>5*(3600/H188)</f>
        <v>112.5</v>
      </c>
      <c r="J188" s="16">
        <f t="shared" si="4"/>
        <v>0</v>
      </c>
      <c r="K188" s="17">
        <f t="shared" si="5"/>
        <v>19</v>
      </c>
    </row>
    <row r="189" spans="1:11" x14ac:dyDescent="0.25">
      <c r="A189" s="4" t="s">
        <v>109</v>
      </c>
      <c r="B189" s="1">
        <v>0.58387299999999998</v>
      </c>
      <c r="C189" s="1">
        <v>0.58202500000000001</v>
      </c>
      <c r="D189" s="1">
        <f>IF(B189&gt;C189,B189-C189,C189-B189)</f>
        <v>1.8479999999999608E-3</v>
      </c>
      <c r="E189">
        <f>MINUTE(D189)</f>
        <v>2</v>
      </c>
      <c r="F189">
        <f>SECOND(D189)</f>
        <v>40</v>
      </c>
      <c r="G189">
        <f>ROUND(E189+F189/60,2)</f>
        <v>2.67</v>
      </c>
      <c r="H189">
        <f>60*E189+F189</f>
        <v>160</v>
      </c>
      <c r="I189" s="3">
        <f>5*(3600/H189)</f>
        <v>112.5</v>
      </c>
      <c r="J189" s="16">
        <f t="shared" si="4"/>
        <v>0</v>
      </c>
      <c r="K189" s="17">
        <f t="shared" si="5"/>
        <v>14</v>
      </c>
    </row>
    <row r="190" spans="1:11" x14ac:dyDescent="0.25">
      <c r="A190" s="4" t="s">
        <v>162</v>
      </c>
      <c r="B190" s="1">
        <v>1.2021E-2</v>
      </c>
      <c r="C190" s="1">
        <v>1.3877E-2</v>
      </c>
      <c r="D190" s="1">
        <f>IF(B190&gt;C190,B190-C190,C190-B190)</f>
        <v>1.856E-3</v>
      </c>
      <c r="E190">
        <f>MINUTE(D190)</f>
        <v>2</v>
      </c>
      <c r="F190">
        <f>SECOND(D190)</f>
        <v>40</v>
      </c>
      <c r="G190">
        <f>ROUND(E190+F190/60,2)</f>
        <v>2.67</v>
      </c>
      <c r="H190">
        <f>60*E190+F190</f>
        <v>160</v>
      </c>
      <c r="I190" s="3">
        <f>5*(3600/H190)</f>
        <v>112.5</v>
      </c>
      <c r="J190" s="16">
        <f t="shared" si="4"/>
        <v>0</v>
      </c>
      <c r="K190" s="17">
        <f t="shared" si="5"/>
        <v>0</v>
      </c>
    </row>
    <row r="191" spans="1:11" x14ac:dyDescent="0.25">
      <c r="A191" s="4" t="s">
        <v>208</v>
      </c>
      <c r="B191" s="1">
        <v>0.81711299999999998</v>
      </c>
      <c r="C191" s="1">
        <v>0.81896500000000005</v>
      </c>
      <c r="D191" s="1">
        <f>IF(B191&gt;C191,B191-C191,C191-B191)</f>
        <v>1.8520000000000758E-3</v>
      </c>
      <c r="E191">
        <f>MINUTE(D191)</f>
        <v>2</v>
      </c>
      <c r="F191">
        <f>SECOND(D191)</f>
        <v>40</v>
      </c>
      <c r="G191">
        <f>ROUND(E191+F191/60,2)</f>
        <v>2.67</v>
      </c>
      <c r="H191">
        <f>60*E191+F191</f>
        <v>160</v>
      </c>
      <c r="I191" s="3">
        <f>5*(3600/H191)</f>
        <v>112.5</v>
      </c>
      <c r="J191" s="16">
        <f t="shared" si="4"/>
        <v>0</v>
      </c>
      <c r="K191" s="17">
        <f t="shared" si="5"/>
        <v>19</v>
      </c>
    </row>
    <row r="192" spans="1:11" x14ac:dyDescent="0.25">
      <c r="A192" s="4" t="s">
        <v>317</v>
      </c>
      <c r="B192" s="1">
        <v>0.144228</v>
      </c>
      <c r="C192" s="1">
        <v>0.142376</v>
      </c>
      <c r="D192" s="1">
        <f>IF(B192&gt;C192,B192-C192,C192-B192)</f>
        <v>1.8519999999999925E-3</v>
      </c>
      <c r="E192">
        <f>MINUTE(D192)</f>
        <v>2</v>
      </c>
      <c r="F192">
        <f>SECOND(D192)</f>
        <v>40</v>
      </c>
      <c r="G192">
        <f>ROUND(E192+F192/60,2)</f>
        <v>2.67</v>
      </c>
      <c r="H192">
        <f>60*E192+F192</f>
        <v>160</v>
      </c>
      <c r="I192" s="3">
        <f>5*(3600/H192)</f>
        <v>112.5</v>
      </c>
      <c r="J192" s="16">
        <f t="shared" si="4"/>
        <v>0</v>
      </c>
      <c r="K192" s="17">
        <f t="shared" si="5"/>
        <v>3</v>
      </c>
    </row>
    <row r="193" spans="1:11" x14ac:dyDescent="0.25">
      <c r="A193" s="4" t="s">
        <v>64</v>
      </c>
      <c r="B193" s="1">
        <v>0.21684999999999999</v>
      </c>
      <c r="C193" s="1">
        <v>0.21870999999999999</v>
      </c>
      <c r="D193" s="1">
        <f>IF(B193&gt;C193,B193-C193,C193-B193)</f>
        <v>1.8600000000000005E-3</v>
      </c>
      <c r="E193">
        <f>MINUTE(D193)</f>
        <v>2</v>
      </c>
      <c r="F193">
        <f>SECOND(D193)</f>
        <v>41</v>
      </c>
      <c r="G193">
        <f>ROUND(E193+F193/60,2)</f>
        <v>2.68</v>
      </c>
      <c r="H193">
        <f>60*E193+F193</f>
        <v>161</v>
      </c>
      <c r="I193" s="3">
        <f>5*(3600/H193)</f>
        <v>111.80124223602485</v>
      </c>
      <c r="J193" s="16">
        <f t="shared" si="4"/>
        <v>0</v>
      </c>
      <c r="K193" s="17">
        <f t="shared" si="5"/>
        <v>5</v>
      </c>
    </row>
    <row r="194" spans="1:11" x14ac:dyDescent="0.25">
      <c r="A194" s="4" t="s">
        <v>156</v>
      </c>
      <c r="B194" s="1">
        <v>0.93236399999999997</v>
      </c>
      <c r="C194" s="1">
        <v>0.93049999999999999</v>
      </c>
      <c r="D194" s="1">
        <f>IF(B194&gt;C194,B194-C194,C194-B194)</f>
        <v>1.8639999999999768E-3</v>
      </c>
      <c r="E194">
        <f>MINUTE(D194)</f>
        <v>2</v>
      </c>
      <c r="F194">
        <f>SECOND(D194)</f>
        <v>41</v>
      </c>
      <c r="G194">
        <f>ROUND(E194+F194/60,2)</f>
        <v>2.68</v>
      </c>
      <c r="H194">
        <f>60*E194+F194</f>
        <v>161</v>
      </c>
      <c r="I194" s="3">
        <f>5*(3600/H194)</f>
        <v>111.80124223602485</v>
      </c>
      <c r="J194" s="16">
        <f t="shared" si="4"/>
        <v>0</v>
      </c>
      <c r="K194" s="17">
        <f t="shared" si="5"/>
        <v>22</v>
      </c>
    </row>
    <row r="195" spans="1:11" x14ac:dyDescent="0.25">
      <c r="A195" s="4" t="s">
        <v>83</v>
      </c>
      <c r="B195" s="1">
        <v>0.83486300000000002</v>
      </c>
      <c r="C195" s="1">
        <v>0.83299500000000004</v>
      </c>
      <c r="D195" s="1">
        <f>IF(B195&gt;C195,B195-C195,C195-B195)</f>
        <v>1.8679999999999808E-3</v>
      </c>
      <c r="E195">
        <f>MINUTE(D195)</f>
        <v>2</v>
      </c>
      <c r="F195">
        <f>SECOND(D195)</f>
        <v>41</v>
      </c>
      <c r="G195">
        <f>ROUND(E195+F195/60,2)</f>
        <v>2.68</v>
      </c>
      <c r="H195">
        <f>60*E195+F195</f>
        <v>161</v>
      </c>
      <c r="I195" s="3">
        <f>5*(3600/H195)</f>
        <v>111.80124223602485</v>
      </c>
      <c r="J195" s="16">
        <f t="shared" ref="J195:J258" si="6">IF(I195&gt;140,1,0)</f>
        <v>0</v>
      </c>
      <c r="K195" s="17">
        <f t="shared" ref="K195:K258" si="7">HOUR(B195)</f>
        <v>20</v>
      </c>
    </row>
    <row r="196" spans="1:11" x14ac:dyDescent="0.25">
      <c r="A196" s="4" t="s">
        <v>87</v>
      </c>
      <c r="B196" s="1">
        <v>0.61230499999999999</v>
      </c>
      <c r="C196" s="1">
        <v>0.61417299999999997</v>
      </c>
      <c r="D196" s="1">
        <f>IF(B196&gt;C196,B196-C196,C196-B196)</f>
        <v>1.8679999999999808E-3</v>
      </c>
      <c r="E196">
        <f>MINUTE(D196)</f>
        <v>2</v>
      </c>
      <c r="F196">
        <f>SECOND(D196)</f>
        <v>41</v>
      </c>
      <c r="G196">
        <f>ROUND(E196+F196/60,2)</f>
        <v>2.68</v>
      </c>
      <c r="H196">
        <f>60*E196+F196</f>
        <v>161</v>
      </c>
      <c r="I196" s="3">
        <f>5*(3600/H196)</f>
        <v>111.80124223602485</v>
      </c>
      <c r="J196" s="16">
        <f t="shared" si="6"/>
        <v>0</v>
      </c>
      <c r="K196" s="17">
        <f t="shared" si="7"/>
        <v>14</v>
      </c>
    </row>
    <row r="197" spans="1:11" x14ac:dyDescent="0.25">
      <c r="A197" s="4" t="s">
        <v>192</v>
      </c>
      <c r="B197" s="1">
        <v>0.23611099999999999</v>
      </c>
      <c r="C197" s="1">
        <v>0.23797099999999999</v>
      </c>
      <c r="D197" s="1">
        <f>IF(B197&gt;C197,B197-C197,C197-B197)</f>
        <v>1.8600000000000005E-3</v>
      </c>
      <c r="E197">
        <f>MINUTE(D197)</f>
        <v>2</v>
      </c>
      <c r="F197">
        <f>SECOND(D197)</f>
        <v>41</v>
      </c>
      <c r="G197">
        <f>ROUND(E197+F197/60,2)</f>
        <v>2.68</v>
      </c>
      <c r="H197">
        <f>60*E197+F197</f>
        <v>161</v>
      </c>
      <c r="I197" s="3">
        <f>5*(3600/H197)</f>
        <v>111.80124223602485</v>
      </c>
      <c r="J197" s="16">
        <f t="shared" si="6"/>
        <v>0</v>
      </c>
      <c r="K197" s="17">
        <f t="shared" si="7"/>
        <v>5</v>
      </c>
    </row>
    <row r="198" spans="1:11" x14ac:dyDescent="0.25">
      <c r="A198" s="4" t="s">
        <v>271</v>
      </c>
      <c r="B198" s="1">
        <v>0.906107</v>
      </c>
      <c r="C198" s="1">
        <v>0.90796699999999997</v>
      </c>
      <c r="D198" s="1">
        <f>IF(B198&gt;C198,B198-C198,C198-B198)</f>
        <v>1.8599999999999728E-3</v>
      </c>
      <c r="E198">
        <f>MINUTE(D198)</f>
        <v>2</v>
      </c>
      <c r="F198">
        <f>SECOND(D198)</f>
        <v>41</v>
      </c>
      <c r="G198">
        <f>ROUND(E198+F198/60,2)</f>
        <v>2.68</v>
      </c>
      <c r="H198">
        <f>60*E198+F198</f>
        <v>161</v>
      </c>
      <c r="I198" s="3">
        <f>5*(3600/H198)</f>
        <v>111.80124223602485</v>
      </c>
      <c r="J198" s="16">
        <f t="shared" si="6"/>
        <v>0</v>
      </c>
      <c r="K198" s="17">
        <f t="shared" si="7"/>
        <v>21</v>
      </c>
    </row>
    <row r="199" spans="1:11" x14ac:dyDescent="0.25">
      <c r="A199" s="4" t="s">
        <v>314</v>
      </c>
      <c r="B199" s="1">
        <v>0.62873999999999997</v>
      </c>
      <c r="C199" s="1">
        <v>0.63060400000000005</v>
      </c>
      <c r="D199" s="1">
        <f>IF(B199&gt;C199,B199-C199,C199-B199)</f>
        <v>1.8640000000000878E-3</v>
      </c>
      <c r="E199">
        <f>MINUTE(D199)</f>
        <v>2</v>
      </c>
      <c r="F199">
        <f>SECOND(D199)</f>
        <v>41</v>
      </c>
      <c r="G199">
        <f>ROUND(E199+F199/60,2)</f>
        <v>2.68</v>
      </c>
      <c r="H199">
        <f>60*E199+F199</f>
        <v>161</v>
      </c>
      <c r="I199" s="3">
        <f>5*(3600/H199)</f>
        <v>111.80124223602485</v>
      </c>
      <c r="J199" s="16">
        <f t="shared" si="6"/>
        <v>0</v>
      </c>
      <c r="K199" s="17">
        <f t="shared" si="7"/>
        <v>15</v>
      </c>
    </row>
    <row r="200" spans="1:11" x14ac:dyDescent="0.25">
      <c r="A200" s="4" t="s">
        <v>394</v>
      </c>
      <c r="B200" s="1">
        <v>0.78683000000000003</v>
      </c>
      <c r="C200" s="1">
        <v>0.78496600000000005</v>
      </c>
      <c r="D200" s="1">
        <f>IF(B200&gt;C200,B200-C200,C200-B200)</f>
        <v>1.8639999999999768E-3</v>
      </c>
      <c r="E200">
        <f>MINUTE(D200)</f>
        <v>2</v>
      </c>
      <c r="F200">
        <f>SECOND(D200)</f>
        <v>41</v>
      </c>
      <c r="G200">
        <f>ROUND(E200+F200/60,2)</f>
        <v>2.68</v>
      </c>
      <c r="H200">
        <f>60*E200+F200</f>
        <v>161</v>
      </c>
      <c r="I200" s="3">
        <f>5*(3600/H200)</f>
        <v>111.80124223602485</v>
      </c>
      <c r="J200" s="16">
        <f t="shared" si="6"/>
        <v>0</v>
      </c>
      <c r="K200" s="17">
        <f t="shared" si="7"/>
        <v>18</v>
      </c>
    </row>
    <row r="201" spans="1:11" x14ac:dyDescent="0.25">
      <c r="A201" s="4" t="s">
        <v>62</v>
      </c>
      <c r="B201" s="1">
        <v>0.703264</v>
      </c>
      <c r="C201" s="1">
        <v>0.70138800000000001</v>
      </c>
      <c r="D201" s="1">
        <f>IF(B201&gt;C201,B201-C201,C201-B201)</f>
        <v>1.8759999999999888E-3</v>
      </c>
      <c r="E201">
        <f>MINUTE(D201)</f>
        <v>2</v>
      </c>
      <c r="F201">
        <f>SECOND(D201)</f>
        <v>42</v>
      </c>
      <c r="G201">
        <f>ROUND(E201+F201/60,2)</f>
        <v>2.7</v>
      </c>
      <c r="H201">
        <f>60*E201+F201</f>
        <v>162</v>
      </c>
      <c r="I201" s="3">
        <f>5*(3600/H201)</f>
        <v>111.11111111111111</v>
      </c>
      <c r="J201" s="16">
        <f t="shared" si="6"/>
        <v>0</v>
      </c>
      <c r="K201" s="17">
        <f t="shared" si="7"/>
        <v>16</v>
      </c>
    </row>
    <row r="202" spans="1:11" x14ac:dyDescent="0.25">
      <c r="A202" s="4" t="s">
        <v>5</v>
      </c>
      <c r="B202" s="1">
        <v>0.40955399999999997</v>
      </c>
      <c r="C202" s="1">
        <v>0.41143000000000002</v>
      </c>
      <c r="D202" s="1">
        <f>IF(B202&gt;C202,B202-C202,C202-B202)</f>
        <v>1.8760000000000443E-3</v>
      </c>
      <c r="E202">
        <f>MINUTE(D202)</f>
        <v>2</v>
      </c>
      <c r="F202">
        <f>SECOND(D202)</f>
        <v>42</v>
      </c>
      <c r="G202">
        <f>ROUND(E202+F202/60,2)</f>
        <v>2.7</v>
      </c>
      <c r="H202">
        <f>60*E202+F202</f>
        <v>162</v>
      </c>
      <c r="I202" s="3">
        <f>5*(3600/H202)</f>
        <v>111.11111111111111</v>
      </c>
      <c r="J202" s="16">
        <f t="shared" si="6"/>
        <v>0</v>
      </c>
      <c r="K202" s="17">
        <f t="shared" si="7"/>
        <v>9</v>
      </c>
    </row>
    <row r="203" spans="1:11" x14ac:dyDescent="0.25">
      <c r="A203" s="4" t="s">
        <v>5</v>
      </c>
      <c r="B203" s="1">
        <v>0.89798900000000004</v>
      </c>
      <c r="C203" s="1">
        <v>0.89986100000000002</v>
      </c>
      <c r="D203" s="1">
        <f>IF(B203&gt;C203,B203-C203,C203-B203)</f>
        <v>1.8719999999999848E-3</v>
      </c>
      <c r="E203">
        <f>MINUTE(D203)</f>
        <v>2</v>
      </c>
      <c r="F203">
        <f>SECOND(D203)</f>
        <v>42</v>
      </c>
      <c r="G203">
        <f>ROUND(E203+F203/60,2)</f>
        <v>2.7</v>
      </c>
      <c r="H203">
        <f>60*E203+F203</f>
        <v>162</v>
      </c>
      <c r="I203" s="3">
        <f>5*(3600/H203)</f>
        <v>111.11111111111111</v>
      </c>
      <c r="J203" s="16">
        <f t="shared" si="6"/>
        <v>0</v>
      </c>
      <c r="K203" s="17">
        <f t="shared" si="7"/>
        <v>21</v>
      </c>
    </row>
    <row r="204" spans="1:11" x14ac:dyDescent="0.25">
      <c r="A204" s="4" t="s">
        <v>47</v>
      </c>
      <c r="B204" s="1">
        <v>0.38585999999999998</v>
      </c>
      <c r="C204" s="1">
        <v>0.38773999999999997</v>
      </c>
      <c r="D204" s="1">
        <f>IF(B204&gt;C204,B204-C204,C204-B204)</f>
        <v>1.8799999999999928E-3</v>
      </c>
      <c r="E204">
        <f>MINUTE(D204)</f>
        <v>2</v>
      </c>
      <c r="F204">
        <f>SECOND(D204)</f>
        <v>42</v>
      </c>
      <c r="G204">
        <f>ROUND(E204+F204/60,2)</f>
        <v>2.7</v>
      </c>
      <c r="H204">
        <f>60*E204+F204</f>
        <v>162</v>
      </c>
      <c r="I204" s="3">
        <f>5*(3600/H204)</f>
        <v>111.11111111111111</v>
      </c>
      <c r="J204" s="16">
        <f t="shared" si="6"/>
        <v>0</v>
      </c>
      <c r="K204" s="17">
        <f t="shared" si="7"/>
        <v>9</v>
      </c>
    </row>
    <row r="205" spans="1:11" x14ac:dyDescent="0.25">
      <c r="A205" s="4" t="s">
        <v>47</v>
      </c>
      <c r="B205" s="1">
        <v>0.39534399999999997</v>
      </c>
      <c r="C205" s="1">
        <v>0.39347199999999999</v>
      </c>
      <c r="D205" s="1">
        <f>IF(B205&gt;C205,B205-C205,C205-B205)</f>
        <v>1.8719999999999848E-3</v>
      </c>
      <c r="E205">
        <f>MINUTE(D205)</f>
        <v>2</v>
      </c>
      <c r="F205">
        <f>SECOND(D205)</f>
        <v>42</v>
      </c>
      <c r="G205">
        <f>ROUND(E205+F205/60,2)</f>
        <v>2.7</v>
      </c>
      <c r="H205">
        <f>60*E205+F205</f>
        <v>162</v>
      </c>
      <c r="I205" s="3">
        <f>5*(3600/H205)</f>
        <v>111.11111111111111</v>
      </c>
      <c r="J205" s="16">
        <f t="shared" si="6"/>
        <v>0</v>
      </c>
      <c r="K205" s="17">
        <f t="shared" si="7"/>
        <v>9</v>
      </c>
    </row>
    <row r="206" spans="1:11" x14ac:dyDescent="0.25">
      <c r="A206" s="4" t="s">
        <v>61</v>
      </c>
      <c r="B206" s="1">
        <v>0.25781799999999999</v>
      </c>
      <c r="C206" s="1">
        <v>0.25594600000000001</v>
      </c>
      <c r="D206" s="1">
        <f>IF(B206&gt;C206,B206-C206,C206-B206)</f>
        <v>1.8719999999999848E-3</v>
      </c>
      <c r="E206">
        <f>MINUTE(D206)</f>
        <v>2</v>
      </c>
      <c r="F206">
        <f>SECOND(D206)</f>
        <v>42</v>
      </c>
      <c r="G206">
        <f>ROUND(E206+F206/60,2)</f>
        <v>2.7</v>
      </c>
      <c r="H206">
        <f>60*E206+F206</f>
        <v>162</v>
      </c>
      <c r="I206" s="3">
        <f>5*(3600/H206)</f>
        <v>111.11111111111111</v>
      </c>
      <c r="J206" s="16">
        <f t="shared" si="6"/>
        <v>0</v>
      </c>
      <c r="K206" s="17">
        <f t="shared" si="7"/>
        <v>6</v>
      </c>
    </row>
    <row r="207" spans="1:11" x14ac:dyDescent="0.25">
      <c r="A207" s="4" t="s">
        <v>47</v>
      </c>
      <c r="B207" s="1">
        <v>0.35125499999999998</v>
      </c>
      <c r="C207" s="1">
        <v>0.349383</v>
      </c>
      <c r="D207" s="1">
        <f>IF(B207&gt;C207,B207-C207,C207-B207)</f>
        <v>1.8719999999999848E-3</v>
      </c>
      <c r="E207">
        <f>MINUTE(D207)</f>
        <v>2</v>
      </c>
      <c r="F207">
        <f>SECOND(D207)</f>
        <v>42</v>
      </c>
      <c r="G207">
        <f>ROUND(E207+F207/60,2)</f>
        <v>2.7</v>
      </c>
      <c r="H207">
        <f>60*E207+F207</f>
        <v>162</v>
      </c>
      <c r="I207" s="3">
        <f>5*(3600/H207)</f>
        <v>111.11111111111111</v>
      </c>
      <c r="J207" s="16">
        <f t="shared" si="6"/>
        <v>0</v>
      </c>
      <c r="K207" s="17">
        <f t="shared" si="7"/>
        <v>8</v>
      </c>
    </row>
    <row r="208" spans="1:11" x14ac:dyDescent="0.25">
      <c r="A208" s="4" t="s">
        <v>33</v>
      </c>
      <c r="B208" s="1">
        <v>0.92453600000000002</v>
      </c>
      <c r="C208" s="1">
        <v>0.92642400000000003</v>
      </c>
      <c r="D208" s="1">
        <f>IF(B208&gt;C208,B208-C208,C208-B208)</f>
        <v>1.8880000000000008E-3</v>
      </c>
      <c r="E208">
        <f>MINUTE(D208)</f>
        <v>2</v>
      </c>
      <c r="F208">
        <f>SECOND(D208)</f>
        <v>43</v>
      </c>
      <c r="G208">
        <f>ROUND(E208+F208/60,2)</f>
        <v>2.72</v>
      </c>
      <c r="H208">
        <f>60*E208+F208</f>
        <v>163</v>
      </c>
      <c r="I208" s="3">
        <f>5*(3600/H208)</f>
        <v>110.42944785276075</v>
      </c>
      <c r="J208" s="16">
        <f t="shared" si="6"/>
        <v>0</v>
      </c>
      <c r="K208" s="17">
        <f t="shared" si="7"/>
        <v>22</v>
      </c>
    </row>
    <row r="209" spans="1:11" x14ac:dyDescent="0.25">
      <c r="A209" s="4" t="s">
        <v>105</v>
      </c>
      <c r="B209" s="1">
        <v>0.30809599999999998</v>
      </c>
      <c r="C209" s="1">
        <v>0.30620399999999998</v>
      </c>
      <c r="D209" s="1">
        <f>IF(B209&gt;C209,B209-C209,C209-B209)</f>
        <v>1.8920000000000048E-3</v>
      </c>
      <c r="E209">
        <f>MINUTE(D209)</f>
        <v>2</v>
      </c>
      <c r="F209">
        <f>SECOND(D209)</f>
        <v>43</v>
      </c>
      <c r="G209">
        <f>ROUND(E209+F209/60,2)</f>
        <v>2.72</v>
      </c>
      <c r="H209">
        <f>60*E209+F209</f>
        <v>163</v>
      </c>
      <c r="I209" s="3">
        <f>5*(3600/H209)</f>
        <v>110.42944785276075</v>
      </c>
      <c r="J209" s="16">
        <f t="shared" si="6"/>
        <v>0</v>
      </c>
      <c r="K209" s="17">
        <f t="shared" si="7"/>
        <v>7</v>
      </c>
    </row>
    <row r="210" spans="1:11" x14ac:dyDescent="0.25">
      <c r="A210" s="4" t="s">
        <v>162</v>
      </c>
      <c r="B210" s="1">
        <v>0.50681100000000001</v>
      </c>
      <c r="C210" s="1">
        <v>0.50492700000000001</v>
      </c>
      <c r="D210" s="1">
        <f>IF(B210&gt;C210,B210-C210,C210-B210)</f>
        <v>1.8839999999999968E-3</v>
      </c>
      <c r="E210">
        <f>MINUTE(D210)</f>
        <v>2</v>
      </c>
      <c r="F210">
        <f>SECOND(D210)</f>
        <v>43</v>
      </c>
      <c r="G210">
        <f>ROUND(E210+F210/60,2)</f>
        <v>2.72</v>
      </c>
      <c r="H210">
        <f>60*E210+F210</f>
        <v>163</v>
      </c>
      <c r="I210" s="3">
        <f>5*(3600/H210)</f>
        <v>110.42944785276075</v>
      </c>
      <c r="J210" s="16">
        <f t="shared" si="6"/>
        <v>0</v>
      </c>
      <c r="K210" s="17">
        <f t="shared" si="7"/>
        <v>12</v>
      </c>
    </row>
    <row r="211" spans="1:11" x14ac:dyDescent="0.25">
      <c r="A211" s="4" t="s">
        <v>60</v>
      </c>
      <c r="B211" s="1">
        <v>0.72680199999999995</v>
      </c>
      <c r="C211" s="1">
        <v>0.72868999999999995</v>
      </c>
      <c r="D211" s="1">
        <f>IF(B211&gt;C211,B211-C211,C211-B211)</f>
        <v>1.8880000000000008E-3</v>
      </c>
      <c r="E211">
        <f>MINUTE(D211)</f>
        <v>2</v>
      </c>
      <c r="F211">
        <f>SECOND(D211)</f>
        <v>43</v>
      </c>
      <c r="G211">
        <f>ROUND(E211+F211/60,2)</f>
        <v>2.72</v>
      </c>
      <c r="H211">
        <f>60*E211+F211</f>
        <v>163</v>
      </c>
      <c r="I211" s="3">
        <f>5*(3600/H211)</f>
        <v>110.42944785276075</v>
      </c>
      <c r="J211" s="16">
        <f t="shared" si="6"/>
        <v>0</v>
      </c>
      <c r="K211" s="17">
        <f t="shared" si="7"/>
        <v>17</v>
      </c>
    </row>
    <row r="212" spans="1:11" x14ac:dyDescent="0.25">
      <c r="A212" s="4" t="s">
        <v>121</v>
      </c>
      <c r="B212" s="1">
        <v>0.49659500000000001</v>
      </c>
      <c r="C212" s="1">
        <v>0.494703</v>
      </c>
      <c r="D212" s="1">
        <f>IF(B212&gt;C212,B212-C212,C212-B212)</f>
        <v>1.8920000000000048E-3</v>
      </c>
      <c r="E212">
        <f>MINUTE(D212)</f>
        <v>2</v>
      </c>
      <c r="F212">
        <f>SECOND(D212)</f>
        <v>43</v>
      </c>
      <c r="G212">
        <f>ROUND(E212+F212/60,2)</f>
        <v>2.72</v>
      </c>
      <c r="H212">
        <f>60*E212+F212</f>
        <v>163</v>
      </c>
      <c r="I212" s="3">
        <f>5*(3600/H212)</f>
        <v>110.42944785276075</v>
      </c>
      <c r="J212" s="16">
        <f t="shared" si="6"/>
        <v>0</v>
      </c>
      <c r="K212" s="17">
        <f t="shared" si="7"/>
        <v>11</v>
      </c>
    </row>
    <row r="213" spans="1:11" x14ac:dyDescent="0.25">
      <c r="A213" s="4" t="s">
        <v>112</v>
      </c>
      <c r="B213" s="1">
        <v>0.43324000000000001</v>
      </c>
      <c r="C213" s="1">
        <v>0.43135600000000002</v>
      </c>
      <c r="D213" s="1">
        <f>IF(B213&gt;C213,B213-C213,C213-B213)</f>
        <v>1.8839999999999968E-3</v>
      </c>
      <c r="E213">
        <f>MINUTE(D213)</f>
        <v>2</v>
      </c>
      <c r="F213">
        <f>SECOND(D213)</f>
        <v>43</v>
      </c>
      <c r="G213">
        <f>ROUND(E213+F213/60,2)</f>
        <v>2.72</v>
      </c>
      <c r="H213">
        <f>60*E213+F213</f>
        <v>163</v>
      </c>
      <c r="I213" s="3">
        <f>5*(3600/H213)</f>
        <v>110.42944785276075</v>
      </c>
      <c r="J213" s="16">
        <f t="shared" si="6"/>
        <v>0</v>
      </c>
      <c r="K213" s="17">
        <f t="shared" si="7"/>
        <v>10</v>
      </c>
    </row>
    <row r="214" spans="1:11" x14ac:dyDescent="0.25">
      <c r="A214" s="4" t="s">
        <v>37</v>
      </c>
      <c r="B214" s="1">
        <v>0.62783900000000004</v>
      </c>
      <c r="C214" s="1">
        <v>0.62973500000000004</v>
      </c>
      <c r="D214" s="1">
        <f>IF(B214&gt;C214,B214-C214,C214-B214)</f>
        <v>1.8960000000000088E-3</v>
      </c>
      <c r="E214">
        <f>MINUTE(D214)</f>
        <v>2</v>
      </c>
      <c r="F214">
        <f>SECOND(D214)</f>
        <v>44</v>
      </c>
      <c r="G214">
        <f>ROUND(E214+F214/60,2)</f>
        <v>2.73</v>
      </c>
      <c r="H214">
        <f>60*E214+F214</f>
        <v>164</v>
      </c>
      <c r="I214" s="3">
        <f>5*(3600/H214)</f>
        <v>109.75609756097562</v>
      </c>
      <c r="J214" s="16">
        <f t="shared" si="6"/>
        <v>0</v>
      </c>
      <c r="K214" s="17">
        <f t="shared" si="7"/>
        <v>15</v>
      </c>
    </row>
    <row r="215" spans="1:11" x14ac:dyDescent="0.25">
      <c r="A215" s="4" t="s">
        <v>155</v>
      </c>
      <c r="B215" s="1">
        <v>0.84710200000000002</v>
      </c>
      <c r="C215" s="1">
        <v>0.84899800000000003</v>
      </c>
      <c r="D215" s="1">
        <f>IF(B215&gt;C215,B215-C215,C215-B215)</f>
        <v>1.8960000000000088E-3</v>
      </c>
      <c r="E215">
        <f>MINUTE(D215)</f>
        <v>2</v>
      </c>
      <c r="F215">
        <f>SECOND(D215)</f>
        <v>44</v>
      </c>
      <c r="G215">
        <f>ROUND(E215+F215/60,2)</f>
        <v>2.73</v>
      </c>
      <c r="H215">
        <f>60*E215+F215</f>
        <v>164</v>
      </c>
      <c r="I215" s="3">
        <f>5*(3600/H215)</f>
        <v>109.75609756097562</v>
      </c>
      <c r="J215" s="16">
        <f t="shared" si="6"/>
        <v>0</v>
      </c>
      <c r="K215" s="17">
        <f t="shared" si="7"/>
        <v>20</v>
      </c>
    </row>
    <row r="216" spans="1:11" x14ac:dyDescent="0.25">
      <c r="A216" s="4" t="s">
        <v>73</v>
      </c>
      <c r="B216" s="1">
        <v>0.94866899999999998</v>
      </c>
      <c r="C216" s="1">
        <v>0.950569</v>
      </c>
      <c r="D216" s="1">
        <f>IF(B216&gt;C216,B216-C216,C216-B216)</f>
        <v>1.9000000000000128E-3</v>
      </c>
      <c r="E216">
        <f>MINUTE(D216)</f>
        <v>2</v>
      </c>
      <c r="F216">
        <f>SECOND(D216)</f>
        <v>44</v>
      </c>
      <c r="G216">
        <f>ROUND(E216+F216/60,2)</f>
        <v>2.73</v>
      </c>
      <c r="H216">
        <f>60*E216+F216</f>
        <v>164</v>
      </c>
      <c r="I216" s="3">
        <f>5*(3600/H216)</f>
        <v>109.75609756097562</v>
      </c>
      <c r="J216" s="16">
        <f t="shared" si="6"/>
        <v>0</v>
      </c>
      <c r="K216" s="17">
        <f t="shared" si="7"/>
        <v>22</v>
      </c>
    </row>
    <row r="217" spans="1:11" x14ac:dyDescent="0.25">
      <c r="A217" s="4" t="s">
        <v>87</v>
      </c>
      <c r="B217" s="1">
        <v>0.290101</v>
      </c>
      <c r="C217" s="1">
        <v>0.29200100000000001</v>
      </c>
      <c r="D217" s="1">
        <f>IF(B217&gt;C217,B217-C217,C217-B217)</f>
        <v>1.9000000000000128E-3</v>
      </c>
      <c r="E217">
        <f>MINUTE(D217)</f>
        <v>2</v>
      </c>
      <c r="F217">
        <f>SECOND(D217)</f>
        <v>44</v>
      </c>
      <c r="G217">
        <f>ROUND(E217+F217/60,2)</f>
        <v>2.73</v>
      </c>
      <c r="H217">
        <f>60*E217+F217</f>
        <v>164</v>
      </c>
      <c r="I217" s="3">
        <f>5*(3600/H217)</f>
        <v>109.75609756097562</v>
      </c>
      <c r="J217" s="16">
        <f t="shared" si="6"/>
        <v>0</v>
      </c>
      <c r="K217" s="17">
        <f t="shared" si="7"/>
        <v>6</v>
      </c>
    </row>
    <row r="218" spans="1:11" x14ac:dyDescent="0.25">
      <c r="A218" s="4" t="s">
        <v>11</v>
      </c>
      <c r="B218" s="1">
        <v>0.91238200000000003</v>
      </c>
      <c r="C218" s="1">
        <v>0.91429400000000005</v>
      </c>
      <c r="D218" s="1">
        <f>IF(B218&gt;C218,B218-C218,C218-B218)</f>
        <v>1.9120000000000248E-3</v>
      </c>
      <c r="E218">
        <f>MINUTE(D218)</f>
        <v>2</v>
      </c>
      <c r="F218">
        <f>SECOND(D218)</f>
        <v>45</v>
      </c>
      <c r="G218">
        <f>ROUND(E218+F218/60,2)</f>
        <v>2.75</v>
      </c>
      <c r="H218">
        <f>60*E218+F218</f>
        <v>165</v>
      </c>
      <c r="I218" s="3">
        <f>5*(3600/H218)</f>
        <v>109.09090909090908</v>
      </c>
      <c r="J218" s="16">
        <f t="shared" si="6"/>
        <v>0</v>
      </c>
      <c r="K218" s="17">
        <f t="shared" si="7"/>
        <v>21</v>
      </c>
    </row>
    <row r="219" spans="1:11" x14ac:dyDescent="0.25">
      <c r="A219" s="4" t="s">
        <v>306</v>
      </c>
      <c r="B219" s="1">
        <v>0.97919</v>
      </c>
      <c r="C219" s="1">
        <v>0.97728199999999998</v>
      </c>
      <c r="D219" s="1">
        <f>IF(B219&gt;C219,B219-C219,C219-B219)</f>
        <v>1.9080000000000208E-3</v>
      </c>
      <c r="E219">
        <f>MINUTE(D219)</f>
        <v>2</v>
      </c>
      <c r="F219">
        <f>SECOND(D219)</f>
        <v>45</v>
      </c>
      <c r="G219">
        <f>ROUND(E219+F219/60,2)</f>
        <v>2.75</v>
      </c>
      <c r="H219">
        <f>60*E219+F219</f>
        <v>165</v>
      </c>
      <c r="I219" s="3">
        <f>5*(3600/H219)</f>
        <v>109.09090909090908</v>
      </c>
      <c r="J219" s="16">
        <f t="shared" si="6"/>
        <v>0</v>
      </c>
      <c r="K219" s="17">
        <f t="shared" si="7"/>
        <v>23</v>
      </c>
    </row>
    <row r="220" spans="1:11" x14ac:dyDescent="0.25">
      <c r="A220" s="4" t="s">
        <v>408</v>
      </c>
      <c r="B220" s="1">
        <v>9.325E-3</v>
      </c>
      <c r="C220" s="1">
        <v>7.417E-3</v>
      </c>
      <c r="D220" s="1">
        <f>IF(B220&gt;C220,B220-C220,C220-B220)</f>
        <v>1.908E-3</v>
      </c>
      <c r="E220">
        <f>MINUTE(D220)</f>
        <v>2</v>
      </c>
      <c r="F220">
        <f>SECOND(D220)</f>
        <v>45</v>
      </c>
      <c r="G220">
        <f>ROUND(E220+F220/60,2)</f>
        <v>2.75</v>
      </c>
      <c r="H220">
        <f>60*E220+F220</f>
        <v>165</v>
      </c>
      <c r="I220" s="3">
        <f>5*(3600/H220)</f>
        <v>109.09090909090908</v>
      </c>
      <c r="J220" s="16">
        <f t="shared" si="6"/>
        <v>0</v>
      </c>
      <c r="K220" s="17">
        <f t="shared" si="7"/>
        <v>0</v>
      </c>
    </row>
    <row r="221" spans="1:11" x14ac:dyDescent="0.25">
      <c r="A221" s="4" t="s">
        <v>11</v>
      </c>
      <c r="B221" s="1">
        <v>0.93227400000000005</v>
      </c>
      <c r="C221" s="1">
        <v>0.93418999999999996</v>
      </c>
      <c r="D221" s="1">
        <f>IF(B221&gt;C221,B221-C221,C221-B221)</f>
        <v>1.9159999999999178E-3</v>
      </c>
      <c r="E221">
        <f>MINUTE(D221)</f>
        <v>2</v>
      </c>
      <c r="F221">
        <f>SECOND(D221)</f>
        <v>46</v>
      </c>
      <c r="G221">
        <f>ROUND(E221+F221/60,2)</f>
        <v>2.77</v>
      </c>
      <c r="H221">
        <f>60*E221+F221</f>
        <v>166</v>
      </c>
      <c r="I221" s="3">
        <f>5*(3600/H221)</f>
        <v>108.43373493975903</v>
      </c>
      <c r="J221" s="16">
        <f t="shared" si="6"/>
        <v>0</v>
      </c>
      <c r="K221" s="17">
        <f t="shared" si="7"/>
        <v>22</v>
      </c>
    </row>
    <row r="222" spans="1:11" x14ac:dyDescent="0.25">
      <c r="A222" s="4" t="s">
        <v>51</v>
      </c>
      <c r="B222" s="1">
        <v>0.20654</v>
      </c>
      <c r="C222" s="1">
        <v>0.20846000000000001</v>
      </c>
      <c r="D222" s="1">
        <f>IF(B222&gt;C222,B222-C222,C222-B222)</f>
        <v>1.920000000000005E-3</v>
      </c>
      <c r="E222">
        <f>MINUTE(D222)</f>
        <v>2</v>
      </c>
      <c r="F222">
        <f>SECOND(D222)</f>
        <v>46</v>
      </c>
      <c r="G222">
        <f>ROUND(E222+F222/60,2)</f>
        <v>2.77</v>
      </c>
      <c r="H222">
        <f>60*E222+F222</f>
        <v>166</v>
      </c>
      <c r="I222" s="3">
        <f>5*(3600/H222)</f>
        <v>108.43373493975903</v>
      </c>
      <c r="J222" s="16">
        <f t="shared" si="6"/>
        <v>0</v>
      </c>
      <c r="K222" s="17">
        <f t="shared" si="7"/>
        <v>4</v>
      </c>
    </row>
    <row r="223" spans="1:11" x14ac:dyDescent="0.25">
      <c r="A223" s="4" t="s">
        <v>119</v>
      </c>
      <c r="B223" s="1">
        <v>0.797157</v>
      </c>
      <c r="C223" s="1">
        <v>0.79524099999999998</v>
      </c>
      <c r="D223" s="1">
        <f>IF(B223&gt;C223,B223-C223,C223-B223)</f>
        <v>1.9160000000000288E-3</v>
      </c>
      <c r="E223">
        <f>MINUTE(D223)</f>
        <v>2</v>
      </c>
      <c r="F223">
        <f>SECOND(D223)</f>
        <v>46</v>
      </c>
      <c r="G223">
        <f>ROUND(E223+F223/60,2)</f>
        <v>2.77</v>
      </c>
      <c r="H223">
        <f>60*E223+F223</f>
        <v>166</v>
      </c>
      <c r="I223" s="3">
        <f>5*(3600/H223)</f>
        <v>108.43373493975903</v>
      </c>
      <c r="J223" s="16">
        <f t="shared" si="6"/>
        <v>0</v>
      </c>
      <c r="K223" s="17">
        <f t="shared" si="7"/>
        <v>19</v>
      </c>
    </row>
    <row r="224" spans="1:11" x14ac:dyDescent="0.25">
      <c r="A224" s="4" t="s">
        <v>162</v>
      </c>
      <c r="B224" s="1">
        <v>0.110017</v>
      </c>
      <c r="C224" s="1">
        <v>0.108101</v>
      </c>
      <c r="D224" s="1">
        <f>IF(B224&gt;C224,B224-C224,C224-B224)</f>
        <v>1.916000000000001E-3</v>
      </c>
      <c r="E224">
        <f>MINUTE(D224)</f>
        <v>2</v>
      </c>
      <c r="F224">
        <f>SECOND(D224)</f>
        <v>46</v>
      </c>
      <c r="G224">
        <f>ROUND(E224+F224/60,2)</f>
        <v>2.77</v>
      </c>
      <c r="H224">
        <f>60*E224+F224</f>
        <v>166</v>
      </c>
      <c r="I224" s="3">
        <f>5*(3600/H224)</f>
        <v>108.43373493975903</v>
      </c>
      <c r="J224" s="16">
        <f t="shared" si="6"/>
        <v>0</v>
      </c>
      <c r="K224" s="17">
        <f t="shared" si="7"/>
        <v>2</v>
      </c>
    </row>
    <row r="225" spans="1:11" x14ac:dyDescent="0.25">
      <c r="A225" s="4" t="s">
        <v>7</v>
      </c>
      <c r="B225" s="1">
        <v>0.172735</v>
      </c>
      <c r="C225" s="1">
        <v>0.17081499999999999</v>
      </c>
      <c r="D225" s="1">
        <f>IF(B225&gt;C225,B225-C225,C225-B225)</f>
        <v>1.920000000000005E-3</v>
      </c>
      <c r="E225">
        <f>MINUTE(D225)</f>
        <v>2</v>
      </c>
      <c r="F225">
        <f>SECOND(D225)</f>
        <v>46</v>
      </c>
      <c r="G225">
        <f>ROUND(E225+F225/60,2)</f>
        <v>2.77</v>
      </c>
      <c r="H225">
        <f>60*E225+F225</f>
        <v>166</v>
      </c>
      <c r="I225" s="3">
        <f>5*(3600/H225)</f>
        <v>108.43373493975903</v>
      </c>
      <c r="J225" s="16">
        <f t="shared" si="6"/>
        <v>0</v>
      </c>
      <c r="K225" s="17">
        <f t="shared" si="7"/>
        <v>4</v>
      </c>
    </row>
    <row r="226" spans="1:11" x14ac:dyDescent="0.25">
      <c r="A226" s="4" t="s">
        <v>298</v>
      </c>
      <c r="B226" s="1">
        <v>0.71425300000000003</v>
      </c>
      <c r="C226" s="1">
        <v>0.71617299999999995</v>
      </c>
      <c r="D226" s="1">
        <f>IF(B226&gt;C226,B226-C226,C226-B226)</f>
        <v>1.9199999999999218E-3</v>
      </c>
      <c r="E226">
        <f>MINUTE(D226)</f>
        <v>2</v>
      </c>
      <c r="F226">
        <f>SECOND(D226)</f>
        <v>46</v>
      </c>
      <c r="G226">
        <f>ROUND(E226+F226/60,2)</f>
        <v>2.77</v>
      </c>
      <c r="H226">
        <f>60*E226+F226</f>
        <v>166</v>
      </c>
      <c r="I226" s="3">
        <f>5*(3600/H226)</f>
        <v>108.43373493975903</v>
      </c>
      <c r="J226" s="16">
        <f t="shared" si="6"/>
        <v>0</v>
      </c>
      <c r="K226" s="17">
        <f t="shared" si="7"/>
        <v>17</v>
      </c>
    </row>
    <row r="227" spans="1:11" x14ac:dyDescent="0.25">
      <c r="A227" s="4" t="s">
        <v>78</v>
      </c>
      <c r="B227" s="1">
        <v>0.39455000000000001</v>
      </c>
      <c r="C227" s="1">
        <v>0.39648600000000001</v>
      </c>
      <c r="D227" s="1">
        <f>IF(B227&gt;C227,B227-C227,C227-B227)</f>
        <v>1.9359999999999933E-3</v>
      </c>
      <c r="E227">
        <f>MINUTE(D227)</f>
        <v>2</v>
      </c>
      <c r="F227">
        <f>SECOND(D227)</f>
        <v>47</v>
      </c>
      <c r="G227">
        <f>ROUND(E227+F227/60,2)</f>
        <v>2.78</v>
      </c>
      <c r="H227">
        <f>60*E227+F227</f>
        <v>167</v>
      </c>
      <c r="I227" s="3">
        <f>5*(3600/H227)</f>
        <v>107.78443113772455</v>
      </c>
      <c r="J227" s="16">
        <f t="shared" si="6"/>
        <v>0</v>
      </c>
      <c r="K227" s="17">
        <f t="shared" si="7"/>
        <v>9</v>
      </c>
    </row>
    <row r="228" spans="1:11" x14ac:dyDescent="0.25">
      <c r="A228" s="4" t="s">
        <v>41</v>
      </c>
      <c r="B228" s="1">
        <v>0.88634100000000005</v>
      </c>
      <c r="C228" s="1">
        <v>0.88827299999999998</v>
      </c>
      <c r="D228" s="1">
        <f>IF(B228&gt;C228,B228-C228,C228-B228)</f>
        <v>1.9319999999999338E-3</v>
      </c>
      <c r="E228">
        <f>MINUTE(D228)</f>
        <v>2</v>
      </c>
      <c r="F228">
        <f>SECOND(D228)</f>
        <v>47</v>
      </c>
      <c r="G228">
        <f>ROUND(E228+F228/60,2)</f>
        <v>2.78</v>
      </c>
      <c r="H228">
        <f>60*E228+F228</f>
        <v>167</v>
      </c>
      <c r="I228" s="3">
        <f>5*(3600/H228)</f>
        <v>107.78443113772455</v>
      </c>
      <c r="J228" s="16">
        <f t="shared" si="6"/>
        <v>0</v>
      </c>
      <c r="K228" s="17">
        <f t="shared" si="7"/>
        <v>21</v>
      </c>
    </row>
    <row r="229" spans="1:11" x14ac:dyDescent="0.25">
      <c r="A229" s="4" t="s">
        <v>109</v>
      </c>
      <c r="B229" s="1">
        <v>0.30414799999999997</v>
      </c>
      <c r="C229" s="1">
        <v>0.30221199999999998</v>
      </c>
      <c r="D229" s="1">
        <f>IF(B229&gt;C229,B229-C229,C229-B229)</f>
        <v>1.9359999999999933E-3</v>
      </c>
      <c r="E229">
        <f>MINUTE(D229)</f>
        <v>2</v>
      </c>
      <c r="F229">
        <f>SECOND(D229)</f>
        <v>47</v>
      </c>
      <c r="G229">
        <f>ROUND(E229+F229/60,2)</f>
        <v>2.78</v>
      </c>
      <c r="H229">
        <f>60*E229+F229</f>
        <v>167</v>
      </c>
      <c r="I229" s="3">
        <f>5*(3600/H229)</f>
        <v>107.78443113772455</v>
      </c>
      <c r="J229" s="16">
        <f t="shared" si="6"/>
        <v>0</v>
      </c>
      <c r="K229" s="17">
        <f t="shared" si="7"/>
        <v>7</v>
      </c>
    </row>
    <row r="230" spans="1:11" x14ac:dyDescent="0.25">
      <c r="A230" s="4" t="s">
        <v>119</v>
      </c>
      <c r="B230" s="1">
        <v>0.80451099999999998</v>
      </c>
      <c r="C230" s="1">
        <v>0.80257900000000004</v>
      </c>
      <c r="D230" s="1">
        <f>IF(B230&gt;C230,B230-C230,C230-B230)</f>
        <v>1.9319999999999338E-3</v>
      </c>
      <c r="E230">
        <f>MINUTE(D230)</f>
        <v>2</v>
      </c>
      <c r="F230">
        <f>SECOND(D230)</f>
        <v>47</v>
      </c>
      <c r="G230">
        <f>ROUND(E230+F230/60,2)</f>
        <v>2.78</v>
      </c>
      <c r="H230">
        <f>60*E230+F230</f>
        <v>167</v>
      </c>
      <c r="I230" s="3">
        <f>5*(3600/H230)</f>
        <v>107.78443113772455</v>
      </c>
      <c r="J230" s="16">
        <f t="shared" si="6"/>
        <v>0</v>
      </c>
      <c r="K230" s="17">
        <f t="shared" si="7"/>
        <v>19</v>
      </c>
    </row>
    <row r="231" spans="1:11" x14ac:dyDescent="0.25">
      <c r="A231" s="4" t="s">
        <v>124</v>
      </c>
      <c r="B231" s="1">
        <v>0.37814999999999999</v>
      </c>
      <c r="C231" s="1">
        <v>0.38008599999999998</v>
      </c>
      <c r="D231" s="1">
        <f>IF(B231&gt;C231,B231-C231,C231-B231)</f>
        <v>1.9359999999999933E-3</v>
      </c>
      <c r="E231">
        <f>MINUTE(D231)</f>
        <v>2</v>
      </c>
      <c r="F231">
        <f>SECOND(D231)</f>
        <v>47</v>
      </c>
      <c r="G231">
        <f>ROUND(E231+F231/60,2)</f>
        <v>2.78</v>
      </c>
      <c r="H231">
        <f>60*E231+F231</f>
        <v>167</v>
      </c>
      <c r="I231" s="3">
        <f>5*(3600/H231)</f>
        <v>107.78443113772455</v>
      </c>
      <c r="J231" s="16">
        <f t="shared" si="6"/>
        <v>0</v>
      </c>
      <c r="K231" s="17">
        <f t="shared" si="7"/>
        <v>9</v>
      </c>
    </row>
    <row r="232" spans="1:11" x14ac:dyDescent="0.25">
      <c r="A232" s="4" t="s">
        <v>103</v>
      </c>
      <c r="B232" s="1">
        <v>0.39823199999999997</v>
      </c>
      <c r="C232" s="1">
        <v>0.40016400000000002</v>
      </c>
      <c r="D232" s="1">
        <f>IF(B232&gt;C232,B232-C232,C232-B232)</f>
        <v>1.9320000000000448E-3</v>
      </c>
      <c r="E232">
        <f>MINUTE(D232)</f>
        <v>2</v>
      </c>
      <c r="F232">
        <f>SECOND(D232)</f>
        <v>47</v>
      </c>
      <c r="G232">
        <f>ROUND(E232+F232/60,2)</f>
        <v>2.78</v>
      </c>
      <c r="H232">
        <f>60*E232+F232</f>
        <v>167</v>
      </c>
      <c r="I232" s="3">
        <f>5*(3600/H232)</f>
        <v>107.78443113772455</v>
      </c>
      <c r="J232" s="16">
        <f t="shared" si="6"/>
        <v>0</v>
      </c>
      <c r="K232" s="17">
        <f t="shared" si="7"/>
        <v>9</v>
      </c>
    </row>
    <row r="233" spans="1:11" x14ac:dyDescent="0.25">
      <c r="A233" s="4" t="s">
        <v>201</v>
      </c>
      <c r="B233" s="1">
        <v>1.3842999999999999E-2</v>
      </c>
      <c r="C233" s="1">
        <v>1.1911E-2</v>
      </c>
      <c r="D233" s="1">
        <f>IF(B233&gt;C233,B233-C233,C233-B233)</f>
        <v>1.9319999999999997E-3</v>
      </c>
      <c r="E233">
        <f>MINUTE(D233)</f>
        <v>2</v>
      </c>
      <c r="F233">
        <f>SECOND(D233)</f>
        <v>47</v>
      </c>
      <c r="G233">
        <f>ROUND(E233+F233/60,2)</f>
        <v>2.78</v>
      </c>
      <c r="H233">
        <f>60*E233+F233</f>
        <v>167</v>
      </c>
      <c r="I233" s="3">
        <f>5*(3600/H233)</f>
        <v>107.78443113772455</v>
      </c>
      <c r="J233" s="16">
        <f t="shared" si="6"/>
        <v>0</v>
      </c>
      <c r="K233" s="17">
        <f t="shared" si="7"/>
        <v>0</v>
      </c>
    </row>
    <row r="234" spans="1:11" x14ac:dyDescent="0.25">
      <c r="A234" s="4" t="s">
        <v>116</v>
      </c>
      <c r="B234" s="1">
        <v>4.8832E-2</v>
      </c>
      <c r="C234" s="1">
        <v>5.0776000000000002E-2</v>
      </c>
      <c r="D234" s="1">
        <f>IF(B234&gt;C234,B234-C234,C234-B234)</f>
        <v>1.9440000000000013E-3</v>
      </c>
      <c r="E234">
        <f>MINUTE(D234)</f>
        <v>2</v>
      </c>
      <c r="F234">
        <f>SECOND(D234)</f>
        <v>48</v>
      </c>
      <c r="G234">
        <f>ROUND(E234+F234/60,2)</f>
        <v>2.8</v>
      </c>
      <c r="H234">
        <f>60*E234+F234</f>
        <v>168</v>
      </c>
      <c r="I234" s="3">
        <f>5*(3600/H234)</f>
        <v>107.14285714285714</v>
      </c>
      <c r="J234" s="16">
        <f t="shared" si="6"/>
        <v>0</v>
      </c>
      <c r="K234" s="17">
        <f t="shared" si="7"/>
        <v>1</v>
      </c>
    </row>
    <row r="235" spans="1:11" x14ac:dyDescent="0.25">
      <c r="A235" s="4" t="s">
        <v>36</v>
      </c>
      <c r="B235" s="1">
        <v>0.514571</v>
      </c>
      <c r="C235" s="1">
        <v>0.51262700000000005</v>
      </c>
      <c r="D235" s="1">
        <f>IF(B235&gt;C235,B235-C235,C235-B235)</f>
        <v>1.9439999999999458E-3</v>
      </c>
      <c r="E235">
        <f>MINUTE(D235)</f>
        <v>2</v>
      </c>
      <c r="F235">
        <f>SECOND(D235)</f>
        <v>48</v>
      </c>
      <c r="G235">
        <f>ROUND(E235+F235/60,2)</f>
        <v>2.8</v>
      </c>
      <c r="H235">
        <f>60*E235+F235</f>
        <v>168</v>
      </c>
      <c r="I235" s="3">
        <f>5*(3600/H235)</f>
        <v>107.14285714285714</v>
      </c>
      <c r="J235" s="16">
        <f t="shared" si="6"/>
        <v>0</v>
      </c>
      <c r="K235" s="17">
        <f t="shared" si="7"/>
        <v>12</v>
      </c>
    </row>
    <row r="236" spans="1:11" x14ac:dyDescent="0.25">
      <c r="A236" s="4" t="s">
        <v>59</v>
      </c>
      <c r="B236" s="1">
        <v>0.99075100000000005</v>
      </c>
      <c r="C236" s="1">
        <v>0.98880699999999999</v>
      </c>
      <c r="D236" s="1">
        <f>IF(B236&gt;C236,B236-C236,C236-B236)</f>
        <v>1.9440000000000568E-3</v>
      </c>
      <c r="E236">
        <f>MINUTE(D236)</f>
        <v>2</v>
      </c>
      <c r="F236">
        <f>SECOND(D236)</f>
        <v>48</v>
      </c>
      <c r="G236">
        <f>ROUND(E236+F236/60,2)</f>
        <v>2.8</v>
      </c>
      <c r="H236">
        <f>60*E236+F236</f>
        <v>168</v>
      </c>
      <c r="I236" s="3">
        <f>5*(3600/H236)</f>
        <v>107.14285714285714</v>
      </c>
      <c r="J236" s="16">
        <f t="shared" si="6"/>
        <v>0</v>
      </c>
      <c r="K236" s="17">
        <f t="shared" si="7"/>
        <v>23</v>
      </c>
    </row>
    <row r="237" spans="1:11" x14ac:dyDescent="0.25">
      <c r="A237" s="4" t="s">
        <v>76</v>
      </c>
      <c r="B237" s="1">
        <v>0.80892299999999995</v>
      </c>
      <c r="C237" s="1">
        <v>0.806979</v>
      </c>
      <c r="D237" s="1">
        <f>IF(B237&gt;C237,B237-C237,C237-B237)</f>
        <v>1.9439999999999458E-3</v>
      </c>
      <c r="E237">
        <f>MINUTE(D237)</f>
        <v>2</v>
      </c>
      <c r="F237">
        <f>SECOND(D237)</f>
        <v>48</v>
      </c>
      <c r="G237">
        <f>ROUND(E237+F237/60,2)</f>
        <v>2.8</v>
      </c>
      <c r="H237">
        <f>60*E237+F237</f>
        <v>168</v>
      </c>
      <c r="I237" s="3">
        <f>5*(3600/H237)</f>
        <v>107.14285714285714</v>
      </c>
      <c r="J237" s="16">
        <f t="shared" si="6"/>
        <v>0</v>
      </c>
      <c r="K237" s="17">
        <f t="shared" si="7"/>
        <v>19</v>
      </c>
    </row>
    <row r="238" spans="1:11" x14ac:dyDescent="0.25">
      <c r="A238" s="4" t="s">
        <v>301</v>
      </c>
      <c r="B238" s="1">
        <v>4.1440000000000001E-3</v>
      </c>
      <c r="C238" s="1">
        <v>2.196E-3</v>
      </c>
      <c r="D238" s="1">
        <f>IF(B238&gt;C238,B238-C238,C238-B238)</f>
        <v>1.9480000000000001E-3</v>
      </c>
      <c r="E238">
        <f>MINUTE(D238)</f>
        <v>2</v>
      </c>
      <c r="F238">
        <f>SECOND(D238)</f>
        <v>48</v>
      </c>
      <c r="G238">
        <f>ROUND(E238+F238/60,2)</f>
        <v>2.8</v>
      </c>
      <c r="H238">
        <f>60*E238+F238</f>
        <v>168</v>
      </c>
      <c r="I238" s="3">
        <f>5*(3600/H238)</f>
        <v>107.14285714285714</v>
      </c>
      <c r="J238" s="16">
        <f t="shared" si="6"/>
        <v>0</v>
      </c>
      <c r="K238" s="17">
        <f t="shared" si="7"/>
        <v>0</v>
      </c>
    </row>
    <row r="239" spans="1:11" x14ac:dyDescent="0.25">
      <c r="A239" s="4" t="s">
        <v>107</v>
      </c>
      <c r="B239" s="1">
        <v>0.40933199999999997</v>
      </c>
      <c r="C239" s="1">
        <v>0.41129199999999999</v>
      </c>
      <c r="D239" s="1">
        <f>IF(B239&gt;C239,B239-C239,C239-B239)</f>
        <v>1.9600000000000173E-3</v>
      </c>
      <c r="E239">
        <f>MINUTE(D239)</f>
        <v>2</v>
      </c>
      <c r="F239">
        <f>SECOND(D239)</f>
        <v>49</v>
      </c>
      <c r="G239">
        <f>ROUND(E239+F239/60,2)</f>
        <v>2.82</v>
      </c>
      <c r="H239">
        <f>60*E239+F239</f>
        <v>169</v>
      </c>
      <c r="I239" s="3">
        <f>5*(3600/H239)</f>
        <v>106.50887573964496</v>
      </c>
      <c r="J239" s="16">
        <f t="shared" si="6"/>
        <v>0</v>
      </c>
      <c r="K239" s="17">
        <f t="shared" si="7"/>
        <v>9</v>
      </c>
    </row>
    <row r="240" spans="1:11" x14ac:dyDescent="0.25">
      <c r="A240" s="4" t="s">
        <v>313</v>
      </c>
      <c r="B240" s="1">
        <v>0.83169999999999999</v>
      </c>
      <c r="C240" s="1">
        <v>0.82974400000000004</v>
      </c>
      <c r="D240" s="1">
        <f>IF(B240&gt;C240,B240-C240,C240-B240)</f>
        <v>1.9559999999999578E-3</v>
      </c>
      <c r="E240">
        <f>MINUTE(D240)</f>
        <v>2</v>
      </c>
      <c r="F240">
        <f>SECOND(D240)</f>
        <v>49</v>
      </c>
      <c r="G240">
        <f>ROUND(E240+F240/60,2)</f>
        <v>2.82</v>
      </c>
      <c r="H240">
        <f>60*E240+F240</f>
        <v>169</v>
      </c>
      <c r="I240" s="3">
        <f>5*(3600/H240)</f>
        <v>106.50887573964496</v>
      </c>
      <c r="J240" s="16">
        <f t="shared" si="6"/>
        <v>0</v>
      </c>
      <c r="K240" s="17">
        <f t="shared" si="7"/>
        <v>19</v>
      </c>
    </row>
    <row r="241" spans="1:11" x14ac:dyDescent="0.25">
      <c r="A241" s="4" t="s">
        <v>9</v>
      </c>
      <c r="B241" s="1">
        <v>6.9554000000000005E-2</v>
      </c>
      <c r="C241" s="1">
        <v>6.7585999999999993E-2</v>
      </c>
      <c r="D241" s="1">
        <f>IF(B241&gt;C241,B241-C241,C241-B241)</f>
        <v>1.9680000000000114E-3</v>
      </c>
      <c r="E241">
        <f>MINUTE(D241)</f>
        <v>2</v>
      </c>
      <c r="F241">
        <f>SECOND(D241)</f>
        <v>50</v>
      </c>
      <c r="G241">
        <f>ROUND(E241+F241/60,2)</f>
        <v>2.83</v>
      </c>
      <c r="H241">
        <f>60*E241+F241</f>
        <v>170</v>
      </c>
      <c r="I241" s="3">
        <f>5*(3600/H241)</f>
        <v>105.88235294117646</v>
      </c>
      <c r="J241" s="16">
        <f t="shared" si="6"/>
        <v>0</v>
      </c>
      <c r="K241" s="17">
        <f t="shared" si="7"/>
        <v>1</v>
      </c>
    </row>
    <row r="242" spans="1:11" x14ac:dyDescent="0.25">
      <c r="A242" s="4" t="s">
        <v>53</v>
      </c>
      <c r="B242" s="1">
        <v>0.57415799999999995</v>
      </c>
      <c r="C242" s="1">
        <v>0.57219399999999998</v>
      </c>
      <c r="D242" s="1">
        <f>IF(B242&gt;C242,B242-C242,C242-B242)</f>
        <v>1.9639999999999658E-3</v>
      </c>
      <c r="E242">
        <f>MINUTE(D242)</f>
        <v>2</v>
      </c>
      <c r="F242">
        <f>SECOND(D242)</f>
        <v>50</v>
      </c>
      <c r="G242">
        <f>ROUND(E242+F242/60,2)</f>
        <v>2.83</v>
      </c>
      <c r="H242">
        <f>60*E242+F242</f>
        <v>170</v>
      </c>
      <c r="I242" s="3">
        <f>5*(3600/H242)</f>
        <v>105.88235294117646</v>
      </c>
      <c r="J242" s="16">
        <f t="shared" si="6"/>
        <v>0</v>
      </c>
      <c r="K242" s="17">
        <f t="shared" si="7"/>
        <v>13</v>
      </c>
    </row>
    <row r="243" spans="1:11" x14ac:dyDescent="0.25">
      <c r="A243" s="4" t="s">
        <v>75</v>
      </c>
      <c r="B243" s="1">
        <v>0.19887299999999999</v>
      </c>
      <c r="C243" s="1">
        <v>0.196909</v>
      </c>
      <c r="D243" s="1">
        <f>IF(B243&gt;C243,B243-C243,C243-B243)</f>
        <v>1.9639999999999935E-3</v>
      </c>
      <c r="E243">
        <f>MINUTE(D243)</f>
        <v>2</v>
      </c>
      <c r="F243">
        <f>SECOND(D243)</f>
        <v>50</v>
      </c>
      <c r="G243">
        <f>ROUND(E243+F243/60,2)</f>
        <v>2.83</v>
      </c>
      <c r="H243">
        <f>60*E243+F243</f>
        <v>170</v>
      </c>
      <c r="I243" s="3">
        <f>5*(3600/H243)</f>
        <v>105.88235294117646</v>
      </c>
      <c r="J243" s="16">
        <f t="shared" si="6"/>
        <v>0</v>
      </c>
      <c r="K243" s="17">
        <f t="shared" si="7"/>
        <v>4</v>
      </c>
    </row>
    <row r="244" spans="1:11" x14ac:dyDescent="0.25">
      <c r="A244" s="4" t="s">
        <v>5</v>
      </c>
      <c r="B244" s="1">
        <v>0.18615499999999999</v>
      </c>
      <c r="C244" s="1">
        <v>0.18418699999999999</v>
      </c>
      <c r="D244" s="1">
        <f>IF(B244&gt;C244,B244-C244,C244-B244)</f>
        <v>1.9679999999999975E-3</v>
      </c>
      <c r="E244">
        <f>MINUTE(D244)</f>
        <v>2</v>
      </c>
      <c r="F244">
        <f>SECOND(D244)</f>
        <v>50</v>
      </c>
      <c r="G244">
        <f>ROUND(E244+F244/60,2)</f>
        <v>2.83</v>
      </c>
      <c r="H244">
        <f>60*E244+F244</f>
        <v>170</v>
      </c>
      <c r="I244" s="3">
        <f>5*(3600/H244)</f>
        <v>105.88235294117646</v>
      </c>
      <c r="J244" s="16">
        <f t="shared" si="6"/>
        <v>0</v>
      </c>
      <c r="K244" s="17">
        <f t="shared" si="7"/>
        <v>4</v>
      </c>
    </row>
    <row r="245" spans="1:11" x14ac:dyDescent="0.25">
      <c r="A245" s="4" t="s">
        <v>243</v>
      </c>
      <c r="B245" s="1">
        <v>0.32779999999999998</v>
      </c>
      <c r="C245" s="1">
        <v>0.32583200000000001</v>
      </c>
      <c r="D245" s="1">
        <f>IF(B245&gt;C245,B245-C245,C245-B245)</f>
        <v>1.9679999999999698E-3</v>
      </c>
      <c r="E245">
        <f>MINUTE(D245)</f>
        <v>2</v>
      </c>
      <c r="F245">
        <f>SECOND(D245)</f>
        <v>50</v>
      </c>
      <c r="G245">
        <f>ROUND(E245+F245/60,2)</f>
        <v>2.83</v>
      </c>
      <c r="H245">
        <f>60*E245+F245</f>
        <v>170</v>
      </c>
      <c r="I245" s="3">
        <f>5*(3600/H245)</f>
        <v>105.88235294117646</v>
      </c>
      <c r="J245" s="16">
        <f t="shared" si="6"/>
        <v>0</v>
      </c>
      <c r="K245" s="17">
        <f t="shared" si="7"/>
        <v>7</v>
      </c>
    </row>
    <row r="246" spans="1:11" x14ac:dyDescent="0.25">
      <c r="A246" s="4" t="s">
        <v>338</v>
      </c>
      <c r="B246" s="1">
        <v>0.114995</v>
      </c>
      <c r="C246" s="1">
        <v>0.113023</v>
      </c>
      <c r="D246" s="1">
        <f>IF(B246&gt;C246,B246-C246,C246-B246)</f>
        <v>1.9720000000000015E-3</v>
      </c>
      <c r="E246">
        <f>MINUTE(D246)</f>
        <v>2</v>
      </c>
      <c r="F246">
        <f>SECOND(D246)</f>
        <v>50</v>
      </c>
      <c r="G246">
        <f>ROUND(E246+F246/60,2)</f>
        <v>2.83</v>
      </c>
      <c r="H246">
        <f>60*E246+F246</f>
        <v>170</v>
      </c>
      <c r="I246" s="3">
        <f>5*(3600/H246)</f>
        <v>105.88235294117646</v>
      </c>
      <c r="J246" s="16">
        <f t="shared" si="6"/>
        <v>0</v>
      </c>
      <c r="K246" s="17">
        <f t="shared" si="7"/>
        <v>2</v>
      </c>
    </row>
    <row r="247" spans="1:11" x14ac:dyDescent="0.25">
      <c r="A247" s="4" t="s">
        <v>138</v>
      </c>
      <c r="B247" s="1">
        <v>0.48477300000000001</v>
      </c>
      <c r="C247" s="1">
        <v>0.48279699999999998</v>
      </c>
      <c r="D247" s="1">
        <f>IF(B247&gt;C247,B247-C247,C247-B247)</f>
        <v>1.9760000000000333E-3</v>
      </c>
      <c r="E247">
        <f>MINUTE(D247)</f>
        <v>2</v>
      </c>
      <c r="F247">
        <f>SECOND(D247)</f>
        <v>51</v>
      </c>
      <c r="G247">
        <f>ROUND(E247+F247/60,2)</f>
        <v>2.85</v>
      </c>
      <c r="H247">
        <f>60*E247+F247</f>
        <v>171</v>
      </c>
      <c r="I247" s="3">
        <f>5*(3600/H247)</f>
        <v>105.26315789473685</v>
      </c>
      <c r="J247" s="16">
        <f t="shared" si="6"/>
        <v>0</v>
      </c>
      <c r="K247" s="17">
        <f t="shared" si="7"/>
        <v>11</v>
      </c>
    </row>
    <row r="248" spans="1:11" x14ac:dyDescent="0.25">
      <c r="A248" s="4" t="s">
        <v>247</v>
      </c>
      <c r="B248" s="1">
        <v>0.30108499999999999</v>
      </c>
      <c r="C248" s="1">
        <v>0.29910100000000001</v>
      </c>
      <c r="D248" s="1">
        <f>IF(B248&gt;C248,B248-C248,C248-B248)</f>
        <v>1.9839999999999858E-3</v>
      </c>
      <c r="E248">
        <f>MINUTE(D248)</f>
        <v>2</v>
      </c>
      <c r="F248">
        <f>SECOND(D248)</f>
        <v>51</v>
      </c>
      <c r="G248">
        <f>ROUND(E248+F248/60,2)</f>
        <v>2.85</v>
      </c>
      <c r="H248">
        <f>60*E248+F248</f>
        <v>171</v>
      </c>
      <c r="I248" s="3">
        <f>5*(3600/H248)</f>
        <v>105.26315789473685</v>
      </c>
      <c r="J248" s="16">
        <f t="shared" si="6"/>
        <v>0</v>
      </c>
      <c r="K248" s="17">
        <f t="shared" si="7"/>
        <v>7</v>
      </c>
    </row>
    <row r="249" spans="1:11" x14ac:dyDescent="0.25">
      <c r="A249" s="4" t="s">
        <v>9</v>
      </c>
      <c r="B249" s="1">
        <v>0.20372499999999999</v>
      </c>
      <c r="C249" s="1">
        <v>0.20172899999999999</v>
      </c>
      <c r="D249" s="1">
        <f>IF(B249&gt;C249,B249-C249,C249-B249)</f>
        <v>1.9959999999999978E-3</v>
      </c>
      <c r="E249">
        <f>MINUTE(D249)</f>
        <v>2</v>
      </c>
      <c r="F249">
        <f>SECOND(D249)</f>
        <v>52</v>
      </c>
      <c r="G249">
        <f>ROUND(E249+F249/60,2)</f>
        <v>2.87</v>
      </c>
      <c r="H249">
        <f>60*E249+F249</f>
        <v>172</v>
      </c>
      <c r="I249" s="3">
        <f>5*(3600/H249)</f>
        <v>104.65116279069768</v>
      </c>
      <c r="J249" s="16">
        <f t="shared" si="6"/>
        <v>0</v>
      </c>
      <c r="K249" s="17">
        <f t="shared" si="7"/>
        <v>4</v>
      </c>
    </row>
    <row r="250" spans="1:11" x14ac:dyDescent="0.25">
      <c r="A250" s="4" t="s">
        <v>67</v>
      </c>
      <c r="B250" s="1">
        <v>0.859155</v>
      </c>
      <c r="C250" s="1">
        <v>0.85716700000000001</v>
      </c>
      <c r="D250" s="1">
        <f>IF(B250&gt;C250,B250-C250,C250-B250)</f>
        <v>1.9879999999999898E-3</v>
      </c>
      <c r="E250">
        <f>MINUTE(D250)</f>
        <v>2</v>
      </c>
      <c r="F250">
        <f>SECOND(D250)</f>
        <v>52</v>
      </c>
      <c r="G250">
        <f>ROUND(E250+F250/60,2)</f>
        <v>2.87</v>
      </c>
      <c r="H250">
        <f>60*E250+F250</f>
        <v>172</v>
      </c>
      <c r="I250" s="3">
        <f>5*(3600/H250)</f>
        <v>104.65116279069768</v>
      </c>
      <c r="J250" s="16">
        <f t="shared" si="6"/>
        <v>0</v>
      </c>
      <c r="K250" s="17">
        <f t="shared" si="7"/>
        <v>20</v>
      </c>
    </row>
    <row r="251" spans="1:11" x14ac:dyDescent="0.25">
      <c r="A251" s="4" t="s">
        <v>109</v>
      </c>
      <c r="B251" s="1">
        <v>0.36385299999999998</v>
      </c>
      <c r="C251" s="1">
        <v>0.36585299999999998</v>
      </c>
      <c r="D251" s="1">
        <f>IF(B251&gt;C251,B251-C251,C251-B251)</f>
        <v>2.0000000000000018E-3</v>
      </c>
      <c r="E251">
        <f>MINUTE(D251)</f>
        <v>2</v>
      </c>
      <c r="F251">
        <f>SECOND(D251)</f>
        <v>53</v>
      </c>
      <c r="G251">
        <f>ROUND(E251+F251/60,2)</f>
        <v>2.88</v>
      </c>
      <c r="H251">
        <f>60*E251+F251</f>
        <v>173</v>
      </c>
      <c r="I251" s="3">
        <f>5*(3600/H251)</f>
        <v>104.04624277456648</v>
      </c>
      <c r="J251" s="16">
        <f t="shared" si="6"/>
        <v>0</v>
      </c>
      <c r="K251" s="17">
        <f t="shared" si="7"/>
        <v>8</v>
      </c>
    </row>
    <row r="252" spans="1:11" x14ac:dyDescent="0.25">
      <c r="A252" s="4" t="s">
        <v>115</v>
      </c>
      <c r="B252" s="1">
        <v>3.1198E-2</v>
      </c>
      <c r="C252" s="1">
        <v>2.9186E-2</v>
      </c>
      <c r="D252" s="1">
        <f>IF(B252&gt;C252,B252-C252,C252-B252)</f>
        <v>2.0119999999999999E-3</v>
      </c>
      <c r="E252">
        <f>MINUTE(D252)</f>
        <v>2</v>
      </c>
      <c r="F252">
        <f>SECOND(D252)</f>
        <v>54</v>
      </c>
      <c r="G252">
        <f>ROUND(E252+F252/60,2)</f>
        <v>2.9</v>
      </c>
      <c r="H252">
        <f>60*E252+F252</f>
        <v>174</v>
      </c>
      <c r="I252" s="3">
        <f>5*(3600/H252)</f>
        <v>103.44827586206897</v>
      </c>
      <c r="J252" s="16">
        <f t="shared" si="6"/>
        <v>0</v>
      </c>
      <c r="K252" s="17">
        <f t="shared" si="7"/>
        <v>0</v>
      </c>
    </row>
    <row r="253" spans="1:11" x14ac:dyDescent="0.25">
      <c r="A253" s="4" t="s">
        <v>87</v>
      </c>
      <c r="B253" s="1">
        <v>0.517347</v>
      </c>
      <c r="C253" s="1">
        <v>0.51533499999999999</v>
      </c>
      <c r="D253" s="1">
        <f>IF(B253&gt;C253,B253-C253,C253-B253)</f>
        <v>2.0120000000000138E-3</v>
      </c>
      <c r="E253">
        <f>MINUTE(D253)</f>
        <v>2</v>
      </c>
      <c r="F253">
        <f>SECOND(D253)</f>
        <v>54</v>
      </c>
      <c r="G253">
        <f>ROUND(E253+F253/60,2)</f>
        <v>2.9</v>
      </c>
      <c r="H253">
        <f>60*E253+F253</f>
        <v>174</v>
      </c>
      <c r="I253" s="3">
        <f>5*(3600/H253)</f>
        <v>103.44827586206897</v>
      </c>
      <c r="J253" s="16">
        <f t="shared" si="6"/>
        <v>0</v>
      </c>
      <c r="K253" s="17">
        <f t="shared" si="7"/>
        <v>12</v>
      </c>
    </row>
    <row r="254" spans="1:11" x14ac:dyDescent="0.25">
      <c r="A254" s="4" t="s">
        <v>114</v>
      </c>
      <c r="B254" s="1">
        <v>0.56009799999999998</v>
      </c>
      <c r="C254" s="1">
        <v>0.55808599999999997</v>
      </c>
      <c r="D254" s="1">
        <f>IF(B254&gt;C254,B254-C254,C254-B254)</f>
        <v>2.0120000000000138E-3</v>
      </c>
      <c r="E254">
        <f>MINUTE(D254)</f>
        <v>2</v>
      </c>
      <c r="F254">
        <f>SECOND(D254)</f>
        <v>54</v>
      </c>
      <c r="G254">
        <f>ROUND(E254+F254/60,2)</f>
        <v>2.9</v>
      </c>
      <c r="H254">
        <f>60*E254+F254</f>
        <v>174</v>
      </c>
      <c r="I254" s="3">
        <f>5*(3600/H254)</f>
        <v>103.44827586206897</v>
      </c>
      <c r="J254" s="16">
        <f t="shared" si="6"/>
        <v>0</v>
      </c>
      <c r="K254" s="17">
        <f t="shared" si="7"/>
        <v>13</v>
      </c>
    </row>
    <row r="255" spans="1:11" x14ac:dyDescent="0.25">
      <c r="A255" s="4" t="s">
        <v>35</v>
      </c>
      <c r="B255" s="1">
        <v>3.5965999999999998E-2</v>
      </c>
      <c r="C255" s="1">
        <v>3.7982000000000002E-2</v>
      </c>
      <c r="D255" s="1">
        <f>IF(B255&gt;C255,B255-C255,C255-B255)</f>
        <v>2.0160000000000039E-3</v>
      </c>
      <c r="E255">
        <f>MINUTE(D255)</f>
        <v>2</v>
      </c>
      <c r="F255">
        <f>SECOND(D255)</f>
        <v>54</v>
      </c>
      <c r="G255">
        <f>ROUND(E255+F255/60,2)</f>
        <v>2.9</v>
      </c>
      <c r="H255">
        <f>60*E255+F255</f>
        <v>174</v>
      </c>
      <c r="I255" s="3">
        <f>5*(3600/H255)</f>
        <v>103.44827586206897</v>
      </c>
      <c r="J255" s="16">
        <f t="shared" si="6"/>
        <v>0</v>
      </c>
      <c r="K255" s="17">
        <f t="shared" si="7"/>
        <v>0</v>
      </c>
    </row>
    <row r="256" spans="1:11" x14ac:dyDescent="0.25">
      <c r="A256" s="4" t="s">
        <v>293</v>
      </c>
      <c r="B256" s="1">
        <v>0.55314399999999997</v>
      </c>
      <c r="C256" s="1">
        <v>0.55515999999999999</v>
      </c>
      <c r="D256" s="1">
        <f>IF(B256&gt;C256,B256-C256,C256-B256)</f>
        <v>2.0160000000000178E-3</v>
      </c>
      <c r="E256">
        <f>MINUTE(D256)</f>
        <v>2</v>
      </c>
      <c r="F256">
        <f>SECOND(D256)</f>
        <v>54</v>
      </c>
      <c r="G256">
        <f>ROUND(E256+F256/60,2)</f>
        <v>2.9</v>
      </c>
      <c r="H256">
        <f>60*E256+F256</f>
        <v>174</v>
      </c>
      <c r="I256" s="3">
        <f>5*(3600/H256)</f>
        <v>103.44827586206897</v>
      </c>
      <c r="J256" s="16">
        <f t="shared" si="6"/>
        <v>0</v>
      </c>
      <c r="K256" s="17">
        <f t="shared" si="7"/>
        <v>13</v>
      </c>
    </row>
    <row r="257" spans="1:11" x14ac:dyDescent="0.25">
      <c r="A257" s="4" t="s">
        <v>162</v>
      </c>
      <c r="B257" s="1">
        <v>0.17679500000000001</v>
      </c>
      <c r="C257" s="1">
        <v>0.17477100000000001</v>
      </c>
      <c r="D257" s="1">
        <f>IF(B257&gt;C257,B257-C257,C257-B257)</f>
        <v>2.023999999999998E-3</v>
      </c>
      <c r="E257">
        <f>MINUTE(D257)</f>
        <v>2</v>
      </c>
      <c r="F257">
        <f>SECOND(D257)</f>
        <v>55</v>
      </c>
      <c r="G257">
        <f>ROUND(E257+F257/60,2)</f>
        <v>2.92</v>
      </c>
      <c r="H257">
        <f>60*E257+F257</f>
        <v>175</v>
      </c>
      <c r="I257" s="3">
        <f>5*(3600/H257)</f>
        <v>102.85714285714286</v>
      </c>
      <c r="J257" s="16">
        <f t="shared" si="6"/>
        <v>0</v>
      </c>
      <c r="K257" s="17">
        <f t="shared" si="7"/>
        <v>4</v>
      </c>
    </row>
    <row r="258" spans="1:11" x14ac:dyDescent="0.25">
      <c r="A258" s="4" t="s">
        <v>117</v>
      </c>
      <c r="B258" s="1">
        <v>0.84016999999999997</v>
      </c>
      <c r="C258" s="1">
        <v>0.84218999999999999</v>
      </c>
      <c r="D258" s="1">
        <f>IF(B258&gt;C258,B258-C258,C258-B258)</f>
        <v>2.0200000000000218E-3</v>
      </c>
      <c r="E258">
        <f>MINUTE(D258)</f>
        <v>2</v>
      </c>
      <c r="F258">
        <f>SECOND(D258)</f>
        <v>55</v>
      </c>
      <c r="G258">
        <f>ROUND(E258+F258/60,2)</f>
        <v>2.92</v>
      </c>
      <c r="H258">
        <f>60*E258+F258</f>
        <v>175</v>
      </c>
      <c r="I258" s="3">
        <f>5*(3600/H258)</f>
        <v>102.85714285714286</v>
      </c>
      <c r="J258" s="16">
        <f t="shared" si="6"/>
        <v>0</v>
      </c>
      <c r="K258" s="17">
        <f t="shared" si="7"/>
        <v>20</v>
      </c>
    </row>
    <row r="259" spans="1:11" x14ac:dyDescent="0.25">
      <c r="A259" s="4" t="s">
        <v>139</v>
      </c>
      <c r="B259" s="1">
        <v>0.28436099999999997</v>
      </c>
      <c r="C259" s="1">
        <v>0.286385</v>
      </c>
      <c r="D259" s="1">
        <f>IF(B259&gt;C259,B259-C259,C259-B259)</f>
        <v>2.0240000000000258E-3</v>
      </c>
      <c r="E259">
        <f>MINUTE(D259)</f>
        <v>2</v>
      </c>
      <c r="F259">
        <f>SECOND(D259)</f>
        <v>55</v>
      </c>
      <c r="G259">
        <f>ROUND(E259+F259/60,2)</f>
        <v>2.92</v>
      </c>
      <c r="H259">
        <f>60*E259+F259</f>
        <v>175</v>
      </c>
      <c r="I259" s="3">
        <f>5*(3600/H259)</f>
        <v>102.85714285714286</v>
      </c>
      <c r="J259" s="16">
        <f t="shared" ref="J259:J322" si="8">IF(I259&gt;140,1,0)</f>
        <v>0</v>
      </c>
      <c r="K259" s="17">
        <f t="shared" ref="K259:K322" si="9">HOUR(B259)</f>
        <v>6</v>
      </c>
    </row>
    <row r="260" spans="1:11" x14ac:dyDescent="0.25">
      <c r="A260" s="4" t="s">
        <v>217</v>
      </c>
      <c r="B260" s="1">
        <v>9.6702999999999997E-2</v>
      </c>
      <c r="C260" s="1">
        <v>9.4674999999999995E-2</v>
      </c>
      <c r="D260" s="1">
        <f>IF(B260&gt;C260,B260-C260,C260-B260)</f>
        <v>2.028000000000002E-3</v>
      </c>
      <c r="E260">
        <f>MINUTE(D260)</f>
        <v>2</v>
      </c>
      <c r="F260">
        <f>SECOND(D260)</f>
        <v>55</v>
      </c>
      <c r="G260">
        <f>ROUND(E260+F260/60,2)</f>
        <v>2.92</v>
      </c>
      <c r="H260">
        <f>60*E260+F260</f>
        <v>175</v>
      </c>
      <c r="I260" s="3">
        <f>5*(3600/H260)</f>
        <v>102.85714285714286</v>
      </c>
      <c r="J260" s="16">
        <f t="shared" si="8"/>
        <v>0</v>
      </c>
      <c r="K260" s="17">
        <f t="shared" si="9"/>
        <v>2</v>
      </c>
    </row>
    <row r="261" spans="1:11" x14ac:dyDescent="0.25">
      <c r="A261" s="4" t="s">
        <v>250</v>
      </c>
      <c r="B261" s="1">
        <v>0.69297900000000001</v>
      </c>
      <c r="C261" s="1">
        <v>0.69500300000000004</v>
      </c>
      <c r="D261" s="1">
        <f>IF(B261&gt;C261,B261-C261,C261-B261)</f>
        <v>2.0240000000000258E-3</v>
      </c>
      <c r="E261">
        <f>MINUTE(D261)</f>
        <v>2</v>
      </c>
      <c r="F261">
        <f>SECOND(D261)</f>
        <v>55</v>
      </c>
      <c r="G261">
        <f>ROUND(E261+F261/60,2)</f>
        <v>2.92</v>
      </c>
      <c r="H261">
        <f>60*E261+F261</f>
        <v>175</v>
      </c>
      <c r="I261" s="3">
        <f>5*(3600/H261)</f>
        <v>102.85714285714286</v>
      </c>
      <c r="J261" s="16">
        <f t="shared" si="8"/>
        <v>0</v>
      </c>
      <c r="K261" s="17">
        <f t="shared" si="9"/>
        <v>16</v>
      </c>
    </row>
    <row r="262" spans="1:11" x14ac:dyDescent="0.25">
      <c r="A262" s="4" t="s">
        <v>396</v>
      </c>
      <c r="B262" s="1">
        <v>0.14202300000000001</v>
      </c>
      <c r="C262" s="1">
        <v>0.13999500000000001</v>
      </c>
      <c r="D262" s="1">
        <f>IF(B262&gt;C262,B262-C262,C262-B262)</f>
        <v>2.028000000000002E-3</v>
      </c>
      <c r="E262">
        <f>MINUTE(D262)</f>
        <v>2</v>
      </c>
      <c r="F262">
        <f>SECOND(D262)</f>
        <v>55</v>
      </c>
      <c r="G262">
        <f>ROUND(E262+F262/60,2)</f>
        <v>2.92</v>
      </c>
      <c r="H262">
        <f>60*E262+F262</f>
        <v>175</v>
      </c>
      <c r="I262" s="3">
        <f>5*(3600/H262)</f>
        <v>102.85714285714286</v>
      </c>
      <c r="J262" s="16">
        <f t="shared" si="8"/>
        <v>0</v>
      </c>
      <c r="K262" s="17">
        <f t="shared" si="9"/>
        <v>3</v>
      </c>
    </row>
    <row r="263" spans="1:11" x14ac:dyDescent="0.25">
      <c r="A263" s="4" t="s">
        <v>143</v>
      </c>
      <c r="B263" s="1">
        <v>0.46729599999999999</v>
      </c>
      <c r="C263" s="1">
        <v>0.46933599999999998</v>
      </c>
      <c r="D263" s="1">
        <f>IF(B263&gt;C263,B263-C263,C263-B263)</f>
        <v>2.0399999999999863E-3</v>
      </c>
      <c r="E263">
        <f>MINUTE(D263)</f>
        <v>2</v>
      </c>
      <c r="F263">
        <f>SECOND(D263)</f>
        <v>56</v>
      </c>
      <c r="G263">
        <f>ROUND(E263+F263/60,2)</f>
        <v>2.93</v>
      </c>
      <c r="H263">
        <f>60*E263+F263</f>
        <v>176</v>
      </c>
      <c r="I263" s="3">
        <f>5*(3600/H263)</f>
        <v>102.27272727272727</v>
      </c>
      <c r="J263" s="16">
        <f t="shared" si="8"/>
        <v>0</v>
      </c>
      <c r="K263" s="17">
        <f t="shared" si="9"/>
        <v>11</v>
      </c>
    </row>
    <row r="264" spans="1:11" x14ac:dyDescent="0.25">
      <c r="A264" s="4" t="s">
        <v>109</v>
      </c>
      <c r="B264" s="1">
        <v>0.869726</v>
      </c>
      <c r="C264" s="1">
        <v>0.86768999999999996</v>
      </c>
      <c r="D264" s="1">
        <f>IF(B264&gt;C264,B264-C264,C264-B264)</f>
        <v>2.0360000000000378E-3</v>
      </c>
      <c r="E264">
        <f>MINUTE(D264)</f>
        <v>2</v>
      </c>
      <c r="F264">
        <f>SECOND(D264)</f>
        <v>56</v>
      </c>
      <c r="G264">
        <f>ROUND(E264+F264/60,2)</f>
        <v>2.93</v>
      </c>
      <c r="H264">
        <f>60*E264+F264</f>
        <v>176</v>
      </c>
      <c r="I264" s="3">
        <f>5*(3600/H264)</f>
        <v>102.27272727272727</v>
      </c>
      <c r="J264" s="16">
        <f t="shared" si="8"/>
        <v>0</v>
      </c>
      <c r="K264" s="17">
        <f t="shared" si="9"/>
        <v>20</v>
      </c>
    </row>
    <row r="265" spans="1:11" x14ac:dyDescent="0.25">
      <c r="A265" s="4" t="s">
        <v>165</v>
      </c>
      <c r="B265" s="1">
        <v>0.16714200000000001</v>
      </c>
      <c r="C265" s="1">
        <v>0.165106</v>
      </c>
      <c r="D265" s="1">
        <f>IF(B265&gt;C265,B265-C265,C265-B265)</f>
        <v>2.03600000000001E-3</v>
      </c>
      <c r="E265">
        <f>MINUTE(D265)</f>
        <v>2</v>
      </c>
      <c r="F265">
        <f>SECOND(D265)</f>
        <v>56</v>
      </c>
      <c r="G265">
        <f>ROUND(E265+F265/60,2)</f>
        <v>2.93</v>
      </c>
      <c r="H265">
        <f>60*E265+F265</f>
        <v>176</v>
      </c>
      <c r="I265" s="3">
        <f>5*(3600/H265)</f>
        <v>102.27272727272727</v>
      </c>
      <c r="J265" s="16">
        <f t="shared" si="8"/>
        <v>0</v>
      </c>
      <c r="K265" s="17">
        <f t="shared" si="9"/>
        <v>4</v>
      </c>
    </row>
    <row r="266" spans="1:11" x14ac:dyDescent="0.25">
      <c r="A266" s="4" t="s">
        <v>58</v>
      </c>
      <c r="B266" s="1">
        <v>0.88663099999999995</v>
      </c>
      <c r="C266" s="1">
        <v>0.888683</v>
      </c>
      <c r="D266" s="1">
        <f>IF(B266&gt;C266,B266-C266,C266-B266)</f>
        <v>2.0520000000000538E-3</v>
      </c>
      <c r="E266">
        <f>MINUTE(D266)</f>
        <v>2</v>
      </c>
      <c r="F266">
        <f>SECOND(D266)</f>
        <v>57</v>
      </c>
      <c r="G266">
        <f>ROUND(E266+F266/60,2)</f>
        <v>2.95</v>
      </c>
      <c r="H266">
        <f>60*E266+F266</f>
        <v>177</v>
      </c>
      <c r="I266" s="3">
        <f>5*(3600/H266)</f>
        <v>101.69491525423729</v>
      </c>
      <c r="J266" s="16">
        <f t="shared" si="8"/>
        <v>0</v>
      </c>
      <c r="K266" s="17">
        <f t="shared" si="9"/>
        <v>21</v>
      </c>
    </row>
    <row r="267" spans="1:11" x14ac:dyDescent="0.25">
      <c r="A267" s="4" t="s">
        <v>158</v>
      </c>
      <c r="B267" s="1">
        <v>0.82938000000000001</v>
      </c>
      <c r="C267" s="1">
        <v>0.82733199999999996</v>
      </c>
      <c r="D267" s="1">
        <f>IF(B267&gt;C267,B267-C267,C267-B267)</f>
        <v>2.0480000000000498E-3</v>
      </c>
      <c r="E267">
        <f>MINUTE(D267)</f>
        <v>2</v>
      </c>
      <c r="F267">
        <f>SECOND(D267)</f>
        <v>57</v>
      </c>
      <c r="G267">
        <f>ROUND(E267+F267/60,2)</f>
        <v>2.95</v>
      </c>
      <c r="H267">
        <f>60*E267+F267</f>
        <v>177</v>
      </c>
      <c r="I267" s="3">
        <f>5*(3600/H267)</f>
        <v>101.69491525423729</v>
      </c>
      <c r="J267" s="16">
        <f t="shared" si="8"/>
        <v>0</v>
      </c>
      <c r="K267" s="17">
        <f t="shared" si="9"/>
        <v>19</v>
      </c>
    </row>
    <row r="268" spans="1:11" x14ac:dyDescent="0.25">
      <c r="A268" s="4" t="s">
        <v>23</v>
      </c>
      <c r="B268" s="1">
        <v>0.551709</v>
      </c>
      <c r="C268" s="1">
        <v>0.54965699999999995</v>
      </c>
      <c r="D268" s="1">
        <f>IF(B268&gt;C268,B268-C268,C268-B268)</f>
        <v>2.0520000000000538E-3</v>
      </c>
      <c r="E268">
        <f>MINUTE(D268)</f>
        <v>2</v>
      </c>
      <c r="F268">
        <f>SECOND(D268)</f>
        <v>57</v>
      </c>
      <c r="G268">
        <f>ROUND(E268+F268/60,2)</f>
        <v>2.95</v>
      </c>
      <c r="H268">
        <f>60*E268+F268</f>
        <v>177</v>
      </c>
      <c r="I268" s="3">
        <f>5*(3600/H268)</f>
        <v>101.69491525423729</v>
      </c>
      <c r="J268" s="16">
        <f t="shared" si="8"/>
        <v>0</v>
      </c>
      <c r="K268" s="17">
        <f t="shared" si="9"/>
        <v>13</v>
      </c>
    </row>
    <row r="269" spans="1:11" x14ac:dyDescent="0.25">
      <c r="A269" s="4" t="s">
        <v>211</v>
      </c>
      <c r="B269" s="1">
        <v>0.29138900000000001</v>
      </c>
      <c r="C269" s="1">
        <v>0.29344100000000001</v>
      </c>
      <c r="D269" s="1">
        <f>IF(B269&gt;C269,B269-C269,C269-B269)</f>
        <v>2.0519999999999983E-3</v>
      </c>
      <c r="E269">
        <f>MINUTE(D269)</f>
        <v>2</v>
      </c>
      <c r="F269">
        <f>SECOND(D269)</f>
        <v>57</v>
      </c>
      <c r="G269">
        <f>ROUND(E269+F269/60,2)</f>
        <v>2.95</v>
      </c>
      <c r="H269">
        <f>60*E269+F269</f>
        <v>177</v>
      </c>
      <c r="I269" s="3">
        <f>5*(3600/H269)</f>
        <v>101.69491525423729</v>
      </c>
      <c r="J269" s="16">
        <f t="shared" si="8"/>
        <v>0</v>
      </c>
      <c r="K269" s="17">
        <f t="shared" si="9"/>
        <v>6</v>
      </c>
    </row>
    <row r="270" spans="1:11" x14ac:dyDescent="0.25">
      <c r="A270" s="4" t="s">
        <v>257</v>
      </c>
      <c r="B270" s="1">
        <v>0.66598000000000002</v>
      </c>
      <c r="C270" s="1">
        <v>0.66393599999999997</v>
      </c>
      <c r="D270" s="1">
        <f>IF(B270&gt;C270,B270-C270,C270-B270)</f>
        <v>2.0440000000000458E-3</v>
      </c>
      <c r="E270">
        <f>MINUTE(D270)</f>
        <v>2</v>
      </c>
      <c r="F270">
        <f>SECOND(D270)</f>
        <v>57</v>
      </c>
      <c r="G270">
        <f>ROUND(E270+F270/60,2)</f>
        <v>2.95</v>
      </c>
      <c r="H270">
        <f>60*E270+F270</f>
        <v>177</v>
      </c>
      <c r="I270" s="3">
        <f>5*(3600/H270)</f>
        <v>101.69491525423729</v>
      </c>
      <c r="J270" s="16">
        <f t="shared" si="8"/>
        <v>0</v>
      </c>
      <c r="K270" s="17">
        <f t="shared" si="9"/>
        <v>15</v>
      </c>
    </row>
    <row r="271" spans="1:11" x14ac:dyDescent="0.25">
      <c r="A271" s="4" t="s">
        <v>96</v>
      </c>
      <c r="B271" s="1">
        <v>0.699542</v>
      </c>
      <c r="C271" s="1">
        <v>0.70160199999999995</v>
      </c>
      <c r="D271" s="1">
        <f>IF(B271&gt;C271,B271-C271,C271-B271)</f>
        <v>2.0599999999999508E-3</v>
      </c>
      <c r="E271">
        <f>MINUTE(D271)</f>
        <v>2</v>
      </c>
      <c r="F271">
        <f>SECOND(D271)</f>
        <v>58</v>
      </c>
      <c r="G271">
        <f>ROUND(E271+F271/60,2)</f>
        <v>2.97</v>
      </c>
      <c r="H271">
        <f>60*E271+F271</f>
        <v>178</v>
      </c>
      <c r="I271" s="3">
        <f>5*(3600/H271)</f>
        <v>101.12359550561798</v>
      </c>
      <c r="J271" s="16">
        <f t="shared" si="8"/>
        <v>0</v>
      </c>
      <c r="K271" s="17">
        <f t="shared" si="9"/>
        <v>16</v>
      </c>
    </row>
    <row r="272" spans="1:11" x14ac:dyDescent="0.25">
      <c r="A272" s="4" t="s">
        <v>117</v>
      </c>
      <c r="B272" s="1">
        <v>0.26135000000000003</v>
      </c>
      <c r="C272" s="1">
        <v>0.26341399999999998</v>
      </c>
      <c r="D272" s="1">
        <f>IF(B272&gt;C272,B272-C272,C272-B272)</f>
        <v>2.0639999999999548E-3</v>
      </c>
      <c r="E272">
        <f>MINUTE(D272)</f>
        <v>2</v>
      </c>
      <c r="F272">
        <f>SECOND(D272)</f>
        <v>58</v>
      </c>
      <c r="G272">
        <f>ROUND(E272+F272/60,2)</f>
        <v>2.97</v>
      </c>
      <c r="H272">
        <f>60*E272+F272</f>
        <v>178</v>
      </c>
      <c r="I272" s="3">
        <f>5*(3600/H272)</f>
        <v>101.12359550561798</v>
      </c>
      <c r="J272" s="16">
        <f t="shared" si="8"/>
        <v>0</v>
      </c>
      <c r="K272" s="17">
        <f t="shared" si="9"/>
        <v>6</v>
      </c>
    </row>
    <row r="273" spans="1:11" x14ac:dyDescent="0.25">
      <c r="A273" s="4" t="s">
        <v>117</v>
      </c>
      <c r="B273" s="1">
        <v>0.97350800000000004</v>
      </c>
      <c r="C273" s="1">
        <v>0.97145199999999998</v>
      </c>
      <c r="D273" s="1">
        <f>IF(B273&gt;C273,B273-C273,C273-B273)</f>
        <v>2.0560000000000578E-3</v>
      </c>
      <c r="E273">
        <f>MINUTE(D273)</f>
        <v>2</v>
      </c>
      <c r="F273">
        <f>SECOND(D273)</f>
        <v>58</v>
      </c>
      <c r="G273">
        <f>ROUND(E273+F273/60,2)</f>
        <v>2.97</v>
      </c>
      <c r="H273">
        <f>60*E273+F273</f>
        <v>178</v>
      </c>
      <c r="I273" s="3">
        <f>5*(3600/H273)</f>
        <v>101.12359550561798</v>
      </c>
      <c r="J273" s="16">
        <f t="shared" si="8"/>
        <v>0</v>
      </c>
      <c r="K273" s="17">
        <f t="shared" si="9"/>
        <v>23</v>
      </c>
    </row>
    <row r="274" spans="1:11" x14ac:dyDescent="0.25">
      <c r="A274" s="4" t="s">
        <v>50</v>
      </c>
      <c r="B274" s="1">
        <v>0.14851200000000001</v>
      </c>
      <c r="C274" s="1">
        <v>0.14644799999999999</v>
      </c>
      <c r="D274" s="1">
        <f>IF(B274&gt;C274,B274-C274,C274-B274)</f>
        <v>2.0640000000000103E-3</v>
      </c>
      <c r="E274">
        <f>MINUTE(D274)</f>
        <v>2</v>
      </c>
      <c r="F274">
        <f>SECOND(D274)</f>
        <v>58</v>
      </c>
      <c r="G274">
        <f>ROUND(E274+F274/60,2)</f>
        <v>2.97</v>
      </c>
      <c r="H274">
        <f>60*E274+F274</f>
        <v>178</v>
      </c>
      <c r="I274" s="3">
        <f>5*(3600/H274)</f>
        <v>101.12359550561798</v>
      </c>
      <c r="J274" s="16">
        <f t="shared" si="8"/>
        <v>0</v>
      </c>
      <c r="K274" s="17">
        <f t="shared" si="9"/>
        <v>3</v>
      </c>
    </row>
    <row r="275" spans="1:11" x14ac:dyDescent="0.25">
      <c r="A275" s="4" t="s">
        <v>49</v>
      </c>
      <c r="B275" s="1">
        <v>0.16655700000000001</v>
      </c>
      <c r="C275" s="1">
        <v>0.168625</v>
      </c>
      <c r="D275" s="1">
        <f>IF(B275&gt;C275,B275-C275,C275-B275)</f>
        <v>2.0679999999999865E-3</v>
      </c>
      <c r="E275">
        <f>MINUTE(D275)</f>
        <v>2</v>
      </c>
      <c r="F275">
        <f>SECOND(D275)</f>
        <v>59</v>
      </c>
      <c r="G275">
        <f>ROUND(E275+F275/60,2)</f>
        <v>2.98</v>
      </c>
      <c r="H275">
        <f>60*E275+F275</f>
        <v>179</v>
      </c>
      <c r="I275" s="3">
        <f>5*(3600/H275)</f>
        <v>100.55865921787711</v>
      </c>
      <c r="J275" s="16">
        <f t="shared" si="8"/>
        <v>0</v>
      </c>
      <c r="K275" s="17">
        <f t="shared" si="9"/>
        <v>3</v>
      </c>
    </row>
    <row r="276" spans="1:11" x14ac:dyDescent="0.25">
      <c r="A276" s="4" t="s">
        <v>173</v>
      </c>
      <c r="B276" s="1">
        <v>0.45782299999999998</v>
      </c>
      <c r="C276" s="1">
        <v>0.45575500000000002</v>
      </c>
      <c r="D276" s="1">
        <f>IF(B276&gt;C276,B276-C276,C276-B276)</f>
        <v>2.0679999999999588E-3</v>
      </c>
      <c r="E276">
        <f>MINUTE(D276)</f>
        <v>2</v>
      </c>
      <c r="F276">
        <f>SECOND(D276)</f>
        <v>59</v>
      </c>
      <c r="G276">
        <f>ROUND(E276+F276/60,2)</f>
        <v>2.98</v>
      </c>
      <c r="H276">
        <f>60*E276+F276</f>
        <v>179</v>
      </c>
      <c r="I276" s="3">
        <f>5*(3600/H276)</f>
        <v>100.55865921787711</v>
      </c>
      <c r="J276" s="16">
        <f t="shared" si="8"/>
        <v>0</v>
      </c>
      <c r="K276" s="17">
        <f t="shared" si="9"/>
        <v>10</v>
      </c>
    </row>
    <row r="277" spans="1:11" x14ac:dyDescent="0.25">
      <c r="A277" s="4" t="s">
        <v>83</v>
      </c>
      <c r="B277" s="1">
        <v>0.91982600000000003</v>
      </c>
      <c r="C277" s="1">
        <v>0.91775399999999996</v>
      </c>
      <c r="D277" s="1">
        <f>IF(B277&gt;C277,B277-C277,C277-B277)</f>
        <v>2.0720000000000738E-3</v>
      </c>
      <c r="E277">
        <f>MINUTE(D277)</f>
        <v>2</v>
      </c>
      <c r="F277">
        <f>SECOND(D277)</f>
        <v>59</v>
      </c>
      <c r="G277">
        <f>ROUND(E277+F277/60,2)</f>
        <v>2.98</v>
      </c>
      <c r="H277">
        <f>60*E277+F277</f>
        <v>179</v>
      </c>
      <c r="I277" s="3">
        <f>5*(3600/H277)</f>
        <v>100.55865921787711</v>
      </c>
      <c r="J277" s="16">
        <f t="shared" si="8"/>
        <v>0</v>
      </c>
      <c r="K277" s="17">
        <f t="shared" si="9"/>
        <v>22</v>
      </c>
    </row>
    <row r="278" spans="1:11" x14ac:dyDescent="0.25">
      <c r="A278" s="4" t="s">
        <v>241</v>
      </c>
      <c r="B278" s="1">
        <v>0.12286</v>
      </c>
      <c r="C278" s="1">
        <v>0.12078800000000001</v>
      </c>
      <c r="D278" s="1">
        <f>IF(B278&gt;C278,B278-C278,C278-B278)</f>
        <v>2.0719999999999905E-3</v>
      </c>
      <c r="E278">
        <f>MINUTE(D278)</f>
        <v>2</v>
      </c>
      <c r="F278">
        <f>SECOND(D278)</f>
        <v>59</v>
      </c>
      <c r="G278">
        <f>ROUND(E278+F278/60,2)</f>
        <v>2.98</v>
      </c>
      <c r="H278">
        <f>60*E278+F278</f>
        <v>179</v>
      </c>
      <c r="I278" s="3">
        <f>5*(3600/H278)</f>
        <v>100.55865921787711</v>
      </c>
      <c r="J278" s="16">
        <f t="shared" si="8"/>
        <v>0</v>
      </c>
      <c r="K278" s="17">
        <f t="shared" si="9"/>
        <v>2</v>
      </c>
    </row>
    <row r="279" spans="1:11" x14ac:dyDescent="0.25">
      <c r="A279" s="4" t="s">
        <v>70</v>
      </c>
      <c r="B279" s="1">
        <v>0.55355699999999997</v>
      </c>
      <c r="C279" s="1">
        <v>0.55564499999999994</v>
      </c>
      <c r="D279" s="1">
        <f>IF(B279&gt;C279,B279-C279,C279-B279)</f>
        <v>2.0879999999999788E-3</v>
      </c>
      <c r="E279">
        <f>MINUTE(D279)</f>
        <v>3</v>
      </c>
      <c r="F279">
        <f>SECOND(D279)</f>
        <v>0</v>
      </c>
      <c r="G279">
        <f>ROUND(E279+F279/60,2)</f>
        <v>3</v>
      </c>
      <c r="H279">
        <f>60*E279+F279</f>
        <v>180</v>
      </c>
      <c r="I279" s="3">
        <f>5*(3600/H279)</f>
        <v>100</v>
      </c>
      <c r="J279" s="16">
        <f t="shared" si="8"/>
        <v>0</v>
      </c>
      <c r="K279" s="17">
        <f t="shared" si="9"/>
        <v>13</v>
      </c>
    </row>
    <row r="280" spans="1:11" x14ac:dyDescent="0.25">
      <c r="A280" s="4" t="s">
        <v>66</v>
      </c>
      <c r="B280" s="1">
        <v>0.21590100000000001</v>
      </c>
      <c r="C280" s="1">
        <v>0.21798100000000001</v>
      </c>
      <c r="D280" s="1">
        <f>IF(B280&gt;C280,B280-C280,C280-B280)</f>
        <v>2.0799999999999985E-3</v>
      </c>
      <c r="E280">
        <f>MINUTE(D280)</f>
        <v>3</v>
      </c>
      <c r="F280">
        <f>SECOND(D280)</f>
        <v>0</v>
      </c>
      <c r="G280">
        <f>ROUND(E280+F280/60,2)</f>
        <v>3</v>
      </c>
      <c r="H280">
        <f>60*E280+F280</f>
        <v>180</v>
      </c>
      <c r="I280" s="3">
        <f>5*(3600/H280)</f>
        <v>100</v>
      </c>
      <c r="J280" s="16">
        <f t="shared" si="8"/>
        <v>0</v>
      </c>
      <c r="K280" s="17">
        <f t="shared" si="9"/>
        <v>5</v>
      </c>
    </row>
    <row r="281" spans="1:11" x14ac:dyDescent="0.25">
      <c r="A281" s="4" t="s">
        <v>74</v>
      </c>
      <c r="B281" s="1">
        <v>0.61492599999999997</v>
      </c>
      <c r="C281" s="1">
        <v>0.61283799999999999</v>
      </c>
      <c r="D281" s="1">
        <f>IF(B281&gt;C281,B281-C281,C281-B281)</f>
        <v>2.0879999999999788E-3</v>
      </c>
      <c r="E281">
        <f>MINUTE(D281)</f>
        <v>3</v>
      </c>
      <c r="F281">
        <f>SECOND(D281)</f>
        <v>0</v>
      </c>
      <c r="G281">
        <f>ROUND(E281+F281/60,2)</f>
        <v>3</v>
      </c>
      <c r="H281">
        <f>60*E281+F281</f>
        <v>180</v>
      </c>
      <c r="I281" s="3">
        <f>5*(3600/H281)</f>
        <v>100</v>
      </c>
      <c r="J281" s="16">
        <f t="shared" si="8"/>
        <v>0</v>
      </c>
      <c r="K281" s="17">
        <f t="shared" si="9"/>
        <v>14</v>
      </c>
    </row>
    <row r="282" spans="1:11" x14ac:dyDescent="0.25">
      <c r="A282" s="4" t="s">
        <v>194</v>
      </c>
      <c r="B282" s="1">
        <v>0.59056699999999995</v>
      </c>
      <c r="C282" s="1">
        <v>0.58848299999999998</v>
      </c>
      <c r="D282" s="1">
        <f>IF(B282&gt;C282,B282-C282,C282-B282)</f>
        <v>2.0839999999999748E-3</v>
      </c>
      <c r="E282">
        <f>MINUTE(D282)</f>
        <v>3</v>
      </c>
      <c r="F282">
        <f>SECOND(D282)</f>
        <v>0</v>
      </c>
      <c r="G282">
        <f>ROUND(E282+F282/60,2)</f>
        <v>3</v>
      </c>
      <c r="H282">
        <f>60*E282+F282</f>
        <v>180</v>
      </c>
      <c r="I282" s="3">
        <f>5*(3600/H282)</f>
        <v>100</v>
      </c>
      <c r="J282" s="16">
        <f t="shared" si="8"/>
        <v>0</v>
      </c>
      <c r="K282" s="17">
        <f t="shared" si="9"/>
        <v>14</v>
      </c>
    </row>
    <row r="283" spans="1:11" x14ac:dyDescent="0.25">
      <c r="A283" s="4" t="s">
        <v>205</v>
      </c>
      <c r="B283" s="1">
        <v>0.62204599999999999</v>
      </c>
      <c r="C283" s="1">
        <v>0.62412999999999996</v>
      </c>
      <c r="D283" s="1">
        <f>IF(B283&gt;C283,B283-C283,C283-B283)</f>
        <v>2.0839999999999748E-3</v>
      </c>
      <c r="E283">
        <f>MINUTE(D283)</f>
        <v>3</v>
      </c>
      <c r="F283">
        <f>SECOND(D283)</f>
        <v>0</v>
      </c>
      <c r="G283">
        <f>ROUND(E283+F283/60,2)</f>
        <v>3</v>
      </c>
      <c r="H283">
        <f>60*E283+F283</f>
        <v>180</v>
      </c>
      <c r="I283" s="3">
        <f>5*(3600/H283)</f>
        <v>100</v>
      </c>
      <c r="J283" s="16">
        <f t="shared" si="8"/>
        <v>0</v>
      </c>
      <c r="K283" s="17">
        <f t="shared" si="9"/>
        <v>14</v>
      </c>
    </row>
    <row r="284" spans="1:11" x14ac:dyDescent="0.25">
      <c r="A284" s="4" t="s">
        <v>323</v>
      </c>
      <c r="B284" s="1">
        <v>5.8838000000000001E-2</v>
      </c>
      <c r="C284" s="1">
        <v>5.6753999999999999E-2</v>
      </c>
      <c r="D284" s="1">
        <f>IF(B284&gt;C284,B284-C284,C284-B284)</f>
        <v>2.0840000000000025E-3</v>
      </c>
      <c r="E284">
        <f>MINUTE(D284)</f>
        <v>3</v>
      </c>
      <c r="F284">
        <f>SECOND(D284)</f>
        <v>0</v>
      </c>
      <c r="G284">
        <f>ROUND(E284+F284/60,2)</f>
        <v>3</v>
      </c>
      <c r="H284">
        <f>60*E284+F284</f>
        <v>180</v>
      </c>
      <c r="I284" s="3">
        <f>5*(3600/H284)</f>
        <v>100</v>
      </c>
      <c r="J284" s="16">
        <f t="shared" si="8"/>
        <v>0</v>
      </c>
      <c r="K284" s="17">
        <f t="shared" si="9"/>
        <v>1</v>
      </c>
    </row>
    <row r="285" spans="1:11" x14ac:dyDescent="0.25">
      <c r="A285" s="4" t="s">
        <v>367</v>
      </c>
      <c r="B285" s="1">
        <v>0.64812400000000003</v>
      </c>
      <c r="C285" s="1">
        <v>0.64603600000000005</v>
      </c>
      <c r="D285" s="1">
        <f>IF(B285&gt;C285,B285-C285,C285-B285)</f>
        <v>2.0879999999999788E-3</v>
      </c>
      <c r="E285">
        <f>MINUTE(D285)</f>
        <v>3</v>
      </c>
      <c r="F285">
        <f>SECOND(D285)</f>
        <v>0</v>
      </c>
      <c r="G285">
        <f>ROUND(E285+F285/60,2)</f>
        <v>3</v>
      </c>
      <c r="H285">
        <f>60*E285+F285</f>
        <v>180</v>
      </c>
      <c r="I285" s="3">
        <f>5*(3600/H285)</f>
        <v>100</v>
      </c>
      <c r="J285" s="16">
        <f t="shared" si="8"/>
        <v>0</v>
      </c>
      <c r="K285" s="17">
        <f t="shared" si="9"/>
        <v>15</v>
      </c>
    </row>
    <row r="286" spans="1:11" x14ac:dyDescent="0.25">
      <c r="A286" s="4" t="s">
        <v>174</v>
      </c>
      <c r="B286" s="1">
        <v>0.39857500000000001</v>
      </c>
      <c r="C286" s="1">
        <v>0.40067900000000001</v>
      </c>
      <c r="D286" s="1">
        <f>IF(B286&gt;C286,B286-C286,C286-B286)</f>
        <v>2.1039999999999948E-3</v>
      </c>
      <c r="E286">
        <f>MINUTE(D286)</f>
        <v>3</v>
      </c>
      <c r="F286">
        <f>SECOND(D286)</f>
        <v>2</v>
      </c>
      <c r="G286">
        <f>ROUND(E286+F286/60,2)</f>
        <v>3.03</v>
      </c>
      <c r="H286">
        <f>60*E286+F286</f>
        <v>182</v>
      </c>
      <c r="I286" s="3">
        <f>5*(3600/H286)</f>
        <v>98.901098901098905</v>
      </c>
      <c r="J286" s="16">
        <f t="shared" si="8"/>
        <v>0</v>
      </c>
      <c r="K286" s="17">
        <f t="shared" si="9"/>
        <v>9</v>
      </c>
    </row>
    <row r="287" spans="1:11" x14ac:dyDescent="0.25">
      <c r="A287" s="4" t="s">
        <v>101</v>
      </c>
      <c r="B287" s="1">
        <v>9.8788000000000001E-2</v>
      </c>
      <c r="C287" s="1">
        <v>9.6680000000000002E-2</v>
      </c>
      <c r="D287" s="1">
        <f>IF(B287&gt;C287,B287-C287,C287-B287)</f>
        <v>2.1079999999999988E-3</v>
      </c>
      <c r="E287">
        <f>MINUTE(D287)</f>
        <v>3</v>
      </c>
      <c r="F287">
        <f>SECOND(D287)</f>
        <v>2</v>
      </c>
      <c r="G287">
        <f>ROUND(E287+F287/60,2)</f>
        <v>3.03</v>
      </c>
      <c r="H287">
        <f>60*E287+F287</f>
        <v>182</v>
      </c>
      <c r="I287" s="3">
        <f>5*(3600/H287)</f>
        <v>98.901098901098905</v>
      </c>
      <c r="J287" s="16">
        <f t="shared" si="8"/>
        <v>0</v>
      </c>
      <c r="K287" s="17">
        <f t="shared" si="9"/>
        <v>2</v>
      </c>
    </row>
    <row r="288" spans="1:11" x14ac:dyDescent="0.25">
      <c r="A288" s="4" t="s">
        <v>16</v>
      </c>
      <c r="B288" s="1">
        <v>0.25660300000000003</v>
      </c>
      <c r="C288" s="1">
        <v>0.25871100000000002</v>
      </c>
      <c r="D288" s="1">
        <f>IF(B288&gt;C288,B288-C288,C288-B288)</f>
        <v>2.1079999999999988E-3</v>
      </c>
      <c r="E288">
        <f>MINUTE(D288)</f>
        <v>3</v>
      </c>
      <c r="F288">
        <f>SECOND(D288)</f>
        <v>2</v>
      </c>
      <c r="G288">
        <f>ROUND(E288+F288/60,2)</f>
        <v>3.03</v>
      </c>
      <c r="H288">
        <f>60*E288+F288</f>
        <v>182</v>
      </c>
      <c r="I288" s="3">
        <f>5*(3600/H288)</f>
        <v>98.901098901098905</v>
      </c>
      <c r="J288" s="16">
        <f t="shared" si="8"/>
        <v>0</v>
      </c>
      <c r="K288" s="17">
        <f t="shared" si="9"/>
        <v>6</v>
      </c>
    </row>
    <row r="289" spans="1:11" x14ac:dyDescent="0.25">
      <c r="A289" s="4" t="s">
        <v>198</v>
      </c>
      <c r="B289" s="1">
        <v>0.220692</v>
      </c>
      <c r="C289" s="1">
        <v>0.218588</v>
      </c>
      <c r="D289" s="1">
        <f>IF(B289&gt;C289,B289-C289,C289-B289)</f>
        <v>2.1039999999999948E-3</v>
      </c>
      <c r="E289">
        <f>MINUTE(D289)</f>
        <v>3</v>
      </c>
      <c r="F289">
        <f>SECOND(D289)</f>
        <v>2</v>
      </c>
      <c r="G289">
        <f>ROUND(E289+F289/60,2)</f>
        <v>3.03</v>
      </c>
      <c r="H289">
        <f>60*E289+F289</f>
        <v>182</v>
      </c>
      <c r="I289" s="3">
        <f>5*(3600/H289)</f>
        <v>98.901098901098905</v>
      </c>
      <c r="J289" s="16">
        <f t="shared" si="8"/>
        <v>0</v>
      </c>
      <c r="K289" s="17">
        <f t="shared" si="9"/>
        <v>5</v>
      </c>
    </row>
    <row r="290" spans="1:11" x14ac:dyDescent="0.25">
      <c r="A290" s="4" t="s">
        <v>329</v>
      </c>
      <c r="B290" s="1">
        <v>0.12620799999999999</v>
      </c>
      <c r="C290" s="1">
        <v>0.12831600000000001</v>
      </c>
      <c r="D290" s="1">
        <f>IF(B290&gt;C290,B290-C290,C290-B290)</f>
        <v>2.1080000000000265E-3</v>
      </c>
      <c r="E290">
        <f>MINUTE(D290)</f>
        <v>3</v>
      </c>
      <c r="F290">
        <f>SECOND(D290)</f>
        <v>2</v>
      </c>
      <c r="G290">
        <f>ROUND(E290+F290/60,2)</f>
        <v>3.03</v>
      </c>
      <c r="H290">
        <f>60*E290+F290</f>
        <v>182</v>
      </c>
      <c r="I290" s="3">
        <f>5*(3600/H290)</f>
        <v>98.901098901098905</v>
      </c>
      <c r="J290" s="16">
        <f t="shared" si="8"/>
        <v>0</v>
      </c>
      <c r="K290" s="17">
        <f t="shared" si="9"/>
        <v>3</v>
      </c>
    </row>
    <row r="291" spans="1:11" x14ac:dyDescent="0.25">
      <c r="A291" s="4" t="s">
        <v>345</v>
      </c>
      <c r="B291" s="1">
        <v>0.77340900000000001</v>
      </c>
      <c r="C291" s="1">
        <v>0.77552900000000002</v>
      </c>
      <c r="D291" s="1">
        <f>IF(B291&gt;C291,B291-C291,C291-B291)</f>
        <v>2.1200000000000108E-3</v>
      </c>
      <c r="E291">
        <f>MINUTE(D291)</f>
        <v>3</v>
      </c>
      <c r="F291">
        <f>SECOND(D291)</f>
        <v>3</v>
      </c>
      <c r="G291">
        <f>ROUND(E291+F291/60,2)</f>
        <v>3.05</v>
      </c>
      <c r="H291">
        <f>60*E291+F291</f>
        <v>183</v>
      </c>
      <c r="I291" s="3">
        <f>5*(3600/H291)</f>
        <v>98.360655737704917</v>
      </c>
      <c r="J291" s="16">
        <f t="shared" si="8"/>
        <v>0</v>
      </c>
      <c r="K291" s="17">
        <f t="shared" si="9"/>
        <v>18</v>
      </c>
    </row>
    <row r="292" spans="1:11" x14ac:dyDescent="0.25">
      <c r="A292" s="4" t="s">
        <v>60</v>
      </c>
      <c r="B292" s="1">
        <v>0.71798300000000004</v>
      </c>
      <c r="C292" s="1">
        <v>0.71585500000000002</v>
      </c>
      <c r="D292" s="1">
        <f>IF(B292&gt;C292,B292-C292,C292-B292)</f>
        <v>2.1280000000000188E-3</v>
      </c>
      <c r="E292">
        <f>MINUTE(D292)</f>
        <v>3</v>
      </c>
      <c r="F292">
        <f>SECOND(D292)</f>
        <v>4</v>
      </c>
      <c r="G292">
        <f>ROUND(E292+F292/60,2)</f>
        <v>3.07</v>
      </c>
      <c r="H292">
        <f>60*E292+F292</f>
        <v>184</v>
      </c>
      <c r="I292" s="3">
        <f>5*(3600/H292)</f>
        <v>97.826086956521735</v>
      </c>
      <c r="J292" s="16">
        <f t="shared" si="8"/>
        <v>0</v>
      </c>
      <c r="K292" s="17">
        <f t="shared" si="9"/>
        <v>17</v>
      </c>
    </row>
    <row r="293" spans="1:11" x14ac:dyDescent="0.25">
      <c r="A293" s="4" t="s">
        <v>191</v>
      </c>
      <c r="B293" s="1">
        <v>0.193879</v>
      </c>
      <c r="C293" s="1">
        <v>0.19175500000000001</v>
      </c>
      <c r="D293" s="1">
        <f>IF(B293&gt;C293,B293-C293,C293-B293)</f>
        <v>2.123999999999987E-3</v>
      </c>
      <c r="E293">
        <f>MINUTE(D293)</f>
        <v>3</v>
      </c>
      <c r="F293">
        <f>SECOND(D293)</f>
        <v>4</v>
      </c>
      <c r="G293">
        <f>ROUND(E293+F293/60,2)</f>
        <v>3.07</v>
      </c>
      <c r="H293">
        <f>60*E293+F293</f>
        <v>184</v>
      </c>
      <c r="I293" s="3">
        <f>5*(3600/H293)</f>
        <v>97.826086956521735</v>
      </c>
      <c r="J293" s="16">
        <f t="shared" si="8"/>
        <v>0</v>
      </c>
      <c r="K293" s="17">
        <f t="shared" si="9"/>
        <v>4</v>
      </c>
    </row>
    <row r="294" spans="1:11" x14ac:dyDescent="0.25">
      <c r="A294" s="4" t="s">
        <v>195</v>
      </c>
      <c r="B294" s="1">
        <v>0.41790500000000003</v>
      </c>
      <c r="C294" s="1">
        <v>0.415773</v>
      </c>
      <c r="D294" s="1">
        <f>IF(B294&gt;C294,B294-C294,C294-B294)</f>
        <v>2.1320000000000228E-3</v>
      </c>
      <c r="E294">
        <f>MINUTE(D294)</f>
        <v>3</v>
      </c>
      <c r="F294">
        <f>SECOND(D294)</f>
        <v>4</v>
      </c>
      <c r="G294">
        <f>ROUND(E294+F294/60,2)</f>
        <v>3.07</v>
      </c>
      <c r="H294">
        <f>60*E294+F294</f>
        <v>184</v>
      </c>
      <c r="I294" s="3">
        <f>5*(3600/H294)</f>
        <v>97.826086956521735</v>
      </c>
      <c r="J294" s="16">
        <f t="shared" si="8"/>
        <v>0</v>
      </c>
      <c r="K294" s="17">
        <f t="shared" si="9"/>
        <v>10</v>
      </c>
    </row>
    <row r="295" spans="1:11" x14ac:dyDescent="0.25">
      <c r="A295" s="4" t="s">
        <v>210</v>
      </c>
      <c r="B295" s="1">
        <v>0.32662200000000002</v>
      </c>
      <c r="C295" s="1">
        <v>0.32874599999999998</v>
      </c>
      <c r="D295" s="1">
        <f>IF(B295&gt;C295,B295-C295,C295-B295)</f>
        <v>2.1239999999999593E-3</v>
      </c>
      <c r="E295">
        <f>MINUTE(D295)</f>
        <v>3</v>
      </c>
      <c r="F295">
        <f>SECOND(D295)</f>
        <v>4</v>
      </c>
      <c r="G295">
        <f>ROUND(E295+F295/60,2)</f>
        <v>3.07</v>
      </c>
      <c r="H295">
        <f>60*E295+F295</f>
        <v>184</v>
      </c>
      <c r="I295" s="3">
        <f>5*(3600/H295)</f>
        <v>97.826086956521735</v>
      </c>
      <c r="J295" s="16">
        <f t="shared" si="8"/>
        <v>0</v>
      </c>
      <c r="K295" s="17">
        <f t="shared" si="9"/>
        <v>7</v>
      </c>
    </row>
    <row r="296" spans="1:11" x14ac:dyDescent="0.25">
      <c r="A296" s="4" t="s">
        <v>379</v>
      </c>
      <c r="B296" s="1">
        <v>0.880853</v>
      </c>
      <c r="C296" s="1">
        <v>0.88298100000000002</v>
      </c>
      <c r="D296" s="1">
        <f>IF(B296&gt;C296,B296-C296,C296-B296)</f>
        <v>2.1280000000000188E-3</v>
      </c>
      <c r="E296">
        <f>MINUTE(D296)</f>
        <v>3</v>
      </c>
      <c r="F296">
        <f>SECOND(D296)</f>
        <v>4</v>
      </c>
      <c r="G296">
        <f>ROUND(E296+F296/60,2)</f>
        <v>3.07</v>
      </c>
      <c r="H296">
        <f>60*E296+F296</f>
        <v>184</v>
      </c>
      <c r="I296" s="3">
        <f>5*(3600/H296)</f>
        <v>97.826086956521735</v>
      </c>
      <c r="J296" s="16">
        <f t="shared" si="8"/>
        <v>0</v>
      </c>
      <c r="K296" s="17">
        <f t="shared" si="9"/>
        <v>21</v>
      </c>
    </row>
    <row r="297" spans="1:11" x14ac:dyDescent="0.25">
      <c r="A297" s="4" t="s">
        <v>31</v>
      </c>
      <c r="B297" s="1">
        <v>0.20865400000000001</v>
      </c>
      <c r="C297" s="1">
        <v>0.21079800000000001</v>
      </c>
      <c r="D297" s="1">
        <f>IF(B297&gt;C297,B297-C297,C297-B297)</f>
        <v>2.144000000000007E-3</v>
      </c>
      <c r="E297">
        <f>MINUTE(D297)</f>
        <v>3</v>
      </c>
      <c r="F297">
        <f>SECOND(D297)</f>
        <v>5</v>
      </c>
      <c r="G297">
        <f>ROUND(E297+F297/60,2)</f>
        <v>3.08</v>
      </c>
      <c r="H297">
        <f>60*E297+F297</f>
        <v>185</v>
      </c>
      <c r="I297" s="3">
        <f>5*(3600/H297)</f>
        <v>97.297297297297291</v>
      </c>
      <c r="J297" s="16">
        <f t="shared" si="8"/>
        <v>0</v>
      </c>
      <c r="K297" s="17">
        <f t="shared" si="9"/>
        <v>5</v>
      </c>
    </row>
    <row r="298" spans="1:11" x14ac:dyDescent="0.25">
      <c r="A298" s="4" t="s">
        <v>49</v>
      </c>
      <c r="B298" s="1">
        <v>0.94723900000000005</v>
      </c>
      <c r="C298" s="1">
        <v>0.94938299999999998</v>
      </c>
      <c r="D298" s="1">
        <f>IF(B298&gt;C298,B298-C298,C298-B298)</f>
        <v>2.1439999999999237E-3</v>
      </c>
      <c r="E298">
        <f>MINUTE(D298)</f>
        <v>3</v>
      </c>
      <c r="F298">
        <f>SECOND(D298)</f>
        <v>5</v>
      </c>
      <c r="G298">
        <f>ROUND(E298+F298/60,2)</f>
        <v>3.08</v>
      </c>
      <c r="H298">
        <f>60*E298+F298</f>
        <v>185</v>
      </c>
      <c r="I298" s="3">
        <f>5*(3600/H298)</f>
        <v>97.297297297297291</v>
      </c>
      <c r="J298" s="16">
        <f t="shared" si="8"/>
        <v>0</v>
      </c>
      <c r="K298" s="17">
        <f t="shared" si="9"/>
        <v>22</v>
      </c>
    </row>
    <row r="299" spans="1:11" x14ac:dyDescent="0.25">
      <c r="A299" s="4" t="s">
        <v>40</v>
      </c>
      <c r="B299" s="1">
        <v>0.67679900000000004</v>
      </c>
      <c r="C299" s="1">
        <v>0.67894299999999996</v>
      </c>
      <c r="D299" s="1">
        <f>IF(B299&gt;C299,B299-C299,C299-B299)</f>
        <v>2.1439999999999237E-3</v>
      </c>
      <c r="E299">
        <f>MINUTE(D299)</f>
        <v>3</v>
      </c>
      <c r="F299">
        <f>SECOND(D299)</f>
        <v>5</v>
      </c>
      <c r="G299">
        <f>ROUND(E299+F299/60,2)</f>
        <v>3.08</v>
      </c>
      <c r="H299">
        <f>60*E299+F299</f>
        <v>185</v>
      </c>
      <c r="I299" s="3">
        <f>5*(3600/H299)</f>
        <v>97.297297297297291</v>
      </c>
      <c r="J299" s="16">
        <f t="shared" si="8"/>
        <v>0</v>
      </c>
      <c r="K299" s="17">
        <f t="shared" si="9"/>
        <v>16</v>
      </c>
    </row>
    <row r="300" spans="1:11" x14ac:dyDescent="0.25">
      <c r="A300" s="4" t="s">
        <v>88</v>
      </c>
      <c r="B300" s="1">
        <v>5.8613999999999999E-2</v>
      </c>
      <c r="C300" s="1">
        <v>5.6474000000000003E-2</v>
      </c>
      <c r="D300" s="1">
        <f>IF(B300&gt;C300,B300-C300,C300-B300)</f>
        <v>2.1399999999999961E-3</v>
      </c>
      <c r="E300">
        <f>MINUTE(D300)</f>
        <v>3</v>
      </c>
      <c r="F300">
        <f>SECOND(D300)</f>
        <v>5</v>
      </c>
      <c r="G300">
        <f>ROUND(E300+F300/60,2)</f>
        <v>3.08</v>
      </c>
      <c r="H300">
        <f>60*E300+F300</f>
        <v>185</v>
      </c>
      <c r="I300" s="3">
        <f>5*(3600/H300)</f>
        <v>97.297297297297291</v>
      </c>
      <c r="J300" s="16">
        <f t="shared" si="8"/>
        <v>0</v>
      </c>
      <c r="K300" s="17">
        <f t="shared" si="9"/>
        <v>1</v>
      </c>
    </row>
    <row r="301" spans="1:11" x14ac:dyDescent="0.25">
      <c r="A301" s="4" t="s">
        <v>430</v>
      </c>
      <c r="B301" s="1">
        <v>0.74694899999999997</v>
      </c>
      <c r="C301" s="1">
        <v>0.74481299999999995</v>
      </c>
      <c r="D301" s="1">
        <f>IF(B301&gt;C301,B301-C301,C301-B301)</f>
        <v>2.1360000000000268E-3</v>
      </c>
      <c r="E301">
        <f>MINUTE(D301)</f>
        <v>3</v>
      </c>
      <c r="F301">
        <f>SECOND(D301)</f>
        <v>5</v>
      </c>
      <c r="G301">
        <f>ROUND(E301+F301/60,2)</f>
        <v>3.08</v>
      </c>
      <c r="H301">
        <f>60*E301+F301</f>
        <v>185</v>
      </c>
      <c r="I301" s="3">
        <f>5*(3600/H301)</f>
        <v>97.297297297297291</v>
      </c>
      <c r="J301" s="16">
        <f t="shared" si="8"/>
        <v>0</v>
      </c>
      <c r="K301" s="17">
        <f t="shared" si="9"/>
        <v>17</v>
      </c>
    </row>
    <row r="302" spans="1:11" x14ac:dyDescent="0.25">
      <c r="A302" s="4" t="s">
        <v>288</v>
      </c>
      <c r="B302" s="1">
        <v>9.7457000000000002E-2</v>
      </c>
      <c r="C302" s="1">
        <v>9.9600999999999995E-2</v>
      </c>
      <c r="D302" s="1">
        <f>IF(B302&gt;C302,B302-C302,C302-B302)</f>
        <v>2.1439999999999931E-3</v>
      </c>
      <c r="E302">
        <f>MINUTE(D302)</f>
        <v>3</v>
      </c>
      <c r="F302">
        <f>SECOND(D302)</f>
        <v>5</v>
      </c>
      <c r="G302">
        <f>ROUND(E302+F302/60,2)</f>
        <v>3.08</v>
      </c>
      <c r="H302">
        <f>60*E302+F302</f>
        <v>185</v>
      </c>
      <c r="I302" s="3">
        <f>5*(3600/H302)</f>
        <v>97.297297297297291</v>
      </c>
      <c r="J302" s="16">
        <f t="shared" si="8"/>
        <v>0</v>
      </c>
      <c r="K302" s="17">
        <f t="shared" si="9"/>
        <v>2</v>
      </c>
    </row>
    <row r="303" spans="1:11" x14ac:dyDescent="0.25">
      <c r="A303" s="4" t="s">
        <v>100</v>
      </c>
      <c r="B303" s="1">
        <v>0.98372400000000004</v>
      </c>
      <c r="C303" s="1">
        <v>0.98587599999999997</v>
      </c>
      <c r="D303" s="1">
        <f>IF(B303&gt;C303,B303-C303,C303-B303)</f>
        <v>2.1519999999999317E-3</v>
      </c>
      <c r="E303">
        <f>MINUTE(D303)</f>
        <v>3</v>
      </c>
      <c r="F303">
        <f>SECOND(D303)</f>
        <v>6</v>
      </c>
      <c r="G303">
        <f>ROUND(E303+F303/60,2)</f>
        <v>3.1</v>
      </c>
      <c r="H303">
        <f>60*E303+F303</f>
        <v>186</v>
      </c>
      <c r="I303" s="3">
        <f>5*(3600/H303)</f>
        <v>96.774193548387103</v>
      </c>
      <c r="J303" s="16">
        <f t="shared" si="8"/>
        <v>0</v>
      </c>
      <c r="K303" s="17">
        <f t="shared" si="9"/>
        <v>23</v>
      </c>
    </row>
    <row r="304" spans="1:11" x14ac:dyDescent="0.25">
      <c r="A304" s="4" t="s">
        <v>74</v>
      </c>
      <c r="B304" s="1">
        <v>0.64918399999999998</v>
      </c>
      <c r="C304" s="1">
        <v>0.64702800000000005</v>
      </c>
      <c r="D304" s="1">
        <f>IF(B304&gt;C304,B304-C304,C304-B304)</f>
        <v>2.1559999999999357E-3</v>
      </c>
      <c r="E304">
        <f>MINUTE(D304)</f>
        <v>3</v>
      </c>
      <c r="F304">
        <f>SECOND(D304)</f>
        <v>6</v>
      </c>
      <c r="G304">
        <f>ROUND(E304+F304/60,2)</f>
        <v>3.1</v>
      </c>
      <c r="H304">
        <f>60*E304+F304</f>
        <v>186</v>
      </c>
      <c r="I304" s="3">
        <f>5*(3600/H304)</f>
        <v>96.774193548387103</v>
      </c>
      <c r="J304" s="16">
        <f t="shared" si="8"/>
        <v>0</v>
      </c>
      <c r="K304" s="17">
        <f t="shared" si="9"/>
        <v>15</v>
      </c>
    </row>
    <row r="305" spans="1:11" x14ac:dyDescent="0.25">
      <c r="A305" s="4" t="s">
        <v>19</v>
      </c>
      <c r="B305" s="1">
        <v>0.94621999999999995</v>
      </c>
      <c r="C305" s="1">
        <v>0.948376</v>
      </c>
      <c r="D305" s="1">
        <f>IF(B305&gt;C305,B305-C305,C305-B305)</f>
        <v>2.1560000000000468E-3</v>
      </c>
      <c r="E305">
        <f>MINUTE(D305)</f>
        <v>3</v>
      </c>
      <c r="F305">
        <f>SECOND(D305)</f>
        <v>6</v>
      </c>
      <c r="G305">
        <f>ROUND(E305+F305/60,2)</f>
        <v>3.1</v>
      </c>
      <c r="H305">
        <f>60*E305+F305</f>
        <v>186</v>
      </c>
      <c r="I305" s="3">
        <f>5*(3600/H305)</f>
        <v>96.774193548387103</v>
      </c>
      <c r="J305" s="16">
        <f t="shared" si="8"/>
        <v>0</v>
      </c>
      <c r="K305" s="17">
        <f t="shared" si="9"/>
        <v>22</v>
      </c>
    </row>
    <row r="306" spans="1:11" x14ac:dyDescent="0.25">
      <c r="A306" s="4" t="s">
        <v>109</v>
      </c>
      <c r="B306" s="1">
        <v>0.23508799999999999</v>
      </c>
      <c r="C306" s="1">
        <v>0.23294000000000001</v>
      </c>
      <c r="D306" s="1">
        <f>IF(B306&gt;C306,B306-C306,C306-B306)</f>
        <v>2.1479999999999833E-3</v>
      </c>
      <c r="E306">
        <f>MINUTE(D306)</f>
        <v>3</v>
      </c>
      <c r="F306">
        <f>SECOND(D306)</f>
        <v>6</v>
      </c>
      <c r="G306">
        <f>ROUND(E306+F306/60,2)</f>
        <v>3.1</v>
      </c>
      <c r="H306">
        <f>60*E306+F306</f>
        <v>186</v>
      </c>
      <c r="I306" s="3">
        <f>5*(3600/H306)</f>
        <v>96.774193548387103</v>
      </c>
      <c r="J306" s="16">
        <f t="shared" si="8"/>
        <v>0</v>
      </c>
      <c r="K306" s="17">
        <f t="shared" si="9"/>
        <v>5</v>
      </c>
    </row>
    <row r="307" spans="1:11" x14ac:dyDescent="0.25">
      <c r="A307" s="4" t="s">
        <v>282</v>
      </c>
      <c r="B307" s="1">
        <v>8.2269999999999999E-3</v>
      </c>
      <c r="C307" s="1">
        <v>1.0375000000000001E-2</v>
      </c>
      <c r="D307" s="1">
        <f>IF(B307&gt;C307,B307-C307,C307-B307)</f>
        <v>2.1480000000000006E-3</v>
      </c>
      <c r="E307">
        <f>MINUTE(D307)</f>
        <v>3</v>
      </c>
      <c r="F307">
        <f>SECOND(D307)</f>
        <v>6</v>
      </c>
      <c r="G307">
        <f>ROUND(E307+F307/60,2)</f>
        <v>3.1</v>
      </c>
      <c r="H307">
        <f>60*E307+F307</f>
        <v>186</v>
      </c>
      <c r="I307" s="3">
        <f>5*(3600/H307)</f>
        <v>96.774193548387103</v>
      </c>
      <c r="J307" s="16">
        <f t="shared" si="8"/>
        <v>0</v>
      </c>
      <c r="K307" s="17">
        <f t="shared" si="9"/>
        <v>0</v>
      </c>
    </row>
    <row r="308" spans="1:11" x14ac:dyDescent="0.25">
      <c r="A308" s="4" t="s">
        <v>320</v>
      </c>
      <c r="B308" s="1">
        <v>0.476607</v>
      </c>
      <c r="C308" s="1">
        <v>0.47875899999999999</v>
      </c>
      <c r="D308" s="1">
        <f>IF(B308&gt;C308,B308-C308,C308-B308)</f>
        <v>2.1519999999999873E-3</v>
      </c>
      <c r="E308">
        <f>MINUTE(D308)</f>
        <v>3</v>
      </c>
      <c r="F308">
        <f>SECOND(D308)</f>
        <v>6</v>
      </c>
      <c r="G308">
        <f>ROUND(E308+F308/60,2)</f>
        <v>3.1</v>
      </c>
      <c r="H308">
        <f>60*E308+F308</f>
        <v>186</v>
      </c>
      <c r="I308" s="3">
        <f>5*(3600/H308)</f>
        <v>96.774193548387103</v>
      </c>
      <c r="J308" s="16">
        <f t="shared" si="8"/>
        <v>0</v>
      </c>
      <c r="K308" s="17">
        <f t="shared" si="9"/>
        <v>11</v>
      </c>
    </row>
    <row r="309" spans="1:11" x14ac:dyDescent="0.25">
      <c r="A309" s="4" t="s">
        <v>72</v>
      </c>
      <c r="B309" s="1">
        <v>0.73590199999999995</v>
      </c>
      <c r="C309" s="1">
        <v>0.738062</v>
      </c>
      <c r="D309" s="1">
        <f>IF(B309&gt;C309,B309-C309,C309-B309)</f>
        <v>2.1600000000000508E-3</v>
      </c>
      <c r="E309">
        <f>MINUTE(D309)</f>
        <v>3</v>
      </c>
      <c r="F309">
        <f>SECOND(D309)</f>
        <v>7</v>
      </c>
      <c r="G309">
        <f>ROUND(E309+F309/60,2)</f>
        <v>3.12</v>
      </c>
      <c r="H309">
        <f>60*E309+F309</f>
        <v>187</v>
      </c>
      <c r="I309" s="3">
        <f>5*(3600/H309)</f>
        <v>96.256684491978604</v>
      </c>
      <c r="J309" s="16">
        <f t="shared" si="8"/>
        <v>0</v>
      </c>
      <c r="K309" s="17">
        <f t="shared" si="9"/>
        <v>17</v>
      </c>
    </row>
    <row r="310" spans="1:11" x14ac:dyDescent="0.25">
      <c r="A310" s="4" t="s">
        <v>107</v>
      </c>
      <c r="B310" s="1">
        <v>0.41733100000000001</v>
      </c>
      <c r="C310" s="1">
        <v>0.419491</v>
      </c>
      <c r="D310" s="1">
        <f>IF(B310&gt;C310,B310-C310,C310-B310)</f>
        <v>2.1599999999999953E-3</v>
      </c>
      <c r="E310">
        <f>MINUTE(D310)</f>
        <v>3</v>
      </c>
      <c r="F310">
        <f>SECOND(D310)</f>
        <v>7</v>
      </c>
      <c r="G310">
        <f>ROUND(E310+F310/60,2)</f>
        <v>3.12</v>
      </c>
      <c r="H310">
        <f>60*E310+F310</f>
        <v>187</v>
      </c>
      <c r="I310" s="3">
        <f>5*(3600/H310)</f>
        <v>96.256684491978604</v>
      </c>
      <c r="J310" s="16">
        <f t="shared" si="8"/>
        <v>0</v>
      </c>
      <c r="K310" s="17">
        <f t="shared" si="9"/>
        <v>10</v>
      </c>
    </row>
    <row r="311" spans="1:11" x14ac:dyDescent="0.25">
      <c r="A311" s="4" t="s">
        <v>172</v>
      </c>
      <c r="B311" s="1">
        <v>0.90573400000000004</v>
      </c>
      <c r="C311" s="1">
        <v>0.90789799999999998</v>
      </c>
      <c r="D311" s="1">
        <f>IF(B311&gt;C311,B311-C311,C311-B311)</f>
        <v>2.1639999999999437E-3</v>
      </c>
      <c r="E311">
        <f>MINUTE(D311)</f>
        <v>3</v>
      </c>
      <c r="F311">
        <f>SECOND(D311)</f>
        <v>7</v>
      </c>
      <c r="G311">
        <f>ROUND(E311+F311/60,2)</f>
        <v>3.12</v>
      </c>
      <c r="H311">
        <f>60*E311+F311</f>
        <v>187</v>
      </c>
      <c r="I311" s="3">
        <f>5*(3600/H311)</f>
        <v>96.256684491978604</v>
      </c>
      <c r="J311" s="16">
        <f t="shared" si="8"/>
        <v>0</v>
      </c>
      <c r="K311" s="17">
        <f t="shared" si="9"/>
        <v>21</v>
      </c>
    </row>
    <row r="312" spans="1:11" x14ac:dyDescent="0.25">
      <c r="A312" s="4" t="s">
        <v>28</v>
      </c>
      <c r="B312" s="1">
        <v>0.52204899999999999</v>
      </c>
      <c r="C312" s="1">
        <v>0.52420900000000004</v>
      </c>
      <c r="D312" s="1">
        <f>IF(B312&gt;C312,B312-C312,C312-B312)</f>
        <v>2.1600000000000508E-3</v>
      </c>
      <c r="E312">
        <f>MINUTE(D312)</f>
        <v>3</v>
      </c>
      <c r="F312">
        <f>SECOND(D312)</f>
        <v>7</v>
      </c>
      <c r="G312">
        <f>ROUND(E312+F312/60,2)</f>
        <v>3.12</v>
      </c>
      <c r="H312">
        <f>60*E312+F312</f>
        <v>187</v>
      </c>
      <c r="I312" s="3">
        <f>5*(3600/H312)</f>
        <v>96.256684491978604</v>
      </c>
      <c r="J312" s="16">
        <f t="shared" si="8"/>
        <v>0</v>
      </c>
      <c r="K312" s="17">
        <f t="shared" si="9"/>
        <v>12</v>
      </c>
    </row>
    <row r="313" spans="1:11" x14ac:dyDescent="0.25">
      <c r="A313" s="4" t="s">
        <v>343</v>
      </c>
      <c r="B313" s="1">
        <v>0.68652000000000002</v>
      </c>
      <c r="C313" s="1">
        <v>0.68868399999999996</v>
      </c>
      <c r="D313" s="1">
        <f>IF(B313&gt;C313,B313-C313,C313-B313)</f>
        <v>2.1639999999999437E-3</v>
      </c>
      <c r="E313">
        <f>MINUTE(D313)</f>
        <v>3</v>
      </c>
      <c r="F313">
        <f>SECOND(D313)</f>
        <v>7</v>
      </c>
      <c r="G313">
        <f>ROUND(E313+F313/60,2)</f>
        <v>3.12</v>
      </c>
      <c r="H313">
        <f>60*E313+F313</f>
        <v>187</v>
      </c>
      <c r="I313" s="3">
        <f>5*(3600/H313)</f>
        <v>96.256684491978604</v>
      </c>
      <c r="J313" s="16">
        <f t="shared" si="8"/>
        <v>0</v>
      </c>
      <c r="K313" s="17">
        <f t="shared" si="9"/>
        <v>16</v>
      </c>
    </row>
    <row r="314" spans="1:11" x14ac:dyDescent="0.25">
      <c r="A314" s="4" t="s">
        <v>27</v>
      </c>
      <c r="B314" s="1">
        <v>0.94908300000000001</v>
      </c>
      <c r="C314" s="1">
        <v>0.94690700000000005</v>
      </c>
      <c r="D314" s="1">
        <f>IF(B314&gt;C314,B314-C314,C314-B314)</f>
        <v>2.1759999999999557E-3</v>
      </c>
      <c r="E314">
        <f>MINUTE(D314)</f>
        <v>3</v>
      </c>
      <c r="F314">
        <f>SECOND(D314)</f>
        <v>8</v>
      </c>
      <c r="G314">
        <f>ROUND(E314+F314/60,2)</f>
        <v>3.13</v>
      </c>
      <c r="H314">
        <f>60*E314+F314</f>
        <v>188</v>
      </c>
      <c r="I314" s="3">
        <f>5*(3600/H314)</f>
        <v>95.744680851063833</v>
      </c>
      <c r="J314" s="16">
        <f t="shared" si="8"/>
        <v>0</v>
      </c>
      <c r="K314" s="17">
        <f t="shared" si="9"/>
        <v>22</v>
      </c>
    </row>
    <row r="315" spans="1:11" x14ac:dyDescent="0.25">
      <c r="A315" s="4" t="s">
        <v>75</v>
      </c>
      <c r="B315" s="1">
        <v>0.331623</v>
      </c>
      <c r="C315" s="1">
        <v>0.33379500000000001</v>
      </c>
      <c r="D315" s="1">
        <f>IF(B315&gt;C315,B315-C315,C315-B315)</f>
        <v>2.1720000000000073E-3</v>
      </c>
      <c r="E315">
        <f>MINUTE(D315)</f>
        <v>3</v>
      </c>
      <c r="F315">
        <f>SECOND(D315)</f>
        <v>8</v>
      </c>
      <c r="G315">
        <f>ROUND(E315+F315/60,2)</f>
        <v>3.13</v>
      </c>
      <c r="H315">
        <f>60*E315+F315</f>
        <v>188</v>
      </c>
      <c r="I315" s="3">
        <f>5*(3600/H315)</f>
        <v>95.744680851063833</v>
      </c>
      <c r="J315" s="16">
        <f t="shared" si="8"/>
        <v>0</v>
      </c>
      <c r="K315" s="17">
        <f t="shared" si="9"/>
        <v>7</v>
      </c>
    </row>
    <row r="316" spans="1:11" x14ac:dyDescent="0.25">
      <c r="A316" s="4" t="s">
        <v>85</v>
      </c>
      <c r="B316" s="1">
        <v>0.90568499999999996</v>
      </c>
      <c r="C316" s="1">
        <v>0.90785700000000003</v>
      </c>
      <c r="D316" s="1">
        <f>IF(B316&gt;C316,B316-C316,C316-B316)</f>
        <v>2.1720000000000628E-3</v>
      </c>
      <c r="E316">
        <f>MINUTE(D316)</f>
        <v>3</v>
      </c>
      <c r="F316">
        <f>SECOND(D316)</f>
        <v>8</v>
      </c>
      <c r="G316">
        <f>ROUND(E316+F316/60,2)</f>
        <v>3.13</v>
      </c>
      <c r="H316">
        <f>60*E316+F316</f>
        <v>188</v>
      </c>
      <c r="I316" s="3">
        <f>5*(3600/H316)</f>
        <v>95.744680851063833</v>
      </c>
      <c r="J316" s="16">
        <f t="shared" si="8"/>
        <v>0</v>
      </c>
      <c r="K316" s="17">
        <f t="shared" si="9"/>
        <v>21</v>
      </c>
    </row>
    <row r="317" spans="1:11" x14ac:dyDescent="0.25">
      <c r="A317" s="4" t="s">
        <v>118</v>
      </c>
      <c r="B317" s="1">
        <v>0.657829</v>
      </c>
      <c r="C317" s="1">
        <v>0.65565300000000004</v>
      </c>
      <c r="D317" s="1">
        <f>IF(B317&gt;C317,B317-C317,C317-B317)</f>
        <v>2.1759999999999557E-3</v>
      </c>
      <c r="E317">
        <f>MINUTE(D317)</f>
        <v>3</v>
      </c>
      <c r="F317">
        <f>SECOND(D317)</f>
        <v>8</v>
      </c>
      <c r="G317">
        <f>ROUND(E317+F317/60,2)</f>
        <v>3.13</v>
      </c>
      <c r="H317">
        <f>60*E317+F317</f>
        <v>188</v>
      </c>
      <c r="I317" s="3">
        <f>5*(3600/H317)</f>
        <v>95.744680851063833</v>
      </c>
      <c r="J317" s="16">
        <f t="shared" si="8"/>
        <v>0</v>
      </c>
      <c r="K317" s="17">
        <f t="shared" si="9"/>
        <v>15</v>
      </c>
    </row>
    <row r="318" spans="1:11" x14ac:dyDescent="0.25">
      <c r="A318" s="4" t="s">
        <v>75</v>
      </c>
      <c r="B318" s="1">
        <v>0.169961</v>
      </c>
      <c r="C318" s="1">
        <v>0.17214099999999999</v>
      </c>
      <c r="D318" s="1">
        <f>IF(B318&gt;C318,B318-C318,C318-B318)</f>
        <v>2.1799999999999875E-3</v>
      </c>
      <c r="E318">
        <f>MINUTE(D318)</f>
        <v>3</v>
      </c>
      <c r="F318">
        <f>SECOND(D318)</f>
        <v>8</v>
      </c>
      <c r="G318">
        <f>ROUND(E318+F318/60,2)</f>
        <v>3.13</v>
      </c>
      <c r="H318">
        <f>60*E318+F318</f>
        <v>188</v>
      </c>
      <c r="I318" s="3">
        <f>5*(3600/H318)</f>
        <v>95.744680851063833</v>
      </c>
      <c r="J318" s="16">
        <f t="shared" si="8"/>
        <v>0</v>
      </c>
      <c r="K318" s="17">
        <f t="shared" si="9"/>
        <v>4</v>
      </c>
    </row>
    <row r="319" spans="1:11" x14ac:dyDescent="0.25">
      <c r="A319" s="4" t="s">
        <v>25</v>
      </c>
      <c r="B319" s="1">
        <v>0.50799799999999995</v>
      </c>
      <c r="C319" s="1">
        <v>0.50580599999999998</v>
      </c>
      <c r="D319" s="1">
        <f>IF(B319&gt;C319,B319-C319,C319-B319)</f>
        <v>2.1919999999999717E-3</v>
      </c>
      <c r="E319">
        <f>MINUTE(D319)</f>
        <v>3</v>
      </c>
      <c r="F319">
        <f>SECOND(D319)</f>
        <v>9</v>
      </c>
      <c r="G319">
        <f>ROUND(E319+F319/60,2)</f>
        <v>3.15</v>
      </c>
      <c r="H319">
        <f>60*E319+F319</f>
        <v>189</v>
      </c>
      <c r="I319" s="3">
        <f>5*(3600/H319)</f>
        <v>95.238095238095241</v>
      </c>
      <c r="J319" s="16">
        <f t="shared" si="8"/>
        <v>0</v>
      </c>
      <c r="K319" s="17">
        <f t="shared" si="9"/>
        <v>12</v>
      </c>
    </row>
    <row r="320" spans="1:11" x14ac:dyDescent="0.25">
      <c r="A320" s="4" t="s">
        <v>109</v>
      </c>
      <c r="B320" s="1">
        <v>5.2546000000000002E-2</v>
      </c>
      <c r="C320" s="1">
        <v>5.0361999999999997E-2</v>
      </c>
      <c r="D320" s="1">
        <f>IF(B320&gt;C320,B320-C320,C320-B320)</f>
        <v>2.1840000000000054E-3</v>
      </c>
      <c r="E320">
        <f>MINUTE(D320)</f>
        <v>3</v>
      </c>
      <c r="F320">
        <f>SECOND(D320)</f>
        <v>9</v>
      </c>
      <c r="G320">
        <f>ROUND(E320+F320/60,2)</f>
        <v>3.15</v>
      </c>
      <c r="H320">
        <f>60*E320+F320</f>
        <v>189</v>
      </c>
      <c r="I320" s="3">
        <f>5*(3600/H320)</f>
        <v>95.238095238095241</v>
      </c>
      <c r="J320" s="16">
        <f t="shared" si="8"/>
        <v>0</v>
      </c>
      <c r="K320" s="17">
        <f t="shared" si="9"/>
        <v>1</v>
      </c>
    </row>
    <row r="321" spans="1:11" x14ac:dyDescent="0.25">
      <c r="A321" s="4" t="s">
        <v>183</v>
      </c>
      <c r="B321" s="1">
        <v>0.100374</v>
      </c>
      <c r="C321" s="1">
        <v>9.8185999999999996E-2</v>
      </c>
      <c r="D321" s="1">
        <f>IF(B321&gt;C321,B321-C321,C321-B321)</f>
        <v>2.1880000000000094E-3</v>
      </c>
      <c r="E321">
        <f>MINUTE(D321)</f>
        <v>3</v>
      </c>
      <c r="F321">
        <f>SECOND(D321)</f>
        <v>9</v>
      </c>
      <c r="G321">
        <f>ROUND(E321+F321/60,2)</f>
        <v>3.15</v>
      </c>
      <c r="H321">
        <f>60*E321+F321</f>
        <v>189</v>
      </c>
      <c r="I321" s="3">
        <f>5*(3600/H321)</f>
        <v>95.238095238095241</v>
      </c>
      <c r="J321" s="16">
        <f t="shared" si="8"/>
        <v>0</v>
      </c>
      <c r="K321" s="17">
        <f t="shared" si="9"/>
        <v>2</v>
      </c>
    </row>
    <row r="322" spans="1:11" x14ac:dyDescent="0.25">
      <c r="A322" s="4" t="s">
        <v>12</v>
      </c>
      <c r="B322" s="1">
        <v>0.93074100000000004</v>
      </c>
      <c r="C322" s="1">
        <v>0.92855299999999996</v>
      </c>
      <c r="D322" s="1">
        <f>IF(B322&gt;C322,B322-C322,C322-B322)</f>
        <v>2.1880000000000788E-3</v>
      </c>
      <c r="E322">
        <f>MINUTE(D322)</f>
        <v>3</v>
      </c>
      <c r="F322">
        <f>SECOND(D322)</f>
        <v>9</v>
      </c>
      <c r="G322">
        <f>ROUND(E322+F322/60,2)</f>
        <v>3.15</v>
      </c>
      <c r="H322">
        <f>60*E322+F322</f>
        <v>189</v>
      </c>
      <c r="I322" s="3">
        <f>5*(3600/H322)</f>
        <v>95.238095238095241</v>
      </c>
      <c r="J322" s="16">
        <f t="shared" si="8"/>
        <v>0</v>
      </c>
      <c r="K322" s="17">
        <f t="shared" si="9"/>
        <v>22</v>
      </c>
    </row>
    <row r="323" spans="1:11" x14ac:dyDescent="0.25">
      <c r="A323" s="4" t="s">
        <v>269</v>
      </c>
      <c r="B323" s="1">
        <v>0.53266400000000003</v>
      </c>
      <c r="C323" s="1">
        <v>0.534856</v>
      </c>
      <c r="D323" s="1">
        <f>IF(B323&gt;C323,B323-C323,C323-B323)</f>
        <v>2.1919999999999717E-3</v>
      </c>
      <c r="E323">
        <f>MINUTE(D323)</f>
        <v>3</v>
      </c>
      <c r="F323">
        <f>SECOND(D323)</f>
        <v>9</v>
      </c>
      <c r="G323">
        <f>ROUND(E323+F323/60,2)</f>
        <v>3.15</v>
      </c>
      <c r="H323">
        <f>60*E323+F323</f>
        <v>189</v>
      </c>
      <c r="I323" s="3">
        <f>5*(3600/H323)</f>
        <v>95.238095238095241</v>
      </c>
      <c r="J323" s="16">
        <f t="shared" ref="J323:J386" si="10">IF(I323&gt;140,1,0)</f>
        <v>0</v>
      </c>
      <c r="K323" s="17">
        <f t="shared" ref="K323:K386" si="11">HOUR(B323)</f>
        <v>12</v>
      </c>
    </row>
    <row r="324" spans="1:11" x14ac:dyDescent="0.25">
      <c r="A324" s="4" t="s">
        <v>272</v>
      </c>
      <c r="B324" s="1">
        <v>0.52357299999999996</v>
      </c>
      <c r="C324" s="1">
        <v>0.52576100000000003</v>
      </c>
      <c r="D324" s="1">
        <f>IF(B324&gt;C324,B324-C324,C324-B324)</f>
        <v>2.1880000000000788E-3</v>
      </c>
      <c r="E324">
        <f>MINUTE(D324)</f>
        <v>3</v>
      </c>
      <c r="F324">
        <f>SECOND(D324)</f>
        <v>9</v>
      </c>
      <c r="G324">
        <f>ROUND(E324+F324/60,2)</f>
        <v>3.15</v>
      </c>
      <c r="H324">
        <f>60*E324+F324</f>
        <v>189</v>
      </c>
      <c r="I324" s="3">
        <f>5*(3600/H324)</f>
        <v>95.238095238095241</v>
      </c>
      <c r="J324" s="16">
        <f t="shared" si="10"/>
        <v>0</v>
      </c>
      <c r="K324" s="17">
        <f t="shared" si="11"/>
        <v>12</v>
      </c>
    </row>
    <row r="325" spans="1:11" x14ac:dyDescent="0.25">
      <c r="A325" s="4" t="s">
        <v>214</v>
      </c>
      <c r="B325" s="1">
        <v>0.64281900000000003</v>
      </c>
      <c r="C325" s="1">
        <v>0.64061900000000005</v>
      </c>
      <c r="D325" s="1">
        <f>IF(B325&gt;C325,B325-C325,C325-B325)</f>
        <v>2.1999999999999797E-3</v>
      </c>
      <c r="E325">
        <f>MINUTE(D325)</f>
        <v>3</v>
      </c>
      <c r="F325">
        <f>SECOND(D325)</f>
        <v>10</v>
      </c>
      <c r="G325">
        <f>ROUND(E325+F325/60,2)</f>
        <v>3.17</v>
      </c>
      <c r="H325">
        <f>60*E325+F325</f>
        <v>190</v>
      </c>
      <c r="I325" s="3">
        <f>5*(3600/H325)</f>
        <v>94.73684210526315</v>
      </c>
      <c r="J325" s="16">
        <f t="shared" si="10"/>
        <v>0</v>
      </c>
      <c r="K325" s="17">
        <f t="shared" si="11"/>
        <v>15</v>
      </c>
    </row>
    <row r="326" spans="1:11" x14ac:dyDescent="0.25">
      <c r="A326" s="4" t="s">
        <v>292</v>
      </c>
      <c r="B326" s="1">
        <v>0.62462799999999996</v>
      </c>
      <c r="C326" s="1">
        <v>0.62682800000000005</v>
      </c>
      <c r="D326" s="1">
        <f>IF(B326&gt;C326,B326-C326,C326-B326)</f>
        <v>2.2000000000000908E-3</v>
      </c>
      <c r="E326">
        <f>MINUTE(D326)</f>
        <v>3</v>
      </c>
      <c r="F326">
        <f>SECOND(D326)</f>
        <v>10</v>
      </c>
      <c r="G326">
        <f>ROUND(E326+F326/60,2)</f>
        <v>3.17</v>
      </c>
      <c r="H326">
        <f>60*E326+F326</f>
        <v>190</v>
      </c>
      <c r="I326" s="3">
        <f>5*(3600/H326)</f>
        <v>94.73684210526315</v>
      </c>
      <c r="J326" s="16">
        <f t="shared" si="10"/>
        <v>0</v>
      </c>
      <c r="K326" s="17">
        <f t="shared" si="11"/>
        <v>14</v>
      </c>
    </row>
    <row r="327" spans="1:11" x14ac:dyDescent="0.25">
      <c r="A327" s="4" t="s">
        <v>4</v>
      </c>
      <c r="B327" s="1">
        <v>0.92153600000000002</v>
      </c>
      <c r="C327" s="1">
        <v>0.91932400000000003</v>
      </c>
      <c r="D327" s="1">
        <f>IF(B327&gt;C327,B327-C327,C327-B327)</f>
        <v>2.2119999999999918E-3</v>
      </c>
      <c r="E327">
        <f>MINUTE(D327)</f>
        <v>3</v>
      </c>
      <c r="F327">
        <f>SECOND(D327)</f>
        <v>11</v>
      </c>
      <c r="G327">
        <f>ROUND(E327+F327/60,2)</f>
        <v>3.18</v>
      </c>
      <c r="H327">
        <f>60*E327+F327</f>
        <v>191</v>
      </c>
      <c r="I327" s="3">
        <f>5*(3600/H327)</f>
        <v>94.240837696335092</v>
      </c>
      <c r="J327" s="16">
        <f t="shared" si="10"/>
        <v>0</v>
      </c>
      <c r="K327" s="17">
        <f t="shared" si="11"/>
        <v>22</v>
      </c>
    </row>
    <row r="328" spans="1:11" x14ac:dyDescent="0.25">
      <c r="A328" s="4" t="s">
        <v>21</v>
      </c>
      <c r="B328" s="1">
        <v>0.88179300000000005</v>
      </c>
      <c r="C328" s="1">
        <v>0.87958099999999995</v>
      </c>
      <c r="D328" s="1">
        <f>IF(B328&gt;C328,B328-C328,C328-B328)</f>
        <v>2.2120000000001028E-3</v>
      </c>
      <c r="E328">
        <f>MINUTE(D328)</f>
        <v>3</v>
      </c>
      <c r="F328">
        <f>SECOND(D328)</f>
        <v>11</v>
      </c>
      <c r="G328">
        <f>ROUND(E328+F328/60,2)</f>
        <v>3.18</v>
      </c>
      <c r="H328">
        <f>60*E328+F328</f>
        <v>191</v>
      </c>
      <c r="I328" s="3">
        <f>5*(3600/H328)</f>
        <v>94.240837696335092</v>
      </c>
      <c r="J328" s="16">
        <f t="shared" si="10"/>
        <v>0</v>
      </c>
      <c r="K328" s="17">
        <f t="shared" si="11"/>
        <v>21</v>
      </c>
    </row>
    <row r="329" spans="1:11" x14ac:dyDescent="0.25">
      <c r="A329" s="4" t="s">
        <v>155</v>
      </c>
      <c r="B329" s="1">
        <v>0.93974999999999997</v>
      </c>
      <c r="C329" s="1">
        <v>0.94196199999999997</v>
      </c>
      <c r="D329" s="1">
        <f>IF(B329&gt;C329,B329-C329,C329-B329)</f>
        <v>2.2119999999999918E-3</v>
      </c>
      <c r="E329">
        <f>MINUTE(D329)</f>
        <v>3</v>
      </c>
      <c r="F329">
        <f>SECOND(D329)</f>
        <v>11</v>
      </c>
      <c r="G329">
        <f>ROUND(E329+F329/60,2)</f>
        <v>3.18</v>
      </c>
      <c r="H329">
        <f>60*E329+F329</f>
        <v>191</v>
      </c>
      <c r="I329" s="3">
        <f>5*(3600/H329)</f>
        <v>94.240837696335092</v>
      </c>
      <c r="J329" s="16">
        <f t="shared" si="10"/>
        <v>0</v>
      </c>
      <c r="K329" s="17">
        <f t="shared" si="11"/>
        <v>22</v>
      </c>
    </row>
    <row r="330" spans="1:11" x14ac:dyDescent="0.25">
      <c r="A330" s="4" t="s">
        <v>49</v>
      </c>
      <c r="B330" s="1">
        <v>0.76181600000000005</v>
      </c>
      <c r="C330" s="1">
        <v>0.75960799999999995</v>
      </c>
      <c r="D330" s="1">
        <f>IF(B330&gt;C330,B330-C330,C330-B330)</f>
        <v>2.2080000000000988E-3</v>
      </c>
      <c r="E330">
        <f>MINUTE(D330)</f>
        <v>3</v>
      </c>
      <c r="F330">
        <f>SECOND(D330)</f>
        <v>11</v>
      </c>
      <c r="G330">
        <f>ROUND(E330+F330/60,2)</f>
        <v>3.18</v>
      </c>
      <c r="H330">
        <f>60*E330+F330</f>
        <v>191</v>
      </c>
      <c r="I330" s="3">
        <f>5*(3600/H330)</f>
        <v>94.240837696335092</v>
      </c>
      <c r="J330" s="16">
        <f t="shared" si="10"/>
        <v>0</v>
      </c>
      <c r="K330" s="17">
        <f t="shared" si="11"/>
        <v>18</v>
      </c>
    </row>
    <row r="331" spans="1:11" x14ac:dyDescent="0.25">
      <c r="A331" s="4" t="s">
        <v>119</v>
      </c>
      <c r="B331" s="1">
        <v>0.71098499999999998</v>
      </c>
      <c r="C331" s="1">
        <v>0.70876899999999998</v>
      </c>
      <c r="D331" s="1">
        <f>IF(B331&gt;C331,B331-C331,C331-B331)</f>
        <v>2.2159999999999958E-3</v>
      </c>
      <c r="E331">
        <f>MINUTE(D331)</f>
        <v>3</v>
      </c>
      <c r="F331">
        <f>SECOND(D331)</f>
        <v>11</v>
      </c>
      <c r="G331">
        <f>ROUND(E331+F331/60,2)</f>
        <v>3.18</v>
      </c>
      <c r="H331">
        <f>60*E331+F331</f>
        <v>191</v>
      </c>
      <c r="I331" s="3">
        <f>5*(3600/H331)</f>
        <v>94.240837696335092</v>
      </c>
      <c r="J331" s="16">
        <f t="shared" si="10"/>
        <v>0</v>
      </c>
      <c r="K331" s="17">
        <f t="shared" si="11"/>
        <v>17</v>
      </c>
    </row>
    <row r="332" spans="1:11" x14ac:dyDescent="0.25">
      <c r="A332" s="4" t="s">
        <v>190</v>
      </c>
      <c r="B332" s="1">
        <v>0.78212599999999999</v>
      </c>
      <c r="C332" s="1">
        <v>0.779918</v>
      </c>
      <c r="D332" s="1">
        <f>IF(B332&gt;C332,B332-C332,C332-B332)</f>
        <v>2.2079999999999878E-3</v>
      </c>
      <c r="E332">
        <f>MINUTE(D332)</f>
        <v>3</v>
      </c>
      <c r="F332">
        <f>SECOND(D332)</f>
        <v>11</v>
      </c>
      <c r="G332">
        <f>ROUND(E332+F332/60,2)</f>
        <v>3.18</v>
      </c>
      <c r="H332">
        <f>60*E332+F332</f>
        <v>191</v>
      </c>
      <c r="I332" s="3">
        <f>5*(3600/H332)</f>
        <v>94.240837696335092</v>
      </c>
      <c r="J332" s="16">
        <f t="shared" si="10"/>
        <v>0</v>
      </c>
      <c r="K332" s="17">
        <f t="shared" si="11"/>
        <v>18</v>
      </c>
    </row>
    <row r="333" spans="1:11" x14ac:dyDescent="0.25">
      <c r="A333" s="4" t="s">
        <v>17</v>
      </c>
      <c r="B333" s="1">
        <v>0.94928199999999996</v>
      </c>
      <c r="C333" s="1">
        <v>0.94705799999999996</v>
      </c>
      <c r="D333" s="1">
        <f>IF(B333&gt;C333,B333-C333,C333-B333)</f>
        <v>2.2240000000000038E-3</v>
      </c>
      <c r="E333">
        <f>MINUTE(D333)</f>
        <v>3</v>
      </c>
      <c r="F333">
        <f>SECOND(D333)</f>
        <v>12</v>
      </c>
      <c r="G333">
        <f>ROUND(E333+F333/60,2)</f>
        <v>3.2</v>
      </c>
      <c r="H333">
        <f>60*E333+F333</f>
        <v>192</v>
      </c>
      <c r="I333" s="3">
        <f>5*(3600/H333)</f>
        <v>93.75</v>
      </c>
      <c r="J333" s="16">
        <f t="shared" si="10"/>
        <v>0</v>
      </c>
      <c r="K333" s="17">
        <f t="shared" si="11"/>
        <v>22</v>
      </c>
    </row>
    <row r="334" spans="1:11" x14ac:dyDescent="0.25">
      <c r="A334" s="4" t="s">
        <v>88</v>
      </c>
      <c r="B334" s="1">
        <v>0.48257800000000001</v>
      </c>
      <c r="C334" s="1">
        <v>0.480354</v>
      </c>
      <c r="D334" s="1">
        <f>IF(B334&gt;C334,B334-C334,C334-B334)</f>
        <v>2.2240000000000038E-3</v>
      </c>
      <c r="E334">
        <f>MINUTE(D334)</f>
        <v>3</v>
      </c>
      <c r="F334">
        <f>SECOND(D334)</f>
        <v>12</v>
      </c>
      <c r="G334">
        <f>ROUND(E334+F334/60,2)</f>
        <v>3.2</v>
      </c>
      <c r="H334">
        <f>60*E334+F334</f>
        <v>192</v>
      </c>
      <c r="I334" s="3">
        <f>5*(3600/H334)</f>
        <v>93.75</v>
      </c>
      <c r="J334" s="16">
        <f t="shared" si="10"/>
        <v>0</v>
      </c>
      <c r="K334" s="17">
        <f t="shared" si="11"/>
        <v>11</v>
      </c>
    </row>
    <row r="335" spans="1:11" x14ac:dyDescent="0.25">
      <c r="A335" s="4" t="s">
        <v>3</v>
      </c>
      <c r="B335" s="1">
        <v>0.31244499999999997</v>
      </c>
      <c r="C335" s="1">
        <v>0.31022499999999997</v>
      </c>
      <c r="D335" s="1">
        <f>IF(B335&gt;C335,B335-C335,C335-B335)</f>
        <v>2.2199999999999998E-3</v>
      </c>
      <c r="E335">
        <f>MINUTE(D335)</f>
        <v>3</v>
      </c>
      <c r="F335">
        <f>SECOND(D335)</f>
        <v>12</v>
      </c>
      <c r="G335">
        <f>ROUND(E335+F335/60,2)</f>
        <v>3.2</v>
      </c>
      <c r="H335">
        <f>60*E335+F335</f>
        <v>192</v>
      </c>
      <c r="I335" s="3">
        <f>5*(3600/H335)</f>
        <v>93.75</v>
      </c>
      <c r="J335" s="16">
        <f t="shared" si="10"/>
        <v>0</v>
      </c>
      <c r="K335" s="17">
        <f t="shared" si="11"/>
        <v>7</v>
      </c>
    </row>
    <row r="336" spans="1:11" x14ac:dyDescent="0.25">
      <c r="A336" s="4" t="s">
        <v>6</v>
      </c>
      <c r="B336" s="1">
        <v>0.71089100000000005</v>
      </c>
      <c r="C336" s="1">
        <v>0.71311899999999995</v>
      </c>
      <c r="D336" s="1">
        <f>IF(B336&gt;C336,B336-C336,C336-B336)</f>
        <v>2.2279999999998967E-3</v>
      </c>
      <c r="E336">
        <f>MINUTE(D336)</f>
        <v>3</v>
      </c>
      <c r="F336">
        <f>SECOND(D336)</f>
        <v>12</v>
      </c>
      <c r="G336">
        <f>ROUND(E336+F336/60,2)</f>
        <v>3.2</v>
      </c>
      <c r="H336">
        <f>60*E336+F336</f>
        <v>192</v>
      </c>
      <c r="I336" s="3">
        <f>5*(3600/H336)</f>
        <v>93.75</v>
      </c>
      <c r="J336" s="16">
        <f t="shared" si="10"/>
        <v>0</v>
      </c>
      <c r="K336" s="17">
        <f t="shared" si="11"/>
        <v>17</v>
      </c>
    </row>
    <row r="337" spans="1:11" x14ac:dyDescent="0.25">
      <c r="A337" s="4" t="s">
        <v>45</v>
      </c>
      <c r="B337" s="1">
        <v>0.90539000000000003</v>
      </c>
      <c r="C337" s="1">
        <v>0.90761800000000004</v>
      </c>
      <c r="D337" s="1">
        <f>IF(B337&gt;C337,B337-C337,C337-B337)</f>
        <v>2.2280000000000078E-3</v>
      </c>
      <c r="E337">
        <f>MINUTE(D337)</f>
        <v>3</v>
      </c>
      <c r="F337">
        <f>SECOND(D337)</f>
        <v>12</v>
      </c>
      <c r="G337">
        <f>ROUND(E337+F337/60,2)</f>
        <v>3.2</v>
      </c>
      <c r="H337">
        <f>60*E337+F337</f>
        <v>192</v>
      </c>
      <c r="I337" s="3">
        <f>5*(3600/H337)</f>
        <v>93.75</v>
      </c>
      <c r="J337" s="16">
        <f t="shared" si="10"/>
        <v>0</v>
      </c>
      <c r="K337" s="17">
        <f t="shared" si="11"/>
        <v>21</v>
      </c>
    </row>
    <row r="338" spans="1:11" x14ac:dyDescent="0.25">
      <c r="A338" s="4" t="s">
        <v>117</v>
      </c>
      <c r="B338" s="1">
        <v>0.82010700000000003</v>
      </c>
      <c r="C338" s="1">
        <v>0.82233500000000004</v>
      </c>
      <c r="D338" s="1">
        <f>IF(B338&gt;C338,B338-C338,C338-B338)</f>
        <v>2.2280000000000078E-3</v>
      </c>
      <c r="E338">
        <f>MINUTE(D338)</f>
        <v>3</v>
      </c>
      <c r="F338">
        <f>SECOND(D338)</f>
        <v>12</v>
      </c>
      <c r="G338">
        <f>ROUND(E338+F338/60,2)</f>
        <v>3.2</v>
      </c>
      <c r="H338">
        <f>60*E338+F338</f>
        <v>192</v>
      </c>
      <c r="I338" s="3">
        <f>5*(3600/H338)</f>
        <v>93.75</v>
      </c>
      <c r="J338" s="16">
        <f t="shared" si="10"/>
        <v>0</v>
      </c>
      <c r="K338" s="17">
        <f t="shared" si="11"/>
        <v>19</v>
      </c>
    </row>
    <row r="339" spans="1:11" x14ac:dyDescent="0.25">
      <c r="A339" s="4" t="s">
        <v>232</v>
      </c>
      <c r="B339" s="1">
        <v>0.29889700000000002</v>
      </c>
      <c r="C339" s="1">
        <v>0.29667300000000002</v>
      </c>
      <c r="D339" s="1">
        <f>IF(B339&gt;C339,B339-C339,C339-B339)</f>
        <v>2.2240000000000038E-3</v>
      </c>
      <c r="E339">
        <f>MINUTE(D339)</f>
        <v>3</v>
      </c>
      <c r="F339">
        <f>SECOND(D339)</f>
        <v>12</v>
      </c>
      <c r="G339">
        <f>ROUND(E339+F339/60,2)</f>
        <v>3.2</v>
      </c>
      <c r="H339">
        <f>60*E339+F339</f>
        <v>192</v>
      </c>
      <c r="I339" s="3">
        <f>5*(3600/H339)</f>
        <v>93.75</v>
      </c>
      <c r="J339" s="16">
        <f t="shared" si="10"/>
        <v>0</v>
      </c>
      <c r="K339" s="17">
        <f t="shared" si="11"/>
        <v>7</v>
      </c>
    </row>
    <row r="340" spans="1:11" x14ac:dyDescent="0.25">
      <c r="A340" s="4" t="s">
        <v>262</v>
      </c>
      <c r="B340" s="1">
        <v>6.8135000000000001E-2</v>
      </c>
      <c r="C340" s="1">
        <v>7.0362999999999995E-2</v>
      </c>
      <c r="D340" s="1">
        <f>IF(B340&gt;C340,B340-C340,C340-B340)</f>
        <v>2.2279999999999939E-3</v>
      </c>
      <c r="E340">
        <f>MINUTE(D340)</f>
        <v>3</v>
      </c>
      <c r="F340">
        <f>SECOND(D340)</f>
        <v>12</v>
      </c>
      <c r="G340">
        <f>ROUND(E340+F340/60,2)</f>
        <v>3.2</v>
      </c>
      <c r="H340">
        <f>60*E340+F340</f>
        <v>192</v>
      </c>
      <c r="I340" s="3">
        <f>5*(3600/H340)</f>
        <v>93.75</v>
      </c>
      <c r="J340" s="16">
        <f t="shared" si="10"/>
        <v>0</v>
      </c>
      <c r="K340" s="17">
        <f t="shared" si="11"/>
        <v>1</v>
      </c>
    </row>
    <row r="341" spans="1:11" x14ac:dyDescent="0.25">
      <c r="A341" s="4" t="s">
        <v>44</v>
      </c>
      <c r="B341" s="1">
        <v>0.45712199999999997</v>
      </c>
      <c r="C341" s="1">
        <v>0.45935799999999999</v>
      </c>
      <c r="D341" s="1">
        <f>IF(B341&gt;C341,B341-C341,C341-B341)</f>
        <v>2.2360000000000158E-3</v>
      </c>
      <c r="E341">
        <f>MINUTE(D341)</f>
        <v>3</v>
      </c>
      <c r="F341">
        <f>SECOND(D341)</f>
        <v>13</v>
      </c>
      <c r="G341">
        <f>ROUND(E341+F341/60,2)</f>
        <v>3.22</v>
      </c>
      <c r="H341">
        <f>60*E341+F341</f>
        <v>193</v>
      </c>
      <c r="I341" s="3">
        <f>5*(3600/H341)</f>
        <v>93.264248704663203</v>
      </c>
      <c r="J341" s="16">
        <f t="shared" si="10"/>
        <v>0</v>
      </c>
      <c r="K341" s="17">
        <f t="shared" si="11"/>
        <v>10</v>
      </c>
    </row>
    <row r="342" spans="1:11" x14ac:dyDescent="0.25">
      <c r="A342" s="4" t="s">
        <v>245</v>
      </c>
      <c r="B342" s="1">
        <v>0.57927600000000001</v>
      </c>
      <c r="C342" s="1">
        <v>0.58151200000000003</v>
      </c>
      <c r="D342" s="1">
        <f>IF(B342&gt;C342,B342-C342,C342-B342)</f>
        <v>2.2360000000000158E-3</v>
      </c>
      <c r="E342">
        <f>MINUTE(D342)</f>
        <v>3</v>
      </c>
      <c r="F342">
        <f>SECOND(D342)</f>
        <v>13</v>
      </c>
      <c r="G342">
        <f>ROUND(E342+F342/60,2)</f>
        <v>3.22</v>
      </c>
      <c r="H342">
        <f>60*E342+F342</f>
        <v>193</v>
      </c>
      <c r="I342" s="3">
        <f>5*(3600/H342)</f>
        <v>93.264248704663203</v>
      </c>
      <c r="J342" s="16">
        <f t="shared" si="10"/>
        <v>0</v>
      </c>
      <c r="K342" s="17">
        <f t="shared" si="11"/>
        <v>13</v>
      </c>
    </row>
    <row r="343" spans="1:11" x14ac:dyDescent="0.25">
      <c r="A343" s="4" t="s">
        <v>348</v>
      </c>
      <c r="B343" s="1">
        <v>1.4217E-2</v>
      </c>
      <c r="C343" s="1">
        <v>1.1981E-2</v>
      </c>
      <c r="D343" s="1">
        <f>IF(B343&gt;C343,B343-C343,C343-B343)</f>
        <v>2.2360000000000001E-3</v>
      </c>
      <c r="E343">
        <f>MINUTE(D343)</f>
        <v>3</v>
      </c>
      <c r="F343">
        <f>SECOND(D343)</f>
        <v>13</v>
      </c>
      <c r="G343">
        <f>ROUND(E343+F343/60,2)</f>
        <v>3.22</v>
      </c>
      <c r="H343">
        <f>60*E343+F343</f>
        <v>193</v>
      </c>
      <c r="I343" s="3">
        <f>5*(3600/H343)</f>
        <v>93.264248704663203</v>
      </c>
      <c r="J343" s="16">
        <f t="shared" si="10"/>
        <v>0</v>
      </c>
      <c r="K343" s="17">
        <f t="shared" si="11"/>
        <v>0</v>
      </c>
    </row>
    <row r="344" spans="1:11" x14ac:dyDescent="0.25">
      <c r="A344" s="4" t="s">
        <v>134</v>
      </c>
      <c r="B344" s="1">
        <v>0.71828700000000001</v>
      </c>
      <c r="C344" s="1">
        <v>0.72052700000000003</v>
      </c>
      <c r="D344" s="1">
        <f>IF(B344&gt;C344,B344-C344,C344-B344)</f>
        <v>2.2400000000000198E-3</v>
      </c>
      <c r="E344">
        <f>MINUTE(D344)</f>
        <v>3</v>
      </c>
      <c r="F344">
        <f>SECOND(D344)</f>
        <v>14</v>
      </c>
      <c r="G344">
        <f>ROUND(E344+F344/60,2)</f>
        <v>3.23</v>
      </c>
      <c r="H344">
        <f>60*E344+F344</f>
        <v>194</v>
      </c>
      <c r="I344" s="3">
        <f>5*(3600/H344)</f>
        <v>92.783505154639187</v>
      </c>
      <c r="J344" s="16">
        <f t="shared" si="10"/>
        <v>0</v>
      </c>
      <c r="K344" s="17">
        <f t="shared" si="11"/>
        <v>17</v>
      </c>
    </row>
    <row r="345" spans="1:11" x14ac:dyDescent="0.25">
      <c r="A345" s="4" t="s">
        <v>87</v>
      </c>
      <c r="B345" s="1">
        <v>0.50998299999999996</v>
      </c>
      <c r="C345" s="1">
        <v>0.50774300000000006</v>
      </c>
      <c r="D345" s="1">
        <f>IF(B345&gt;C345,B345-C345,C345-B345)</f>
        <v>2.2399999999999087E-3</v>
      </c>
      <c r="E345">
        <f>MINUTE(D345)</f>
        <v>3</v>
      </c>
      <c r="F345">
        <f>SECOND(D345)</f>
        <v>14</v>
      </c>
      <c r="G345">
        <f>ROUND(E345+F345/60,2)</f>
        <v>3.23</v>
      </c>
      <c r="H345">
        <f>60*E345+F345</f>
        <v>194</v>
      </c>
      <c r="I345" s="3">
        <f>5*(3600/H345)</f>
        <v>92.783505154639187</v>
      </c>
      <c r="J345" s="16">
        <f t="shared" si="10"/>
        <v>0</v>
      </c>
      <c r="K345" s="17">
        <f t="shared" si="11"/>
        <v>12</v>
      </c>
    </row>
    <row r="346" spans="1:11" x14ac:dyDescent="0.25">
      <c r="A346" s="4" t="s">
        <v>63</v>
      </c>
      <c r="B346" s="1">
        <v>0.35734100000000002</v>
      </c>
      <c r="C346" s="1">
        <v>0.355101</v>
      </c>
      <c r="D346" s="1">
        <f>IF(B346&gt;C346,B346-C346,C346-B346)</f>
        <v>2.2400000000000198E-3</v>
      </c>
      <c r="E346">
        <f>MINUTE(D346)</f>
        <v>3</v>
      </c>
      <c r="F346">
        <f>SECOND(D346)</f>
        <v>14</v>
      </c>
      <c r="G346">
        <f>ROUND(E346+F346/60,2)</f>
        <v>3.23</v>
      </c>
      <c r="H346">
        <f>60*E346+F346</f>
        <v>194</v>
      </c>
      <c r="I346" s="3">
        <f>5*(3600/H346)</f>
        <v>92.783505154639187</v>
      </c>
      <c r="J346" s="16">
        <f t="shared" si="10"/>
        <v>0</v>
      </c>
      <c r="K346" s="17">
        <f t="shared" si="11"/>
        <v>8</v>
      </c>
    </row>
    <row r="347" spans="1:11" x14ac:dyDescent="0.25">
      <c r="A347" s="4" t="s">
        <v>21</v>
      </c>
      <c r="B347" s="1">
        <v>0.72038999999999997</v>
      </c>
      <c r="C347" s="1">
        <v>0.722634</v>
      </c>
      <c r="D347" s="1">
        <f>IF(B347&gt;C347,B347-C347,C347-B347)</f>
        <v>2.2440000000000238E-3</v>
      </c>
      <c r="E347">
        <f>MINUTE(D347)</f>
        <v>3</v>
      </c>
      <c r="F347">
        <f>SECOND(D347)</f>
        <v>14</v>
      </c>
      <c r="G347">
        <f>ROUND(E347+F347/60,2)</f>
        <v>3.23</v>
      </c>
      <c r="H347">
        <f>60*E347+F347</f>
        <v>194</v>
      </c>
      <c r="I347" s="3">
        <f>5*(3600/H347)</f>
        <v>92.783505154639187</v>
      </c>
      <c r="J347" s="16">
        <f t="shared" si="10"/>
        <v>0</v>
      </c>
      <c r="K347" s="17">
        <f t="shared" si="11"/>
        <v>17</v>
      </c>
    </row>
    <row r="348" spans="1:11" x14ac:dyDescent="0.25">
      <c r="A348" s="4" t="s">
        <v>52</v>
      </c>
      <c r="B348" s="1">
        <v>0.86003499999999999</v>
      </c>
      <c r="C348" s="1">
        <v>0.85779499999999997</v>
      </c>
      <c r="D348" s="1">
        <f>IF(B348&gt;C348,B348-C348,C348-B348)</f>
        <v>2.2400000000000198E-3</v>
      </c>
      <c r="E348">
        <f>MINUTE(D348)</f>
        <v>3</v>
      </c>
      <c r="F348">
        <f>SECOND(D348)</f>
        <v>14</v>
      </c>
      <c r="G348">
        <f>ROUND(E348+F348/60,2)</f>
        <v>3.23</v>
      </c>
      <c r="H348">
        <f>60*E348+F348</f>
        <v>194</v>
      </c>
      <c r="I348" s="3">
        <f>5*(3600/H348)</f>
        <v>92.783505154639187</v>
      </c>
      <c r="J348" s="16">
        <f t="shared" si="10"/>
        <v>0</v>
      </c>
      <c r="K348" s="17">
        <f t="shared" si="11"/>
        <v>20</v>
      </c>
    </row>
    <row r="349" spans="1:11" x14ac:dyDescent="0.25">
      <c r="A349" s="4" t="s">
        <v>162</v>
      </c>
      <c r="B349" s="1">
        <v>0.73413300000000004</v>
      </c>
      <c r="C349" s="1">
        <v>0.73189300000000002</v>
      </c>
      <c r="D349" s="1">
        <f>IF(B349&gt;C349,B349-C349,C349-B349)</f>
        <v>2.2400000000000198E-3</v>
      </c>
      <c r="E349">
        <f>MINUTE(D349)</f>
        <v>3</v>
      </c>
      <c r="F349">
        <f>SECOND(D349)</f>
        <v>14</v>
      </c>
      <c r="G349">
        <f>ROUND(E349+F349/60,2)</f>
        <v>3.23</v>
      </c>
      <c r="H349">
        <f>60*E349+F349</f>
        <v>194</v>
      </c>
      <c r="I349" s="3">
        <f>5*(3600/H349)</f>
        <v>92.783505154639187</v>
      </c>
      <c r="J349" s="16">
        <f t="shared" si="10"/>
        <v>0</v>
      </c>
      <c r="K349" s="17">
        <f t="shared" si="11"/>
        <v>17</v>
      </c>
    </row>
    <row r="350" spans="1:11" x14ac:dyDescent="0.25">
      <c r="A350" s="4" t="s">
        <v>5</v>
      </c>
      <c r="B350" s="1">
        <v>0.43023099999999997</v>
      </c>
      <c r="C350" s="1">
        <v>0.43248700000000001</v>
      </c>
      <c r="D350" s="1">
        <f>IF(B350&gt;C350,B350-C350,C350-B350)</f>
        <v>2.2560000000000358E-3</v>
      </c>
      <c r="E350">
        <f>MINUTE(D350)</f>
        <v>3</v>
      </c>
      <c r="F350">
        <f>SECOND(D350)</f>
        <v>15</v>
      </c>
      <c r="G350">
        <f>ROUND(E350+F350/60,2)</f>
        <v>3.25</v>
      </c>
      <c r="H350">
        <f>60*E350+F350</f>
        <v>195</v>
      </c>
      <c r="I350" s="3">
        <f>5*(3600/H350)</f>
        <v>92.307692307692292</v>
      </c>
      <c r="J350" s="16">
        <f t="shared" si="10"/>
        <v>0</v>
      </c>
      <c r="K350" s="17">
        <f t="shared" si="11"/>
        <v>10</v>
      </c>
    </row>
    <row r="351" spans="1:11" x14ac:dyDescent="0.25">
      <c r="A351" s="4" t="s">
        <v>49</v>
      </c>
      <c r="B351" s="1">
        <v>0.73685999999999996</v>
      </c>
      <c r="C351" s="1">
        <v>0.73460400000000003</v>
      </c>
      <c r="D351" s="1">
        <f>IF(B351&gt;C351,B351-C351,C351-B351)</f>
        <v>2.2559999999999247E-3</v>
      </c>
      <c r="E351">
        <f>MINUTE(D351)</f>
        <v>3</v>
      </c>
      <c r="F351">
        <f>SECOND(D351)</f>
        <v>15</v>
      </c>
      <c r="G351">
        <f>ROUND(E351+F351/60,2)</f>
        <v>3.25</v>
      </c>
      <c r="H351">
        <f>60*E351+F351</f>
        <v>195</v>
      </c>
      <c r="I351" s="3">
        <f>5*(3600/H351)</f>
        <v>92.307692307692292</v>
      </c>
      <c r="J351" s="16">
        <f t="shared" si="10"/>
        <v>0</v>
      </c>
      <c r="K351" s="17">
        <f t="shared" si="11"/>
        <v>17</v>
      </c>
    </row>
    <row r="352" spans="1:11" x14ac:dyDescent="0.25">
      <c r="A352" s="4" t="s">
        <v>259</v>
      </c>
      <c r="B352" s="1">
        <v>0.72672199999999998</v>
      </c>
      <c r="C352" s="1">
        <v>0.72446999999999995</v>
      </c>
      <c r="D352" s="1">
        <f>IF(B352&gt;C352,B352-C352,C352-B352)</f>
        <v>2.2520000000000318E-3</v>
      </c>
      <c r="E352">
        <f>MINUTE(D352)</f>
        <v>3</v>
      </c>
      <c r="F352">
        <f>SECOND(D352)</f>
        <v>15</v>
      </c>
      <c r="G352">
        <f>ROUND(E352+F352/60,2)</f>
        <v>3.25</v>
      </c>
      <c r="H352">
        <f>60*E352+F352</f>
        <v>195</v>
      </c>
      <c r="I352" s="3">
        <f>5*(3600/H352)</f>
        <v>92.307692307692292</v>
      </c>
      <c r="J352" s="16">
        <f t="shared" si="10"/>
        <v>0</v>
      </c>
      <c r="K352" s="17">
        <f t="shared" si="11"/>
        <v>17</v>
      </c>
    </row>
    <row r="353" spans="1:11" x14ac:dyDescent="0.25">
      <c r="A353" s="4" t="s">
        <v>26</v>
      </c>
      <c r="B353" s="1">
        <v>0.32196599999999997</v>
      </c>
      <c r="C353" s="1">
        <v>0.32423800000000003</v>
      </c>
      <c r="D353" s="1">
        <f>IF(B353&gt;C353,B353-C353,C353-B353)</f>
        <v>2.2720000000000518E-3</v>
      </c>
      <c r="E353">
        <f>MINUTE(D353)</f>
        <v>3</v>
      </c>
      <c r="F353">
        <f>SECOND(D353)</f>
        <v>16</v>
      </c>
      <c r="G353">
        <f>ROUND(E353+F353/60,2)</f>
        <v>3.27</v>
      </c>
      <c r="H353">
        <f>60*E353+F353</f>
        <v>196</v>
      </c>
      <c r="I353" s="3">
        <f>5*(3600/H353)</f>
        <v>91.83673469387756</v>
      </c>
      <c r="J353" s="16">
        <f t="shared" si="10"/>
        <v>0</v>
      </c>
      <c r="K353" s="17">
        <f t="shared" si="11"/>
        <v>7</v>
      </c>
    </row>
    <row r="354" spans="1:11" x14ac:dyDescent="0.25">
      <c r="A354" s="4" t="s">
        <v>68</v>
      </c>
      <c r="B354" s="1">
        <v>1.8766999999999999E-2</v>
      </c>
      <c r="C354" s="1">
        <v>2.1031000000000001E-2</v>
      </c>
      <c r="D354" s="1">
        <f>IF(B354&gt;C354,B354-C354,C354-B354)</f>
        <v>2.2640000000000021E-3</v>
      </c>
      <c r="E354">
        <f>MINUTE(D354)</f>
        <v>3</v>
      </c>
      <c r="F354">
        <f>SECOND(D354)</f>
        <v>16</v>
      </c>
      <c r="G354">
        <f>ROUND(E354+F354/60,2)</f>
        <v>3.27</v>
      </c>
      <c r="H354">
        <f>60*E354+F354</f>
        <v>196</v>
      </c>
      <c r="I354" s="3">
        <f>5*(3600/H354)</f>
        <v>91.83673469387756</v>
      </c>
      <c r="J354" s="16">
        <f t="shared" si="10"/>
        <v>0</v>
      </c>
      <c r="K354" s="17">
        <f t="shared" si="11"/>
        <v>0</v>
      </c>
    </row>
    <row r="355" spans="1:11" x14ac:dyDescent="0.25">
      <c r="A355" s="4" t="s">
        <v>16</v>
      </c>
      <c r="B355" s="1">
        <v>8.7446999999999997E-2</v>
      </c>
      <c r="C355" s="1">
        <v>8.5182999999999995E-2</v>
      </c>
      <c r="D355" s="1">
        <f>IF(B355&gt;C355,B355-C355,C355-B355)</f>
        <v>2.2640000000000021E-3</v>
      </c>
      <c r="E355">
        <f>MINUTE(D355)</f>
        <v>3</v>
      </c>
      <c r="F355">
        <f>SECOND(D355)</f>
        <v>16</v>
      </c>
      <c r="G355">
        <f>ROUND(E355+F355/60,2)</f>
        <v>3.27</v>
      </c>
      <c r="H355">
        <f>60*E355+F355</f>
        <v>196</v>
      </c>
      <c r="I355" s="3">
        <f>5*(3600/H355)</f>
        <v>91.83673469387756</v>
      </c>
      <c r="J355" s="16">
        <f t="shared" si="10"/>
        <v>0</v>
      </c>
      <c r="K355" s="17">
        <f t="shared" si="11"/>
        <v>2</v>
      </c>
    </row>
    <row r="356" spans="1:11" x14ac:dyDescent="0.25">
      <c r="A356" s="4" t="s">
        <v>162</v>
      </c>
      <c r="B356" s="1">
        <v>0.80282699999999996</v>
      </c>
      <c r="C356" s="1">
        <v>0.805091</v>
      </c>
      <c r="D356" s="1">
        <f>IF(B356&gt;C356,B356-C356,C356-B356)</f>
        <v>2.2640000000000438E-3</v>
      </c>
      <c r="E356">
        <f>MINUTE(D356)</f>
        <v>3</v>
      </c>
      <c r="F356">
        <f>SECOND(D356)</f>
        <v>16</v>
      </c>
      <c r="G356">
        <f>ROUND(E356+F356/60,2)</f>
        <v>3.27</v>
      </c>
      <c r="H356">
        <f>60*E356+F356</f>
        <v>196</v>
      </c>
      <c r="I356" s="3">
        <f>5*(3600/H356)</f>
        <v>91.83673469387756</v>
      </c>
      <c r="J356" s="16">
        <f t="shared" si="10"/>
        <v>0</v>
      </c>
      <c r="K356" s="17">
        <f t="shared" si="11"/>
        <v>19</v>
      </c>
    </row>
    <row r="357" spans="1:11" x14ac:dyDescent="0.25">
      <c r="A357" s="4" t="s">
        <v>4</v>
      </c>
      <c r="B357" s="1">
        <v>0.86221700000000001</v>
      </c>
      <c r="C357" s="1">
        <v>0.85994899999999996</v>
      </c>
      <c r="D357" s="1">
        <f>IF(B357&gt;C357,B357-C357,C357-B357)</f>
        <v>2.2680000000000478E-3</v>
      </c>
      <c r="E357">
        <f>MINUTE(D357)</f>
        <v>3</v>
      </c>
      <c r="F357">
        <f>SECOND(D357)</f>
        <v>16</v>
      </c>
      <c r="G357">
        <f>ROUND(E357+F357/60,2)</f>
        <v>3.27</v>
      </c>
      <c r="H357">
        <f>60*E357+F357</f>
        <v>196</v>
      </c>
      <c r="I357" s="3">
        <f>5*(3600/H357)</f>
        <v>91.83673469387756</v>
      </c>
      <c r="J357" s="16">
        <f t="shared" si="10"/>
        <v>0</v>
      </c>
      <c r="K357" s="17">
        <f t="shared" si="11"/>
        <v>20</v>
      </c>
    </row>
    <row r="358" spans="1:11" x14ac:dyDescent="0.25">
      <c r="A358" s="4" t="s">
        <v>35</v>
      </c>
      <c r="B358" s="1">
        <v>0.74358000000000002</v>
      </c>
      <c r="C358" s="1">
        <v>0.74584399999999995</v>
      </c>
      <c r="D358" s="1">
        <f>IF(B358&gt;C358,B358-C358,C358-B358)</f>
        <v>2.2639999999999327E-3</v>
      </c>
      <c r="E358">
        <f>MINUTE(D358)</f>
        <v>3</v>
      </c>
      <c r="F358">
        <f>SECOND(D358)</f>
        <v>16</v>
      </c>
      <c r="G358">
        <f>ROUND(E358+F358/60,2)</f>
        <v>3.27</v>
      </c>
      <c r="H358">
        <f>60*E358+F358</f>
        <v>196</v>
      </c>
      <c r="I358" s="3">
        <f>5*(3600/H358)</f>
        <v>91.83673469387756</v>
      </c>
      <c r="J358" s="16">
        <f t="shared" si="10"/>
        <v>0</v>
      </c>
      <c r="K358" s="17">
        <f t="shared" si="11"/>
        <v>17</v>
      </c>
    </row>
    <row r="359" spans="1:11" x14ac:dyDescent="0.25">
      <c r="A359" s="4" t="s">
        <v>163</v>
      </c>
      <c r="B359" s="1">
        <v>0.69269999999999998</v>
      </c>
      <c r="C359" s="1">
        <v>0.69043600000000005</v>
      </c>
      <c r="D359" s="1">
        <f>IF(B359&gt;C359,B359-C359,C359-B359)</f>
        <v>2.2639999999999327E-3</v>
      </c>
      <c r="E359">
        <f>MINUTE(D359)</f>
        <v>3</v>
      </c>
      <c r="F359">
        <f>SECOND(D359)</f>
        <v>16</v>
      </c>
      <c r="G359">
        <f>ROUND(E359+F359/60,2)</f>
        <v>3.27</v>
      </c>
      <c r="H359">
        <f>60*E359+F359</f>
        <v>196</v>
      </c>
      <c r="I359" s="3">
        <f>5*(3600/H359)</f>
        <v>91.83673469387756</v>
      </c>
      <c r="J359" s="16">
        <f t="shared" si="10"/>
        <v>0</v>
      </c>
      <c r="K359" s="17">
        <f t="shared" si="11"/>
        <v>16</v>
      </c>
    </row>
    <row r="360" spans="1:11" x14ac:dyDescent="0.25">
      <c r="A360" s="4" t="s">
        <v>122</v>
      </c>
      <c r="B360" s="1">
        <v>0.68302600000000002</v>
      </c>
      <c r="C360" s="1">
        <v>0.68075799999999997</v>
      </c>
      <c r="D360" s="1">
        <f>IF(B360&gt;C360,B360-C360,C360-B360)</f>
        <v>2.2680000000000478E-3</v>
      </c>
      <c r="E360">
        <f>MINUTE(D360)</f>
        <v>3</v>
      </c>
      <c r="F360">
        <f>SECOND(D360)</f>
        <v>16</v>
      </c>
      <c r="G360">
        <f>ROUND(E360+F360/60,2)</f>
        <v>3.27</v>
      </c>
      <c r="H360">
        <f>60*E360+F360</f>
        <v>196</v>
      </c>
      <c r="I360" s="3">
        <f>5*(3600/H360)</f>
        <v>91.83673469387756</v>
      </c>
      <c r="J360" s="16">
        <f t="shared" si="10"/>
        <v>0</v>
      </c>
      <c r="K360" s="17">
        <f t="shared" si="11"/>
        <v>16</v>
      </c>
    </row>
    <row r="361" spans="1:11" x14ac:dyDescent="0.25">
      <c r="A361" s="4" t="s">
        <v>41</v>
      </c>
      <c r="B361" s="1">
        <v>0.101677</v>
      </c>
      <c r="C361" s="1">
        <v>9.9404999999999993E-2</v>
      </c>
      <c r="D361" s="1">
        <f>IF(B361&gt;C361,B361-C361,C361-B361)</f>
        <v>2.2720000000000101E-3</v>
      </c>
      <c r="E361">
        <f>MINUTE(D361)</f>
        <v>3</v>
      </c>
      <c r="F361">
        <f>SECOND(D361)</f>
        <v>16</v>
      </c>
      <c r="G361">
        <f>ROUND(E361+F361/60,2)</f>
        <v>3.27</v>
      </c>
      <c r="H361">
        <f>60*E361+F361</f>
        <v>196</v>
      </c>
      <c r="I361" s="3">
        <f>5*(3600/H361)</f>
        <v>91.83673469387756</v>
      </c>
      <c r="J361" s="16">
        <f t="shared" si="10"/>
        <v>0</v>
      </c>
      <c r="K361" s="17">
        <f t="shared" si="11"/>
        <v>2</v>
      </c>
    </row>
    <row r="362" spans="1:11" x14ac:dyDescent="0.25">
      <c r="A362" s="4" t="s">
        <v>330</v>
      </c>
      <c r="B362" s="1">
        <v>3.6773E-2</v>
      </c>
      <c r="C362" s="1">
        <v>3.4508999999999998E-2</v>
      </c>
      <c r="D362" s="1">
        <f>IF(B362&gt;C362,B362-C362,C362-B362)</f>
        <v>2.2640000000000021E-3</v>
      </c>
      <c r="E362">
        <f>MINUTE(D362)</f>
        <v>3</v>
      </c>
      <c r="F362">
        <f>SECOND(D362)</f>
        <v>16</v>
      </c>
      <c r="G362">
        <f>ROUND(E362+F362/60,2)</f>
        <v>3.27</v>
      </c>
      <c r="H362">
        <f>60*E362+F362</f>
        <v>196</v>
      </c>
      <c r="I362" s="3">
        <f>5*(3600/H362)</f>
        <v>91.83673469387756</v>
      </c>
      <c r="J362" s="16">
        <f t="shared" si="10"/>
        <v>0</v>
      </c>
      <c r="K362" s="17">
        <f t="shared" si="11"/>
        <v>0</v>
      </c>
    </row>
    <row r="363" spans="1:11" x14ac:dyDescent="0.25">
      <c r="A363" s="4" t="s">
        <v>56</v>
      </c>
      <c r="B363" s="1">
        <v>0.34653200000000001</v>
      </c>
      <c r="C363" s="1">
        <v>0.34881600000000001</v>
      </c>
      <c r="D363" s="1">
        <f>IF(B363&gt;C363,B363-C363,C363-B363)</f>
        <v>2.2840000000000082E-3</v>
      </c>
      <c r="E363">
        <f>MINUTE(D363)</f>
        <v>3</v>
      </c>
      <c r="F363">
        <f>SECOND(D363)</f>
        <v>17</v>
      </c>
      <c r="G363">
        <f>ROUND(E363+F363/60,2)</f>
        <v>3.28</v>
      </c>
      <c r="H363">
        <f>60*E363+F363</f>
        <v>197</v>
      </c>
      <c r="I363" s="3">
        <f>5*(3600/H363)</f>
        <v>91.370558375634516</v>
      </c>
      <c r="J363" s="16">
        <f t="shared" si="10"/>
        <v>0</v>
      </c>
      <c r="K363" s="17">
        <f t="shared" si="11"/>
        <v>8</v>
      </c>
    </row>
    <row r="364" spans="1:11" x14ac:dyDescent="0.25">
      <c r="A364" s="4" t="s">
        <v>60</v>
      </c>
      <c r="B364" s="1">
        <v>2.2539E-2</v>
      </c>
      <c r="C364" s="1">
        <v>2.0254999999999999E-2</v>
      </c>
      <c r="D364" s="1">
        <f>IF(B364&gt;C364,B364-C364,C364-B364)</f>
        <v>2.2840000000000013E-3</v>
      </c>
      <c r="E364">
        <f>MINUTE(D364)</f>
        <v>3</v>
      </c>
      <c r="F364">
        <f>SECOND(D364)</f>
        <v>17</v>
      </c>
      <c r="G364">
        <f>ROUND(E364+F364/60,2)</f>
        <v>3.28</v>
      </c>
      <c r="H364">
        <f>60*E364+F364</f>
        <v>197</v>
      </c>
      <c r="I364" s="3">
        <f>5*(3600/H364)</f>
        <v>91.370558375634516</v>
      </c>
      <c r="J364" s="16">
        <f t="shared" si="10"/>
        <v>0</v>
      </c>
      <c r="K364" s="17">
        <f t="shared" si="11"/>
        <v>0</v>
      </c>
    </row>
    <row r="365" spans="1:11" x14ac:dyDescent="0.25">
      <c r="A365" s="4" t="s">
        <v>117</v>
      </c>
      <c r="B365" s="1">
        <v>0.21960199999999999</v>
      </c>
      <c r="C365" s="1">
        <v>0.21732199999999999</v>
      </c>
      <c r="D365" s="1">
        <f>IF(B365&gt;C365,B365-C365,C365-B365)</f>
        <v>2.2800000000000042E-3</v>
      </c>
      <c r="E365">
        <f>MINUTE(D365)</f>
        <v>3</v>
      </c>
      <c r="F365">
        <f>SECOND(D365)</f>
        <v>17</v>
      </c>
      <c r="G365">
        <f>ROUND(E365+F365/60,2)</f>
        <v>3.28</v>
      </c>
      <c r="H365">
        <f>60*E365+F365</f>
        <v>197</v>
      </c>
      <c r="I365" s="3">
        <f>5*(3600/H365)</f>
        <v>91.370558375634516</v>
      </c>
      <c r="J365" s="16">
        <f t="shared" si="10"/>
        <v>0</v>
      </c>
      <c r="K365" s="17">
        <f t="shared" si="11"/>
        <v>5</v>
      </c>
    </row>
    <row r="366" spans="1:11" x14ac:dyDescent="0.25">
      <c r="A366" s="4" t="s">
        <v>111</v>
      </c>
      <c r="B366" s="1">
        <v>0.66062200000000004</v>
      </c>
      <c r="C366" s="1">
        <v>0.65834599999999999</v>
      </c>
      <c r="D366" s="1">
        <f>IF(B366&gt;C366,B366-C366,C366-B366)</f>
        <v>2.2760000000000558E-3</v>
      </c>
      <c r="E366">
        <f>MINUTE(D366)</f>
        <v>3</v>
      </c>
      <c r="F366">
        <f>SECOND(D366)</f>
        <v>17</v>
      </c>
      <c r="G366">
        <f>ROUND(E366+F366/60,2)</f>
        <v>3.28</v>
      </c>
      <c r="H366">
        <f>60*E366+F366</f>
        <v>197</v>
      </c>
      <c r="I366" s="3">
        <f>5*(3600/H366)</f>
        <v>91.370558375634516</v>
      </c>
      <c r="J366" s="16">
        <f t="shared" si="10"/>
        <v>0</v>
      </c>
      <c r="K366" s="17">
        <f t="shared" si="11"/>
        <v>15</v>
      </c>
    </row>
    <row r="367" spans="1:11" x14ac:dyDescent="0.25">
      <c r="A367" s="4" t="s">
        <v>116</v>
      </c>
      <c r="B367" s="1">
        <v>0.31276999999999999</v>
      </c>
      <c r="C367" s="1">
        <v>0.31504599999999999</v>
      </c>
      <c r="D367" s="1">
        <f>IF(B367&gt;C367,B367-C367,C367-B367)</f>
        <v>2.2760000000000002E-3</v>
      </c>
      <c r="E367">
        <f>MINUTE(D367)</f>
        <v>3</v>
      </c>
      <c r="F367">
        <f>SECOND(D367)</f>
        <v>17</v>
      </c>
      <c r="G367">
        <f>ROUND(E367+F367/60,2)</f>
        <v>3.28</v>
      </c>
      <c r="H367">
        <f>60*E367+F367</f>
        <v>197</v>
      </c>
      <c r="I367" s="3">
        <f>5*(3600/H367)</f>
        <v>91.370558375634516</v>
      </c>
      <c r="J367" s="16">
        <f t="shared" si="10"/>
        <v>0</v>
      </c>
      <c r="K367" s="17">
        <f t="shared" si="11"/>
        <v>7</v>
      </c>
    </row>
    <row r="368" spans="1:11" x14ac:dyDescent="0.25">
      <c r="A368" s="4" t="s">
        <v>141</v>
      </c>
      <c r="B368" s="1">
        <v>0.99470000000000003</v>
      </c>
      <c r="C368" s="1">
        <v>0.99698399999999998</v>
      </c>
      <c r="D368" s="1">
        <f>IF(B368&gt;C368,B368-C368,C368-B368)</f>
        <v>2.2839999999999527E-3</v>
      </c>
      <c r="E368">
        <f>MINUTE(D368)</f>
        <v>3</v>
      </c>
      <c r="F368">
        <f>SECOND(D368)</f>
        <v>17</v>
      </c>
      <c r="G368">
        <f>ROUND(E368+F368/60,2)</f>
        <v>3.28</v>
      </c>
      <c r="H368">
        <f>60*E368+F368</f>
        <v>197</v>
      </c>
      <c r="I368" s="3">
        <f>5*(3600/H368)</f>
        <v>91.370558375634516</v>
      </c>
      <c r="J368" s="16">
        <f t="shared" si="10"/>
        <v>0</v>
      </c>
      <c r="K368" s="17">
        <f t="shared" si="11"/>
        <v>23</v>
      </c>
    </row>
    <row r="369" spans="1:11" x14ac:dyDescent="0.25">
      <c r="A369" s="4" t="s">
        <v>3</v>
      </c>
      <c r="B369" s="1">
        <v>0.59558999999999995</v>
      </c>
      <c r="C369" s="1">
        <v>0.59787400000000002</v>
      </c>
      <c r="D369" s="1">
        <f>IF(B369&gt;C369,B369-C369,C369-B369)</f>
        <v>2.2840000000000638E-3</v>
      </c>
      <c r="E369">
        <f>MINUTE(D369)</f>
        <v>3</v>
      </c>
      <c r="F369">
        <f>SECOND(D369)</f>
        <v>17</v>
      </c>
      <c r="G369">
        <f>ROUND(E369+F369/60,2)</f>
        <v>3.28</v>
      </c>
      <c r="H369">
        <f>60*E369+F369</f>
        <v>197</v>
      </c>
      <c r="I369" s="3">
        <f>5*(3600/H369)</f>
        <v>91.370558375634516</v>
      </c>
      <c r="J369" s="16">
        <f t="shared" si="10"/>
        <v>0</v>
      </c>
      <c r="K369" s="17">
        <f t="shared" si="11"/>
        <v>14</v>
      </c>
    </row>
    <row r="370" spans="1:11" x14ac:dyDescent="0.25">
      <c r="A370" s="4" t="s">
        <v>5</v>
      </c>
      <c r="B370" s="1">
        <v>0.84894400000000003</v>
      </c>
      <c r="C370" s="1">
        <v>0.84666799999999998</v>
      </c>
      <c r="D370" s="1">
        <f>IF(B370&gt;C370,B370-C370,C370-B370)</f>
        <v>2.2760000000000558E-3</v>
      </c>
      <c r="E370">
        <f>MINUTE(D370)</f>
        <v>3</v>
      </c>
      <c r="F370">
        <f>SECOND(D370)</f>
        <v>17</v>
      </c>
      <c r="G370">
        <f>ROUND(E370+F370/60,2)</f>
        <v>3.28</v>
      </c>
      <c r="H370">
        <f>60*E370+F370</f>
        <v>197</v>
      </c>
      <c r="I370" s="3">
        <f>5*(3600/H370)</f>
        <v>91.370558375634516</v>
      </c>
      <c r="J370" s="16">
        <f t="shared" si="10"/>
        <v>0</v>
      </c>
      <c r="K370" s="17">
        <f t="shared" si="11"/>
        <v>20</v>
      </c>
    </row>
    <row r="371" spans="1:11" x14ac:dyDescent="0.25">
      <c r="A371" s="4" t="s">
        <v>264</v>
      </c>
      <c r="B371" s="1">
        <v>0.54122899999999996</v>
      </c>
      <c r="C371" s="1">
        <v>0.54350900000000002</v>
      </c>
      <c r="D371" s="1">
        <f>IF(B371&gt;C371,B371-C371,C371-B371)</f>
        <v>2.2800000000000598E-3</v>
      </c>
      <c r="E371">
        <f>MINUTE(D371)</f>
        <v>3</v>
      </c>
      <c r="F371">
        <f>SECOND(D371)</f>
        <v>17</v>
      </c>
      <c r="G371">
        <f>ROUND(E371+F371/60,2)</f>
        <v>3.28</v>
      </c>
      <c r="H371">
        <f>60*E371+F371</f>
        <v>197</v>
      </c>
      <c r="I371" s="3">
        <f>5*(3600/H371)</f>
        <v>91.370558375634516</v>
      </c>
      <c r="J371" s="16">
        <f t="shared" si="10"/>
        <v>0</v>
      </c>
      <c r="K371" s="17">
        <f t="shared" si="11"/>
        <v>12</v>
      </c>
    </row>
    <row r="372" spans="1:11" x14ac:dyDescent="0.25">
      <c r="A372" s="4" t="s">
        <v>20</v>
      </c>
      <c r="B372" s="1">
        <v>0.127914</v>
      </c>
      <c r="C372" s="1">
        <v>0.12561800000000001</v>
      </c>
      <c r="D372" s="1">
        <f>IF(B372&gt;C372,B372-C372,C372-B372)</f>
        <v>2.2959999999999925E-3</v>
      </c>
      <c r="E372">
        <f>MINUTE(D372)</f>
        <v>3</v>
      </c>
      <c r="F372">
        <f>SECOND(D372)</f>
        <v>18</v>
      </c>
      <c r="G372">
        <f>ROUND(E372+F372/60,2)</f>
        <v>3.3</v>
      </c>
      <c r="H372">
        <f>60*E372+F372</f>
        <v>198</v>
      </c>
      <c r="I372" s="3">
        <f>5*(3600/H372)</f>
        <v>90.909090909090921</v>
      </c>
      <c r="J372" s="16">
        <f t="shared" si="10"/>
        <v>0</v>
      </c>
      <c r="K372" s="17">
        <f t="shared" si="11"/>
        <v>3</v>
      </c>
    </row>
    <row r="373" spans="1:11" x14ac:dyDescent="0.25">
      <c r="A373" s="4" t="s">
        <v>84</v>
      </c>
      <c r="B373" s="1">
        <v>0.20413700000000001</v>
      </c>
      <c r="C373" s="1">
        <v>0.20184099999999999</v>
      </c>
      <c r="D373" s="1">
        <f>IF(B373&gt;C373,B373-C373,C373-B373)</f>
        <v>2.2960000000000202E-3</v>
      </c>
      <c r="E373">
        <f>MINUTE(D373)</f>
        <v>3</v>
      </c>
      <c r="F373">
        <f>SECOND(D373)</f>
        <v>18</v>
      </c>
      <c r="G373">
        <f>ROUND(E373+F373/60,2)</f>
        <v>3.3</v>
      </c>
      <c r="H373">
        <f>60*E373+F373</f>
        <v>198</v>
      </c>
      <c r="I373" s="3">
        <f>5*(3600/H373)</f>
        <v>90.909090909090921</v>
      </c>
      <c r="J373" s="16">
        <f t="shared" si="10"/>
        <v>0</v>
      </c>
      <c r="K373" s="17">
        <f t="shared" si="11"/>
        <v>4</v>
      </c>
    </row>
    <row r="374" spans="1:11" x14ac:dyDescent="0.25">
      <c r="A374" s="4" t="s">
        <v>125</v>
      </c>
      <c r="B374" s="1">
        <v>0.56990099999999999</v>
      </c>
      <c r="C374" s="1">
        <v>0.57219699999999996</v>
      </c>
      <c r="D374" s="1">
        <f>IF(B374&gt;C374,B374-C374,C374-B374)</f>
        <v>2.2959999999999647E-3</v>
      </c>
      <c r="E374">
        <f>MINUTE(D374)</f>
        <v>3</v>
      </c>
      <c r="F374">
        <f>SECOND(D374)</f>
        <v>18</v>
      </c>
      <c r="G374">
        <f>ROUND(E374+F374/60,2)</f>
        <v>3.3</v>
      </c>
      <c r="H374">
        <f>60*E374+F374</f>
        <v>198</v>
      </c>
      <c r="I374" s="3">
        <f>5*(3600/H374)</f>
        <v>90.909090909090921</v>
      </c>
      <c r="J374" s="16">
        <f t="shared" si="10"/>
        <v>0</v>
      </c>
      <c r="K374" s="17">
        <f t="shared" si="11"/>
        <v>13</v>
      </c>
    </row>
    <row r="375" spans="1:11" x14ac:dyDescent="0.25">
      <c r="A375" s="4" t="s">
        <v>126</v>
      </c>
      <c r="B375" s="1">
        <v>0.80859300000000001</v>
      </c>
      <c r="C375" s="1">
        <v>0.80629700000000004</v>
      </c>
      <c r="D375" s="1">
        <f>IF(B375&gt;C375,B375-C375,C375-B375)</f>
        <v>2.2959999999999647E-3</v>
      </c>
      <c r="E375">
        <f>MINUTE(D375)</f>
        <v>3</v>
      </c>
      <c r="F375">
        <f>SECOND(D375)</f>
        <v>18</v>
      </c>
      <c r="G375">
        <f>ROUND(E375+F375/60,2)</f>
        <v>3.3</v>
      </c>
      <c r="H375">
        <f>60*E375+F375</f>
        <v>198</v>
      </c>
      <c r="I375" s="3">
        <f>5*(3600/H375)</f>
        <v>90.909090909090921</v>
      </c>
      <c r="J375" s="16">
        <f t="shared" si="10"/>
        <v>0</v>
      </c>
      <c r="K375" s="17">
        <f t="shared" si="11"/>
        <v>19</v>
      </c>
    </row>
    <row r="376" spans="1:11" x14ac:dyDescent="0.25">
      <c r="A376" s="4" t="s">
        <v>402</v>
      </c>
      <c r="B376" s="1">
        <v>0.54644499999999996</v>
      </c>
      <c r="C376" s="1">
        <v>0.544157</v>
      </c>
      <c r="D376" s="1">
        <f>IF(B376&gt;C376,B376-C376,C376-B376)</f>
        <v>2.2879999999999567E-3</v>
      </c>
      <c r="E376">
        <f>MINUTE(D376)</f>
        <v>3</v>
      </c>
      <c r="F376">
        <f>SECOND(D376)</f>
        <v>18</v>
      </c>
      <c r="G376">
        <f>ROUND(E376+F376/60,2)</f>
        <v>3.3</v>
      </c>
      <c r="H376">
        <f>60*E376+F376</f>
        <v>198</v>
      </c>
      <c r="I376" s="3">
        <f>5*(3600/H376)</f>
        <v>90.909090909090921</v>
      </c>
      <c r="J376" s="16">
        <f t="shared" si="10"/>
        <v>0</v>
      </c>
      <c r="K376" s="17">
        <f t="shared" si="11"/>
        <v>13</v>
      </c>
    </row>
    <row r="377" spans="1:11" x14ac:dyDescent="0.25">
      <c r="A377" s="4" t="s">
        <v>57</v>
      </c>
      <c r="B377" s="1">
        <v>0.95849399999999996</v>
      </c>
      <c r="C377" s="1">
        <v>0.96079800000000004</v>
      </c>
      <c r="D377" s="1">
        <f>IF(B377&gt;C377,B377-C377,C377-B377)</f>
        <v>2.3040000000000838E-3</v>
      </c>
      <c r="E377">
        <f>MINUTE(D377)</f>
        <v>3</v>
      </c>
      <c r="F377">
        <f>SECOND(D377)</f>
        <v>19</v>
      </c>
      <c r="G377">
        <f>ROUND(E377+F377/60,2)</f>
        <v>3.32</v>
      </c>
      <c r="H377">
        <f>60*E377+F377</f>
        <v>199</v>
      </c>
      <c r="I377" s="3">
        <f>5*(3600/H377)</f>
        <v>90.452261306532648</v>
      </c>
      <c r="J377" s="16">
        <f t="shared" si="10"/>
        <v>0</v>
      </c>
      <c r="K377" s="17">
        <f t="shared" si="11"/>
        <v>23</v>
      </c>
    </row>
    <row r="378" spans="1:11" x14ac:dyDescent="0.25">
      <c r="A378" s="4" t="s">
        <v>135</v>
      </c>
      <c r="B378" s="1">
        <v>0.41060799999999997</v>
      </c>
      <c r="C378" s="1">
        <v>0.412908</v>
      </c>
      <c r="D378" s="1">
        <f>IF(B378&gt;C378,B378-C378,C378-B378)</f>
        <v>2.3000000000000242E-3</v>
      </c>
      <c r="E378">
        <f>MINUTE(D378)</f>
        <v>3</v>
      </c>
      <c r="F378">
        <f>SECOND(D378)</f>
        <v>19</v>
      </c>
      <c r="G378">
        <f>ROUND(E378+F378/60,2)</f>
        <v>3.32</v>
      </c>
      <c r="H378">
        <f>60*E378+F378</f>
        <v>199</v>
      </c>
      <c r="I378" s="3">
        <f>5*(3600/H378)</f>
        <v>90.452261306532648</v>
      </c>
      <c r="J378" s="16">
        <f t="shared" si="10"/>
        <v>0</v>
      </c>
      <c r="K378" s="17">
        <f t="shared" si="11"/>
        <v>9</v>
      </c>
    </row>
    <row r="379" spans="1:11" x14ac:dyDescent="0.25">
      <c r="A379" s="4" t="s">
        <v>53</v>
      </c>
      <c r="B379" s="1">
        <v>0.36659199999999997</v>
      </c>
      <c r="C379" s="1">
        <v>0.368896</v>
      </c>
      <c r="D379" s="1">
        <f>IF(B379&gt;C379,B379-C379,C379-B379)</f>
        <v>2.3040000000000282E-3</v>
      </c>
      <c r="E379">
        <f>MINUTE(D379)</f>
        <v>3</v>
      </c>
      <c r="F379">
        <f>SECOND(D379)</f>
        <v>19</v>
      </c>
      <c r="G379">
        <f>ROUND(E379+F379/60,2)</f>
        <v>3.32</v>
      </c>
      <c r="H379">
        <f>60*E379+F379</f>
        <v>199</v>
      </c>
      <c r="I379" s="3">
        <f>5*(3600/H379)</f>
        <v>90.452261306532648</v>
      </c>
      <c r="J379" s="16">
        <f t="shared" si="10"/>
        <v>0</v>
      </c>
      <c r="K379" s="17">
        <f t="shared" si="11"/>
        <v>8</v>
      </c>
    </row>
    <row r="380" spans="1:11" x14ac:dyDescent="0.25">
      <c r="A380" s="4" t="s">
        <v>143</v>
      </c>
      <c r="B380" s="1">
        <v>0.34360400000000002</v>
      </c>
      <c r="C380" s="1">
        <v>0.345912</v>
      </c>
      <c r="D380" s="1">
        <f>IF(B380&gt;C380,B380-C380,C380-B380)</f>
        <v>2.3079999999999767E-3</v>
      </c>
      <c r="E380">
        <f>MINUTE(D380)</f>
        <v>3</v>
      </c>
      <c r="F380">
        <f>SECOND(D380)</f>
        <v>19</v>
      </c>
      <c r="G380">
        <f>ROUND(E380+F380/60,2)</f>
        <v>3.32</v>
      </c>
      <c r="H380">
        <f>60*E380+F380</f>
        <v>199</v>
      </c>
      <c r="I380" s="3">
        <f>5*(3600/H380)</f>
        <v>90.452261306532648</v>
      </c>
      <c r="J380" s="16">
        <f t="shared" si="10"/>
        <v>0</v>
      </c>
      <c r="K380" s="17">
        <f t="shared" si="11"/>
        <v>8</v>
      </c>
    </row>
    <row r="381" spans="1:11" x14ac:dyDescent="0.25">
      <c r="A381" s="4" t="s">
        <v>117</v>
      </c>
      <c r="B381" s="1">
        <v>0.57271000000000005</v>
      </c>
      <c r="C381" s="1">
        <v>0.57501000000000002</v>
      </c>
      <c r="D381" s="1">
        <f>IF(B381&gt;C381,B381-C381,C381-B381)</f>
        <v>2.2999999999999687E-3</v>
      </c>
      <c r="E381">
        <f>MINUTE(D381)</f>
        <v>3</v>
      </c>
      <c r="F381">
        <f>SECOND(D381)</f>
        <v>19</v>
      </c>
      <c r="G381">
        <f>ROUND(E381+F381/60,2)</f>
        <v>3.32</v>
      </c>
      <c r="H381">
        <f>60*E381+F381</f>
        <v>199</v>
      </c>
      <c r="I381" s="3">
        <f>5*(3600/H381)</f>
        <v>90.452261306532648</v>
      </c>
      <c r="J381" s="16">
        <f t="shared" si="10"/>
        <v>0</v>
      </c>
      <c r="K381" s="17">
        <f t="shared" si="11"/>
        <v>13</v>
      </c>
    </row>
    <row r="382" spans="1:11" x14ac:dyDescent="0.25">
      <c r="A382" s="4" t="s">
        <v>277</v>
      </c>
      <c r="B382" s="1">
        <v>0.344642</v>
      </c>
      <c r="C382" s="1">
        <v>0.34694999999999998</v>
      </c>
      <c r="D382" s="1">
        <f>IF(B382&gt;C382,B382-C382,C382-B382)</f>
        <v>2.3079999999999767E-3</v>
      </c>
      <c r="E382">
        <f>MINUTE(D382)</f>
        <v>3</v>
      </c>
      <c r="F382">
        <f>SECOND(D382)</f>
        <v>19</v>
      </c>
      <c r="G382">
        <f>ROUND(E382+F382/60,2)</f>
        <v>3.32</v>
      </c>
      <c r="H382">
        <f>60*E382+F382</f>
        <v>199</v>
      </c>
      <c r="I382" s="3">
        <f>5*(3600/H382)</f>
        <v>90.452261306532648</v>
      </c>
      <c r="J382" s="16">
        <f t="shared" si="10"/>
        <v>0</v>
      </c>
      <c r="K382" s="17">
        <f t="shared" si="11"/>
        <v>8</v>
      </c>
    </row>
    <row r="383" spans="1:11" x14ac:dyDescent="0.25">
      <c r="A383" s="4" t="s">
        <v>154</v>
      </c>
      <c r="B383" s="1">
        <v>0.44955299999999998</v>
      </c>
      <c r="C383" s="1">
        <v>0.447237</v>
      </c>
      <c r="D383" s="1">
        <f>IF(B383&gt;C383,B383-C383,C383-B383)</f>
        <v>2.3159999999999847E-3</v>
      </c>
      <c r="E383">
        <f>MINUTE(D383)</f>
        <v>3</v>
      </c>
      <c r="F383">
        <f>SECOND(D383)</f>
        <v>20</v>
      </c>
      <c r="G383">
        <f>ROUND(E383+F383/60,2)</f>
        <v>3.33</v>
      </c>
      <c r="H383">
        <f>60*E383+F383</f>
        <v>200</v>
      </c>
      <c r="I383" s="3">
        <f>5*(3600/H383)</f>
        <v>90</v>
      </c>
      <c r="J383" s="16">
        <f t="shared" si="10"/>
        <v>0</v>
      </c>
      <c r="K383" s="17">
        <f t="shared" si="11"/>
        <v>10</v>
      </c>
    </row>
    <row r="384" spans="1:11" x14ac:dyDescent="0.25">
      <c r="A384" s="4" t="s">
        <v>103</v>
      </c>
      <c r="B384" s="1">
        <v>0.92061899999999997</v>
      </c>
      <c r="C384" s="1">
        <v>0.92293099999999995</v>
      </c>
      <c r="D384" s="1">
        <f>IF(B384&gt;C384,B384-C384,C384-B384)</f>
        <v>2.3119999999999807E-3</v>
      </c>
      <c r="E384">
        <f>MINUTE(D384)</f>
        <v>3</v>
      </c>
      <c r="F384">
        <f>SECOND(D384)</f>
        <v>20</v>
      </c>
      <c r="G384">
        <f>ROUND(E384+F384/60,2)</f>
        <v>3.33</v>
      </c>
      <c r="H384">
        <f>60*E384+F384</f>
        <v>200</v>
      </c>
      <c r="I384" s="3">
        <f>5*(3600/H384)</f>
        <v>90</v>
      </c>
      <c r="J384" s="16">
        <f t="shared" si="10"/>
        <v>0</v>
      </c>
      <c r="K384" s="17">
        <f t="shared" si="11"/>
        <v>22</v>
      </c>
    </row>
    <row r="385" spans="1:11" x14ac:dyDescent="0.25">
      <c r="A385" s="4" t="s">
        <v>196</v>
      </c>
      <c r="B385" s="1">
        <v>0.73899499999999996</v>
      </c>
      <c r="C385" s="1">
        <v>0.74130700000000005</v>
      </c>
      <c r="D385" s="1">
        <f>IF(B385&gt;C385,B385-C385,C385-B385)</f>
        <v>2.3120000000000918E-3</v>
      </c>
      <c r="E385">
        <f>MINUTE(D385)</f>
        <v>3</v>
      </c>
      <c r="F385">
        <f>SECOND(D385)</f>
        <v>20</v>
      </c>
      <c r="G385">
        <f>ROUND(E385+F385/60,2)</f>
        <v>3.33</v>
      </c>
      <c r="H385">
        <f>60*E385+F385</f>
        <v>200</v>
      </c>
      <c r="I385" s="3">
        <f>5*(3600/H385)</f>
        <v>90</v>
      </c>
      <c r="J385" s="16">
        <f t="shared" si="10"/>
        <v>0</v>
      </c>
      <c r="K385" s="17">
        <f t="shared" si="11"/>
        <v>17</v>
      </c>
    </row>
    <row r="386" spans="1:11" x14ac:dyDescent="0.25">
      <c r="A386" s="4" t="s">
        <v>5</v>
      </c>
      <c r="B386" s="1">
        <v>0.27487200000000001</v>
      </c>
      <c r="C386" s="1">
        <v>0.27720400000000001</v>
      </c>
      <c r="D386" s="1">
        <f>IF(B386&gt;C386,B386-C386,C386-B386)</f>
        <v>2.3320000000000007E-3</v>
      </c>
      <c r="E386">
        <f>MINUTE(D386)</f>
        <v>3</v>
      </c>
      <c r="F386">
        <f>SECOND(D386)</f>
        <v>21</v>
      </c>
      <c r="G386">
        <f>ROUND(E386+F386/60,2)</f>
        <v>3.35</v>
      </c>
      <c r="H386">
        <f>60*E386+F386</f>
        <v>201</v>
      </c>
      <c r="I386" s="3">
        <f>5*(3600/H386)</f>
        <v>89.552238805970148</v>
      </c>
      <c r="J386" s="16">
        <f t="shared" si="10"/>
        <v>0</v>
      </c>
      <c r="K386" s="17">
        <f t="shared" si="11"/>
        <v>6</v>
      </c>
    </row>
    <row r="387" spans="1:11" x14ac:dyDescent="0.25">
      <c r="A387" s="4" t="s">
        <v>128</v>
      </c>
      <c r="B387" s="1">
        <v>0.63809400000000005</v>
      </c>
      <c r="C387" s="1">
        <v>0.63576600000000005</v>
      </c>
      <c r="D387" s="1">
        <f>IF(B387&gt;C387,B387-C387,C387-B387)</f>
        <v>2.3279999999999967E-3</v>
      </c>
      <c r="E387">
        <f>MINUTE(D387)</f>
        <v>3</v>
      </c>
      <c r="F387">
        <f>SECOND(D387)</f>
        <v>21</v>
      </c>
      <c r="G387">
        <f>ROUND(E387+F387/60,2)</f>
        <v>3.35</v>
      </c>
      <c r="H387">
        <f>60*E387+F387</f>
        <v>201</v>
      </c>
      <c r="I387" s="3">
        <f>5*(3600/H387)</f>
        <v>89.552238805970148</v>
      </c>
      <c r="J387" s="16">
        <f t="shared" ref="J387:J450" si="12">IF(I387&gt;140,1,0)</f>
        <v>0</v>
      </c>
      <c r="K387" s="17">
        <f t="shared" ref="K387:K450" si="13">HOUR(B387)</f>
        <v>15</v>
      </c>
    </row>
    <row r="388" spans="1:11" x14ac:dyDescent="0.25">
      <c r="A388" s="4" t="s">
        <v>150</v>
      </c>
      <c r="B388" s="1">
        <v>0.52590599999999998</v>
      </c>
      <c r="C388" s="1">
        <v>0.52823399999999998</v>
      </c>
      <c r="D388" s="1">
        <f>IF(B388&gt;C388,B388-C388,C388-B388)</f>
        <v>2.3279999999999967E-3</v>
      </c>
      <c r="E388">
        <f>MINUTE(D388)</f>
        <v>3</v>
      </c>
      <c r="F388">
        <f>SECOND(D388)</f>
        <v>21</v>
      </c>
      <c r="G388">
        <f>ROUND(E388+F388/60,2)</f>
        <v>3.35</v>
      </c>
      <c r="H388">
        <f>60*E388+F388</f>
        <v>201</v>
      </c>
      <c r="I388" s="3">
        <f>5*(3600/H388)</f>
        <v>89.552238805970148</v>
      </c>
      <c r="J388" s="16">
        <f t="shared" si="12"/>
        <v>0</v>
      </c>
      <c r="K388" s="17">
        <f t="shared" si="13"/>
        <v>12</v>
      </c>
    </row>
    <row r="389" spans="1:11" x14ac:dyDescent="0.25">
      <c r="A389" s="4" t="s">
        <v>5</v>
      </c>
      <c r="B389" s="1">
        <v>0.72962700000000003</v>
      </c>
      <c r="C389" s="1">
        <v>0.72729500000000002</v>
      </c>
      <c r="D389" s="1">
        <f>IF(B389&gt;C389,B389-C389,C389-B389)</f>
        <v>2.3320000000000007E-3</v>
      </c>
      <c r="E389">
        <f>MINUTE(D389)</f>
        <v>3</v>
      </c>
      <c r="F389">
        <f>SECOND(D389)</f>
        <v>21</v>
      </c>
      <c r="G389">
        <f>ROUND(E389+F389/60,2)</f>
        <v>3.35</v>
      </c>
      <c r="H389">
        <f>60*E389+F389</f>
        <v>201</v>
      </c>
      <c r="I389" s="3">
        <f>5*(3600/H389)</f>
        <v>89.552238805970148</v>
      </c>
      <c r="J389" s="16">
        <f t="shared" si="12"/>
        <v>0</v>
      </c>
      <c r="K389" s="17">
        <f t="shared" si="13"/>
        <v>17</v>
      </c>
    </row>
    <row r="390" spans="1:11" x14ac:dyDescent="0.25">
      <c r="A390" s="4" t="s">
        <v>10</v>
      </c>
      <c r="B390" s="1">
        <v>3.9606000000000002E-2</v>
      </c>
      <c r="C390" s="1">
        <v>3.7274000000000002E-2</v>
      </c>
      <c r="D390" s="1">
        <f>IF(B390&gt;C390,B390-C390,C390-B390)</f>
        <v>2.3320000000000007E-3</v>
      </c>
      <c r="E390">
        <f>MINUTE(D390)</f>
        <v>3</v>
      </c>
      <c r="F390">
        <f>SECOND(D390)</f>
        <v>21</v>
      </c>
      <c r="G390">
        <f>ROUND(E390+F390/60,2)</f>
        <v>3.35</v>
      </c>
      <c r="H390">
        <f>60*E390+F390</f>
        <v>201</v>
      </c>
      <c r="I390" s="3">
        <f>5*(3600/H390)</f>
        <v>89.552238805970148</v>
      </c>
      <c r="J390" s="16">
        <f t="shared" si="12"/>
        <v>0</v>
      </c>
      <c r="K390" s="17">
        <f t="shared" si="13"/>
        <v>0</v>
      </c>
    </row>
    <row r="391" spans="1:11" x14ac:dyDescent="0.25">
      <c r="A391" s="4" t="s">
        <v>87</v>
      </c>
      <c r="B391" s="1">
        <v>7.9268000000000005E-2</v>
      </c>
      <c r="C391" s="1">
        <v>8.1591999999999998E-2</v>
      </c>
      <c r="D391" s="1">
        <f>IF(B391&gt;C391,B391-C391,C391-B391)</f>
        <v>2.3239999999999927E-3</v>
      </c>
      <c r="E391">
        <f>MINUTE(D391)</f>
        <v>3</v>
      </c>
      <c r="F391">
        <f>SECOND(D391)</f>
        <v>21</v>
      </c>
      <c r="G391">
        <f>ROUND(E391+F391/60,2)</f>
        <v>3.35</v>
      </c>
      <c r="H391">
        <f>60*E391+F391</f>
        <v>201</v>
      </c>
      <c r="I391" s="3">
        <f>5*(3600/H391)</f>
        <v>89.552238805970148</v>
      </c>
      <c r="J391" s="16">
        <f t="shared" si="12"/>
        <v>0</v>
      </c>
      <c r="K391" s="17">
        <f t="shared" si="13"/>
        <v>1</v>
      </c>
    </row>
    <row r="392" spans="1:11" x14ac:dyDescent="0.25">
      <c r="A392" s="4" t="s">
        <v>251</v>
      </c>
      <c r="B392" s="1">
        <v>5.1720000000000002E-2</v>
      </c>
      <c r="C392" s="1">
        <v>5.4052000000000003E-2</v>
      </c>
      <c r="D392" s="1">
        <f>IF(B392&gt;C392,B392-C392,C392-B392)</f>
        <v>2.3320000000000007E-3</v>
      </c>
      <c r="E392">
        <f>MINUTE(D392)</f>
        <v>3</v>
      </c>
      <c r="F392">
        <f>SECOND(D392)</f>
        <v>21</v>
      </c>
      <c r="G392">
        <f>ROUND(E392+F392/60,2)</f>
        <v>3.35</v>
      </c>
      <c r="H392">
        <f>60*E392+F392</f>
        <v>201</v>
      </c>
      <c r="I392" s="3">
        <f>5*(3600/H392)</f>
        <v>89.552238805970148</v>
      </c>
      <c r="J392" s="16">
        <f t="shared" si="12"/>
        <v>0</v>
      </c>
      <c r="K392" s="17">
        <f t="shared" si="13"/>
        <v>1</v>
      </c>
    </row>
    <row r="393" spans="1:11" x14ac:dyDescent="0.25">
      <c r="A393" s="4" t="s">
        <v>296</v>
      </c>
      <c r="B393" s="1">
        <v>0.48624499999999998</v>
      </c>
      <c r="C393" s="1">
        <v>0.48857299999999998</v>
      </c>
      <c r="D393" s="1">
        <f>IF(B393&gt;C393,B393-C393,C393-B393)</f>
        <v>2.3279999999999967E-3</v>
      </c>
      <c r="E393">
        <f>MINUTE(D393)</f>
        <v>3</v>
      </c>
      <c r="F393">
        <f>SECOND(D393)</f>
        <v>21</v>
      </c>
      <c r="G393">
        <f>ROUND(E393+F393/60,2)</f>
        <v>3.35</v>
      </c>
      <c r="H393">
        <f>60*E393+F393</f>
        <v>201</v>
      </c>
      <c r="I393" s="3">
        <f>5*(3600/H393)</f>
        <v>89.552238805970148</v>
      </c>
      <c r="J393" s="16">
        <f t="shared" si="12"/>
        <v>0</v>
      </c>
      <c r="K393" s="17">
        <f t="shared" si="13"/>
        <v>11</v>
      </c>
    </row>
    <row r="394" spans="1:11" x14ac:dyDescent="0.25">
      <c r="A394" s="4" t="s">
        <v>164</v>
      </c>
      <c r="B394" s="1">
        <v>0.27964899999999998</v>
      </c>
      <c r="C394" s="1">
        <v>0.28198499999999999</v>
      </c>
      <c r="D394" s="1">
        <f>IF(B394&gt;C394,B394-C394,C394-B394)</f>
        <v>2.3360000000000047E-3</v>
      </c>
      <c r="E394">
        <f>MINUTE(D394)</f>
        <v>3</v>
      </c>
      <c r="F394">
        <f>SECOND(D394)</f>
        <v>22</v>
      </c>
      <c r="G394">
        <f>ROUND(E394+F394/60,2)</f>
        <v>3.37</v>
      </c>
      <c r="H394">
        <f>60*E394+F394</f>
        <v>202</v>
      </c>
      <c r="I394" s="3">
        <f>5*(3600/H394)</f>
        <v>89.108910891089124</v>
      </c>
      <c r="J394" s="16">
        <f t="shared" si="12"/>
        <v>0</v>
      </c>
      <c r="K394" s="17">
        <f t="shared" si="13"/>
        <v>6</v>
      </c>
    </row>
    <row r="395" spans="1:11" x14ac:dyDescent="0.25">
      <c r="A395" s="4" t="s">
        <v>5</v>
      </c>
      <c r="B395" s="1">
        <v>0.28254000000000001</v>
      </c>
      <c r="C395" s="1">
        <v>0.28488400000000003</v>
      </c>
      <c r="D395" s="1">
        <f>IF(B395&gt;C395,B395-C395,C395-B395)</f>
        <v>2.3440000000000127E-3</v>
      </c>
      <c r="E395">
        <f>MINUTE(D395)</f>
        <v>3</v>
      </c>
      <c r="F395">
        <f>SECOND(D395)</f>
        <v>23</v>
      </c>
      <c r="G395">
        <f>ROUND(E395+F395/60,2)</f>
        <v>3.38</v>
      </c>
      <c r="H395">
        <f>60*E395+F395</f>
        <v>203</v>
      </c>
      <c r="I395" s="3">
        <f>5*(3600/H395)</f>
        <v>88.66995073891627</v>
      </c>
      <c r="J395" s="16">
        <f t="shared" si="12"/>
        <v>0</v>
      </c>
      <c r="K395" s="17">
        <f t="shared" si="13"/>
        <v>6</v>
      </c>
    </row>
    <row r="396" spans="1:11" x14ac:dyDescent="0.25">
      <c r="A396" s="4" t="s">
        <v>15</v>
      </c>
      <c r="B396" s="1">
        <v>0.52019700000000002</v>
      </c>
      <c r="C396" s="1">
        <v>0.52254900000000004</v>
      </c>
      <c r="D396" s="1">
        <f>IF(B396&gt;C396,B396-C396,C396-B396)</f>
        <v>2.3520000000000207E-3</v>
      </c>
      <c r="E396">
        <f>MINUTE(D396)</f>
        <v>3</v>
      </c>
      <c r="F396">
        <f>SECOND(D396)</f>
        <v>23</v>
      </c>
      <c r="G396">
        <f>ROUND(E396+F396/60,2)</f>
        <v>3.38</v>
      </c>
      <c r="H396">
        <f>60*E396+F396</f>
        <v>203</v>
      </c>
      <c r="I396" s="3">
        <f>5*(3600/H396)</f>
        <v>88.66995073891627</v>
      </c>
      <c r="J396" s="16">
        <f t="shared" si="12"/>
        <v>0</v>
      </c>
      <c r="K396" s="17">
        <f t="shared" si="13"/>
        <v>12</v>
      </c>
    </row>
    <row r="397" spans="1:11" x14ac:dyDescent="0.25">
      <c r="A397" s="4" t="s">
        <v>136</v>
      </c>
      <c r="B397" s="1">
        <v>0.41161799999999998</v>
      </c>
      <c r="C397" s="1">
        <v>0.40927400000000003</v>
      </c>
      <c r="D397" s="1">
        <f>IF(B397&gt;C397,B397-C397,C397-B397)</f>
        <v>2.3439999999999572E-3</v>
      </c>
      <c r="E397">
        <f>MINUTE(D397)</f>
        <v>3</v>
      </c>
      <c r="F397">
        <f>SECOND(D397)</f>
        <v>23</v>
      </c>
      <c r="G397">
        <f>ROUND(E397+F397/60,2)</f>
        <v>3.38</v>
      </c>
      <c r="H397">
        <f>60*E397+F397</f>
        <v>203</v>
      </c>
      <c r="I397" s="3">
        <f>5*(3600/H397)</f>
        <v>88.66995073891627</v>
      </c>
      <c r="J397" s="16">
        <f t="shared" si="12"/>
        <v>0</v>
      </c>
      <c r="K397" s="17">
        <f t="shared" si="13"/>
        <v>9</v>
      </c>
    </row>
    <row r="398" spans="1:11" x14ac:dyDescent="0.25">
      <c r="A398" s="4" t="s">
        <v>77</v>
      </c>
      <c r="B398" s="1">
        <v>2.6912999999999999E-2</v>
      </c>
      <c r="C398" s="1">
        <v>2.9256999999999998E-2</v>
      </c>
      <c r="D398" s="1">
        <f>IF(B398&gt;C398,B398-C398,C398-B398)</f>
        <v>2.3439999999999989E-3</v>
      </c>
      <c r="E398">
        <f>MINUTE(D398)</f>
        <v>3</v>
      </c>
      <c r="F398">
        <f>SECOND(D398)</f>
        <v>23</v>
      </c>
      <c r="G398">
        <f>ROUND(E398+F398/60,2)</f>
        <v>3.38</v>
      </c>
      <c r="H398">
        <f>60*E398+F398</f>
        <v>203</v>
      </c>
      <c r="I398" s="3">
        <f>5*(3600/H398)</f>
        <v>88.66995073891627</v>
      </c>
      <c r="J398" s="16">
        <f t="shared" si="12"/>
        <v>0</v>
      </c>
      <c r="K398" s="17">
        <f t="shared" si="13"/>
        <v>0</v>
      </c>
    </row>
    <row r="399" spans="1:11" x14ac:dyDescent="0.25">
      <c r="A399" s="4" t="s">
        <v>68</v>
      </c>
      <c r="B399" s="1">
        <v>0.40887499999999999</v>
      </c>
      <c r="C399" s="1">
        <v>0.40652700000000003</v>
      </c>
      <c r="D399" s="1">
        <f>IF(B399&gt;C399,B399-C399,C399-B399)</f>
        <v>2.3479999999999612E-3</v>
      </c>
      <c r="E399">
        <f>MINUTE(D399)</f>
        <v>3</v>
      </c>
      <c r="F399">
        <f>SECOND(D399)</f>
        <v>23</v>
      </c>
      <c r="G399">
        <f>ROUND(E399+F399/60,2)</f>
        <v>3.38</v>
      </c>
      <c r="H399">
        <f>60*E399+F399</f>
        <v>203</v>
      </c>
      <c r="I399" s="3">
        <f>5*(3600/H399)</f>
        <v>88.66995073891627</v>
      </c>
      <c r="J399" s="16">
        <f t="shared" si="12"/>
        <v>0</v>
      </c>
      <c r="K399" s="17">
        <f t="shared" si="13"/>
        <v>9</v>
      </c>
    </row>
    <row r="400" spans="1:11" x14ac:dyDescent="0.25">
      <c r="A400" s="4" t="s">
        <v>37</v>
      </c>
      <c r="B400" s="1">
        <v>0.923041</v>
      </c>
      <c r="C400" s="1">
        <v>0.92067699999999997</v>
      </c>
      <c r="D400" s="1">
        <f>IF(B400&gt;C400,B400-C400,C400-B400)</f>
        <v>2.3640000000000327E-3</v>
      </c>
      <c r="E400">
        <f>MINUTE(D400)</f>
        <v>3</v>
      </c>
      <c r="F400">
        <f>SECOND(D400)</f>
        <v>24</v>
      </c>
      <c r="G400">
        <f>ROUND(E400+F400/60,2)</f>
        <v>3.4</v>
      </c>
      <c r="H400">
        <f>60*E400+F400</f>
        <v>204</v>
      </c>
      <c r="I400" s="3">
        <f>5*(3600/H400)</f>
        <v>88.235294117647072</v>
      </c>
      <c r="J400" s="16">
        <f t="shared" si="12"/>
        <v>0</v>
      </c>
      <c r="K400" s="17">
        <f t="shared" si="13"/>
        <v>22</v>
      </c>
    </row>
    <row r="401" spans="1:11" x14ac:dyDescent="0.25">
      <c r="A401" s="4" t="s">
        <v>155</v>
      </c>
      <c r="B401" s="1">
        <v>0.73158400000000001</v>
      </c>
      <c r="C401" s="1">
        <v>0.72921199999999997</v>
      </c>
      <c r="D401" s="1">
        <f>IF(B401&gt;C401,B401-C401,C401-B401)</f>
        <v>2.3720000000000407E-3</v>
      </c>
      <c r="E401">
        <f>MINUTE(D401)</f>
        <v>3</v>
      </c>
      <c r="F401">
        <f>SECOND(D401)</f>
        <v>25</v>
      </c>
      <c r="G401">
        <f>ROUND(E401+F401/60,2)</f>
        <v>3.42</v>
      </c>
      <c r="H401">
        <f>60*E401+F401</f>
        <v>205</v>
      </c>
      <c r="I401" s="3">
        <f>5*(3600/H401)</f>
        <v>87.804878048780495</v>
      </c>
      <c r="J401" s="16">
        <f t="shared" si="12"/>
        <v>0</v>
      </c>
      <c r="K401" s="17">
        <f t="shared" si="13"/>
        <v>17</v>
      </c>
    </row>
    <row r="402" spans="1:11" x14ac:dyDescent="0.25">
      <c r="A402" s="4" t="s">
        <v>15</v>
      </c>
      <c r="B402" s="1">
        <v>5.6968999999999999E-2</v>
      </c>
      <c r="C402" s="1">
        <v>5.4597E-2</v>
      </c>
      <c r="D402" s="1">
        <f>IF(B402&gt;C402,B402-C402,C402-B402)</f>
        <v>2.3719999999999991E-3</v>
      </c>
      <c r="E402">
        <f>MINUTE(D402)</f>
        <v>3</v>
      </c>
      <c r="F402">
        <f>SECOND(D402)</f>
        <v>25</v>
      </c>
      <c r="G402">
        <f>ROUND(E402+F402/60,2)</f>
        <v>3.42</v>
      </c>
      <c r="H402">
        <f>60*E402+F402</f>
        <v>205</v>
      </c>
      <c r="I402" s="3">
        <f>5*(3600/H402)</f>
        <v>87.804878048780495</v>
      </c>
      <c r="J402" s="16">
        <f t="shared" si="12"/>
        <v>0</v>
      </c>
      <c r="K402" s="17">
        <f t="shared" si="13"/>
        <v>1</v>
      </c>
    </row>
    <row r="403" spans="1:11" x14ac:dyDescent="0.25">
      <c r="A403" s="4" t="s">
        <v>109</v>
      </c>
      <c r="B403" s="1">
        <v>0.114372</v>
      </c>
      <c r="C403" s="1">
        <v>0.116748</v>
      </c>
      <c r="D403" s="1">
        <f>IF(B403&gt;C403,B403-C403,C403-B403)</f>
        <v>2.3760000000000031E-3</v>
      </c>
      <c r="E403">
        <f>MINUTE(D403)</f>
        <v>3</v>
      </c>
      <c r="F403">
        <f>SECOND(D403)</f>
        <v>25</v>
      </c>
      <c r="G403">
        <f>ROUND(E403+F403/60,2)</f>
        <v>3.42</v>
      </c>
      <c r="H403">
        <f>60*E403+F403</f>
        <v>205</v>
      </c>
      <c r="I403" s="3">
        <f>5*(3600/H403)</f>
        <v>87.804878048780495</v>
      </c>
      <c r="J403" s="16">
        <f t="shared" si="12"/>
        <v>0</v>
      </c>
      <c r="K403" s="17">
        <f t="shared" si="13"/>
        <v>2</v>
      </c>
    </row>
    <row r="404" spans="1:11" x14ac:dyDescent="0.25">
      <c r="A404" s="4" t="s">
        <v>30</v>
      </c>
      <c r="B404" s="1">
        <v>7.5792999999999999E-2</v>
      </c>
      <c r="C404" s="1">
        <v>7.8176999999999996E-2</v>
      </c>
      <c r="D404" s="1">
        <f>IF(B404&gt;C404,B404-C404,C404-B404)</f>
        <v>2.3839999999999972E-3</v>
      </c>
      <c r="E404">
        <f>MINUTE(D404)</f>
        <v>3</v>
      </c>
      <c r="F404">
        <f>SECOND(D404)</f>
        <v>26</v>
      </c>
      <c r="G404">
        <f>ROUND(E404+F404/60,2)</f>
        <v>3.43</v>
      </c>
      <c r="H404">
        <f>60*E404+F404</f>
        <v>206</v>
      </c>
      <c r="I404" s="3">
        <f>5*(3600/H404)</f>
        <v>87.378640776699029</v>
      </c>
      <c r="J404" s="16">
        <f t="shared" si="12"/>
        <v>0</v>
      </c>
      <c r="K404" s="17">
        <f t="shared" si="13"/>
        <v>1</v>
      </c>
    </row>
    <row r="405" spans="1:11" x14ac:dyDescent="0.25">
      <c r="A405" s="4" t="s">
        <v>67</v>
      </c>
      <c r="B405" s="1">
        <v>0.58044700000000005</v>
      </c>
      <c r="C405" s="1">
        <v>0.58282699999999998</v>
      </c>
      <c r="D405" s="1">
        <f>IF(B405&gt;C405,B405-C405,C405-B405)</f>
        <v>2.3799999999999377E-3</v>
      </c>
      <c r="E405">
        <f>MINUTE(D405)</f>
        <v>3</v>
      </c>
      <c r="F405">
        <f>SECOND(D405)</f>
        <v>26</v>
      </c>
      <c r="G405">
        <f>ROUND(E405+F405/60,2)</f>
        <v>3.43</v>
      </c>
      <c r="H405">
        <f>60*E405+F405</f>
        <v>206</v>
      </c>
      <c r="I405" s="3">
        <f>5*(3600/H405)</f>
        <v>87.378640776699029</v>
      </c>
      <c r="J405" s="16">
        <f t="shared" si="12"/>
        <v>0</v>
      </c>
      <c r="K405" s="17">
        <f t="shared" si="13"/>
        <v>13</v>
      </c>
    </row>
    <row r="406" spans="1:11" x14ac:dyDescent="0.25">
      <c r="A406" s="4" t="s">
        <v>112</v>
      </c>
      <c r="B406" s="1">
        <v>0.95174099999999995</v>
      </c>
      <c r="C406" s="1">
        <v>0.94936100000000001</v>
      </c>
      <c r="D406" s="1">
        <f>IF(B406&gt;C406,B406-C406,C406-B406)</f>
        <v>2.3799999999999377E-3</v>
      </c>
      <c r="E406">
        <f>MINUTE(D406)</f>
        <v>3</v>
      </c>
      <c r="F406">
        <f>SECOND(D406)</f>
        <v>26</v>
      </c>
      <c r="G406">
        <f>ROUND(E406+F406/60,2)</f>
        <v>3.43</v>
      </c>
      <c r="H406">
        <f>60*E406+F406</f>
        <v>206</v>
      </c>
      <c r="I406" s="3">
        <f>5*(3600/H406)</f>
        <v>87.378640776699029</v>
      </c>
      <c r="J406" s="16">
        <f t="shared" si="12"/>
        <v>0</v>
      </c>
      <c r="K406" s="17">
        <f t="shared" si="13"/>
        <v>22</v>
      </c>
    </row>
    <row r="407" spans="1:11" x14ac:dyDescent="0.25">
      <c r="A407" s="4" t="s">
        <v>87</v>
      </c>
      <c r="B407" s="1">
        <v>0.56462000000000001</v>
      </c>
      <c r="C407" s="1">
        <v>0.56223999999999996</v>
      </c>
      <c r="D407" s="1">
        <f>IF(B407&gt;C407,B407-C407,C407-B407)</f>
        <v>2.3800000000000487E-3</v>
      </c>
      <c r="E407">
        <f>MINUTE(D407)</f>
        <v>3</v>
      </c>
      <c r="F407">
        <f>SECOND(D407)</f>
        <v>26</v>
      </c>
      <c r="G407">
        <f>ROUND(E407+F407/60,2)</f>
        <v>3.43</v>
      </c>
      <c r="H407">
        <f>60*E407+F407</f>
        <v>206</v>
      </c>
      <c r="I407" s="3">
        <f>5*(3600/H407)</f>
        <v>87.378640776699029</v>
      </c>
      <c r="J407" s="16">
        <f t="shared" si="12"/>
        <v>0</v>
      </c>
      <c r="K407" s="17">
        <f t="shared" si="13"/>
        <v>13</v>
      </c>
    </row>
    <row r="408" spans="1:11" x14ac:dyDescent="0.25">
      <c r="A408" s="4" t="s">
        <v>185</v>
      </c>
      <c r="B408" s="1">
        <v>0.79104600000000003</v>
      </c>
      <c r="C408" s="1">
        <v>0.78865799999999997</v>
      </c>
      <c r="D408" s="1">
        <f>IF(B408&gt;C408,B408-C408,C408-B408)</f>
        <v>2.3880000000000567E-3</v>
      </c>
      <c r="E408">
        <f>MINUTE(D408)</f>
        <v>3</v>
      </c>
      <c r="F408">
        <f>SECOND(D408)</f>
        <v>26</v>
      </c>
      <c r="G408">
        <f>ROUND(E408+F408/60,2)</f>
        <v>3.43</v>
      </c>
      <c r="H408">
        <f>60*E408+F408</f>
        <v>206</v>
      </c>
      <c r="I408" s="3">
        <f>5*(3600/H408)</f>
        <v>87.378640776699029</v>
      </c>
      <c r="J408" s="16">
        <f t="shared" si="12"/>
        <v>0</v>
      </c>
      <c r="K408" s="17">
        <f t="shared" si="13"/>
        <v>18</v>
      </c>
    </row>
    <row r="409" spans="1:11" x14ac:dyDescent="0.25">
      <c r="A409" s="4" t="s">
        <v>300</v>
      </c>
      <c r="B409" s="1">
        <v>0.21463699999999999</v>
      </c>
      <c r="C409" s="1">
        <v>0.21702099999999999</v>
      </c>
      <c r="D409" s="1">
        <f>IF(B409&gt;C409,B409-C409,C409-B409)</f>
        <v>2.3839999999999972E-3</v>
      </c>
      <c r="E409">
        <f>MINUTE(D409)</f>
        <v>3</v>
      </c>
      <c r="F409">
        <f>SECOND(D409)</f>
        <v>26</v>
      </c>
      <c r="G409">
        <f>ROUND(E409+F409/60,2)</f>
        <v>3.43</v>
      </c>
      <c r="H409">
        <f>60*E409+F409</f>
        <v>206</v>
      </c>
      <c r="I409" s="3">
        <f>5*(3600/H409)</f>
        <v>87.378640776699029</v>
      </c>
      <c r="J409" s="16">
        <f t="shared" si="12"/>
        <v>0</v>
      </c>
      <c r="K409" s="17">
        <f t="shared" si="13"/>
        <v>5</v>
      </c>
    </row>
    <row r="410" spans="1:11" x14ac:dyDescent="0.25">
      <c r="A410" s="8" t="s">
        <v>151</v>
      </c>
      <c r="B410" s="1">
        <v>0.72409299999999999</v>
      </c>
      <c r="C410" s="1">
        <v>0.72649300000000006</v>
      </c>
      <c r="D410" s="1">
        <f>IF(B410&gt;C410,B410-C410,C410-B410)</f>
        <v>2.4000000000000687E-3</v>
      </c>
      <c r="E410">
        <f>MINUTE(D410)</f>
        <v>3</v>
      </c>
      <c r="F410">
        <f>SECOND(D410)</f>
        <v>27</v>
      </c>
      <c r="G410">
        <f>ROUND(E410+F410/60,2)</f>
        <v>3.45</v>
      </c>
      <c r="H410">
        <f>60*E410+F410</f>
        <v>207</v>
      </c>
      <c r="I410" s="10">
        <f>5*(3600/H410)</f>
        <v>86.956521739130437</v>
      </c>
      <c r="J410" s="16">
        <f t="shared" si="12"/>
        <v>0</v>
      </c>
      <c r="K410" s="17">
        <f t="shared" si="13"/>
        <v>17</v>
      </c>
    </row>
    <row r="411" spans="1:11" x14ac:dyDescent="0.25">
      <c r="A411" s="4" t="s">
        <v>92</v>
      </c>
      <c r="B411" s="1">
        <v>0.312112</v>
      </c>
      <c r="C411" s="1">
        <v>0.31450800000000001</v>
      </c>
      <c r="D411" s="1">
        <f>IF(B411&gt;C411,B411-C411,C411-B411)</f>
        <v>2.3960000000000092E-3</v>
      </c>
      <c r="E411">
        <f>MINUTE(D411)</f>
        <v>3</v>
      </c>
      <c r="F411">
        <f>SECOND(D411)</f>
        <v>27</v>
      </c>
      <c r="G411">
        <f>ROUND(E411+F411/60,2)</f>
        <v>3.45</v>
      </c>
      <c r="H411">
        <f>60*E411+F411</f>
        <v>207</v>
      </c>
      <c r="I411" s="3">
        <f>5*(3600/H411)</f>
        <v>86.956521739130437</v>
      </c>
      <c r="J411" s="16">
        <f t="shared" si="12"/>
        <v>0</v>
      </c>
      <c r="K411" s="17">
        <f t="shared" si="13"/>
        <v>7</v>
      </c>
    </row>
    <row r="412" spans="1:11" x14ac:dyDescent="0.25">
      <c r="A412" s="4" t="s">
        <v>407</v>
      </c>
      <c r="B412" s="1">
        <v>0.80954700000000002</v>
      </c>
      <c r="C412" s="1">
        <v>0.81194299999999997</v>
      </c>
      <c r="D412" s="1">
        <f>IF(B412&gt;C412,B412-C412,C412-B412)</f>
        <v>2.3959999999999537E-3</v>
      </c>
      <c r="E412">
        <f>MINUTE(D412)</f>
        <v>3</v>
      </c>
      <c r="F412">
        <f>SECOND(D412)</f>
        <v>27</v>
      </c>
      <c r="G412">
        <f>ROUND(E412+F412/60,2)</f>
        <v>3.45</v>
      </c>
      <c r="H412">
        <f>60*E412+F412</f>
        <v>207</v>
      </c>
      <c r="I412" s="3">
        <f>5*(3600/H412)</f>
        <v>86.956521739130437</v>
      </c>
      <c r="J412" s="16">
        <f t="shared" si="12"/>
        <v>0</v>
      </c>
      <c r="K412" s="17">
        <f t="shared" si="13"/>
        <v>19</v>
      </c>
    </row>
    <row r="413" spans="1:11" x14ac:dyDescent="0.25">
      <c r="A413" s="4" t="s">
        <v>40</v>
      </c>
      <c r="B413" s="1">
        <v>0.89808900000000003</v>
      </c>
      <c r="C413" s="1">
        <v>0.900501</v>
      </c>
      <c r="D413" s="1">
        <f>IF(B413&gt;C413,B413-C413,C413-B413)</f>
        <v>2.4119999999999697E-3</v>
      </c>
      <c r="E413">
        <f>MINUTE(D413)</f>
        <v>3</v>
      </c>
      <c r="F413">
        <f>SECOND(D413)</f>
        <v>28</v>
      </c>
      <c r="G413">
        <f>ROUND(E413+F413/60,2)</f>
        <v>3.47</v>
      </c>
      <c r="H413">
        <f>60*E413+F413</f>
        <v>208</v>
      </c>
      <c r="I413" s="3">
        <f>5*(3600/H413)</f>
        <v>86.538461538461533</v>
      </c>
      <c r="J413" s="16">
        <f t="shared" si="12"/>
        <v>0</v>
      </c>
      <c r="K413" s="17">
        <f t="shared" si="13"/>
        <v>21</v>
      </c>
    </row>
    <row r="414" spans="1:11" x14ac:dyDescent="0.25">
      <c r="A414" s="4" t="s">
        <v>32</v>
      </c>
      <c r="B414" s="1">
        <v>0.62104000000000004</v>
      </c>
      <c r="C414" s="1">
        <v>0.62345200000000001</v>
      </c>
      <c r="D414" s="1">
        <f>IF(B414&gt;C414,B414-C414,C414-B414)</f>
        <v>2.4119999999999697E-3</v>
      </c>
      <c r="E414">
        <f>MINUTE(D414)</f>
        <v>3</v>
      </c>
      <c r="F414">
        <f>SECOND(D414)</f>
        <v>28</v>
      </c>
      <c r="G414">
        <f>ROUND(E414+F414/60,2)</f>
        <v>3.47</v>
      </c>
      <c r="H414">
        <f>60*E414+F414</f>
        <v>208</v>
      </c>
      <c r="I414" s="3">
        <f>5*(3600/H414)</f>
        <v>86.538461538461533</v>
      </c>
      <c r="J414" s="16">
        <f t="shared" si="12"/>
        <v>0</v>
      </c>
      <c r="K414" s="17">
        <f t="shared" si="13"/>
        <v>14</v>
      </c>
    </row>
    <row r="415" spans="1:11" x14ac:dyDescent="0.25">
      <c r="A415" s="4" t="s">
        <v>141</v>
      </c>
      <c r="B415" s="1">
        <v>0.85301000000000005</v>
      </c>
      <c r="C415" s="1">
        <v>0.85059799999999997</v>
      </c>
      <c r="D415" s="1">
        <f>IF(B415&gt;C415,B415-C415,C415-B415)</f>
        <v>2.4120000000000807E-3</v>
      </c>
      <c r="E415">
        <f>MINUTE(D415)</f>
        <v>3</v>
      </c>
      <c r="F415">
        <f>SECOND(D415)</f>
        <v>28</v>
      </c>
      <c r="G415">
        <f>ROUND(E415+F415/60,2)</f>
        <v>3.47</v>
      </c>
      <c r="H415">
        <f>60*E415+F415</f>
        <v>208</v>
      </c>
      <c r="I415" s="3">
        <f>5*(3600/H415)</f>
        <v>86.538461538461533</v>
      </c>
      <c r="J415" s="16">
        <f t="shared" si="12"/>
        <v>0</v>
      </c>
      <c r="K415" s="17">
        <f t="shared" si="13"/>
        <v>20</v>
      </c>
    </row>
    <row r="416" spans="1:11" x14ac:dyDescent="0.25">
      <c r="A416" s="4" t="s">
        <v>83</v>
      </c>
      <c r="B416" s="1">
        <v>6.6768999999999995E-2</v>
      </c>
      <c r="C416" s="1">
        <v>6.9177000000000002E-2</v>
      </c>
      <c r="D416" s="1">
        <f>IF(B416&gt;C416,B416-C416,C416-B416)</f>
        <v>2.4080000000000074E-3</v>
      </c>
      <c r="E416">
        <f>MINUTE(D416)</f>
        <v>3</v>
      </c>
      <c r="F416">
        <f>SECOND(D416)</f>
        <v>28</v>
      </c>
      <c r="G416">
        <f>ROUND(E416+F416/60,2)</f>
        <v>3.47</v>
      </c>
      <c r="H416">
        <f>60*E416+F416</f>
        <v>208</v>
      </c>
      <c r="I416" s="3">
        <f>5*(3600/H416)</f>
        <v>86.538461538461533</v>
      </c>
      <c r="J416" s="16">
        <f t="shared" si="12"/>
        <v>0</v>
      </c>
      <c r="K416" s="17">
        <f t="shared" si="13"/>
        <v>1</v>
      </c>
    </row>
    <row r="417" spans="1:11" x14ac:dyDescent="0.25">
      <c r="A417" s="4" t="s">
        <v>5</v>
      </c>
      <c r="B417" s="1">
        <v>0.95572699999999999</v>
      </c>
      <c r="C417" s="1">
        <v>0.95332300000000003</v>
      </c>
      <c r="D417" s="1">
        <f>IF(B417&gt;C417,B417-C417,C417-B417)</f>
        <v>2.4039999999999617E-3</v>
      </c>
      <c r="E417">
        <f>MINUTE(D417)</f>
        <v>3</v>
      </c>
      <c r="F417">
        <f>SECOND(D417)</f>
        <v>28</v>
      </c>
      <c r="G417">
        <f>ROUND(E417+F417/60,2)</f>
        <v>3.47</v>
      </c>
      <c r="H417">
        <f>60*E417+F417</f>
        <v>208</v>
      </c>
      <c r="I417" s="3">
        <f>5*(3600/H417)</f>
        <v>86.538461538461533</v>
      </c>
      <c r="J417" s="16">
        <f t="shared" si="12"/>
        <v>0</v>
      </c>
      <c r="K417" s="17">
        <f t="shared" si="13"/>
        <v>22</v>
      </c>
    </row>
    <row r="418" spans="1:11" x14ac:dyDescent="0.25">
      <c r="A418" s="4" t="s">
        <v>41</v>
      </c>
      <c r="B418" s="1">
        <v>0.78174299999999997</v>
      </c>
      <c r="C418" s="1">
        <v>0.78416300000000005</v>
      </c>
      <c r="D418" s="1">
        <f>IF(B418&gt;C418,B418-C418,C418-B418)</f>
        <v>2.4200000000000887E-3</v>
      </c>
      <c r="E418">
        <f>MINUTE(D418)</f>
        <v>3</v>
      </c>
      <c r="F418">
        <f>SECOND(D418)</f>
        <v>29</v>
      </c>
      <c r="G418">
        <f>ROUND(E418+F418/60,2)</f>
        <v>3.48</v>
      </c>
      <c r="H418">
        <f>60*E418+F418</f>
        <v>209</v>
      </c>
      <c r="I418" s="3">
        <f>5*(3600/H418)</f>
        <v>86.124401913875602</v>
      </c>
      <c r="J418" s="16">
        <f t="shared" si="12"/>
        <v>0</v>
      </c>
      <c r="K418" s="17">
        <f t="shared" si="13"/>
        <v>18</v>
      </c>
    </row>
    <row r="419" spans="1:11" x14ac:dyDescent="0.25">
      <c r="A419" s="4" t="s">
        <v>22</v>
      </c>
      <c r="B419" s="1">
        <v>0.96167100000000005</v>
      </c>
      <c r="C419" s="1">
        <v>0.95925099999999996</v>
      </c>
      <c r="D419" s="1">
        <f>IF(B419&gt;C419,B419-C419,C419-B419)</f>
        <v>2.4200000000000887E-3</v>
      </c>
      <c r="E419">
        <f>MINUTE(D419)</f>
        <v>3</v>
      </c>
      <c r="F419">
        <f>SECOND(D419)</f>
        <v>29</v>
      </c>
      <c r="G419">
        <f>ROUND(E419+F419/60,2)</f>
        <v>3.48</v>
      </c>
      <c r="H419">
        <f>60*E419+F419</f>
        <v>209</v>
      </c>
      <c r="I419" s="3">
        <f>5*(3600/H419)</f>
        <v>86.124401913875602</v>
      </c>
      <c r="J419" s="16">
        <f t="shared" si="12"/>
        <v>0</v>
      </c>
      <c r="K419" s="17">
        <f t="shared" si="13"/>
        <v>23</v>
      </c>
    </row>
    <row r="420" spans="1:11" x14ac:dyDescent="0.25">
      <c r="A420" s="4" t="s">
        <v>355</v>
      </c>
      <c r="B420" s="1">
        <v>0.59084800000000004</v>
      </c>
      <c r="C420" s="1">
        <v>0.59326400000000001</v>
      </c>
      <c r="D420" s="1">
        <f>IF(B420&gt;C420,B420-C420,C420-B420)</f>
        <v>2.4159999999999737E-3</v>
      </c>
      <c r="E420">
        <f>MINUTE(D420)</f>
        <v>3</v>
      </c>
      <c r="F420">
        <f>SECOND(D420)</f>
        <v>29</v>
      </c>
      <c r="G420">
        <f>ROUND(E420+F420/60,2)</f>
        <v>3.48</v>
      </c>
      <c r="H420">
        <f>60*E420+F420</f>
        <v>209</v>
      </c>
      <c r="I420" s="3">
        <f>5*(3600/H420)</f>
        <v>86.124401913875602</v>
      </c>
      <c r="J420" s="16">
        <f t="shared" si="12"/>
        <v>0</v>
      </c>
      <c r="K420" s="17">
        <f t="shared" si="13"/>
        <v>14</v>
      </c>
    </row>
    <row r="421" spans="1:11" x14ac:dyDescent="0.25">
      <c r="A421" s="4" t="s">
        <v>94</v>
      </c>
      <c r="B421" s="1">
        <v>0.94168399999999997</v>
      </c>
      <c r="C421" s="1">
        <v>0.94411999999999996</v>
      </c>
      <c r="D421" s="1">
        <f>IF(B421&gt;C421,B421-C421,C421-B421)</f>
        <v>2.4359999999999937E-3</v>
      </c>
      <c r="E421">
        <f>MINUTE(D421)</f>
        <v>3</v>
      </c>
      <c r="F421">
        <f>SECOND(D421)</f>
        <v>30</v>
      </c>
      <c r="G421">
        <f>ROUND(E421+F421/60,2)</f>
        <v>3.5</v>
      </c>
      <c r="H421">
        <f>60*E421+F421</f>
        <v>210</v>
      </c>
      <c r="I421" s="3">
        <f>5*(3600/H421)</f>
        <v>85.714285714285708</v>
      </c>
      <c r="J421" s="16">
        <f t="shared" si="12"/>
        <v>0</v>
      </c>
      <c r="K421" s="17">
        <f t="shared" si="13"/>
        <v>22</v>
      </c>
    </row>
    <row r="422" spans="1:11" x14ac:dyDescent="0.25">
      <c r="A422" s="4" t="s">
        <v>162</v>
      </c>
      <c r="B422" s="1">
        <v>0.43030000000000002</v>
      </c>
      <c r="C422" s="1">
        <v>0.432728</v>
      </c>
      <c r="D422" s="1">
        <f>IF(B422&gt;C422,B422-C422,C422-B422)</f>
        <v>2.4279999999999857E-3</v>
      </c>
      <c r="E422">
        <f>MINUTE(D422)</f>
        <v>3</v>
      </c>
      <c r="F422">
        <f>SECOND(D422)</f>
        <v>30</v>
      </c>
      <c r="G422">
        <f>ROUND(E422+F422/60,2)</f>
        <v>3.5</v>
      </c>
      <c r="H422">
        <f>60*E422+F422</f>
        <v>210</v>
      </c>
      <c r="I422" s="3">
        <f>5*(3600/H422)</f>
        <v>85.714285714285708</v>
      </c>
      <c r="J422" s="16">
        <f t="shared" si="12"/>
        <v>0</v>
      </c>
      <c r="K422" s="17">
        <f t="shared" si="13"/>
        <v>10</v>
      </c>
    </row>
    <row r="423" spans="1:11" x14ac:dyDescent="0.25">
      <c r="A423" s="4" t="s">
        <v>72</v>
      </c>
      <c r="B423" s="1">
        <v>0.44072499999999998</v>
      </c>
      <c r="C423" s="1">
        <v>0.43829299999999999</v>
      </c>
      <c r="D423" s="1">
        <f>IF(B423&gt;C423,B423-C423,C423-B423)</f>
        <v>2.4319999999999897E-3</v>
      </c>
      <c r="E423">
        <f>MINUTE(D423)</f>
        <v>3</v>
      </c>
      <c r="F423">
        <f>SECOND(D423)</f>
        <v>30</v>
      </c>
      <c r="G423">
        <f>ROUND(E423+F423/60,2)</f>
        <v>3.5</v>
      </c>
      <c r="H423">
        <f>60*E423+F423</f>
        <v>210</v>
      </c>
      <c r="I423" s="3">
        <f>5*(3600/H423)</f>
        <v>85.714285714285708</v>
      </c>
      <c r="J423" s="16">
        <f t="shared" si="12"/>
        <v>0</v>
      </c>
      <c r="K423" s="17">
        <f t="shared" si="13"/>
        <v>10</v>
      </c>
    </row>
    <row r="424" spans="1:11" x14ac:dyDescent="0.25">
      <c r="A424" s="4" t="s">
        <v>375</v>
      </c>
      <c r="B424" s="1">
        <v>0.41383199999999998</v>
      </c>
      <c r="C424" s="1">
        <v>0.41626000000000002</v>
      </c>
      <c r="D424" s="1">
        <f>IF(B424&gt;C424,B424-C424,C424-B424)</f>
        <v>2.4280000000000412E-3</v>
      </c>
      <c r="E424">
        <f>MINUTE(D424)</f>
        <v>3</v>
      </c>
      <c r="F424">
        <f>SECOND(D424)</f>
        <v>30</v>
      </c>
      <c r="G424">
        <f>ROUND(E424+F424/60,2)</f>
        <v>3.5</v>
      </c>
      <c r="H424">
        <f>60*E424+F424</f>
        <v>210</v>
      </c>
      <c r="I424" s="3">
        <f>5*(3600/H424)</f>
        <v>85.714285714285708</v>
      </c>
      <c r="J424" s="16">
        <f t="shared" si="12"/>
        <v>0</v>
      </c>
      <c r="K424" s="17">
        <f t="shared" si="13"/>
        <v>9</v>
      </c>
    </row>
    <row r="425" spans="1:11" x14ac:dyDescent="0.25">
      <c r="A425" s="4" t="s">
        <v>414</v>
      </c>
      <c r="B425" s="1">
        <v>0.58483099999999999</v>
      </c>
      <c r="C425" s="1">
        <v>0.58725899999999998</v>
      </c>
      <c r="D425" s="1">
        <f>IF(B425&gt;C425,B425-C425,C425-B425)</f>
        <v>2.4279999999999857E-3</v>
      </c>
      <c r="E425">
        <f>MINUTE(D425)</f>
        <v>3</v>
      </c>
      <c r="F425">
        <f>SECOND(D425)</f>
        <v>30</v>
      </c>
      <c r="G425">
        <f>ROUND(E425+F425/60,2)</f>
        <v>3.5</v>
      </c>
      <c r="H425">
        <f>60*E425+F425</f>
        <v>210</v>
      </c>
      <c r="I425" s="3">
        <f>5*(3600/H425)</f>
        <v>85.714285714285708</v>
      </c>
      <c r="J425" s="16">
        <f t="shared" si="12"/>
        <v>0</v>
      </c>
      <c r="K425" s="17">
        <f t="shared" si="13"/>
        <v>14</v>
      </c>
    </row>
    <row r="426" spans="1:11" x14ac:dyDescent="0.25">
      <c r="A426" s="4" t="s">
        <v>27</v>
      </c>
      <c r="B426" s="1">
        <v>0.126585</v>
      </c>
      <c r="C426" s="1">
        <v>0.129029</v>
      </c>
      <c r="D426" s="1">
        <f>IF(B426&gt;C426,B426-C426,C426-B426)</f>
        <v>2.4440000000000017E-3</v>
      </c>
      <c r="E426">
        <f>MINUTE(D426)</f>
        <v>3</v>
      </c>
      <c r="F426">
        <f>SECOND(D426)</f>
        <v>31</v>
      </c>
      <c r="G426">
        <f>ROUND(E426+F426/60,2)</f>
        <v>3.52</v>
      </c>
      <c r="H426">
        <f>60*E426+F426</f>
        <v>211</v>
      </c>
      <c r="I426" s="3">
        <f>5*(3600/H426)</f>
        <v>85.308056872037923</v>
      </c>
      <c r="J426" s="16">
        <f t="shared" si="12"/>
        <v>0</v>
      </c>
      <c r="K426" s="17">
        <f t="shared" si="13"/>
        <v>3</v>
      </c>
    </row>
    <row r="427" spans="1:11" x14ac:dyDescent="0.25">
      <c r="A427" s="4" t="s">
        <v>109</v>
      </c>
      <c r="B427" s="1">
        <v>0.78365300000000004</v>
      </c>
      <c r="C427" s="1">
        <v>0.78609700000000005</v>
      </c>
      <c r="D427" s="1">
        <f>IF(B427&gt;C427,B427-C427,C427-B427)</f>
        <v>2.4440000000000017E-3</v>
      </c>
      <c r="E427">
        <f>MINUTE(D427)</f>
        <v>3</v>
      </c>
      <c r="F427">
        <f>SECOND(D427)</f>
        <v>31</v>
      </c>
      <c r="G427">
        <f>ROUND(E427+F427/60,2)</f>
        <v>3.52</v>
      </c>
      <c r="H427">
        <f>60*E427+F427</f>
        <v>211</v>
      </c>
      <c r="I427" s="3">
        <f>5*(3600/H427)</f>
        <v>85.308056872037923</v>
      </c>
      <c r="J427" s="16">
        <f t="shared" si="12"/>
        <v>0</v>
      </c>
      <c r="K427" s="17">
        <f t="shared" si="13"/>
        <v>18</v>
      </c>
    </row>
    <row r="428" spans="1:11" x14ac:dyDescent="0.25">
      <c r="A428" s="4" t="s">
        <v>3</v>
      </c>
      <c r="B428" s="1">
        <v>9.0769000000000002E-2</v>
      </c>
      <c r="C428" s="1">
        <v>9.3213000000000004E-2</v>
      </c>
      <c r="D428" s="1">
        <f>IF(B428&gt;C428,B428-C428,C428-B428)</f>
        <v>2.4440000000000017E-3</v>
      </c>
      <c r="E428">
        <f>MINUTE(D428)</f>
        <v>3</v>
      </c>
      <c r="F428">
        <f>SECOND(D428)</f>
        <v>31</v>
      </c>
      <c r="G428">
        <f>ROUND(E428+F428/60,2)</f>
        <v>3.52</v>
      </c>
      <c r="H428">
        <f>60*E428+F428</f>
        <v>211</v>
      </c>
      <c r="I428" s="3">
        <f>5*(3600/H428)</f>
        <v>85.308056872037923</v>
      </c>
      <c r="J428" s="16">
        <f t="shared" si="12"/>
        <v>0</v>
      </c>
      <c r="K428" s="17">
        <f t="shared" si="13"/>
        <v>2</v>
      </c>
    </row>
    <row r="429" spans="1:11" x14ac:dyDescent="0.25">
      <c r="A429" s="4" t="s">
        <v>162</v>
      </c>
      <c r="B429" s="1">
        <v>0.245144</v>
      </c>
      <c r="C429" s="1">
        <v>0.242704</v>
      </c>
      <c r="D429" s="1">
        <f>IF(B429&gt;C429,B429-C429,C429-B429)</f>
        <v>2.4399999999999977E-3</v>
      </c>
      <c r="E429">
        <f>MINUTE(D429)</f>
        <v>3</v>
      </c>
      <c r="F429">
        <f>SECOND(D429)</f>
        <v>31</v>
      </c>
      <c r="G429">
        <f>ROUND(E429+F429/60,2)</f>
        <v>3.52</v>
      </c>
      <c r="H429">
        <f>60*E429+F429</f>
        <v>211</v>
      </c>
      <c r="I429" s="3">
        <f>5*(3600/H429)</f>
        <v>85.308056872037923</v>
      </c>
      <c r="J429" s="16">
        <f t="shared" si="12"/>
        <v>0</v>
      </c>
      <c r="K429" s="17">
        <f t="shared" si="13"/>
        <v>5</v>
      </c>
    </row>
    <row r="430" spans="1:11" x14ac:dyDescent="0.25">
      <c r="A430" s="4" t="s">
        <v>102</v>
      </c>
      <c r="B430" s="1">
        <v>0.66766999999999999</v>
      </c>
      <c r="C430" s="1">
        <v>0.67010999999999998</v>
      </c>
      <c r="D430" s="1">
        <f>IF(B430&gt;C430,B430-C430,C430-B430)</f>
        <v>2.4399999999999977E-3</v>
      </c>
      <c r="E430">
        <f>MINUTE(D430)</f>
        <v>3</v>
      </c>
      <c r="F430">
        <f>SECOND(D430)</f>
        <v>31</v>
      </c>
      <c r="G430">
        <f>ROUND(E430+F430/60,2)</f>
        <v>3.52</v>
      </c>
      <c r="H430">
        <f>60*E430+F430</f>
        <v>211</v>
      </c>
      <c r="I430" s="3">
        <f>5*(3600/H430)</f>
        <v>85.308056872037923</v>
      </c>
      <c r="J430" s="16">
        <f t="shared" si="12"/>
        <v>0</v>
      </c>
      <c r="K430" s="17">
        <f t="shared" si="13"/>
        <v>16</v>
      </c>
    </row>
    <row r="431" spans="1:11" x14ac:dyDescent="0.25">
      <c r="A431" s="4" t="s">
        <v>36</v>
      </c>
      <c r="B431" s="1">
        <v>0.89885000000000004</v>
      </c>
      <c r="C431" s="1">
        <v>0.90130200000000005</v>
      </c>
      <c r="D431" s="1">
        <f>IF(B431&gt;C431,B431-C431,C431-B431)</f>
        <v>2.4520000000000097E-3</v>
      </c>
      <c r="E431">
        <f>MINUTE(D431)</f>
        <v>3</v>
      </c>
      <c r="F431">
        <f>SECOND(D431)</f>
        <v>32</v>
      </c>
      <c r="G431">
        <f>ROUND(E431+F431/60,2)</f>
        <v>3.53</v>
      </c>
      <c r="H431">
        <f>60*E431+F431</f>
        <v>212</v>
      </c>
      <c r="I431" s="3">
        <f>5*(3600/H431)</f>
        <v>84.905660377358487</v>
      </c>
      <c r="J431" s="16">
        <f t="shared" si="12"/>
        <v>0</v>
      </c>
      <c r="K431" s="17">
        <f t="shared" si="13"/>
        <v>21</v>
      </c>
    </row>
    <row r="432" spans="1:11" x14ac:dyDescent="0.25">
      <c r="A432" s="4" t="s">
        <v>51</v>
      </c>
      <c r="B432" s="1">
        <v>0.61894099999999996</v>
      </c>
      <c r="C432" s="1">
        <v>0.61649299999999996</v>
      </c>
      <c r="D432" s="1">
        <f>IF(B432&gt;C432,B432-C432,C432-B432)</f>
        <v>2.4480000000000057E-3</v>
      </c>
      <c r="E432">
        <f>MINUTE(D432)</f>
        <v>3</v>
      </c>
      <c r="F432">
        <f>SECOND(D432)</f>
        <v>32</v>
      </c>
      <c r="G432">
        <f>ROUND(E432+F432/60,2)</f>
        <v>3.53</v>
      </c>
      <c r="H432">
        <f>60*E432+F432</f>
        <v>212</v>
      </c>
      <c r="I432" s="3">
        <f>5*(3600/H432)</f>
        <v>84.905660377358487</v>
      </c>
      <c r="J432" s="16">
        <f t="shared" si="12"/>
        <v>0</v>
      </c>
      <c r="K432" s="17">
        <f t="shared" si="13"/>
        <v>14</v>
      </c>
    </row>
    <row r="433" spans="1:11" x14ac:dyDescent="0.25">
      <c r="A433" s="4" t="s">
        <v>57</v>
      </c>
      <c r="B433" s="1">
        <v>7.8621999999999997E-2</v>
      </c>
      <c r="C433" s="1">
        <v>7.6165999999999998E-2</v>
      </c>
      <c r="D433" s="1">
        <f>IF(B433&gt;C433,B433-C433,C433-B433)</f>
        <v>2.4559999999999998E-3</v>
      </c>
      <c r="E433">
        <f>MINUTE(D433)</f>
        <v>3</v>
      </c>
      <c r="F433">
        <f>SECOND(D433)</f>
        <v>32</v>
      </c>
      <c r="G433">
        <f>ROUND(E433+F433/60,2)</f>
        <v>3.53</v>
      </c>
      <c r="H433">
        <f>60*E433+F433</f>
        <v>212</v>
      </c>
      <c r="I433" s="3">
        <f>5*(3600/H433)</f>
        <v>84.905660377358487</v>
      </c>
      <c r="J433" s="16">
        <f t="shared" si="12"/>
        <v>0</v>
      </c>
      <c r="K433" s="17">
        <f t="shared" si="13"/>
        <v>1</v>
      </c>
    </row>
    <row r="434" spans="1:11" x14ac:dyDescent="0.25">
      <c r="A434" s="4" t="s">
        <v>75</v>
      </c>
      <c r="B434" s="1">
        <v>0.400312</v>
      </c>
      <c r="C434" s="1">
        <v>0.40276000000000001</v>
      </c>
      <c r="D434" s="1">
        <f>IF(B434&gt;C434,B434-C434,C434-B434)</f>
        <v>2.4480000000000057E-3</v>
      </c>
      <c r="E434">
        <f>MINUTE(D434)</f>
        <v>3</v>
      </c>
      <c r="F434">
        <f>SECOND(D434)</f>
        <v>32</v>
      </c>
      <c r="G434">
        <f>ROUND(E434+F434/60,2)</f>
        <v>3.53</v>
      </c>
      <c r="H434">
        <f>60*E434+F434</f>
        <v>212</v>
      </c>
      <c r="I434" s="3">
        <f>5*(3600/H434)</f>
        <v>84.905660377358487</v>
      </c>
      <c r="J434" s="16">
        <f t="shared" si="12"/>
        <v>0</v>
      </c>
      <c r="K434" s="17">
        <f t="shared" si="13"/>
        <v>9</v>
      </c>
    </row>
    <row r="435" spans="1:11" x14ac:dyDescent="0.25">
      <c r="A435" s="4" t="s">
        <v>99</v>
      </c>
      <c r="B435" s="1">
        <v>0.44529800000000003</v>
      </c>
      <c r="C435" s="1">
        <v>0.44776199999999999</v>
      </c>
      <c r="D435" s="1">
        <f>IF(B435&gt;C435,B435-C435,C435-B435)</f>
        <v>2.4639999999999662E-3</v>
      </c>
      <c r="E435">
        <f>MINUTE(D435)</f>
        <v>3</v>
      </c>
      <c r="F435">
        <f>SECOND(D435)</f>
        <v>33</v>
      </c>
      <c r="G435">
        <f>ROUND(E435+F435/60,2)</f>
        <v>3.55</v>
      </c>
      <c r="H435">
        <f>60*E435+F435</f>
        <v>213</v>
      </c>
      <c r="I435" s="3">
        <f>5*(3600/H435)</f>
        <v>84.507042253521121</v>
      </c>
      <c r="J435" s="16">
        <f t="shared" si="12"/>
        <v>0</v>
      </c>
      <c r="K435" s="17">
        <f t="shared" si="13"/>
        <v>10</v>
      </c>
    </row>
    <row r="436" spans="1:11" x14ac:dyDescent="0.25">
      <c r="A436" s="4" t="s">
        <v>117</v>
      </c>
      <c r="B436" s="1">
        <v>8.9881000000000003E-2</v>
      </c>
      <c r="C436" s="1">
        <v>9.2344999999999997E-2</v>
      </c>
      <c r="D436" s="1">
        <f>IF(B436&gt;C436,B436-C436,C436-B436)</f>
        <v>2.463999999999994E-3</v>
      </c>
      <c r="E436">
        <f>MINUTE(D436)</f>
        <v>3</v>
      </c>
      <c r="F436">
        <f>SECOND(D436)</f>
        <v>33</v>
      </c>
      <c r="G436">
        <f>ROUND(E436+F436/60,2)</f>
        <v>3.55</v>
      </c>
      <c r="H436">
        <f>60*E436+F436</f>
        <v>213</v>
      </c>
      <c r="I436" s="3">
        <f>5*(3600/H436)</f>
        <v>84.507042253521121</v>
      </c>
      <c r="J436" s="16">
        <f t="shared" si="12"/>
        <v>0</v>
      </c>
      <c r="K436" s="17">
        <f t="shared" si="13"/>
        <v>2</v>
      </c>
    </row>
    <row r="437" spans="1:11" x14ac:dyDescent="0.25">
      <c r="A437" s="4" t="s">
        <v>109</v>
      </c>
      <c r="B437" s="1">
        <v>0.74424900000000005</v>
      </c>
      <c r="C437" s="1">
        <v>0.74671699999999996</v>
      </c>
      <c r="D437" s="1">
        <f>IF(B437&gt;C437,B437-C437,C437-B437)</f>
        <v>2.4679999999999147E-3</v>
      </c>
      <c r="E437">
        <f>MINUTE(D437)</f>
        <v>3</v>
      </c>
      <c r="F437">
        <f>SECOND(D437)</f>
        <v>33</v>
      </c>
      <c r="G437">
        <f>ROUND(E437+F437/60,2)</f>
        <v>3.55</v>
      </c>
      <c r="H437">
        <f>60*E437+F437</f>
        <v>213</v>
      </c>
      <c r="I437" s="3">
        <f>5*(3600/H437)</f>
        <v>84.507042253521121</v>
      </c>
      <c r="J437" s="16">
        <f t="shared" si="12"/>
        <v>0</v>
      </c>
      <c r="K437" s="17">
        <f t="shared" si="13"/>
        <v>17</v>
      </c>
    </row>
    <row r="438" spans="1:11" x14ac:dyDescent="0.25">
      <c r="A438" s="4" t="s">
        <v>153</v>
      </c>
      <c r="B438" s="1">
        <v>0.36479400000000001</v>
      </c>
      <c r="C438" s="1">
        <v>0.36725799999999997</v>
      </c>
      <c r="D438" s="1">
        <f>IF(B438&gt;C438,B438-C438,C438-B438)</f>
        <v>2.4639999999999662E-3</v>
      </c>
      <c r="E438">
        <f>MINUTE(D438)</f>
        <v>3</v>
      </c>
      <c r="F438">
        <f>SECOND(D438)</f>
        <v>33</v>
      </c>
      <c r="G438">
        <f>ROUND(E438+F438/60,2)</f>
        <v>3.55</v>
      </c>
      <c r="H438">
        <f>60*E438+F438</f>
        <v>213</v>
      </c>
      <c r="I438" s="3">
        <f>5*(3600/H438)</f>
        <v>84.507042253521121</v>
      </c>
      <c r="J438" s="16">
        <f t="shared" si="12"/>
        <v>0</v>
      </c>
      <c r="K438" s="17">
        <f t="shared" si="13"/>
        <v>8</v>
      </c>
    </row>
    <row r="439" spans="1:11" x14ac:dyDescent="0.25">
      <c r="A439" s="4" t="s">
        <v>213</v>
      </c>
      <c r="B439" s="1">
        <v>0.88904300000000003</v>
      </c>
      <c r="C439" s="1">
        <v>0.88658300000000001</v>
      </c>
      <c r="D439" s="1">
        <f>IF(B439&gt;C439,B439-C439,C439-B439)</f>
        <v>2.4600000000000177E-3</v>
      </c>
      <c r="E439">
        <f>MINUTE(D439)</f>
        <v>3</v>
      </c>
      <c r="F439">
        <f>SECOND(D439)</f>
        <v>33</v>
      </c>
      <c r="G439">
        <f>ROUND(E439+F439/60,2)</f>
        <v>3.55</v>
      </c>
      <c r="H439">
        <f>60*E439+F439</f>
        <v>213</v>
      </c>
      <c r="I439" s="3">
        <f>5*(3600/H439)</f>
        <v>84.507042253521121</v>
      </c>
      <c r="J439" s="16">
        <f t="shared" si="12"/>
        <v>0</v>
      </c>
      <c r="K439" s="17">
        <f t="shared" si="13"/>
        <v>21</v>
      </c>
    </row>
    <row r="440" spans="1:11" x14ac:dyDescent="0.25">
      <c r="A440" s="4" t="s">
        <v>309</v>
      </c>
      <c r="B440" s="1">
        <v>5.6481999999999997E-2</v>
      </c>
      <c r="C440" s="1">
        <v>5.8942000000000001E-2</v>
      </c>
      <c r="D440" s="1">
        <f>IF(B440&gt;C440,B440-C440,C440-B440)</f>
        <v>2.4600000000000039E-3</v>
      </c>
      <c r="E440">
        <f>MINUTE(D440)</f>
        <v>3</v>
      </c>
      <c r="F440">
        <f>SECOND(D440)</f>
        <v>33</v>
      </c>
      <c r="G440">
        <f>ROUND(E440+F440/60,2)</f>
        <v>3.55</v>
      </c>
      <c r="H440">
        <f>60*E440+F440</f>
        <v>213</v>
      </c>
      <c r="I440" s="3">
        <f>5*(3600/H440)</f>
        <v>84.507042253521121</v>
      </c>
      <c r="J440" s="16">
        <f t="shared" si="12"/>
        <v>0</v>
      </c>
      <c r="K440" s="17">
        <f t="shared" si="13"/>
        <v>1</v>
      </c>
    </row>
    <row r="441" spans="1:11" x14ac:dyDescent="0.25">
      <c r="A441" s="4" t="s">
        <v>109</v>
      </c>
      <c r="B441" s="1">
        <v>0.73365199999999997</v>
      </c>
      <c r="C441" s="1">
        <v>0.73118000000000005</v>
      </c>
      <c r="D441" s="1">
        <f>IF(B441&gt;C441,B441-C441,C441-B441)</f>
        <v>2.4719999999999187E-3</v>
      </c>
      <c r="E441">
        <f>MINUTE(D441)</f>
        <v>3</v>
      </c>
      <c r="F441">
        <f>SECOND(D441)</f>
        <v>34</v>
      </c>
      <c r="G441">
        <f>ROUND(E441+F441/60,2)</f>
        <v>3.57</v>
      </c>
      <c r="H441">
        <f>60*E441+F441</f>
        <v>214</v>
      </c>
      <c r="I441" s="3">
        <f>5*(3600/H441)</f>
        <v>84.112149532710276</v>
      </c>
      <c r="J441" s="16">
        <f t="shared" si="12"/>
        <v>0</v>
      </c>
      <c r="K441" s="17">
        <f t="shared" si="13"/>
        <v>17</v>
      </c>
    </row>
    <row r="442" spans="1:11" x14ac:dyDescent="0.25">
      <c r="A442" s="4" t="s">
        <v>328</v>
      </c>
      <c r="B442" s="1">
        <v>0.49057000000000001</v>
      </c>
      <c r="C442" s="1">
        <v>0.49304599999999998</v>
      </c>
      <c r="D442" s="1">
        <f>IF(B442&gt;C442,B442-C442,C442-B442)</f>
        <v>2.4759999999999782E-3</v>
      </c>
      <c r="E442">
        <f>MINUTE(D442)</f>
        <v>3</v>
      </c>
      <c r="F442">
        <f>SECOND(D442)</f>
        <v>34</v>
      </c>
      <c r="G442">
        <f>ROUND(E442+F442/60,2)</f>
        <v>3.57</v>
      </c>
      <c r="H442">
        <f>60*E442+F442</f>
        <v>214</v>
      </c>
      <c r="I442" s="3">
        <f>5*(3600/H442)</f>
        <v>84.112149532710276</v>
      </c>
      <c r="J442" s="16">
        <f t="shared" si="12"/>
        <v>0</v>
      </c>
      <c r="K442" s="17">
        <f t="shared" si="13"/>
        <v>11</v>
      </c>
    </row>
    <row r="443" spans="1:11" x14ac:dyDescent="0.25">
      <c r="A443" s="4" t="s">
        <v>361</v>
      </c>
      <c r="B443" s="1">
        <v>0.45169599999999999</v>
      </c>
      <c r="C443" s="1">
        <v>0.45416800000000002</v>
      </c>
      <c r="D443" s="1">
        <f>IF(B443&gt;C443,B443-C443,C443-B443)</f>
        <v>2.4720000000000297E-3</v>
      </c>
      <c r="E443">
        <f>MINUTE(D443)</f>
        <v>3</v>
      </c>
      <c r="F443">
        <f>SECOND(D443)</f>
        <v>34</v>
      </c>
      <c r="G443">
        <f>ROUND(E443+F443/60,2)</f>
        <v>3.57</v>
      </c>
      <c r="H443">
        <f>60*E443+F443</f>
        <v>214</v>
      </c>
      <c r="I443" s="3">
        <f>5*(3600/H443)</f>
        <v>84.112149532710276</v>
      </c>
      <c r="J443" s="16">
        <f t="shared" si="12"/>
        <v>0</v>
      </c>
      <c r="K443" s="17">
        <f t="shared" si="13"/>
        <v>10</v>
      </c>
    </row>
    <row r="444" spans="1:11" x14ac:dyDescent="0.25">
      <c r="A444" s="4" t="s">
        <v>391</v>
      </c>
      <c r="B444" s="1">
        <v>8.7454000000000004E-2</v>
      </c>
      <c r="C444" s="1">
        <v>8.9934E-2</v>
      </c>
      <c r="D444" s="1">
        <f>IF(B444&gt;C444,B444-C444,C444-B444)</f>
        <v>2.4799999999999961E-3</v>
      </c>
      <c r="E444">
        <f>MINUTE(D444)</f>
        <v>3</v>
      </c>
      <c r="F444">
        <f>SECOND(D444)</f>
        <v>34</v>
      </c>
      <c r="G444">
        <f>ROUND(E444+F444/60,2)</f>
        <v>3.57</v>
      </c>
      <c r="H444">
        <f>60*E444+F444</f>
        <v>214</v>
      </c>
      <c r="I444" s="3">
        <f>5*(3600/H444)</f>
        <v>84.112149532710276</v>
      </c>
      <c r="J444" s="16">
        <f t="shared" si="12"/>
        <v>0</v>
      </c>
      <c r="K444" s="17">
        <f t="shared" si="13"/>
        <v>2</v>
      </c>
    </row>
    <row r="445" spans="1:11" x14ac:dyDescent="0.25">
      <c r="A445" s="4" t="s">
        <v>92</v>
      </c>
      <c r="B445" s="1">
        <v>0.78457500000000002</v>
      </c>
      <c r="C445" s="1">
        <v>0.78705899999999995</v>
      </c>
      <c r="D445" s="1">
        <f>IF(B445&gt;C445,B445-C445,C445-B445)</f>
        <v>2.4839999999999307E-3</v>
      </c>
      <c r="E445">
        <f>MINUTE(D445)</f>
        <v>3</v>
      </c>
      <c r="F445">
        <f>SECOND(D445)</f>
        <v>35</v>
      </c>
      <c r="G445">
        <f>ROUND(E445+F445/60,2)</f>
        <v>3.58</v>
      </c>
      <c r="H445">
        <f>60*E445+F445</f>
        <v>215</v>
      </c>
      <c r="I445" s="3">
        <f>5*(3600/H445)</f>
        <v>83.720930232558146</v>
      </c>
      <c r="J445" s="16">
        <f t="shared" si="12"/>
        <v>0</v>
      </c>
      <c r="K445" s="17">
        <f t="shared" si="13"/>
        <v>18</v>
      </c>
    </row>
    <row r="446" spans="1:11" x14ac:dyDescent="0.25">
      <c r="A446" s="4" t="s">
        <v>393</v>
      </c>
      <c r="B446" s="1">
        <v>0.93926699999999996</v>
      </c>
      <c r="C446" s="1">
        <v>0.941751</v>
      </c>
      <c r="D446" s="1">
        <f>IF(B446&gt;C446,B446-C446,C446-B446)</f>
        <v>2.4840000000000417E-3</v>
      </c>
      <c r="E446">
        <f>MINUTE(D446)</f>
        <v>3</v>
      </c>
      <c r="F446">
        <f>SECOND(D446)</f>
        <v>35</v>
      </c>
      <c r="G446">
        <f>ROUND(E446+F446/60,2)</f>
        <v>3.58</v>
      </c>
      <c r="H446">
        <f>60*E446+F446</f>
        <v>215</v>
      </c>
      <c r="I446" s="3">
        <f>5*(3600/H446)</f>
        <v>83.720930232558146</v>
      </c>
      <c r="J446" s="16">
        <f t="shared" si="12"/>
        <v>0</v>
      </c>
      <c r="K446" s="17">
        <f t="shared" si="13"/>
        <v>22</v>
      </c>
    </row>
    <row r="447" spans="1:11" x14ac:dyDescent="0.25">
      <c r="A447" s="4" t="s">
        <v>37</v>
      </c>
      <c r="B447" s="1">
        <v>0.59133800000000003</v>
      </c>
      <c r="C447" s="1">
        <v>0.59383399999999997</v>
      </c>
      <c r="D447" s="1">
        <f>IF(B447&gt;C447,B447-C447,C447-B447)</f>
        <v>2.4959999999999427E-3</v>
      </c>
      <c r="E447">
        <f>MINUTE(D447)</f>
        <v>3</v>
      </c>
      <c r="F447">
        <f>SECOND(D447)</f>
        <v>36</v>
      </c>
      <c r="G447">
        <f>ROUND(E447+F447/60,2)</f>
        <v>3.6</v>
      </c>
      <c r="H447">
        <f>60*E447+F447</f>
        <v>216</v>
      </c>
      <c r="I447" s="3">
        <f>5*(3600/H447)</f>
        <v>83.333333333333343</v>
      </c>
      <c r="J447" s="16">
        <f t="shared" si="12"/>
        <v>0</v>
      </c>
      <c r="K447" s="17">
        <f t="shared" si="13"/>
        <v>14</v>
      </c>
    </row>
    <row r="448" spans="1:11" x14ac:dyDescent="0.25">
      <c r="A448" s="4" t="s">
        <v>110</v>
      </c>
      <c r="B448" s="1">
        <v>0.56430000000000002</v>
      </c>
      <c r="C448" s="1">
        <v>0.56179999999999997</v>
      </c>
      <c r="D448" s="1">
        <f>IF(B448&gt;C448,B448-C448,C448-B448)</f>
        <v>2.5000000000000577E-3</v>
      </c>
      <c r="E448">
        <f>MINUTE(D448)</f>
        <v>3</v>
      </c>
      <c r="F448">
        <f>SECOND(D448)</f>
        <v>36</v>
      </c>
      <c r="G448">
        <f>ROUND(E448+F448/60,2)</f>
        <v>3.6</v>
      </c>
      <c r="H448">
        <f>60*E448+F448</f>
        <v>216</v>
      </c>
      <c r="I448" s="3">
        <f>5*(3600/H448)</f>
        <v>83.333333333333343</v>
      </c>
      <c r="J448" s="16">
        <f t="shared" si="12"/>
        <v>0</v>
      </c>
      <c r="K448" s="17">
        <f t="shared" si="13"/>
        <v>13</v>
      </c>
    </row>
    <row r="449" spans="1:11" x14ac:dyDescent="0.25">
      <c r="A449" s="4" t="s">
        <v>149</v>
      </c>
      <c r="B449" s="1">
        <v>0.13003200000000001</v>
      </c>
      <c r="C449" s="1">
        <v>0.13252800000000001</v>
      </c>
      <c r="D449" s="1">
        <f>IF(B449&gt;C449,B449-C449,C449-B449)</f>
        <v>2.4959999999999982E-3</v>
      </c>
      <c r="E449">
        <f>MINUTE(D449)</f>
        <v>3</v>
      </c>
      <c r="F449">
        <f>SECOND(D449)</f>
        <v>36</v>
      </c>
      <c r="G449">
        <f>ROUND(E449+F449/60,2)</f>
        <v>3.6</v>
      </c>
      <c r="H449">
        <f>60*E449+F449</f>
        <v>216</v>
      </c>
      <c r="I449" s="3">
        <f>5*(3600/H449)</f>
        <v>83.333333333333343</v>
      </c>
      <c r="J449" s="16">
        <f t="shared" si="12"/>
        <v>0</v>
      </c>
      <c r="K449" s="17">
        <f t="shared" si="13"/>
        <v>3</v>
      </c>
    </row>
    <row r="450" spans="1:11" x14ac:dyDescent="0.25">
      <c r="A450" s="4" t="s">
        <v>109</v>
      </c>
      <c r="B450" s="1">
        <v>0.19941800000000001</v>
      </c>
      <c r="C450" s="1">
        <v>0.20191799999999999</v>
      </c>
      <c r="D450" s="1">
        <f>IF(B450&gt;C450,B450-C450,C450-B450)</f>
        <v>2.4999999999999745E-3</v>
      </c>
      <c r="E450">
        <f>MINUTE(D450)</f>
        <v>3</v>
      </c>
      <c r="F450">
        <f>SECOND(D450)</f>
        <v>36</v>
      </c>
      <c r="G450">
        <f>ROUND(E450+F450/60,2)</f>
        <v>3.6</v>
      </c>
      <c r="H450">
        <f>60*E450+F450</f>
        <v>216</v>
      </c>
      <c r="I450" s="3">
        <f>5*(3600/H450)</f>
        <v>83.333333333333343</v>
      </c>
      <c r="J450" s="16">
        <f t="shared" si="12"/>
        <v>0</v>
      </c>
      <c r="K450" s="17">
        <f t="shared" si="13"/>
        <v>4</v>
      </c>
    </row>
    <row r="451" spans="1:11" x14ac:dyDescent="0.25">
      <c r="A451" s="4" t="s">
        <v>112</v>
      </c>
      <c r="B451" s="1">
        <v>0.82941900000000002</v>
      </c>
      <c r="C451" s="1">
        <v>0.82691499999999996</v>
      </c>
      <c r="D451" s="1">
        <f>IF(B451&gt;C451,B451-C451,C451-B451)</f>
        <v>2.5040000000000617E-3</v>
      </c>
      <c r="E451">
        <f>MINUTE(D451)</f>
        <v>3</v>
      </c>
      <c r="F451">
        <f>SECOND(D451)</f>
        <v>36</v>
      </c>
      <c r="G451">
        <f>ROUND(E451+F451/60,2)</f>
        <v>3.6</v>
      </c>
      <c r="H451">
        <f>60*E451+F451</f>
        <v>216</v>
      </c>
      <c r="I451" s="3">
        <f>5*(3600/H451)</f>
        <v>83.333333333333343</v>
      </c>
      <c r="J451" s="16">
        <f t="shared" ref="J451:J514" si="14">IF(I451&gt;140,1,0)</f>
        <v>0</v>
      </c>
      <c r="K451" s="17">
        <f t="shared" ref="K451:K514" si="15">HOUR(B451)</f>
        <v>19</v>
      </c>
    </row>
    <row r="452" spans="1:11" x14ac:dyDescent="0.25">
      <c r="A452" s="4" t="s">
        <v>148</v>
      </c>
      <c r="B452" s="1">
        <v>0.84191199999999999</v>
      </c>
      <c r="C452" s="1">
        <v>0.84441600000000006</v>
      </c>
      <c r="D452" s="1">
        <f>IF(B452&gt;C452,B452-C452,C452-B452)</f>
        <v>2.5040000000000617E-3</v>
      </c>
      <c r="E452">
        <f>MINUTE(D452)</f>
        <v>3</v>
      </c>
      <c r="F452">
        <f>SECOND(D452)</f>
        <v>36</v>
      </c>
      <c r="G452">
        <f>ROUND(E452+F452/60,2)</f>
        <v>3.6</v>
      </c>
      <c r="H452">
        <f>60*E452+F452</f>
        <v>216</v>
      </c>
      <c r="I452" s="3">
        <f>5*(3600/H452)</f>
        <v>83.333333333333343</v>
      </c>
      <c r="J452" s="16">
        <f t="shared" si="14"/>
        <v>0</v>
      </c>
      <c r="K452" s="17">
        <f t="shared" si="15"/>
        <v>20</v>
      </c>
    </row>
    <row r="453" spans="1:11" x14ac:dyDescent="0.25">
      <c r="A453" s="4" t="s">
        <v>162</v>
      </c>
      <c r="B453" s="1">
        <v>0.576519</v>
      </c>
      <c r="C453" s="1">
        <v>0.57400300000000004</v>
      </c>
      <c r="D453" s="1">
        <f>IF(B453&gt;C453,B453-C453,C453-B453)</f>
        <v>2.5159999999999627E-3</v>
      </c>
      <c r="E453">
        <f>MINUTE(D453)</f>
        <v>3</v>
      </c>
      <c r="F453">
        <f>SECOND(D453)</f>
        <v>37</v>
      </c>
      <c r="G453">
        <f>ROUND(E453+F453/60,2)</f>
        <v>3.62</v>
      </c>
      <c r="H453">
        <f>60*E453+F453</f>
        <v>217</v>
      </c>
      <c r="I453" s="3">
        <f>5*(3600/H453)</f>
        <v>82.94930875576037</v>
      </c>
      <c r="J453" s="16">
        <f t="shared" si="14"/>
        <v>0</v>
      </c>
      <c r="K453" s="17">
        <f t="shared" si="15"/>
        <v>13</v>
      </c>
    </row>
    <row r="454" spans="1:11" x14ac:dyDescent="0.25">
      <c r="A454" s="4" t="s">
        <v>27</v>
      </c>
      <c r="B454" s="1">
        <v>0.45537100000000003</v>
      </c>
      <c r="C454" s="1">
        <v>0.45788699999999999</v>
      </c>
      <c r="D454" s="1">
        <f>IF(B454&gt;C454,B454-C454,C454-B454)</f>
        <v>2.5159999999999627E-3</v>
      </c>
      <c r="E454">
        <f>MINUTE(D454)</f>
        <v>3</v>
      </c>
      <c r="F454">
        <f>SECOND(D454)</f>
        <v>37</v>
      </c>
      <c r="G454">
        <f>ROUND(E454+F454/60,2)</f>
        <v>3.62</v>
      </c>
      <c r="H454">
        <f>60*E454+F454</f>
        <v>217</v>
      </c>
      <c r="I454" s="3">
        <f>5*(3600/H454)</f>
        <v>82.94930875576037</v>
      </c>
      <c r="J454" s="16">
        <f t="shared" si="14"/>
        <v>0</v>
      </c>
      <c r="K454" s="17">
        <f t="shared" si="15"/>
        <v>10</v>
      </c>
    </row>
    <row r="455" spans="1:11" x14ac:dyDescent="0.25">
      <c r="A455" s="4" t="s">
        <v>389</v>
      </c>
      <c r="B455" s="1">
        <v>0.62056900000000004</v>
      </c>
      <c r="C455" s="1">
        <v>0.623081</v>
      </c>
      <c r="D455" s="1">
        <f>IF(B455&gt;C455,B455-C455,C455-B455)</f>
        <v>2.5119999999999587E-3</v>
      </c>
      <c r="E455">
        <f>MINUTE(D455)</f>
        <v>3</v>
      </c>
      <c r="F455">
        <f>SECOND(D455)</f>
        <v>37</v>
      </c>
      <c r="G455">
        <f>ROUND(E455+F455/60,2)</f>
        <v>3.62</v>
      </c>
      <c r="H455">
        <f>60*E455+F455</f>
        <v>217</v>
      </c>
      <c r="I455" s="3">
        <f>5*(3600/H455)</f>
        <v>82.94930875576037</v>
      </c>
      <c r="J455" s="16">
        <f t="shared" si="14"/>
        <v>0</v>
      </c>
      <c r="K455" s="17">
        <f t="shared" si="15"/>
        <v>14</v>
      </c>
    </row>
    <row r="456" spans="1:11" x14ac:dyDescent="0.25">
      <c r="A456" s="4" t="s">
        <v>162</v>
      </c>
      <c r="B456" s="1">
        <v>0.14232400000000001</v>
      </c>
      <c r="C456" s="1">
        <v>0.144844</v>
      </c>
      <c r="D456" s="1">
        <f>IF(B456&gt;C456,B456-C456,C456-B456)</f>
        <v>2.5199999999999945E-3</v>
      </c>
      <c r="E456">
        <f>MINUTE(D456)</f>
        <v>3</v>
      </c>
      <c r="F456">
        <f>SECOND(D456)</f>
        <v>38</v>
      </c>
      <c r="G456">
        <f>ROUND(E456+F456/60,2)</f>
        <v>3.63</v>
      </c>
      <c r="H456">
        <f>60*E456+F456</f>
        <v>218</v>
      </c>
      <c r="I456" s="3">
        <f>5*(3600/H456)</f>
        <v>82.568807339449535</v>
      </c>
      <c r="J456" s="16">
        <f t="shared" si="14"/>
        <v>0</v>
      </c>
      <c r="K456" s="17">
        <f t="shared" si="15"/>
        <v>3</v>
      </c>
    </row>
    <row r="457" spans="1:11" x14ac:dyDescent="0.25">
      <c r="A457" s="4" t="s">
        <v>135</v>
      </c>
      <c r="B457" s="1">
        <v>0.55270699999999995</v>
      </c>
      <c r="C457" s="1">
        <v>0.55523100000000003</v>
      </c>
      <c r="D457" s="1">
        <f>IF(B457&gt;C457,B457-C457,C457-B457)</f>
        <v>2.5240000000000817E-3</v>
      </c>
      <c r="E457">
        <f>MINUTE(D457)</f>
        <v>3</v>
      </c>
      <c r="F457">
        <f>SECOND(D457)</f>
        <v>38</v>
      </c>
      <c r="G457">
        <f>ROUND(E457+F457/60,2)</f>
        <v>3.63</v>
      </c>
      <c r="H457">
        <f>60*E457+F457</f>
        <v>218</v>
      </c>
      <c r="I457" s="3">
        <f>5*(3600/H457)</f>
        <v>82.568807339449535</v>
      </c>
      <c r="J457" s="16">
        <f t="shared" si="14"/>
        <v>0</v>
      </c>
      <c r="K457" s="17">
        <f t="shared" si="15"/>
        <v>13</v>
      </c>
    </row>
    <row r="458" spans="1:11" x14ac:dyDescent="0.25">
      <c r="A458" s="4" t="s">
        <v>47</v>
      </c>
      <c r="B458" s="1">
        <v>0.138625</v>
      </c>
      <c r="C458" s="1">
        <v>0.14114499999999999</v>
      </c>
      <c r="D458" s="1">
        <f>IF(B458&gt;C458,B458-C458,C458-B458)</f>
        <v>2.5199999999999945E-3</v>
      </c>
      <c r="E458">
        <f>MINUTE(D458)</f>
        <v>3</v>
      </c>
      <c r="F458">
        <f>SECOND(D458)</f>
        <v>38</v>
      </c>
      <c r="G458">
        <f>ROUND(E458+F458/60,2)</f>
        <v>3.63</v>
      </c>
      <c r="H458">
        <f>60*E458+F458</f>
        <v>218</v>
      </c>
      <c r="I458" s="3">
        <f>5*(3600/H458)</f>
        <v>82.568807339449535</v>
      </c>
      <c r="J458" s="16">
        <f t="shared" si="14"/>
        <v>0</v>
      </c>
      <c r="K458" s="17">
        <f t="shared" si="15"/>
        <v>3</v>
      </c>
    </row>
    <row r="459" spans="1:11" x14ac:dyDescent="0.25">
      <c r="A459" s="4" t="s">
        <v>13</v>
      </c>
      <c r="B459" s="1">
        <v>0.188942</v>
      </c>
      <c r="C459" s="1">
        <v>0.186422</v>
      </c>
      <c r="D459" s="1">
        <f>IF(B459&gt;C459,B459-C459,C459-B459)</f>
        <v>2.5199999999999945E-3</v>
      </c>
      <c r="E459">
        <f>MINUTE(D459)</f>
        <v>3</v>
      </c>
      <c r="F459">
        <f>SECOND(D459)</f>
        <v>38</v>
      </c>
      <c r="G459">
        <f>ROUND(E459+F459/60,2)</f>
        <v>3.63</v>
      </c>
      <c r="H459">
        <f>60*E459+F459</f>
        <v>218</v>
      </c>
      <c r="I459" s="3">
        <f>5*(3600/H459)</f>
        <v>82.568807339449535</v>
      </c>
      <c r="J459" s="16">
        <f t="shared" si="14"/>
        <v>0</v>
      </c>
      <c r="K459" s="17">
        <f t="shared" si="15"/>
        <v>4</v>
      </c>
    </row>
    <row r="460" spans="1:11" x14ac:dyDescent="0.25">
      <c r="A460" s="4" t="s">
        <v>108</v>
      </c>
      <c r="B460" s="1">
        <v>9.1436000000000003E-2</v>
      </c>
      <c r="C460" s="1">
        <v>9.3964000000000006E-2</v>
      </c>
      <c r="D460" s="1">
        <f>IF(B460&gt;C460,B460-C460,C460-B460)</f>
        <v>2.5280000000000025E-3</v>
      </c>
      <c r="E460">
        <f>MINUTE(D460)</f>
        <v>3</v>
      </c>
      <c r="F460">
        <f>SECOND(D460)</f>
        <v>38</v>
      </c>
      <c r="G460">
        <f>ROUND(E460+F460/60,2)</f>
        <v>3.63</v>
      </c>
      <c r="H460">
        <f>60*E460+F460</f>
        <v>218</v>
      </c>
      <c r="I460" s="3">
        <f>5*(3600/H460)</f>
        <v>82.568807339449535</v>
      </c>
      <c r="J460" s="16">
        <f t="shared" si="14"/>
        <v>0</v>
      </c>
      <c r="K460" s="17">
        <f t="shared" si="15"/>
        <v>2</v>
      </c>
    </row>
    <row r="461" spans="1:11" x14ac:dyDescent="0.25">
      <c r="A461" s="4" t="s">
        <v>193</v>
      </c>
      <c r="B461" s="1">
        <v>0.122076</v>
      </c>
      <c r="C461" s="1">
        <v>0.12460400000000001</v>
      </c>
      <c r="D461" s="1">
        <f>IF(B461&gt;C461,B461-C461,C461-B461)</f>
        <v>2.5280000000000025E-3</v>
      </c>
      <c r="E461">
        <f>MINUTE(D461)</f>
        <v>3</v>
      </c>
      <c r="F461">
        <f>SECOND(D461)</f>
        <v>38</v>
      </c>
      <c r="G461">
        <f>ROUND(E461+F461/60,2)</f>
        <v>3.63</v>
      </c>
      <c r="H461">
        <f>60*E461+F461</f>
        <v>218</v>
      </c>
      <c r="I461" s="3">
        <f>5*(3600/H461)</f>
        <v>82.568807339449535</v>
      </c>
      <c r="J461" s="16">
        <f t="shared" si="14"/>
        <v>0</v>
      </c>
      <c r="K461" s="17">
        <f t="shared" si="15"/>
        <v>2</v>
      </c>
    </row>
    <row r="462" spans="1:11" x14ac:dyDescent="0.25">
      <c r="A462" s="4" t="s">
        <v>285</v>
      </c>
      <c r="B462" s="1">
        <v>0.58929100000000001</v>
      </c>
      <c r="C462" s="1">
        <v>0.59181099999999998</v>
      </c>
      <c r="D462" s="1">
        <f>IF(B462&gt;C462,B462-C462,C462-B462)</f>
        <v>2.5199999999999667E-3</v>
      </c>
      <c r="E462">
        <f>MINUTE(D462)</f>
        <v>3</v>
      </c>
      <c r="F462">
        <f>SECOND(D462)</f>
        <v>38</v>
      </c>
      <c r="G462">
        <f>ROUND(E462+F462/60,2)</f>
        <v>3.63</v>
      </c>
      <c r="H462">
        <f>60*E462+F462</f>
        <v>218</v>
      </c>
      <c r="I462" s="3">
        <f>5*(3600/H462)</f>
        <v>82.568807339449535</v>
      </c>
      <c r="J462" s="16">
        <f t="shared" si="14"/>
        <v>0</v>
      </c>
      <c r="K462" s="17">
        <f t="shared" si="15"/>
        <v>14</v>
      </c>
    </row>
    <row r="463" spans="1:11" x14ac:dyDescent="0.25">
      <c r="A463" s="4" t="s">
        <v>344</v>
      </c>
      <c r="B463" s="1">
        <v>0.35687200000000002</v>
      </c>
      <c r="C463" s="1">
        <v>0.3594</v>
      </c>
      <c r="D463" s="1">
        <f>IF(B463&gt;C463,B463-C463,C463-B463)</f>
        <v>2.5279999999999747E-3</v>
      </c>
      <c r="E463">
        <f>MINUTE(D463)</f>
        <v>3</v>
      </c>
      <c r="F463">
        <f>SECOND(D463)</f>
        <v>38</v>
      </c>
      <c r="G463">
        <f>ROUND(E463+F463/60,2)</f>
        <v>3.63</v>
      </c>
      <c r="H463">
        <f>60*E463+F463</f>
        <v>218</v>
      </c>
      <c r="I463" s="3">
        <f>5*(3600/H463)</f>
        <v>82.568807339449535</v>
      </c>
      <c r="J463" s="16">
        <f t="shared" si="14"/>
        <v>0</v>
      </c>
      <c r="K463" s="17">
        <f t="shared" si="15"/>
        <v>8</v>
      </c>
    </row>
    <row r="464" spans="1:11" x14ac:dyDescent="0.25">
      <c r="A464" s="4" t="s">
        <v>368</v>
      </c>
      <c r="B464" s="1">
        <v>3.1189999999999999E-2</v>
      </c>
      <c r="C464" s="1">
        <v>2.8662E-2</v>
      </c>
      <c r="D464" s="1">
        <f>IF(B464&gt;C464,B464-C464,C464-B464)</f>
        <v>2.527999999999999E-3</v>
      </c>
      <c r="E464">
        <f>MINUTE(D464)</f>
        <v>3</v>
      </c>
      <c r="F464">
        <f>SECOND(D464)</f>
        <v>38</v>
      </c>
      <c r="G464">
        <f>ROUND(E464+F464/60,2)</f>
        <v>3.63</v>
      </c>
      <c r="H464">
        <f>60*E464+F464</f>
        <v>218</v>
      </c>
      <c r="I464" s="3">
        <f>5*(3600/H464)</f>
        <v>82.568807339449535</v>
      </c>
      <c r="J464" s="16">
        <f t="shared" si="14"/>
        <v>0</v>
      </c>
      <c r="K464" s="17">
        <f t="shared" si="15"/>
        <v>0</v>
      </c>
    </row>
    <row r="465" spans="1:11" x14ac:dyDescent="0.25">
      <c r="A465" s="4" t="s">
        <v>405</v>
      </c>
      <c r="B465" s="1">
        <v>0.90301600000000004</v>
      </c>
      <c r="C465" s="1">
        <v>0.90554000000000001</v>
      </c>
      <c r="D465" s="1">
        <f>IF(B465&gt;C465,B465-C465,C465-B465)</f>
        <v>2.5239999999999707E-3</v>
      </c>
      <c r="E465">
        <f>MINUTE(D465)</f>
        <v>3</v>
      </c>
      <c r="F465">
        <f>SECOND(D465)</f>
        <v>38</v>
      </c>
      <c r="G465">
        <f>ROUND(E465+F465/60,2)</f>
        <v>3.63</v>
      </c>
      <c r="H465">
        <f>60*E465+F465</f>
        <v>218</v>
      </c>
      <c r="I465" s="3">
        <f>5*(3600/H465)</f>
        <v>82.568807339449535</v>
      </c>
      <c r="J465" s="16">
        <f t="shared" si="14"/>
        <v>0</v>
      </c>
      <c r="K465" s="17">
        <f t="shared" si="15"/>
        <v>21</v>
      </c>
    </row>
    <row r="466" spans="1:11" x14ac:dyDescent="0.25">
      <c r="A466" s="4" t="s">
        <v>413</v>
      </c>
      <c r="B466" s="1">
        <v>0.91312199999999999</v>
      </c>
      <c r="C466" s="1">
        <v>0.91059800000000002</v>
      </c>
      <c r="D466" s="1">
        <f>IF(B466&gt;C466,B466-C466,C466-B466)</f>
        <v>2.5239999999999707E-3</v>
      </c>
      <c r="E466">
        <f>MINUTE(D466)</f>
        <v>3</v>
      </c>
      <c r="F466">
        <f>SECOND(D466)</f>
        <v>38</v>
      </c>
      <c r="G466">
        <f>ROUND(E466+F466/60,2)</f>
        <v>3.63</v>
      </c>
      <c r="H466">
        <f>60*E466+F466</f>
        <v>218</v>
      </c>
      <c r="I466" s="3">
        <f>5*(3600/H466)</f>
        <v>82.568807339449535</v>
      </c>
      <c r="J466" s="16">
        <f t="shared" si="14"/>
        <v>0</v>
      </c>
      <c r="K466" s="17">
        <f t="shared" si="15"/>
        <v>21</v>
      </c>
    </row>
    <row r="467" spans="1:11" x14ac:dyDescent="0.25">
      <c r="A467" s="4" t="s">
        <v>72</v>
      </c>
      <c r="B467" s="1">
        <v>0.43932300000000002</v>
      </c>
      <c r="C467" s="1">
        <v>0.43679099999999998</v>
      </c>
      <c r="D467" s="1">
        <f>IF(B467&gt;C467,B467-C467,C467-B467)</f>
        <v>2.5320000000000342E-3</v>
      </c>
      <c r="E467">
        <f>MINUTE(D467)</f>
        <v>3</v>
      </c>
      <c r="F467">
        <f>SECOND(D467)</f>
        <v>39</v>
      </c>
      <c r="G467">
        <f>ROUND(E467+F467/60,2)</f>
        <v>3.65</v>
      </c>
      <c r="H467">
        <f>60*E467+F467</f>
        <v>219</v>
      </c>
      <c r="I467" s="3">
        <f>5*(3600/H467)</f>
        <v>82.191780821917817</v>
      </c>
      <c r="J467" s="16">
        <f t="shared" si="14"/>
        <v>0</v>
      </c>
      <c r="K467" s="17">
        <f t="shared" si="15"/>
        <v>10</v>
      </c>
    </row>
    <row r="468" spans="1:11" x14ac:dyDescent="0.25">
      <c r="A468" s="4" t="s">
        <v>85</v>
      </c>
      <c r="B468" s="1">
        <v>0.49402400000000002</v>
      </c>
      <c r="C468" s="1">
        <v>0.49656800000000001</v>
      </c>
      <c r="D468" s="1">
        <f>IF(B468&gt;C468,B468-C468,C468-B468)</f>
        <v>2.5439999999999907E-3</v>
      </c>
      <c r="E468">
        <f>MINUTE(D468)</f>
        <v>3</v>
      </c>
      <c r="F468">
        <f>SECOND(D468)</f>
        <v>40</v>
      </c>
      <c r="G468">
        <f>ROUND(E468+F468/60,2)</f>
        <v>3.67</v>
      </c>
      <c r="H468">
        <f>60*E468+F468</f>
        <v>220</v>
      </c>
      <c r="I468" s="3">
        <f>5*(3600/H468)</f>
        <v>81.818181818181813</v>
      </c>
      <c r="J468" s="16">
        <f t="shared" si="14"/>
        <v>0</v>
      </c>
      <c r="K468" s="17">
        <f t="shared" si="15"/>
        <v>11</v>
      </c>
    </row>
    <row r="469" spans="1:11" x14ac:dyDescent="0.25">
      <c r="A469" s="4" t="s">
        <v>74</v>
      </c>
      <c r="B469" s="1">
        <v>0.78240200000000004</v>
      </c>
      <c r="C469" s="1">
        <v>0.78495400000000004</v>
      </c>
      <c r="D469" s="1">
        <f>IF(B469&gt;C469,B469-C469,C469-B469)</f>
        <v>2.5519999999999987E-3</v>
      </c>
      <c r="E469">
        <f>MINUTE(D469)</f>
        <v>3</v>
      </c>
      <c r="F469">
        <f>SECOND(D469)</f>
        <v>40</v>
      </c>
      <c r="G469">
        <f>ROUND(E469+F469/60,2)</f>
        <v>3.67</v>
      </c>
      <c r="H469">
        <f>60*E469+F469</f>
        <v>220</v>
      </c>
      <c r="I469" s="3">
        <f>5*(3600/H469)</f>
        <v>81.818181818181813</v>
      </c>
      <c r="J469" s="16">
        <f t="shared" si="14"/>
        <v>0</v>
      </c>
      <c r="K469" s="17">
        <f t="shared" si="15"/>
        <v>18</v>
      </c>
    </row>
    <row r="470" spans="1:11" x14ac:dyDescent="0.25">
      <c r="A470" s="4" t="s">
        <v>12</v>
      </c>
      <c r="B470" s="1">
        <v>0.84136299999999997</v>
      </c>
      <c r="C470" s="1">
        <v>0.83881899999999998</v>
      </c>
      <c r="D470" s="1">
        <f>IF(B470&gt;C470,B470-C470,C470-B470)</f>
        <v>2.5439999999999907E-3</v>
      </c>
      <c r="E470">
        <f>MINUTE(D470)</f>
        <v>3</v>
      </c>
      <c r="F470">
        <f>SECOND(D470)</f>
        <v>40</v>
      </c>
      <c r="G470">
        <f>ROUND(E470+F470/60,2)</f>
        <v>3.67</v>
      </c>
      <c r="H470">
        <f>60*E470+F470</f>
        <v>220</v>
      </c>
      <c r="I470" s="3">
        <f>5*(3600/H470)</f>
        <v>81.818181818181813</v>
      </c>
      <c r="J470" s="16">
        <f t="shared" si="14"/>
        <v>0</v>
      </c>
      <c r="K470" s="17">
        <f t="shared" si="15"/>
        <v>20</v>
      </c>
    </row>
    <row r="471" spans="1:11" x14ac:dyDescent="0.25">
      <c r="A471" s="4" t="s">
        <v>54</v>
      </c>
      <c r="B471" s="1">
        <v>0.70056799999999997</v>
      </c>
      <c r="C471" s="1">
        <v>0.70311999999999997</v>
      </c>
      <c r="D471" s="1">
        <f>IF(B471&gt;C471,B471-C471,C471-B471)</f>
        <v>2.5519999999999987E-3</v>
      </c>
      <c r="E471">
        <f>MINUTE(D471)</f>
        <v>3</v>
      </c>
      <c r="F471">
        <f>SECOND(D471)</f>
        <v>40</v>
      </c>
      <c r="G471">
        <f>ROUND(E471+F471/60,2)</f>
        <v>3.67</v>
      </c>
      <c r="H471">
        <f>60*E471+F471</f>
        <v>220</v>
      </c>
      <c r="I471" s="3">
        <f>5*(3600/H471)</f>
        <v>81.818181818181813</v>
      </c>
      <c r="J471" s="16">
        <f t="shared" si="14"/>
        <v>0</v>
      </c>
      <c r="K471" s="17">
        <f t="shared" si="15"/>
        <v>16</v>
      </c>
    </row>
    <row r="472" spans="1:11" x14ac:dyDescent="0.25">
      <c r="A472" s="4" t="s">
        <v>71</v>
      </c>
      <c r="B472" s="1">
        <v>0.69348799999999999</v>
      </c>
      <c r="C472" s="1">
        <v>0.69093599999999999</v>
      </c>
      <c r="D472" s="1">
        <f>IF(B472&gt;C472,B472-C472,C472-B472)</f>
        <v>2.5519999999999987E-3</v>
      </c>
      <c r="E472">
        <f>MINUTE(D472)</f>
        <v>3</v>
      </c>
      <c r="F472">
        <f>SECOND(D472)</f>
        <v>40</v>
      </c>
      <c r="G472">
        <f>ROUND(E472+F472/60,2)</f>
        <v>3.67</v>
      </c>
      <c r="H472">
        <f>60*E472+F472</f>
        <v>220</v>
      </c>
      <c r="I472" s="3">
        <f>5*(3600/H472)</f>
        <v>81.818181818181813</v>
      </c>
      <c r="J472" s="16">
        <f t="shared" si="14"/>
        <v>0</v>
      </c>
      <c r="K472" s="17">
        <f t="shared" si="15"/>
        <v>16</v>
      </c>
    </row>
    <row r="473" spans="1:11" x14ac:dyDescent="0.25">
      <c r="A473" s="4" t="s">
        <v>206</v>
      </c>
      <c r="B473" s="1">
        <v>0.65591200000000005</v>
      </c>
      <c r="C473" s="1">
        <v>0.65336000000000005</v>
      </c>
      <c r="D473" s="1">
        <f>IF(B473&gt;C473,B473-C473,C473-B473)</f>
        <v>2.5519999999999987E-3</v>
      </c>
      <c r="E473">
        <f>MINUTE(D473)</f>
        <v>3</v>
      </c>
      <c r="F473">
        <f>SECOND(D473)</f>
        <v>40</v>
      </c>
      <c r="G473">
        <f>ROUND(E473+F473/60,2)</f>
        <v>3.67</v>
      </c>
      <c r="H473">
        <f>60*E473+F473</f>
        <v>220</v>
      </c>
      <c r="I473" s="3">
        <f>5*(3600/H473)</f>
        <v>81.818181818181813</v>
      </c>
      <c r="J473" s="16">
        <f t="shared" si="14"/>
        <v>0</v>
      </c>
      <c r="K473" s="17">
        <f t="shared" si="15"/>
        <v>15</v>
      </c>
    </row>
    <row r="474" spans="1:11" x14ac:dyDescent="0.25">
      <c r="A474" s="4" t="s">
        <v>95</v>
      </c>
      <c r="B474" s="1">
        <v>0.75181399999999998</v>
      </c>
      <c r="C474" s="1">
        <v>0.74925399999999998</v>
      </c>
      <c r="D474" s="1">
        <f>IF(B474&gt;C474,B474-C474,C474-B474)</f>
        <v>2.5600000000000067E-3</v>
      </c>
      <c r="E474">
        <f>MINUTE(D474)</f>
        <v>3</v>
      </c>
      <c r="F474">
        <f>SECOND(D474)</f>
        <v>41</v>
      </c>
      <c r="G474">
        <f>ROUND(E474+F474/60,2)</f>
        <v>3.68</v>
      </c>
      <c r="H474">
        <f>60*E474+F474</f>
        <v>221</v>
      </c>
      <c r="I474" s="3">
        <f>5*(3600/H474)</f>
        <v>81.447963800904972</v>
      </c>
      <c r="J474" s="16">
        <f t="shared" si="14"/>
        <v>0</v>
      </c>
      <c r="K474" s="17">
        <f t="shared" si="15"/>
        <v>18</v>
      </c>
    </row>
    <row r="475" spans="1:11" x14ac:dyDescent="0.25">
      <c r="A475" s="4" t="s">
        <v>75</v>
      </c>
      <c r="B475" s="1">
        <v>0.294576</v>
      </c>
      <c r="C475" s="1">
        <v>0.292016</v>
      </c>
      <c r="D475" s="1">
        <f>IF(B475&gt;C475,B475-C475,C475-B475)</f>
        <v>2.5600000000000067E-3</v>
      </c>
      <c r="E475">
        <f>MINUTE(D475)</f>
        <v>3</v>
      </c>
      <c r="F475">
        <f>SECOND(D475)</f>
        <v>41</v>
      </c>
      <c r="G475">
        <f>ROUND(E475+F475/60,2)</f>
        <v>3.68</v>
      </c>
      <c r="H475">
        <f>60*E475+F475</f>
        <v>221</v>
      </c>
      <c r="I475" s="3">
        <f>5*(3600/H475)</f>
        <v>81.447963800904972</v>
      </c>
      <c r="J475" s="16">
        <f t="shared" si="14"/>
        <v>0</v>
      </c>
      <c r="K475" s="17">
        <f t="shared" si="15"/>
        <v>7</v>
      </c>
    </row>
    <row r="476" spans="1:11" x14ac:dyDescent="0.25">
      <c r="A476" s="4" t="s">
        <v>41</v>
      </c>
      <c r="B476" s="1">
        <v>0.186281</v>
      </c>
      <c r="C476" s="1">
        <v>0.18371299999999999</v>
      </c>
      <c r="D476" s="1">
        <f>IF(B476&gt;C476,B476-C476,C476-B476)</f>
        <v>2.5680000000000147E-3</v>
      </c>
      <c r="E476">
        <f>MINUTE(D476)</f>
        <v>3</v>
      </c>
      <c r="F476">
        <f>SECOND(D476)</f>
        <v>42</v>
      </c>
      <c r="G476">
        <f>ROUND(E476+F476/60,2)</f>
        <v>3.7</v>
      </c>
      <c r="H476">
        <f>60*E476+F476</f>
        <v>222</v>
      </c>
      <c r="I476" s="3">
        <f>5*(3600/H476)</f>
        <v>81.081081081081095</v>
      </c>
      <c r="J476" s="16">
        <f t="shared" si="14"/>
        <v>0</v>
      </c>
      <c r="K476" s="17">
        <f t="shared" si="15"/>
        <v>4</v>
      </c>
    </row>
    <row r="477" spans="1:11" x14ac:dyDescent="0.25">
      <c r="A477" s="4" t="s">
        <v>131</v>
      </c>
      <c r="B477" s="1">
        <v>5.3295000000000002E-2</v>
      </c>
      <c r="C477" s="1">
        <v>5.0727000000000001E-2</v>
      </c>
      <c r="D477" s="1">
        <f>IF(B477&gt;C477,B477-C477,C477-B477)</f>
        <v>2.5680000000000008E-3</v>
      </c>
      <c r="E477">
        <f>MINUTE(D477)</f>
        <v>3</v>
      </c>
      <c r="F477">
        <f>SECOND(D477)</f>
        <v>42</v>
      </c>
      <c r="G477">
        <f>ROUND(E477+F477/60,2)</f>
        <v>3.7</v>
      </c>
      <c r="H477">
        <f>60*E477+F477</f>
        <v>222</v>
      </c>
      <c r="I477" s="3">
        <f>5*(3600/H477)</f>
        <v>81.081081081081095</v>
      </c>
      <c r="J477" s="16">
        <f t="shared" si="14"/>
        <v>0</v>
      </c>
      <c r="K477" s="17">
        <f t="shared" si="15"/>
        <v>1</v>
      </c>
    </row>
    <row r="478" spans="1:11" x14ac:dyDescent="0.25">
      <c r="A478" s="4" t="s">
        <v>38</v>
      </c>
      <c r="B478" s="1">
        <v>0.72344799999999998</v>
      </c>
      <c r="C478" s="1">
        <v>0.72086399999999995</v>
      </c>
      <c r="D478" s="1">
        <f>IF(B478&gt;C478,B478-C478,C478-B478)</f>
        <v>2.5840000000000307E-3</v>
      </c>
      <c r="E478">
        <f>MINUTE(D478)</f>
        <v>3</v>
      </c>
      <c r="F478">
        <f>SECOND(D478)</f>
        <v>43</v>
      </c>
      <c r="G478">
        <f>ROUND(E478+F478/60,2)</f>
        <v>3.72</v>
      </c>
      <c r="H478">
        <f>60*E478+F478</f>
        <v>223</v>
      </c>
      <c r="I478" s="3">
        <f>5*(3600/H478)</f>
        <v>80.717488789237677</v>
      </c>
      <c r="J478" s="16">
        <f t="shared" si="14"/>
        <v>0</v>
      </c>
      <c r="K478" s="17">
        <f t="shared" si="15"/>
        <v>17</v>
      </c>
    </row>
    <row r="479" spans="1:11" x14ac:dyDescent="0.25">
      <c r="A479" s="4" t="s">
        <v>13</v>
      </c>
      <c r="B479" s="1">
        <v>0.20627400000000001</v>
      </c>
      <c r="C479" s="1">
        <v>0.20369799999999999</v>
      </c>
      <c r="D479" s="1">
        <f>IF(B479&gt;C479,B479-C479,C479-B479)</f>
        <v>2.5760000000000227E-3</v>
      </c>
      <c r="E479">
        <f>MINUTE(D479)</f>
        <v>3</v>
      </c>
      <c r="F479">
        <f>SECOND(D479)</f>
        <v>43</v>
      </c>
      <c r="G479">
        <f>ROUND(E479+F479/60,2)</f>
        <v>3.72</v>
      </c>
      <c r="H479">
        <f>60*E479+F479</f>
        <v>223</v>
      </c>
      <c r="I479" s="3">
        <f>5*(3600/H479)</f>
        <v>80.717488789237677</v>
      </c>
      <c r="J479" s="16">
        <f t="shared" si="14"/>
        <v>0</v>
      </c>
      <c r="K479" s="17">
        <f t="shared" si="15"/>
        <v>4</v>
      </c>
    </row>
    <row r="480" spans="1:11" x14ac:dyDescent="0.25">
      <c r="A480" s="4" t="s">
        <v>27</v>
      </c>
      <c r="B480" s="1">
        <v>0.15427399999999999</v>
      </c>
      <c r="C480" s="1">
        <v>0.151698</v>
      </c>
      <c r="D480" s="1">
        <f>IF(B480&gt;C480,B480-C480,C480-B480)</f>
        <v>2.575999999999995E-3</v>
      </c>
      <c r="E480">
        <f>MINUTE(D480)</f>
        <v>3</v>
      </c>
      <c r="F480">
        <f>SECOND(D480)</f>
        <v>43</v>
      </c>
      <c r="G480">
        <f>ROUND(E480+F480/60,2)</f>
        <v>3.72</v>
      </c>
      <c r="H480">
        <f>60*E480+F480</f>
        <v>223</v>
      </c>
      <c r="I480" s="3">
        <f>5*(3600/H480)</f>
        <v>80.717488789237677</v>
      </c>
      <c r="J480" s="16">
        <f t="shared" si="14"/>
        <v>0</v>
      </c>
      <c r="K480" s="17">
        <f t="shared" si="15"/>
        <v>3</v>
      </c>
    </row>
    <row r="481" spans="1:11" x14ac:dyDescent="0.25">
      <c r="A481" s="4" t="s">
        <v>261</v>
      </c>
      <c r="B481" s="1">
        <v>0.34346399999999999</v>
      </c>
      <c r="C481" s="1">
        <v>0.34604400000000002</v>
      </c>
      <c r="D481" s="1">
        <f>IF(B481&gt;C481,B481-C481,C481-B481)</f>
        <v>2.5800000000000267E-3</v>
      </c>
      <c r="E481">
        <f>MINUTE(D481)</f>
        <v>3</v>
      </c>
      <c r="F481">
        <f>SECOND(D481)</f>
        <v>43</v>
      </c>
      <c r="G481">
        <f>ROUND(E481+F481/60,2)</f>
        <v>3.72</v>
      </c>
      <c r="H481">
        <f>60*E481+F481</f>
        <v>223</v>
      </c>
      <c r="I481" s="3">
        <f>5*(3600/H481)</f>
        <v>80.717488789237677</v>
      </c>
      <c r="J481" s="16">
        <f t="shared" si="14"/>
        <v>0</v>
      </c>
      <c r="K481" s="17">
        <f t="shared" si="15"/>
        <v>8</v>
      </c>
    </row>
    <row r="482" spans="1:11" x14ac:dyDescent="0.25">
      <c r="A482" s="4" t="s">
        <v>427</v>
      </c>
      <c r="B482" s="1">
        <v>2.5694999999999999E-2</v>
      </c>
      <c r="C482" s="1">
        <v>2.3115E-2</v>
      </c>
      <c r="D482" s="1">
        <f>IF(B482&gt;C482,B482-C482,C482-B482)</f>
        <v>2.579999999999999E-3</v>
      </c>
      <c r="E482">
        <f>MINUTE(D482)</f>
        <v>3</v>
      </c>
      <c r="F482">
        <f>SECOND(D482)</f>
        <v>43</v>
      </c>
      <c r="G482">
        <f>ROUND(E482+F482/60,2)</f>
        <v>3.72</v>
      </c>
      <c r="H482">
        <f>60*E482+F482</f>
        <v>223</v>
      </c>
      <c r="I482" s="3">
        <f>5*(3600/H482)</f>
        <v>80.717488789237677</v>
      </c>
      <c r="J482" s="16">
        <f t="shared" si="14"/>
        <v>0</v>
      </c>
      <c r="K482" s="17">
        <f t="shared" si="15"/>
        <v>0</v>
      </c>
    </row>
    <row r="483" spans="1:11" x14ac:dyDescent="0.25">
      <c r="A483" s="4" t="s">
        <v>71</v>
      </c>
      <c r="B483" s="1">
        <v>0.61365199999999998</v>
      </c>
      <c r="C483" s="1">
        <v>0.61106000000000005</v>
      </c>
      <c r="D483" s="1">
        <f>IF(B483&gt;C483,B483-C483,C483-B483)</f>
        <v>2.5919999999999277E-3</v>
      </c>
      <c r="E483">
        <f>MINUTE(D483)</f>
        <v>3</v>
      </c>
      <c r="F483">
        <f>SECOND(D483)</f>
        <v>44</v>
      </c>
      <c r="G483">
        <f>ROUND(E483+F483/60,2)</f>
        <v>3.73</v>
      </c>
      <c r="H483">
        <f>60*E483+F483</f>
        <v>224</v>
      </c>
      <c r="I483" s="3">
        <f>5*(3600/H483)</f>
        <v>80.357142857142861</v>
      </c>
      <c r="J483" s="16">
        <f t="shared" si="14"/>
        <v>0</v>
      </c>
      <c r="K483" s="17">
        <f t="shared" si="15"/>
        <v>14</v>
      </c>
    </row>
    <row r="484" spans="1:11" x14ac:dyDescent="0.25">
      <c r="A484" s="4" t="s">
        <v>127</v>
      </c>
      <c r="B484" s="1">
        <v>0.74746999999999997</v>
      </c>
      <c r="C484" s="1">
        <v>0.74487400000000004</v>
      </c>
      <c r="D484" s="1">
        <f>IF(B484&gt;C484,B484-C484,C484-B484)</f>
        <v>2.5959999999999317E-3</v>
      </c>
      <c r="E484">
        <f>MINUTE(D484)</f>
        <v>3</v>
      </c>
      <c r="F484">
        <f>SECOND(D484)</f>
        <v>44</v>
      </c>
      <c r="G484">
        <f>ROUND(E484+F484/60,2)</f>
        <v>3.73</v>
      </c>
      <c r="H484">
        <f>60*E484+F484</f>
        <v>224</v>
      </c>
      <c r="I484" s="3">
        <f>5*(3600/H484)</f>
        <v>80.357142857142861</v>
      </c>
      <c r="J484" s="16">
        <f t="shared" si="14"/>
        <v>0</v>
      </c>
      <c r="K484" s="17">
        <f t="shared" si="15"/>
        <v>17</v>
      </c>
    </row>
    <row r="485" spans="1:11" x14ac:dyDescent="0.25">
      <c r="A485" s="4" t="s">
        <v>148</v>
      </c>
      <c r="B485" s="1">
        <v>0.924647</v>
      </c>
      <c r="C485" s="1">
        <v>0.92724300000000004</v>
      </c>
      <c r="D485" s="1">
        <f>IF(B485&gt;C485,B485-C485,C485-B485)</f>
        <v>2.5960000000000427E-3</v>
      </c>
      <c r="E485">
        <f>MINUTE(D485)</f>
        <v>3</v>
      </c>
      <c r="F485">
        <f>SECOND(D485)</f>
        <v>44</v>
      </c>
      <c r="G485">
        <f>ROUND(E485+F485/60,2)</f>
        <v>3.73</v>
      </c>
      <c r="H485">
        <f>60*E485+F485</f>
        <v>224</v>
      </c>
      <c r="I485" s="3">
        <f>5*(3600/H485)</f>
        <v>80.357142857142861</v>
      </c>
      <c r="J485" s="16">
        <f t="shared" si="14"/>
        <v>0</v>
      </c>
      <c r="K485" s="17">
        <f t="shared" si="15"/>
        <v>22</v>
      </c>
    </row>
    <row r="486" spans="1:11" x14ac:dyDescent="0.25">
      <c r="A486" s="4" t="s">
        <v>162</v>
      </c>
      <c r="B486" s="1">
        <v>0.72762800000000005</v>
      </c>
      <c r="C486" s="1">
        <v>0.73021999999999998</v>
      </c>
      <c r="D486" s="1">
        <f>IF(B486&gt;C486,B486-C486,C486-B486)</f>
        <v>2.5919999999999277E-3</v>
      </c>
      <c r="E486">
        <f>MINUTE(D486)</f>
        <v>3</v>
      </c>
      <c r="F486">
        <f>SECOND(D486)</f>
        <v>44</v>
      </c>
      <c r="G486">
        <f>ROUND(E486+F486/60,2)</f>
        <v>3.73</v>
      </c>
      <c r="H486">
        <f>60*E486+F486</f>
        <v>224</v>
      </c>
      <c r="I486" s="3">
        <f>5*(3600/H486)</f>
        <v>80.357142857142861</v>
      </c>
      <c r="J486" s="16">
        <f t="shared" si="14"/>
        <v>0</v>
      </c>
      <c r="K486" s="17">
        <f t="shared" si="15"/>
        <v>17</v>
      </c>
    </row>
    <row r="487" spans="1:11" x14ac:dyDescent="0.25">
      <c r="A487" s="4" t="s">
        <v>160</v>
      </c>
      <c r="B487" s="1">
        <v>1.9332999999999999E-2</v>
      </c>
      <c r="C487" s="1">
        <v>1.6733000000000001E-2</v>
      </c>
      <c r="D487" s="1">
        <f>IF(B487&gt;C487,B487-C487,C487-B487)</f>
        <v>2.5999999999999981E-3</v>
      </c>
      <c r="E487">
        <f>MINUTE(D487)</f>
        <v>3</v>
      </c>
      <c r="F487">
        <f>SECOND(D487)</f>
        <v>45</v>
      </c>
      <c r="G487">
        <f>ROUND(E487+F487/60,2)</f>
        <v>3.75</v>
      </c>
      <c r="H487">
        <f>60*E487+F487</f>
        <v>225</v>
      </c>
      <c r="I487" s="3">
        <f>5*(3600/H487)</f>
        <v>80</v>
      </c>
      <c r="J487" s="16">
        <f t="shared" si="14"/>
        <v>0</v>
      </c>
      <c r="K487" s="17">
        <f t="shared" si="15"/>
        <v>0</v>
      </c>
    </row>
    <row r="488" spans="1:11" x14ac:dyDescent="0.25">
      <c r="A488" s="4" t="s">
        <v>60</v>
      </c>
      <c r="B488" s="1">
        <v>0.97160000000000002</v>
      </c>
      <c r="C488" s="1">
        <v>0.96899999999999997</v>
      </c>
      <c r="D488" s="1">
        <f>IF(B488&gt;C488,B488-C488,C488-B488)</f>
        <v>2.6000000000000467E-3</v>
      </c>
      <c r="E488">
        <f>MINUTE(D488)</f>
        <v>3</v>
      </c>
      <c r="F488">
        <f>SECOND(D488)</f>
        <v>45</v>
      </c>
      <c r="G488">
        <f>ROUND(E488+F488/60,2)</f>
        <v>3.75</v>
      </c>
      <c r="H488">
        <f>60*E488+F488</f>
        <v>225</v>
      </c>
      <c r="I488" s="3">
        <f>5*(3600/H488)</f>
        <v>80</v>
      </c>
      <c r="J488" s="16">
        <f t="shared" si="14"/>
        <v>0</v>
      </c>
      <c r="K488" s="17">
        <f t="shared" si="15"/>
        <v>23</v>
      </c>
    </row>
    <row r="489" spans="1:11" x14ac:dyDescent="0.25">
      <c r="A489" s="4" t="s">
        <v>81</v>
      </c>
      <c r="B489" s="1">
        <v>0.83649600000000002</v>
      </c>
      <c r="C489" s="1">
        <v>0.83909599999999995</v>
      </c>
      <c r="D489" s="1">
        <f>IF(B489&gt;C489,B489-C489,C489-B489)</f>
        <v>2.5999999999999357E-3</v>
      </c>
      <c r="E489">
        <f>MINUTE(D489)</f>
        <v>3</v>
      </c>
      <c r="F489">
        <f>SECOND(D489)</f>
        <v>45</v>
      </c>
      <c r="G489">
        <f>ROUND(E489+F489/60,2)</f>
        <v>3.75</v>
      </c>
      <c r="H489">
        <f>60*E489+F489</f>
        <v>225</v>
      </c>
      <c r="I489" s="3">
        <f>5*(3600/H489)</f>
        <v>80</v>
      </c>
      <c r="J489" s="16">
        <f t="shared" si="14"/>
        <v>0</v>
      </c>
      <c r="K489" s="17">
        <f t="shared" si="15"/>
        <v>20</v>
      </c>
    </row>
    <row r="490" spans="1:11" x14ac:dyDescent="0.25">
      <c r="A490" s="4" t="s">
        <v>121</v>
      </c>
      <c r="B490" s="1">
        <v>0.49061199999999999</v>
      </c>
      <c r="C490" s="1">
        <v>0.48800399999999999</v>
      </c>
      <c r="D490" s="1">
        <f>IF(B490&gt;C490,B490-C490,C490-B490)</f>
        <v>2.6079999999999992E-3</v>
      </c>
      <c r="E490">
        <f>MINUTE(D490)</f>
        <v>3</v>
      </c>
      <c r="F490">
        <f>SECOND(D490)</f>
        <v>45</v>
      </c>
      <c r="G490">
        <f>ROUND(E490+F490/60,2)</f>
        <v>3.75</v>
      </c>
      <c r="H490">
        <f>60*E490+F490</f>
        <v>225</v>
      </c>
      <c r="I490" s="3">
        <f>5*(3600/H490)</f>
        <v>80</v>
      </c>
      <c r="J490" s="16">
        <f t="shared" si="14"/>
        <v>0</v>
      </c>
      <c r="K490" s="17">
        <f t="shared" si="15"/>
        <v>11</v>
      </c>
    </row>
    <row r="491" spans="1:11" x14ac:dyDescent="0.25">
      <c r="A491" s="4" t="s">
        <v>72</v>
      </c>
      <c r="B491" s="1">
        <v>0.40520400000000001</v>
      </c>
      <c r="C491" s="1">
        <v>0.40260400000000002</v>
      </c>
      <c r="D491" s="1">
        <f>IF(B491&gt;C491,B491-C491,C491-B491)</f>
        <v>2.5999999999999912E-3</v>
      </c>
      <c r="E491">
        <f>MINUTE(D491)</f>
        <v>3</v>
      </c>
      <c r="F491">
        <f>SECOND(D491)</f>
        <v>45</v>
      </c>
      <c r="G491">
        <f>ROUND(E491+F491/60,2)</f>
        <v>3.75</v>
      </c>
      <c r="H491">
        <f>60*E491+F491</f>
        <v>225</v>
      </c>
      <c r="I491" s="3">
        <f>5*(3600/H491)</f>
        <v>80</v>
      </c>
      <c r="J491" s="16">
        <f t="shared" si="14"/>
        <v>0</v>
      </c>
      <c r="K491" s="17">
        <f t="shared" si="15"/>
        <v>9</v>
      </c>
    </row>
    <row r="492" spans="1:11" x14ac:dyDescent="0.25">
      <c r="A492" s="4" t="s">
        <v>428</v>
      </c>
      <c r="B492" s="1">
        <v>0.66373000000000004</v>
      </c>
      <c r="C492" s="1">
        <v>0.66111399999999998</v>
      </c>
      <c r="D492" s="1">
        <f>IF(B492&gt;C492,B492-C492,C492-B492)</f>
        <v>2.6160000000000627E-3</v>
      </c>
      <c r="E492">
        <f>MINUTE(D492)</f>
        <v>3</v>
      </c>
      <c r="F492">
        <f>SECOND(D492)</f>
        <v>46</v>
      </c>
      <c r="G492">
        <f>ROUND(E492+F492/60,2)</f>
        <v>3.77</v>
      </c>
      <c r="H492">
        <f>60*E492+F492</f>
        <v>226</v>
      </c>
      <c r="I492" s="3">
        <f>5*(3600/H492)</f>
        <v>79.646017699115049</v>
      </c>
      <c r="J492" s="16">
        <f t="shared" si="14"/>
        <v>0</v>
      </c>
      <c r="K492" s="17">
        <f t="shared" si="15"/>
        <v>15</v>
      </c>
    </row>
    <row r="493" spans="1:11" x14ac:dyDescent="0.25">
      <c r="A493" s="4" t="s">
        <v>122</v>
      </c>
      <c r="B493" s="1">
        <v>0.22853000000000001</v>
      </c>
      <c r="C493" s="1">
        <v>0.23114999999999999</v>
      </c>
      <c r="D493" s="1">
        <f>IF(B493&gt;C493,B493-C493,C493-B493)</f>
        <v>2.6199999999999835E-3</v>
      </c>
      <c r="E493">
        <f>MINUTE(D493)</f>
        <v>3</v>
      </c>
      <c r="F493">
        <f>SECOND(D493)</f>
        <v>46</v>
      </c>
      <c r="G493">
        <f>ROUND(E493+F493/60,2)</f>
        <v>3.77</v>
      </c>
      <c r="H493">
        <f>60*E493+F493</f>
        <v>226</v>
      </c>
      <c r="I493" s="3">
        <f>5*(3600/H493)</f>
        <v>79.646017699115049</v>
      </c>
      <c r="J493" s="16">
        <f t="shared" si="14"/>
        <v>0</v>
      </c>
      <c r="K493" s="17">
        <f t="shared" si="15"/>
        <v>5</v>
      </c>
    </row>
    <row r="494" spans="1:11" x14ac:dyDescent="0.25">
      <c r="A494" s="4" t="s">
        <v>235</v>
      </c>
      <c r="B494" s="1">
        <v>0.24182600000000001</v>
      </c>
      <c r="C494" s="1">
        <v>0.23921000000000001</v>
      </c>
      <c r="D494" s="1">
        <f>IF(B494&gt;C494,B494-C494,C494-B494)</f>
        <v>2.6160000000000072E-3</v>
      </c>
      <c r="E494">
        <f>MINUTE(D494)</f>
        <v>3</v>
      </c>
      <c r="F494">
        <f>SECOND(D494)</f>
        <v>46</v>
      </c>
      <c r="G494">
        <f>ROUND(E494+F494/60,2)</f>
        <v>3.77</v>
      </c>
      <c r="H494">
        <f>60*E494+F494</f>
        <v>226</v>
      </c>
      <c r="I494" s="3">
        <f>5*(3600/H494)</f>
        <v>79.646017699115049</v>
      </c>
      <c r="J494" s="16">
        <f t="shared" si="14"/>
        <v>0</v>
      </c>
      <c r="K494" s="17">
        <f t="shared" si="15"/>
        <v>5</v>
      </c>
    </row>
    <row r="495" spans="1:11" x14ac:dyDescent="0.25">
      <c r="A495" s="4" t="s">
        <v>356</v>
      </c>
      <c r="B495" s="1">
        <v>0.14568999999999999</v>
      </c>
      <c r="C495" s="1">
        <v>0.14307400000000001</v>
      </c>
      <c r="D495" s="1">
        <f>IF(B495&gt;C495,B495-C495,C495-B495)</f>
        <v>2.6159999999999795E-3</v>
      </c>
      <c r="E495">
        <f>MINUTE(D495)</f>
        <v>3</v>
      </c>
      <c r="F495">
        <f>SECOND(D495)</f>
        <v>46</v>
      </c>
      <c r="G495">
        <f>ROUND(E495+F495/60,2)</f>
        <v>3.77</v>
      </c>
      <c r="H495">
        <f>60*E495+F495</f>
        <v>226</v>
      </c>
      <c r="I495" s="3">
        <f>5*(3600/H495)</f>
        <v>79.646017699115049</v>
      </c>
      <c r="J495" s="16">
        <f t="shared" si="14"/>
        <v>0</v>
      </c>
      <c r="K495" s="17">
        <f t="shared" si="15"/>
        <v>3</v>
      </c>
    </row>
    <row r="496" spans="1:11" x14ac:dyDescent="0.25">
      <c r="A496" s="4" t="s">
        <v>366</v>
      </c>
      <c r="B496" s="1">
        <v>0.64231899999999997</v>
      </c>
      <c r="C496" s="1">
        <v>0.64493900000000004</v>
      </c>
      <c r="D496" s="1">
        <f>IF(B496&gt;C496,B496-C496,C496-B496)</f>
        <v>2.6200000000000667E-3</v>
      </c>
      <c r="E496">
        <f>MINUTE(D496)</f>
        <v>3</v>
      </c>
      <c r="F496">
        <f>SECOND(D496)</f>
        <v>46</v>
      </c>
      <c r="G496">
        <f>ROUND(E496+F496/60,2)</f>
        <v>3.77</v>
      </c>
      <c r="H496">
        <f>60*E496+F496</f>
        <v>226</v>
      </c>
      <c r="I496" s="3">
        <f>5*(3600/H496)</f>
        <v>79.646017699115049</v>
      </c>
      <c r="J496" s="16">
        <f t="shared" si="14"/>
        <v>0</v>
      </c>
      <c r="K496" s="17">
        <f t="shared" si="15"/>
        <v>15</v>
      </c>
    </row>
    <row r="497" spans="1:11" x14ac:dyDescent="0.25">
      <c r="A497" s="4" t="s">
        <v>376</v>
      </c>
      <c r="B497" s="1">
        <v>0.74587599999999998</v>
      </c>
      <c r="C497" s="1">
        <v>0.74849200000000005</v>
      </c>
      <c r="D497" s="1">
        <f>IF(B497&gt;C497,B497-C497,C497-B497)</f>
        <v>2.6160000000000627E-3</v>
      </c>
      <c r="E497">
        <f>MINUTE(D497)</f>
        <v>3</v>
      </c>
      <c r="F497">
        <f>SECOND(D497)</f>
        <v>46</v>
      </c>
      <c r="G497">
        <f>ROUND(E497+F497/60,2)</f>
        <v>3.77</v>
      </c>
      <c r="H497">
        <f>60*E497+F497</f>
        <v>226</v>
      </c>
      <c r="I497" s="3">
        <f>5*(3600/H497)</f>
        <v>79.646017699115049</v>
      </c>
      <c r="J497" s="16">
        <f t="shared" si="14"/>
        <v>0</v>
      </c>
      <c r="K497" s="17">
        <f t="shared" si="15"/>
        <v>17</v>
      </c>
    </row>
    <row r="498" spans="1:11" x14ac:dyDescent="0.25">
      <c r="A498" s="4" t="s">
        <v>147</v>
      </c>
      <c r="B498" s="1">
        <v>0.96590299999999996</v>
      </c>
      <c r="C498" s="1">
        <v>0.96327499999999999</v>
      </c>
      <c r="D498" s="1">
        <f>IF(B498&gt;C498,B498-C498,C498-B498)</f>
        <v>2.6279999999999637E-3</v>
      </c>
      <c r="E498">
        <f>MINUTE(D498)</f>
        <v>3</v>
      </c>
      <c r="F498">
        <f>SECOND(D498)</f>
        <v>47</v>
      </c>
      <c r="G498">
        <f>ROUND(E498+F498/60,2)</f>
        <v>3.78</v>
      </c>
      <c r="H498">
        <f>60*E498+F498</f>
        <v>227</v>
      </c>
      <c r="I498" s="3">
        <f>5*(3600/H498)</f>
        <v>79.295154185022028</v>
      </c>
      <c r="J498" s="16">
        <f t="shared" si="14"/>
        <v>0</v>
      </c>
      <c r="K498" s="17">
        <f t="shared" si="15"/>
        <v>23</v>
      </c>
    </row>
    <row r="499" spans="1:11" x14ac:dyDescent="0.25">
      <c r="A499" s="4" t="s">
        <v>166</v>
      </c>
      <c r="B499" s="1">
        <v>0.30390899999999998</v>
      </c>
      <c r="C499" s="1">
        <v>0.30128100000000002</v>
      </c>
      <c r="D499" s="1">
        <f>IF(B499&gt;C499,B499-C499,C499-B499)</f>
        <v>2.6279999999999637E-3</v>
      </c>
      <c r="E499">
        <f>MINUTE(D499)</f>
        <v>3</v>
      </c>
      <c r="F499">
        <f>SECOND(D499)</f>
        <v>47</v>
      </c>
      <c r="G499">
        <f>ROUND(E499+F499/60,2)</f>
        <v>3.78</v>
      </c>
      <c r="H499">
        <f>60*E499+F499</f>
        <v>227</v>
      </c>
      <c r="I499" s="3">
        <f>5*(3600/H499)</f>
        <v>79.295154185022028</v>
      </c>
      <c r="J499" s="16">
        <f t="shared" si="14"/>
        <v>0</v>
      </c>
      <c r="K499" s="17">
        <f t="shared" si="15"/>
        <v>7</v>
      </c>
    </row>
    <row r="500" spans="1:11" x14ac:dyDescent="0.25">
      <c r="A500" s="4" t="s">
        <v>255</v>
      </c>
      <c r="B500" s="1">
        <v>0.25523400000000002</v>
      </c>
      <c r="C500" s="1">
        <v>0.25786199999999998</v>
      </c>
      <c r="D500" s="1">
        <f>IF(B500&gt;C500,B500-C500,C500-B500)</f>
        <v>2.6279999999999637E-3</v>
      </c>
      <c r="E500">
        <f>MINUTE(D500)</f>
        <v>3</v>
      </c>
      <c r="F500">
        <f>SECOND(D500)</f>
        <v>47</v>
      </c>
      <c r="G500">
        <f>ROUND(E500+F500/60,2)</f>
        <v>3.78</v>
      </c>
      <c r="H500">
        <f>60*E500+F500</f>
        <v>227</v>
      </c>
      <c r="I500" s="3">
        <f>5*(3600/H500)</f>
        <v>79.295154185022028</v>
      </c>
      <c r="J500" s="16">
        <f t="shared" si="14"/>
        <v>0</v>
      </c>
      <c r="K500" s="17">
        <f t="shared" si="15"/>
        <v>6</v>
      </c>
    </row>
    <row r="501" spans="1:11" x14ac:dyDescent="0.25">
      <c r="A501" s="4" t="s">
        <v>403</v>
      </c>
      <c r="B501" s="1">
        <v>0.53043799999999997</v>
      </c>
      <c r="C501" s="1">
        <v>0.53306600000000004</v>
      </c>
      <c r="D501" s="1">
        <f>IF(B501&gt;C501,B501-C501,C501-B501)</f>
        <v>2.6280000000000747E-3</v>
      </c>
      <c r="E501">
        <f>MINUTE(D501)</f>
        <v>3</v>
      </c>
      <c r="F501">
        <f>SECOND(D501)</f>
        <v>47</v>
      </c>
      <c r="G501">
        <f>ROUND(E501+F501/60,2)</f>
        <v>3.78</v>
      </c>
      <c r="H501">
        <f>60*E501+F501</f>
        <v>227</v>
      </c>
      <c r="I501" s="3">
        <f>5*(3600/H501)</f>
        <v>79.295154185022028</v>
      </c>
      <c r="J501" s="16">
        <f t="shared" si="14"/>
        <v>0</v>
      </c>
      <c r="K501" s="17">
        <f t="shared" si="15"/>
        <v>12</v>
      </c>
    </row>
    <row r="502" spans="1:11" x14ac:dyDescent="0.25">
      <c r="A502" s="4" t="s">
        <v>113</v>
      </c>
      <c r="B502" s="1">
        <v>0.81435400000000002</v>
      </c>
      <c r="C502" s="1">
        <v>0.81171800000000005</v>
      </c>
      <c r="D502" s="1">
        <f>IF(B502&gt;C502,B502-C502,C502-B502)</f>
        <v>2.6359999999999717E-3</v>
      </c>
      <c r="E502">
        <f>MINUTE(D502)</f>
        <v>3</v>
      </c>
      <c r="F502">
        <f>SECOND(D502)</f>
        <v>48</v>
      </c>
      <c r="G502">
        <f>ROUND(E502+F502/60,2)</f>
        <v>3.8</v>
      </c>
      <c r="H502">
        <f>60*E502+F502</f>
        <v>228</v>
      </c>
      <c r="I502" s="3">
        <f>5*(3600/H502)</f>
        <v>78.94736842105263</v>
      </c>
      <c r="J502" s="16">
        <f t="shared" si="14"/>
        <v>0</v>
      </c>
      <c r="K502" s="17">
        <f t="shared" si="15"/>
        <v>19</v>
      </c>
    </row>
    <row r="503" spans="1:11" x14ac:dyDescent="0.25">
      <c r="A503" s="4" t="s">
        <v>83</v>
      </c>
      <c r="B503" s="1">
        <v>0.67313500000000004</v>
      </c>
      <c r="C503" s="1">
        <v>0.67577900000000002</v>
      </c>
      <c r="D503" s="1">
        <f>IF(B503&gt;C503,B503-C503,C503-B503)</f>
        <v>2.6439999999999797E-3</v>
      </c>
      <c r="E503">
        <f>MINUTE(D503)</f>
        <v>3</v>
      </c>
      <c r="F503">
        <f>SECOND(D503)</f>
        <v>48</v>
      </c>
      <c r="G503">
        <f>ROUND(E503+F503/60,2)</f>
        <v>3.8</v>
      </c>
      <c r="H503">
        <f>60*E503+F503</f>
        <v>228</v>
      </c>
      <c r="I503" s="3">
        <f>5*(3600/H503)</f>
        <v>78.94736842105263</v>
      </c>
      <c r="J503" s="16">
        <f t="shared" si="14"/>
        <v>0</v>
      </c>
      <c r="K503" s="17">
        <f t="shared" si="15"/>
        <v>16</v>
      </c>
    </row>
    <row r="504" spans="1:11" x14ac:dyDescent="0.25">
      <c r="A504" s="4" t="s">
        <v>61</v>
      </c>
      <c r="B504" s="1">
        <v>0.44656000000000001</v>
      </c>
      <c r="C504" s="1">
        <v>0.449212</v>
      </c>
      <c r="D504" s="1">
        <f>IF(B504&gt;C504,B504-C504,C504-B504)</f>
        <v>2.6519999999999877E-3</v>
      </c>
      <c r="E504">
        <f>MINUTE(D504)</f>
        <v>3</v>
      </c>
      <c r="F504">
        <f>SECOND(D504)</f>
        <v>49</v>
      </c>
      <c r="G504">
        <f>ROUND(E504+F504/60,2)</f>
        <v>3.82</v>
      </c>
      <c r="H504">
        <f>60*E504+F504</f>
        <v>229</v>
      </c>
      <c r="I504" s="3">
        <f>5*(3600/H504)</f>
        <v>78.602620087336248</v>
      </c>
      <c r="J504" s="16">
        <f t="shared" si="14"/>
        <v>0</v>
      </c>
      <c r="K504" s="17">
        <f t="shared" si="15"/>
        <v>10</v>
      </c>
    </row>
    <row r="505" spans="1:11" x14ac:dyDescent="0.25">
      <c r="A505" s="8" t="s">
        <v>169</v>
      </c>
      <c r="B505" s="1">
        <v>0.60565199999999997</v>
      </c>
      <c r="C505" s="1">
        <v>0.60829999999999995</v>
      </c>
      <c r="D505" s="1">
        <f>IF(B505&gt;C505,B505-C505,C505-B505)</f>
        <v>2.6479999999999837E-3</v>
      </c>
      <c r="E505">
        <f>MINUTE(D505)</f>
        <v>3</v>
      </c>
      <c r="F505">
        <f>SECOND(D505)</f>
        <v>49</v>
      </c>
      <c r="G505">
        <f>ROUND(E505+F505/60,2)</f>
        <v>3.82</v>
      </c>
      <c r="H505">
        <f>60*E505+F505</f>
        <v>229</v>
      </c>
      <c r="I505" s="10">
        <f>5*(3600/H505)</f>
        <v>78.602620087336248</v>
      </c>
      <c r="J505" s="16">
        <f t="shared" si="14"/>
        <v>0</v>
      </c>
      <c r="K505" s="17">
        <f t="shared" si="15"/>
        <v>14</v>
      </c>
    </row>
    <row r="506" spans="1:11" x14ac:dyDescent="0.25">
      <c r="A506" s="4" t="s">
        <v>12</v>
      </c>
      <c r="B506" s="1">
        <v>0.74244399999999999</v>
      </c>
      <c r="C506" s="1">
        <v>0.73979200000000001</v>
      </c>
      <c r="D506" s="1">
        <f>IF(B506&gt;C506,B506-C506,C506-B506)</f>
        <v>2.6519999999999877E-3</v>
      </c>
      <c r="E506">
        <f>MINUTE(D506)</f>
        <v>3</v>
      </c>
      <c r="F506">
        <f>SECOND(D506)</f>
        <v>49</v>
      </c>
      <c r="G506">
        <f>ROUND(E506+F506/60,2)</f>
        <v>3.82</v>
      </c>
      <c r="H506">
        <f>60*E506+F506</f>
        <v>229</v>
      </c>
      <c r="I506" s="3">
        <f>5*(3600/H506)</f>
        <v>78.602620087336248</v>
      </c>
      <c r="J506" s="16">
        <f t="shared" si="14"/>
        <v>0</v>
      </c>
      <c r="K506" s="17">
        <f t="shared" si="15"/>
        <v>17</v>
      </c>
    </row>
    <row r="507" spans="1:11" x14ac:dyDescent="0.25">
      <c r="A507" s="4" t="s">
        <v>47</v>
      </c>
      <c r="B507" s="1">
        <v>0.33376899999999998</v>
      </c>
      <c r="C507" s="1">
        <v>0.33111299999999999</v>
      </c>
      <c r="D507" s="1">
        <f>IF(B507&gt;C507,B507-C507,C507-B507)</f>
        <v>2.6559999999999917E-3</v>
      </c>
      <c r="E507">
        <f>MINUTE(D507)</f>
        <v>3</v>
      </c>
      <c r="F507">
        <f>SECOND(D507)</f>
        <v>49</v>
      </c>
      <c r="G507">
        <f>ROUND(E507+F507/60,2)</f>
        <v>3.82</v>
      </c>
      <c r="H507">
        <f>60*E507+F507</f>
        <v>229</v>
      </c>
      <c r="I507" s="3">
        <f>5*(3600/H507)</f>
        <v>78.602620087336248</v>
      </c>
      <c r="J507" s="16">
        <f t="shared" si="14"/>
        <v>0</v>
      </c>
      <c r="K507" s="17">
        <f t="shared" si="15"/>
        <v>8</v>
      </c>
    </row>
    <row r="508" spans="1:11" x14ac:dyDescent="0.25">
      <c r="A508" s="4" t="s">
        <v>334</v>
      </c>
      <c r="B508" s="1">
        <v>0.14686399999999999</v>
      </c>
      <c r="C508" s="1">
        <v>0.14951200000000001</v>
      </c>
      <c r="D508" s="1">
        <f>IF(B508&gt;C508,B508-C508,C508-B508)</f>
        <v>2.6480000000000115E-3</v>
      </c>
      <c r="E508">
        <f>MINUTE(D508)</f>
        <v>3</v>
      </c>
      <c r="F508">
        <f>SECOND(D508)</f>
        <v>49</v>
      </c>
      <c r="G508">
        <f>ROUND(E508+F508/60,2)</f>
        <v>3.82</v>
      </c>
      <c r="H508">
        <f>60*E508+F508</f>
        <v>229</v>
      </c>
      <c r="I508" s="3">
        <f>5*(3600/H508)</f>
        <v>78.602620087336248</v>
      </c>
      <c r="J508" s="16">
        <f t="shared" si="14"/>
        <v>0</v>
      </c>
      <c r="K508" s="17">
        <f t="shared" si="15"/>
        <v>3</v>
      </c>
    </row>
    <row r="509" spans="1:11" x14ac:dyDescent="0.25">
      <c r="A509" s="4" t="s">
        <v>41</v>
      </c>
      <c r="B509" s="1">
        <v>0.79450500000000002</v>
      </c>
      <c r="C509" s="1">
        <v>0.79184500000000002</v>
      </c>
      <c r="D509" s="1">
        <f>IF(B509&gt;C509,B509-C509,C509-B509)</f>
        <v>2.6599999999999957E-3</v>
      </c>
      <c r="E509">
        <f>MINUTE(D509)</f>
        <v>3</v>
      </c>
      <c r="F509">
        <f>SECOND(D509)</f>
        <v>50</v>
      </c>
      <c r="G509">
        <f>ROUND(E509+F509/60,2)</f>
        <v>3.83</v>
      </c>
      <c r="H509">
        <f>60*E509+F509</f>
        <v>230</v>
      </c>
      <c r="I509" s="3">
        <f>5*(3600/H509)</f>
        <v>78.260869565217391</v>
      </c>
      <c r="J509" s="16">
        <f t="shared" si="14"/>
        <v>0</v>
      </c>
      <c r="K509" s="17">
        <f t="shared" si="15"/>
        <v>19</v>
      </c>
    </row>
    <row r="510" spans="1:11" x14ac:dyDescent="0.25">
      <c r="A510" s="4" t="s">
        <v>15</v>
      </c>
      <c r="B510" s="1">
        <v>0.66593500000000005</v>
      </c>
      <c r="C510" s="1">
        <v>0.66326300000000005</v>
      </c>
      <c r="D510" s="1">
        <f>IF(B510&gt;C510,B510-C510,C510-B510)</f>
        <v>2.6720000000000077E-3</v>
      </c>
      <c r="E510">
        <f>MINUTE(D510)</f>
        <v>3</v>
      </c>
      <c r="F510">
        <f>SECOND(D510)</f>
        <v>51</v>
      </c>
      <c r="G510">
        <f>ROUND(E510+F510/60,2)</f>
        <v>3.85</v>
      </c>
      <c r="H510">
        <f>60*E510+F510</f>
        <v>231</v>
      </c>
      <c r="I510" s="3">
        <f>5*(3600/H510)</f>
        <v>77.922077922077918</v>
      </c>
      <c r="J510" s="16">
        <f t="shared" si="14"/>
        <v>0</v>
      </c>
      <c r="K510" s="17">
        <f t="shared" si="15"/>
        <v>15</v>
      </c>
    </row>
    <row r="511" spans="1:11" x14ac:dyDescent="0.25">
      <c r="A511" s="4" t="s">
        <v>32</v>
      </c>
      <c r="B511" s="1">
        <v>0.959372</v>
      </c>
      <c r="C511" s="1">
        <v>0.956704</v>
      </c>
      <c r="D511" s="1">
        <f>IF(B511&gt;C511,B511-C511,C511-B511)</f>
        <v>2.6680000000000037E-3</v>
      </c>
      <c r="E511">
        <f>MINUTE(D511)</f>
        <v>3</v>
      </c>
      <c r="F511">
        <f>SECOND(D511)</f>
        <v>51</v>
      </c>
      <c r="G511">
        <f>ROUND(E511+F511/60,2)</f>
        <v>3.85</v>
      </c>
      <c r="H511">
        <f>60*E511+F511</f>
        <v>231</v>
      </c>
      <c r="I511" s="3">
        <f>5*(3600/H511)</f>
        <v>77.922077922077918</v>
      </c>
      <c r="J511" s="16">
        <f t="shared" si="14"/>
        <v>0</v>
      </c>
      <c r="K511" s="17">
        <f t="shared" si="15"/>
        <v>23</v>
      </c>
    </row>
    <row r="512" spans="1:11" x14ac:dyDescent="0.25">
      <c r="A512" s="4" t="s">
        <v>53</v>
      </c>
      <c r="B512" s="1">
        <v>0.83620700000000003</v>
      </c>
      <c r="C512" s="1">
        <v>0.83887500000000004</v>
      </c>
      <c r="D512" s="1">
        <f>IF(B512&gt;C512,B512-C512,C512-B512)</f>
        <v>2.6680000000000037E-3</v>
      </c>
      <c r="E512">
        <f>MINUTE(D512)</f>
        <v>3</v>
      </c>
      <c r="F512">
        <f>SECOND(D512)</f>
        <v>51</v>
      </c>
      <c r="G512">
        <f>ROUND(E512+F512/60,2)</f>
        <v>3.85</v>
      </c>
      <c r="H512">
        <f>60*E512+F512</f>
        <v>231</v>
      </c>
      <c r="I512" s="3">
        <f>5*(3600/H512)</f>
        <v>77.922077922077918</v>
      </c>
      <c r="J512" s="16">
        <f t="shared" si="14"/>
        <v>0</v>
      </c>
      <c r="K512" s="17">
        <f t="shared" si="15"/>
        <v>20</v>
      </c>
    </row>
    <row r="513" spans="1:11" x14ac:dyDescent="0.25">
      <c r="A513" s="4" t="s">
        <v>90</v>
      </c>
      <c r="B513" s="1">
        <v>2.0478E-2</v>
      </c>
      <c r="C513" s="1">
        <v>1.7805999999999999E-2</v>
      </c>
      <c r="D513" s="1">
        <f>IF(B513&gt;C513,B513-C513,C513-B513)</f>
        <v>2.6720000000000008E-3</v>
      </c>
      <c r="E513">
        <f>MINUTE(D513)</f>
        <v>3</v>
      </c>
      <c r="F513">
        <f>SECOND(D513)</f>
        <v>51</v>
      </c>
      <c r="G513">
        <f>ROUND(E513+F513/60,2)</f>
        <v>3.85</v>
      </c>
      <c r="H513">
        <f>60*E513+F513</f>
        <v>231</v>
      </c>
      <c r="I513" s="3">
        <f>5*(3600/H513)</f>
        <v>77.922077922077918</v>
      </c>
      <c r="J513" s="16">
        <f t="shared" si="14"/>
        <v>0</v>
      </c>
      <c r="K513" s="17">
        <f t="shared" si="15"/>
        <v>0</v>
      </c>
    </row>
    <row r="514" spans="1:11" x14ac:dyDescent="0.25">
      <c r="A514" s="4" t="s">
        <v>74</v>
      </c>
      <c r="B514" s="1">
        <v>0.170068</v>
      </c>
      <c r="C514" s="1">
        <v>0.16739599999999999</v>
      </c>
      <c r="D514" s="1">
        <f>IF(B514&gt;C514,B514-C514,C514-B514)</f>
        <v>2.6720000000000077E-3</v>
      </c>
      <c r="E514">
        <f>MINUTE(D514)</f>
        <v>3</v>
      </c>
      <c r="F514">
        <f>SECOND(D514)</f>
        <v>51</v>
      </c>
      <c r="G514">
        <f>ROUND(E514+F514/60,2)</f>
        <v>3.85</v>
      </c>
      <c r="H514">
        <f>60*E514+F514</f>
        <v>231</v>
      </c>
      <c r="I514" s="3">
        <f>5*(3600/H514)</f>
        <v>77.922077922077918</v>
      </c>
      <c r="J514" s="16">
        <f t="shared" si="14"/>
        <v>0</v>
      </c>
      <c r="K514" s="17">
        <f t="shared" si="15"/>
        <v>4</v>
      </c>
    </row>
    <row r="515" spans="1:11" x14ac:dyDescent="0.25">
      <c r="A515" s="4" t="s">
        <v>47</v>
      </c>
      <c r="B515" s="1">
        <v>0.95486300000000002</v>
      </c>
      <c r="C515" s="1">
        <v>0.95218700000000001</v>
      </c>
      <c r="D515" s="1">
        <f>IF(B515&gt;C515,B515-C515,C515-B515)</f>
        <v>2.6760000000000117E-3</v>
      </c>
      <c r="E515">
        <f>MINUTE(D515)</f>
        <v>3</v>
      </c>
      <c r="F515">
        <f>SECOND(D515)</f>
        <v>51</v>
      </c>
      <c r="G515">
        <f>ROUND(E515+F515/60,2)</f>
        <v>3.85</v>
      </c>
      <c r="H515">
        <f>60*E515+F515</f>
        <v>231</v>
      </c>
      <c r="I515" s="3">
        <f>5*(3600/H515)</f>
        <v>77.922077922077918</v>
      </c>
      <c r="J515" s="16">
        <f t="shared" ref="J515:J578" si="16">IF(I515&gt;140,1,0)</f>
        <v>0</v>
      </c>
      <c r="K515" s="17">
        <f t="shared" ref="K515:K578" si="17">HOUR(B515)</f>
        <v>22</v>
      </c>
    </row>
    <row r="516" spans="1:11" x14ac:dyDescent="0.25">
      <c r="A516" s="4" t="s">
        <v>216</v>
      </c>
      <c r="B516" s="1">
        <v>0.21799099999999999</v>
      </c>
      <c r="C516" s="1">
        <v>0.21532299999999999</v>
      </c>
      <c r="D516" s="1">
        <f>IF(B516&gt;C516,B516-C516,C516-B516)</f>
        <v>2.6680000000000037E-3</v>
      </c>
      <c r="E516">
        <f>MINUTE(D516)</f>
        <v>3</v>
      </c>
      <c r="F516">
        <f>SECOND(D516)</f>
        <v>51</v>
      </c>
      <c r="G516">
        <f>ROUND(E516+F516/60,2)</f>
        <v>3.85</v>
      </c>
      <c r="H516">
        <f>60*E516+F516</f>
        <v>231</v>
      </c>
      <c r="I516" s="3">
        <f>5*(3600/H516)</f>
        <v>77.922077922077918</v>
      </c>
      <c r="J516" s="16">
        <f t="shared" si="16"/>
        <v>0</v>
      </c>
      <c r="K516" s="17">
        <f t="shared" si="17"/>
        <v>5</v>
      </c>
    </row>
    <row r="517" spans="1:11" x14ac:dyDescent="0.25">
      <c r="A517" s="4" t="s">
        <v>248</v>
      </c>
      <c r="B517" s="1">
        <v>0.27788099999999999</v>
      </c>
      <c r="C517" s="1">
        <v>0.280553</v>
      </c>
      <c r="D517" s="1">
        <f>IF(B517&gt;C517,B517-C517,C517-B517)</f>
        <v>2.6720000000000077E-3</v>
      </c>
      <c r="E517">
        <f>MINUTE(D517)</f>
        <v>3</v>
      </c>
      <c r="F517">
        <f>SECOND(D517)</f>
        <v>51</v>
      </c>
      <c r="G517">
        <f>ROUND(E517+F517/60,2)</f>
        <v>3.85</v>
      </c>
      <c r="H517">
        <f>60*E517+F517</f>
        <v>231</v>
      </c>
      <c r="I517" s="3">
        <f>5*(3600/H517)</f>
        <v>77.922077922077918</v>
      </c>
      <c r="J517" s="16">
        <f t="shared" si="16"/>
        <v>0</v>
      </c>
      <c r="K517" s="17">
        <f t="shared" si="17"/>
        <v>6</v>
      </c>
    </row>
    <row r="518" spans="1:11" x14ac:dyDescent="0.25">
      <c r="A518" s="4" t="s">
        <v>83</v>
      </c>
      <c r="B518" s="1">
        <v>0.80414699999999995</v>
      </c>
      <c r="C518" s="1">
        <v>0.80682699999999996</v>
      </c>
      <c r="D518" s="1">
        <f>IF(B518&gt;C518,B518-C518,C518-B518)</f>
        <v>2.6800000000000157E-3</v>
      </c>
      <c r="E518">
        <f>MINUTE(D518)</f>
        <v>3</v>
      </c>
      <c r="F518">
        <f>SECOND(D518)</f>
        <v>52</v>
      </c>
      <c r="G518">
        <f>ROUND(E518+F518/60,2)</f>
        <v>3.87</v>
      </c>
      <c r="H518">
        <f>60*E518+F518</f>
        <v>232</v>
      </c>
      <c r="I518" s="3">
        <f>5*(3600/H518)</f>
        <v>77.58620689655173</v>
      </c>
      <c r="J518" s="16">
        <f t="shared" si="16"/>
        <v>0</v>
      </c>
      <c r="K518" s="17">
        <f t="shared" si="17"/>
        <v>19</v>
      </c>
    </row>
    <row r="519" spans="1:11" x14ac:dyDescent="0.25">
      <c r="A519" s="4" t="s">
        <v>64</v>
      </c>
      <c r="B519" s="1">
        <v>0.99943800000000005</v>
      </c>
      <c r="C519" s="1">
        <v>0.99675400000000003</v>
      </c>
      <c r="D519" s="1">
        <f>IF(B519&gt;C519,B519-C519,C519-B519)</f>
        <v>2.6840000000000197E-3</v>
      </c>
      <c r="E519">
        <f>MINUTE(D519)</f>
        <v>3</v>
      </c>
      <c r="F519">
        <f>SECOND(D519)</f>
        <v>52</v>
      </c>
      <c r="G519">
        <f>ROUND(E519+F519/60,2)</f>
        <v>3.87</v>
      </c>
      <c r="H519">
        <f>60*E519+F519</f>
        <v>232</v>
      </c>
      <c r="I519" s="3">
        <f>5*(3600/H519)</f>
        <v>77.58620689655173</v>
      </c>
      <c r="J519" s="16">
        <f t="shared" si="16"/>
        <v>0</v>
      </c>
      <c r="K519" s="17">
        <f t="shared" si="17"/>
        <v>23</v>
      </c>
    </row>
    <row r="520" spans="1:11" x14ac:dyDescent="0.25">
      <c r="A520" s="4" t="s">
        <v>47</v>
      </c>
      <c r="B520" s="1">
        <v>0.807975</v>
      </c>
      <c r="C520" s="1">
        <v>0.80529099999999998</v>
      </c>
      <c r="D520" s="1">
        <f>IF(B520&gt;C520,B520-C520,C520-B520)</f>
        <v>2.6840000000000197E-3</v>
      </c>
      <c r="E520">
        <f>MINUTE(D520)</f>
        <v>3</v>
      </c>
      <c r="F520">
        <f>SECOND(D520)</f>
        <v>52</v>
      </c>
      <c r="G520">
        <f>ROUND(E520+F520/60,2)</f>
        <v>3.87</v>
      </c>
      <c r="H520">
        <f>60*E520+F520</f>
        <v>232</v>
      </c>
      <c r="I520" s="3">
        <f>5*(3600/H520)</f>
        <v>77.58620689655173</v>
      </c>
      <c r="J520" s="16">
        <f t="shared" si="16"/>
        <v>0</v>
      </c>
      <c r="K520" s="17">
        <f t="shared" si="17"/>
        <v>19</v>
      </c>
    </row>
    <row r="521" spans="1:11" x14ac:dyDescent="0.25">
      <c r="A521" s="4" t="s">
        <v>104</v>
      </c>
      <c r="B521" s="1">
        <v>0.18839400000000001</v>
      </c>
      <c r="C521" s="1">
        <v>0.191078</v>
      </c>
      <c r="D521" s="1">
        <f>IF(B521&gt;C521,B521-C521,C521-B521)</f>
        <v>2.6839999999999919E-3</v>
      </c>
      <c r="E521">
        <f>MINUTE(D521)</f>
        <v>3</v>
      </c>
      <c r="F521">
        <f>SECOND(D521)</f>
        <v>52</v>
      </c>
      <c r="G521">
        <f>ROUND(E521+F521/60,2)</f>
        <v>3.87</v>
      </c>
      <c r="H521">
        <f>60*E521+F521</f>
        <v>232</v>
      </c>
      <c r="I521" s="3">
        <f>5*(3600/H521)</f>
        <v>77.58620689655173</v>
      </c>
      <c r="J521" s="16">
        <f t="shared" si="16"/>
        <v>0</v>
      </c>
      <c r="K521" s="17">
        <f t="shared" si="17"/>
        <v>4</v>
      </c>
    </row>
    <row r="522" spans="1:11" x14ac:dyDescent="0.25">
      <c r="A522" s="4" t="s">
        <v>87</v>
      </c>
      <c r="B522" s="1">
        <v>0.32229000000000002</v>
      </c>
      <c r="C522" s="1">
        <v>0.31961000000000001</v>
      </c>
      <c r="D522" s="1">
        <f>IF(B522&gt;C522,B522-C522,C522-B522)</f>
        <v>2.6800000000000157E-3</v>
      </c>
      <c r="E522">
        <f>MINUTE(D522)</f>
        <v>3</v>
      </c>
      <c r="F522">
        <f>SECOND(D522)</f>
        <v>52</v>
      </c>
      <c r="G522">
        <f>ROUND(E522+F522/60,2)</f>
        <v>3.87</v>
      </c>
      <c r="H522">
        <f>60*E522+F522</f>
        <v>232</v>
      </c>
      <c r="I522" s="3">
        <f>5*(3600/H522)</f>
        <v>77.58620689655173</v>
      </c>
      <c r="J522" s="16">
        <f t="shared" si="16"/>
        <v>0</v>
      </c>
      <c r="K522" s="17">
        <f t="shared" si="17"/>
        <v>7</v>
      </c>
    </row>
    <row r="523" spans="1:11" x14ac:dyDescent="0.25">
      <c r="A523" s="4" t="s">
        <v>290</v>
      </c>
      <c r="B523" s="1">
        <v>0.78090099999999996</v>
      </c>
      <c r="C523" s="1">
        <v>0.77821700000000005</v>
      </c>
      <c r="D523" s="1">
        <f>IF(B523&gt;C523,B523-C523,C523-B523)</f>
        <v>2.6839999999999087E-3</v>
      </c>
      <c r="E523">
        <f>MINUTE(D523)</f>
        <v>3</v>
      </c>
      <c r="F523">
        <f>SECOND(D523)</f>
        <v>52</v>
      </c>
      <c r="G523">
        <f>ROUND(E523+F523/60,2)</f>
        <v>3.87</v>
      </c>
      <c r="H523">
        <f>60*E523+F523</f>
        <v>232</v>
      </c>
      <c r="I523" s="3">
        <f>5*(3600/H523)</f>
        <v>77.58620689655173</v>
      </c>
      <c r="J523" s="16">
        <f t="shared" si="16"/>
        <v>0</v>
      </c>
      <c r="K523" s="17">
        <f t="shared" si="17"/>
        <v>18</v>
      </c>
    </row>
    <row r="524" spans="1:11" x14ac:dyDescent="0.25">
      <c r="A524" s="4" t="s">
        <v>105</v>
      </c>
      <c r="B524" s="1">
        <v>9.3122999999999997E-2</v>
      </c>
      <c r="C524" s="1">
        <v>9.0423000000000003E-2</v>
      </c>
      <c r="D524" s="1">
        <f>IF(B524&gt;C524,B524-C524,C524-B524)</f>
        <v>2.6999999999999941E-3</v>
      </c>
      <c r="E524">
        <f>MINUTE(D524)</f>
        <v>3</v>
      </c>
      <c r="F524">
        <f>SECOND(D524)</f>
        <v>53</v>
      </c>
      <c r="G524">
        <f>ROUND(E524+F524/60,2)</f>
        <v>3.88</v>
      </c>
      <c r="H524">
        <f>60*E524+F524</f>
        <v>233</v>
      </c>
      <c r="I524" s="3">
        <f>5*(3600/H524)</f>
        <v>77.253218884120173</v>
      </c>
      <c r="J524" s="16">
        <f t="shared" si="16"/>
        <v>0</v>
      </c>
      <c r="K524" s="17">
        <f t="shared" si="17"/>
        <v>2</v>
      </c>
    </row>
    <row r="525" spans="1:11" x14ac:dyDescent="0.25">
      <c r="A525" s="4" t="s">
        <v>38</v>
      </c>
      <c r="B525" s="1">
        <v>0.14195199999999999</v>
      </c>
      <c r="C525" s="1">
        <v>0.13925599999999999</v>
      </c>
      <c r="D525" s="1">
        <f>IF(B525&gt;C525,B525-C525,C525-B525)</f>
        <v>2.6960000000000039E-3</v>
      </c>
      <c r="E525">
        <f>MINUTE(D525)</f>
        <v>3</v>
      </c>
      <c r="F525">
        <f>SECOND(D525)</f>
        <v>53</v>
      </c>
      <c r="G525">
        <f>ROUND(E525+F525/60,2)</f>
        <v>3.88</v>
      </c>
      <c r="H525">
        <f>60*E525+F525</f>
        <v>233</v>
      </c>
      <c r="I525" s="3">
        <f>5*(3600/H525)</f>
        <v>77.253218884120173</v>
      </c>
      <c r="J525" s="16">
        <f t="shared" si="16"/>
        <v>0</v>
      </c>
      <c r="K525" s="17">
        <f t="shared" si="17"/>
        <v>3</v>
      </c>
    </row>
    <row r="526" spans="1:11" x14ac:dyDescent="0.25">
      <c r="A526" s="4" t="s">
        <v>331</v>
      </c>
      <c r="B526" s="1">
        <v>0.10241</v>
      </c>
      <c r="C526" s="1">
        <v>9.9713999999999997E-2</v>
      </c>
      <c r="D526" s="1">
        <f>IF(B526&gt;C526,B526-C526,C526-B526)</f>
        <v>2.6960000000000039E-3</v>
      </c>
      <c r="E526">
        <f>MINUTE(D526)</f>
        <v>3</v>
      </c>
      <c r="F526">
        <f>SECOND(D526)</f>
        <v>53</v>
      </c>
      <c r="G526">
        <f>ROUND(E526+F526/60,2)</f>
        <v>3.88</v>
      </c>
      <c r="H526">
        <f>60*E526+F526</f>
        <v>233</v>
      </c>
      <c r="I526" s="3">
        <f>5*(3600/H526)</f>
        <v>77.253218884120173</v>
      </c>
      <c r="J526" s="16">
        <f t="shared" si="16"/>
        <v>0</v>
      </c>
      <c r="K526" s="17">
        <f t="shared" si="17"/>
        <v>2</v>
      </c>
    </row>
    <row r="527" spans="1:11" x14ac:dyDescent="0.25">
      <c r="A527" s="4" t="s">
        <v>10</v>
      </c>
      <c r="B527" s="1">
        <v>0.53941499999999998</v>
      </c>
      <c r="C527" s="1">
        <v>0.53671100000000005</v>
      </c>
      <c r="D527" s="1">
        <f>IF(B527&gt;C527,B527-C527,C527-B527)</f>
        <v>2.7039999999999287E-3</v>
      </c>
      <c r="E527">
        <f>MINUTE(D527)</f>
        <v>3</v>
      </c>
      <c r="F527">
        <f>SECOND(D527)</f>
        <v>54</v>
      </c>
      <c r="G527">
        <f>ROUND(E527+F527/60,2)</f>
        <v>3.9</v>
      </c>
      <c r="H527">
        <f>60*E527+F527</f>
        <v>234</v>
      </c>
      <c r="I527" s="3">
        <f>5*(3600/H527)</f>
        <v>76.92307692307692</v>
      </c>
      <c r="J527" s="16">
        <f t="shared" si="16"/>
        <v>0</v>
      </c>
      <c r="K527" s="17">
        <f t="shared" si="17"/>
        <v>12</v>
      </c>
    </row>
    <row r="528" spans="1:11" x14ac:dyDescent="0.25">
      <c r="A528" s="4" t="s">
        <v>94</v>
      </c>
      <c r="B528" s="1">
        <v>0.44351000000000002</v>
      </c>
      <c r="C528" s="1">
        <v>0.44622200000000001</v>
      </c>
      <c r="D528" s="1">
        <f>IF(B528&gt;C528,B528-C528,C528-B528)</f>
        <v>2.7119999999999922E-3</v>
      </c>
      <c r="E528">
        <f>MINUTE(D528)</f>
        <v>3</v>
      </c>
      <c r="F528">
        <f>SECOND(D528)</f>
        <v>54</v>
      </c>
      <c r="G528">
        <f>ROUND(E528+F528/60,2)</f>
        <v>3.9</v>
      </c>
      <c r="H528">
        <f>60*E528+F528</f>
        <v>234</v>
      </c>
      <c r="I528" s="3">
        <f>5*(3600/H528)</f>
        <v>76.92307692307692</v>
      </c>
      <c r="J528" s="16">
        <f t="shared" si="16"/>
        <v>0</v>
      </c>
      <c r="K528" s="17">
        <f t="shared" si="17"/>
        <v>10</v>
      </c>
    </row>
    <row r="529" spans="1:11" x14ac:dyDescent="0.25">
      <c r="A529" s="4" t="s">
        <v>155</v>
      </c>
      <c r="B529" s="1">
        <v>0.247169</v>
      </c>
      <c r="C529" s="1">
        <v>0.24446100000000001</v>
      </c>
      <c r="D529" s="1">
        <f>IF(B529&gt;C529,B529-C529,C529-B529)</f>
        <v>2.7079999999999882E-3</v>
      </c>
      <c r="E529">
        <f>MINUTE(D529)</f>
        <v>3</v>
      </c>
      <c r="F529">
        <f>SECOND(D529)</f>
        <v>54</v>
      </c>
      <c r="G529">
        <f>ROUND(E529+F529/60,2)</f>
        <v>3.9</v>
      </c>
      <c r="H529">
        <f>60*E529+F529</f>
        <v>234</v>
      </c>
      <c r="I529" s="3">
        <f>5*(3600/H529)</f>
        <v>76.92307692307692</v>
      </c>
      <c r="J529" s="16">
        <f t="shared" si="16"/>
        <v>0</v>
      </c>
      <c r="K529" s="17">
        <f t="shared" si="17"/>
        <v>5</v>
      </c>
    </row>
    <row r="530" spans="1:11" x14ac:dyDescent="0.25">
      <c r="A530" s="4" t="s">
        <v>16</v>
      </c>
      <c r="B530" s="1">
        <v>0.82084800000000002</v>
      </c>
      <c r="C530" s="1">
        <v>0.81814399999999998</v>
      </c>
      <c r="D530" s="1">
        <f>IF(B530&gt;C530,B530-C530,C530-B530)</f>
        <v>2.7040000000000397E-3</v>
      </c>
      <c r="E530">
        <f>MINUTE(D530)</f>
        <v>3</v>
      </c>
      <c r="F530">
        <f>SECOND(D530)</f>
        <v>54</v>
      </c>
      <c r="G530">
        <f>ROUND(E530+F530/60,2)</f>
        <v>3.9</v>
      </c>
      <c r="H530">
        <f>60*E530+F530</f>
        <v>234</v>
      </c>
      <c r="I530" s="3">
        <f>5*(3600/H530)</f>
        <v>76.92307692307692</v>
      </c>
      <c r="J530" s="16">
        <f t="shared" si="16"/>
        <v>0</v>
      </c>
      <c r="K530" s="17">
        <f t="shared" si="17"/>
        <v>19</v>
      </c>
    </row>
    <row r="531" spans="1:11" x14ac:dyDescent="0.25">
      <c r="A531" s="4" t="s">
        <v>178</v>
      </c>
      <c r="B531" s="1">
        <v>0.52383800000000003</v>
      </c>
      <c r="C531" s="1">
        <v>0.52654999999999996</v>
      </c>
      <c r="D531" s="1">
        <f>IF(B531&gt;C531,B531-C531,C531-B531)</f>
        <v>2.7119999999999367E-3</v>
      </c>
      <c r="E531">
        <f>MINUTE(D531)</f>
        <v>3</v>
      </c>
      <c r="F531">
        <f>SECOND(D531)</f>
        <v>54</v>
      </c>
      <c r="G531">
        <f>ROUND(E531+F531/60,2)</f>
        <v>3.9</v>
      </c>
      <c r="H531">
        <f>60*E531+F531</f>
        <v>234</v>
      </c>
      <c r="I531" s="3">
        <f>5*(3600/H531)</f>
        <v>76.92307692307692</v>
      </c>
      <c r="J531" s="16">
        <f t="shared" si="16"/>
        <v>0</v>
      </c>
      <c r="K531" s="17">
        <f t="shared" si="17"/>
        <v>12</v>
      </c>
    </row>
    <row r="532" spans="1:11" x14ac:dyDescent="0.25">
      <c r="A532" s="4" t="s">
        <v>21</v>
      </c>
      <c r="B532" s="1">
        <v>0.54036300000000004</v>
      </c>
      <c r="C532" s="1">
        <v>0.54307099999999997</v>
      </c>
      <c r="D532" s="1">
        <f>IF(B532&gt;C532,B532-C532,C532-B532)</f>
        <v>2.7079999999999327E-3</v>
      </c>
      <c r="E532">
        <f>MINUTE(D532)</f>
        <v>3</v>
      </c>
      <c r="F532">
        <f>SECOND(D532)</f>
        <v>54</v>
      </c>
      <c r="G532">
        <f>ROUND(E532+F532/60,2)</f>
        <v>3.9</v>
      </c>
      <c r="H532">
        <f>60*E532+F532</f>
        <v>234</v>
      </c>
      <c r="I532" s="3">
        <f>5*(3600/H532)</f>
        <v>76.92307692307692</v>
      </c>
      <c r="J532" s="16">
        <f t="shared" si="16"/>
        <v>0</v>
      </c>
      <c r="K532" s="17">
        <f t="shared" si="17"/>
        <v>12</v>
      </c>
    </row>
    <row r="533" spans="1:11" x14ac:dyDescent="0.25">
      <c r="A533" s="4" t="s">
        <v>182</v>
      </c>
      <c r="B533" s="1">
        <v>0.83426</v>
      </c>
      <c r="C533" s="1">
        <v>0.83696800000000005</v>
      </c>
      <c r="D533" s="1">
        <f>IF(B533&gt;C533,B533-C533,C533-B533)</f>
        <v>2.7080000000000437E-3</v>
      </c>
      <c r="E533">
        <f>MINUTE(D533)</f>
        <v>3</v>
      </c>
      <c r="F533">
        <f>SECOND(D533)</f>
        <v>54</v>
      </c>
      <c r="G533">
        <f>ROUND(E533+F533/60,2)</f>
        <v>3.9</v>
      </c>
      <c r="H533">
        <f>60*E533+F533</f>
        <v>234</v>
      </c>
      <c r="I533" s="3">
        <f>5*(3600/H533)</f>
        <v>76.92307692307692</v>
      </c>
      <c r="J533" s="16">
        <f t="shared" si="16"/>
        <v>0</v>
      </c>
      <c r="K533" s="17">
        <f t="shared" si="17"/>
        <v>20</v>
      </c>
    </row>
    <row r="534" spans="1:11" x14ac:dyDescent="0.25">
      <c r="A534" s="4" t="s">
        <v>399</v>
      </c>
      <c r="B534" s="1">
        <v>0.86035300000000003</v>
      </c>
      <c r="C534" s="1">
        <v>0.86306099999999997</v>
      </c>
      <c r="D534" s="1">
        <f>IF(B534&gt;C534,B534-C534,C534-B534)</f>
        <v>2.7079999999999327E-3</v>
      </c>
      <c r="E534">
        <f>MINUTE(D534)</f>
        <v>3</v>
      </c>
      <c r="F534">
        <f>SECOND(D534)</f>
        <v>54</v>
      </c>
      <c r="G534">
        <f>ROUND(E534+F534/60,2)</f>
        <v>3.9</v>
      </c>
      <c r="H534">
        <f>60*E534+F534</f>
        <v>234</v>
      </c>
      <c r="I534" s="3">
        <f>5*(3600/H534)</f>
        <v>76.92307692307692</v>
      </c>
      <c r="J534" s="16">
        <f t="shared" si="16"/>
        <v>0</v>
      </c>
      <c r="K534" s="17">
        <f t="shared" si="17"/>
        <v>20</v>
      </c>
    </row>
    <row r="535" spans="1:11" x14ac:dyDescent="0.25">
      <c r="A535" s="4" t="s">
        <v>160</v>
      </c>
      <c r="B535" s="1">
        <v>0.46384300000000001</v>
      </c>
      <c r="C535" s="1">
        <v>0.46656300000000001</v>
      </c>
      <c r="D535" s="1">
        <f>IF(B535&gt;C535,B535-C535,C535-B535)</f>
        <v>2.7200000000000002E-3</v>
      </c>
      <c r="E535">
        <f>MINUTE(D535)</f>
        <v>3</v>
      </c>
      <c r="F535">
        <f>SECOND(D535)</f>
        <v>55</v>
      </c>
      <c r="G535">
        <f>ROUND(E535+F535/60,2)</f>
        <v>3.92</v>
      </c>
      <c r="H535">
        <f>60*E535+F535</f>
        <v>235</v>
      </c>
      <c r="I535" s="3">
        <f>5*(3600/H535)</f>
        <v>76.59574468085107</v>
      </c>
      <c r="J535" s="16">
        <f t="shared" si="16"/>
        <v>0</v>
      </c>
      <c r="K535" s="17">
        <f t="shared" si="17"/>
        <v>11</v>
      </c>
    </row>
    <row r="536" spans="1:11" x14ac:dyDescent="0.25">
      <c r="A536" s="4" t="s">
        <v>47</v>
      </c>
      <c r="B536" s="1">
        <v>0.85342399999999996</v>
      </c>
      <c r="C536" s="1">
        <v>0.85614800000000002</v>
      </c>
      <c r="D536" s="1">
        <f>IF(B536&gt;C536,B536-C536,C536-B536)</f>
        <v>2.7240000000000597E-3</v>
      </c>
      <c r="E536">
        <f>MINUTE(D536)</f>
        <v>3</v>
      </c>
      <c r="F536">
        <f>SECOND(D536)</f>
        <v>55</v>
      </c>
      <c r="G536">
        <f>ROUND(E536+F536/60,2)</f>
        <v>3.92</v>
      </c>
      <c r="H536">
        <f>60*E536+F536</f>
        <v>235</v>
      </c>
      <c r="I536" s="3">
        <f>5*(3600/H536)</f>
        <v>76.59574468085107</v>
      </c>
      <c r="J536" s="16">
        <f t="shared" si="16"/>
        <v>0</v>
      </c>
      <c r="K536" s="17">
        <f t="shared" si="17"/>
        <v>20</v>
      </c>
    </row>
    <row r="537" spans="1:11" x14ac:dyDescent="0.25">
      <c r="A537" s="4" t="s">
        <v>139</v>
      </c>
      <c r="B537" s="1">
        <v>0.89180499999999996</v>
      </c>
      <c r="C537" s="1">
        <v>0.89452100000000001</v>
      </c>
      <c r="D537" s="1">
        <f>IF(B537&gt;C537,B537-C537,C537-B537)</f>
        <v>2.7160000000000517E-3</v>
      </c>
      <c r="E537">
        <f>MINUTE(D537)</f>
        <v>3</v>
      </c>
      <c r="F537">
        <f>SECOND(D537)</f>
        <v>55</v>
      </c>
      <c r="G537">
        <f>ROUND(E537+F537/60,2)</f>
        <v>3.92</v>
      </c>
      <c r="H537">
        <f>60*E537+F537</f>
        <v>235</v>
      </c>
      <c r="I537" s="3">
        <f>5*(3600/H537)</f>
        <v>76.59574468085107</v>
      </c>
      <c r="J537" s="16">
        <f t="shared" si="16"/>
        <v>0</v>
      </c>
      <c r="K537" s="17">
        <f t="shared" si="17"/>
        <v>21</v>
      </c>
    </row>
    <row r="538" spans="1:11" x14ac:dyDescent="0.25">
      <c r="A538" s="4" t="s">
        <v>144</v>
      </c>
      <c r="B538" s="1">
        <v>3.9156999999999997E-2</v>
      </c>
      <c r="C538" s="1">
        <v>4.1876999999999998E-2</v>
      </c>
      <c r="D538" s="1">
        <f>IF(B538&gt;C538,B538-C538,C538-B538)</f>
        <v>2.7200000000000002E-3</v>
      </c>
      <c r="E538">
        <f>MINUTE(D538)</f>
        <v>3</v>
      </c>
      <c r="F538">
        <f>SECOND(D538)</f>
        <v>55</v>
      </c>
      <c r="G538">
        <f>ROUND(E538+F538/60,2)</f>
        <v>3.92</v>
      </c>
      <c r="H538">
        <f>60*E538+F538</f>
        <v>235</v>
      </c>
      <c r="I538" s="3">
        <f>5*(3600/H538)</f>
        <v>76.59574468085107</v>
      </c>
      <c r="J538" s="16">
        <f t="shared" si="16"/>
        <v>0</v>
      </c>
      <c r="K538" s="17">
        <f t="shared" si="17"/>
        <v>0</v>
      </c>
    </row>
    <row r="539" spans="1:11" x14ac:dyDescent="0.25">
      <c r="A539" s="4" t="s">
        <v>156</v>
      </c>
      <c r="B539" s="1">
        <v>0.77753799999999995</v>
      </c>
      <c r="C539" s="1">
        <v>0.774814</v>
      </c>
      <c r="D539" s="1">
        <f>IF(B539&gt;C539,B539-C539,C539-B539)</f>
        <v>2.7239999999999487E-3</v>
      </c>
      <c r="E539">
        <f>MINUTE(D539)</f>
        <v>3</v>
      </c>
      <c r="F539">
        <f>SECOND(D539)</f>
        <v>55</v>
      </c>
      <c r="G539">
        <f>ROUND(E539+F539/60,2)</f>
        <v>3.92</v>
      </c>
      <c r="H539">
        <f>60*E539+F539</f>
        <v>235</v>
      </c>
      <c r="I539" s="3">
        <f>5*(3600/H539)</f>
        <v>76.59574468085107</v>
      </c>
      <c r="J539" s="16">
        <f t="shared" si="16"/>
        <v>0</v>
      </c>
      <c r="K539" s="17">
        <f t="shared" si="17"/>
        <v>18</v>
      </c>
    </row>
    <row r="540" spans="1:11" x14ac:dyDescent="0.25">
      <c r="A540" s="4" t="s">
        <v>5</v>
      </c>
      <c r="B540" s="1">
        <v>0.98460700000000001</v>
      </c>
      <c r="C540" s="1">
        <v>0.98188699999999995</v>
      </c>
      <c r="D540" s="1">
        <f>IF(B540&gt;C540,B540-C540,C540-B540)</f>
        <v>2.7200000000000557E-3</v>
      </c>
      <c r="E540">
        <f>MINUTE(D540)</f>
        <v>3</v>
      </c>
      <c r="F540">
        <f>SECOND(D540)</f>
        <v>55</v>
      </c>
      <c r="G540">
        <f>ROUND(E540+F540/60,2)</f>
        <v>3.92</v>
      </c>
      <c r="H540">
        <f>60*E540+F540</f>
        <v>235</v>
      </c>
      <c r="I540" s="3">
        <f>5*(3600/H540)</f>
        <v>76.59574468085107</v>
      </c>
      <c r="J540" s="16">
        <f t="shared" si="16"/>
        <v>0</v>
      </c>
      <c r="K540" s="17">
        <f t="shared" si="17"/>
        <v>23</v>
      </c>
    </row>
    <row r="541" spans="1:11" x14ac:dyDescent="0.25">
      <c r="A541" s="4" t="s">
        <v>5</v>
      </c>
      <c r="B541" s="1">
        <v>0.85437099999999999</v>
      </c>
      <c r="C541" s="1">
        <v>0.85165500000000005</v>
      </c>
      <c r="D541" s="1">
        <f>IF(B541&gt;C541,B541-C541,C541-B541)</f>
        <v>2.7159999999999407E-3</v>
      </c>
      <c r="E541">
        <f>MINUTE(D541)</f>
        <v>3</v>
      </c>
      <c r="F541">
        <f>SECOND(D541)</f>
        <v>55</v>
      </c>
      <c r="G541">
        <f>ROUND(E541+F541/60,2)</f>
        <v>3.92</v>
      </c>
      <c r="H541">
        <f>60*E541+F541</f>
        <v>235</v>
      </c>
      <c r="I541" s="3">
        <f>5*(3600/H541)</f>
        <v>76.59574468085107</v>
      </c>
      <c r="J541" s="16">
        <f t="shared" si="16"/>
        <v>0</v>
      </c>
      <c r="K541" s="17">
        <f t="shared" si="17"/>
        <v>20</v>
      </c>
    </row>
    <row r="542" spans="1:11" x14ac:dyDescent="0.25">
      <c r="A542" s="4" t="s">
        <v>123</v>
      </c>
      <c r="B542" s="1">
        <v>0.38374799999999998</v>
      </c>
      <c r="C542" s="1">
        <v>0.38646399999999997</v>
      </c>
      <c r="D542" s="1">
        <f>IF(B542&gt;C542,B542-C542,C542-B542)</f>
        <v>2.7159999999999962E-3</v>
      </c>
      <c r="E542">
        <f>MINUTE(D542)</f>
        <v>3</v>
      </c>
      <c r="F542">
        <f>SECOND(D542)</f>
        <v>55</v>
      </c>
      <c r="G542">
        <f>ROUND(E542+F542/60,2)</f>
        <v>3.92</v>
      </c>
      <c r="H542">
        <f>60*E542+F542</f>
        <v>235</v>
      </c>
      <c r="I542" s="3">
        <f>5*(3600/H542)</f>
        <v>76.59574468085107</v>
      </c>
      <c r="J542" s="16">
        <f t="shared" si="16"/>
        <v>0</v>
      </c>
      <c r="K542" s="17">
        <f t="shared" si="17"/>
        <v>9</v>
      </c>
    </row>
    <row r="543" spans="1:11" x14ac:dyDescent="0.25">
      <c r="A543" s="4" t="s">
        <v>155</v>
      </c>
      <c r="B543" s="1">
        <v>0.58026999999999995</v>
      </c>
      <c r="C543" s="1">
        <v>0.58299400000000001</v>
      </c>
      <c r="D543" s="1">
        <f>IF(B543&gt;C543,B543-C543,C543-B543)</f>
        <v>2.7240000000000597E-3</v>
      </c>
      <c r="E543">
        <f>MINUTE(D543)</f>
        <v>3</v>
      </c>
      <c r="F543">
        <f>SECOND(D543)</f>
        <v>55</v>
      </c>
      <c r="G543">
        <f>ROUND(E543+F543/60,2)</f>
        <v>3.92</v>
      </c>
      <c r="H543">
        <f>60*E543+F543</f>
        <v>235</v>
      </c>
      <c r="I543" s="3">
        <f>5*(3600/H543)</f>
        <v>76.59574468085107</v>
      </c>
      <c r="J543" s="16">
        <f t="shared" si="16"/>
        <v>0</v>
      </c>
      <c r="K543" s="17">
        <f t="shared" si="17"/>
        <v>13</v>
      </c>
    </row>
    <row r="544" spans="1:11" x14ac:dyDescent="0.25">
      <c r="A544" s="4" t="s">
        <v>256</v>
      </c>
      <c r="B544" s="1">
        <v>0.72481799999999996</v>
      </c>
      <c r="C544" s="1">
        <v>0.72209800000000002</v>
      </c>
      <c r="D544" s="1">
        <f>IF(B544&gt;C544,B544-C544,C544-B544)</f>
        <v>2.7199999999999447E-3</v>
      </c>
      <c r="E544">
        <f>MINUTE(D544)</f>
        <v>3</v>
      </c>
      <c r="F544">
        <f>SECOND(D544)</f>
        <v>55</v>
      </c>
      <c r="G544">
        <f>ROUND(E544+F544/60,2)</f>
        <v>3.92</v>
      </c>
      <c r="H544">
        <f>60*E544+F544</f>
        <v>235</v>
      </c>
      <c r="I544" s="3">
        <f>5*(3600/H544)</f>
        <v>76.59574468085107</v>
      </c>
      <c r="J544" s="16">
        <f t="shared" si="16"/>
        <v>0</v>
      </c>
      <c r="K544" s="17">
        <f t="shared" si="17"/>
        <v>17</v>
      </c>
    </row>
    <row r="545" spans="1:11" x14ac:dyDescent="0.25">
      <c r="A545" s="4" t="s">
        <v>70</v>
      </c>
      <c r="B545" s="1">
        <v>0.83702100000000002</v>
      </c>
      <c r="C545" s="1">
        <v>0.83974899999999997</v>
      </c>
      <c r="D545" s="1">
        <f>IF(B545&gt;C545,B545-C545,C545-B545)</f>
        <v>2.7279999999999527E-3</v>
      </c>
      <c r="E545">
        <f>MINUTE(D545)</f>
        <v>3</v>
      </c>
      <c r="F545">
        <f>SECOND(D545)</f>
        <v>56</v>
      </c>
      <c r="G545">
        <f>ROUND(E545+F545/60,2)</f>
        <v>3.93</v>
      </c>
      <c r="H545">
        <f>60*E545+F545</f>
        <v>236</v>
      </c>
      <c r="I545" s="3">
        <f>5*(3600/H545)</f>
        <v>76.271186440677965</v>
      </c>
      <c r="J545" s="16">
        <f t="shared" si="16"/>
        <v>0</v>
      </c>
      <c r="K545" s="17">
        <f t="shared" si="17"/>
        <v>20</v>
      </c>
    </row>
    <row r="546" spans="1:11" x14ac:dyDescent="0.25">
      <c r="A546" s="4" t="s">
        <v>109</v>
      </c>
      <c r="B546" s="1">
        <v>0.116871</v>
      </c>
      <c r="C546" s="1">
        <v>0.114135</v>
      </c>
      <c r="D546" s="1">
        <f>IF(B546&gt;C546,B546-C546,C546-B546)</f>
        <v>2.7360000000000023E-3</v>
      </c>
      <c r="E546">
        <f>MINUTE(D546)</f>
        <v>3</v>
      </c>
      <c r="F546">
        <f>SECOND(D546)</f>
        <v>56</v>
      </c>
      <c r="G546">
        <f>ROUND(E546+F546/60,2)</f>
        <v>3.93</v>
      </c>
      <c r="H546">
        <f>60*E546+F546</f>
        <v>236</v>
      </c>
      <c r="I546" s="3">
        <f>5*(3600/H546)</f>
        <v>76.271186440677965</v>
      </c>
      <c r="J546" s="16">
        <f t="shared" si="16"/>
        <v>0</v>
      </c>
      <c r="K546" s="17">
        <f t="shared" si="17"/>
        <v>2</v>
      </c>
    </row>
    <row r="547" spans="1:11" x14ac:dyDescent="0.25">
      <c r="A547" s="4" t="s">
        <v>27</v>
      </c>
      <c r="B547" s="1">
        <v>0.888069</v>
      </c>
      <c r="C547" s="1">
        <v>0.88534100000000004</v>
      </c>
      <c r="D547" s="1">
        <f>IF(B547&gt;C547,B547-C547,C547-B547)</f>
        <v>2.7279999999999527E-3</v>
      </c>
      <c r="E547">
        <f>MINUTE(D547)</f>
        <v>3</v>
      </c>
      <c r="F547">
        <f>SECOND(D547)</f>
        <v>56</v>
      </c>
      <c r="G547">
        <f>ROUND(E547+F547/60,2)</f>
        <v>3.93</v>
      </c>
      <c r="H547">
        <f>60*E547+F547</f>
        <v>236</v>
      </c>
      <c r="I547" s="3">
        <f>5*(3600/H547)</f>
        <v>76.271186440677965</v>
      </c>
      <c r="J547" s="16">
        <f t="shared" si="16"/>
        <v>0</v>
      </c>
      <c r="K547" s="17">
        <f t="shared" si="17"/>
        <v>21</v>
      </c>
    </row>
    <row r="548" spans="1:11" x14ac:dyDescent="0.25">
      <c r="A548" s="4" t="s">
        <v>44</v>
      </c>
      <c r="B548" s="1">
        <v>0.35200999999999999</v>
      </c>
      <c r="C548" s="1">
        <v>0.354738</v>
      </c>
      <c r="D548" s="1">
        <f>IF(B548&gt;C548,B548-C548,C548-B548)</f>
        <v>2.7280000000000082E-3</v>
      </c>
      <c r="E548">
        <f>MINUTE(D548)</f>
        <v>3</v>
      </c>
      <c r="F548">
        <f>SECOND(D548)</f>
        <v>56</v>
      </c>
      <c r="G548">
        <f>ROUND(E548+F548/60,2)</f>
        <v>3.93</v>
      </c>
      <c r="H548">
        <f>60*E548+F548</f>
        <v>236</v>
      </c>
      <c r="I548" s="3">
        <f>5*(3600/H548)</f>
        <v>76.271186440677965</v>
      </c>
      <c r="J548" s="16">
        <f t="shared" si="16"/>
        <v>0</v>
      </c>
      <c r="K548" s="17">
        <f t="shared" si="17"/>
        <v>8</v>
      </c>
    </row>
    <row r="549" spans="1:11" x14ac:dyDescent="0.25">
      <c r="A549" s="4" t="s">
        <v>60</v>
      </c>
      <c r="B549" s="1">
        <v>0.56916199999999995</v>
      </c>
      <c r="C549" s="1">
        <v>0.56642999999999999</v>
      </c>
      <c r="D549" s="1">
        <f>IF(B549&gt;C549,B549-C549,C549-B549)</f>
        <v>2.7319999999999567E-3</v>
      </c>
      <c r="E549">
        <f>MINUTE(D549)</f>
        <v>3</v>
      </c>
      <c r="F549">
        <f>SECOND(D549)</f>
        <v>56</v>
      </c>
      <c r="G549">
        <f>ROUND(E549+F549/60,2)</f>
        <v>3.93</v>
      </c>
      <c r="H549">
        <f>60*E549+F549</f>
        <v>236</v>
      </c>
      <c r="I549" s="3">
        <f>5*(3600/H549)</f>
        <v>76.271186440677965</v>
      </c>
      <c r="J549" s="16">
        <f t="shared" si="16"/>
        <v>0</v>
      </c>
      <c r="K549" s="17">
        <f t="shared" si="17"/>
        <v>13</v>
      </c>
    </row>
    <row r="550" spans="1:11" x14ac:dyDescent="0.25">
      <c r="A550" s="4" t="s">
        <v>142</v>
      </c>
      <c r="B550" s="1">
        <v>0.12570400000000001</v>
      </c>
      <c r="C550" s="1">
        <v>0.122964</v>
      </c>
      <c r="D550" s="1">
        <f>IF(B550&gt;C550,B550-C550,C550-B550)</f>
        <v>2.7400000000000063E-3</v>
      </c>
      <c r="E550">
        <f>MINUTE(D550)</f>
        <v>3</v>
      </c>
      <c r="F550">
        <f>SECOND(D550)</f>
        <v>57</v>
      </c>
      <c r="G550">
        <f>ROUND(E550+F550/60,2)</f>
        <v>3.95</v>
      </c>
      <c r="H550">
        <f>60*E550+F550</f>
        <v>237</v>
      </c>
      <c r="I550" s="3">
        <f>5*(3600/H550)</f>
        <v>75.949367088607588</v>
      </c>
      <c r="J550" s="16">
        <f t="shared" si="16"/>
        <v>0</v>
      </c>
      <c r="K550" s="17">
        <f t="shared" si="17"/>
        <v>3</v>
      </c>
    </row>
    <row r="551" spans="1:11" x14ac:dyDescent="0.25">
      <c r="A551" s="4" t="s">
        <v>7</v>
      </c>
      <c r="B551" s="1">
        <v>0.54949499999999996</v>
      </c>
      <c r="C551" s="1">
        <v>0.54675499999999999</v>
      </c>
      <c r="D551" s="1">
        <f>IF(B551&gt;C551,B551-C551,C551-B551)</f>
        <v>2.7399999999999647E-3</v>
      </c>
      <c r="E551">
        <f>MINUTE(D551)</f>
        <v>3</v>
      </c>
      <c r="F551">
        <f>SECOND(D551)</f>
        <v>57</v>
      </c>
      <c r="G551">
        <f>ROUND(E551+F551/60,2)</f>
        <v>3.95</v>
      </c>
      <c r="H551">
        <f>60*E551+F551</f>
        <v>237</v>
      </c>
      <c r="I551" s="3">
        <f>5*(3600/H551)</f>
        <v>75.949367088607588</v>
      </c>
      <c r="J551" s="16">
        <f t="shared" si="16"/>
        <v>0</v>
      </c>
      <c r="K551" s="17">
        <f t="shared" si="17"/>
        <v>13</v>
      </c>
    </row>
    <row r="552" spans="1:11" x14ac:dyDescent="0.25">
      <c r="A552" s="4" t="s">
        <v>27</v>
      </c>
      <c r="B552" s="1">
        <v>0.19815199999999999</v>
      </c>
      <c r="C552" s="1">
        <v>0.20089599999999999</v>
      </c>
      <c r="D552" s="1">
        <f>IF(B552&gt;C552,B552-C552,C552-B552)</f>
        <v>2.7439999999999964E-3</v>
      </c>
      <c r="E552">
        <f>MINUTE(D552)</f>
        <v>3</v>
      </c>
      <c r="F552">
        <f>SECOND(D552)</f>
        <v>57</v>
      </c>
      <c r="G552">
        <f>ROUND(E552+F552/60,2)</f>
        <v>3.95</v>
      </c>
      <c r="H552">
        <f>60*E552+F552</f>
        <v>237</v>
      </c>
      <c r="I552" s="3">
        <f>5*(3600/H552)</f>
        <v>75.949367088607588</v>
      </c>
      <c r="J552" s="16">
        <f t="shared" si="16"/>
        <v>0</v>
      </c>
      <c r="K552" s="17">
        <f t="shared" si="17"/>
        <v>4</v>
      </c>
    </row>
    <row r="553" spans="1:11" x14ac:dyDescent="0.25">
      <c r="A553" s="4" t="s">
        <v>115</v>
      </c>
      <c r="B553" s="1">
        <v>0.492419</v>
      </c>
      <c r="C553" s="1">
        <v>0.49516300000000002</v>
      </c>
      <c r="D553" s="1">
        <f>IF(B553&gt;C553,B553-C553,C553-B553)</f>
        <v>2.7440000000000242E-3</v>
      </c>
      <c r="E553">
        <f>MINUTE(D553)</f>
        <v>3</v>
      </c>
      <c r="F553">
        <f>SECOND(D553)</f>
        <v>57</v>
      </c>
      <c r="G553">
        <f>ROUND(E553+F553/60,2)</f>
        <v>3.95</v>
      </c>
      <c r="H553">
        <f>60*E553+F553</f>
        <v>237</v>
      </c>
      <c r="I553" s="3">
        <f>5*(3600/H553)</f>
        <v>75.949367088607588</v>
      </c>
      <c r="J553" s="16">
        <f t="shared" si="16"/>
        <v>0</v>
      </c>
      <c r="K553" s="17">
        <f t="shared" si="17"/>
        <v>11</v>
      </c>
    </row>
    <row r="554" spans="1:11" x14ac:dyDescent="0.25">
      <c r="A554" s="4" t="s">
        <v>347</v>
      </c>
      <c r="B554" s="1">
        <v>0.24433299999999999</v>
      </c>
      <c r="C554" s="1">
        <v>0.24707699999999999</v>
      </c>
      <c r="D554" s="1">
        <f>IF(B554&gt;C554,B554-C554,C554-B554)</f>
        <v>2.7439999999999964E-3</v>
      </c>
      <c r="E554">
        <f>MINUTE(D554)</f>
        <v>3</v>
      </c>
      <c r="F554">
        <f>SECOND(D554)</f>
        <v>57</v>
      </c>
      <c r="G554">
        <f>ROUND(E554+F554/60,2)</f>
        <v>3.95</v>
      </c>
      <c r="H554">
        <f>60*E554+F554</f>
        <v>237</v>
      </c>
      <c r="I554" s="3">
        <f>5*(3600/H554)</f>
        <v>75.949367088607588</v>
      </c>
      <c r="J554" s="16">
        <f t="shared" si="16"/>
        <v>0</v>
      </c>
      <c r="K554" s="17">
        <f t="shared" si="17"/>
        <v>5</v>
      </c>
    </row>
    <row r="555" spans="1:11" x14ac:dyDescent="0.25">
      <c r="A555" s="4" t="s">
        <v>17</v>
      </c>
      <c r="B555" s="1">
        <v>0.136911</v>
      </c>
      <c r="C555" s="1">
        <v>0.134159</v>
      </c>
      <c r="D555" s="1">
        <f>IF(B555&gt;C555,B555-C555,C555-B555)</f>
        <v>2.7520000000000044E-3</v>
      </c>
      <c r="E555">
        <f>MINUTE(D555)</f>
        <v>3</v>
      </c>
      <c r="F555">
        <f>SECOND(D555)</f>
        <v>58</v>
      </c>
      <c r="G555">
        <f>ROUND(E555+F555/60,2)</f>
        <v>3.97</v>
      </c>
      <c r="H555">
        <f>60*E555+F555</f>
        <v>238</v>
      </c>
      <c r="I555" s="3">
        <f>5*(3600/H555)</f>
        <v>75.630252100840337</v>
      </c>
      <c r="J555" s="16">
        <f t="shared" si="16"/>
        <v>0</v>
      </c>
      <c r="K555" s="17">
        <f t="shared" si="17"/>
        <v>3</v>
      </c>
    </row>
    <row r="556" spans="1:11" x14ac:dyDescent="0.25">
      <c r="A556" s="4" t="s">
        <v>158</v>
      </c>
      <c r="B556" s="1">
        <v>0.58547800000000005</v>
      </c>
      <c r="C556" s="1">
        <v>0.58823000000000003</v>
      </c>
      <c r="D556" s="1">
        <f>IF(B556&gt;C556,B556-C556,C556-B556)</f>
        <v>2.7519999999999767E-3</v>
      </c>
      <c r="E556">
        <f>MINUTE(D556)</f>
        <v>3</v>
      </c>
      <c r="F556">
        <f>SECOND(D556)</f>
        <v>58</v>
      </c>
      <c r="G556">
        <f>ROUND(E556+F556/60,2)</f>
        <v>3.97</v>
      </c>
      <c r="H556">
        <f>60*E556+F556</f>
        <v>238</v>
      </c>
      <c r="I556" s="3">
        <f>5*(3600/H556)</f>
        <v>75.630252100840337</v>
      </c>
      <c r="J556" s="16">
        <f t="shared" si="16"/>
        <v>0</v>
      </c>
      <c r="K556" s="17">
        <f t="shared" si="17"/>
        <v>14</v>
      </c>
    </row>
    <row r="557" spans="1:11" x14ac:dyDescent="0.25">
      <c r="A557" s="4" t="s">
        <v>341</v>
      </c>
      <c r="B557" s="1">
        <v>0.70019799999999999</v>
      </c>
      <c r="C557" s="1">
        <v>0.70295399999999997</v>
      </c>
      <c r="D557" s="1">
        <f>IF(B557&gt;C557,B557-C557,C557-B557)</f>
        <v>2.7559999999999807E-3</v>
      </c>
      <c r="E557">
        <f>MINUTE(D557)</f>
        <v>3</v>
      </c>
      <c r="F557">
        <f>SECOND(D557)</f>
        <v>58</v>
      </c>
      <c r="G557">
        <f>ROUND(E557+F557/60,2)</f>
        <v>3.97</v>
      </c>
      <c r="H557">
        <f>60*E557+F557</f>
        <v>238</v>
      </c>
      <c r="I557" s="3">
        <f>5*(3600/H557)</f>
        <v>75.630252100840337</v>
      </c>
      <c r="J557" s="16">
        <f t="shared" si="16"/>
        <v>0</v>
      </c>
      <c r="K557" s="17">
        <f t="shared" si="17"/>
        <v>16</v>
      </c>
    </row>
    <row r="558" spans="1:11" x14ac:dyDescent="0.25">
      <c r="A558" s="4" t="s">
        <v>41</v>
      </c>
      <c r="B558" s="1">
        <v>0.61574300000000004</v>
      </c>
      <c r="C558" s="1">
        <v>0.61297900000000005</v>
      </c>
      <c r="D558" s="1">
        <f>IF(B558&gt;C558,B558-C558,C558-B558)</f>
        <v>2.7639999999999887E-3</v>
      </c>
      <c r="E558">
        <f>MINUTE(D558)</f>
        <v>3</v>
      </c>
      <c r="F558">
        <f>SECOND(D558)</f>
        <v>59</v>
      </c>
      <c r="G558">
        <f>ROUND(E558+F558/60,2)</f>
        <v>3.98</v>
      </c>
      <c r="H558">
        <f>60*E558+F558</f>
        <v>239</v>
      </c>
      <c r="I558" s="3">
        <f>5*(3600/H558)</f>
        <v>75.313807531380746</v>
      </c>
      <c r="J558" s="16">
        <f t="shared" si="16"/>
        <v>0</v>
      </c>
      <c r="K558" s="17">
        <f t="shared" si="17"/>
        <v>14</v>
      </c>
    </row>
    <row r="559" spans="1:11" x14ac:dyDescent="0.25">
      <c r="A559" s="4" t="s">
        <v>132</v>
      </c>
      <c r="B559" s="1">
        <v>6.6352999999999995E-2</v>
      </c>
      <c r="C559" s="1">
        <v>6.3589000000000007E-2</v>
      </c>
      <c r="D559" s="1">
        <f>IF(B559&gt;C559,B559-C559,C559-B559)</f>
        <v>2.7639999999999887E-3</v>
      </c>
      <c r="E559">
        <f>MINUTE(D559)</f>
        <v>3</v>
      </c>
      <c r="F559">
        <f>SECOND(D559)</f>
        <v>59</v>
      </c>
      <c r="G559">
        <f>ROUND(E559+F559/60,2)</f>
        <v>3.98</v>
      </c>
      <c r="H559">
        <f>60*E559+F559</f>
        <v>239</v>
      </c>
      <c r="I559" s="3">
        <f>5*(3600/H559)</f>
        <v>75.313807531380746</v>
      </c>
      <c r="J559" s="16">
        <f t="shared" si="16"/>
        <v>0</v>
      </c>
      <c r="K559" s="17">
        <f t="shared" si="17"/>
        <v>1</v>
      </c>
    </row>
    <row r="560" spans="1:11" x14ac:dyDescent="0.25">
      <c r="A560" s="4" t="s">
        <v>333</v>
      </c>
      <c r="B560" s="1">
        <v>0.288352</v>
      </c>
      <c r="C560" s="1">
        <v>0.29111999999999999</v>
      </c>
      <c r="D560" s="1">
        <f>IF(B560&gt;C560,B560-C560,C560-B560)</f>
        <v>2.7679999999999927E-3</v>
      </c>
      <c r="E560">
        <f>MINUTE(D560)</f>
        <v>3</v>
      </c>
      <c r="F560">
        <f>SECOND(D560)</f>
        <v>59</v>
      </c>
      <c r="G560">
        <f>ROUND(E560+F560/60,2)</f>
        <v>3.98</v>
      </c>
      <c r="H560">
        <f>60*E560+F560</f>
        <v>239</v>
      </c>
      <c r="I560" s="3">
        <f>5*(3600/H560)</f>
        <v>75.313807531380746</v>
      </c>
      <c r="J560" s="16">
        <f t="shared" si="16"/>
        <v>0</v>
      </c>
      <c r="K560" s="17">
        <f t="shared" si="17"/>
        <v>6</v>
      </c>
    </row>
    <row r="561" spans="1:11" x14ac:dyDescent="0.25">
      <c r="A561" s="8" t="s">
        <v>133</v>
      </c>
      <c r="B561" s="1">
        <v>0.86760800000000005</v>
      </c>
      <c r="C561" s="1">
        <v>0.87038800000000005</v>
      </c>
      <c r="D561" s="1">
        <f>IF(B561&gt;C561,B561-C561,C561-B561)</f>
        <v>2.7800000000000047E-3</v>
      </c>
      <c r="E561">
        <f>MINUTE(D561)</f>
        <v>4</v>
      </c>
      <c r="F561">
        <f>SECOND(D561)</f>
        <v>0</v>
      </c>
      <c r="G561">
        <f>ROUND(E561+F561/60,2)</f>
        <v>4</v>
      </c>
      <c r="H561">
        <f>60*E561+F561</f>
        <v>240</v>
      </c>
      <c r="I561" s="10">
        <f>5*(3600/H561)</f>
        <v>75</v>
      </c>
      <c r="J561" s="16">
        <f t="shared" si="16"/>
        <v>0</v>
      </c>
      <c r="K561" s="17">
        <f t="shared" si="17"/>
        <v>20</v>
      </c>
    </row>
    <row r="562" spans="1:11" x14ac:dyDescent="0.25">
      <c r="A562" s="4" t="s">
        <v>161</v>
      </c>
      <c r="B562" s="1">
        <v>0.75155000000000005</v>
      </c>
      <c r="C562" s="1">
        <v>0.75432600000000005</v>
      </c>
      <c r="D562" s="1">
        <f>IF(B562&gt;C562,B562-C562,C562-B562)</f>
        <v>2.7760000000000007E-3</v>
      </c>
      <c r="E562">
        <f>MINUTE(D562)</f>
        <v>4</v>
      </c>
      <c r="F562">
        <f>SECOND(D562)</f>
        <v>0</v>
      </c>
      <c r="G562">
        <f>ROUND(E562+F562/60,2)</f>
        <v>4</v>
      </c>
      <c r="H562">
        <f>60*E562+F562</f>
        <v>240</v>
      </c>
      <c r="I562" s="3">
        <f>5*(3600/H562)</f>
        <v>75</v>
      </c>
      <c r="J562" s="16">
        <f t="shared" si="16"/>
        <v>0</v>
      </c>
      <c r="K562" s="17">
        <f t="shared" si="17"/>
        <v>18</v>
      </c>
    </row>
    <row r="563" spans="1:11" x14ac:dyDescent="0.25">
      <c r="A563" s="4" t="s">
        <v>75</v>
      </c>
      <c r="B563" s="1">
        <v>0.75184499999999999</v>
      </c>
      <c r="C563" s="1">
        <v>0.75461699999999998</v>
      </c>
      <c r="D563" s="1">
        <f>IF(B563&gt;C563,B563-C563,C563-B563)</f>
        <v>2.7719999999999967E-3</v>
      </c>
      <c r="E563">
        <f>MINUTE(D563)</f>
        <v>4</v>
      </c>
      <c r="F563">
        <f>SECOND(D563)</f>
        <v>0</v>
      </c>
      <c r="G563">
        <f>ROUND(E563+F563/60,2)</f>
        <v>4</v>
      </c>
      <c r="H563">
        <f>60*E563+F563</f>
        <v>240</v>
      </c>
      <c r="I563" s="3">
        <f>5*(3600/H563)</f>
        <v>75</v>
      </c>
      <c r="J563" s="16">
        <f t="shared" si="16"/>
        <v>0</v>
      </c>
      <c r="K563" s="17">
        <f t="shared" si="17"/>
        <v>18</v>
      </c>
    </row>
    <row r="564" spans="1:11" x14ac:dyDescent="0.25">
      <c r="A564" s="4" t="s">
        <v>25</v>
      </c>
      <c r="B564" s="1">
        <v>0.93257800000000002</v>
      </c>
      <c r="C564" s="1">
        <v>0.92980200000000002</v>
      </c>
      <c r="D564" s="1">
        <f>IF(B564&gt;C564,B564-C564,C564-B564)</f>
        <v>2.7760000000000007E-3</v>
      </c>
      <c r="E564">
        <f>MINUTE(D564)</f>
        <v>4</v>
      </c>
      <c r="F564">
        <f>SECOND(D564)</f>
        <v>0</v>
      </c>
      <c r="G564">
        <f>ROUND(E564+F564/60,2)</f>
        <v>4</v>
      </c>
      <c r="H564">
        <f>60*E564+F564</f>
        <v>240</v>
      </c>
      <c r="I564" s="3">
        <f>5*(3600/H564)</f>
        <v>75</v>
      </c>
      <c r="J564" s="16">
        <f t="shared" si="16"/>
        <v>0</v>
      </c>
      <c r="K564" s="17">
        <f t="shared" si="17"/>
        <v>22</v>
      </c>
    </row>
    <row r="565" spans="1:11" x14ac:dyDescent="0.25">
      <c r="A565" s="4" t="s">
        <v>93</v>
      </c>
      <c r="B565" s="1">
        <v>2.2315999999999999E-2</v>
      </c>
      <c r="C565" s="1">
        <v>1.9543999999999999E-2</v>
      </c>
      <c r="D565" s="1">
        <f>IF(B565&gt;C565,B565-C565,C565-B565)</f>
        <v>2.7720000000000002E-3</v>
      </c>
      <c r="E565">
        <f>MINUTE(D565)</f>
        <v>4</v>
      </c>
      <c r="F565">
        <f>SECOND(D565)</f>
        <v>0</v>
      </c>
      <c r="G565">
        <f>ROUND(E565+F565/60,2)</f>
        <v>4</v>
      </c>
      <c r="H565">
        <f>60*E565+F565</f>
        <v>240</v>
      </c>
      <c r="I565" s="3">
        <f>5*(3600/H565)</f>
        <v>75</v>
      </c>
      <c r="J565" s="16">
        <f t="shared" si="16"/>
        <v>0</v>
      </c>
      <c r="K565" s="17">
        <f t="shared" si="17"/>
        <v>0</v>
      </c>
    </row>
    <row r="566" spans="1:11" x14ac:dyDescent="0.25">
      <c r="A566" s="4" t="s">
        <v>227</v>
      </c>
      <c r="B566" s="1">
        <v>0.529331</v>
      </c>
      <c r="C566" s="1">
        <v>0.532107</v>
      </c>
      <c r="D566" s="1">
        <f>IF(B566&gt;C566,B566-C566,C566-B566)</f>
        <v>2.7760000000000007E-3</v>
      </c>
      <c r="E566">
        <f>MINUTE(D566)</f>
        <v>4</v>
      </c>
      <c r="F566">
        <f>SECOND(D566)</f>
        <v>0</v>
      </c>
      <c r="G566">
        <f>ROUND(E566+F566/60,2)</f>
        <v>4</v>
      </c>
      <c r="H566">
        <f>60*E566+F566</f>
        <v>240</v>
      </c>
      <c r="I566" s="3">
        <f>5*(3600/H566)</f>
        <v>75</v>
      </c>
      <c r="J566" s="16">
        <f t="shared" si="16"/>
        <v>0</v>
      </c>
      <c r="K566" s="17">
        <f t="shared" si="17"/>
        <v>12</v>
      </c>
    </row>
    <row r="567" spans="1:11" x14ac:dyDescent="0.25">
      <c r="A567" s="4" t="s">
        <v>66</v>
      </c>
      <c r="B567" s="1">
        <v>6.5331E-2</v>
      </c>
      <c r="C567" s="1">
        <v>6.2547000000000005E-2</v>
      </c>
      <c r="D567" s="1">
        <f>IF(B567&gt;C567,B567-C567,C567-B567)</f>
        <v>2.7839999999999948E-3</v>
      </c>
      <c r="E567">
        <f>MINUTE(D567)</f>
        <v>4</v>
      </c>
      <c r="F567">
        <f>SECOND(D567)</f>
        <v>1</v>
      </c>
      <c r="G567">
        <f>ROUND(E567+F567/60,2)</f>
        <v>4.0199999999999996</v>
      </c>
      <c r="H567">
        <f>60*E567+F567</f>
        <v>241</v>
      </c>
      <c r="I567" s="3">
        <f>5*(3600/H567)</f>
        <v>74.68879668049793</v>
      </c>
      <c r="J567" s="16">
        <f t="shared" si="16"/>
        <v>0</v>
      </c>
      <c r="K567" s="17">
        <f t="shared" si="17"/>
        <v>1</v>
      </c>
    </row>
    <row r="568" spans="1:11" x14ac:dyDescent="0.25">
      <c r="A568" s="4" t="s">
        <v>91</v>
      </c>
      <c r="B568" s="1">
        <v>0.52953499999999998</v>
      </c>
      <c r="C568" s="1">
        <v>0.52674299999999996</v>
      </c>
      <c r="D568" s="1">
        <f>IF(B568&gt;C568,B568-C568,C568-B568)</f>
        <v>2.7920000000000167E-3</v>
      </c>
      <c r="E568">
        <f>MINUTE(D568)</f>
        <v>4</v>
      </c>
      <c r="F568">
        <f>SECOND(D568)</f>
        <v>1</v>
      </c>
      <c r="G568">
        <f>ROUND(E568+F568/60,2)</f>
        <v>4.0199999999999996</v>
      </c>
      <c r="H568">
        <f>60*E568+F568</f>
        <v>241</v>
      </c>
      <c r="I568" s="3">
        <f>5*(3600/H568)</f>
        <v>74.68879668049793</v>
      </c>
      <c r="J568" s="16">
        <f t="shared" si="16"/>
        <v>0</v>
      </c>
      <c r="K568" s="17">
        <f t="shared" si="17"/>
        <v>12</v>
      </c>
    </row>
    <row r="569" spans="1:11" x14ac:dyDescent="0.25">
      <c r="A569" s="4" t="s">
        <v>429</v>
      </c>
      <c r="B569" s="1">
        <v>0.85646699999999998</v>
      </c>
      <c r="C569" s="1">
        <v>0.85925499999999999</v>
      </c>
      <c r="D569" s="1">
        <f>IF(B569&gt;C569,B569-C569,C569-B569)</f>
        <v>2.7880000000000127E-3</v>
      </c>
      <c r="E569">
        <f>MINUTE(D569)</f>
        <v>4</v>
      </c>
      <c r="F569">
        <f>SECOND(D569)</f>
        <v>1</v>
      </c>
      <c r="G569">
        <f>ROUND(E569+F569/60,2)</f>
        <v>4.0199999999999996</v>
      </c>
      <c r="H569">
        <f>60*E569+F569</f>
        <v>241</v>
      </c>
      <c r="I569" s="3">
        <f>5*(3600/H569)</f>
        <v>74.68879668049793</v>
      </c>
      <c r="J569" s="16">
        <f t="shared" si="16"/>
        <v>0</v>
      </c>
      <c r="K569" s="17">
        <f t="shared" si="17"/>
        <v>20</v>
      </c>
    </row>
    <row r="570" spans="1:11" x14ac:dyDescent="0.25">
      <c r="A570" s="4" t="s">
        <v>162</v>
      </c>
      <c r="B570" s="1">
        <v>0.15484700000000001</v>
      </c>
      <c r="C570" s="1">
        <v>0.152063</v>
      </c>
      <c r="D570" s="1">
        <f>IF(B570&gt;C570,B570-C570,C570-B570)</f>
        <v>2.7840000000000087E-3</v>
      </c>
      <c r="E570">
        <f>MINUTE(D570)</f>
        <v>4</v>
      </c>
      <c r="F570">
        <f>SECOND(D570)</f>
        <v>1</v>
      </c>
      <c r="G570">
        <f>ROUND(E570+F570/60,2)</f>
        <v>4.0199999999999996</v>
      </c>
      <c r="H570">
        <f>60*E570+F570</f>
        <v>241</v>
      </c>
      <c r="I570" s="3">
        <f>5*(3600/H570)</f>
        <v>74.68879668049793</v>
      </c>
      <c r="J570" s="16">
        <f t="shared" si="16"/>
        <v>0</v>
      </c>
      <c r="K570" s="17">
        <f t="shared" si="17"/>
        <v>3</v>
      </c>
    </row>
    <row r="571" spans="1:11" x14ac:dyDescent="0.25">
      <c r="A571" s="4" t="s">
        <v>87</v>
      </c>
      <c r="B571" s="1">
        <v>0.44664599999999999</v>
      </c>
      <c r="C571" s="1">
        <v>0.44944200000000001</v>
      </c>
      <c r="D571" s="1">
        <f>IF(B571&gt;C571,B571-C571,C571-B571)</f>
        <v>2.7960000000000207E-3</v>
      </c>
      <c r="E571">
        <f>MINUTE(D571)</f>
        <v>4</v>
      </c>
      <c r="F571">
        <f>SECOND(D571)</f>
        <v>2</v>
      </c>
      <c r="G571">
        <f>ROUND(E571+F571/60,2)</f>
        <v>4.03</v>
      </c>
      <c r="H571">
        <f>60*E571+F571</f>
        <v>242</v>
      </c>
      <c r="I571" s="3">
        <f>5*(3600/H571)</f>
        <v>74.380165289256198</v>
      </c>
      <c r="J571" s="16">
        <f t="shared" si="16"/>
        <v>0</v>
      </c>
      <c r="K571" s="17">
        <f t="shared" si="17"/>
        <v>10</v>
      </c>
    </row>
    <row r="572" spans="1:11" x14ac:dyDescent="0.25">
      <c r="A572" s="4" t="s">
        <v>105</v>
      </c>
      <c r="B572" s="1">
        <v>0.70912799999999998</v>
      </c>
      <c r="C572" s="1">
        <v>0.70633199999999996</v>
      </c>
      <c r="D572" s="1">
        <f>IF(B572&gt;C572,B572-C572,C572-B572)</f>
        <v>2.7960000000000207E-3</v>
      </c>
      <c r="E572">
        <f>MINUTE(D572)</f>
        <v>4</v>
      </c>
      <c r="F572">
        <f>SECOND(D572)</f>
        <v>2</v>
      </c>
      <c r="G572">
        <f>ROUND(E572+F572/60,2)</f>
        <v>4.03</v>
      </c>
      <c r="H572">
        <f>60*E572+F572</f>
        <v>242</v>
      </c>
      <c r="I572" s="3">
        <f>5*(3600/H572)</f>
        <v>74.380165289256198</v>
      </c>
      <c r="J572" s="16">
        <f t="shared" si="16"/>
        <v>0</v>
      </c>
      <c r="K572" s="17">
        <f t="shared" si="17"/>
        <v>17</v>
      </c>
    </row>
    <row r="573" spans="1:11" x14ac:dyDescent="0.25">
      <c r="A573" s="4" t="s">
        <v>56</v>
      </c>
      <c r="B573" s="1">
        <v>0.76231800000000005</v>
      </c>
      <c r="C573" s="1">
        <v>0.75952200000000003</v>
      </c>
      <c r="D573" s="1">
        <f>IF(B573&gt;C573,B573-C573,C573-B573)</f>
        <v>2.7960000000000207E-3</v>
      </c>
      <c r="E573">
        <f>MINUTE(D573)</f>
        <v>4</v>
      </c>
      <c r="F573">
        <f>SECOND(D573)</f>
        <v>2</v>
      </c>
      <c r="G573">
        <f>ROUND(E573+F573/60,2)</f>
        <v>4.03</v>
      </c>
      <c r="H573">
        <f>60*E573+F573</f>
        <v>242</v>
      </c>
      <c r="I573" s="3">
        <f>5*(3600/H573)</f>
        <v>74.380165289256198</v>
      </c>
      <c r="J573" s="16">
        <f t="shared" si="16"/>
        <v>0</v>
      </c>
      <c r="K573" s="17">
        <f t="shared" si="17"/>
        <v>18</v>
      </c>
    </row>
    <row r="574" spans="1:11" x14ac:dyDescent="0.25">
      <c r="A574" s="4" t="s">
        <v>38</v>
      </c>
      <c r="B574" s="1">
        <v>0.333036</v>
      </c>
      <c r="C574" s="1">
        <v>0.33584799999999998</v>
      </c>
      <c r="D574" s="1">
        <f>IF(B574&gt;C574,B574-C574,C574-B574)</f>
        <v>2.8119999999999812E-3</v>
      </c>
      <c r="E574">
        <f>MINUTE(D574)</f>
        <v>4</v>
      </c>
      <c r="F574">
        <f>SECOND(D574)</f>
        <v>3</v>
      </c>
      <c r="G574">
        <f>ROUND(E574+F574/60,2)</f>
        <v>4.05</v>
      </c>
      <c r="H574">
        <f>60*E574+F574</f>
        <v>243</v>
      </c>
      <c r="I574" s="3">
        <f>5*(3600/H574)</f>
        <v>74.074074074074076</v>
      </c>
      <c r="J574" s="16">
        <f t="shared" si="16"/>
        <v>0</v>
      </c>
      <c r="K574" s="17">
        <f t="shared" si="17"/>
        <v>7</v>
      </c>
    </row>
    <row r="575" spans="1:11" x14ac:dyDescent="0.25">
      <c r="A575" s="4" t="s">
        <v>107</v>
      </c>
      <c r="B575" s="1">
        <v>0.27387699999999998</v>
      </c>
      <c r="C575" s="1">
        <v>0.271065</v>
      </c>
      <c r="D575" s="1">
        <f>IF(B575&gt;C575,B575-C575,C575-B575)</f>
        <v>2.8119999999999812E-3</v>
      </c>
      <c r="E575">
        <f>MINUTE(D575)</f>
        <v>4</v>
      </c>
      <c r="F575">
        <f>SECOND(D575)</f>
        <v>3</v>
      </c>
      <c r="G575">
        <f>ROUND(E575+F575/60,2)</f>
        <v>4.05</v>
      </c>
      <c r="H575">
        <f>60*E575+F575</f>
        <v>243</v>
      </c>
      <c r="I575" s="3">
        <f>5*(3600/H575)</f>
        <v>74.074074074074076</v>
      </c>
      <c r="J575" s="16">
        <f t="shared" si="16"/>
        <v>0</v>
      </c>
      <c r="K575" s="17">
        <f t="shared" si="17"/>
        <v>6</v>
      </c>
    </row>
    <row r="576" spans="1:11" x14ac:dyDescent="0.25">
      <c r="A576" s="4" t="s">
        <v>60</v>
      </c>
      <c r="B576" s="1">
        <v>0.22966</v>
      </c>
      <c r="C576" s="1">
        <v>0.23246800000000001</v>
      </c>
      <c r="D576" s="1">
        <f>IF(B576&gt;C576,B576-C576,C576-B576)</f>
        <v>2.8080000000000049E-3</v>
      </c>
      <c r="E576">
        <f>MINUTE(D576)</f>
        <v>4</v>
      </c>
      <c r="F576">
        <f>SECOND(D576)</f>
        <v>3</v>
      </c>
      <c r="G576">
        <f>ROUND(E576+F576/60,2)</f>
        <v>4.05</v>
      </c>
      <c r="H576">
        <f>60*E576+F576</f>
        <v>243</v>
      </c>
      <c r="I576" s="3">
        <f>5*(3600/H576)</f>
        <v>74.074074074074076</v>
      </c>
      <c r="J576" s="16">
        <f t="shared" si="16"/>
        <v>0</v>
      </c>
      <c r="K576" s="17">
        <f t="shared" si="17"/>
        <v>5</v>
      </c>
    </row>
    <row r="577" spans="1:11" x14ac:dyDescent="0.25">
      <c r="A577" s="4" t="s">
        <v>87</v>
      </c>
      <c r="B577" s="1">
        <v>0.75573800000000002</v>
      </c>
      <c r="C577" s="1">
        <v>0.75292599999999998</v>
      </c>
      <c r="D577" s="1">
        <f>IF(B577&gt;C577,B577-C577,C577-B577)</f>
        <v>2.8120000000000367E-3</v>
      </c>
      <c r="E577">
        <f>MINUTE(D577)</f>
        <v>4</v>
      </c>
      <c r="F577">
        <f>SECOND(D577)</f>
        <v>3</v>
      </c>
      <c r="G577">
        <f>ROUND(E577+F577/60,2)</f>
        <v>4.05</v>
      </c>
      <c r="H577">
        <f>60*E577+F577</f>
        <v>243</v>
      </c>
      <c r="I577" s="3">
        <f>5*(3600/H577)</f>
        <v>74.074074074074076</v>
      </c>
      <c r="J577" s="16">
        <f t="shared" si="16"/>
        <v>0</v>
      </c>
      <c r="K577" s="17">
        <f t="shared" si="17"/>
        <v>18</v>
      </c>
    </row>
    <row r="578" spans="1:11" x14ac:dyDescent="0.25">
      <c r="A578" s="4" t="s">
        <v>97</v>
      </c>
      <c r="B578" s="1">
        <v>0.51822299999999999</v>
      </c>
      <c r="C578" s="1">
        <v>0.52104300000000003</v>
      </c>
      <c r="D578" s="1">
        <f>IF(B578&gt;C578,B578-C578,C578-B578)</f>
        <v>2.8200000000000447E-3</v>
      </c>
      <c r="E578">
        <f>MINUTE(D578)</f>
        <v>4</v>
      </c>
      <c r="F578">
        <f>SECOND(D578)</f>
        <v>4</v>
      </c>
      <c r="G578">
        <f>ROUND(E578+F578/60,2)</f>
        <v>4.07</v>
      </c>
      <c r="H578">
        <f>60*E578+F578</f>
        <v>244</v>
      </c>
      <c r="I578" s="3">
        <f>5*(3600/H578)</f>
        <v>73.770491803278688</v>
      </c>
      <c r="J578" s="16">
        <f t="shared" si="16"/>
        <v>0</v>
      </c>
      <c r="K578" s="17">
        <f t="shared" si="17"/>
        <v>12</v>
      </c>
    </row>
    <row r="579" spans="1:11" x14ac:dyDescent="0.25">
      <c r="A579" s="4" t="s">
        <v>147</v>
      </c>
      <c r="B579" s="1">
        <v>0.75391399999999997</v>
      </c>
      <c r="C579" s="1">
        <v>0.75674200000000003</v>
      </c>
      <c r="D579" s="1">
        <f>IF(B579&gt;C579,B579-C579,C579-B579)</f>
        <v>2.8280000000000527E-3</v>
      </c>
      <c r="E579">
        <f>MINUTE(D579)</f>
        <v>4</v>
      </c>
      <c r="F579">
        <f>SECOND(D579)</f>
        <v>4</v>
      </c>
      <c r="G579">
        <f>ROUND(E579+F579/60,2)</f>
        <v>4.07</v>
      </c>
      <c r="H579">
        <f>60*E579+F579</f>
        <v>244</v>
      </c>
      <c r="I579" s="3">
        <f>5*(3600/H579)</f>
        <v>73.770491803278688</v>
      </c>
      <c r="J579" s="16">
        <f t="shared" ref="J579:J642" si="18">IF(I579&gt;140,1,0)</f>
        <v>0</v>
      </c>
      <c r="K579" s="17">
        <f t="shared" ref="K579:K642" si="19">HOUR(B579)</f>
        <v>18</v>
      </c>
    </row>
    <row r="580" spans="1:11" x14ac:dyDescent="0.25">
      <c r="A580" s="4" t="s">
        <v>5</v>
      </c>
      <c r="B580" s="1">
        <v>0.13649500000000001</v>
      </c>
      <c r="C580" s="1">
        <v>0.139319</v>
      </c>
      <c r="D580" s="1">
        <f>IF(B580&gt;C580,B580-C580,C580-B580)</f>
        <v>2.8239999999999932E-3</v>
      </c>
      <c r="E580">
        <f>MINUTE(D580)</f>
        <v>4</v>
      </c>
      <c r="F580">
        <f>SECOND(D580)</f>
        <v>4</v>
      </c>
      <c r="G580">
        <f>ROUND(E580+F580/60,2)</f>
        <v>4.07</v>
      </c>
      <c r="H580">
        <f>60*E580+F580</f>
        <v>244</v>
      </c>
      <c r="I580" s="3">
        <f>5*(3600/H580)</f>
        <v>73.770491803278688</v>
      </c>
      <c r="J580" s="16">
        <f t="shared" si="18"/>
        <v>0</v>
      </c>
      <c r="K580" s="17">
        <f t="shared" si="19"/>
        <v>3</v>
      </c>
    </row>
    <row r="581" spans="1:11" x14ac:dyDescent="0.25">
      <c r="A581" s="4" t="s">
        <v>17</v>
      </c>
      <c r="B581" s="1">
        <v>9.0898999999999994E-2</v>
      </c>
      <c r="C581" s="1">
        <v>9.3718999999999997E-2</v>
      </c>
      <c r="D581" s="1">
        <f>IF(B581&gt;C581,B581-C581,C581-B581)</f>
        <v>2.8200000000000031E-3</v>
      </c>
      <c r="E581">
        <f>MINUTE(D581)</f>
        <v>4</v>
      </c>
      <c r="F581">
        <f>SECOND(D581)</f>
        <v>4</v>
      </c>
      <c r="G581">
        <f>ROUND(E581+F581/60,2)</f>
        <v>4.07</v>
      </c>
      <c r="H581">
        <f>60*E581+F581</f>
        <v>244</v>
      </c>
      <c r="I581" s="3">
        <f>5*(3600/H581)</f>
        <v>73.770491803278688</v>
      </c>
      <c r="J581" s="16">
        <f t="shared" si="18"/>
        <v>0</v>
      </c>
      <c r="K581" s="17">
        <f t="shared" si="19"/>
        <v>2</v>
      </c>
    </row>
    <row r="582" spans="1:11" x14ac:dyDescent="0.25">
      <c r="A582" s="4" t="s">
        <v>162</v>
      </c>
      <c r="B582" s="1">
        <v>0.57133</v>
      </c>
      <c r="C582" s="1">
        <v>0.57415400000000005</v>
      </c>
      <c r="D582" s="1">
        <f>IF(B582&gt;C582,B582-C582,C582-B582)</f>
        <v>2.8240000000000487E-3</v>
      </c>
      <c r="E582">
        <f>MINUTE(D582)</f>
        <v>4</v>
      </c>
      <c r="F582">
        <f>SECOND(D582)</f>
        <v>4</v>
      </c>
      <c r="G582">
        <f>ROUND(E582+F582/60,2)</f>
        <v>4.07</v>
      </c>
      <c r="H582">
        <f>60*E582+F582</f>
        <v>244</v>
      </c>
      <c r="I582" s="3">
        <f>5*(3600/H582)</f>
        <v>73.770491803278688</v>
      </c>
      <c r="J582" s="16">
        <f t="shared" si="18"/>
        <v>0</v>
      </c>
      <c r="K582" s="17">
        <f t="shared" si="19"/>
        <v>13</v>
      </c>
    </row>
    <row r="583" spans="1:11" x14ac:dyDescent="0.25">
      <c r="A583" s="4" t="s">
        <v>47</v>
      </c>
      <c r="B583" s="1">
        <v>5.8332000000000002E-2</v>
      </c>
      <c r="C583" s="1">
        <v>5.5495999999999997E-2</v>
      </c>
      <c r="D583" s="1">
        <f>IF(B583&gt;C583,B583-C583,C583-B583)</f>
        <v>2.8360000000000052E-3</v>
      </c>
      <c r="E583">
        <f>MINUTE(D583)</f>
        <v>4</v>
      </c>
      <c r="F583">
        <f>SECOND(D583)</f>
        <v>5</v>
      </c>
      <c r="G583">
        <f>ROUND(E583+F583/60,2)</f>
        <v>4.08</v>
      </c>
      <c r="H583">
        <f>60*E583+F583</f>
        <v>245</v>
      </c>
      <c r="I583" s="3">
        <f>5*(3600/H583)</f>
        <v>73.469387755102048</v>
      </c>
      <c r="J583" s="16">
        <f t="shared" si="18"/>
        <v>0</v>
      </c>
      <c r="K583" s="17">
        <f t="shared" si="19"/>
        <v>1</v>
      </c>
    </row>
    <row r="584" spans="1:11" x14ac:dyDescent="0.25">
      <c r="A584" s="4" t="s">
        <v>50</v>
      </c>
      <c r="B584" s="1">
        <v>0.64752100000000001</v>
      </c>
      <c r="C584" s="1">
        <v>0.64468899999999996</v>
      </c>
      <c r="D584" s="1">
        <f>IF(B584&gt;C584,B584-C584,C584-B584)</f>
        <v>2.8320000000000567E-3</v>
      </c>
      <c r="E584">
        <f>MINUTE(D584)</f>
        <v>4</v>
      </c>
      <c r="F584">
        <f>SECOND(D584)</f>
        <v>5</v>
      </c>
      <c r="G584">
        <f>ROUND(E584+F584/60,2)</f>
        <v>4.08</v>
      </c>
      <c r="H584">
        <f>60*E584+F584</f>
        <v>245</v>
      </c>
      <c r="I584" s="3">
        <f>5*(3600/H584)</f>
        <v>73.469387755102048</v>
      </c>
      <c r="J584" s="16">
        <f t="shared" si="18"/>
        <v>0</v>
      </c>
      <c r="K584" s="17">
        <f t="shared" si="19"/>
        <v>15</v>
      </c>
    </row>
    <row r="585" spans="1:11" x14ac:dyDescent="0.25">
      <c r="A585" s="4" t="s">
        <v>16</v>
      </c>
      <c r="B585" s="1">
        <v>0.376137</v>
      </c>
      <c r="C585" s="1">
        <v>0.37329699999999999</v>
      </c>
      <c r="D585" s="1">
        <f>IF(B585&gt;C585,B585-C585,C585-B585)</f>
        <v>2.8400000000000092E-3</v>
      </c>
      <c r="E585">
        <f>MINUTE(D585)</f>
        <v>4</v>
      </c>
      <c r="F585">
        <f>SECOND(D585)</f>
        <v>5</v>
      </c>
      <c r="G585">
        <f>ROUND(E585+F585/60,2)</f>
        <v>4.08</v>
      </c>
      <c r="H585">
        <f>60*E585+F585</f>
        <v>245</v>
      </c>
      <c r="I585" s="3">
        <f>5*(3600/H585)</f>
        <v>73.469387755102048</v>
      </c>
      <c r="J585" s="16">
        <f t="shared" si="18"/>
        <v>0</v>
      </c>
      <c r="K585" s="17">
        <f t="shared" si="19"/>
        <v>9</v>
      </c>
    </row>
    <row r="586" spans="1:11" x14ac:dyDescent="0.25">
      <c r="A586" s="4" t="s">
        <v>363</v>
      </c>
      <c r="B586" s="1">
        <v>0.58136100000000002</v>
      </c>
      <c r="C586" s="1">
        <v>0.57852499999999996</v>
      </c>
      <c r="D586" s="1">
        <f>IF(B586&gt;C586,B586-C586,C586-B586)</f>
        <v>2.8360000000000607E-3</v>
      </c>
      <c r="E586">
        <f>MINUTE(D586)</f>
        <v>4</v>
      </c>
      <c r="F586">
        <f>SECOND(D586)</f>
        <v>5</v>
      </c>
      <c r="G586">
        <f>ROUND(E586+F586/60,2)</f>
        <v>4.08</v>
      </c>
      <c r="H586">
        <f>60*E586+F586</f>
        <v>245</v>
      </c>
      <c r="I586" s="3">
        <f>5*(3600/H586)</f>
        <v>73.469387755102048</v>
      </c>
      <c r="J586" s="16">
        <f t="shared" si="18"/>
        <v>0</v>
      </c>
      <c r="K586" s="17">
        <f t="shared" si="19"/>
        <v>13</v>
      </c>
    </row>
    <row r="587" spans="1:11" x14ac:dyDescent="0.25">
      <c r="A587" s="4" t="s">
        <v>144</v>
      </c>
      <c r="B587" s="1">
        <v>0.94697500000000001</v>
      </c>
      <c r="C587" s="1">
        <v>0.94982699999999998</v>
      </c>
      <c r="D587" s="1">
        <f>IF(B587&gt;C587,B587-C587,C587-B587)</f>
        <v>2.8519999999999657E-3</v>
      </c>
      <c r="E587">
        <f>MINUTE(D587)</f>
        <v>4</v>
      </c>
      <c r="F587">
        <f>SECOND(D587)</f>
        <v>6</v>
      </c>
      <c r="G587">
        <f>ROUND(E587+F587/60,2)</f>
        <v>4.0999999999999996</v>
      </c>
      <c r="H587">
        <f>60*E587+F587</f>
        <v>246</v>
      </c>
      <c r="I587" s="3">
        <f>5*(3600/H587)</f>
        <v>73.170731707317074</v>
      </c>
      <c r="J587" s="16">
        <f t="shared" si="18"/>
        <v>0</v>
      </c>
      <c r="K587" s="17">
        <f t="shared" si="19"/>
        <v>22</v>
      </c>
    </row>
    <row r="588" spans="1:11" x14ac:dyDescent="0.25">
      <c r="A588" s="4" t="s">
        <v>145</v>
      </c>
      <c r="B588" s="1">
        <v>0.86413600000000002</v>
      </c>
      <c r="C588" s="1">
        <v>0.86697999999999997</v>
      </c>
      <c r="D588" s="1">
        <f>IF(B588&gt;C588,B588-C588,C588-B588)</f>
        <v>2.8439999999999577E-3</v>
      </c>
      <c r="E588">
        <f>MINUTE(D588)</f>
        <v>4</v>
      </c>
      <c r="F588">
        <f>SECOND(D588)</f>
        <v>6</v>
      </c>
      <c r="G588">
        <f>ROUND(E588+F588/60,2)</f>
        <v>4.0999999999999996</v>
      </c>
      <c r="H588">
        <f>60*E588+F588</f>
        <v>246</v>
      </c>
      <c r="I588" s="3">
        <f>5*(3600/H588)</f>
        <v>73.170731707317074</v>
      </c>
      <c r="J588" s="16">
        <f t="shared" si="18"/>
        <v>0</v>
      </c>
      <c r="K588" s="17">
        <f t="shared" si="19"/>
        <v>20</v>
      </c>
    </row>
    <row r="589" spans="1:11" x14ac:dyDescent="0.25">
      <c r="A589" s="4" t="s">
        <v>80</v>
      </c>
      <c r="B589" s="1">
        <v>0.77809700000000004</v>
      </c>
      <c r="C589" s="1">
        <v>0.77524899999999997</v>
      </c>
      <c r="D589" s="1">
        <f>IF(B589&gt;C589,B589-C589,C589-B589)</f>
        <v>2.8480000000000727E-3</v>
      </c>
      <c r="E589">
        <f>MINUTE(D589)</f>
        <v>4</v>
      </c>
      <c r="F589">
        <f>SECOND(D589)</f>
        <v>6</v>
      </c>
      <c r="G589">
        <f>ROUND(E589+F589/60,2)</f>
        <v>4.0999999999999996</v>
      </c>
      <c r="H589">
        <f>60*E589+F589</f>
        <v>246</v>
      </c>
      <c r="I589" s="3">
        <f>5*(3600/H589)</f>
        <v>73.170731707317074</v>
      </c>
      <c r="J589" s="16">
        <f t="shared" si="18"/>
        <v>0</v>
      </c>
      <c r="K589" s="17">
        <f t="shared" si="19"/>
        <v>18</v>
      </c>
    </row>
    <row r="590" spans="1:11" x14ac:dyDescent="0.25">
      <c r="A590" s="4" t="s">
        <v>111</v>
      </c>
      <c r="B590" s="1">
        <v>0.51173299999999999</v>
      </c>
      <c r="C590" s="1">
        <v>0.51459699999999997</v>
      </c>
      <c r="D590" s="1">
        <f>IF(B590&gt;C590,B590-C590,C590-B590)</f>
        <v>2.8639999999999777E-3</v>
      </c>
      <c r="E590">
        <f>MINUTE(D590)</f>
        <v>4</v>
      </c>
      <c r="F590">
        <f>SECOND(D590)</f>
        <v>7</v>
      </c>
      <c r="G590">
        <f>ROUND(E590+F590/60,2)</f>
        <v>4.12</v>
      </c>
      <c r="H590">
        <f>60*E590+F590</f>
        <v>247</v>
      </c>
      <c r="I590" s="3">
        <f>5*(3600/H590)</f>
        <v>72.874493927125513</v>
      </c>
      <c r="J590" s="16">
        <f t="shared" si="18"/>
        <v>0</v>
      </c>
      <c r="K590" s="17">
        <f t="shared" si="19"/>
        <v>12</v>
      </c>
    </row>
    <row r="591" spans="1:11" x14ac:dyDescent="0.25">
      <c r="A591" s="4" t="s">
        <v>163</v>
      </c>
      <c r="B591" s="1">
        <v>6.4921000000000006E-2</v>
      </c>
      <c r="C591" s="1">
        <v>6.2060999999999998E-2</v>
      </c>
      <c r="D591" s="1">
        <f>IF(B591&gt;C591,B591-C591,C591-B591)</f>
        <v>2.8600000000000084E-3</v>
      </c>
      <c r="E591">
        <f>MINUTE(D591)</f>
        <v>4</v>
      </c>
      <c r="F591">
        <f>SECOND(D591)</f>
        <v>7</v>
      </c>
      <c r="G591">
        <f>ROUND(E591+F591/60,2)</f>
        <v>4.12</v>
      </c>
      <c r="H591">
        <f>60*E591+F591</f>
        <v>247</v>
      </c>
      <c r="I591" s="3">
        <f>5*(3600/H591)</f>
        <v>72.874493927125513</v>
      </c>
      <c r="J591" s="16">
        <f t="shared" si="18"/>
        <v>0</v>
      </c>
      <c r="K591" s="17">
        <f t="shared" si="19"/>
        <v>1</v>
      </c>
    </row>
    <row r="592" spans="1:11" x14ac:dyDescent="0.25">
      <c r="A592" s="4" t="s">
        <v>142</v>
      </c>
      <c r="B592" s="1">
        <v>0.924736</v>
      </c>
      <c r="C592" s="1">
        <v>0.92187600000000003</v>
      </c>
      <c r="D592" s="1">
        <f>IF(B592&gt;C592,B592-C592,C592-B592)</f>
        <v>2.8599999999999737E-3</v>
      </c>
      <c r="E592">
        <f>MINUTE(D592)</f>
        <v>4</v>
      </c>
      <c r="F592">
        <f>SECOND(D592)</f>
        <v>7</v>
      </c>
      <c r="G592">
        <f>ROUND(E592+F592/60,2)</f>
        <v>4.12</v>
      </c>
      <c r="H592">
        <f>60*E592+F592</f>
        <v>247</v>
      </c>
      <c r="I592" s="3">
        <f>5*(3600/H592)</f>
        <v>72.874493927125513</v>
      </c>
      <c r="J592" s="16">
        <f t="shared" si="18"/>
        <v>0</v>
      </c>
      <c r="K592" s="17">
        <f t="shared" si="19"/>
        <v>22</v>
      </c>
    </row>
    <row r="593" spans="1:11" x14ac:dyDescent="0.25">
      <c r="A593" s="4" t="s">
        <v>149</v>
      </c>
      <c r="B593" s="1">
        <v>0.84406099999999995</v>
      </c>
      <c r="C593" s="1">
        <v>0.84692100000000003</v>
      </c>
      <c r="D593" s="1">
        <f>IF(B593&gt;C593,B593-C593,C593-B593)</f>
        <v>2.8600000000000847E-3</v>
      </c>
      <c r="E593">
        <f>MINUTE(D593)</f>
        <v>4</v>
      </c>
      <c r="F593">
        <f>SECOND(D593)</f>
        <v>7</v>
      </c>
      <c r="G593">
        <f>ROUND(E593+F593/60,2)</f>
        <v>4.12</v>
      </c>
      <c r="H593">
        <f>60*E593+F593</f>
        <v>247</v>
      </c>
      <c r="I593" s="3">
        <f>5*(3600/H593)</f>
        <v>72.874493927125513</v>
      </c>
      <c r="J593" s="16">
        <f t="shared" si="18"/>
        <v>0</v>
      </c>
      <c r="K593" s="17">
        <f t="shared" si="19"/>
        <v>20</v>
      </c>
    </row>
    <row r="594" spans="1:11" x14ac:dyDescent="0.25">
      <c r="A594" s="4" t="s">
        <v>325</v>
      </c>
      <c r="B594" s="1">
        <v>0.46205000000000002</v>
      </c>
      <c r="C594" s="1">
        <v>0.45918999999999999</v>
      </c>
      <c r="D594" s="1">
        <f>IF(B594&gt;C594,B594-C594,C594-B594)</f>
        <v>2.8600000000000292E-3</v>
      </c>
      <c r="E594">
        <f>MINUTE(D594)</f>
        <v>4</v>
      </c>
      <c r="F594">
        <f>SECOND(D594)</f>
        <v>7</v>
      </c>
      <c r="G594">
        <f>ROUND(E594+F594/60,2)</f>
        <v>4.12</v>
      </c>
      <c r="H594">
        <f>60*E594+F594</f>
        <v>247</v>
      </c>
      <c r="I594" s="3">
        <f>5*(3600/H594)</f>
        <v>72.874493927125513</v>
      </c>
      <c r="J594" s="16">
        <f t="shared" si="18"/>
        <v>0</v>
      </c>
      <c r="K594" s="17">
        <f t="shared" si="19"/>
        <v>11</v>
      </c>
    </row>
    <row r="595" spans="1:11" x14ac:dyDescent="0.25">
      <c r="A595" s="4" t="s">
        <v>78</v>
      </c>
      <c r="B595" s="1">
        <v>0.93040699999999998</v>
      </c>
      <c r="C595" s="1">
        <v>0.93328299999999997</v>
      </c>
      <c r="D595" s="1">
        <f>IF(B595&gt;C595,B595-C595,C595-B595)</f>
        <v>2.8759999999999897E-3</v>
      </c>
      <c r="E595">
        <f>MINUTE(D595)</f>
        <v>4</v>
      </c>
      <c r="F595">
        <f>SECOND(D595)</f>
        <v>8</v>
      </c>
      <c r="G595">
        <f>ROUND(E595+F595/60,2)</f>
        <v>4.13</v>
      </c>
      <c r="H595">
        <f>60*E595+F595</f>
        <v>248</v>
      </c>
      <c r="I595" s="3">
        <f>5*(3600/H595)</f>
        <v>72.58064516129032</v>
      </c>
      <c r="J595" s="16">
        <f t="shared" si="18"/>
        <v>0</v>
      </c>
      <c r="K595" s="17">
        <f t="shared" si="19"/>
        <v>22</v>
      </c>
    </row>
    <row r="596" spans="1:11" x14ac:dyDescent="0.25">
      <c r="A596" s="4" t="s">
        <v>102</v>
      </c>
      <c r="B596" s="1">
        <v>0.69207300000000005</v>
      </c>
      <c r="C596" s="1">
        <v>0.68920499999999996</v>
      </c>
      <c r="D596" s="1">
        <f>IF(B596&gt;C596,B596-C596,C596-B596)</f>
        <v>2.8680000000000927E-3</v>
      </c>
      <c r="E596">
        <f>MINUTE(D596)</f>
        <v>4</v>
      </c>
      <c r="F596">
        <f>SECOND(D596)</f>
        <v>8</v>
      </c>
      <c r="G596">
        <f>ROUND(E596+F596/60,2)</f>
        <v>4.13</v>
      </c>
      <c r="H596">
        <f>60*E596+F596</f>
        <v>248</v>
      </c>
      <c r="I596" s="3">
        <f>5*(3600/H596)</f>
        <v>72.58064516129032</v>
      </c>
      <c r="J596" s="16">
        <f t="shared" si="18"/>
        <v>0</v>
      </c>
      <c r="K596" s="17">
        <f t="shared" si="19"/>
        <v>16</v>
      </c>
    </row>
    <row r="597" spans="1:11" x14ac:dyDescent="0.25">
      <c r="A597" s="4" t="s">
        <v>335</v>
      </c>
      <c r="B597" s="1">
        <v>0.42368600000000001</v>
      </c>
      <c r="C597" s="1">
        <v>0.42081000000000002</v>
      </c>
      <c r="D597" s="1">
        <f>IF(B597&gt;C597,B597-C597,C597-B597)</f>
        <v>2.8759999999999897E-3</v>
      </c>
      <c r="E597">
        <f>MINUTE(D597)</f>
        <v>4</v>
      </c>
      <c r="F597">
        <f>SECOND(D597)</f>
        <v>8</v>
      </c>
      <c r="G597">
        <f>ROUND(E597+F597/60,2)</f>
        <v>4.13</v>
      </c>
      <c r="H597">
        <f>60*E597+F597</f>
        <v>248</v>
      </c>
      <c r="I597" s="3">
        <f>5*(3600/H597)</f>
        <v>72.58064516129032</v>
      </c>
      <c r="J597" s="16">
        <f t="shared" si="18"/>
        <v>0</v>
      </c>
      <c r="K597" s="17">
        <f t="shared" si="19"/>
        <v>10</v>
      </c>
    </row>
    <row r="598" spans="1:11" x14ac:dyDescent="0.25">
      <c r="A598" s="4" t="s">
        <v>28</v>
      </c>
      <c r="B598" s="1">
        <v>0.38782699999999998</v>
      </c>
      <c r="C598" s="1">
        <v>0.38494699999999998</v>
      </c>
      <c r="D598" s="1">
        <f>IF(B598&gt;C598,B598-C598,C598-B598)</f>
        <v>2.8799999999999937E-3</v>
      </c>
      <c r="E598">
        <f>MINUTE(D598)</f>
        <v>4</v>
      </c>
      <c r="F598">
        <f>SECOND(D598)</f>
        <v>9</v>
      </c>
      <c r="G598">
        <f>ROUND(E598+F598/60,2)</f>
        <v>4.1500000000000004</v>
      </c>
      <c r="H598">
        <f>60*E598+F598</f>
        <v>249</v>
      </c>
      <c r="I598" s="3">
        <f>5*(3600/H598)</f>
        <v>72.289156626506028</v>
      </c>
      <c r="J598" s="16">
        <f t="shared" si="18"/>
        <v>0</v>
      </c>
      <c r="K598" s="17">
        <f t="shared" si="19"/>
        <v>9</v>
      </c>
    </row>
    <row r="599" spans="1:11" x14ac:dyDescent="0.25">
      <c r="A599" s="4" t="s">
        <v>36</v>
      </c>
      <c r="B599" s="1">
        <v>0.43002600000000002</v>
      </c>
      <c r="C599" s="1">
        <v>0.42713400000000001</v>
      </c>
      <c r="D599" s="1">
        <f>IF(B599&gt;C599,B599-C599,C599-B599)</f>
        <v>2.8920000000000057E-3</v>
      </c>
      <c r="E599">
        <f>MINUTE(D599)</f>
        <v>4</v>
      </c>
      <c r="F599">
        <f>SECOND(D599)</f>
        <v>10</v>
      </c>
      <c r="G599">
        <f>ROUND(E599+F599/60,2)</f>
        <v>4.17</v>
      </c>
      <c r="H599">
        <f>60*E599+F599</f>
        <v>250</v>
      </c>
      <c r="I599" s="3">
        <f>5*(3600/H599)</f>
        <v>72</v>
      </c>
      <c r="J599" s="16">
        <f t="shared" si="18"/>
        <v>0</v>
      </c>
      <c r="K599" s="17">
        <f t="shared" si="19"/>
        <v>10</v>
      </c>
    </row>
    <row r="600" spans="1:11" x14ac:dyDescent="0.25">
      <c r="A600" s="4" t="s">
        <v>41</v>
      </c>
      <c r="B600" s="1">
        <v>0.58307699999999996</v>
      </c>
      <c r="C600" s="1">
        <v>0.58018099999999995</v>
      </c>
      <c r="D600" s="1">
        <f>IF(B600&gt;C600,B600-C600,C600-B600)</f>
        <v>2.8960000000000097E-3</v>
      </c>
      <c r="E600">
        <f>MINUTE(D600)</f>
        <v>4</v>
      </c>
      <c r="F600">
        <f>SECOND(D600)</f>
        <v>10</v>
      </c>
      <c r="G600">
        <f>ROUND(E600+F600/60,2)</f>
        <v>4.17</v>
      </c>
      <c r="H600">
        <f>60*E600+F600</f>
        <v>250</v>
      </c>
      <c r="I600" s="3">
        <f>5*(3600/H600)</f>
        <v>72</v>
      </c>
      <c r="J600" s="16">
        <f t="shared" si="18"/>
        <v>0</v>
      </c>
      <c r="K600" s="17">
        <f t="shared" si="19"/>
        <v>13</v>
      </c>
    </row>
    <row r="601" spans="1:11" x14ac:dyDescent="0.25">
      <c r="A601" s="4" t="s">
        <v>135</v>
      </c>
      <c r="B601" s="1">
        <v>2.2994000000000001E-2</v>
      </c>
      <c r="C601" s="1">
        <v>2.5885999999999999E-2</v>
      </c>
      <c r="D601" s="1">
        <f>IF(B601&gt;C601,B601-C601,C601-B601)</f>
        <v>2.8919999999999987E-3</v>
      </c>
      <c r="E601">
        <f>MINUTE(D601)</f>
        <v>4</v>
      </c>
      <c r="F601">
        <f>SECOND(D601)</f>
        <v>10</v>
      </c>
      <c r="G601">
        <f>ROUND(E601+F601/60,2)</f>
        <v>4.17</v>
      </c>
      <c r="H601">
        <f>60*E601+F601</f>
        <v>250</v>
      </c>
      <c r="I601" s="3">
        <f>5*(3600/H601)</f>
        <v>72</v>
      </c>
      <c r="J601" s="16">
        <f t="shared" si="18"/>
        <v>0</v>
      </c>
      <c r="K601" s="17">
        <f t="shared" si="19"/>
        <v>0</v>
      </c>
    </row>
    <row r="602" spans="1:11" x14ac:dyDescent="0.25">
      <c r="A602" s="4" t="s">
        <v>85</v>
      </c>
      <c r="B602" s="1">
        <v>0.85538400000000003</v>
      </c>
      <c r="C602" s="1">
        <v>0.85827600000000004</v>
      </c>
      <c r="D602" s="1">
        <f>IF(B602&gt;C602,B602-C602,C602-B602)</f>
        <v>2.8920000000000057E-3</v>
      </c>
      <c r="E602">
        <f>MINUTE(D602)</f>
        <v>4</v>
      </c>
      <c r="F602">
        <f>SECOND(D602)</f>
        <v>10</v>
      </c>
      <c r="G602">
        <f>ROUND(E602+F602/60,2)</f>
        <v>4.17</v>
      </c>
      <c r="H602">
        <f>60*E602+F602</f>
        <v>250</v>
      </c>
      <c r="I602" s="3">
        <f>5*(3600/H602)</f>
        <v>72</v>
      </c>
      <c r="J602" s="16">
        <f t="shared" si="18"/>
        <v>0</v>
      </c>
      <c r="K602" s="17">
        <f t="shared" si="19"/>
        <v>20</v>
      </c>
    </row>
    <row r="603" spans="1:11" x14ac:dyDescent="0.25">
      <c r="A603" s="4" t="s">
        <v>230</v>
      </c>
      <c r="B603" s="1">
        <v>0.86723899999999998</v>
      </c>
      <c r="C603" s="1">
        <v>0.86434699999999998</v>
      </c>
      <c r="D603" s="1">
        <f>IF(B603&gt;C603,B603-C603,C603-B603)</f>
        <v>2.8920000000000057E-3</v>
      </c>
      <c r="E603">
        <f>MINUTE(D603)</f>
        <v>4</v>
      </c>
      <c r="F603">
        <f>SECOND(D603)</f>
        <v>10</v>
      </c>
      <c r="G603">
        <f>ROUND(E603+F603/60,2)</f>
        <v>4.17</v>
      </c>
      <c r="H603">
        <f>60*E603+F603</f>
        <v>250</v>
      </c>
      <c r="I603" s="3">
        <f>5*(3600/H603)</f>
        <v>72</v>
      </c>
      <c r="J603" s="16">
        <f t="shared" si="18"/>
        <v>0</v>
      </c>
      <c r="K603" s="17">
        <f t="shared" si="19"/>
        <v>20</v>
      </c>
    </row>
    <row r="604" spans="1:11" x14ac:dyDescent="0.25">
      <c r="A604" s="4" t="s">
        <v>289</v>
      </c>
      <c r="B604" s="1">
        <v>0.260156</v>
      </c>
      <c r="C604" s="1">
        <v>0.25726399999999999</v>
      </c>
      <c r="D604" s="1">
        <f>IF(B604&gt;C604,B604-C604,C604-B604)</f>
        <v>2.8920000000000057E-3</v>
      </c>
      <c r="E604">
        <f>MINUTE(D604)</f>
        <v>4</v>
      </c>
      <c r="F604">
        <f>SECOND(D604)</f>
        <v>10</v>
      </c>
      <c r="G604">
        <f>ROUND(E604+F604/60,2)</f>
        <v>4.17</v>
      </c>
      <c r="H604">
        <f>60*E604+F604</f>
        <v>250</v>
      </c>
      <c r="I604" s="3">
        <f>5*(3600/H604)</f>
        <v>72</v>
      </c>
      <c r="J604" s="16">
        <f t="shared" si="18"/>
        <v>0</v>
      </c>
      <c r="K604" s="17">
        <f t="shared" si="19"/>
        <v>6</v>
      </c>
    </row>
    <row r="605" spans="1:11" x14ac:dyDescent="0.25">
      <c r="A605" s="4" t="s">
        <v>359</v>
      </c>
      <c r="B605" s="1">
        <v>0.81716200000000005</v>
      </c>
      <c r="C605" s="1">
        <v>0.81427000000000005</v>
      </c>
      <c r="D605" s="1">
        <f>IF(B605&gt;C605,B605-C605,C605-B605)</f>
        <v>2.8920000000000057E-3</v>
      </c>
      <c r="E605">
        <f>MINUTE(D605)</f>
        <v>4</v>
      </c>
      <c r="F605">
        <f>SECOND(D605)</f>
        <v>10</v>
      </c>
      <c r="G605">
        <f>ROUND(E605+F605/60,2)</f>
        <v>4.17</v>
      </c>
      <c r="H605">
        <f>60*E605+F605</f>
        <v>250</v>
      </c>
      <c r="I605" s="3">
        <f>5*(3600/H605)</f>
        <v>72</v>
      </c>
      <c r="J605" s="16">
        <f t="shared" si="18"/>
        <v>0</v>
      </c>
      <c r="K605" s="17">
        <f t="shared" si="19"/>
        <v>19</v>
      </c>
    </row>
    <row r="606" spans="1:11" x14ac:dyDescent="0.25">
      <c r="A606" s="4" t="s">
        <v>92</v>
      </c>
      <c r="B606" s="1">
        <v>0.53350699999999995</v>
      </c>
      <c r="C606" s="1">
        <v>0.53640699999999997</v>
      </c>
      <c r="D606" s="1">
        <f>IF(B606&gt;C606,B606-C606,C606-B606)</f>
        <v>2.9000000000000137E-3</v>
      </c>
      <c r="E606">
        <f>MINUTE(D606)</f>
        <v>4</v>
      </c>
      <c r="F606">
        <f>SECOND(D606)</f>
        <v>11</v>
      </c>
      <c r="G606">
        <f>ROUND(E606+F606/60,2)</f>
        <v>4.18</v>
      </c>
      <c r="H606">
        <f>60*E606+F606</f>
        <v>251</v>
      </c>
      <c r="I606" s="3">
        <f>5*(3600/H606)</f>
        <v>71.713147410358559</v>
      </c>
      <c r="J606" s="16">
        <f t="shared" si="18"/>
        <v>0</v>
      </c>
      <c r="K606" s="17">
        <f t="shared" si="19"/>
        <v>12</v>
      </c>
    </row>
    <row r="607" spans="1:11" x14ac:dyDescent="0.25">
      <c r="A607" s="4" t="s">
        <v>26</v>
      </c>
      <c r="B607" s="1">
        <v>0.29010599999999998</v>
      </c>
      <c r="C607" s="1">
        <v>0.29300599999999999</v>
      </c>
      <c r="D607" s="1">
        <f>IF(B607&gt;C607,B607-C607,C607-B607)</f>
        <v>2.9000000000000137E-3</v>
      </c>
      <c r="E607">
        <f>MINUTE(D607)</f>
        <v>4</v>
      </c>
      <c r="F607">
        <f>SECOND(D607)</f>
        <v>11</v>
      </c>
      <c r="G607">
        <f>ROUND(E607+F607/60,2)</f>
        <v>4.18</v>
      </c>
      <c r="H607">
        <f>60*E607+F607</f>
        <v>251</v>
      </c>
      <c r="I607" s="3">
        <f>5*(3600/H607)</f>
        <v>71.713147410358559</v>
      </c>
      <c r="J607" s="16">
        <f t="shared" si="18"/>
        <v>0</v>
      </c>
      <c r="K607" s="17">
        <f t="shared" si="19"/>
        <v>6</v>
      </c>
    </row>
    <row r="608" spans="1:11" x14ac:dyDescent="0.25">
      <c r="A608" s="4" t="s">
        <v>138</v>
      </c>
      <c r="B608" s="1">
        <v>0.94605499999999998</v>
      </c>
      <c r="C608" s="1">
        <v>0.94314699999999996</v>
      </c>
      <c r="D608" s="1">
        <f>IF(B608&gt;C608,B608-C608,C608-B608)</f>
        <v>2.9080000000000217E-3</v>
      </c>
      <c r="E608">
        <f>MINUTE(D608)</f>
        <v>4</v>
      </c>
      <c r="F608">
        <f>SECOND(D608)</f>
        <v>11</v>
      </c>
      <c r="G608">
        <f>ROUND(E608+F608/60,2)</f>
        <v>4.18</v>
      </c>
      <c r="H608">
        <f>60*E608+F608</f>
        <v>251</v>
      </c>
      <c r="I608" s="3">
        <f>5*(3600/H608)</f>
        <v>71.713147410358559</v>
      </c>
      <c r="J608" s="16">
        <f t="shared" si="18"/>
        <v>0</v>
      </c>
      <c r="K608" s="17">
        <f t="shared" si="19"/>
        <v>22</v>
      </c>
    </row>
    <row r="609" spans="1:11" x14ac:dyDescent="0.25">
      <c r="A609" s="4" t="s">
        <v>146</v>
      </c>
      <c r="B609" s="1">
        <v>0.72777400000000003</v>
      </c>
      <c r="C609" s="1">
        <v>0.72487400000000002</v>
      </c>
      <c r="D609" s="1">
        <f>IF(B609&gt;C609,B609-C609,C609-B609)</f>
        <v>2.9000000000000137E-3</v>
      </c>
      <c r="E609">
        <f>MINUTE(D609)</f>
        <v>4</v>
      </c>
      <c r="F609">
        <f>SECOND(D609)</f>
        <v>11</v>
      </c>
      <c r="G609">
        <f>ROUND(E609+F609/60,2)</f>
        <v>4.18</v>
      </c>
      <c r="H609">
        <f>60*E609+F609</f>
        <v>251</v>
      </c>
      <c r="I609" s="3">
        <f>5*(3600/H609)</f>
        <v>71.713147410358559</v>
      </c>
      <c r="J609" s="16">
        <f t="shared" si="18"/>
        <v>0</v>
      </c>
      <c r="K609" s="17">
        <f t="shared" si="19"/>
        <v>17</v>
      </c>
    </row>
    <row r="610" spans="1:11" x14ac:dyDescent="0.25">
      <c r="A610" s="4" t="s">
        <v>74</v>
      </c>
      <c r="B610" s="1">
        <v>0.91838799999999998</v>
      </c>
      <c r="C610" s="1">
        <v>0.91548399999999996</v>
      </c>
      <c r="D610" s="1">
        <f>IF(B610&gt;C610,B610-C610,C610-B610)</f>
        <v>2.9040000000000177E-3</v>
      </c>
      <c r="E610">
        <f>MINUTE(D610)</f>
        <v>4</v>
      </c>
      <c r="F610">
        <f>SECOND(D610)</f>
        <v>11</v>
      </c>
      <c r="G610">
        <f>ROUND(E610+F610/60,2)</f>
        <v>4.18</v>
      </c>
      <c r="H610">
        <f>60*E610+F610</f>
        <v>251</v>
      </c>
      <c r="I610" s="3">
        <f>5*(3600/H610)</f>
        <v>71.713147410358559</v>
      </c>
      <c r="J610" s="16">
        <f t="shared" si="18"/>
        <v>0</v>
      </c>
      <c r="K610" s="17">
        <f t="shared" si="19"/>
        <v>22</v>
      </c>
    </row>
    <row r="611" spans="1:11" x14ac:dyDescent="0.25">
      <c r="A611" s="4" t="s">
        <v>18</v>
      </c>
      <c r="B611" s="1">
        <v>0.97761100000000001</v>
      </c>
      <c r="C611" s="1">
        <v>0.98051100000000002</v>
      </c>
      <c r="D611" s="1">
        <f>IF(B611&gt;C611,B611-C611,C611-B611)</f>
        <v>2.9000000000000137E-3</v>
      </c>
      <c r="E611">
        <f>MINUTE(D611)</f>
        <v>4</v>
      </c>
      <c r="F611">
        <f>SECOND(D611)</f>
        <v>11</v>
      </c>
      <c r="G611">
        <f>ROUND(E611+F611/60,2)</f>
        <v>4.18</v>
      </c>
      <c r="H611">
        <f>60*E611+F611</f>
        <v>251</v>
      </c>
      <c r="I611" s="3">
        <f>5*(3600/H611)</f>
        <v>71.713147410358559</v>
      </c>
      <c r="J611" s="16">
        <f t="shared" si="18"/>
        <v>0</v>
      </c>
      <c r="K611" s="17">
        <f t="shared" si="19"/>
        <v>23</v>
      </c>
    </row>
    <row r="612" spans="1:11" x14ac:dyDescent="0.25">
      <c r="A612" s="4" t="s">
        <v>384</v>
      </c>
      <c r="B612" s="1">
        <v>0.78184600000000004</v>
      </c>
      <c r="C612" s="1">
        <v>0.78475399999999995</v>
      </c>
      <c r="D612" s="1">
        <f>IF(B612&gt;C612,B612-C612,C612-B612)</f>
        <v>2.9079999999999107E-3</v>
      </c>
      <c r="E612">
        <f>MINUTE(D612)</f>
        <v>4</v>
      </c>
      <c r="F612">
        <f>SECOND(D612)</f>
        <v>11</v>
      </c>
      <c r="G612">
        <f>ROUND(E612+F612/60,2)</f>
        <v>4.18</v>
      </c>
      <c r="H612">
        <f>60*E612+F612</f>
        <v>251</v>
      </c>
      <c r="I612" s="3">
        <f>5*(3600/H612)</f>
        <v>71.713147410358559</v>
      </c>
      <c r="J612" s="16">
        <f t="shared" si="18"/>
        <v>0</v>
      </c>
      <c r="K612" s="17">
        <f t="shared" si="19"/>
        <v>18</v>
      </c>
    </row>
    <row r="613" spans="1:11" x14ac:dyDescent="0.25">
      <c r="A613" s="4" t="s">
        <v>87</v>
      </c>
      <c r="B613" s="1">
        <v>0.16008700000000001</v>
      </c>
      <c r="C613" s="1">
        <v>0.15717100000000001</v>
      </c>
      <c r="D613" s="1">
        <f>IF(B613&gt;C613,B613-C613,C613-B613)</f>
        <v>2.9160000000000019E-3</v>
      </c>
      <c r="E613">
        <f>MINUTE(D613)</f>
        <v>4</v>
      </c>
      <c r="F613">
        <f>SECOND(D613)</f>
        <v>12</v>
      </c>
      <c r="G613">
        <f>ROUND(E613+F613/60,2)</f>
        <v>4.2</v>
      </c>
      <c r="H613">
        <f>60*E613+F613</f>
        <v>252</v>
      </c>
      <c r="I613" s="3">
        <f>5*(3600/H613)</f>
        <v>71.428571428571431</v>
      </c>
      <c r="J613" s="16">
        <f t="shared" si="18"/>
        <v>0</v>
      </c>
      <c r="K613" s="17">
        <f t="shared" si="19"/>
        <v>3</v>
      </c>
    </row>
    <row r="614" spans="1:11" x14ac:dyDescent="0.25">
      <c r="A614" s="4" t="s">
        <v>140</v>
      </c>
      <c r="B614" s="1">
        <v>0.90234800000000004</v>
      </c>
      <c r="C614" s="1">
        <v>0.89943600000000001</v>
      </c>
      <c r="D614" s="1">
        <f>IF(B614&gt;C614,B614-C614,C614-B614)</f>
        <v>2.9120000000000257E-3</v>
      </c>
      <c r="E614">
        <f>MINUTE(D614)</f>
        <v>4</v>
      </c>
      <c r="F614">
        <f>SECOND(D614)</f>
        <v>12</v>
      </c>
      <c r="G614">
        <f>ROUND(E614+F614/60,2)</f>
        <v>4.2</v>
      </c>
      <c r="H614">
        <f>60*E614+F614</f>
        <v>252</v>
      </c>
      <c r="I614" s="3">
        <f>5*(3600/H614)</f>
        <v>71.428571428571431</v>
      </c>
      <c r="J614" s="16">
        <f t="shared" si="18"/>
        <v>0</v>
      </c>
      <c r="K614" s="17">
        <f t="shared" si="19"/>
        <v>21</v>
      </c>
    </row>
    <row r="615" spans="1:11" x14ac:dyDescent="0.25">
      <c r="A615" s="4" t="s">
        <v>41</v>
      </c>
      <c r="B615" s="1">
        <v>0.58149399999999996</v>
      </c>
      <c r="C615" s="1">
        <v>0.57857000000000003</v>
      </c>
      <c r="D615" s="1">
        <f>IF(B615&gt;C615,B615-C615,C615-B615)</f>
        <v>2.9239999999999267E-3</v>
      </c>
      <c r="E615">
        <f>MINUTE(D615)</f>
        <v>4</v>
      </c>
      <c r="F615">
        <f>SECOND(D615)</f>
        <v>13</v>
      </c>
      <c r="G615">
        <f>ROUND(E615+F615/60,2)</f>
        <v>4.22</v>
      </c>
      <c r="H615">
        <f>60*E615+F615</f>
        <v>253</v>
      </c>
      <c r="I615" s="3">
        <f>5*(3600/H615)</f>
        <v>71.146245059288532</v>
      </c>
      <c r="J615" s="16">
        <f t="shared" si="18"/>
        <v>0</v>
      </c>
      <c r="K615" s="17">
        <f t="shared" si="19"/>
        <v>13</v>
      </c>
    </row>
    <row r="616" spans="1:11" x14ac:dyDescent="0.25">
      <c r="A616" s="4" t="s">
        <v>87</v>
      </c>
      <c r="B616" s="1">
        <v>0.193798</v>
      </c>
      <c r="C616" s="1">
        <v>0.19087000000000001</v>
      </c>
      <c r="D616" s="1">
        <f>IF(B616&gt;C616,B616-C616,C616-B616)</f>
        <v>2.9279999999999862E-3</v>
      </c>
      <c r="E616">
        <f>MINUTE(D616)</f>
        <v>4</v>
      </c>
      <c r="F616">
        <f>SECOND(D616)</f>
        <v>13</v>
      </c>
      <c r="G616">
        <f>ROUND(E616+F616/60,2)</f>
        <v>4.22</v>
      </c>
      <c r="H616">
        <f>60*E616+F616</f>
        <v>253</v>
      </c>
      <c r="I616" s="3">
        <f>5*(3600/H616)</f>
        <v>71.146245059288532</v>
      </c>
      <c r="J616" s="16">
        <f t="shared" si="18"/>
        <v>0</v>
      </c>
      <c r="K616" s="17">
        <f t="shared" si="19"/>
        <v>4</v>
      </c>
    </row>
    <row r="617" spans="1:11" x14ac:dyDescent="0.25">
      <c r="A617" s="4" t="s">
        <v>222</v>
      </c>
      <c r="B617" s="1">
        <v>0.16234899999999999</v>
      </c>
      <c r="C617" s="1">
        <v>0.15942100000000001</v>
      </c>
      <c r="D617" s="1">
        <f>IF(B617&gt;C617,B617-C617,C617-B617)</f>
        <v>2.9279999999999862E-3</v>
      </c>
      <c r="E617">
        <f>MINUTE(D617)</f>
        <v>4</v>
      </c>
      <c r="F617">
        <f>SECOND(D617)</f>
        <v>13</v>
      </c>
      <c r="G617">
        <f>ROUND(E617+F617/60,2)</f>
        <v>4.22</v>
      </c>
      <c r="H617">
        <f>60*E617+F617</f>
        <v>253</v>
      </c>
      <c r="I617" s="3">
        <f>5*(3600/H617)</f>
        <v>71.146245059288532</v>
      </c>
      <c r="J617" s="16">
        <f t="shared" si="18"/>
        <v>0</v>
      </c>
      <c r="K617" s="17">
        <f t="shared" si="19"/>
        <v>3</v>
      </c>
    </row>
    <row r="618" spans="1:11" x14ac:dyDescent="0.25">
      <c r="A618" s="4" t="s">
        <v>398</v>
      </c>
      <c r="B618" s="1">
        <v>0.62443000000000004</v>
      </c>
      <c r="C618" s="1">
        <v>0.62149799999999999</v>
      </c>
      <c r="D618" s="1">
        <f>IF(B618&gt;C618,B618-C618,C618-B618)</f>
        <v>2.9320000000000457E-3</v>
      </c>
      <c r="E618">
        <f>MINUTE(D618)</f>
        <v>4</v>
      </c>
      <c r="F618">
        <f>SECOND(D618)</f>
        <v>13</v>
      </c>
      <c r="G618">
        <f>ROUND(E618+F618/60,2)</f>
        <v>4.22</v>
      </c>
      <c r="H618">
        <f>60*E618+F618</f>
        <v>253</v>
      </c>
      <c r="I618" s="3">
        <f>5*(3600/H618)</f>
        <v>71.146245059288532</v>
      </c>
      <c r="J618" s="16">
        <f t="shared" si="18"/>
        <v>0</v>
      </c>
      <c r="K618" s="17">
        <f t="shared" si="19"/>
        <v>14</v>
      </c>
    </row>
    <row r="619" spans="1:11" x14ac:dyDescent="0.25">
      <c r="A619" s="4" t="s">
        <v>75</v>
      </c>
      <c r="B619" s="1">
        <v>0.85006000000000004</v>
      </c>
      <c r="C619" s="1">
        <v>0.85299599999999998</v>
      </c>
      <c r="D619" s="1">
        <f>IF(B619&gt;C619,B619-C619,C619-B619)</f>
        <v>2.9359999999999387E-3</v>
      </c>
      <c r="E619">
        <f>MINUTE(D619)</f>
        <v>4</v>
      </c>
      <c r="F619">
        <f>SECOND(D619)</f>
        <v>14</v>
      </c>
      <c r="G619">
        <f>ROUND(E619+F619/60,2)</f>
        <v>4.2300000000000004</v>
      </c>
      <c r="H619">
        <f>60*E619+F619</f>
        <v>254</v>
      </c>
      <c r="I619" s="3">
        <f>5*(3600/H619)</f>
        <v>70.866141732283467</v>
      </c>
      <c r="J619" s="16">
        <f t="shared" si="18"/>
        <v>0</v>
      </c>
      <c r="K619" s="17">
        <f t="shared" si="19"/>
        <v>20</v>
      </c>
    </row>
    <row r="620" spans="1:11" x14ac:dyDescent="0.25">
      <c r="A620" s="4" t="s">
        <v>47</v>
      </c>
      <c r="B620" s="1">
        <v>0.78562500000000002</v>
      </c>
      <c r="C620" s="1">
        <v>0.78268499999999996</v>
      </c>
      <c r="D620" s="1">
        <f>IF(B620&gt;C620,B620-C620,C620-B620)</f>
        <v>2.9400000000000537E-3</v>
      </c>
      <c r="E620">
        <f>MINUTE(D620)</f>
        <v>4</v>
      </c>
      <c r="F620">
        <f>SECOND(D620)</f>
        <v>14</v>
      </c>
      <c r="G620">
        <f>ROUND(E620+F620/60,2)</f>
        <v>4.2300000000000004</v>
      </c>
      <c r="H620">
        <f>60*E620+F620</f>
        <v>254</v>
      </c>
      <c r="I620" s="3">
        <f>5*(3600/H620)</f>
        <v>70.866141732283467</v>
      </c>
      <c r="J620" s="16">
        <f t="shared" si="18"/>
        <v>0</v>
      </c>
      <c r="K620" s="17">
        <f t="shared" si="19"/>
        <v>18</v>
      </c>
    </row>
    <row r="621" spans="1:11" x14ac:dyDescent="0.25">
      <c r="A621" s="4" t="s">
        <v>160</v>
      </c>
      <c r="B621" s="1">
        <v>0.85336199999999995</v>
      </c>
      <c r="C621" s="1">
        <v>0.85630600000000001</v>
      </c>
      <c r="D621" s="1">
        <f>IF(B621&gt;C621,B621-C621,C621-B621)</f>
        <v>2.9440000000000577E-3</v>
      </c>
      <c r="E621">
        <f>MINUTE(D621)</f>
        <v>4</v>
      </c>
      <c r="F621">
        <f>SECOND(D621)</f>
        <v>14</v>
      </c>
      <c r="G621">
        <f>ROUND(E621+F621/60,2)</f>
        <v>4.2300000000000004</v>
      </c>
      <c r="H621">
        <f>60*E621+F621</f>
        <v>254</v>
      </c>
      <c r="I621" s="3">
        <f>5*(3600/H621)</f>
        <v>70.866141732283467</v>
      </c>
      <c r="J621" s="16">
        <f t="shared" si="18"/>
        <v>0</v>
      </c>
      <c r="K621" s="17">
        <f t="shared" si="19"/>
        <v>20</v>
      </c>
    </row>
    <row r="622" spans="1:11" x14ac:dyDescent="0.25">
      <c r="A622" s="4" t="s">
        <v>117</v>
      </c>
      <c r="B622" s="1">
        <v>0.184863</v>
      </c>
      <c r="C622" s="1">
        <v>0.181919</v>
      </c>
      <c r="D622" s="1">
        <f>IF(B622&gt;C622,B622-C622,C622-B622)</f>
        <v>2.9440000000000022E-3</v>
      </c>
      <c r="E622">
        <f>MINUTE(D622)</f>
        <v>4</v>
      </c>
      <c r="F622">
        <f>SECOND(D622)</f>
        <v>14</v>
      </c>
      <c r="G622">
        <f>ROUND(E622+F622/60,2)</f>
        <v>4.2300000000000004</v>
      </c>
      <c r="H622">
        <f>60*E622+F622</f>
        <v>254</v>
      </c>
      <c r="I622" s="3">
        <f>5*(3600/H622)</f>
        <v>70.866141732283467</v>
      </c>
      <c r="J622" s="16">
        <f t="shared" si="18"/>
        <v>0</v>
      </c>
      <c r="K622" s="17">
        <f t="shared" si="19"/>
        <v>4</v>
      </c>
    </row>
    <row r="623" spans="1:11" x14ac:dyDescent="0.25">
      <c r="A623" s="4" t="s">
        <v>5</v>
      </c>
      <c r="B623" s="1">
        <v>0.78616900000000001</v>
      </c>
      <c r="C623" s="1">
        <v>0.78911699999999996</v>
      </c>
      <c r="D623" s="1">
        <f>IF(B623&gt;C623,B623-C623,C623-B623)</f>
        <v>2.9479999999999507E-3</v>
      </c>
      <c r="E623">
        <f>MINUTE(D623)</f>
        <v>4</v>
      </c>
      <c r="F623">
        <f>SECOND(D623)</f>
        <v>15</v>
      </c>
      <c r="G623">
        <f>ROUND(E623+F623/60,2)</f>
        <v>4.25</v>
      </c>
      <c r="H623">
        <f>60*E623+F623</f>
        <v>255</v>
      </c>
      <c r="I623" s="3">
        <f>5*(3600/H623)</f>
        <v>70.588235294117652</v>
      </c>
      <c r="J623" s="16">
        <f t="shared" si="18"/>
        <v>0</v>
      </c>
      <c r="K623" s="17">
        <f t="shared" si="19"/>
        <v>18</v>
      </c>
    </row>
    <row r="624" spans="1:11" x14ac:dyDescent="0.25">
      <c r="A624" s="4" t="s">
        <v>85</v>
      </c>
      <c r="B624" s="1">
        <v>0.139958</v>
      </c>
      <c r="C624" s="1">
        <v>0.14291400000000001</v>
      </c>
      <c r="D624" s="1">
        <f>IF(B624&gt;C624,B624-C624,C624-B624)</f>
        <v>2.9560000000000142E-3</v>
      </c>
      <c r="E624">
        <f>MINUTE(D624)</f>
        <v>4</v>
      </c>
      <c r="F624">
        <f>SECOND(D624)</f>
        <v>15</v>
      </c>
      <c r="G624">
        <f>ROUND(E624+F624/60,2)</f>
        <v>4.25</v>
      </c>
      <c r="H624">
        <f>60*E624+F624</f>
        <v>255</v>
      </c>
      <c r="I624" s="3">
        <f>5*(3600/H624)</f>
        <v>70.588235294117652</v>
      </c>
      <c r="J624" s="16">
        <f t="shared" si="18"/>
        <v>0</v>
      </c>
      <c r="K624" s="17">
        <f t="shared" si="19"/>
        <v>3</v>
      </c>
    </row>
    <row r="625" spans="1:11" x14ac:dyDescent="0.25">
      <c r="A625" s="4" t="s">
        <v>26</v>
      </c>
      <c r="B625" s="1">
        <v>0.34465099999999999</v>
      </c>
      <c r="C625" s="1">
        <v>0.347607</v>
      </c>
      <c r="D625" s="1">
        <f>IF(B625&gt;C625,B625-C625,C625-B625)</f>
        <v>2.9560000000000142E-3</v>
      </c>
      <c r="E625">
        <f>MINUTE(D625)</f>
        <v>4</v>
      </c>
      <c r="F625">
        <f>SECOND(D625)</f>
        <v>15</v>
      </c>
      <c r="G625">
        <f>ROUND(E625+F625/60,2)</f>
        <v>4.25</v>
      </c>
      <c r="H625">
        <f>60*E625+F625</f>
        <v>255</v>
      </c>
      <c r="I625" s="3">
        <f>5*(3600/H625)</f>
        <v>70.588235294117652</v>
      </c>
      <c r="J625" s="16">
        <f t="shared" si="18"/>
        <v>0</v>
      </c>
      <c r="K625" s="17">
        <f t="shared" si="19"/>
        <v>8</v>
      </c>
    </row>
    <row r="626" spans="1:11" x14ac:dyDescent="0.25">
      <c r="A626" s="4" t="s">
        <v>308</v>
      </c>
      <c r="B626" s="1">
        <v>0.25362299999999999</v>
      </c>
      <c r="C626" s="1">
        <v>0.256579</v>
      </c>
      <c r="D626" s="1">
        <f>IF(B626&gt;C626,B626-C626,C626-B626)</f>
        <v>2.9560000000000142E-3</v>
      </c>
      <c r="E626">
        <f>MINUTE(D626)</f>
        <v>4</v>
      </c>
      <c r="F626">
        <f>SECOND(D626)</f>
        <v>15</v>
      </c>
      <c r="G626">
        <f>ROUND(E626+F626/60,2)</f>
        <v>4.25</v>
      </c>
      <c r="H626">
        <f>60*E626+F626</f>
        <v>255</v>
      </c>
      <c r="I626" s="3">
        <f>5*(3600/H626)</f>
        <v>70.588235294117652</v>
      </c>
      <c r="J626" s="16">
        <f t="shared" si="18"/>
        <v>0</v>
      </c>
      <c r="K626" s="17">
        <f t="shared" si="19"/>
        <v>6</v>
      </c>
    </row>
    <row r="627" spans="1:11" x14ac:dyDescent="0.25">
      <c r="A627" s="4" t="s">
        <v>75</v>
      </c>
      <c r="B627" s="1">
        <v>0.87064699999999995</v>
      </c>
      <c r="C627" s="1">
        <v>0.87361100000000003</v>
      </c>
      <c r="D627" s="1">
        <f>IF(B627&gt;C627,B627-C627,C627-B627)</f>
        <v>2.9640000000000777E-3</v>
      </c>
      <c r="E627">
        <f>MINUTE(D627)</f>
        <v>4</v>
      </c>
      <c r="F627">
        <f>SECOND(D627)</f>
        <v>16</v>
      </c>
      <c r="G627">
        <f>ROUND(E627+F627/60,2)</f>
        <v>4.2699999999999996</v>
      </c>
      <c r="H627">
        <f>60*E627+F627</f>
        <v>256</v>
      </c>
      <c r="I627" s="3">
        <f>5*(3600/H627)</f>
        <v>70.3125</v>
      </c>
      <c r="J627" s="16">
        <f t="shared" si="18"/>
        <v>0</v>
      </c>
      <c r="K627" s="17">
        <f t="shared" si="19"/>
        <v>20</v>
      </c>
    </row>
    <row r="628" spans="1:11" x14ac:dyDescent="0.25">
      <c r="A628" s="4" t="s">
        <v>68</v>
      </c>
      <c r="B628" s="1">
        <v>0.25546200000000002</v>
      </c>
      <c r="C628" s="1">
        <v>0.25842199999999999</v>
      </c>
      <c r="D628" s="1">
        <f>IF(B628&gt;C628,B628-C628,C628-B628)</f>
        <v>2.9599999999999627E-3</v>
      </c>
      <c r="E628">
        <f>MINUTE(D628)</f>
        <v>4</v>
      </c>
      <c r="F628">
        <f>SECOND(D628)</f>
        <v>16</v>
      </c>
      <c r="G628">
        <f>ROUND(E628+F628/60,2)</f>
        <v>4.2699999999999996</v>
      </c>
      <c r="H628">
        <f>60*E628+F628</f>
        <v>256</v>
      </c>
      <c r="I628" s="3">
        <f>5*(3600/H628)</f>
        <v>70.3125</v>
      </c>
      <c r="J628" s="16">
        <f t="shared" si="18"/>
        <v>0</v>
      </c>
      <c r="K628" s="17">
        <f t="shared" si="19"/>
        <v>6</v>
      </c>
    </row>
    <row r="629" spans="1:11" x14ac:dyDescent="0.25">
      <c r="A629" s="4" t="s">
        <v>112</v>
      </c>
      <c r="B629" s="1">
        <v>8.3103999999999997E-2</v>
      </c>
      <c r="C629" s="1">
        <v>8.0135999999999999E-2</v>
      </c>
      <c r="D629" s="1">
        <f>IF(B629&gt;C629,B629-C629,C629-B629)</f>
        <v>2.9679999999999984E-3</v>
      </c>
      <c r="E629">
        <f>MINUTE(D629)</f>
        <v>4</v>
      </c>
      <c r="F629">
        <f>SECOND(D629)</f>
        <v>16</v>
      </c>
      <c r="G629">
        <f>ROUND(E629+F629/60,2)</f>
        <v>4.2699999999999996</v>
      </c>
      <c r="H629">
        <f>60*E629+F629</f>
        <v>256</v>
      </c>
      <c r="I629" s="3">
        <f>5*(3600/H629)</f>
        <v>70.3125</v>
      </c>
      <c r="J629" s="16">
        <f t="shared" si="18"/>
        <v>0</v>
      </c>
      <c r="K629" s="17">
        <f t="shared" si="19"/>
        <v>1</v>
      </c>
    </row>
    <row r="630" spans="1:11" x14ac:dyDescent="0.25">
      <c r="A630" s="4" t="s">
        <v>226</v>
      </c>
      <c r="B630" s="1">
        <v>0.30818200000000001</v>
      </c>
      <c r="C630" s="1">
        <v>0.30521399999999999</v>
      </c>
      <c r="D630" s="1">
        <f>IF(B630&gt;C630,B630-C630,C630-B630)</f>
        <v>2.9680000000000262E-3</v>
      </c>
      <c r="E630">
        <f>MINUTE(D630)</f>
        <v>4</v>
      </c>
      <c r="F630">
        <f>SECOND(D630)</f>
        <v>16</v>
      </c>
      <c r="G630">
        <f>ROUND(E630+F630/60,2)</f>
        <v>4.2699999999999996</v>
      </c>
      <c r="H630">
        <f>60*E630+F630</f>
        <v>256</v>
      </c>
      <c r="I630" s="3">
        <f>5*(3600/H630)</f>
        <v>70.3125</v>
      </c>
      <c r="J630" s="16">
        <f t="shared" si="18"/>
        <v>0</v>
      </c>
      <c r="K630" s="17">
        <f t="shared" si="19"/>
        <v>7</v>
      </c>
    </row>
    <row r="631" spans="1:11" x14ac:dyDescent="0.25">
      <c r="A631" s="4" t="s">
        <v>303</v>
      </c>
      <c r="B631" s="1">
        <v>0.11633300000000001</v>
      </c>
      <c r="C631" s="1">
        <v>0.113373</v>
      </c>
      <c r="D631" s="1">
        <f>IF(B631&gt;C631,B631-C631,C631-B631)</f>
        <v>2.9600000000000043E-3</v>
      </c>
      <c r="E631">
        <f>MINUTE(D631)</f>
        <v>4</v>
      </c>
      <c r="F631">
        <f>SECOND(D631)</f>
        <v>16</v>
      </c>
      <c r="G631">
        <f>ROUND(E631+F631/60,2)</f>
        <v>4.2699999999999996</v>
      </c>
      <c r="H631">
        <f>60*E631+F631</f>
        <v>256</v>
      </c>
      <c r="I631" s="3">
        <f>5*(3600/H631)</f>
        <v>70.3125</v>
      </c>
      <c r="J631" s="16">
        <f t="shared" si="18"/>
        <v>0</v>
      </c>
      <c r="K631" s="17">
        <f t="shared" si="19"/>
        <v>2</v>
      </c>
    </row>
    <row r="632" spans="1:11" x14ac:dyDescent="0.25">
      <c r="A632" s="4" t="s">
        <v>7</v>
      </c>
      <c r="B632" s="1">
        <v>0.16389799999999999</v>
      </c>
      <c r="C632" s="1">
        <v>0.16686999999999999</v>
      </c>
      <c r="D632" s="1">
        <f>IF(B632&gt;C632,B632-C632,C632-B632)</f>
        <v>2.9720000000000024E-3</v>
      </c>
      <c r="E632">
        <f>MINUTE(D632)</f>
        <v>4</v>
      </c>
      <c r="F632">
        <f>SECOND(D632)</f>
        <v>17</v>
      </c>
      <c r="G632">
        <f>ROUND(E632+F632/60,2)</f>
        <v>4.28</v>
      </c>
      <c r="H632">
        <f>60*E632+F632</f>
        <v>257</v>
      </c>
      <c r="I632" s="3">
        <f>5*(3600/H632)</f>
        <v>70.038910505836583</v>
      </c>
      <c r="J632" s="16">
        <f t="shared" si="18"/>
        <v>0</v>
      </c>
      <c r="K632" s="17">
        <f t="shared" si="19"/>
        <v>3</v>
      </c>
    </row>
    <row r="633" spans="1:11" x14ac:dyDescent="0.25">
      <c r="A633" s="4" t="s">
        <v>35</v>
      </c>
      <c r="B633" s="1">
        <v>0.220334</v>
      </c>
      <c r="C633" s="1">
        <v>0.22331400000000001</v>
      </c>
      <c r="D633" s="1">
        <f>IF(B633&gt;C633,B633-C633,C633-B633)</f>
        <v>2.9800000000000104E-3</v>
      </c>
      <c r="E633">
        <f>MINUTE(D633)</f>
        <v>4</v>
      </c>
      <c r="F633">
        <f>SECOND(D633)</f>
        <v>17</v>
      </c>
      <c r="G633">
        <f>ROUND(E633+F633/60,2)</f>
        <v>4.28</v>
      </c>
      <c r="H633">
        <f>60*E633+F633</f>
        <v>257</v>
      </c>
      <c r="I633" s="3">
        <f>5*(3600/H633)</f>
        <v>70.038910505836583</v>
      </c>
      <c r="J633" s="16">
        <f t="shared" si="18"/>
        <v>0</v>
      </c>
      <c r="K633" s="17">
        <f t="shared" si="19"/>
        <v>5</v>
      </c>
    </row>
    <row r="634" spans="1:11" x14ac:dyDescent="0.25">
      <c r="A634" s="4" t="s">
        <v>132</v>
      </c>
      <c r="B634" s="1">
        <v>0.19933999999999999</v>
      </c>
      <c r="C634" s="1">
        <v>0.19636400000000001</v>
      </c>
      <c r="D634" s="1">
        <f>IF(B634&gt;C634,B634-C634,C634-B634)</f>
        <v>2.9759999999999787E-3</v>
      </c>
      <c r="E634">
        <f>MINUTE(D634)</f>
        <v>4</v>
      </c>
      <c r="F634">
        <f>SECOND(D634)</f>
        <v>17</v>
      </c>
      <c r="G634">
        <f>ROUND(E634+F634/60,2)</f>
        <v>4.28</v>
      </c>
      <c r="H634">
        <f>60*E634+F634</f>
        <v>257</v>
      </c>
      <c r="I634" s="3">
        <f>5*(3600/H634)</f>
        <v>70.038910505836583</v>
      </c>
      <c r="J634" s="16">
        <f t="shared" si="18"/>
        <v>0</v>
      </c>
      <c r="K634" s="17">
        <f t="shared" si="19"/>
        <v>4</v>
      </c>
    </row>
    <row r="635" spans="1:11" x14ac:dyDescent="0.25">
      <c r="A635" s="4" t="s">
        <v>429</v>
      </c>
      <c r="B635" s="1">
        <v>0.95077199999999995</v>
      </c>
      <c r="C635" s="1">
        <v>0.94779599999999997</v>
      </c>
      <c r="D635" s="1">
        <f>IF(B635&gt;C635,B635-C635,C635-B635)</f>
        <v>2.9759999999999787E-3</v>
      </c>
      <c r="E635">
        <f>MINUTE(D635)</f>
        <v>4</v>
      </c>
      <c r="F635">
        <f>SECOND(D635)</f>
        <v>17</v>
      </c>
      <c r="G635">
        <f>ROUND(E635+F635/60,2)</f>
        <v>4.28</v>
      </c>
      <c r="H635">
        <f>60*E635+F635</f>
        <v>257</v>
      </c>
      <c r="I635" s="3">
        <f>5*(3600/H635)</f>
        <v>70.038910505836583</v>
      </c>
      <c r="J635" s="16">
        <f t="shared" si="18"/>
        <v>0</v>
      </c>
      <c r="K635" s="17">
        <f t="shared" si="19"/>
        <v>22</v>
      </c>
    </row>
    <row r="636" spans="1:11" x14ac:dyDescent="0.25">
      <c r="A636" s="4" t="s">
        <v>69</v>
      </c>
      <c r="B636" s="1">
        <v>0.47924800000000001</v>
      </c>
      <c r="C636" s="1">
        <v>0.47626000000000002</v>
      </c>
      <c r="D636" s="1">
        <f>IF(B636&gt;C636,B636-C636,C636-B636)</f>
        <v>2.9879999999999907E-3</v>
      </c>
      <c r="E636">
        <f>MINUTE(D636)</f>
        <v>4</v>
      </c>
      <c r="F636">
        <f>SECOND(D636)</f>
        <v>18</v>
      </c>
      <c r="G636">
        <f>ROUND(E636+F636/60,2)</f>
        <v>4.3</v>
      </c>
      <c r="H636">
        <f>60*E636+F636</f>
        <v>258</v>
      </c>
      <c r="I636" s="3">
        <f>5*(3600/H636)</f>
        <v>69.767441860465112</v>
      </c>
      <c r="J636" s="16">
        <f t="shared" si="18"/>
        <v>0</v>
      </c>
      <c r="K636" s="17">
        <f t="shared" si="19"/>
        <v>11</v>
      </c>
    </row>
    <row r="637" spans="1:11" x14ac:dyDescent="0.25">
      <c r="A637" s="4" t="s">
        <v>392</v>
      </c>
      <c r="B637" s="1">
        <v>0.27104099999999998</v>
      </c>
      <c r="C637" s="1">
        <v>0.27402900000000002</v>
      </c>
      <c r="D637" s="1">
        <f>IF(B637&gt;C637,B637-C637,C637-B637)</f>
        <v>2.9880000000000462E-3</v>
      </c>
      <c r="E637">
        <f>MINUTE(D637)</f>
        <v>4</v>
      </c>
      <c r="F637">
        <f>SECOND(D637)</f>
        <v>18</v>
      </c>
      <c r="G637">
        <f>ROUND(E637+F637/60,2)</f>
        <v>4.3</v>
      </c>
      <c r="H637">
        <f>60*E637+F637</f>
        <v>258</v>
      </c>
      <c r="I637" s="3">
        <f>5*(3600/H637)</f>
        <v>69.767441860465112</v>
      </c>
      <c r="J637" s="16">
        <f t="shared" si="18"/>
        <v>0</v>
      </c>
      <c r="K637" s="17">
        <f t="shared" si="19"/>
        <v>6</v>
      </c>
    </row>
    <row r="638" spans="1:11" x14ac:dyDescent="0.25">
      <c r="A638" s="4" t="s">
        <v>123</v>
      </c>
      <c r="B638" s="1">
        <v>6.7060999999999996E-2</v>
      </c>
      <c r="C638" s="1">
        <v>7.0060999999999998E-2</v>
      </c>
      <c r="D638" s="1">
        <f>IF(B638&gt;C638,B638-C638,C638-B638)</f>
        <v>3.0000000000000027E-3</v>
      </c>
      <c r="E638">
        <f>MINUTE(D638)</f>
        <v>4</v>
      </c>
      <c r="F638">
        <f>SECOND(D638)</f>
        <v>19</v>
      </c>
      <c r="G638">
        <f>ROUND(E638+F638/60,2)</f>
        <v>4.32</v>
      </c>
      <c r="H638">
        <f>60*E638+F638</f>
        <v>259</v>
      </c>
      <c r="I638" s="3">
        <f>5*(3600/H638)</f>
        <v>69.498069498069498</v>
      </c>
      <c r="J638" s="16">
        <f t="shared" si="18"/>
        <v>0</v>
      </c>
      <c r="K638" s="17">
        <f t="shared" si="19"/>
        <v>1</v>
      </c>
    </row>
    <row r="639" spans="1:11" x14ac:dyDescent="0.25">
      <c r="A639" s="4" t="s">
        <v>142</v>
      </c>
      <c r="B639" s="1">
        <v>0.24293500000000001</v>
      </c>
      <c r="C639" s="1">
        <v>0.24593100000000001</v>
      </c>
      <c r="D639" s="1">
        <f>IF(B639&gt;C639,B639-C639,C639-B639)</f>
        <v>2.9959999999999987E-3</v>
      </c>
      <c r="E639">
        <f>MINUTE(D639)</f>
        <v>4</v>
      </c>
      <c r="F639">
        <f>SECOND(D639)</f>
        <v>19</v>
      </c>
      <c r="G639">
        <f>ROUND(E639+F639/60,2)</f>
        <v>4.32</v>
      </c>
      <c r="H639">
        <f>60*E639+F639</f>
        <v>259</v>
      </c>
      <c r="I639" s="3">
        <f>5*(3600/H639)</f>
        <v>69.498069498069498</v>
      </c>
      <c r="J639" s="16">
        <f t="shared" si="18"/>
        <v>0</v>
      </c>
      <c r="K639" s="17">
        <f t="shared" si="19"/>
        <v>5</v>
      </c>
    </row>
    <row r="640" spans="1:11" x14ac:dyDescent="0.25">
      <c r="A640" s="4" t="s">
        <v>29</v>
      </c>
      <c r="B640" s="1">
        <v>5.8074000000000001E-2</v>
      </c>
      <c r="C640" s="1">
        <v>5.5070000000000001E-2</v>
      </c>
      <c r="D640" s="1">
        <f>IF(B640&gt;C640,B640-C640,C640-B640)</f>
        <v>3.0039999999999997E-3</v>
      </c>
      <c r="E640">
        <f>MINUTE(D640)</f>
        <v>4</v>
      </c>
      <c r="F640">
        <f>SECOND(D640)</f>
        <v>20</v>
      </c>
      <c r="G640">
        <f>ROUND(E640+F640/60,2)</f>
        <v>4.33</v>
      </c>
      <c r="H640">
        <f>60*E640+F640</f>
        <v>260</v>
      </c>
      <c r="I640" s="3">
        <f>5*(3600/H640)</f>
        <v>69.230769230769226</v>
      </c>
      <c r="J640" s="16">
        <f t="shared" si="18"/>
        <v>0</v>
      </c>
      <c r="K640" s="17">
        <f t="shared" si="19"/>
        <v>1</v>
      </c>
    </row>
    <row r="641" spans="1:11" x14ac:dyDescent="0.25">
      <c r="A641" s="4" t="s">
        <v>72</v>
      </c>
      <c r="B641" s="1">
        <v>0.33413399999999999</v>
      </c>
      <c r="C641" s="1">
        <v>0.33112599999999998</v>
      </c>
      <c r="D641" s="1">
        <f>IF(B641&gt;C641,B641-C641,C641-B641)</f>
        <v>3.0080000000000107E-3</v>
      </c>
      <c r="E641">
        <f>MINUTE(D641)</f>
        <v>4</v>
      </c>
      <c r="F641">
        <f>SECOND(D641)</f>
        <v>20</v>
      </c>
      <c r="G641">
        <f>ROUND(E641+F641/60,2)</f>
        <v>4.33</v>
      </c>
      <c r="H641">
        <f>60*E641+F641</f>
        <v>260</v>
      </c>
      <c r="I641" s="3">
        <f>5*(3600/H641)</f>
        <v>69.230769230769226</v>
      </c>
      <c r="J641" s="16">
        <f t="shared" si="18"/>
        <v>0</v>
      </c>
      <c r="K641" s="17">
        <f t="shared" si="19"/>
        <v>8</v>
      </c>
    </row>
    <row r="642" spans="1:11" x14ac:dyDescent="0.25">
      <c r="A642" s="4" t="s">
        <v>162</v>
      </c>
      <c r="B642" s="1">
        <v>0.48971599999999998</v>
      </c>
      <c r="C642" s="1">
        <v>0.492728</v>
      </c>
      <c r="D642" s="1">
        <f>IF(B642&gt;C642,B642-C642,C642-B642)</f>
        <v>3.0120000000000147E-3</v>
      </c>
      <c r="E642">
        <f>MINUTE(D642)</f>
        <v>4</v>
      </c>
      <c r="F642">
        <f>SECOND(D642)</f>
        <v>20</v>
      </c>
      <c r="G642">
        <f>ROUND(E642+F642/60,2)</f>
        <v>4.33</v>
      </c>
      <c r="H642">
        <f>60*E642+F642</f>
        <v>260</v>
      </c>
      <c r="I642" s="3">
        <f>5*(3600/H642)</f>
        <v>69.230769230769226</v>
      </c>
      <c r="J642" s="16">
        <f t="shared" si="18"/>
        <v>0</v>
      </c>
      <c r="K642" s="17">
        <f t="shared" si="19"/>
        <v>11</v>
      </c>
    </row>
    <row r="643" spans="1:11" x14ac:dyDescent="0.25">
      <c r="A643" s="4" t="s">
        <v>75</v>
      </c>
      <c r="B643" s="1">
        <v>0.21182200000000001</v>
      </c>
      <c r="C643" s="1">
        <v>0.20880199999999999</v>
      </c>
      <c r="D643" s="1">
        <f>IF(B643&gt;C643,B643-C643,C643-B643)</f>
        <v>3.0200000000000227E-3</v>
      </c>
      <c r="E643">
        <f>MINUTE(D643)</f>
        <v>4</v>
      </c>
      <c r="F643">
        <f>SECOND(D643)</f>
        <v>21</v>
      </c>
      <c r="G643">
        <f>ROUND(E643+F643/60,2)</f>
        <v>4.3499999999999996</v>
      </c>
      <c r="H643">
        <f>60*E643+F643</f>
        <v>261</v>
      </c>
      <c r="I643" s="3">
        <f>5*(3600/H643)</f>
        <v>68.965517241379303</v>
      </c>
      <c r="J643" s="16">
        <f t="shared" ref="J643:J706" si="20">IF(I643&gt;140,1,0)</f>
        <v>0</v>
      </c>
      <c r="K643" s="17">
        <f t="shared" ref="K643:K706" si="21">HOUR(B643)</f>
        <v>5</v>
      </c>
    </row>
    <row r="644" spans="1:11" x14ac:dyDescent="0.25">
      <c r="A644" s="4" t="s">
        <v>3</v>
      </c>
      <c r="B644" s="1">
        <v>0.141675</v>
      </c>
      <c r="C644" s="1">
        <v>0.138651</v>
      </c>
      <c r="D644" s="1">
        <f>IF(B644&gt;C644,B644-C644,C644-B644)</f>
        <v>3.0239999999999989E-3</v>
      </c>
      <c r="E644">
        <f>MINUTE(D644)</f>
        <v>4</v>
      </c>
      <c r="F644">
        <f>SECOND(D644)</f>
        <v>21</v>
      </c>
      <c r="G644">
        <f>ROUND(E644+F644/60,2)</f>
        <v>4.3499999999999996</v>
      </c>
      <c r="H644">
        <f>60*E644+F644</f>
        <v>261</v>
      </c>
      <c r="I644" s="3">
        <f>5*(3600/H644)</f>
        <v>68.965517241379303</v>
      </c>
      <c r="J644" s="16">
        <f t="shared" si="20"/>
        <v>0</v>
      </c>
      <c r="K644" s="17">
        <f t="shared" si="21"/>
        <v>3</v>
      </c>
    </row>
    <row r="645" spans="1:11" x14ac:dyDescent="0.25">
      <c r="A645" s="4" t="s">
        <v>72</v>
      </c>
      <c r="B645" s="1">
        <v>0.145533</v>
      </c>
      <c r="C645" s="1">
        <v>0.14855299999999999</v>
      </c>
      <c r="D645" s="1">
        <f>IF(B645&gt;C645,B645-C645,C645-B645)</f>
        <v>3.0199999999999949E-3</v>
      </c>
      <c r="E645">
        <f>MINUTE(D645)</f>
        <v>4</v>
      </c>
      <c r="F645">
        <f>SECOND(D645)</f>
        <v>21</v>
      </c>
      <c r="G645">
        <f>ROUND(E645+F645/60,2)</f>
        <v>4.3499999999999996</v>
      </c>
      <c r="H645">
        <f>60*E645+F645</f>
        <v>261</v>
      </c>
      <c r="I645" s="3">
        <f>5*(3600/H645)</f>
        <v>68.965517241379303</v>
      </c>
      <c r="J645" s="16">
        <f t="shared" si="20"/>
        <v>0</v>
      </c>
      <c r="K645" s="17">
        <f t="shared" si="21"/>
        <v>3</v>
      </c>
    </row>
    <row r="646" spans="1:11" x14ac:dyDescent="0.25">
      <c r="A646" s="4" t="s">
        <v>83</v>
      </c>
      <c r="B646" s="1">
        <v>0.43880400000000003</v>
      </c>
      <c r="C646" s="1">
        <v>0.435784</v>
      </c>
      <c r="D646" s="1">
        <f>IF(B646&gt;C646,B646-C646,C646-B646)</f>
        <v>3.0200000000000227E-3</v>
      </c>
      <c r="E646">
        <f>MINUTE(D646)</f>
        <v>4</v>
      </c>
      <c r="F646">
        <f>SECOND(D646)</f>
        <v>21</v>
      </c>
      <c r="G646">
        <f>ROUND(E646+F646/60,2)</f>
        <v>4.3499999999999996</v>
      </c>
      <c r="H646">
        <f>60*E646+F646</f>
        <v>261</v>
      </c>
      <c r="I646" s="3">
        <f>5*(3600/H646)</f>
        <v>68.965517241379303</v>
      </c>
      <c r="J646" s="16">
        <f t="shared" si="20"/>
        <v>0</v>
      </c>
      <c r="K646" s="17">
        <f t="shared" si="21"/>
        <v>10</v>
      </c>
    </row>
    <row r="647" spans="1:11" x14ac:dyDescent="0.25">
      <c r="A647" s="4" t="s">
        <v>162</v>
      </c>
      <c r="B647" s="1">
        <v>0.42178399999999999</v>
      </c>
      <c r="C647" s="1">
        <v>0.42480400000000001</v>
      </c>
      <c r="D647" s="1">
        <f>IF(B647&gt;C647,B647-C647,C647-B647)</f>
        <v>3.0200000000000227E-3</v>
      </c>
      <c r="E647">
        <f>MINUTE(D647)</f>
        <v>4</v>
      </c>
      <c r="F647">
        <f>SECOND(D647)</f>
        <v>21</v>
      </c>
      <c r="G647">
        <f>ROUND(E647+F647/60,2)</f>
        <v>4.3499999999999996</v>
      </c>
      <c r="H647">
        <f>60*E647+F647</f>
        <v>261</v>
      </c>
      <c r="I647" s="3">
        <f>5*(3600/H647)</f>
        <v>68.965517241379303</v>
      </c>
      <c r="J647" s="16">
        <f t="shared" si="20"/>
        <v>0</v>
      </c>
      <c r="K647" s="17">
        <f t="shared" si="21"/>
        <v>10</v>
      </c>
    </row>
    <row r="648" spans="1:11" x14ac:dyDescent="0.25">
      <c r="A648" s="4" t="s">
        <v>295</v>
      </c>
      <c r="B648" s="1">
        <v>0.609267</v>
      </c>
      <c r="C648" s="1">
        <v>0.60625099999999998</v>
      </c>
      <c r="D648" s="1">
        <f>IF(B648&gt;C648,B648-C648,C648-B648)</f>
        <v>3.0160000000000187E-3</v>
      </c>
      <c r="E648">
        <f>MINUTE(D648)</f>
        <v>4</v>
      </c>
      <c r="F648">
        <f>SECOND(D648)</f>
        <v>21</v>
      </c>
      <c r="G648">
        <f>ROUND(E648+F648/60,2)</f>
        <v>4.3499999999999996</v>
      </c>
      <c r="H648">
        <f>60*E648+F648</f>
        <v>261</v>
      </c>
      <c r="I648" s="3">
        <f>5*(3600/H648)</f>
        <v>68.965517241379303</v>
      </c>
      <c r="J648" s="16">
        <f t="shared" si="20"/>
        <v>0</v>
      </c>
      <c r="K648" s="17">
        <f t="shared" si="21"/>
        <v>14</v>
      </c>
    </row>
    <row r="649" spans="1:11" x14ac:dyDescent="0.25">
      <c r="A649" s="4" t="s">
        <v>371</v>
      </c>
      <c r="B649" s="1">
        <v>0.99620900000000001</v>
      </c>
      <c r="C649" s="1">
        <v>0.99318499999999998</v>
      </c>
      <c r="D649" s="1">
        <f>IF(B649&gt;C649,B649-C649,C649-B649)</f>
        <v>3.0240000000000267E-3</v>
      </c>
      <c r="E649">
        <f>MINUTE(D649)</f>
        <v>4</v>
      </c>
      <c r="F649">
        <f>SECOND(D649)</f>
        <v>21</v>
      </c>
      <c r="G649">
        <f>ROUND(E649+F649/60,2)</f>
        <v>4.3499999999999996</v>
      </c>
      <c r="H649">
        <f>60*E649+F649</f>
        <v>261</v>
      </c>
      <c r="I649" s="3">
        <f>5*(3600/H649)</f>
        <v>68.965517241379303</v>
      </c>
      <c r="J649" s="16">
        <f t="shared" si="20"/>
        <v>0</v>
      </c>
      <c r="K649" s="17">
        <f t="shared" si="21"/>
        <v>23</v>
      </c>
    </row>
    <row r="650" spans="1:11" x14ac:dyDescent="0.25">
      <c r="A650" s="4" t="s">
        <v>109</v>
      </c>
      <c r="B650" s="1">
        <v>0.87870300000000001</v>
      </c>
      <c r="C650" s="1">
        <v>0.87566699999999997</v>
      </c>
      <c r="D650" s="1">
        <f>IF(B650&gt;C650,B650-C650,C650-B650)</f>
        <v>3.0360000000000387E-3</v>
      </c>
      <c r="E650">
        <f>MINUTE(D650)</f>
        <v>4</v>
      </c>
      <c r="F650">
        <f>SECOND(D650)</f>
        <v>22</v>
      </c>
      <c r="G650">
        <f>ROUND(E650+F650/60,2)</f>
        <v>4.37</v>
      </c>
      <c r="H650">
        <f>60*E650+F650</f>
        <v>262</v>
      </c>
      <c r="I650" s="3">
        <f>5*(3600/H650)</f>
        <v>68.702290076335885</v>
      </c>
      <c r="J650" s="16">
        <f t="shared" si="20"/>
        <v>0</v>
      </c>
      <c r="K650" s="17">
        <f t="shared" si="21"/>
        <v>21</v>
      </c>
    </row>
    <row r="651" spans="1:11" x14ac:dyDescent="0.25">
      <c r="A651" s="4" t="s">
        <v>204</v>
      </c>
      <c r="B651" s="1">
        <v>0.62856599999999996</v>
      </c>
      <c r="C651" s="1">
        <v>0.631602</v>
      </c>
      <c r="D651" s="1">
        <f>IF(B651&gt;C651,B651-C651,C651-B651)</f>
        <v>3.0360000000000387E-3</v>
      </c>
      <c r="E651">
        <f>MINUTE(D651)</f>
        <v>4</v>
      </c>
      <c r="F651">
        <f>SECOND(D651)</f>
        <v>22</v>
      </c>
      <c r="G651">
        <f>ROUND(E651+F651/60,2)</f>
        <v>4.37</v>
      </c>
      <c r="H651">
        <f>60*E651+F651</f>
        <v>262</v>
      </c>
      <c r="I651" s="3">
        <f>5*(3600/H651)</f>
        <v>68.702290076335885</v>
      </c>
      <c r="J651" s="16">
        <f t="shared" si="20"/>
        <v>0</v>
      </c>
      <c r="K651" s="17">
        <f t="shared" si="21"/>
        <v>15</v>
      </c>
    </row>
    <row r="652" spans="1:11" x14ac:dyDescent="0.25">
      <c r="A652" s="4" t="s">
        <v>68</v>
      </c>
      <c r="B652" s="1">
        <v>0.87950700000000004</v>
      </c>
      <c r="C652" s="1">
        <v>0.88255499999999998</v>
      </c>
      <c r="D652" s="1">
        <f>IF(B652&gt;C652,B652-C652,C652-B652)</f>
        <v>3.0479999999999396E-3</v>
      </c>
      <c r="E652">
        <f>MINUTE(D652)</f>
        <v>4</v>
      </c>
      <c r="F652">
        <f>SECOND(D652)</f>
        <v>23</v>
      </c>
      <c r="G652">
        <f>ROUND(E652+F652/60,2)</f>
        <v>4.38</v>
      </c>
      <c r="H652">
        <f>60*E652+F652</f>
        <v>263</v>
      </c>
      <c r="I652" s="3">
        <f>5*(3600/H652)</f>
        <v>68.441064638783274</v>
      </c>
      <c r="J652" s="16">
        <f t="shared" si="20"/>
        <v>0</v>
      </c>
      <c r="K652" s="17">
        <f t="shared" si="21"/>
        <v>21</v>
      </c>
    </row>
    <row r="653" spans="1:11" x14ac:dyDescent="0.25">
      <c r="A653" s="4" t="s">
        <v>67</v>
      </c>
      <c r="B653" s="1">
        <v>0.60153500000000004</v>
      </c>
      <c r="C653" s="1">
        <v>0.59848699999999999</v>
      </c>
      <c r="D653" s="1">
        <f>IF(B653&gt;C653,B653-C653,C653-B653)</f>
        <v>3.0480000000000507E-3</v>
      </c>
      <c r="E653">
        <f>MINUTE(D653)</f>
        <v>4</v>
      </c>
      <c r="F653">
        <f>SECOND(D653)</f>
        <v>23</v>
      </c>
      <c r="G653">
        <f>ROUND(E653+F653/60,2)</f>
        <v>4.38</v>
      </c>
      <c r="H653">
        <f>60*E653+F653</f>
        <v>263</v>
      </c>
      <c r="I653" s="3">
        <f>5*(3600/H653)</f>
        <v>68.441064638783274</v>
      </c>
      <c r="J653" s="16">
        <f t="shared" si="20"/>
        <v>0</v>
      </c>
      <c r="K653" s="17">
        <f t="shared" si="21"/>
        <v>14</v>
      </c>
    </row>
    <row r="654" spans="1:11" x14ac:dyDescent="0.25">
      <c r="A654" s="4" t="s">
        <v>265</v>
      </c>
      <c r="B654" s="1">
        <v>0.34791800000000001</v>
      </c>
      <c r="C654" s="1">
        <v>0.350962</v>
      </c>
      <c r="D654" s="1">
        <f>IF(B654&gt;C654,B654-C654,C654-B654)</f>
        <v>3.0439999999999912E-3</v>
      </c>
      <c r="E654">
        <f>MINUTE(D654)</f>
        <v>4</v>
      </c>
      <c r="F654">
        <f>SECOND(D654)</f>
        <v>23</v>
      </c>
      <c r="G654">
        <f>ROUND(E654+F654/60,2)</f>
        <v>4.38</v>
      </c>
      <c r="H654">
        <f>60*E654+F654</f>
        <v>263</v>
      </c>
      <c r="I654" s="3">
        <f>5*(3600/H654)</f>
        <v>68.441064638783274</v>
      </c>
      <c r="J654" s="16">
        <f t="shared" si="20"/>
        <v>0</v>
      </c>
      <c r="K654" s="17">
        <f t="shared" si="21"/>
        <v>8</v>
      </c>
    </row>
    <row r="655" spans="1:11" x14ac:dyDescent="0.25">
      <c r="A655" s="4" t="s">
        <v>299</v>
      </c>
      <c r="B655" s="1">
        <v>0.58881899999999998</v>
      </c>
      <c r="C655" s="1">
        <v>0.58577100000000004</v>
      </c>
      <c r="D655" s="1">
        <f>IF(B655&gt;C655,B655-C655,C655-B655)</f>
        <v>3.0479999999999396E-3</v>
      </c>
      <c r="E655">
        <f>MINUTE(D655)</f>
        <v>4</v>
      </c>
      <c r="F655">
        <f>SECOND(D655)</f>
        <v>23</v>
      </c>
      <c r="G655">
        <f>ROUND(E655+F655/60,2)</f>
        <v>4.38</v>
      </c>
      <c r="H655">
        <f>60*E655+F655</f>
        <v>263</v>
      </c>
      <c r="I655" s="3">
        <f>5*(3600/H655)</f>
        <v>68.441064638783274</v>
      </c>
      <c r="J655" s="16">
        <f t="shared" si="20"/>
        <v>0</v>
      </c>
      <c r="K655" s="17">
        <f t="shared" si="21"/>
        <v>14</v>
      </c>
    </row>
    <row r="656" spans="1:11" x14ac:dyDescent="0.25">
      <c r="A656" s="4" t="s">
        <v>75</v>
      </c>
      <c r="B656" s="1">
        <v>0.42321900000000001</v>
      </c>
      <c r="C656" s="1">
        <v>0.42627100000000001</v>
      </c>
      <c r="D656" s="1">
        <f>IF(B656&gt;C656,B656-C656,C656-B656)</f>
        <v>3.0519999999999992E-3</v>
      </c>
      <c r="E656">
        <f>MINUTE(D656)</f>
        <v>4</v>
      </c>
      <c r="F656">
        <f>SECOND(D656)</f>
        <v>24</v>
      </c>
      <c r="G656">
        <f>ROUND(E656+F656/60,2)</f>
        <v>4.4000000000000004</v>
      </c>
      <c r="H656">
        <f>60*E656+F656</f>
        <v>264</v>
      </c>
      <c r="I656" s="3">
        <f>5*(3600/H656)</f>
        <v>68.181818181818187</v>
      </c>
      <c r="J656" s="16">
        <f t="shared" si="20"/>
        <v>0</v>
      </c>
      <c r="K656" s="17">
        <f t="shared" si="21"/>
        <v>10</v>
      </c>
    </row>
    <row r="657" spans="1:11" x14ac:dyDescent="0.25">
      <c r="A657" s="4" t="s">
        <v>16</v>
      </c>
      <c r="B657" s="1">
        <v>0.464613</v>
      </c>
      <c r="C657" s="1">
        <v>0.46155299999999999</v>
      </c>
      <c r="D657" s="1">
        <f>IF(B657&gt;C657,B657-C657,C657-B657)</f>
        <v>3.0600000000000072E-3</v>
      </c>
      <c r="E657">
        <f>MINUTE(D657)</f>
        <v>4</v>
      </c>
      <c r="F657">
        <f>SECOND(D657)</f>
        <v>24</v>
      </c>
      <c r="G657">
        <f>ROUND(E657+F657/60,2)</f>
        <v>4.4000000000000004</v>
      </c>
      <c r="H657">
        <f>60*E657+F657</f>
        <v>264</v>
      </c>
      <c r="I657" s="3">
        <f>5*(3600/H657)</f>
        <v>68.181818181818187</v>
      </c>
      <c r="J657" s="16">
        <f t="shared" si="20"/>
        <v>0</v>
      </c>
      <c r="K657" s="17">
        <f t="shared" si="21"/>
        <v>11</v>
      </c>
    </row>
    <row r="658" spans="1:11" x14ac:dyDescent="0.25">
      <c r="A658" s="4" t="s">
        <v>58</v>
      </c>
      <c r="B658" s="1">
        <v>0.314112</v>
      </c>
      <c r="C658" s="1">
        <v>0.31717200000000001</v>
      </c>
      <c r="D658" s="1">
        <f>IF(B658&gt;C658,B658-C658,C658-B658)</f>
        <v>3.0600000000000072E-3</v>
      </c>
      <c r="E658">
        <f>MINUTE(D658)</f>
        <v>4</v>
      </c>
      <c r="F658">
        <f>SECOND(D658)</f>
        <v>24</v>
      </c>
      <c r="G658">
        <f>ROUND(E658+F658/60,2)</f>
        <v>4.4000000000000004</v>
      </c>
      <c r="H658">
        <f>60*E658+F658</f>
        <v>264</v>
      </c>
      <c r="I658" s="3">
        <f>5*(3600/H658)</f>
        <v>68.181818181818187</v>
      </c>
      <c r="J658" s="16">
        <f t="shared" si="20"/>
        <v>0</v>
      </c>
      <c r="K658" s="17">
        <f t="shared" si="21"/>
        <v>7</v>
      </c>
    </row>
    <row r="659" spans="1:11" x14ac:dyDescent="0.25">
      <c r="A659" s="4" t="s">
        <v>84</v>
      </c>
      <c r="B659" s="1">
        <v>0.51541800000000004</v>
      </c>
      <c r="C659" s="1">
        <v>0.51847399999999999</v>
      </c>
      <c r="D659" s="1">
        <f>IF(B659&gt;C659,B659-C659,C659-B659)</f>
        <v>3.0559999999999476E-3</v>
      </c>
      <c r="E659">
        <f>MINUTE(D659)</f>
        <v>4</v>
      </c>
      <c r="F659">
        <f>SECOND(D659)</f>
        <v>24</v>
      </c>
      <c r="G659">
        <f>ROUND(E659+F659/60,2)</f>
        <v>4.4000000000000004</v>
      </c>
      <c r="H659">
        <f>60*E659+F659</f>
        <v>264</v>
      </c>
      <c r="I659" s="3">
        <f>5*(3600/H659)</f>
        <v>68.181818181818187</v>
      </c>
      <c r="J659" s="16">
        <f t="shared" si="20"/>
        <v>0</v>
      </c>
      <c r="K659" s="17">
        <f t="shared" si="21"/>
        <v>12</v>
      </c>
    </row>
    <row r="660" spans="1:11" x14ac:dyDescent="0.25">
      <c r="A660" s="4" t="s">
        <v>316</v>
      </c>
      <c r="B660" s="1">
        <v>0.444025</v>
      </c>
      <c r="C660" s="1">
        <v>0.44708500000000001</v>
      </c>
      <c r="D660" s="1">
        <f>IF(B660&gt;C660,B660-C660,C660-B660)</f>
        <v>3.0600000000000072E-3</v>
      </c>
      <c r="E660">
        <f>MINUTE(D660)</f>
        <v>4</v>
      </c>
      <c r="F660">
        <f>SECOND(D660)</f>
        <v>24</v>
      </c>
      <c r="G660">
        <f>ROUND(E660+F660/60,2)</f>
        <v>4.4000000000000004</v>
      </c>
      <c r="H660">
        <f>60*E660+F660</f>
        <v>264</v>
      </c>
      <c r="I660" s="3">
        <f>5*(3600/H660)</f>
        <v>68.181818181818187</v>
      </c>
      <c r="J660" s="16">
        <f t="shared" si="20"/>
        <v>0</v>
      </c>
      <c r="K660" s="17">
        <f t="shared" si="21"/>
        <v>10</v>
      </c>
    </row>
    <row r="661" spans="1:11" x14ac:dyDescent="0.25">
      <c r="A661" s="4" t="s">
        <v>73</v>
      </c>
      <c r="B661" s="1">
        <v>0.39306200000000002</v>
      </c>
      <c r="C661" s="1">
        <v>0.39612599999999998</v>
      </c>
      <c r="D661" s="1">
        <f>IF(B661&gt;C661,B661-C661,C661-B661)</f>
        <v>3.0639999999999556E-3</v>
      </c>
      <c r="E661">
        <f>MINUTE(D661)</f>
        <v>4</v>
      </c>
      <c r="F661">
        <f>SECOND(D661)</f>
        <v>25</v>
      </c>
      <c r="G661">
        <f>ROUND(E661+F661/60,2)</f>
        <v>4.42</v>
      </c>
      <c r="H661">
        <f>60*E661+F661</f>
        <v>265</v>
      </c>
      <c r="I661" s="3">
        <f>5*(3600/H661)</f>
        <v>67.924528301886795</v>
      </c>
      <c r="J661" s="16">
        <f t="shared" si="20"/>
        <v>0</v>
      </c>
      <c r="K661" s="17">
        <f t="shared" si="21"/>
        <v>9</v>
      </c>
    </row>
    <row r="662" spans="1:11" x14ac:dyDescent="0.25">
      <c r="A662" s="4" t="s">
        <v>18</v>
      </c>
      <c r="B662" s="1">
        <v>0.214673</v>
      </c>
      <c r="C662" s="1">
        <v>0.21774499999999999</v>
      </c>
      <c r="D662" s="1">
        <f>IF(B662&gt;C662,B662-C662,C662-B662)</f>
        <v>3.0719999999999914E-3</v>
      </c>
      <c r="E662">
        <f>MINUTE(D662)</f>
        <v>4</v>
      </c>
      <c r="F662">
        <f>SECOND(D662)</f>
        <v>25</v>
      </c>
      <c r="G662">
        <f>ROUND(E662+F662/60,2)</f>
        <v>4.42</v>
      </c>
      <c r="H662">
        <f>60*E662+F662</f>
        <v>265</v>
      </c>
      <c r="I662" s="3">
        <f>5*(3600/H662)</f>
        <v>67.924528301886795</v>
      </c>
      <c r="J662" s="16">
        <f t="shared" si="20"/>
        <v>0</v>
      </c>
      <c r="K662" s="17">
        <f t="shared" si="21"/>
        <v>5</v>
      </c>
    </row>
    <row r="663" spans="1:11" x14ac:dyDescent="0.25">
      <c r="A663" s="4" t="s">
        <v>14</v>
      </c>
      <c r="B663" s="1">
        <v>0.53404300000000005</v>
      </c>
      <c r="C663" s="1">
        <v>0.53097899999999998</v>
      </c>
      <c r="D663" s="1">
        <f>IF(B663&gt;C663,B663-C663,C663-B663)</f>
        <v>3.0640000000000667E-3</v>
      </c>
      <c r="E663">
        <f>MINUTE(D663)</f>
        <v>4</v>
      </c>
      <c r="F663">
        <f>SECOND(D663)</f>
        <v>25</v>
      </c>
      <c r="G663">
        <f>ROUND(E663+F663/60,2)</f>
        <v>4.42</v>
      </c>
      <c r="H663">
        <f>60*E663+F663</f>
        <v>265</v>
      </c>
      <c r="I663" s="3">
        <f>5*(3600/H663)</f>
        <v>67.924528301886795</v>
      </c>
      <c r="J663" s="16">
        <f t="shared" si="20"/>
        <v>0</v>
      </c>
      <c r="K663" s="17">
        <f t="shared" si="21"/>
        <v>12</v>
      </c>
    </row>
    <row r="664" spans="1:11" x14ac:dyDescent="0.25">
      <c r="A664" s="4" t="s">
        <v>109</v>
      </c>
      <c r="B664" s="1">
        <v>0.73162199999999999</v>
      </c>
      <c r="C664" s="1">
        <v>0.73468599999999995</v>
      </c>
      <c r="D664" s="1">
        <f>IF(B664&gt;C664,B664-C664,C664-B664)</f>
        <v>3.0639999999999556E-3</v>
      </c>
      <c r="E664">
        <f>MINUTE(D664)</f>
        <v>4</v>
      </c>
      <c r="F664">
        <f>SECOND(D664)</f>
        <v>25</v>
      </c>
      <c r="G664">
        <f>ROUND(E664+F664/60,2)</f>
        <v>4.42</v>
      </c>
      <c r="H664">
        <f>60*E664+F664</f>
        <v>265</v>
      </c>
      <c r="I664" s="3">
        <f>5*(3600/H664)</f>
        <v>67.924528301886795</v>
      </c>
      <c r="J664" s="16">
        <f t="shared" si="20"/>
        <v>0</v>
      </c>
      <c r="K664" s="17">
        <f t="shared" si="21"/>
        <v>17</v>
      </c>
    </row>
    <row r="665" spans="1:11" x14ac:dyDescent="0.25">
      <c r="A665" s="4" t="s">
        <v>258</v>
      </c>
      <c r="B665" s="1">
        <v>0.75965099999999997</v>
      </c>
      <c r="C665" s="1">
        <v>0.76272300000000004</v>
      </c>
      <c r="D665" s="1">
        <f>IF(B665&gt;C665,B665-C665,C665-B665)</f>
        <v>3.0720000000000747E-3</v>
      </c>
      <c r="E665">
        <f>MINUTE(D665)</f>
        <v>4</v>
      </c>
      <c r="F665">
        <f>SECOND(D665)</f>
        <v>25</v>
      </c>
      <c r="G665">
        <f>ROUND(E665+F665/60,2)</f>
        <v>4.42</v>
      </c>
      <c r="H665">
        <f>60*E665+F665</f>
        <v>265</v>
      </c>
      <c r="I665" s="3">
        <f>5*(3600/H665)</f>
        <v>67.924528301886795</v>
      </c>
      <c r="J665" s="16">
        <f t="shared" si="20"/>
        <v>0</v>
      </c>
      <c r="K665" s="17">
        <f t="shared" si="21"/>
        <v>18</v>
      </c>
    </row>
    <row r="666" spans="1:11" x14ac:dyDescent="0.25">
      <c r="A666" s="4" t="s">
        <v>294</v>
      </c>
      <c r="B666" s="1">
        <v>0.956812</v>
      </c>
      <c r="C666" s="1">
        <v>0.95374800000000004</v>
      </c>
      <c r="D666" s="1">
        <f>IF(B666&gt;C666,B666-C666,C666-B666)</f>
        <v>3.0639999999999556E-3</v>
      </c>
      <c r="E666">
        <f>MINUTE(D666)</f>
        <v>4</v>
      </c>
      <c r="F666">
        <f>SECOND(D666)</f>
        <v>25</v>
      </c>
      <c r="G666">
        <f>ROUND(E666+F666/60,2)</f>
        <v>4.42</v>
      </c>
      <c r="H666">
        <f>60*E666+F666</f>
        <v>265</v>
      </c>
      <c r="I666" s="3">
        <f>5*(3600/H666)</f>
        <v>67.924528301886795</v>
      </c>
      <c r="J666" s="16">
        <f t="shared" si="20"/>
        <v>0</v>
      </c>
      <c r="K666" s="17">
        <f t="shared" si="21"/>
        <v>22</v>
      </c>
    </row>
    <row r="667" spans="1:11" x14ac:dyDescent="0.25">
      <c r="A667" s="4" t="s">
        <v>305</v>
      </c>
      <c r="B667" s="1">
        <v>0.71706700000000001</v>
      </c>
      <c r="C667" s="1">
        <v>0.71400300000000005</v>
      </c>
      <c r="D667" s="1">
        <f>IF(B667&gt;C667,B667-C667,C667-B667)</f>
        <v>3.0639999999999556E-3</v>
      </c>
      <c r="E667">
        <f>MINUTE(D667)</f>
        <v>4</v>
      </c>
      <c r="F667">
        <f>SECOND(D667)</f>
        <v>25</v>
      </c>
      <c r="G667">
        <f>ROUND(E667+F667/60,2)</f>
        <v>4.42</v>
      </c>
      <c r="H667">
        <f>60*E667+F667</f>
        <v>265</v>
      </c>
      <c r="I667" s="3">
        <f>5*(3600/H667)</f>
        <v>67.924528301886795</v>
      </c>
      <c r="J667" s="16">
        <f t="shared" si="20"/>
        <v>0</v>
      </c>
      <c r="K667" s="17">
        <f t="shared" si="21"/>
        <v>17</v>
      </c>
    </row>
    <row r="668" spans="1:11" x14ac:dyDescent="0.25">
      <c r="A668" s="4" t="s">
        <v>342</v>
      </c>
      <c r="B668" s="1">
        <v>0.52615599999999996</v>
      </c>
      <c r="C668" s="1">
        <v>0.52922000000000002</v>
      </c>
      <c r="D668" s="1">
        <f>IF(B668&gt;C668,B668-C668,C668-B668)</f>
        <v>3.0640000000000667E-3</v>
      </c>
      <c r="E668">
        <f>MINUTE(D668)</f>
        <v>4</v>
      </c>
      <c r="F668">
        <f>SECOND(D668)</f>
        <v>25</v>
      </c>
      <c r="G668">
        <f>ROUND(E668+F668/60,2)</f>
        <v>4.42</v>
      </c>
      <c r="H668">
        <f>60*E668+F668</f>
        <v>265</v>
      </c>
      <c r="I668" s="3">
        <f>5*(3600/H668)</f>
        <v>67.924528301886795</v>
      </c>
      <c r="J668" s="16">
        <f t="shared" si="20"/>
        <v>0</v>
      </c>
      <c r="K668" s="17">
        <f t="shared" si="21"/>
        <v>12</v>
      </c>
    </row>
    <row r="669" spans="1:11" x14ac:dyDescent="0.25">
      <c r="A669" s="4" t="s">
        <v>98</v>
      </c>
      <c r="B669" s="1">
        <v>0.56562500000000004</v>
      </c>
      <c r="C669" s="1">
        <v>0.56870900000000002</v>
      </c>
      <c r="D669" s="1">
        <f>IF(B669&gt;C669,B669-C669,C669-B669)</f>
        <v>3.0839999999999756E-3</v>
      </c>
      <c r="E669">
        <f>MINUTE(D669)</f>
        <v>4</v>
      </c>
      <c r="F669">
        <f>SECOND(D669)</f>
        <v>26</v>
      </c>
      <c r="G669">
        <f>ROUND(E669+F669/60,2)</f>
        <v>4.43</v>
      </c>
      <c r="H669">
        <f>60*E669+F669</f>
        <v>266</v>
      </c>
      <c r="I669" s="3">
        <f>5*(3600/H669)</f>
        <v>67.669172932330824</v>
      </c>
      <c r="J669" s="16">
        <f t="shared" si="20"/>
        <v>0</v>
      </c>
      <c r="K669" s="17">
        <f t="shared" si="21"/>
        <v>13</v>
      </c>
    </row>
    <row r="670" spans="1:11" x14ac:dyDescent="0.25">
      <c r="A670" s="4" t="s">
        <v>3</v>
      </c>
      <c r="B670" s="1">
        <v>0.83289800000000003</v>
      </c>
      <c r="C670" s="1">
        <v>0.82982199999999995</v>
      </c>
      <c r="D670" s="1">
        <f>IF(B670&gt;C670,B670-C670,C670-B670)</f>
        <v>3.0760000000000787E-3</v>
      </c>
      <c r="E670">
        <f>MINUTE(D670)</f>
        <v>4</v>
      </c>
      <c r="F670">
        <f>SECOND(D670)</f>
        <v>26</v>
      </c>
      <c r="G670">
        <f>ROUND(E670+F670/60,2)</f>
        <v>4.43</v>
      </c>
      <c r="H670">
        <f>60*E670+F670</f>
        <v>266</v>
      </c>
      <c r="I670" s="3">
        <f>5*(3600/H670)</f>
        <v>67.669172932330824</v>
      </c>
      <c r="J670" s="16">
        <f t="shared" si="20"/>
        <v>0</v>
      </c>
      <c r="K670" s="17">
        <f t="shared" si="21"/>
        <v>19</v>
      </c>
    </row>
    <row r="671" spans="1:11" x14ac:dyDescent="0.25">
      <c r="A671" s="4" t="s">
        <v>94</v>
      </c>
      <c r="B671" s="1">
        <v>0.65988999999999998</v>
      </c>
      <c r="C671" s="1">
        <v>0.65681</v>
      </c>
      <c r="D671" s="1">
        <f>IF(B671&gt;C671,B671-C671,C671-B671)</f>
        <v>3.0799999999999716E-3</v>
      </c>
      <c r="E671">
        <f>MINUTE(D671)</f>
        <v>4</v>
      </c>
      <c r="F671">
        <f>SECOND(D671)</f>
        <v>26</v>
      </c>
      <c r="G671">
        <f>ROUND(E671+F671/60,2)</f>
        <v>4.43</v>
      </c>
      <c r="H671">
        <f>60*E671+F671</f>
        <v>266</v>
      </c>
      <c r="I671" s="3">
        <f>5*(3600/H671)</f>
        <v>67.669172932330824</v>
      </c>
      <c r="J671" s="16">
        <f t="shared" si="20"/>
        <v>0</v>
      </c>
      <c r="K671" s="17">
        <f t="shared" si="21"/>
        <v>15</v>
      </c>
    </row>
    <row r="672" spans="1:11" x14ac:dyDescent="0.25">
      <c r="A672" s="4" t="s">
        <v>129</v>
      </c>
      <c r="B672" s="1">
        <v>0.30509900000000001</v>
      </c>
      <c r="C672" s="1">
        <v>0.308195</v>
      </c>
      <c r="D672" s="1">
        <f>IF(B672&gt;C672,B672-C672,C672-B672)</f>
        <v>3.0959999999999877E-3</v>
      </c>
      <c r="E672">
        <f>MINUTE(D672)</f>
        <v>4</v>
      </c>
      <c r="F672">
        <f>SECOND(D672)</f>
        <v>27</v>
      </c>
      <c r="G672">
        <f>ROUND(E672+F672/60,2)</f>
        <v>4.45</v>
      </c>
      <c r="H672">
        <f>60*E672+F672</f>
        <v>267</v>
      </c>
      <c r="I672" s="3">
        <f>5*(3600/H672)</f>
        <v>67.415730337078642</v>
      </c>
      <c r="J672" s="16">
        <f t="shared" si="20"/>
        <v>0</v>
      </c>
      <c r="K672" s="17">
        <f t="shared" si="21"/>
        <v>7</v>
      </c>
    </row>
    <row r="673" spans="1:11" x14ac:dyDescent="0.25">
      <c r="A673" s="4" t="s">
        <v>360</v>
      </c>
      <c r="B673" s="1">
        <v>0.85678500000000002</v>
      </c>
      <c r="C673" s="1">
        <v>0.85369300000000004</v>
      </c>
      <c r="D673" s="1">
        <f>IF(B673&gt;C673,B673-C673,C673-B673)</f>
        <v>3.0919999999999837E-3</v>
      </c>
      <c r="E673">
        <f>MINUTE(D673)</f>
        <v>4</v>
      </c>
      <c r="F673">
        <f>SECOND(D673)</f>
        <v>27</v>
      </c>
      <c r="G673">
        <f>ROUND(E673+F673/60,2)</f>
        <v>4.45</v>
      </c>
      <c r="H673">
        <f>60*E673+F673</f>
        <v>267</v>
      </c>
      <c r="I673" s="3">
        <f>5*(3600/H673)</f>
        <v>67.415730337078642</v>
      </c>
      <c r="J673" s="16">
        <f t="shared" si="20"/>
        <v>0</v>
      </c>
      <c r="K673" s="17">
        <f t="shared" si="21"/>
        <v>20</v>
      </c>
    </row>
    <row r="674" spans="1:11" x14ac:dyDescent="0.25">
      <c r="A674" s="4" t="s">
        <v>137</v>
      </c>
      <c r="B674" s="1">
        <v>0.24684700000000001</v>
      </c>
      <c r="C674" s="1">
        <v>0.24374699999999999</v>
      </c>
      <c r="D674" s="1">
        <f>IF(B674&gt;C674,B674-C674,C674-B674)</f>
        <v>3.1000000000000194E-3</v>
      </c>
      <c r="E674">
        <f>MINUTE(D674)</f>
        <v>4</v>
      </c>
      <c r="F674">
        <f>SECOND(D674)</f>
        <v>28</v>
      </c>
      <c r="G674">
        <f>ROUND(E674+F674/60,2)</f>
        <v>4.47</v>
      </c>
      <c r="H674">
        <f>60*E674+F674</f>
        <v>268</v>
      </c>
      <c r="I674" s="3">
        <f>5*(3600/H674)</f>
        <v>67.164179104477611</v>
      </c>
      <c r="J674" s="16">
        <f t="shared" si="20"/>
        <v>0</v>
      </c>
      <c r="K674" s="17">
        <f t="shared" si="21"/>
        <v>5</v>
      </c>
    </row>
    <row r="675" spans="1:11" x14ac:dyDescent="0.25">
      <c r="A675" s="4" t="s">
        <v>287</v>
      </c>
      <c r="B675" s="1">
        <v>0.81754599999999999</v>
      </c>
      <c r="C675" s="1">
        <v>0.814446</v>
      </c>
      <c r="D675" s="1">
        <f>IF(B675&gt;C675,B675-C675,C675-B675)</f>
        <v>3.0999999999999917E-3</v>
      </c>
      <c r="E675">
        <f>MINUTE(D675)</f>
        <v>4</v>
      </c>
      <c r="F675">
        <f>SECOND(D675)</f>
        <v>28</v>
      </c>
      <c r="G675">
        <f>ROUND(E675+F675/60,2)</f>
        <v>4.47</v>
      </c>
      <c r="H675">
        <f>60*E675+F675</f>
        <v>268</v>
      </c>
      <c r="I675" s="3">
        <f>5*(3600/H675)</f>
        <v>67.164179104477611</v>
      </c>
      <c r="J675" s="16">
        <f t="shared" si="20"/>
        <v>0</v>
      </c>
      <c r="K675" s="17">
        <f t="shared" si="21"/>
        <v>19</v>
      </c>
    </row>
    <row r="676" spans="1:11" x14ac:dyDescent="0.25">
      <c r="A676" s="4" t="s">
        <v>88</v>
      </c>
      <c r="B676" s="1">
        <v>0.54971199999999998</v>
      </c>
      <c r="C676" s="1">
        <v>0.54660399999999998</v>
      </c>
      <c r="D676" s="1">
        <f>IF(B676&gt;C676,B676-C676,C676-B676)</f>
        <v>3.1079999999999997E-3</v>
      </c>
      <c r="E676">
        <f>MINUTE(D676)</f>
        <v>4</v>
      </c>
      <c r="F676">
        <f>SECOND(D676)</f>
        <v>29</v>
      </c>
      <c r="G676">
        <f>ROUND(E676+F676/60,2)</f>
        <v>4.4800000000000004</v>
      </c>
      <c r="H676">
        <f>60*E676+F676</f>
        <v>269</v>
      </c>
      <c r="I676" s="3">
        <f>5*(3600/H676)</f>
        <v>66.914498141263948</v>
      </c>
      <c r="J676" s="16">
        <f t="shared" si="20"/>
        <v>0</v>
      </c>
      <c r="K676" s="17">
        <f t="shared" si="21"/>
        <v>13</v>
      </c>
    </row>
    <row r="677" spans="1:11" x14ac:dyDescent="0.25">
      <c r="A677" s="4" t="s">
        <v>75</v>
      </c>
      <c r="B677" s="1">
        <v>0.48200599999999999</v>
      </c>
      <c r="C677" s="1">
        <v>0.485122</v>
      </c>
      <c r="D677" s="1">
        <f>IF(B677&gt;C677,B677-C677,C677-B677)</f>
        <v>3.1160000000000077E-3</v>
      </c>
      <c r="E677">
        <f>MINUTE(D677)</f>
        <v>4</v>
      </c>
      <c r="F677">
        <f>SECOND(D677)</f>
        <v>29</v>
      </c>
      <c r="G677">
        <f>ROUND(E677+F677/60,2)</f>
        <v>4.4800000000000004</v>
      </c>
      <c r="H677">
        <f>60*E677+F677</f>
        <v>269</v>
      </c>
      <c r="I677" s="3">
        <f>5*(3600/H677)</f>
        <v>66.914498141263948</v>
      </c>
      <c r="J677" s="16">
        <f t="shared" si="20"/>
        <v>0</v>
      </c>
      <c r="K677" s="17">
        <f t="shared" si="21"/>
        <v>11</v>
      </c>
    </row>
    <row r="678" spans="1:11" x14ac:dyDescent="0.25">
      <c r="A678" s="4" t="s">
        <v>33</v>
      </c>
      <c r="B678" s="1">
        <v>0.915269</v>
      </c>
      <c r="C678" s="1">
        <v>0.91838500000000001</v>
      </c>
      <c r="D678" s="1">
        <f>IF(B678&gt;C678,B678-C678,C678-B678)</f>
        <v>3.1160000000000077E-3</v>
      </c>
      <c r="E678">
        <f>MINUTE(D678)</f>
        <v>4</v>
      </c>
      <c r="F678">
        <f>SECOND(D678)</f>
        <v>29</v>
      </c>
      <c r="G678">
        <f>ROUND(E678+F678/60,2)</f>
        <v>4.4800000000000004</v>
      </c>
      <c r="H678">
        <f>60*E678+F678</f>
        <v>269</v>
      </c>
      <c r="I678" s="3">
        <f>5*(3600/H678)</f>
        <v>66.914498141263948</v>
      </c>
      <c r="J678" s="16">
        <f t="shared" si="20"/>
        <v>0</v>
      </c>
      <c r="K678" s="17">
        <f t="shared" si="21"/>
        <v>21</v>
      </c>
    </row>
    <row r="679" spans="1:11" x14ac:dyDescent="0.25">
      <c r="A679" s="4" t="s">
        <v>327</v>
      </c>
      <c r="B679" s="1">
        <v>7.5789999999999998E-3</v>
      </c>
      <c r="C679" s="1">
        <v>1.0695E-2</v>
      </c>
      <c r="D679" s="1">
        <f>IF(B679&gt;C679,B679-C679,C679-B679)</f>
        <v>3.1159999999999998E-3</v>
      </c>
      <c r="E679">
        <f>MINUTE(D679)</f>
        <v>4</v>
      </c>
      <c r="F679">
        <f>SECOND(D679)</f>
        <v>29</v>
      </c>
      <c r="G679">
        <f>ROUND(E679+F679/60,2)</f>
        <v>4.4800000000000004</v>
      </c>
      <c r="H679">
        <f>60*E679+F679</f>
        <v>269</v>
      </c>
      <c r="I679" s="3">
        <f>5*(3600/H679)</f>
        <v>66.914498141263948</v>
      </c>
      <c r="J679" s="16">
        <f t="shared" si="20"/>
        <v>0</v>
      </c>
      <c r="K679" s="17">
        <f t="shared" si="21"/>
        <v>0</v>
      </c>
    </row>
    <row r="680" spans="1:11" x14ac:dyDescent="0.25">
      <c r="A680" s="4" t="s">
        <v>409</v>
      </c>
      <c r="B680" s="1">
        <v>0.92164199999999996</v>
      </c>
      <c r="C680" s="1">
        <v>0.92475799999999997</v>
      </c>
      <c r="D680" s="1">
        <f>IF(B680&gt;C680,B680-C680,C680-B680)</f>
        <v>3.1160000000000077E-3</v>
      </c>
      <c r="E680">
        <f>MINUTE(D680)</f>
        <v>4</v>
      </c>
      <c r="F680">
        <f>SECOND(D680)</f>
        <v>29</v>
      </c>
      <c r="G680">
        <f>ROUND(E680+F680/60,2)</f>
        <v>4.4800000000000004</v>
      </c>
      <c r="H680">
        <f>60*E680+F680</f>
        <v>269</v>
      </c>
      <c r="I680" s="3">
        <f>5*(3600/H680)</f>
        <v>66.914498141263948</v>
      </c>
      <c r="J680" s="16">
        <f t="shared" si="20"/>
        <v>0</v>
      </c>
      <c r="K680" s="17">
        <f t="shared" si="21"/>
        <v>22</v>
      </c>
    </row>
    <row r="681" spans="1:11" x14ac:dyDescent="0.25">
      <c r="A681" s="4" t="s">
        <v>49</v>
      </c>
      <c r="B681" s="1">
        <v>0.55866400000000005</v>
      </c>
      <c r="C681" s="1">
        <v>0.55554400000000004</v>
      </c>
      <c r="D681" s="1">
        <f>IF(B681&gt;C681,B681-C681,C681-B681)</f>
        <v>3.1200000000000117E-3</v>
      </c>
      <c r="E681">
        <f>MINUTE(D681)</f>
        <v>4</v>
      </c>
      <c r="F681">
        <f>SECOND(D681)</f>
        <v>30</v>
      </c>
      <c r="G681">
        <f>ROUND(E681+F681/60,2)</f>
        <v>4.5</v>
      </c>
      <c r="H681">
        <f>60*E681+F681</f>
        <v>270</v>
      </c>
      <c r="I681" s="3">
        <f>5*(3600/H681)</f>
        <v>66.666666666666671</v>
      </c>
      <c r="J681" s="16">
        <f t="shared" si="20"/>
        <v>0</v>
      </c>
      <c r="K681" s="17">
        <f t="shared" si="21"/>
        <v>13</v>
      </c>
    </row>
    <row r="682" spans="1:11" x14ac:dyDescent="0.25">
      <c r="A682" s="4" t="s">
        <v>89</v>
      </c>
      <c r="B682" s="1">
        <v>0.42967</v>
      </c>
      <c r="C682" s="1">
        <v>0.42654599999999998</v>
      </c>
      <c r="D682" s="1">
        <f>IF(B682&gt;C682,B682-C682,C682-B682)</f>
        <v>3.1240000000000157E-3</v>
      </c>
      <c r="E682">
        <f>MINUTE(D682)</f>
        <v>4</v>
      </c>
      <c r="F682">
        <f>SECOND(D682)</f>
        <v>30</v>
      </c>
      <c r="G682">
        <f>ROUND(E682+F682/60,2)</f>
        <v>4.5</v>
      </c>
      <c r="H682">
        <f>60*E682+F682</f>
        <v>270</v>
      </c>
      <c r="I682" s="3">
        <f>5*(3600/H682)</f>
        <v>66.666666666666671</v>
      </c>
      <c r="J682" s="16">
        <f t="shared" si="20"/>
        <v>0</v>
      </c>
      <c r="K682" s="17">
        <f t="shared" si="21"/>
        <v>10</v>
      </c>
    </row>
    <row r="683" spans="1:11" x14ac:dyDescent="0.25">
      <c r="A683" s="4" t="s">
        <v>98</v>
      </c>
      <c r="B683" s="1">
        <v>0.248913</v>
      </c>
      <c r="C683" s="1">
        <v>0.25204100000000002</v>
      </c>
      <c r="D683" s="1">
        <f>IF(B683&gt;C683,B683-C683,C683-B683)</f>
        <v>3.1280000000000197E-3</v>
      </c>
      <c r="E683">
        <f>MINUTE(D683)</f>
        <v>4</v>
      </c>
      <c r="F683">
        <f>SECOND(D683)</f>
        <v>30</v>
      </c>
      <c r="G683">
        <f>ROUND(E683+F683/60,2)</f>
        <v>4.5</v>
      </c>
      <c r="H683">
        <f>60*E683+F683</f>
        <v>270</v>
      </c>
      <c r="I683" s="3">
        <f>5*(3600/H683)</f>
        <v>66.666666666666671</v>
      </c>
      <c r="J683" s="16">
        <f t="shared" si="20"/>
        <v>0</v>
      </c>
      <c r="K683" s="17">
        <f t="shared" si="21"/>
        <v>5</v>
      </c>
    </row>
    <row r="684" spans="1:11" x14ac:dyDescent="0.25">
      <c r="A684" s="4" t="s">
        <v>3</v>
      </c>
      <c r="B684" s="1">
        <v>0.640208</v>
      </c>
      <c r="C684" s="1">
        <v>0.64333600000000002</v>
      </c>
      <c r="D684" s="1">
        <f>IF(B684&gt;C684,B684-C684,C684-B684)</f>
        <v>3.1280000000000197E-3</v>
      </c>
      <c r="E684">
        <f>MINUTE(D684)</f>
        <v>4</v>
      </c>
      <c r="F684">
        <f>SECOND(D684)</f>
        <v>30</v>
      </c>
      <c r="G684">
        <f>ROUND(E684+F684/60,2)</f>
        <v>4.5</v>
      </c>
      <c r="H684">
        <f>60*E684+F684</f>
        <v>270</v>
      </c>
      <c r="I684" s="3">
        <f>5*(3600/H684)</f>
        <v>66.666666666666671</v>
      </c>
      <c r="J684" s="16">
        <f t="shared" si="20"/>
        <v>0</v>
      </c>
      <c r="K684" s="17">
        <f t="shared" si="21"/>
        <v>15</v>
      </c>
    </row>
    <row r="685" spans="1:11" x14ac:dyDescent="0.25">
      <c r="A685" s="4" t="s">
        <v>401</v>
      </c>
      <c r="B685" s="1">
        <v>0.35245900000000002</v>
      </c>
      <c r="C685" s="1">
        <v>0.35557899999999998</v>
      </c>
      <c r="D685" s="1">
        <f>IF(B685&gt;C685,B685-C685,C685-B685)</f>
        <v>3.1199999999999561E-3</v>
      </c>
      <c r="E685">
        <f>MINUTE(D685)</f>
        <v>4</v>
      </c>
      <c r="F685">
        <f>SECOND(D685)</f>
        <v>30</v>
      </c>
      <c r="G685">
        <f>ROUND(E685+F685/60,2)</f>
        <v>4.5</v>
      </c>
      <c r="H685">
        <f>60*E685+F685</f>
        <v>270</v>
      </c>
      <c r="I685" s="3">
        <f>5*(3600/H685)</f>
        <v>66.666666666666671</v>
      </c>
      <c r="J685" s="16">
        <f t="shared" si="20"/>
        <v>0</v>
      </c>
      <c r="K685" s="17">
        <f t="shared" si="21"/>
        <v>8</v>
      </c>
    </row>
    <row r="686" spans="1:11" x14ac:dyDescent="0.25">
      <c r="A686" s="4" t="s">
        <v>127</v>
      </c>
      <c r="B686" s="1">
        <v>0.658308</v>
      </c>
      <c r="C686" s="1">
        <v>0.65516799999999997</v>
      </c>
      <c r="D686" s="1">
        <f>IF(B686&gt;C686,B686-C686,C686-B686)</f>
        <v>3.1400000000000317E-3</v>
      </c>
      <c r="E686">
        <f>MINUTE(D686)</f>
        <v>4</v>
      </c>
      <c r="F686">
        <f>SECOND(D686)</f>
        <v>31</v>
      </c>
      <c r="G686">
        <f>ROUND(E686+F686/60,2)</f>
        <v>4.5199999999999996</v>
      </c>
      <c r="H686">
        <f>60*E686+F686</f>
        <v>271</v>
      </c>
      <c r="I686" s="3">
        <f>5*(3600/H686)</f>
        <v>66.420664206642059</v>
      </c>
      <c r="J686" s="16">
        <f t="shared" si="20"/>
        <v>0</v>
      </c>
      <c r="K686" s="17">
        <f t="shared" si="21"/>
        <v>15</v>
      </c>
    </row>
    <row r="687" spans="1:11" x14ac:dyDescent="0.25">
      <c r="A687" s="4" t="s">
        <v>81</v>
      </c>
      <c r="B687" s="1">
        <v>0.553678</v>
      </c>
      <c r="C687" s="1">
        <v>0.55054599999999998</v>
      </c>
      <c r="D687" s="1">
        <f>IF(B687&gt;C687,B687-C687,C687-B687)</f>
        <v>3.1320000000000237E-3</v>
      </c>
      <c r="E687">
        <f>MINUTE(D687)</f>
        <v>4</v>
      </c>
      <c r="F687">
        <f>SECOND(D687)</f>
        <v>31</v>
      </c>
      <c r="G687">
        <f>ROUND(E687+F687/60,2)</f>
        <v>4.5199999999999996</v>
      </c>
      <c r="H687">
        <f>60*E687+F687</f>
        <v>271</v>
      </c>
      <c r="I687" s="3">
        <f>5*(3600/H687)</f>
        <v>66.420664206642059</v>
      </c>
      <c r="J687" s="16">
        <f t="shared" si="20"/>
        <v>0</v>
      </c>
      <c r="K687" s="17">
        <f t="shared" si="21"/>
        <v>13</v>
      </c>
    </row>
    <row r="688" spans="1:11" x14ac:dyDescent="0.25">
      <c r="A688" s="4" t="s">
        <v>189</v>
      </c>
      <c r="B688" s="1">
        <v>0.99743400000000004</v>
      </c>
      <c r="C688" s="1">
        <v>0.99429400000000001</v>
      </c>
      <c r="D688" s="1">
        <f>IF(B688&gt;C688,B688-C688,C688-B688)</f>
        <v>3.1400000000000317E-3</v>
      </c>
      <c r="E688">
        <f>MINUTE(D688)</f>
        <v>4</v>
      </c>
      <c r="F688">
        <f>SECOND(D688)</f>
        <v>31</v>
      </c>
      <c r="G688">
        <f>ROUND(E688+F688/60,2)</f>
        <v>4.5199999999999996</v>
      </c>
      <c r="H688">
        <f>60*E688+F688</f>
        <v>271</v>
      </c>
      <c r="I688" s="3">
        <f>5*(3600/H688)</f>
        <v>66.420664206642059</v>
      </c>
      <c r="J688" s="16">
        <f t="shared" si="20"/>
        <v>0</v>
      </c>
      <c r="K688" s="17">
        <f t="shared" si="21"/>
        <v>23</v>
      </c>
    </row>
    <row r="689" spans="1:11" x14ac:dyDescent="0.25">
      <c r="A689" s="4" t="s">
        <v>130</v>
      </c>
      <c r="B689" s="1">
        <v>0.27076499999999998</v>
      </c>
      <c r="C689" s="1">
        <v>0.267621</v>
      </c>
      <c r="D689" s="1">
        <f>IF(B689&gt;C689,B689-C689,C689-B689)</f>
        <v>3.1439999999999801E-3</v>
      </c>
      <c r="E689">
        <f>MINUTE(D689)</f>
        <v>4</v>
      </c>
      <c r="F689">
        <f>SECOND(D689)</f>
        <v>32</v>
      </c>
      <c r="G689">
        <f>ROUND(E689+F689/60,2)</f>
        <v>4.53</v>
      </c>
      <c r="H689">
        <f>60*E689+F689</f>
        <v>272</v>
      </c>
      <c r="I689" s="3">
        <f>5*(3600/H689)</f>
        <v>66.17647058823529</v>
      </c>
      <c r="J689" s="16">
        <f t="shared" si="20"/>
        <v>0</v>
      </c>
      <c r="K689" s="17">
        <f t="shared" si="21"/>
        <v>6</v>
      </c>
    </row>
    <row r="690" spans="1:11" x14ac:dyDescent="0.25">
      <c r="A690" s="4" t="s">
        <v>14</v>
      </c>
      <c r="B690" s="1">
        <v>0.63127299999999997</v>
      </c>
      <c r="C690" s="1">
        <v>0.63441700000000001</v>
      </c>
      <c r="D690" s="1">
        <f>IF(B690&gt;C690,B690-C690,C690-B690)</f>
        <v>3.1440000000000357E-3</v>
      </c>
      <c r="E690">
        <f>MINUTE(D690)</f>
        <v>4</v>
      </c>
      <c r="F690">
        <f>SECOND(D690)</f>
        <v>32</v>
      </c>
      <c r="G690">
        <f>ROUND(E690+F690/60,2)</f>
        <v>4.53</v>
      </c>
      <c r="H690">
        <f>60*E690+F690</f>
        <v>272</v>
      </c>
      <c r="I690" s="3">
        <f>5*(3600/H690)</f>
        <v>66.17647058823529</v>
      </c>
      <c r="J690" s="16">
        <f t="shared" si="20"/>
        <v>0</v>
      </c>
      <c r="K690" s="17">
        <f t="shared" si="21"/>
        <v>15</v>
      </c>
    </row>
    <row r="691" spans="1:11" x14ac:dyDescent="0.25">
      <c r="A691" s="4" t="s">
        <v>47</v>
      </c>
      <c r="B691" s="1">
        <v>4.8843999999999999E-2</v>
      </c>
      <c r="C691" s="1">
        <v>5.1991999999999997E-2</v>
      </c>
      <c r="D691" s="1">
        <f>IF(B691&gt;C691,B691-C691,C691-B691)</f>
        <v>3.147999999999998E-3</v>
      </c>
      <c r="E691">
        <f>MINUTE(D691)</f>
        <v>4</v>
      </c>
      <c r="F691">
        <f>SECOND(D691)</f>
        <v>32</v>
      </c>
      <c r="G691">
        <f>ROUND(E691+F691/60,2)</f>
        <v>4.53</v>
      </c>
      <c r="H691">
        <f>60*E691+F691</f>
        <v>272</v>
      </c>
      <c r="I691" s="3">
        <f>5*(3600/H691)</f>
        <v>66.17647058823529</v>
      </c>
      <c r="J691" s="16">
        <f t="shared" si="20"/>
        <v>0</v>
      </c>
      <c r="K691" s="17">
        <f t="shared" si="21"/>
        <v>1</v>
      </c>
    </row>
    <row r="692" spans="1:11" x14ac:dyDescent="0.25">
      <c r="A692" s="4" t="s">
        <v>43</v>
      </c>
      <c r="B692" s="1">
        <v>0.90426899999999999</v>
      </c>
      <c r="C692" s="1">
        <v>0.90110500000000004</v>
      </c>
      <c r="D692" s="1">
        <f>IF(B692&gt;C692,B692-C692,C692-B692)</f>
        <v>3.1639999999999446E-3</v>
      </c>
      <c r="E692">
        <f>MINUTE(D692)</f>
        <v>4</v>
      </c>
      <c r="F692">
        <f>SECOND(D692)</f>
        <v>33</v>
      </c>
      <c r="G692">
        <f>ROUND(E692+F692/60,2)</f>
        <v>4.55</v>
      </c>
      <c r="H692">
        <f>60*E692+F692</f>
        <v>273</v>
      </c>
      <c r="I692" s="3">
        <f>5*(3600/H692)</f>
        <v>65.934065934065927</v>
      </c>
      <c r="J692" s="16">
        <f t="shared" si="20"/>
        <v>0</v>
      </c>
      <c r="K692" s="17">
        <f t="shared" si="21"/>
        <v>21</v>
      </c>
    </row>
    <row r="693" spans="1:11" x14ac:dyDescent="0.25">
      <c r="A693" s="4" t="s">
        <v>70</v>
      </c>
      <c r="B693" s="1">
        <v>0.51831700000000003</v>
      </c>
      <c r="C693" s="1">
        <v>0.52147299999999996</v>
      </c>
      <c r="D693" s="1">
        <f>IF(B693&gt;C693,B693-C693,C693-B693)</f>
        <v>3.1559999999999366E-3</v>
      </c>
      <c r="E693">
        <f>MINUTE(D693)</f>
        <v>4</v>
      </c>
      <c r="F693">
        <f>SECOND(D693)</f>
        <v>33</v>
      </c>
      <c r="G693">
        <f>ROUND(E693+F693/60,2)</f>
        <v>4.55</v>
      </c>
      <c r="H693">
        <f>60*E693+F693</f>
        <v>273</v>
      </c>
      <c r="I693" s="3">
        <f>5*(3600/H693)</f>
        <v>65.934065934065927</v>
      </c>
      <c r="J693" s="16">
        <f t="shared" si="20"/>
        <v>0</v>
      </c>
      <c r="K693" s="17">
        <f t="shared" si="21"/>
        <v>12</v>
      </c>
    </row>
    <row r="694" spans="1:11" x14ac:dyDescent="0.25">
      <c r="A694" s="4" t="s">
        <v>155</v>
      </c>
      <c r="B694" s="1">
        <v>0.55934799999999996</v>
      </c>
      <c r="C694" s="1">
        <v>0.55619200000000002</v>
      </c>
      <c r="D694" s="1">
        <f>IF(B694&gt;C694,B694-C694,C694-B694)</f>
        <v>3.1559999999999366E-3</v>
      </c>
      <c r="E694">
        <f>MINUTE(D694)</f>
        <v>4</v>
      </c>
      <c r="F694">
        <f>SECOND(D694)</f>
        <v>33</v>
      </c>
      <c r="G694">
        <f>ROUND(E694+F694/60,2)</f>
        <v>4.55</v>
      </c>
      <c r="H694">
        <f>60*E694+F694</f>
        <v>273</v>
      </c>
      <c r="I694" s="3">
        <f>5*(3600/H694)</f>
        <v>65.934065934065927</v>
      </c>
      <c r="J694" s="16">
        <f t="shared" si="20"/>
        <v>0</v>
      </c>
      <c r="K694" s="17">
        <f t="shared" si="21"/>
        <v>13</v>
      </c>
    </row>
    <row r="695" spans="1:11" x14ac:dyDescent="0.25">
      <c r="A695" s="4" t="s">
        <v>273</v>
      </c>
      <c r="B695" s="1">
        <v>0.62061200000000005</v>
      </c>
      <c r="C695" s="1">
        <v>0.62377199999999999</v>
      </c>
      <c r="D695" s="1">
        <f>IF(B695&gt;C695,B695-C695,C695-B695)</f>
        <v>3.1599999999999406E-3</v>
      </c>
      <c r="E695">
        <f>MINUTE(D695)</f>
        <v>4</v>
      </c>
      <c r="F695">
        <f>SECOND(D695)</f>
        <v>33</v>
      </c>
      <c r="G695">
        <f>ROUND(E695+F695/60,2)</f>
        <v>4.55</v>
      </c>
      <c r="H695">
        <f>60*E695+F695</f>
        <v>273</v>
      </c>
      <c r="I695" s="3">
        <f>5*(3600/H695)</f>
        <v>65.934065934065927</v>
      </c>
      <c r="J695" s="16">
        <f t="shared" si="20"/>
        <v>0</v>
      </c>
      <c r="K695" s="17">
        <f t="shared" si="21"/>
        <v>14</v>
      </c>
    </row>
    <row r="696" spans="1:11" x14ac:dyDescent="0.25">
      <c r="A696" s="4" t="s">
        <v>390</v>
      </c>
      <c r="B696" s="1">
        <v>0.30533100000000002</v>
      </c>
      <c r="C696" s="1">
        <v>0.30848700000000001</v>
      </c>
      <c r="D696" s="1">
        <f>IF(B696&gt;C696,B696-C696,C696-B696)</f>
        <v>3.1559999999999921E-3</v>
      </c>
      <c r="E696">
        <f>MINUTE(D696)</f>
        <v>4</v>
      </c>
      <c r="F696">
        <f>SECOND(D696)</f>
        <v>33</v>
      </c>
      <c r="G696">
        <f>ROUND(E696+F696/60,2)</f>
        <v>4.55</v>
      </c>
      <c r="H696">
        <f>60*E696+F696</f>
        <v>273</v>
      </c>
      <c r="I696" s="3">
        <f>5*(3600/H696)</f>
        <v>65.934065934065927</v>
      </c>
      <c r="J696" s="16">
        <f t="shared" si="20"/>
        <v>0</v>
      </c>
      <c r="K696" s="17">
        <f t="shared" si="21"/>
        <v>7</v>
      </c>
    </row>
    <row r="697" spans="1:11" x14ac:dyDescent="0.25">
      <c r="A697" s="4" t="s">
        <v>19</v>
      </c>
      <c r="B697" s="1">
        <v>0.324683</v>
      </c>
      <c r="C697" s="1">
        <v>0.32151099999999999</v>
      </c>
      <c r="D697" s="1">
        <f>IF(B697&gt;C697,B697-C697,C697-B697)</f>
        <v>3.1720000000000081E-3</v>
      </c>
      <c r="E697">
        <f>MINUTE(D697)</f>
        <v>4</v>
      </c>
      <c r="F697">
        <f>SECOND(D697)</f>
        <v>34</v>
      </c>
      <c r="G697">
        <f>ROUND(E697+F697/60,2)</f>
        <v>4.57</v>
      </c>
      <c r="H697">
        <f>60*E697+F697</f>
        <v>274</v>
      </c>
      <c r="I697" s="3">
        <f>5*(3600/H697)</f>
        <v>65.693430656934311</v>
      </c>
      <c r="J697" s="16">
        <f t="shared" si="20"/>
        <v>0</v>
      </c>
      <c r="K697" s="17">
        <f t="shared" si="21"/>
        <v>7</v>
      </c>
    </row>
    <row r="698" spans="1:11" x14ac:dyDescent="0.25">
      <c r="A698" s="4" t="s">
        <v>215</v>
      </c>
      <c r="B698" s="1">
        <v>0.92084600000000005</v>
      </c>
      <c r="C698" s="1">
        <v>0.924014</v>
      </c>
      <c r="D698" s="1">
        <f>IF(B698&gt;C698,B698-C698,C698-B698)</f>
        <v>3.1679999999999486E-3</v>
      </c>
      <c r="E698">
        <f>MINUTE(D698)</f>
        <v>4</v>
      </c>
      <c r="F698">
        <f>SECOND(D698)</f>
        <v>34</v>
      </c>
      <c r="G698">
        <f>ROUND(E698+F698/60,2)</f>
        <v>4.57</v>
      </c>
      <c r="H698">
        <f>60*E698+F698</f>
        <v>274</v>
      </c>
      <c r="I698" s="3">
        <f>5*(3600/H698)</f>
        <v>65.693430656934311</v>
      </c>
      <c r="J698" s="16">
        <f t="shared" si="20"/>
        <v>0</v>
      </c>
      <c r="K698" s="17">
        <f t="shared" si="21"/>
        <v>22</v>
      </c>
    </row>
    <row r="699" spans="1:11" x14ac:dyDescent="0.25">
      <c r="A699" s="4" t="s">
        <v>87</v>
      </c>
      <c r="B699" s="1">
        <v>0.48994100000000002</v>
      </c>
      <c r="C699" s="1">
        <v>0.49311300000000002</v>
      </c>
      <c r="D699" s="1">
        <f>IF(B699&gt;C699,B699-C699,C699-B699)</f>
        <v>3.1720000000000081E-3</v>
      </c>
      <c r="E699">
        <f>MINUTE(D699)</f>
        <v>4</v>
      </c>
      <c r="F699">
        <f>SECOND(D699)</f>
        <v>34</v>
      </c>
      <c r="G699">
        <f>ROUND(E699+F699/60,2)</f>
        <v>4.57</v>
      </c>
      <c r="H699">
        <f>60*E699+F699</f>
        <v>274</v>
      </c>
      <c r="I699" s="3">
        <f>5*(3600/H699)</f>
        <v>65.693430656934311</v>
      </c>
      <c r="J699" s="16">
        <f t="shared" si="20"/>
        <v>0</v>
      </c>
      <c r="K699" s="17">
        <f t="shared" si="21"/>
        <v>11</v>
      </c>
    </row>
    <row r="700" spans="1:11" x14ac:dyDescent="0.25">
      <c r="A700" s="4" t="s">
        <v>74</v>
      </c>
      <c r="B700" s="1">
        <v>0.57475200000000004</v>
      </c>
      <c r="C700" s="1">
        <v>0.57793600000000001</v>
      </c>
      <c r="D700" s="1">
        <f>IF(B700&gt;C700,B700-C700,C700-B700)</f>
        <v>3.1839999999999646E-3</v>
      </c>
      <c r="E700">
        <f>MINUTE(D700)</f>
        <v>4</v>
      </c>
      <c r="F700">
        <f>SECOND(D700)</f>
        <v>35</v>
      </c>
      <c r="G700">
        <f>ROUND(E700+F700/60,2)</f>
        <v>4.58</v>
      </c>
      <c r="H700">
        <f>60*E700+F700</f>
        <v>275</v>
      </c>
      <c r="I700" s="3">
        <f>5*(3600/H700)</f>
        <v>65.454545454545453</v>
      </c>
      <c r="J700" s="16">
        <f t="shared" si="20"/>
        <v>0</v>
      </c>
      <c r="K700" s="17">
        <f t="shared" si="21"/>
        <v>13</v>
      </c>
    </row>
    <row r="701" spans="1:11" x14ac:dyDescent="0.25">
      <c r="A701" s="4" t="s">
        <v>57</v>
      </c>
      <c r="B701" s="1">
        <v>0.99172199999999999</v>
      </c>
      <c r="C701" s="1">
        <v>0.99490199999999995</v>
      </c>
      <c r="D701" s="1">
        <f>IF(B701&gt;C701,B701-C701,C701-B701)</f>
        <v>3.1799999999999606E-3</v>
      </c>
      <c r="E701">
        <f>MINUTE(D701)</f>
        <v>4</v>
      </c>
      <c r="F701">
        <f>SECOND(D701)</f>
        <v>35</v>
      </c>
      <c r="G701">
        <f>ROUND(E701+F701/60,2)</f>
        <v>4.58</v>
      </c>
      <c r="H701">
        <f>60*E701+F701</f>
        <v>275</v>
      </c>
      <c r="I701" s="3">
        <f>5*(3600/H701)</f>
        <v>65.454545454545453</v>
      </c>
      <c r="J701" s="16">
        <f t="shared" si="20"/>
        <v>0</v>
      </c>
      <c r="K701" s="17">
        <f t="shared" si="21"/>
        <v>23</v>
      </c>
    </row>
    <row r="702" spans="1:11" x14ac:dyDescent="0.25">
      <c r="A702" s="4" t="s">
        <v>114</v>
      </c>
      <c r="B702" s="1">
        <v>0.46311099999999999</v>
      </c>
      <c r="C702" s="1">
        <v>0.45991500000000002</v>
      </c>
      <c r="D702" s="1">
        <f>IF(B702&gt;C702,B702-C702,C702-B702)</f>
        <v>3.1959999999999766E-3</v>
      </c>
      <c r="E702">
        <f>MINUTE(D702)</f>
        <v>4</v>
      </c>
      <c r="F702">
        <f>SECOND(D702)</f>
        <v>36</v>
      </c>
      <c r="G702">
        <f>ROUND(E702+F702/60,2)</f>
        <v>4.5999999999999996</v>
      </c>
      <c r="H702">
        <f>60*E702+F702</f>
        <v>276</v>
      </c>
      <c r="I702" s="3">
        <f>5*(3600/H702)</f>
        <v>65.217391304347828</v>
      </c>
      <c r="J702" s="16">
        <f t="shared" si="20"/>
        <v>0</v>
      </c>
      <c r="K702" s="17">
        <f t="shared" si="21"/>
        <v>11</v>
      </c>
    </row>
    <row r="703" spans="1:11" x14ac:dyDescent="0.25">
      <c r="A703" s="4" t="s">
        <v>90</v>
      </c>
      <c r="B703" s="1">
        <v>0.271982</v>
      </c>
      <c r="C703" s="1">
        <v>0.26878999999999997</v>
      </c>
      <c r="D703" s="1">
        <f>IF(B703&gt;C703,B703-C703,C703-B703)</f>
        <v>3.1920000000000281E-3</v>
      </c>
      <c r="E703">
        <f>MINUTE(D703)</f>
        <v>4</v>
      </c>
      <c r="F703">
        <f>SECOND(D703)</f>
        <v>36</v>
      </c>
      <c r="G703">
        <f>ROUND(E703+F703/60,2)</f>
        <v>4.5999999999999996</v>
      </c>
      <c r="H703">
        <f>60*E703+F703</f>
        <v>276</v>
      </c>
      <c r="I703" s="3">
        <f>5*(3600/H703)</f>
        <v>65.217391304347828</v>
      </c>
      <c r="J703" s="16">
        <f t="shared" si="20"/>
        <v>0</v>
      </c>
      <c r="K703" s="17">
        <f t="shared" si="21"/>
        <v>6</v>
      </c>
    </row>
    <row r="704" spans="1:11" x14ac:dyDescent="0.25">
      <c r="A704" s="4" t="s">
        <v>106</v>
      </c>
      <c r="B704" s="1">
        <v>0.25471199999999999</v>
      </c>
      <c r="C704" s="1">
        <v>0.25790400000000002</v>
      </c>
      <c r="D704" s="1">
        <f>IF(B704&gt;C704,B704-C704,C704-B704)</f>
        <v>3.1920000000000281E-3</v>
      </c>
      <c r="E704">
        <f>MINUTE(D704)</f>
        <v>4</v>
      </c>
      <c r="F704">
        <f>SECOND(D704)</f>
        <v>36</v>
      </c>
      <c r="G704">
        <f>ROUND(E704+F704/60,2)</f>
        <v>4.5999999999999996</v>
      </c>
      <c r="H704">
        <f>60*E704+F704</f>
        <v>276</v>
      </c>
      <c r="I704" s="3">
        <f>5*(3600/H704)</f>
        <v>65.217391304347828</v>
      </c>
      <c r="J704" s="16">
        <f t="shared" si="20"/>
        <v>0</v>
      </c>
      <c r="K704" s="17">
        <f t="shared" si="21"/>
        <v>6</v>
      </c>
    </row>
    <row r="705" spans="1:11" x14ac:dyDescent="0.25">
      <c r="A705" s="4" t="s">
        <v>68</v>
      </c>
      <c r="B705" s="1">
        <v>0.71384899999999996</v>
      </c>
      <c r="C705" s="1">
        <v>0.71065299999999998</v>
      </c>
      <c r="D705" s="1">
        <f>IF(B705&gt;C705,B705-C705,C705-B705)</f>
        <v>3.1959999999999766E-3</v>
      </c>
      <c r="E705">
        <f>MINUTE(D705)</f>
        <v>4</v>
      </c>
      <c r="F705">
        <f>SECOND(D705)</f>
        <v>36</v>
      </c>
      <c r="G705">
        <f>ROUND(E705+F705/60,2)</f>
        <v>4.5999999999999996</v>
      </c>
      <c r="H705">
        <f>60*E705+F705</f>
        <v>276</v>
      </c>
      <c r="I705" s="3">
        <f>5*(3600/H705)</f>
        <v>65.217391304347828</v>
      </c>
      <c r="J705" s="16">
        <f t="shared" si="20"/>
        <v>0</v>
      </c>
      <c r="K705" s="17">
        <f t="shared" si="21"/>
        <v>17</v>
      </c>
    </row>
    <row r="706" spans="1:11" x14ac:dyDescent="0.25">
      <c r="A706" s="4" t="s">
        <v>108</v>
      </c>
      <c r="B706" s="1">
        <v>2.9668E-2</v>
      </c>
      <c r="C706" s="1">
        <v>3.2876000000000002E-2</v>
      </c>
      <c r="D706" s="1">
        <f>IF(B706&gt;C706,B706-C706,C706-B706)</f>
        <v>3.2080000000000025E-3</v>
      </c>
      <c r="E706">
        <f>MINUTE(D706)</f>
        <v>4</v>
      </c>
      <c r="F706">
        <f>SECOND(D706)</f>
        <v>37</v>
      </c>
      <c r="G706">
        <f>ROUND(E706+F706/60,2)</f>
        <v>4.62</v>
      </c>
      <c r="H706">
        <f>60*E706+F706</f>
        <v>277</v>
      </c>
      <c r="I706" s="3">
        <f>5*(3600/H706)</f>
        <v>64.981949458483754</v>
      </c>
      <c r="J706" s="16">
        <f t="shared" si="20"/>
        <v>0</v>
      </c>
      <c r="K706" s="17">
        <f t="shared" si="21"/>
        <v>0</v>
      </c>
    </row>
    <row r="707" spans="1:11" x14ac:dyDescent="0.25">
      <c r="A707" s="4" t="s">
        <v>118</v>
      </c>
      <c r="B707" s="1">
        <v>0.57245400000000002</v>
      </c>
      <c r="C707" s="1">
        <v>0.57566200000000001</v>
      </c>
      <c r="D707" s="1">
        <f>IF(B707&gt;C707,B707-C707,C707-B707)</f>
        <v>3.2079999999999886E-3</v>
      </c>
      <c r="E707">
        <f>MINUTE(D707)</f>
        <v>4</v>
      </c>
      <c r="F707">
        <f>SECOND(D707)</f>
        <v>37</v>
      </c>
      <c r="G707">
        <f>ROUND(E707+F707/60,2)</f>
        <v>4.62</v>
      </c>
      <c r="H707">
        <f>60*E707+F707</f>
        <v>277</v>
      </c>
      <c r="I707" s="3">
        <f>5*(3600/H707)</f>
        <v>64.981949458483754</v>
      </c>
      <c r="J707" s="16">
        <f t="shared" ref="J707:J770" si="22">IF(I707&gt;140,1,0)</f>
        <v>0</v>
      </c>
      <c r="K707" s="17">
        <f t="shared" ref="K707:K770" si="23">HOUR(B707)</f>
        <v>13</v>
      </c>
    </row>
    <row r="708" spans="1:11" x14ac:dyDescent="0.25">
      <c r="A708" s="4" t="s">
        <v>75</v>
      </c>
      <c r="B708" s="1">
        <v>0.66879599999999995</v>
      </c>
      <c r="C708" s="1">
        <v>0.67200400000000005</v>
      </c>
      <c r="D708" s="1">
        <f>IF(B708&gt;C708,B708-C708,C708-B708)</f>
        <v>3.2080000000000997E-3</v>
      </c>
      <c r="E708">
        <f>MINUTE(D708)</f>
        <v>4</v>
      </c>
      <c r="F708">
        <f>SECOND(D708)</f>
        <v>37</v>
      </c>
      <c r="G708">
        <f>ROUND(E708+F708/60,2)</f>
        <v>4.62</v>
      </c>
      <c r="H708">
        <f>60*E708+F708</f>
        <v>277</v>
      </c>
      <c r="I708" s="3">
        <f>5*(3600/H708)</f>
        <v>64.981949458483754</v>
      </c>
      <c r="J708" s="16">
        <f t="shared" si="22"/>
        <v>0</v>
      </c>
      <c r="K708" s="17">
        <f t="shared" si="23"/>
        <v>16</v>
      </c>
    </row>
    <row r="709" spans="1:11" x14ac:dyDescent="0.25">
      <c r="A709" s="4" t="s">
        <v>170</v>
      </c>
      <c r="B709" s="1">
        <v>0.46080500000000002</v>
      </c>
      <c r="C709" s="1">
        <v>0.46401300000000001</v>
      </c>
      <c r="D709" s="1">
        <f>IF(B709&gt;C709,B709-C709,C709-B709)</f>
        <v>3.2079999999999886E-3</v>
      </c>
      <c r="E709">
        <f>MINUTE(D709)</f>
        <v>4</v>
      </c>
      <c r="F709">
        <f>SECOND(D709)</f>
        <v>37</v>
      </c>
      <c r="G709">
        <f>ROUND(E709+F709/60,2)</f>
        <v>4.62</v>
      </c>
      <c r="H709">
        <f>60*E709+F709</f>
        <v>277</v>
      </c>
      <c r="I709" s="3">
        <f>5*(3600/H709)</f>
        <v>64.981949458483754</v>
      </c>
      <c r="J709" s="16">
        <f t="shared" si="22"/>
        <v>0</v>
      </c>
      <c r="K709" s="17">
        <f t="shared" si="23"/>
        <v>11</v>
      </c>
    </row>
    <row r="710" spans="1:11" x14ac:dyDescent="0.25">
      <c r="A710" s="4" t="s">
        <v>224</v>
      </c>
      <c r="B710" s="1">
        <v>0.88523799999999997</v>
      </c>
      <c r="C710" s="1">
        <v>0.88202999999999998</v>
      </c>
      <c r="D710" s="1">
        <f>IF(B710&gt;C710,B710-C710,C710-B710)</f>
        <v>3.2079999999999886E-3</v>
      </c>
      <c r="E710">
        <f>MINUTE(D710)</f>
        <v>4</v>
      </c>
      <c r="F710">
        <f>SECOND(D710)</f>
        <v>37</v>
      </c>
      <c r="G710">
        <f>ROUND(E710+F710/60,2)</f>
        <v>4.62</v>
      </c>
      <c r="H710">
        <f>60*E710+F710</f>
        <v>277</v>
      </c>
      <c r="I710" s="3">
        <f>5*(3600/H710)</f>
        <v>64.981949458483754</v>
      </c>
      <c r="J710" s="16">
        <f t="shared" si="22"/>
        <v>0</v>
      </c>
      <c r="K710" s="17">
        <f t="shared" si="23"/>
        <v>21</v>
      </c>
    </row>
    <row r="711" spans="1:11" x14ac:dyDescent="0.25">
      <c r="A711" s="4" t="s">
        <v>126</v>
      </c>
      <c r="B711" s="1">
        <v>0.89384600000000003</v>
      </c>
      <c r="C711" s="1">
        <v>0.89706600000000003</v>
      </c>
      <c r="D711" s="1">
        <f>IF(B711&gt;C711,B711-C711,C711-B711)</f>
        <v>3.2200000000000006E-3</v>
      </c>
      <c r="E711">
        <f>MINUTE(D711)</f>
        <v>4</v>
      </c>
      <c r="F711">
        <f>SECOND(D711)</f>
        <v>38</v>
      </c>
      <c r="G711">
        <f>ROUND(E711+F711/60,2)</f>
        <v>4.63</v>
      </c>
      <c r="H711">
        <f>60*E711+F711</f>
        <v>278</v>
      </c>
      <c r="I711" s="3">
        <f>5*(3600/H711)</f>
        <v>64.748201438848923</v>
      </c>
      <c r="J711" s="16">
        <f t="shared" si="22"/>
        <v>0</v>
      </c>
      <c r="K711" s="17">
        <f t="shared" si="23"/>
        <v>21</v>
      </c>
    </row>
    <row r="712" spans="1:11" x14ac:dyDescent="0.25">
      <c r="A712" s="4" t="s">
        <v>5</v>
      </c>
      <c r="B712" s="1">
        <v>0.95478200000000002</v>
      </c>
      <c r="C712" s="1">
        <v>0.95157000000000003</v>
      </c>
      <c r="D712" s="1">
        <f>IF(B712&gt;C712,B712-C712,C712-B712)</f>
        <v>3.2119999999999926E-3</v>
      </c>
      <c r="E712">
        <f>MINUTE(D712)</f>
        <v>4</v>
      </c>
      <c r="F712">
        <f>SECOND(D712)</f>
        <v>38</v>
      </c>
      <c r="G712">
        <f>ROUND(E712+F712/60,2)</f>
        <v>4.63</v>
      </c>
      <c r="H712">
        <f>60*E712+F712</f>
        <v>278</v>
      </c>
      <c r="I712" s="3">
        <f>5*(3600/H712)</f>
        <v>64.748201438848923</v>
      </c>
      <c r="J712" s="16">
        <f t="shared" si="22"/>
        <v>0</v>
      </c>
      <c r="K712" s="17">
        <f t="shared" si="23"/>
        <v>22</v>
      </c>
    </row>
    <row r="713" spans="1:11" x14ac:dyDescent="0.25">
      <c r="A713" s="4" t="s">
        <v>117</v>
      </c>
      <c r="B713" s="1">
        <v>0.73974700000000004</v>
      </c>
      <c r="C713" s="1">
        <v>0.74296300000000004</v>
      </c>
      <c r="D713" s="1">
        <f>IF(B713&gt;C713,B713-C713,C713-B713)</f>
        <v>3.2159999999999966E-3</v>
      </c>
      <c r="E713">
        <f>MINUTE(D713)</f>
        <v>4</v>
      </c>
      <c r="F713">
        <f>SECOND(D713)</f>
        <v>38</v>
      </c>
      <c r="G713">
        <f>ROUND(E713+F713/60,2)</f>
        <v>4.63</v>
      </c>
      <c r="H713">
        <f>60*E713+F713</f>
        <v>278</v>
      </c>
      <c r="I713" s="3">
        <f>5*(3600/H713)</f>
        <v>64.748201438848923</v>
      </c>
      <c r="J713" s="16">
        <f t="shared" si="22"/>
        <v>0</v>
      </c>
      <c r="K713" s="17">
        <f t="shared" si="23"/>
        <v>17</v>
      </c>
    </row>
    <row r="714" spans="1:11" x14ac:dyDescent="0.25">
      <c r="A714" s="4" t="s">
        <v>365</v>
      </c>
      <c r="B714" s="1">
        <v>0.429481</v>
      </c>
      <c r="C714" s="1">
        <v>0.426261</v>
      </c>
      <c r="D714" s="1">
        <f>IF(B714&gt;C714,B714-C714,C714-B714)</f>
        <v>3.2200000000000006E-3</v>
      </c>
      <c r="E714">
        <f>MINUTE(D714)</f>
        <v>4</v>
      </c>
      <c r="F714">
        <f>SECOND(D714)</f>
        <v>38</v>
      </c>
      <c r="G714">
        <f>ROUND(E714+F714/60,2)</f>
        <v>4.63</v>
      </c>
      <c r="H714">
        <f>60*E714+F714</f>
        <v>278</v>
      </c>
      <c r="I714" s="3">
        <f>5*(3600/H714)</f>
        <v>64.748201438848923</v>
      </c>
      <c r="J714" s="16">
        <f t="shared" si="22"/>
        <v>0</v>
      </c>
      <c r="K714" s="17">
        <f t="shared" si="23"/>
        <v>10</v>
      </c>
    </row>
    <row r="715" spans="1:11" x14ac:dyDescent="0.25">
      <c r="A715" s="4" t="s">
        <v>124</v>
      </c>
      <c r="B715" s="1">
        <v>0.25201899999999999</v>
      </c>
      <c r="C715" s="1">
        <v>0.255247</v>
      </c>
      <c r="D715" s="1">
        <f>IF(B715&gt;C715,B715-C715,C715-B715)</f>
        <v>3.2280000000000086E-3</v>
      </c>
      <c r="E715">
        <f>MINUTE(D715)</f>
        <v>4</v>
      </c>
      <c r="F715">
        <f>SECOND(D715)</f>
        <v>39</v>
      </c>
      <c r="G715">
        <f>ROUND(E715+F715/60,2)</f>
        <v>4.6500000000000004</v>
      </c>
      <c r="H715">
        <f>60*E715+F715</f>
        <v>279</v>
      </c>
      <c r="I715" s="3">
        <f>5*(3600/H715)</f>
        <v>64.516129032258064</v>
      </c>
      <c r="J715" s="16">
        <f t="shared" si="22"/>
        <v>0</v>
      </c>
      <c r="K715" s="17">
        <f t="shared" si="23"/>
        <v>6</v>
      </c>
    </row>
    <row r="716" spans="1:11" x14ac:dyDescent="0.25">
      <c r="A716" s="4" t="s">
        <v>47</v>
      </c>
      <c r="B716" s="1">
        <v>0.44847399999999998</v>
      </c>
      <c r="C716" s="1">
        <v>0.45169799999999999</v>
      </c>
      <c r="D716" s="1">
        <f>IF(B716&gt;C716,B716-C716,C716-B716)</f>
        <v>3.2240000000000046E-3</v>
      </c>
      <c r="E716">
        <f>MINUTE(D716)</f>
        <v>4</v>
      </c>
      <c r="F716">
        <f>SECOND(D716)</f>
        <v>39</v>
      </c>
      <c r="G716">
        <f>ROUND(E716+F716/60,2)</f>
        <v>4.6500000000000004</v>
      </c>
      <c r="H716">
        <f>60*E716+F716</f>
        <v>279</v>
      </c>
      <c r="I716" s="3">
        <f>5*(3600/H716)</f>
        <v>64.516129032258064</v>
      </c>
      <c r="J716" s="16">
        <f t="shared" si="22"/>
        <v>0</v>
      </c>
      <c r="K716" s="17">
        <f t="shared" si="23"/>
        <v>10</v>
      </c>
    </row>
    <row r="717" spans="1:11" x14ac:dyDescent="0.25">
      <c r="A717" s="4" t="s">
        <v>162</v>
      </c>
      <c r="B717" s="1">
        <v>0.29753600000000002</v>
      </c>
      <c r="C717" s="1">
        <v>0.30076399999999998</v>
      </c>
      <c r="D717" s="1">
        <f>IF(B717&gt;C717,B717-C717,C717-B717)</f>
        <v>3.2279999999999531E-3</v>
      </c>
      <c r="E717">
        <f>MINUTE(D717)</f>
        <v>4</v>
      </c>
      <c r="F717">
        <f>SECOND(D717)</f>
        <v>39</v>
      </c>
      <c r="G717">
        <f>ROUND(E717+F717/60,2)</f>
        <v>4.6500000000000004</v>
      </c>
      <c r="H717">
        <f>60*E717+F717</f>
        <v>279</v>
      </c>
      <c r="I717" s="3">
        <f>5*(3600/H717)</f>
        <v>64.516129032258064</v>
      </c>
      <c r="J717" s="16">
        <f t="shared" si="22"/>
        <v>0</v>
      </c>
      <c r="K717" s="17">
        <f t="shared" si="23"/>
        <v>7</v>
      </c>
    </row>
    <row r="718" spans="1:11" x14ac:dyDescent="0.25">
      <c r="A718" s="4" t="s">
        <v>64</v>
      </c>
      <c r="B718" s="1">
        <v>0.82595300000000005</v>
      </c>
      <c r="C718" s="1">
        <v>0.82917700000000005</v>
      </c>
      <c r="D718" s="1">
        <f>IF(B718&gt;C718,B718-C718,C718-B718)</f>
        <v>3.2240000000000046E-3</v>
      </c>
      <c r="E718">
        <f>MINUTE(D718)</f>
        <v>4</v>
      </c>
      <c r="F718">
        <f>SECOND(D718)</f>
        <v>39</v>
      </c>
      <c r="G718">
        <f>ROUND(E718+F718/60,2)</f>
        <v>4.6500000000000004</v>
      </c>
      <c r="H718">
        <f>60*E718+F718</f>
        <v>279</v>
      </c>
      <c r="I718" s="3">
        <f>5*(3600/H718)</f>
        <v>64.516129032258064</v>
      </c>
      <c r="J718" s="16">
        <f t="shared" si="22"/>
        <v>0</v>
      </c>
      <c r="K718" s="17">
        <f t="shared" si="23"/>
        <v>19</v>
      </c>
    </row>
    <row r="719" spans="1:11" x14ac:dyDescent="0.25">
      <c r="A719" s="4" t="s">
        <v>229</v>
      </c>
      <c r="B719" s="1">
        <v>0.119934</v>
      </c>
      <c r="C719" s="1">
        <v>0.11670999999999999</v>
      </c>
      <c r="D719" s="1">
        <f>IF(B719&gt;C719,B719-C719,C719-B719)</f>
        <v>3.2240000000000046E-3</v>
      </c>
      <c r="E719">
        <f>MINUTE(D719)</f>
        <v>4</v>
      </c>
      <c r="F719">
        <f>SECOND(D719)</f>
        <v>39</v>
      </c>
      <c r="G719">
        <f>ROUND(E719+F719/60,2)</f>
        <v>4.6500000000000004</v>
      </c>
      <c r="H719">
        <f>60*E719+F719</f>
        <v>279</v>
      </c>
      <c r="I719" s="3">
        <f>5*(3600/H719)</f>
        <v>64.516129032258064</v>
      </c>
      <c r="J719" s="16">
        <f t="shared" si="22"/>
        <v>0</v>
      </c>
      <c r="K719" s="17">
        <f t="shared" si="23"/>
        <v>2</v>
      </c>
    </row>
    <row r="720" spans="1:11" x14ac:dyDescent="0.25">
      <c r="A720" s="4" t="s">
        <v>106</v>
      </c>
      <c r="B720" s="1">
        <v>9.7731999999999999E-2</v>
      </c>
      <c r="C720" s="1">
        <v>9.4488000000000003E-2</v>
      </c>
      <c r="D720" s="1">
        <f>IF(B720&gt;C720,B720-C720,C720-B720)</f>
        <v>3.2439999999999969E-3</v>
      </c>
      <c r="E720">
        <f>MINUTE(D720)</f>
        <v>4</v>
      </c>
      <c r="F720">
        <f>SECOND(D720)</f>
        <v>40</v>
      </c>
      <c r="G720">
        <f>ROUND(E720+F720/60,2)</f>
        <v>4.67</v>
      </c>
      <c r="H720">
        <f>60*E720+F720</f>
        <v>280</v>
      </c>
      <c r="I720" s="3">
        <f>5*(3600/H720)</f>
        <v>64.285714285714292</v>
      </c>
      <c r="J720" s="16">
        <f t="shared" si="22"/>
        <v>0</v>
      </c>
      <c r="K720" s="17">
        <f t="shared" si="23"/>
        <v>2</v>
      </c>
    </row>
    <row r="721" spans="1:11" x14ac:dyDescent="0.25">
      <c r="A721" s="4" t="s">
        <v>117</v>
      </c>
      <c r="B721" s="1">
        <v>0.94641600000000004</v>
      </c>
      <c r="C721" s="1">
        <v>0.94965200000000005</v>
      </c>
      <c r="D721" s="1">
        <f>IF(B721&gt;C721,B721-C721,C721-B721)</f>
        <v>3.2360000000000166E-3</v>
      </c>
      <c r="E721">
        <f>MINUTE(D721)</f>
        <v>4</v>
      </c>
      <c r="F721">
        <f>SECOND(D721)</f>
        <v>40</v>
      </c>
      <c r="G721">
        <f>ROUND(E721+F721/60,2)</f>
        <v>4.67</v>
      </c>
      <c r="H721">
        <f>60*E721+F721</f>
        <v>280</v>
      </c>
      <c r="I721" s="3">
        <f>5*(3600/H721)</f>
        <v>64.285714285714292</v>
      </c>
      <c r="J721" s="16">
        <f t="shared" si="22"/>
        <v>0</v>
      </c>
      <c r="K721" s="17">
        <f t="shared" si="23"/>
        <v>22</v>
      </c>
    </row>
    <row r="722" spans="1:11" x14ac:dyDescent="0.25">
      <c r="A722" s="4" t="s">
        <v>52</v>
      </c>
      <c r="B722" s="1">
        <v>0.80732599999999999</v>
      </c>
      <c r="C722" s="1">
        <v>0.80408199999999996</v>
      </c>
      <c r="D722" s="1">
        <f>IF(B722&gt;C722,B722-C722,C722-B722)</f>
        <v>3.2440000000000246E-3</v>
      </c>
      <c r="E722">
        <f>MINUTE(D722)</f>
        <v>4</v>
      </c>
      <c r="F722">
        <f>SECOND(D722)</f>
        <v>40</v>
      </c>
      <c r="G722">
        <f>ROUND(E722+F722/60,2)</f>
        <v>4.67</v>
      </c>
      <c r="H722">
        <f>60*E722+F722</f>
        <v>280</v>
      </c>
      <c r="I722" s="3">
        <f>5*(3600/H722)</f>
        <v>64.285714285714292</v>
      </c>
      <c r="J722" s="16">
        <f t="shared" si="22"/>
        <v>0</v>
      </c>
      <c r="K722" s="17">
        <f t="shared" si="23"/>
        <v>19</v>
      </c>
    </row>
    <row r="723" spans="1:11" x14ac:dyDescent="0.25">
      <c r="A723" s="4" t="s">
        <v>429</v>
      </c>
      <c r="B723" s="1">
        <v>0.192581</v>
      </c>
      <c r="C723" s="1">
        <v>0.18934500000000001</v>
      </c>
      <c r="D723" s="1">
        <f>IF(B723&gt;C723,B723-C723,C723-B723)</f>
        <v>3.2359999999999889E-3</v>
      </c>
      <c r="E723">
        <f>MINUTE(D723)</f>
        <v>4</v>
      </c>
      <c r="F723">
        <f>SECOND(D723)</f>
        <v>40</v>
      </c>
      <c r="G723">
        <f>ROUND(E723+F723/60,2)</f>
        <v>4.67</v>
      </c>
      <c r="H723">
        <f>60*E723+F723</f>
        <v>280</v>
      </c>
      <c r="I723" s="3">
        <f>5*(3600/H723)</f>
        <v>64.285714285714292</v>
      </c>
      <c r="J723" s="16">
        <f t="shared" si="22"/>
        <v>0</v>
      </c>
      <c r="K723" s="17">
        <f t="shared" si="23"/>
        <v>4</v>
      </c>
    </row>
    <row r="724" spans="1:11" x14ac:dyDescent="0.25">
      <c r="A724" s="4" t="s">
        <v>57</v>
      </c>
      <c r="B724" s="1">
        <v>0.885293</v>
      </c>
      <c r="C724" s="1">
        <v>0.88205699999999998</v>
      </c>
      <c r="D724" s="1">
        <f>IF(B724&gt;C724,B724-C724,C724-B724)</f>
        <v>3.2360000000000166E-3</v>
      </c>
      <c r="E724">
        <f>MINUTE(D724)</f>
        <v>4</v>
      </c>
      <c r="F724">
        <f>SECOND(D724)</f>
        <v>40</v>
      </c>
      <c r="G724">
        <f>ROUND(E724+F724/60,2)</f>
        <v>4.67</v>
      </c>
      <c r="H724">
        <f>60*E724+F724</f>
        <v>280</v>
      </c>
      <c r="I724" s="3">
        <f>5*(3600/H724)</f>
        <v>64.285714285714292</v>
      </c>
      <c r="J724" s="16">
        <f t="shared" si="22"/>
        <v>0</v>
      </c>
      <c r="K724" s="17">
        <f t="shared" si="23"/>
        <v>21</v>
      </c>
    </row>
    <row r="725" spans="1:11" x14ac:dyDescent="0.25">
      <c r="A725" s="4" t="s">
        <v>46</v>
      </c>
      <c r="B725" s="1">
        <v>0.23264499999999999</v>
      </c>
      <c r="C725" s="1">
        <v>0.235897</v>
      </c>
      <c r="D725" s="1">
        <f>IF(B725&gt;C725,B725-C725,C725-B725)</f>
        <v>3.2520000000000049E-3</v>
      </c>
      <c r="E725">
        <f>MINUTE(D725)</f>
        <v>4</v>
      </c>
      <c r="F725">
        <f>SECOND(D725)</f>
        <v>41</v>
      </c>
      <c r="G725">
        <f>ROUND(E725+F725/60,2)</f>
        <v>4.68</v>
      </c>
      <c r="H725">
        <f>60*E725+F725</f>
        <v>281</v>
      </c>
      <c r="I725" s="3">
        <f>5*(3600/H725)</f>
        <v>64.056939501779354</v>
      </c>
      <c r="J725" s="16">
        <f t="shared" si="22"/>
        <v>0</v>
      </c>
      <c r="K725" s="17">
        <f t="shared" si="23"/>
        <v>5</v>
      </c>
    </row>
    <row r="726" spans="1:11" x14ac:dyDescent="0.25">
      <c r="A726" s="4" t="s">
        <v>16</v>
      </c>
      <c r="B726" s="1">
        <v>0.129272</v>
      </c>
      <c r="C726" s="1">
        <v>0.12600800000000001</v>
      </c>
      <c r="D726" s="1">
        <f>IF(B726&gt;C726,B726-C726,C726-B726)</f>
        <v>3.2639999999999891E-3</v>
      </c>
      <c r="E726">
        <f>MINUTE(D726)</f>
        <v>4</v>
      </c>
      <c r="F726">
        <f>SECOND(D726)</f>
        <v>42</v>
      </c>
      <c r="G726">
        <f>ROUND(E726+F726/60,2)</f>
        <v>4.7</v>
      </c>
      <c r="H726">
        <f>60*E726+F726</f>
        <v>282</v>
      </c>
      <c r="I726" s="3">
        <f>5*(3600/H726)</f>
        <v>63.829787234042556</v>
      </c>
      <c r="J726" s="16">
        <f t="shared" si="22"/>
        <v>0</v>
      </c>
      <c r="K726" s="17">
        <f t="shared" si="23"/>
        <v>3</v>
      </c>
    </row>
    <row r="727" spans="1:11" x14ac:dyDescent="0.25">
      <c r="A727" s="4" t="s">
        <v>23</v>
      </c>
      <c r="B727" s="1">
        <v>0.50349999999999995</v>
      </c>
      <c r="C727" s="1">
        <v>0.50675999999999999</v>
      </c>
      <c r="D727" s="1">
        <f>IF(B727&gt;C727,B727-C727,C727-B727)</f>
        <v>3.2600000000000406E-3</v>
      </c>
      <c r="E727">
        <f>MINUTE(D727)</f>
        <v>4</v>
      </c>
      <c r="F727">
        <f>SECOND(D727)</f>
        <v>42</v>
      </c>
      <c r="G727">
        <f>ROUND(E727+F727/60,2)</f>
        <v>4.7</v>
      </c>
      <c r="H727">
        <f>60*E727+F727</f>
        <v>282</v>
      </c>
      <c r="I727" s="3">
        <f>5*(3600/H727)</f>
        <v>63.829787234042556</v>
      </c>
      <c r="J727" s="16">
        <f t="shared" si="22"/>
        <v>0</v>
      </c>
      <c r="K727" s="17">
        <f t="shared" si="23"/>
        <v>12</v>
      </c>
    </row>
    <row r="728" spans="1:11" x14ac:dyDescent="0.25">
      <c r="A728" s="4" t="s">
        <v>91</v>
      </c>
      <c r="B728" s="1">
        <v>0.29477999999999999</v>
      </c>
      <c r="C728" s="1">
        <v>0.29804799999999998</v>
      </c>
      <c r="D728" s="1">
        <f>IF(B728&gt;C728,B728-C728,C728-B728)</f>
        <v>3.2679999999999931E-3</v>
      </c>
      <c r="E728">
        <f>MINUTE(D728)</f>
        <v>4</v>
      </c>
      <c r="F728">
        <f>SECOND(D728)</f>
        <v>42</v>
      </c>
      <c r="G728">
        <f>ROUND(E728+F728/60,2)</f>
        <v>4.7</v>
      </c>
      <c r="H728">
        <f>60*E728+F728</f>
        <v>282</v>
      </c>
      <c r="I728" s="3">
        <f>5*(3600/H728)</f>
        <v>63.829787234042556</v>
      </c>
      <c r="J728" s="16">
        <f t="shared" si="22"/>
        <v>0</v>
      </c>
      <c r="K728" s="17">
        <f t="shared" si="23"/>
        <v>7</v>
      </c>
    </row>
    <row r="729" spans="1:11" x14ac:dyDescent="0.25">
      <c r="A729" s="4" t="s">
        <v>109</v>
      </c>
      <c r="B729" s="1">
        <v>0.44507799999999997</v>
      </c>
      <c r="C729" s="1">
        <v>0.44834600000000002</v>
      </c>
      <c r="D729" s="1">
        <f>IF(B729&gt;C729,B729-C729,C729-B729)</f>
        <v>3.2680000000000486E-3</v>
      </c>
      <c r="E729">
        <f>MINUTE(D729)</f>
        <v>4</v>
      </c>
      <c r="F729">
        <f>SECOND(D729)</f>
        <v>42</v>
      </c>
      <c r="G729">
        <f>ROUND(E729+F729/60,2)</f>
        <v>4.7</v>
      </c>
      <c r="H729">
        <f>60*E729+F729</f>
        <v>282</v>
      </c>
      <c r="I729" s="3">
        <f>5*(3600/H729)</f>
        <v>63.829787234042556</v>
      </c>
      <c r="J729" s="16">
        <f t="shared" si="22"/>
        <v>0</v>
      </c>
      <c r="K729" s="17">
        <f t="shared" si="23"/>
        <v>10</v>
      </c>
    </row>
    <row r="730" spans="1:11" x14ac:dyDescent="0.25">
      <c r="A730" s="4" t="s">
        <v>244</v>
      </c>
      <c r="B730" s="1">
        <v>0.71818000000000004</v>
      </c>
      <c r="C730" s="1">
        <v>0.714916</v>
      </c>
      <c r="D730" s="1">
        <f>IF(B730&gt;C730,B730-C730,C730-B730)</f>
        <v>3.2640000000000446E-3</v>
      </c>
      <c r="E730">
        <f>MINUTE(D730)</f>
        <v>4</v>
      </c>
      <c r="F730">
        <f>SECOND(D730)</f>
        <v>42</v>
      </c>
      <c r="G730">
        <f>ROUND(E730+F730/60,2)</f>
        <v>4.7</v>
      </c>
      <c r="H730">
        <f>60*E730+F730</f>
        <v>282</v>
      </c>
      <c r="I730" s="3">
        <f>5*(3600/H730)</f>
        <v>63.829787234042556</v>
      </c>
      <c r="J730" s="16">
        <f t="shared" si="22"/>
        <v>0</v>
      </c>
      <c r="K730" s="17">
        <f t="shared" si="23"/>
        <v>17</v>
      </c>
    </row>
    <row r="731" spans="1:11" x14ac:dyDescent="0.25">
      <c r="A731" s="4" t="s">
        <v>8</v>
      </c>
      <c r="B731" s="1">
        <v>6.8551000000000001E-2</v>
      </c>
      <c r="C731" s="1">
        <v>6.5270999999999996E-2</v>
      </c>
      <c r="D731" s="1">
        <f>IF(B731&gt;C731,B731-C731,C731-B731)</f>
        <v>3.2800000000000051E-3</v>
      </c>
      <c r="E731">
        <f>MINUTE(D731)</f>
        <v>4</v>
      </c>
      <c r="F731">
        <f>SECOND(D731)</f>
        <v>43</v>
      </c>
      <c r="G731">
        <f>ROUND(E731+F731/60,2)</f>
        <v>4.72</v>
      </c>
      <c r="H731">
        <f>60*E731+F731</f>
        <v>283</v>
      </c>
      <c r="I731" s="3">
        <f>5*(3600/H731)</f>
        <v>63.60424028268551</v>
      </c>
      <c r="J731" s="16">
        <f t="shared" si="22"/>
        <v>0</v>
      </c>
      <c r="K731" s="17">
        <f t="shared" si="23"/>
        <v>1</v>
      </c>
    </row>
    <row r="732" spans="1:11" x14ac:dyDescent="0.25">
      <c r="A732" s="4" t="s">
        <v>115</v>
      </c>
      <c r="B732" s="1">
        <v>0.98607599999999995</v>
      </c>
      <c r="C732" s="1">
        <v>0.98280400000000001</v>
      </c>
      <c r="D732" s="1">
        <f>IF(B732&gt;C732,B732-C732,C732-B732)</f>
        <v>3.2719999999999416E-3</v>
      </c>
      <c r="E732">
        <f>MINUTE(D732)</f>
        <v>4</v>
      </c>
      <c r="F732">
        <f>SECOND(D732)</f>
        <v>43</v>
      </c>
      <c r="G732">
        <f>ROUND(E732+F732/60,2)</f>
        <v>4.72</v>
      </c>
      <c r="H732">
        <f>60*E732+F732</f>
        <v>283</v>
      </c>
      <c r="I732" s="3">
        <f>5*(3600/H732)</f>
        <v>63.60424028268551</v>
      </c>
      <c r="J732" s="16">
        <f t="shared" si="22"/>
        <v>0</v>
      </c>
      <c r="K732" s="17">
        <f t="shared" si="23"/>
        <v>23</v>
      </c>
    </row>
    <row r="733" spans="1:11" x14ac:dyDescent="0.25">
      <c r="A733" s="4" t="s">
        <v>5</v>
      </c>
      <c r="B733" s="1">
        <v>0.42173100000000002</v>
      </c>
      <c r="C733" s="1">
        <v>0.42501100000000003</v>
      </c>
      <c r="D733" s="1">
        <f>IF(B733&gt;C733,B733-C733,C733-B733)</f>
        <v>3.2800000000000051E-3</v>
      </c>
      <c r="E733">
        <f>MINUTE(D733)</f>
        <v>4</v>
      </c>
      <c r="F733">
        <f>SECOND(D733)</f>
        <v>43</v>
      </c>
      <c r="G733">
        <f>ROUND(E733+F733/60,2)</f>
        <v>4.72</v>
      </c>
      <c r="H733">
        <f>60*E733+F733</f>
        <v>283</v>
      </c>
      <c r="I733" s="3">
        <f>5*(3600/H733)</f>
        <v>63.60424028268551</v>
      </c>
      <c r="J733" s="16">
        <f t="shared" si="22"/>
        <v>0</v>
      </c>
      <c r="K733" s="17">
        <f t="shared" si="23"/>
        <v>10</v>
      </c>
    </row>
    <row r="734" spans="1:11" x14ac:dyDescent="0.25">
      <c r="A734" s="4" t="s">
        <v>336</v>
      </c>
      <c r="B734" s="1">
        <v>0.96765500000000004</v>
      </c>
      <c r="C734" s="1">
        <v>0.96437899999999999</v>
      </c>
      <c r="D734" s="1">
        <f>IF(B734&gt;C734,B734-C734,C734-B734)</f>
        <v>3.2760000000000566E-3</v>
      </c>
      <c r="E734">
        <f>MINUTE(D734)</f>
        <v>4</v>
      </c>
      <c r="F734">
        <f>SECOND(D734)</f>
        <v>43</v>
      </c>
      <c r="G734">
        <f>ROUND(E734+F734/60,2)</f>
        <v>4.72</v>
      </c>
      <c r="H734">
        <f>60*E734+F734</f>
        <v>283</v>
      </c>
      <c r="I734" s="3">
        <f>5*(3600/H734)</f>
        <v>63.60424028268551</v>
      </c>
      <c r="J734" s="16">
        <f t="shared" si="22"/>
        <v>0</v>
      </c>
      <c r="K734" s="17">
        <f t="shared" si="23"/>
        <v>23</v>
      </c>
    </row>
    <row r="735" spans="1:11" x14ac:dyDescent="0.25">
      <c r="A735" s="4" t="s">
        <v>55</v>
      </c>
      <c r="B735" s="1">
        <v>0.62158000000000002</v>
      </c>
      <c r="C735" s="1">
        <v>0.61829199999999995</v>
      </c>
      <c r="D735" s="1">
        <f>IF(B735&gt;C735,B735-C735,C735-B735)</f>
        <v>3.2880000000000686E-3</v>
      </c>
      <c r="E735">
        <f>MINUTE(D735)</f>
        <v>4</v>
      </c>
      <c r="F735">
        <f>SECOND(D735)</f>
        <v>44</v>
      </c>
      <c r="G735">
        <f>ROUND(E735+F735/60,2)</f>
        <v>4.7300000000000004</v>
      </c>
      <c r="H735">
        <f>60*E735+F735</f>
        <v>284</v>
      </c>
      <c r="I735" s="3">
        <f>5*(3600/H735)</f>
        <v>63.380281690140848</v>
      </c>
      <c r="J735" s="16">
        <f t="shared" si="22"/>
        <v>0</v>
      </c>
      <c r="K735" s="17">
        <f t="shared" si="23"/>
        <v>14</v>
      </c>
    </row>
    <row r="736" spans="1:11" x14ac:dyDescent="0.25">
      <c r="A736" s="4" t="s">
        <v>138</v>
      </c>
      <c r="B736" s="1">
        <v>0.92752500000000004</v>
      </c>
      <c r="C736" s="1">
        <v>0.92424099999999998</v>
      </c>
      <c r="D736" s="1">
        <f>IF(B736&gt;C736,B736-C736,C736-B736)</f>
        <v>3.2840000000000646E-3</v>
      </c>
      <c r="E736">
        <f>MINUTE(D736)</f>
        <v>4</v>
      </c>
      <c r="F736">
        <f>SECOND(D736)</f>
        <v>44</v>
      </c>
      <c r="G736">
        <f>ROUND(E736+F736/60,2)</f>
        <v>4.7300000000000004</v>
      </c>
      <c r="H736">
        <f>60*E736+F736</f>
        <v>284</v>
      </c>
      <c r="I736" s="3">
        <f>5*(3600/H736)</f>
        <v>63.380281690140848</v>
      </c>
      <c r="J736" s="16">
        <f t="shared" si="22"/>
        <v>0</v>
      </c>
      <c r="K736" s="17">
        <f t="shared" si="23"/>
        <v>22</v>
      </c>
    </row>
    <row r="737" spans="1:11" x14ac:dyDescent="0.25">
      <c r="A737" s="4" t="s">
        <v>31</v>
      </c>
      <c r="B737" s="1">
        <v>0.108847</v>
      </c>
      <c r="C737" s="1">
        <v>0.105555</v>
      </c>
      <c r="D737" s="1">
        <f>IF(B737&gt;C737,B737-C737,C737-B737)</f>
        <v>3.2920000000000033E-3</v>
      </c>
      <c r="E737">
        <f>MINUTE(D737)</f>
        <v>4</v>
      </c>
      <c r="F737">
        <f>SECOND(D737)</f>
        <v>44</v>
      </c>
      <c r="G737">
        <f>ROUND(E737+F737/60,2)</f>
        <v>4.7300000000000004</v>
      </c>
      <c r="H737">
        <f>60*E737+F737</f>
        <v>284</v>
      </c>
      <c r="I737" s="3">
        <f>5*(3600/H737)</f>
        <v>63.380281690140848</v>
      </c>
      <c r="J737" s="16">
        <f t="shared" si="22"/>
        <v>0</v>
      </c>
      <c r="K737" s="17">
        <f t="shared" si="23"/>
        <v>2</v>
      </c>
    </row>
    <row r="738" spans="1:11" x14ac:dyDescent="0.25">
      <c r="A738" s="4" t="s">
        <v>60</v>
      </c>
      <c r="B738" s="1">
        <v>0.71294500000000005</v>
      </c>
      <c r="C738" s="1">
        <v>0.716229</v>
      </c>
      <c r="D738" s="1">
        <f>IF(B738&gt;C738,B738-C738,C738-B738)</f>
        <v>3.2839999999999536E-3</v>
      </c>
      <c r="E738">
        <f>MINUTE(D738)</f>
        <v>4</v>
      </c>
      <c r="F738">
        <f>SECOND(D738)</f>
        <v>44</v>
      </c>
      <c r="G738">
        <f>ROUND(E738+F738/60,2)</f>
        <v>4.7300000000000004</v>
      </c>
      <c r="H738">
        <f>60*E738+F738</f>
        <v>284</v>
      </c>
      <c r="I738" s="3">
        <f>5*(3600/H738)</f>
        <v>63.380281690140848</v>
      </c>
      <c r="J738" s="16">
        <f t="shared" si="22"/>
        <v>0</v>
      </c>
      <c r="K738" s="17">
        <f t="shared" si="23"/>
        <v>17</v>
      </c>
    </row>
    <row r="739" spans="1:11" x14ac:dyDescent="0.25">
      <c r="A739" s="4" t="s">
        <v>117</v>
      </c>
      <c r="B739" s="1">
        <v>0.56385600000000002</v>
      </c>
      <c r="C739" s="1">
        <v>0.56057199999999996</v>
      </c>
      <c r="D739" s="1">
        <f>IF(B739&gt;C739,B739-C739,C739-B739)</f>
        <v>3.2840000000000646E-3</v>
      </c>
      <c r="E739">
        <f>MINUTE(D739)</f>
        <v>4</v>
      </c>
      <c r="F739">
        <f>SECOND(D739)</f>
        <v>44</v>
      </c>
      <c r="G739">
        <f>ROUND(E739+F739/60,2)</f>
        <v>4.7300000000000004</v>
      </c>
      <c r="H739">
        <f>60*E739+F739</f>
        <v>284</v>
      </c>
      <c r="I739" s="3">
        <f>5*(3600/H739)</f>
        <v>63.380281690140848</v>
      </c>
      <c r="J739" s="16">
        <f t="shared" si="22"/>
        <v>0</v>
      </c>
      <c r="K739" s="17">
        <f t="shared" si="23"/>
        <v>13</v>
      </c>
    </row>
    <row r="740" spans="1:11" x14ac:dyDescent="0.25">
      <c r="A740" s="4" t="s">
        <v>276</v>
      </c>
      <c r="B740" s="1">
        <v>0.90642999999999996</v>
      </c>
      <c r="C740" s="1">
        <v>0.90972200000000003</v>
      </c>
      <c r="D740" s="1">
        <f>IF(B740&gt;C740,B740-C740,C740-B740)</f>
        <v>3.2920000000000726E-3</v>
      </c>
      <c r="E740">
        <f>MINUTE(D740)</f>
        <v>4</v>
      </c>
      <c r="F740">
        <f>SECOND(D740)</f>
        <v>44</v>
      </c>
      <c r="G740">
        <f>ROUND(E740+F740/60,2)</f>
        <v>4.7300000000000004</v>
      </c>
      <c r="H740">
        <f>60*E740+F740</f>
        <v>284</v>
      </c>
      <c r="I740" s="3">
        <f>5*(3600/H740)</f>
        <v>63.380281690140848</v>
      </c>
      <c r="J740" s="16">
        <f t="shared" si="22"/>
        <v>0</v>
      </c>
      <c r="K740" s="17">
        <f t="shared" si="23"/>
        <v>21</v>
      </c>
    </row>
    <row r="741" spans="1:11" x14ac:dyDescent="0.25">
      <c r="A741" s="4" t="s">
        <v>340</v>
      </c>
      <c r="B741" s="1">
        <v>0.91144700000000001</v>
      </c>
      <c r="C741" s="1">
        <v>0.91473099999999996</v>
      </c>
      <c r="D741" s="1">
        <f>IF(B741&gt;C741,B741-C741,C741-B741)</f>
        <v>3.2839999999999536E-3</v>
      </c>
      <c r="E741">
        <f>MINUTE(D741)</f>
        <v>4</v>
      </c>
      <c r="F741">
        <f>SECOND(D741)</f>
        <v>44</v>
      </c>
      <c r="G741">
        <f>ROUND(E741+F741/60,2)</f>
        <v>4.7300000000000004</v>
      </c>
      <c r="H741">
        <f>60*E741+F741</f>
        <v>284</v>
      </c>
      <c r="I741" s="3">
        <f>5*(3600/H741)</f>
        <v>63.380281690140848</v>
      </c>
      <c r="J741" s="16">
        <f t="shared" si="22"/>
        <v>0</v>
      </c>
      <c r="K741" s="17">
        <f t="shared" si="23"/>
        <v>21</v>
      </c>
    </row>
    <row r="742" spans="1:11" x14ac:dyDescent="0.25">
      <c r="A742" s="4" t="s">
        <v>104</v>
      </c>
      <c r="B742" s="1">
        <v>0.59223499999999996</v>
      </c>
      <c r="C742" s="1">
        <v>0.59553500000000004</v>
      </c>
      <c r="D742" s="1">
        <f>IF(B742&gt;C742,B742-C742,C742-B742)</f>
        <v>3.3000000000000806E-3</v>
      </c>
      <c r="E742">
        <f>MINUTE(D742)</f>
        <v>4</v>
      </c>
      <c r="F742">
        <f>SECOND(D742)</f>
        <v>45</v>
      </c>
      <c r="G742">
        <f>ROUND(E742+F742/60,2)</f>
        <v>4.75</v>
      </c>
      <c r="H742">
        <f>60*E742+F742</f>
        <v>285</v>
      </c>
      <c r="I742" s="3">
        <f>5*(3600/H742)</f>
        <v>63.15789473684211</v>
      </c>
      <c r="J742" s="16">
        <f t="shared" si="22"/>
        <v>0</v>
      </c>
      <c r="K742" s="17">
        <f t="shared" si="23"/>
        <v>14</v>
      </c>
    </row>
    <row r="743" spans="1:11" x14ac:dyDescent="0.25">
      <c r="A743" s="4" t="s">
        <v>41</v>
      </c>
      <c r="B743" s="1">
        <v>0.52646300000000001</v>
      </c>
      <c r="C743" s="1">
        <v>0.52316700000000005</v>
      </c>
      <c r="D743" s="1">
        <f>IF(B743&gt;C743,B743-C743,C743-B743)</f>
        <v>3.2959999999999656E-3</v>
      </c>
      <c r="E743">
        <f>MINUTE(D743)</f>
        <v>4</v>
      </c>
      <c r="F743">
        <f>SECOND(D743)</f>
        <v>45</v>
      </c>
      <c r="G743">
        <f>ROUND(E743+F743/60,2)</f>
        <v>4.75</v>
      </c>
      <c r="H743">
        <f>60*E743+F743</f>
        <v>285</v>
      </c>
      <c r="I743" s="3">
        <f>5*(3600/H743)</f>
        <v>63.15789473684211</v>
      </c>
      <c r="J743" s="16">
        <f t="shared" si="22"/>
        <v>0</v>
      </c>
      <c r="K743" s="17">
        <f t="shared" si="23"/>
        <v>12</v>
      </c>
    </row>
    <row r="744" spans="1:11" x14ac:dyDescent="0.25">
      <c r="A744" s="4" t="s">
        <v>416</v>
      </c>
      <c r="B744" s="1">
        <v>0.84869399999999995</v>
      </c>
      <c r="C744" s="1">
        <v>0.85199800000000003</v>
      </c>
      <c r="D744" s="1">
        <f>IF(B744&gt;C744,B744-C744,C744-B744)</f>
        <v>3.3040000000000846E-3</v>
      </c>
      <c r="E744">
        <f>MINUTE(D744)</f>
        <v>4</v>
      </c>
      <c r="F744">
        <f>SECOND(D744)</f>
        <v>45</v>
      </c>
      <c r="G744">
        <f>ROUND(E744+F744/60,2)</f>
        <v>4.75</v>
      </c>
      <c r="H744">
        <f>60*E744+F744</f>
        <v>285</v>
      </c>
      <c r="I744" s="3">
        <f>5*(3600/H744)</f>
        <v>63.15789473684211</v>
      </c>
      <c r="J744" s="16">
        <f t="shared" si="22"/>
        <v>0</v>
      </c>
      <c r="K744" s="17">
        <f t="shared" si="23"/>
        <v>20</v>
      </c>
    </row>
    <row r="745" spans="1:11" x14ac:dyDescent="0.25">
      <c r="A745" s="4" t="s">
        <v>95</v>
      </c>
      <c r="B745" s="1">
        <v>2.5318E-2</v>
      </c>
      <c r="C745" s="1">
        <v>2.8625999999999999E-2</v>
      </c>
      <c r="D745" s="1">
        <f>IF(B745&gt;C745,B745-C745,C745-B745)</f>
        <v>3.3079999999999984E-3</v>
      </c>
      <c r="E745">
        <f>MINUTE(D745)</f>
        <v>4</v>
      </c>
      <c r="F745">
        <f>SECOND(D745)</f>
        <v>46</v>
      </c>
      <c r="G745">
        <f>ROUND(E745+F745/60,2)</f>
        <v>4.7699999999999996</v>
      </c>
      <c r="H745">
        <f>60*E745+F745</f>
        <v>286</v>
      </c>
      <c r="I745" s="3">
        <f>5*(3600/H745)</f>
        <v>62.937062937062933</v>
      </c>
      <c r="J745" s="16">
        <f t="shared" si="22"/>
        <v>0</v>
      </c>
      <c r="K745" s="17">
        <f t="shared" si="23"/>
        <v>0</v>
      </c>
    </row>
    <row r="746" spans="1:11" x14ac:dyDescent="0.25">
      <c r="A746" s="4" t="s">
        <v>87</v>
      </c>
      <c r="B746" s="1">
        <v>0.25899800000000001</v>
      </c>
      <c r="C746" s="1">
        <v>0.26230599999999998</v>
      </c>
      <c r="D746" s="1">
        <f>IF(B746&gt;C746,B746-C746,C746-B746)</f>
        <v>3.3079999999999776E-3</v>
      </c>
      <c r="E746">
        <f>MINUTE(D746)</f>
        <v>4</v>
      </c>
      <c r="F746">
        <f>SECOND(D746)</f>
        <v>46</v>
      </c>
      <c r="G746">
        <f>ROUND(E746+F746/60,2)</f>
        <v>4.7699999999999996</v>
      </c>
      <c r="H746">
        <f>60*E746+F746</f>
        <v>286</v>
      </c>
      <c r="I746" s="3">
        <f>5*(3600/H746)</f>
        <v>62.937062937062933</v>
      </c>
      <c r="J746" s="16">
        <f t="shared" si="22"/>
        <v>0</v>
      </c>
      <c r="K746" s="17">
        <f t="shared" si="23"/>
        <v>6</v>
      </c>
    </row>
    <row r="747" spans="1:11" x14ac:dyDescent="0.25">
      <c r="A747" s="4" t="s">
        <v>47</v>
      </c>
      <c r="B747" s="1">
        <v>0.36631000000000002</v>
      </c>
      <c r="C747" s="1">
        <v>0.36299799999999999</v>
      </c>
      <c r="D747" s="1">
        <f>IF(B747&gt;C747,B747-C747,C747-B747)</f>
        <v>3.3120000000000371E-3</v>
      </c>
      <c r="E747">
        <f>MINUTE(D747)</f>
        <v>4</v>
      </c>
      <c r="F747">
        <f>SECOND(D747)</f>
        <v>46</v>
      </c>
      <c r="G747">
        <f>ROUND(E747+F747/60,2)</f>
        <v>4.7699999999999996</v>
      </c>
      <c r="H747">
        <f>60*E747+F747</f>
        <v>286</v>
      </c>
      <c r="I747" s="3">
        <f>5*(3600/H747)</f>
        <v>62.937062937062933</v>
      </c>
      <c r="J747" s="16">
        <f t="shared" si="22"/>
        <v>0</v>
      </c>
      <c r="K747" s="17">
        <f t="shared" si="23"/>
        <v>8</v>
      </c>
    </row>
    <row r="748" spans="1:11" x14ac:dyDescent="0.25">
      <c r="A748" s="4" t="s">
        <v>16</v>
      </c>
      <c r="B748" s="1">
        <v>0.22825400000000001</v>
      </c>
      <c r="C748" s="1">
        <v>0.22492999999999999</v>
      </c>
      <c r="D748" s="1">
        <f>IF(B748&gt;C748,B748-C748,C748-B748)</f>
        <v>3.3240000000000214E-3</v>
      </c>
      <c r="E748">
        <f>MINUTE(D748)</f>
        <v>4</v>
      </c>
      <c r="F748">
        <f>SECOND(D748)</f>
        <v>47</v>
      </c>
      <c r="G748">
        <f>ROUND(E748+F748/60,2)</f>
        <v>4.78</v>
      </c>
      <c r="H748">
        <f>60*E748+F748</f>
        <v>287</v>
      </c>
      <c r="I748" s="3">
        <f>5*(3600/H748)</f>
        <v>62.717770034843205</v>
      </c>
      <c r="J748" s="16">
        <f t="shared" si="22"/>
        <v>0</v>
      </c>
      <c r="K748" s="17">
        <f t="shared" si="23"/>
        <v>5</v>
      </c>
    </row>
    <row r="749" spans="1:11" x14ac:dyDescent="0.25">
      <c r="A749" s="4" t="s">
        <v>18</v>
      </c>
      <c r="B749" s="1">
        <v>5.8460999999999999E-2</v>
      </c>
      <c r="C749" s="1">
        <v>6.1785E-2</v>
      </c>
      <c r="D749" s="1">
        <f>IF(B749&gt;C749,B749-C749,C749-B749)</f>
        <v>3.3240000000000006E-3</v>
      </c>
      <c r="E749">
        <f>MINUTE(D749)</f>
        <v>4</v>
      </c>
      <c r="F749">
        <f>SECOND(D749)</f>
        <v>47</v>
      </c>
      <c r="G749">
        <f>ROUND(E749+F749/60,2)</f>
        <v>4.78</v>
      </c>
      <c r="H749">
        <f>60*E749+F749</f>
        <v>287</v>
      </c>
      <c r="I749" s="3">
        <f>5*(3600/H749)</f>
        <v>62.717770034843205</v>
      </c>
      <c r="J749" s="16">
        <f t="shared" si="22"/>
        <v>0</v>
      </c>
      <c r="K749" s="17">
        <f t="shared" si="23"/>
        <v>1</v>
      </c>
    </row>
    <row r="750" spans="1:11" x14ac:dyDescent="0.25">
      <c r="A750" s="4" t="s">
        <v>22</v>
      </c>
      <c r="B750" s="1">
        <v>7.6165999999999998E-2</v>
      </c>
      <c r="C750" s="1">
        <v>7.9481999999999997E-2</v>
      </c>
      <c r="D750" s="1">
        <f>IF(B750&gt;C750,B750-C750,C750-B750)</f>
        <v>3.3159999999999995E-3</v>
      </c>
      <c r="E750">
        <f>MINUTE(D750)</f>
        <v>4</v>
      </c>
      <c r="F750">
        <f>SECOND(D750)</f>
        <v>47</v>
      </c>
      <c r="G750">
        <f>ROUND(E750+F750/60,2)</f>
        <v>4.78</v>
      </c>
      <c r="H750">
        <f>60*E750+F750</f>
        <v>287</v>
      </c>
      <c r="I750" s="3">
        <f>5*(3600/H750)</f>
        <v>62.717770034843205</v>
      </c>
      <c r="J750" s="16">
        <f t="shared" si="22"/>
        <v>0</v>
      </c>
      <c r="K750" s="17">
        <f t="shared" si="23"/>
        <v>1</v>
      </c>
    </row>
    <row r="751" spans="1:11" x14ac:dyDescent="0.25">
      <c r="A751" s="4" t="s">
        <v>81</v>
      </c>
      <c r="B751" s="1">
        <v>0.60814999999999997</v>
      </c>
      <c r="C751" s="1">
        <v>0.61146599999999995</v>
      </c>
      <c r="D751" s="1">
        <f>IF(B751&gt;C751,B751-C751,C751-B751)</f>
        <v>3.3159999999999856E-3</v>
      </c>
      <c r="E751">
        <f>MINUTE(D751)</f>
        <v>4</v>
      </c>
      <c r="F751">
        <f>SECOND(D751)</f>
        <v>47</v>
      </c>
      <c r="G751">
        <f>ROUND(E751+F751/60,2)</f>
        <v>4.78</v>
      </c>
      <c r="H751">
        <f>60*E751+F751</f>
        <v>287</v>
      </c>
      <c r="I751" s="3">
        <f>5*(3600/H751)</f>
        <v>62.717770034843205</v>
      </c>
      <c r="J751" s="16">
        <f t="shared" si="22"/>
        <v>0</v>
      </c>
      <c r="K751" s="17">
        <f t="shared" si="23"/>
        <v>14</v>
      </c>
    </row>
    <row r="752" spans="1:11" x14ac:dyDescent="0.25">
      <c r="A752" s="4" t="s">
        <v>8</v>
      </c>
      <c r="B752" s="1">
        <v>0.89442100000000002</v>
      </c>
      <c r="C752" s="1">
        <v>0.89109700000000003</v>
      </c>
      <c r="D752" s="1">
        <f>IF(B752&gt;C752,B752-C752,C752-B752)</f>
        <v>3.3239999999999936E-3</v>
      </c>
      <c r="E752">
        <f>MINUTE(D752)</f>
        <v>4</v>
      </c>
      <c r="F752">
        <f>SECOND(D752)</f>
        <v>47</v>
      </c>
      <c r="G752">
        <f>ROUND(E752+F752/60,2)</f>
        <v>4.78</v>
      </c>
      <c r="H752">
        <f>60*E752+F752</f>
        <v>287</v>
      </c>
      <c r="I752" s="3">
        <f>5*(3600/H752)</f>
        <v>62.717770034843205</v>
      </c>
      <c r="J752" s="16">
        <f t="shared" si="22"/>
        <v>0</v>
      </c>
      <c r="K752" s="17">
        <f t="shared" si="23"/>
        <v>21</v>
      </c>
    </row>
    <row r="753" spans="1:11" x14ac:dyDescent="0.25">
      <c r="A753" s="4" t="s">
        <v>109</v>
      </c>
      <c r="B753" s="1">
        <v>0.404277</v>
      </c>
      <c r="C753" s="1">
        <v>0.40759299999999998</v>
      </c>
      <c r="D753" s="1">
        <f>IF(B753&gt;C753,B753-C753,C753-B753)</f>
        <v>3.3159999999999856E-3</v>
      </c>
      <c r="E753">
        <f>MINUTE(D753)</f>
        <v>4</v>
      </c>
      <c r="F753">
        <f>SECOND(D753)</f>
        <v>47</v>
      </c>
      <c r="G753">
        <f>ROUND(E753+F753/60,2)</f>
        <v>4.78</v>
      </c>
      <c r="H753">
        <f>60*E753+F753</f>
        <v>287</v>
      </c>
      <c r="I753" s="3">
        <f>5*(3600/H753)</f>
        <v>62.717770034843205</v>
      </c>
      <c r="J753" s="16">
        <f t="shared" si="22"/>
        <v>0</v>
      </c>
      <c r="K753" s="17">
        <f t="shared" si="23"/>
        <v>9</v>
      </c>
    </row>
    <row r="754" spans="1:11" x14ac:dyDescent="0.25">
      <c r="A754" s="4" t="s">
        <v>41</v>
      </c>
      <c r="B754" s="1">
        <v>0.70953299999999997</v>
      </c>
      <c r="C754" s="1">
        <v>0.71285699999999996</v>
      </c>
      <c r="D754" s="1">
        <f>IF(B754&gt;C754,B754-C754,C754-B754)</f>
        <v>3.3239999999999936E-3</v>
      </c>
      <c r="E754">
        <f>MINUTE(D754)</f>
        <v>4</v>
      </c>
      <c r="F754">
        <f>SECOND(D754)</f>
        <v>47</v>
      </c>
      <c r="G754">
        <f>ROUND(E754+F754/60,2)</f>
        <v>4.78</v>
      </c>
      <c r="H754">
        <f>60*E754+F754</f>
        <v>287</v>
      </c>
      <c r="I754" s="3">
        <f>5*(3600/H754)</f>
        <v>62.717770034843205</v>
      </c>
      <c r="J754" s="16">
        <f t="shared" si="22"/>
        <v>0</v>
      </c>
      <c r="K754" s="17">
        <f t="shared" si="23"/>
        <v>17</v>
      </c>
    </row>
    <row r="755" spans="1:11" x14ac:dyDescent="0.25">
      <c r="A755" s="4" t="s">
        <v>326</v>
      </c>
      <c r="B755" s="1">
        <v>0.76355799999999996</v>
      </c>
      <c r="C755" s="1">
        <v>0.76023399999999997</v>
      </c>
      <c r="D755" s="1">
        <f>IF(B755&gt;C755,B755-C755,C755-B755)</f>
        <v>3.3239999999999936E-3</v>
      </c>
      <c r="E755">
        <f>MINUTE(D755)</f>
        <v>4</v>
      </c>
      <c r="F755">
        <f>SECOND(D755)</f>
        <v>47</v>
      </c>
      <c r="G755">
        <f>ROUND(E755+F755/60,2)</f>
        <v>4.78</v>
      </c>
      <c r="H755">
        <f>60*E755+F755</f>
        <v>287</v>
      </c>
      <c r="I755" s="3">
        <f>5*(3600/H755)</f>
        <v>62.717770034843205</v>
      </c>
      <c r="J755" s="16">
        <f t="shared" si="22"/>
        <v>0</v>
      </c>
      <c r="K755" s="17">
        <f t="shared" si="23"/>
        <v>18</v>
      </c>
    </row>
    <row r="756" spans="1:11" x14ac:dyDescent="0.25">
      <c r="A756" s="4" t="s">
        <v>61</v>
      </c>
      <c r="B756" s="1">
        <v>0.95039600000000002</v>
      </c>
      <c r="C756" s="1">
        <v>0.95372400000000002</v>
      </c>
      <c r="D756" s="1">
        <f>IF(B756&gt;C756,B756-C756,C756-B756)</f>
        <v>3.3279999999999976E-3</v>
      </c>
      <c r="E756">
        <f>MINUTE(D756)</f>
        <v>4</v>
      </c>
      <c r="F756">
        <f>SECOND(D756)</f>
        <v>48</v>
      </c>
      <c r="G756">
        <f>ROUND(E756+F756/60,2)</f>
        <v>4.8</v>
      </c>
      <c r="H756">
        <f>60*E756+F756</f>
        <v>288</v>
      </c>
      <c r="I756" s="3">
        <f>5*(3600/H756)</f>
        <v>62.5</v>
      </c>
      <c r="J756" s="16">
        <f t="shared" si="22"/>
        <v>0</v>
      </c>
      <c r="K756" s="17">
        <f t="shared" si="23"/>
        <v>22</v>
      </c>
    </row>
    <row r="757" spans="1:11" x14ac:dyDescent="0.25">
      <c r="A757" s="4" t="s">
        <v>109</v>
      </c>
      <c r="B757" s="1">
        <v>0.23408499999999999</v>
      </c>
      <c r="C757" s="1">
        <v>0.23075300000000001</v>
      </c>
      <c r="D757" s="1">
        <f>IF(B757&gt;C757,B757-C757,C757-B757)</f>
        <v>3.3319999999999739E-3</v>
      </c>
      <c r="E757">
        <f>MINUTE(D757)</f>
        <v>4</v>
      </c>
      <c r="F757">
        <f>SECOND(D757)</f>
        <v>48</v>
      </c>
      <c r="G757">
        <f>ROUND(E757+F757/60,2)</f>
        <v>4.8</v>
      </c>
      <c r="H757">
        <f>60*E757+F757</f>
        <v>288</v>
      </c>
      <c r="I757" s="3">
        <f>5*(3600/H757)</f>
        <v>62.5</v>
      </c>
      <c r="J757" s="16">
        <f t="shared" si="22"/>
        <v>0</v>
      </c>
      <c r="K757" s="17">
        <f t="shared" si="23"/>
        <v>5</v>
      </c>
    </row>
    <row r="758" spans="1:11" x14ac:dyDescent="0.25">
      <c r="A758" s="4" t="s">
        <v>415</v>
      </c>
      <c r="B758" s="1">
        <v>0.80934099999999998</v>
      </c>
      <c r="C758" s="1">
        <v>0.81267299999999998</v>
      </c>
      <c r="D758" s="1">
        <f>IF(B758&gt;C758,B758-C758,C758-B758)</f>
        <v>3.3320000000000016E-3</v>
      </c>
      <c r="E758">
        <f>MINUTE(D758)</f>
        <v>4</v>
      </c>
      <c r="F758">
        <f>SECOND(D758)</f>
        <v>48</v>
      </c>
      <c r="G758">
        <f>ROUND(E758+F758/60,2)</f>
        <v>4.8</v>
      </c>
      <c r="H758">
        <f>60*E758+F758</f>
        <v>288</v>
      </c>
      <c r="I758" s="3">
        <f>5*(3600/H758)</f>
        <v>62.5</v>
      </c>
      <c r="J758" s="16">
        <f t="shared" si="22"/>
        <v>0</v>
      </c>
      <c r="K758" s="17">
        <f t="shared" si="23"/>
        <v>19</v>
      </c>
    </row>
    <row r="759" spans="1:11" x14ac:dyDescent="0.25">
      <c r="A759" s="4" t="s">
        <v>107</v>
      </c>
      <c r="B759" s="1">
        <v>0.66037100000000004</v>
      </c>
      <c r="C759" s="1">
        <v>0.65702700000000003</v>
      </c>
      <c r="D759" s="1">
        <f>IF(B759&gt;C759,B759-C759,C759-B759)</f>
        <v>3.3440000000000136E-3</v>
      </c>
      <c r="E759">
        <f>MINUTE(D759)</f>
        <v>4</v>
      </c>
      <c r="F759">
        <f>SECOND(D759)</f>
        <v>49</v>
      </c>
      <c r="G759">
        <f>ROUND(E759+F759/60,2)</f>
        <v>4.82</v>
      </c>
      <c r="H759">
        <f>60*E759+F759</f>
        <v>289</v>
      </c>
      <c r="I759" s="3">
        <f>5*(3600/H759)</f>
        <v>62.283737024221459</v>
      </c>
      <c r="J759" s="16">
        <f t="shared" si="22"/>
        <v>0</v>
      </c>
      <c r="K759" s="17">
        <f t="shared" si="23"/>
        <v>15</v>
      </c>
    </row>
    <row r="760" spans="1:11" x14ac:dyDescent="0.25">
      <c r="A760" s="4" t="s">
        <v>162</v>
      </c>
      <c r="B760" s="1">
        <v>0.74316700000000002</v>
      </c>
      <c r="C760" s="1">
        <v>0.74651500000000004</v>
      </c>
      <c r="D760" s="1">
        <f>IF(B760&gt;C760,B760-C760,C760-B760)</f>
        <v>3.3480000000000176E-3</v>
      </c>
      <c r="E760">
        <f>MINUTE(D760)</f>
        <v>4</v>
      </c>
      <c r="F760">
        <f>SECOND(D760)</f>
        <v>49</v>
      </c>
      <c r="G760">
        <f>ROUND(E760+F760/60,2)</f>
        <v>4.82</v>
      </c>
      <c r="H760">
        <f>60*E760+F760</f>
        <v>289</v>
      </c>
      <c r="I760" s="3">
        <f>5*(3600/H760)</f>
        <v>62.283737024221459</v>
      </c>
      <c r="J760" s="16">
        <f t="shared" si="22"/>
        <v>0</v>
      </c>
      <c r="K760" s="17">
        <f t="shared" si="23"/>
        <v>17</v>
      </c>
    </row>
    <row r="761" spans="1:11" x14ac:dyDescent="0.25">
      <c r="A761" s="4" t="s">
        <v>154</v>
      </c>
      <c r="B761" s="1">
        <v>0.53641000000000005</v>
      </c>
      <c r="C761" s="1">
        <v>0.53306200000000004</v>
      </c>
      <c r="D761" s="1">
        <f>IF(B761&gt;C761,B761-C761,C761-B761)</f>
        <v>3.3480000000000176E-3</v>
      </c>
      <c r="E761">
        <f>MINUTE(D761)</f>
        <v>4</v>
      </c>
      <c r="F761">
        <f>SECOND(D761)</f>
        <v>49</v>
      </c>
      <c r="G761">
        <f>ROUND(E761+F761/60,2)</f>
        <v>4.82</v>
      </c>
      <c r="H761">
        <f>60*E761+F761</f>
        <v>289</v>
      </c>
      <c r="I761" s="3">
        <f>5*(3600/H761)</f>
        <v>62.283737024221459</v>
      </c>
      <c r="J761" s="16">
        <f t="shared" si="22"/>
        <v>0</v>
      </c>
      <c r="K761" s="17">
        <f t="shared" si="23"/>
        <v>12</v>
      </c>
    </row>
    <row r="762" spans="1:11" x14ac:dyDescent="0.25">
      <c r="A762" s="4" t="s">
        <v>184</v>
      </c>
      <c r="B762" s="1">
        <v>0.58142000000000005</v>
      </c>
      <c r="C762" s="1">
        <v>0.58476799999999995</v>
      </c>
      <c r="D762" s="1">
        <f>IF(B762&gt;C762,B762-C762,C762-B762)</f>
        <v>3.3479999999999066E-3</v>
      </c>
      <c r="E762">
        <f>MINUTE(D762)</f>
        <v>4</v>
      </c>
      <c r="F762">
        <f>SECOND(D762)</f>
        <v>49</v>
      </c>
      <c r="G762">
        <f>ROUND(E762+F762/60,2)</f>
        <v>4.82</v>
      </c>
      <c r="H762">
        <f>60*E762+F762</f>
        <v>289</v>
      </c>
      <c r="I762" s="3">
        <f>5*(3600/H762)</f>
        <v>62.283737024221459</v>
      </c>
      <c r="J762" s="16">
        <f t="shared" si="22"/>
        <v>0</v>
      </c>
      <c r="K762" s="17">
        <f t="shared" si="23"/>
        <v>13</v>
      </c>
    </row>
    <row r="763" spans="1:11" x14ac:dyDescent="0.25">
      <c r="A763" s="4" t="s">
        <v>267</v>
      </c>
      <c r="B763" s="1">
        <v>0.25780399999999998</v>
      </c>
      <c r="C763" s="1">
        <v>0.25446000000000002</v>
      </c>
      <c r="D763" s="1">
        <f>IF(B763&gt;C763,B763-C763,C763-B763)</f>
        <v>3.3439999999999581E-3</v>
      </c>
      <c r="E763">
        <f>MINUTE(D763)</f>
        <v>4</v>
      </c>
      <c r="F763">
        <f>SECOND(D763)</f>
        <v>49</v>
      </c>
      <c r="G763">
        <f>ROUND(E763+F763/60,2)</f>
        <v>4.82</v>
      </c>
      <c r="H763">
        <f>60*E763+F763</f>
        <v>289</v>
      </c>
      <c r="I763" s="3">
        <f>5*(3600/H763)</f>
        <v>62.283737024221459</v>
      </c>
      <c r="J763" s="16">
        <f t="shared" si="22"/>
        <v>0</v>
      </c>
      <c r="K763" s="17">
        <f t="shared" si="23"/>
        <v>6</v>
      </c>
    </row>
    <row r="764" spans="1:11" x14ac:dyDescent="0.25">
      <c r="A764" s="4" t="s">
        <v>370</v>
      </c>
      <c r="B764" s="1">
        <v>0.77186999999999995</v>
      </c>
      <c r="C764" s="1">
        <v>0.76852600000000004</v>
      </c>
      <c r="D764" s="1">
        <f>IF(B764&gt;C764,B764-C764,C764-B764)</f>
        <v>3.3439999999999026E-3</v>
      </c>
      <c r="E764">
        <f>MINUTE(D764)</f>
        <v>4</v>
      </c>
      <c r="F764">
        <f>SECOND(D764)</f>
        <v>49</v>
      </c>
      <c r="G764">
        <f>ROUND(E764+F764/60,2)</f>
        <v>4.82</v>
      </c>
      <c r="H764">
        <f>60*E764+F764</f>
        <v>289</v>
      </c>
      <c r="I764" s="3">
        <f>5*(3600/H764)</f>
        <v>62.283737024221459</v>
      </c>
      <c r="J764" s="16">
        <f t="shared" si="22"/>
        <v>0</v>
      </c>
      <c r="K764" s="17">
        <f t="shared" si="23"/>
        <v>18</v>
      </c>
    </row>
    <row r="765" spans="1:11" x14ac:dyDescent="0.25">
      <c r="A765" s="4" t="s">
        <v>140</v>
      </c>
      <c r="B765" s="1">
        <v>0.16140399999999999</v>
      </c>
      <c r="C765" s="1">
        <v>0.158052</v>
      </c>
      <c r="D765" s="1">
        <f>IF(B765&gt;C765,B765-C765,C765-B765)</f>
        <v>3.3519999999999939E-3</v>
      </c>
      <c r="E765">
        <f>MINUTE(D765)</f>
        <v>4</v>
      </c>
      <c r="F765">
        <f>SECOND(D765)</f>
        <v>50</v>
      </c>
      <c r="G765">
        <f>ROUND(E765+F765/60,2)</f>
        <v>4.83</v>
      </c>
      <c r="H765">
        <f>60*E765+F765</f>
        <v>290</v>
      </c>
      <c r="I765" s="3">
        <f>5*(3600/H765)</f>
        <v>62.068965517241381</v>
      </c>
      <c r="J765" s="16">
        <f t="shared" si="22"/>
        <v>0</v>
      </c>
      <c r="K765" s="17">
        <f t="shared" si="23"/>
        <v>3</v>
      </c>
    </row>
    <row r="766" spans="1:11" x14ac:dyDescent="0.25">
      <c r="A766" s="4" t="s">
        <v>162</v>
      </c>
      <c r="B766" s="1">
        <v>0.89708699999999997</v>
      </c>
      <c r="C766" s="1">
        <v>0.89373499999999995</v>
      </c>
      <c r="D766" s="1">
        <f>IF(B766&gt;C766,B766-C766,C766-B766)</f>
        <v>3.3520000000000216E-3</v>
      </c>
      <c r="E766">
        <f>MINUTE(D766)</f>
        <v>4</v>
      </c>
      <c r="F766">
        <f>SECOND(D766)</f>
        <v>50</v>
      </c>
      <c r="G766">
        <f>ROUND(E766+F766/60,2)</f>
        <v>4.83</v>
      </c>
      <c r="H766">
        <f>60*E766+F766</f>
        <v>290</v>
      </c>
      <c r="I766" s="3">
        <f>5*(3600/H766)</f>
        <v>62.068965517241381</v>
      </c>
      <c r="J766" s="16">
        <f t="shared" si="22"/>
        <v>0</v>
      </c>
      <c r="K766" s="17">
        <f t="shared" si="23"/>
        <v>21</v>
      </c>
    </row>
    <row r="767" spans="1:11" x14ac:dyDescent="0.25">
      <c r="A767" s="4" t="s">
        <v>29</v>
      </c>
      <c r="B767" s="1">
        <v>0.53885000000000005</v>
      </c>
      <c r="C767" s="1">
        <v>0.53549000000000002</v>
      </c>
      <c r="D767" s="1">
        <f>IF(B767&gt;C767,B767-C767,C767-B767)</f>
        <v>3.3600000000000296E-3</v>
      </c>
      <c r="E767">
        <f>MINUTE(D767)</f>
        <v>4</v>
      </c>
      <c r="F767">
        <f>SECOND(D767)</f>
        <v>50</v>
      </c>
      <c r="G767">
        <f>ROUND(E767+F767/60,2)</f>
        <v>4.83</v>
      </c>
      <c r="H767">
        <f>60*E767+F767</f>
        <v>290</v>
      </c>
      <c r="I767" s="3">
        <f>5*(3600/H767)</f>
        <v>62.068965517241381</v>
      </c>
      <c r="J767" s="16">
        <f t="shared" si="22"/>
        <v>0</v>
      </c>
      <c r="K767" s="17">
        <f t="shared" si="23"/>
        <v>12</v>
      </c>
    </row>
    <row r="768" spans="1:11" x14ac:dyDescent="0.25">
      <c r="A768" s="4" t="s">
        <v>45</v>
      </c>
      <c r="B768" s="1">
        <v>0.39247599999999999</v>
      </c>
      <c r="C768" s="1">
        <v>0.39583600000000002</v>
      </c>
      <c r="D768" s="1">
        <f>IF(B768&gt;C768,B768-C768,C768-B768)</f>
        <v>3.3600000000000296E-3</v>
      </c>
      <c r="E768">
        <f>MINUTE(D768)</f>
        <v>4</v>
      </c>
      <c r="F768">
        <f>SECOND(D768)</f>
        <v>50</v>
      </c>
      <c r="G768">
        <f>ROUND(E768+F768/60,2)</f>
        <v>4.83</v>
      </c>
      <c r="H768">
        <f>60*E768+F768</f>
        <v>290</v>
      </c>
      <c r="I768" s="3">
        <f>5*(3600/H768)</f>
        <v>62.068965517241381</v>
      </c>
      <c r="J768" s="16">
        <f t="shared" si="22"/>
        <v>0</v>
      </c>
      <c r="K768" s="17">
        <f t="shared" si="23"/>
        <v>9</v>
      </c>
    </row>
    <row r="769" spans="1:11" x14ac:dyDescent="0.25">
      <c r="A769" s="4" t="s">
        <v>162</v>
      </c>
      <c r="B769" s="1">
        <v>2.3812E-2</v>
      </c>
      <c r="C769" s="1">
        <v>2.0455999999999998E-2</v>
      </c>
      <c r="D769" s="1">
        <f>IF(B769&gt;C769,B769-C769,C769-B769)</f>
        <v>3.3560000000000013E-3</v>
      </c>
      <c r="E769">
        <f>MINUTE(D769)</f>
        <v>4</v>
      </c>
      <c r="F769">
        <f>SECOND(D769)</f>
        <v>50</v>
      </c>
      <c r="G769">
        <f>ROUND(E769+F769/60,2)</f>
        <v>4.83</v>
      </c>
      <c r="H769">
        <f>60*E769+F769</f>
        <v>290</v>
      </c>
      <c r="I769" s="3">
        <f>5*(3600/H769)</f>
        <v>62.068965517241381</v>
      </c>
      <c r="J769" s="16">
        <f t="shared" si="22"/>
        <v>0</v>
      </c>
      <c r="K769" s="17">
        <f t="shared" si="23"/>
        <v>0</v>
      </c>
    </row>
    <row r="770" spans="1:11" x14ac:dyDescent="0.25">
      <c r="A770" s="4" t="s">
        <v>87</v>
      </c>
      <c r="B770" s="1">
        <v>0.74911300000000003</v>
      </c>
      <c r="C770" s="1">
        <v>0.745757</v>
      </c>
      <c r="D770" s="1">
        <f>IF(B770&gt;C770,B770-C770,C770-B770)</f>
        <v>3.3560000000000256E-3</v>
      </c>
      <c r="E770">
        <f>MINUTE(D770)</f>
        <v>4</v>
      </c>
      <c r="F770">
        <f>SECOND(D770)</f>
        <v>50</v>
      </c>
      <c r="G770">
        <f>ROUND(E770+F770/60,2)</f>
        <v>4.83</v>
      </c>
      <c r="H770">
        <f>60*E770+F770</f>
        <v>290</v>
      </c>
      <c r="I770" s="3">
        <f>5*(3600/H770)</f>
        <v>62.068965517241381</v>
      </c>
      <c r="J770" s="16">
        <f t="shared" si="22"/>
        <v>0</v>
      </c>
      <c r="K770" s="17">
        <f t="shared" si="23"/>
        <v>17</v>
      </c>
    </row>
    <row r="771" spans="1:11" x14ac:dyDescent="0.25">
      <c r="A771" s="4" t="s">
        <v>87</v>
      </c>
      <c r="B771" s="1">
        <v>0.121395</v>
      </c>
      <c r="C771" s="1">
        <v>0.124755</v>
      </c>
      <c r="D771" s="1">
        <f>IF(B771&gt;C771,B771-C771,C771-B771)</f>
        <v>3.3600000000000019E-3</v>
      </c>
      <c r="E771">
        <f>MINUTE(D771)</f>
        <v>4</v>
      </c>
      <c r="F771">
        <f>SECOND(D771)</f>
        <v>50</v>
      </c>
      <c r="G771">
        <f>ROUND(E771+F771/60,2)</f>
        <v>4.83</v>
      </c>
      <c r="H771">
        <f>60*E771+F771</f>
        <v>290</v>
      </c>
      <c r="I771" s="3">
        <f>5*(3600/H771)</f>
        <v>62.068965517241381</v>
      </c>
      <c r="J771" s="16">
        <f t="shared" ref="J771:J834" si="24">IF(I771&gt;140,1,0)</f>
        <v>0</v>
      </c>
      <c r="K771" s="17">
        <f t="shared" ref="K771:K834" si="25">HOUR(B771)</f>
        <v>2</v>
      </c>
    </row>
    <row r="772" spans="1:11" x14ac:dyDescent="0.25">
      <c r="A772" s="4" t="s">
        <v>114</v>
      </c>
      <c r="B772" s="1">
        <v>0.21842300000000001</v>
      </c>
      <c r="C772" s="1">
        <v>0.21506700000000001</v>
      </c>
      <c r="D772" s="1">
        <f>IF(B772&gt;C772,B772-C772,C772-B772)</f>
        <v>3.3559999999999979E-3</v>
      </c>
      <c r="E772">
        <f>MINUTE(D772)</f>
        <v>4</v>
      </c>
      <c r="F772">
        <f>SECOND(D772)</f>
        <v>50</v>
      </c>
      <c r="G772">
        <f>ROUND(E772+F772/60,2)</f>
        <v>4.83</v>
      </c>
      <c r="H772">
        <f>60*E772+F772</f>
        <v>290</v>
      </c>
      <c r="I772" s="3">
        <f>5*(3600/H772)</f>
        <v>62.068965517241381</v>
      </c>
      <c r="J772" s="16">
        <f t="shared" si="24"/>
        <v>0</v>
      </c>
      <c r="K772" s="17">
        <f t="shared" si="25"/>
        <v>5</v>
      </c>
    </row>
    <row r="773" spans="1:11" x14ac:dyDescent="0.25">
      <c r="A773" s="4" t="s">
        <v>163</v>
      </c>
      <c r="B773" s="1">
        <v>0.71701300000000001</v>
      </c>
      <c r="C773" s="1">
        <v>0.71365299999999998</v>
      </c>
      <c r="D773" s="1">
        <f>IF(B773&gt;C773,B773-C773,C773-B773)</f>
        <v>3.3600000000000296E-3</v>
      </c>
      <c r="E773">
        <f>MINUTE(D773)</f>
        <v>4</v>
      </c>
      <c r="F773">
        <f>SECOND(D773)</f>
        <v>50</v>
      </c>
      <c r="G773">
        <f>ROUND(E773+F773/60,2)</f>
        <v>4.83</v>
      </c>
      <c r="H773">
        <f>60*E773+F773</f>
        <v>290</v>
      </c>
      <c r="I773" s="3">
        <f>5*(3600/H773)</f>
        <v>62.068965517241381</v>
      </c>
      <c r="J773" s="16">
        <f t="shared" si="24"/>
        <v>0</v>
      </c>
      <c r="K773" s="17">
        <f t="shared" si="25"/>
        <v>17</v>
      </c>
    </row>
    <row r="774" spans="1:11" x14ac:dyDescent="0.25">
      <c r="A774" s="4" t="s">
        <v>352</v>
      </c>
      <c r="B774" s="1">
        <v>0.13768</v>
      </c>
      <c r="C774" s="1">
        <v>0.134328</v>
      </c>
      <c r="D774" s="1">
        <f>IF(B774&gt;C774,B774-C774,C774-B774)</f>
        <v>3.3519999999999939E-3</v>
      </c>
      <c r="E774">
        <f>MINUTE(D774)</f>
        <v>4</v>
      </c>
      <c r="F774">
        <f>SECOND(D774)</f>
        <v>50</v>
      </c>
      <c r="G774">
        <f>ROUND(E774+F774/60,2)</f>
        <v>4.83</v>
      </c>
      <c r="H774">
        <f>60*E774+F774</f>
        <v>290</v>
      </c>
      <c r="I774" s="3">
        <f>5*(3600/H774)</f>
        <v>62.068965517241381</v>
      </c>
      <c r="J774" s="16">
        <f t="shared" si="24"/>
        <v>0</v>
      </c>
      <c r="K774" s="17">
        <f t="shared" si="25"/>
        <v>3</v>
      </c>
    </row>
    <row r="775" spans="1:11" x14ac:dyDescent="0.25">
      <c r="A775" s="4" t="s">
        <v>87</v>
      </c>
      <c r="B775" s="1">
        <v>0.98247899999999999</v>
      </c>
      <c r="C775" s="1">
        <v>0.98585100000000003</v>
      </c>
      <c r="D775" s="1">
        <f>IF(B775&gt;C775,B775-C775,C775-B775)</f>
        <v>3.3720000000000416E-3</v>
      </c>
      <c r="E775">
        <f>MINUTE(D775)</f>
        <v>4</v>
      </c>
      <c r="F775">
        <f>SECOND(D775)</f>
        <v>51</v>
      </c>
      <c r="G775">
        <f>ROUND(E775+F775/60,2)</f>
        <v>4.8499999999999996</v>
      </c>
      <c r="H775">
        <f>60*E775+F775</f>
        <v>291</v>
      </c>
      <c r="I775" s="3">
        <f>5*(3600/H775)</f>
        <v>61.855670103092784</v>
      </c>
      <c r="J775" s="16">
        <f t="shared" si="24"/>
        <v>0</v>
      </c>
      <c r="K775" s="17">
        <f t="shared" si="25"/>
        <v>23</v>
      </c>
    </row>
    <row r="776" spans="1:11" x14ac:dyDescent="0.25">
      <c r="A776" s="4" t="s">
        <v>48</v>
      </c>
      <c r="B776" s="1">
        <v>0.79716600000000004</v>
      </c>
      <c r="C776" s="1">
        <v>0.80053399999999997</v>
      </c>
      <c r="D776" s="1">
        <f>IF(B776&gt;C776,B776-C776,C776-B776)</f>
        <v>3.3679999999999266E-3</v>
      </c>
      <c r="E776">
        <f>MINUTE(D776)</f>
        <v>4</v>
      </c>
      <c r="F776">
        <f>SECOND(D776)</f>
        <v>51</v>
      </c>
      <c r="G776">
        <f>ROUND(E776+F776/60,2)</f>
        <v>4.8499999999999996</v>
      </c>
      <c r="H776">
        <f>60*E776+F776</f>
        <v>291</v>
      </c>
      <c r="I776" s="3">
        <f>5*(3600/H776)</f>
        <v>61.855670103092784</v>
      </c>
      <c r="J776" s="16">
        <f t="shared" si="24"/>
        <v>0</v>
      </c>
      <c r="K776" s="17">
        <f t="shared" si="25"/>
        <v>19</v>
      </c>
    </row>
    <row r="777" spans="1:11" x14ac:dyDescent="0.25">
      <c r="A777" s="4" t="s">
        <v>159</v>
      </c>
      <c r="B777" s="1">
        <v>0.39568500000000001</v>
      </c>
      <c r="C777" s="1">
        <v>0.39231700000000003</v>
      </c>
      <c r="D777" s="1">
        <f>IF(B777&gt;C777,B777-C777,C777-B777)</f>
        <v>3.3679999999999821E-3</v>
      </c>
      <c r="E777">
        <f>MINUTE(D777)</f>
        <v>4</v>
      </c>
      <c r="F777">
        <f>SECOND(D777)</f>
        <v>51</v>
      </c>
      <c r="G777">
        <f>ROUND(E777+F777/60,2)</f>
        <v>4.8499999999999996</v>
      </c>
      <c r="H777">
        <f>60*E777+F777</f>
        <v>291</v>
      </c>
      <c r="I777" s="3">
        <f>5*(3600/H777)</f>
        <v>61.855670103092784</v>
      </c>
      <c r="J777" s="16">
        <f t="shared" si="24"/>
        <v>0</v>
      </c>
      <c r="K777" s="17">
        <f t="shared" si="25"/>
        <v>9</v>
      </c>
    </row>
    <row r="778" spans="1:11" x14ac:dyDescent="0.25">
      <c r="A778" s="4" t="s">
        <v>29</v>
      </c>
      <c r="B778" s="1">
        <v>0.39477299999999999</v>
      </c>
      <c r="C778" s="1">
        <v>0.39140900000000001</v>
      </c>
      <c r="D778" s="1">
        <f>IF(B778&gt;C778,B778-C778,C778-B778)</f>
        <v>3.3639999999999781E-3</v>
      </c>
      <c r="E778">
        <f>MINUTE(D778)</f>
        <v>4</v>
      </c>
      <c r="F778">
        <f>SECOND(D778)</f>
        <v>51</v>
      </c>
      <c r="G778">
        <f>ROUND(E778+F778/60,2)</f>
        <v>4.8499999999999996</v>
      </c>
      <c r="H778">
        <f>60*E778+F778</f>
        <v>291</v>
      </c>
      <c r="I778" s="3">
        <f>5*(3600/H778)</f>
        <v>61.855670103092784</v>
      </c>
      <c r="J778" s="16">
        <f t="shared" si="24"/>
        <v>0</v>
      </c>
      <c r="K778" s="17">
        <f t="shared" si="25"/>
        <v>9</v>
      </c>
    </row>
    <row r="779" spans="1:11" x14ac:dyDescent="0.25">
      <c r="A779" s="4" t="s">
        <v>5</v>
      </c>
      <c r="B779" s="1">
        <v>0.82136500000000001</v>
      </c>
      <c r="C779" s="1">
        <v>0.82473700000000005</v>
      </c>
      <c r="D779" s="1">
        <f>IF(B779&gt;C779,B779-C779,C779-B779)</f>
        <v>3.3720000000000416E-3</v>
      </c>
      <c r="E779">
        <f>MINUTE(D779)</f>
        <v>4</v>
      </c>
      <c r="F779">
        <f>SECOND(D779)</f>
        <v>51</v>
      </c>
      <c r="G779">
        <f>ROUND(E779+F779/60,2)</f>
        <v>4.8499999999999996</v>
      </c>
      <c r="H779">
        <f>60*E779+F779</f>
        <v>291</v>
      </c>
      <c r="I779" s="3">
        <f>5*(3600/H779)</f>
        <v>61.855670103092784</v>
      </c>
      <c r="J779" s="16">
        <f t="shared" si="24"/>
        <v>0</v>
      </c>
      <c r="K779" s="17">
        <f t="shared" si="25"/>
        <v>19</v>
      </c>
    </row>
    <row r="780" spans="1:11" x14ac:dyDescent="0.25">
      <c r="A780" s="4" t="s">
        <v>237</v>
      </c>
      <c r="B780" s="1">
        <v>0.83006999999999997</v>
      </c>
      <c r="C780" s="1">
        <v>0.82670600000000005</v>
      </c>
      <c r="D780" s="1">
        <f>IF(B780&gt;C780,B780-C780,C780-B780)</f>
        <v>3.3639999999999226E-3</v>
      </c>
      <c r="E780">
        <f>MINUTE(D780)</f>
        <v>4</v>
      </c>
      <c r="F780">
        <f>SECOND(D780)</f>
        <v>51</v>
      </c>
      <c r="G780">
        <f>ROUND(E780+F780/60,2)</f>
        <v>4.8499999999999996</v>
      </c>
      <c r="H780">
        <f>60*E780+F780</f>
        <v>291</v>
      </c>
      <c r="I780" s="3">
        <f>5*(3600/H780)</f>
        <v>61.855670103092784</v>
      </c>
      <c r="J780" s="16">
        <f t="shared" si="24"/>
        <v>0</v>
      </c>
      <c r="K780" s="17">
        <f t="shared" si="25"/>
        <v>19</v>
      </c>
    </row>
    <row r="781" spans="1:11" x14ac:dyDescent="0.25">
      <c r="A781" s="4" t="s">
        <v>239</v>
      </c>
      <c r="B781" s="1">
        <v>0.346945</v>
      </c>
      <c r="C781" s="1">
        <v>0.35031299999999999</v>
      </c>
      <c r="D781" s="1">
        <f>IF(B781&gt;C781,B781-C781,C781-B781)</f>
        <v>3.3679999999999821E-3</v>
      </c>
      <c r="E781">
        <f>MINUTE(D781)</f>
        <v>4</v>
      </c>
      <c r="F781">
        <f>SECOND(D781)</f>
        <v>51</v>
      </c>
      <c r="G781">
        <f>ROUND(E781+F781/60,2)</f>
        <v>4.8499999999999996</v>
      </c>
      <c r="H781">
        <f>60*E781+F781</f>
        <v>291</v>
      </c>
      <c r="I781" s="3">
        <f>5*(3600/H781)</f>
        <v>61.855670103092784</v>
      </c>
      <c r="J781" s="16">
        <f t="shared" si="24"/>
        <v>0</v>
      </c>
      <c r="K781" s="17">
        <f t="shared" si="25"/>
        <v>8</v>
      </c>
    </row>
    <row r="782" spans="1:11" x14ac:dyDescent="0.25">
      <c r="A782" s="4" t="s">
        <v>154</v>
      </c>
      <c r="B782" s="1">
        <v>6.1955999999999997E-2</v>
      </c>
      <c r="C782" s="1">
        <v>5.8571999999999999E-2</v>
      </c>
      <c r="D782" s="1">
        <f>IF(B782&gt;C782,B782-C782,C782-B782)</f>
        <v>3.3839999999999981E-3</v>
      </c>
      <c r="E782">
        <f>MINUTE(D782)</f>
        <v>4</v>
      </c>
      <c r="F782">
        <f>SECOND(D782)</f>
        <v>52</v>
      </c>
      <c r="G782">
        <f>ROUND(E782+F782/60,2)</f>
        <v>4.87</v>
      </c>
      <c r="H782">
        <f>60*E782+F782</f>
        <v>292</v>
      </c>
      <c r="I782" s="3">
        <f>5*(3600/H782)</f>
        <v>61.643835616438352</v>
      </c>
      <c r="J782" s="16">
        <f t="shared" si="24"/>
        <v>0</v>
      </c>
      <c r="K782" s="17">
        <f t="shared" si="25"/>
        <v>1</v>
      </c>
    </row>
    <row r="783" spans="1:11" x14ac:dyDescent="0.25">
      <c r="A783" s="4" t="s">
        <v>101</v>
      </c>
      <c r="B783" s="1">
        <v>0.37134800000000001</v>
      </c>
      <c r="C783" s="1">
        <v>0.374724</v>
      </c>
      <c r="D783" s="1">
        <f>IF(B783&gt;C783,B783-C783,C783-B783)</f>
        <v>3.3759999999999901E-3</v>
      </c>
      <c r="E783">
        <f>MINUTE(D783)</f>
        <v>4</v>
      </c>
      <c r="F783">
        <f>SECOND(D783)</f>
        <v>52</v>
      </c>
      <c r="G783">
        <f>ROUND(E783+F783/60,2)</f>
        <v>4.87</v>
      </c>
      <c r="H783">
        <f>60*E783+F783</f>
        <v>292</v>
      </c>
      <c r="I783" s="3">
        <f>5*(3600/H783)</f>
        <v>61.643835616438352</v>
      </c>
      <c r="J783" s="16">
        <f t="shared" si="24"/>
        <v>0</v>
      </c>
      <c r="K783" s="17">
        <f t="shared" si="25"/>
        <v>8</v>
      </c>
    </row>
    <row r="784" spans="1:11" x14ac:dyDescent="0.25">
      <c r="A784" s="4" t="s">
        <v>161</v>
      </c>
      <c r="B784" s="1">
        <v>0.87226400000000004</v>
      </c>
      <c r="C784" s="1">
        <v>0.86888399999999999</v>
      </c>
      <c r="D784" s="1">
        <f>IF(B784&gt;C784,B784-C784,C784-B784)</f>
        <v>3.3800000000000496E-3</v>
      </c>
      <c r="E784">
        <f>MINUTE(D784)</f>
        <v>4</v>
      </c>
      <c r="F784">
        <f>SECOND(D784)</f>
        <v>52</v>
      </c>
      <c r="G784">
        <f>ROUND(E784+F784/60,2)</f>
        <v>4.87</v>
      </c>
      <c r="H784">
        <f>60*E784+F784</f>
        <v>292</v>
      </c>
      <c r="I784" s="3">
        <f>5*(3600/H784)</f>
        <v>61.643835616438352</v>
      </c>
      <c r="J784" s="16">
        <f t="shared" si="24"/>
        <v>0</v>
      </c>
      <c r="K784" s="17">
        <f t="shared" si="25"/>
        <v>20</v>
      </c>
    </row>
    <row r="785" spans="1:11" x14ac:dyDescent="0.25">
      <c r="A785" s="4" t="s">
        <v>350</v>
      </c>
      <c r="B785" s="1">
        <v>0.93858200000000003</v>
      </c>
      <c r="C785" s="1">
        <v>0.94195799999999996</v>
      </c>
      <c r="D785" s="1">
        <f>IF(B785&gt;C785,B785-C785,C785-B785)</f>
        <v>3.3759999999999346E-3</v>
      </c>
      <c r="E785">
        <f>MINUTE(D785)</f>
        <v>4</v>
      </c>
      <c r="F785">
        <f>SECOND(D785)</f>
        <v>52</v>
      </c>
      <c r="G785">
        <f>ROUND(E785+F785/60,2)</f>
        <v>4.87</v>
      </c>
      <c r="H785">
        <f>60*E785+F785</f>
        <v>292</v>
      </c>
      <c r="I785" s="3">
        <f>5*(3600/H785)</f>
        <v>61.643835616438352</v>
      </c>
      <c r="J785" s="16">
        <f t="shared" si="24"/>
        <v>0</v>
      </c>
      <c r="K785" s="17">
        <f t="shared" si="25"/>
        <v>22</v>
      </c>
    </row>
    <row r="786" spans="1:11" x14ac:dyDescent="0.25">
      <c r="A786" s="4" t="s">
        <v>5</v>
      </c>
      <c r="B786" s="1">
        <v>0.50733099999999998</v>
      </c>
      <c r="C786" s="1">
        <v>0.51071900000000003</v>
      </c>
      <c r="D786" s="1">
        <f>IF(B786&gt;C786,B786-C786,C786-B786)</f>
        <v>3.3880000000000576E-3</v>
      </c>
      <c r="E786">
        <f>MINUTE(D786)</f>
        <v>4</v>
      </c>
      <c r="F786">
        <f>SECOND(D786)</f>
        <v>53</v>
      </c>
      <c r="G786">
        <f>ROUND(E786+F786/60,2)</f>
        <v>4.88</v>
      </c>
      <c r="H786">
        <f>60*E786+F786</f>
        <v>293</v>
      </c>
      <c r="I786" s="3">
        <f>5*(3600/H786)</f>
        <v>61.43344709897611</v>
      </c>
      <c r="J786" s="16">
        <f t="shared" si="24"/>
        <v>0</v>
      </c>
      <c r="K786" s="17">
        <f t="shared" si="25"/>
        <v>12</v>
      </c>
    </row>
    <row r="787" spans="1:11" x14ac:dyDescent="0.25">
      <c r="A787" s="4" t="s">
        <v>76</v>
      </c>
      <c r="B787" s="1">
        <v>6.5492999999999996E-2</v>
      </c>
      <c r="C787" s="1">
        <v>6.8885000000000002E-2</v>
      </c>
      <c r="D787" s="1">
        <f>IF(B787&gt;C787,B787-C787,C787-B787)</f>
        <v>3.3920000000000061E-3</v>
      </c>
      <c r="E787">
        <f>MINUTE(D787)</f>
        <v>4</v>
      </c>
      <c r="F787">
        <f>SECOND(D787)</f>
        <v>53</v>
      </c>
      <c r="G787">
        <f>ROUND(E787+F787/60,2)</f>
        <v>4.88</v>
      </c>
      <c r="H787">
        <f>60*E787+F787</f>
        <v>293</v>
      </c>
      <c r="I787" s="3">
        <f>5*(3600/H787)</f>
        <v>61.43344709897611</v>
      </c>
      <c r="J787" s="16">
        <f t="shared" si="24"/>
        <v>0</v>
      </c>
      <c r="K787" s="17">
        <f t="shared" si="25"/>
        <v>1</v>
      </c>
    </row>
    <row r="788" spans="1:11" x14ac:dyDescent="0.25">
      <c r="A788" s="4" t="s">
        <v>47</v>
      </c>
      <c r="B788" s="1">
        <v>6.2723000000000001E-2</v>
      </c>
      <c r="C788" s="1">
        <v>6.6118999999999997E-2</v>
      </c>
      <c r="D788" s="1">
        <f>IF(B788&gt;C788,B788-C788,C788-B788)</f>
        <v>3.3959999999999962E-3</v>
      </c>
      <c r="E788">
        <f>MINUTE(D788)</f>
        <v>4</v>
      </c>
      <c r="F788">
        <f>SECOND(D788)</f>
        <v>53</v>
      </c>
      <c r="G788">
        <f>ROUND(E788+F788/60,2)</f>
        <v>4.88</v>
      </c>
      <c r="H788">
        <f>60*E788+F788</f>
        <v>293</v>
      </c>
      <c r="I788" s="3">
        <f>5*(3600/H788)</f>
        <v>61.43344709897611</v>
      </c>
      <c r="J788" s="16">
        <f t="shared" si="24"/>
        <v>0</v>
      </c>
      <c r="K788" s="17">
        <f t="shared" si="25"/>
        <v>1</v>
      </c>
    </row>
    <row r="789" spans="1:11" x14ac:dyDescent="0.25">
      <c r="A789" s="4" t="s">
        <v>109</v>
      </c>
      <c r="B789" s="1">
        <v>0.59859799999999996</v>
      </c>
      <c r="C789" s="1">
        <v>0.59520600000000001</v>
      </c>
      <c r="D789" s="1">
        <f>IF(B789&gt;C789,B789-C789,C789-B789)</f>
        <v>3.3919999999999506E-3</v>
      </c>
      <c r="E789">
        <f>MINUTE(D789)</f>
        <v>4</v>
      </c>
      <c r="F789">
        <f>SECOND(D789)</f>
        <v>53</v>
      </c>
      <c r="G789">
        <f>ROUND(E789+F789/60,2)</f>
        <v>4.88</v>
      </c>
      <c r="H789">
        <f>60*E789+F789</f>
        <v>293</v>
      </c>
      <c r="I789" s="3">
        <f>5*(3600/H789)</f>
        <v>61.43344709897611</v>
      </c>
      <c r="J789" s="16">
        <f t="shared" si="24"/>
        <v>0</v>
      </c>
      <c r="K789" s="17">
        <f t="shared" si="25"/>
        <v>14</v>
      </c>
    </row>
    <row r="790" spans="1:11" x14ac:dyDescent="0.25">
      <c r="A790" s="4" t="s">
        <v>176</v>
      </c>
      <c r="B790" s="1">
        <v>0.71115899999999999</v>
      </c>
      <c r="C790" s="1">
        <v>0.70776300000000003</v>
      </c>
      <c r="D790" s="1">
        <f>IF(B790&gt;C790,B790-C790,C790-B790)</f>
        <v>3.3959999999999546E-3</v>
      </c>
      <c r="E790">
        <f>MINUTE(D790)</f>
        <v>4</v>
      </c>
      <c r="F790">
        <f>SECOND(D790)</f>
        <v>53</v>
      </c>
      <c r="G790">
        <f>ROUND(E790+F790/60,2)</f>
        <v>4.88</v>
      </c>
      <c r="H790">
        <f>60*E790+F790</f>
        <v>293</v>
      </c>
      <c r="I790" s="3">
        <f>5*(3600/H790)</f>
        <v>61.43344709897611</v>
      </c>
      <c r="J790" s="16">
        <f t="shared" si="24"/>
        <v>0</v>
      </c>
      <c r="K790" s="17">
        <f t="shared" si="25"/>
        <v>17</v>
      </c>
    </row>
    <row r="791" spans="1:11" x14ac:dyDescent="0.25">
      <c r="A791" s="4" t="s">
        <v>124</v>
      </c>
      <c r="B791" s="1">
        <v>5.1858000000000001E-2</v>
      </c>
      <c r="C791" s="1">
        <v>5.5253999999999998E-2</v>
      </c>
      <c r="D791" s="1">
        <f>IF(B791&gt;C791,B791-C791,C791-B791)</f>
        <v>3.3959999999999962E-3</v>
      </c>
      <c r="E791">
        <f>MINUTE(D791)</f>
        <v>4</v>
      </c>
      <c r="F791">
        <f>SECOND(D791)</f>
        <v>53</v>
      </c>
      <c r="G791">
        <f>ROUND(E791+F791/60,2)</f>
        <v>4.88</v>
      </c>
      <c r="H791">
        <f>60*E791+F791</f>
        <v>293</v>
      </c>
      <c r="I791" s="3">
        <f>5*(3600/H791)</f>
        <v>61.43344709897611</v>
      </c>
      <c r="J791" s="16">
        <f t="shared" si="24"/>
        <v>0</v>
      </c>
      <c r="K791" s="17">
        <f t="shared" si="25"/>
        <v>1</v>
      </c>
    </row>
    <row r="792" spans="1:11" x14ac:dyDescent="0.25">
      <c r="A792" s="4" t="s">
        <v>82</v>
      </c>
      <c r="B792" s="1">
        <v>0.78575300000000003</v>
      </c>
      <c r="C792" s="1">
        <v>0.789157</v>
      </c>
      <c r="D792" s="1">
        <f>IF(B792&gt;C792,B792-C792,C792-B792)</f>
        <v>3.4039999999999626E-3</v>
      </c>
      <c r="E792">
        <f>MINUTE(D792)</f>
        <v>4</v>
      </c>
      <c r="F792">
        <f>SECOND(D792)</f>
        <v>54</v>
      </c>
      <c r="G792">
        <f>ROUND(E792+F792/60,2)</f>
        <v>4.9000000000000004</v>
      </c>
      <c r="H792">
        <f>60*E792+F792</f>
        <v>294</v>
      </c>
      <c r="I792" s="3">
        <f>5*(3600/H792)</f>
        <v>61.224489795918366</v>
      </c>
      <c r="J792" s="16">
        <f t="shared" si="24"/>
        <v>0</v>
      </c>
      <c r="K792" s="17">
        <f t="shared" si="25"/>
        <v>18</v>
      </c>
    </row>
    <row r="793" spans="1:11" x14ac:dyDescent="0.25">
      <c r="A793" s="4" t="s">
        <v>148</v>
      </c>
      <c r="B793" s="1">
        <v>0.359732</v>
      </c>
      <c r="C793" s="1">
        <v>0.35632799999999998</v>
      </c>
      <c r="D793" s="1">
        <f>IF(B793&gt;C793,B793-C793,C793-B793)</f>
        <v>3.4040000000000181E-3</v>
      </c>
      <c r="E793">
        <f>MINUTE(D793)</f>
        <v>4</v>
      </c>
      <c r="F793">
        <f>SECOND(D793)</f>
        <v>54</v>
      </c>
      <c r="G793">
        <f>ROUND(E793+F793/60,2)</f>
        <v>4.9000000000000004</v>
      </c>
      <c r="H793">
        <f>60*E793+F793</f>
        <v>294</v>
      </c>
      <c r="I793" s="3">
        <f>5*(3600/H793)</f>
        <v>61.224489795918366</v>
      </c>
      <c r="J793" s="16">
        <f t="shared" si="24"/>
        <v>0</v>
      </c>
      <c r="K793" s="17">
        <f t="shared" si="25"/>
        <v>8</v>
      </c>
    </row>
    <row r="794" spans="1:11" x14ac:dyDescent="0.25">
      <c r="A794" s="4" t="s">
        <v>89</v>
      </c>
      <c r="B794" s="1">
        <v>0.79559199999999997</v>
      </c>
      <c r="C794" s="1">
        <v>0.792188</v>
      </c>
      <c r="D794" s="1">
        <f>IF(B794&gt;C794,B794-C794,C794-B794)</f>
        <v>3.4039999999999626E-3</v>
      </c>
      <c r="E794">
        <f>MINUTE(D794)</f>
        <v>4</v>
      </c>
      <c r="F794">
        <f>SECOND(D794)</f>
        <v>54</v>
      </c>
      <c r="G794">
        <f>ROUND(E794+F794/60,2)</f>
        <v>4.9000000000000004</v>
      </c>
      <c r="H794">
        <f>60*E794+F794</f>
        <v>294</v>
      </c>
      <c r="I794" s="3">
        <f>5*(3600/H794)</f>
        <v>61.224489795918366</v>
      </c>
      <c r="J794" s="16">
        <f t="shared" si="24"/>
        <v>0</v>
      </c>
      <c r="K794" s="17">
        <f t="shared" si="25"/>
        <v>19</v>
      </c>
    </row>
    <row r="795" spans="1:11" x14ac:dyDescent="0.25">
      <c r="A795" s="4" t="s">
        <v>75</v>
      </c>
      <c r="B795" s="1">
        <v>0.55288199999999998</v>
      </c>
      <c r="C795" s="1">
        <v>0.55628200000000005</v>
      </c>
      <c r="D795" s="1">
        <f>IF(B795&gt;C795,B795-C795,C795-B795)</f>
        <v>3.4000000000000696E-3</v>
      </c>
      <c r="E795">
        <f>MINUTE(D795)</f>
        <v>4</v>
      </c>
      <c r="F795">
        <f>SECOND(D795)</f>
        <v>54</v>
      </c>
      <c r="G795">
        <f>ROUND(E795+F795/60,2)</f>
        <v>4.9000000000000004</v>
      </c>
      <c r="H795">
        <f>60*E795+F795</f>
        <v>294</v>
      </c>
      <c r="I795" s="3">
        <f>5*(3600/H795)</f>
        <v>61.224489795918366</v>
      </c>
      <c r="J795" s="16">
        <f t="shared" si="24"/>
        <v>0</v>
      </c>
      <c r="K795" s="17">
        <f t="shared" si="25"/>
        <v>13</v>
      </c>
    </row>
    <row r="796" spans="1:11" x14ac:dyDescent="0.25">
      <c r="A796" s="4" t="s">
        <v>240</v>
      </c>
      <c r="B796" s="1">
        <v>0.76658499999999996</v>
      </c>
      <c r="C796" s="1">
        <v>0.763181</v>
      </c>
      <c r="D796" s="1">
        <f>IF(B796&gt;C796,B796-C796,C796-B796)</f>
        <v>3.4039999999999626E-3</v>
      </c>
      <c r="E796">
        <f>MINUTE(D796)</f>
        <v>4</v>
      </c>
      <c r="F796">
        <f>SECOND(D796)</f>
        <v>54</v>
      </c>
      <c r="G796">
        <f>ROUND(E796+F796/60,2)</f>
        <v>4.9000000000000004</v>
      </c>
      <c r="H796">
        <f>60*E796+F796</f>
        <v>294</v>
      </c>
      <c r="I796" s="3">
        <f>5*(3600/H796)</f>
        <v>61.224489795918366</v>
      </c>
      <c r="J796" s="16">
        <f t="shared" si="24"/>
        <v>0</v>
      </c>
      <c r="K796" s="17">
        <f t="shared" si="25"/>
        <v>18</v>
      </c>
    </row>
    <row r="797" spans="1:11" x14ac:dyDescent="0.25">
      <c r="A797" s="4" t="s">
        <v>65</v>
      </c>
      <c r="B797" s="1">
        <v>0.79385700000000003</v>
      </c>
      <c r="C797" s="1">
        <v>0.79043699999999995</v>
      </c>
      <c r="D797" s="1">
        <f>IF(B797&gt;C797,B797-C797,C797-B797)</f>
        <v>3.4200000000000896E-3</v>
      </c>
      <c r="E797">
        <f>MINUTE(D797)</f>
        <v>4</v>
      </c>
      <c r="F797">
        <f>SECOND(D797)</f>
        <v>55</v>
      </c>
      <c r="G797">
        <f>ROUND(E797+F797/60,2)</f>
        <v>4.92</v>
      </c>
      <c r="H797">
        <f>60*E797+F797</f>
        <v>295</v>
      </c>
      <c r="I797" s="3">
        <f>5*(3600/H797)</f>
        <v>61.016949152542367</v>
      </c>
      <c r="J797" s="16">
        <f t="shared" si="24"/>
        <v>0</v>
      </c>
      <c r="K797" s="17">
        <f t="shared" si="25"/>
        <v>19</v>
      </c>
    </row>
    <row r="798" spans="1:11" x14ac:dyDescent="0.25">
      <c r="A798" s="4" t="s">
        <v>56</v>
      </c>
      <c r="B798" s="1">
        <v>0.74378100000000003</v>
      </c>
      <c r="C798" s="1">
        <v>0.747197</v>
      </c>
      <c r="D798" s="1">
        <f>IF(B798&gt;C798,B798-C798,C798-B798)</f>
        <v>3.4159999999999746E-3</v>
      </c>
      <c r="E798">
        <f>MINUTE(D798)</f>
        <v>4</v>
      </c>
      <c r="F798">
        <f>SECOND(D798)</f>
        <v>55</v>
      </c>
      <c r="G798">
        <f>ROUND(E798+F798/60,2)</f>
        <v>4.92</v>
      </c>
      <c r="H798">
        <f>60*E798+F798</f>
        <v>295</v>
      </c>
      <c r="I798" s="3">
        <f>5*(3600/H798)</f>
        <v>61.016949152542367</v>
      </c>
      <c r="J798" s="16">
        <f t="shared" si="24"/>
        <v>0</v>
      </c>
      <c r="K798" s="17">
        <f t="shared" si="25"/>
        <v>17</v>
      </c>
    </row>
    <row r="799" spans="1:11" x14ac:dyDescent="0.25">
      <c r="A799" s="4" t="s">
        <v>145</v>
      </c>
      <c r="B799" s="1">
        <v>0.47162799999999999</v>
      </c>
      <c r="C799" s="1">
        <v>0.46820800000000001</v>
      </c>
      <c r="D799" s="1">
        <f>IF(B799&gt;C799,B799-C799,C799-B799)</f>
        <v>3.4199999999999786E-3</v>
      </c>
      <c r="E799">
        <f>MINUTE(D799)</f>
        <v>4</v>
      </c>
      <c r="F799">
        <f>SECOND(D799)</f>
        <v>55</v>
      </c>
      <c r="G799">
        <f>ROUND(E799+F799/60,2)</f>
        <v>4.92</v>
      </c>
      <c r="H799">
        <f>60*E799+F799</f>
        <v>295</v>
      </c>
      <c r="I799" s="3">
        <f>5*(3600/H799)</f>
        <v>61.016949152542367</v>
      </c>
      <c r="J799" s="16">
        <f t="shared" si="24"/>
        <v>0</v>
      </c>
      <c r="K799" s="17">
        <f t="shared" si="25"/>
        <v>11</v>
      </c>
    </row>
    <row r="800" spans="1:11" x14ac:dyDescent="0.25">
      <c r="A800" s="4" t="s">
        <v>109</v>
      </c>
      <c r="B800" s="1">
        <v>0.51990700000000001</v>
      </c>
      <c r="C800" s="1">
        <v>0.52331899999999998</v>
      </c>
      <c r="D800" s="1">
        <f>IF(B800&gt;C800,B800-C800,C800-B800)</f>
        <v>3.4119999999999706E-3</v>
      </c>
      <c r="E800">
        <f>MINUTE(D800)</f>
        <v>4</v>
      </c>
      <c r="F800">
        <f>SECOND(D800)</f>
        <v>55</v>
      </c>
      <c r="G800">
        <f>ROUND(E800+F800/60,2)</f>
        <v>4.92</v>
      </c>
      <c r="H800">
        <f>60*E800+F800</f>
        <v>295</v>
      </c>
      <c r="I800" s="3">
        <f>5*(3600/H800)</f>
        <v>61.016949152542367</v>
      </c>
      <c r="J800" s="16">
        <f t="shared" si="24"/>
        <v>0</v>
      </c>
      <c r="K800" s="17">
        <f t="shared" si="25"/>
        <v>12</v>
      </c>
    </row>
    <row r="801" spans="1:11" x14ac:dyDescent="0.25">
      <c r="A801" s="4" t="s">
        <v>268</v>
      </c>
      <c r="B801" s="1">
        <v>0.926319</v>
      </c>
      <c r="C801" s="1">
        <v>0.92290700000000003</v>
      </c>
      <c r="D801" s="1">
        <f>IF(B801&gt;C801,B801-C801,C801-B801)</f>
        <v>3.4119999999999706E-3</v>
      </c>
      <c r="E801">
        <f>MINUTE(D801)</f>
        <v>4</v>
      </c>
      <c r="F801">
        <f>SECOND(D801)</f>
        <v>55</v>
      </c>
      <c r="G801">
        <f>ROUND(E801+F801/60,2)</f>
        <v>4.92</v>
      </c>
      <c r="H801">
        <f>60*E801+F801</f>
        <v>295</v>
      </c>
      <c r="I801" s="3">
        <f>5*(3600/H801)</f>
        <v>61.016949152542367</v>
      </c>
      <c r="J801" s="16">
        <f t="shared" si="24"/>
        <v>0</v>
      </c>
      <c r="K801" s="17">
        <f t="shared" si="25"/>
        <v>22</v>
      </c>
    </row>
    <row r="802" spans="1:11" x14ac:dyDescent="0.25">
      <c r="A802" s="4" t="s">
        <v>68</v>
      </c>
      <c r="B802" s="1">
        <v>0.67446200000000001</v>
      </c>
      <c r="C802" s="1">
        <v>0.67788999999999999</v>
      </c>
      <c r="D802" s="1">
        <f>IF(B802&gt;C802,B802-C802,C802-B802)</f>
        <v>3.4279999999999866E-3</v>
      </c>
      <c r="E802">
        <f>MINUTE(D802)</f>
        <v>4</v>
      </c>
      <c r="F802">
        <f>SECOND(D802)</f>
        <v>56</v>
      </c>
      <c r="G802">
        <f>ROUND(E802+F802/60,2)</f>
        <v>4.93</v>
      </c>
      <c r="H802">
        <f>60*E802+F802</f>
        <v>296</v>
      </c>
      <c r="I802" s="3">
        <f>5*(3600/H802)</f>
        <v>60.810810810810807</v>
      </c>
      <c r="J802" s="16">
        <f t="shared" si="24"/>
        <v>0</v>
      </c>
      <c r="K802" s="17">
        <f t="shared" si="25"/>
        <v>16</v>
      </c>
    </row>
    <row r="803" spans="1:11" x14ac:dyDescent="0.25">
      <c r="A803" s="4" t="s">
        <v>116</v>
      </c>
      <c r="B803" s="1">
        <v>0.73995699999999998</v>
      </c>
      <c r="C803" s="1">
        <v>0.74338499999999996</v>
      </c>
      <c r="D803" s="1">
        <f>IF(B803&gt;C803,B803-C803,C803-B803)</f>
        <v>3.4279999999999866E-3</v>
      </c>
      <c r="E803">
        <f>MINUTE(D803)</f>
        <v>4</v>
      </c>
      <c r="F803">
        <f>SECOND(D803)</f>
        <v>56</v>
      </c>
      <c r="G803">
        <f>ROUND(E803+F803/60,2)</f>
        <v>4.93</v>
      </c>
      <c r="H803">
        <f>60*E803+F803</f>
        <v>296</v>
      </c>
      <c r="I803" s="3">
        <f>5*(3600/H803)</f>
        <v>60.810810810810807</v>
      </c>
      <c r="J803" s="16">
        <f t="shared" si="24"/>
        <v>0</v>
      </c>
      <c r="K803" s="17">
        <f t="shared" si="25"/>
        <v>17</v>
      </c>
    </row>
    <row r="804" spans="1:11" x14ac:dyDescent="0.25">
      <c r="A804" s="4" t="s">
        <v>128</v>
      </c>
      <c r="B804" s="1">
        <v>6.3480999999999996E-2</v>
      </c>
      <c r="C804" s="1">
        <v>6.6905000000000006E-2</v>
      </c>
      <c r="D804" s="1">
        <f>IF(B804&gt;C804,B804-C804,C804-B804)</f>
        <v>3.4240000000000104E-3</v>
      </c>
      <c r="E804">
        <f>MINUTE(D804)</f>
        <v>4</v>
      </c>
      <c r="F804">
        <f>SECOND(D804)</f>
        <v>56</v>
      </c>
      <c r="G804">
        <f>ROUND(E804+F804/60,2)</f>
        <v>4.93</v>
      </c>
      <c r="H804">
        <f>60*E804+F804</f>
        <v>296</v>
      </c>
      <c r="I804" s="3">
        <f>5*(3600/H804)</f>
        <v>60.810810810810807</v>
      </c>
      <c r="J804" s="16">
        <f t="shared" si="24"/>
        <v>0</v>
      </c>
      <c r="K804" s="17">
        <f t="shared" si="25"/>
        <v>1</v>
      </c>
    </row>
    <row r="805" spans="1:11" x14ac:dyDescent="0.25">
      <c r="A805" s="4" t="s">
        <v>150</v>
      </c>
      <c r="B805" s="1">
        <v>0.71468200000000004</v>
      </c>
      <c r="C805" s="1">
        <v>0.71811000000000003</v>
      </c>
      <c r="D805" s="1">
        <f>IF(B805&gt;C805,B805-C805,C805-B805)</f>
        <v>3.4279999999999866E-3</v>
      </c>
      <c r="E805">
        <f>MINUTE(D805)</f>
        <v>4</v>
      </c>
      <c r="F805">
        <f>SECOND(D805)</f>
        <v>56</v>
      </c>
      <c r="G805">
        <f>ROUND(E805+F805/60,2)</f>
        <v>4.93</v>
      </c>
      <c r="H805">
        <f>60*E805+F805</f>
        <v>296</v>
      </c>
      <c r="I805" s="3">
        <f>5*(3600/H805)</f>
        <v>60.810810810810807</v>
      </c>
      <c r="J805" s="16">
        <f t="shared" si="24"/>
        <v>0</v>
      </c>
      <c r="K805" s="17">
        <f t="shared" si="25"/>
        <v>17</v>
      </c>
    </row>
    <row r="806" spans="1:11" x14ac:dyDescent="0.25">
      <c r="A806" s="4" t="s">
        <v>253</v>
      </c>
      <c r="B806" s="1">
        <v>0.56004299999999996</v>
      </c>
      <c r="C806" s="1">
        <v>0.55661499999999997</v>
      </c>
      <c r="D806" s="1">
        <f>IF(B806&gt;C806,B806-C806,C806-B806)</f>
        <v>3.4279999999999866E-3</v>
      </c>
      <c r="E806">
        <f>MINUTE(D806)</f>
        <v>4</v>
      </c>
      <c r="F806">
        <f>SECOND(D806)</f>
        <v>56</v>
      </c>
      <c r="G806">
        <f>ROUND(E806+F806/60,2)</f>
        <v>4.93</v>
      </c>
      <c r="H806">
        <f>60*E806+F806</f>
        <v>296</v>
      </c>
      <c r="I806" s="3">
        <f>5*(3600/H806)</f>
        <v>60.810810810810807</v>
      </c>
      <c r="J806" s="16">
        <f t="shared" si="24"/>
        <v>0</v>
      </c>
      <c r="K806" s="17">
        <f t="shared" si="25"/>
        <v>13</v>
      </c>
    </row>
    <row r="807" spans="1:11" x14ac:dyDescent="0.25">
      <c r="A807" s="4" t="s">
        <v>332</v>
      </c>
      <c r="B807" s="1">
        <v>0.71081099999999997</v>
      </c>
      <c r="C807" s="1">
        <v>0.70738299999999998</v>
      </c>
      <c r="D807" s="1">
        <f>IF(B807&gt;C807,B807-C807,C807-B807)</f>
        <v>3.4279999999999866E-3</v>
      </c>
      <c r="E807">
        <f>MINUTE(D807)</f>
        <v>4</v>
      </c>
      <c r="F807">
        <f>SECOND(D807)</f>
        <v>56</v>
      </c>
      <c r="G807">
        <f>ROUND(E807+F807/60,2)</f>
        <v>4.93</v>
      </c>
      <c r="H807">
        <f>60*E807+F807</f>
        <v>296</v>
      </c>
      <c r="I807" s="3">
        <f>5*(3600/H807)</f>
        <v>60.810810810810807</v>
      </c>
      <c r="J807" s="16">
        <f t="shared" si="24"/>
        <v>0</v>
      </c>
      <c r="K807" s="17">
        <f t="shared" si="25"/>
        <v>17</v>
      </c>
    </row>
    <row r="808" spans="1:11" x14ac:dyDescent="0.25">
      <c r="A808" s="4" t="s">
        <v>8</v>
      </c>
      <c r="B808" s="1">
        <v>0.25012200000000001</v>
      </c>
      <c r="C808" s="1">
        <v>0.24668599999999999</v>
      </c>
      <c r="D808" s="1">
        <f>IF(B808&gt;C808,B808-C808,C808-B808)</f>
        <v>3.4360000000000224E-3</v>
      </c>
      <c r="E808">
        <f>MINUTE(D808)</f>
        <v>4</v>
      </c>
      <c r="F808">
        <f>SECOND(D808)</f>
        <v>57</v>
      </c>
      <c r="G808">
        <f>ROUND(E808+F808/60,2)</f>
        <v>4.95</v>
      </c>
      <c r="H808">
        <f>60*E808+F808</f>
        <v>297</v>
      </c>
      <c r="I808" s="3">
        <f>5*(3600/H808)</f>
        <v>60.606060606060609</v>
      </c>
      <c r="J808" s="16">
        <f t="shared" si="24"/>
        <v>0</v>
      </c>
      <c r="K808" s="17">
        <f t="shared" si="25"/>
        <v>6</v>
      </c>
    </row>
    <row r="809" spans="1:11" x14ac:dyDescent="0.25">
      <c r="A809" s="4" t="s">
        <v>83</v>
      </c>
      <c r="B809" s="1">
        <v>0.48969400000000002</v>
      </c>
      <c r="C809" s="1">
        <v>0.48625800000000002</v>
      </c>
      <c r="D809" s="1">
        <f>IF(B809&gt;C809,B809-C809,C809-B809)</f>
        <v>3.4359999999999946E-3</v>
      </c>
      <c r="E809">
        <f>MINUTE(D809)</f>
        <v>4</v>
      </c>
      <c r="F809">
        <f>SECOND(D809)</f>
        <v>57</v>
      </c>
      <c r="G809">
        <f>ROUND(E809+F809/60,2)</f>
        <v>4.95</v>
      </c>
      <c r="H809">
        <f>60*E809+F809</f>
        <v>297</v>
      </c>
      <c r="I809" s="3">
        <f>5*(3600/H809)</f>
        <v>60.606060606060609</v>
      </c>
      <c r="J809" s="16">
        <f t="shared" si="24"/>
        <v>0</v>
      </c>
      <c r="K809" s="17">
        <f t="shared" si="25"/>
        <v>11</v>
      </c>
    </row>
    <row r="810" spans="1:11" x14ac:dyDescent="0.25">
      <c r="A810" s="4" t="s">
        <v>431</v>
      </c>
      <c r="B810" s="1">
        <v>0.38372699999999998</v>
      </c>
      <c r="C810" s="1">
        <v>0.38029099999999999</v>
      </c>
      <c r="D810" s="1">
        <f>IF(B810&gt;C810,B810-C810,C810-B810)</f>
        <v>3.4359999999999946E-3</v>
      </c>
      <c r="E810">
        <f>MINUTE(D810)</f>
        <v>4</v>
      </c>
      <c r="F810">
        <f>SECOND(D810)</f>
        <v>57</v>
      </c>
      <c r="G810">
        <f>ROUND(E810+F810/60,2)</f>
        <v>4.95</v>
      </c>
      <c r="H810">
        <f>60*E810+F810</f>
        <v>297</v>
      </c>
      <c r="I810" s="3">
        <f>5*(3600/H810)</f>
        <v>60.606060606060609</v>
      </c>
      <c r="J810" s="16">
        <f t="shared" si="24"/>
        <v>0</v>
      </c>
      <c r="K810" s="17">
        <f t="shared" si="25"/>
        <v>9</v>
      </c>
    </row>
    <row r="811" spans="1:11" x14ac:dyDescent="0.25">
      <c r="A811" s="4" t="s">
        <v>374</v>
      </c>
      <c r="B811" s="1">
        <v>0.92735400000000001</v>
      </c>
      <c r="C811" s="1">
        <v>0.93079400000000001</v>
      </c>
      <c r="D811" s="1">
        <f>IF(B811&gt;C811,B811-C811,C811-B811)</f>
        <v>3.4399999999999986E-3</v>
      </c>
      <c r="E811">
        <f>MINUTE(D811)</f>
        <v>4</v>
      </c>
      <c r="F811">
        <f>SECOND(D811)</f>
        <v>57</v>
      </c>
      <c r="G811">
        <f>ROUND(E811+F811/60,2)</f>
        <v>4.95</v>
      </c>
      <c r="H811">
        <f>60*E811+F811</f>
        <v>297</v>
      </c>
      <c r="I811" s="3">
        <f>5*(3600/H811)</f>
        <v>60.606060606060609</v>
      </c>
      <c r="J811" s="16">
        <f t="shared" si="24"/>
        <v>0</v>
      </c>
      <c r="K811" s="17">
        <f t="shared" si="25"/>
        <v>22</v>
      </c>
    </row>
    <row r="812" spans="1:11" x14ac:dyDescent="0.25">
      <c r="A812" s="4" t="s">
        <v>109</v>
      </c>
      <c r="B812" s="1">
        <v>0.20138</v>
      </c>
      <c r="C812" s="1">
        <v>0.197932</v>
      </c>
      <c r="D812" s="1">
        <f>IF(B812&gt;C812,B812-C812,C812-B812)</f>
        <v>3.4480000000000066E-3</v>
      </c>
      <c r="E812">
        <f>MINUTE(D812)</f>
        <v>4</v>
      </c>
      <c r="F812">
        <f>SECOND(D812)</f>
        <v>58</v>
      </c>
      <c r="G812">
        <f>ROUND(E812+F812/60,2)</f>
        <v>4.97</v>
      </c>
      <c r="H812">
        <f>60*E812+F812</f>
        <v>298</v>
      </c>
      <c r="I812" s="3">
        <f>5*(3600/H812)</f>
        <v>60.402684563758385</v>
      </c>
      <c r="J812" s="16">
        <f t="shared" si="24"/>
        <v>0</v>
      </c>
      <c r="K812" s="17">
        <f t="shared" si="25"/>
        <v>4</v>
      </c>
    </row>
    <row r="813" spans="1:11" x14ac:dyDescent="0.25">
      <c r="A813" s="4" t="s">
        <v>60</v>
      </c>
      <c r="B813" s="1">
        <v>5.7468999999999999E-2</v>
      </c>
      <c r="C813" s="1">
        <v>5.4021E-2</v>
      </c>
      <c r="D813" s="1">
        <f>IF(B813&gt;C813,B813-C813,C813-B813)</f>
        <v>3.4479999999999997E-3</v>
      </c>
      <c r="E813">
        <f>MINUTE(D813)</f>
        <v>4</v>
      </c>
      <c r="F813">
        <f>SECOND(D813)</f>
        <v>58</v>
      </c>
      <c r="G813">
        <f>ROUND(E813+F813/60,2)</f>
        <v>4.97</v>
      </c>
      <c r="H813">
        <f>60*E813+F813</f>
        <v>298</v>
      </c>
      <c r="I813" s="3">
        <f>5*(3600/H813)</f>
        <v>60.402684563758385</v>
      </c>
      <c r="J813" s="16">
        <f t="shared" si="24"/>
        <v>0</v>
      </c>
      <c r="K813" s="17">
        <f t="shared" si="25"/>
        <v>1</v>
      </c>
    </row>
    <row r="814" spans="1:11" x14ac:dyDescent="0.25">
      <c r="A814" s="4" t="s">
        <v>382</v>
      </c>
      <c r="B814" s="1">
        <v>0.59115099999999998</v>
      </c>
      <c r="C814" s="1">
        <v>0.58769899999999997</v>
      </c>
      <c r="D814" s="1">
        <f>IF(B814&gt;C814,B814-C814,C814-B814)</f>
        <v>3.4520000000000106E-3</v>
      </c>
      <c r="E814">
        <f>MINUTE(D814)</f>
        <v>4</v>
      </c>
      <c r="F814">
        <f>SECOND(D814)</f>
        <v>58</v>
      </c>
      <c r="G814">
        <f>ROUND(E814+F814/60,2)</f>
        <v>4.97</v>
      </c>
      <c r="H814">
        <f>60*E814+F814</f>
        <v>298</v>
      </c>
      <c r="I814" s="3">
        <f>5*(3600/H814)</f>
        <v>60.402684563758385</v>
      </c>
      <c r="J814" s="16">
        <f t="shared" si="24"/>
        <v>0</v>
      </c>
      <c r="K814" s="17">
        <f t="shared" si="25"/>
        <v>14</v>
      </c>
    </row>
    <row r="815" spans="1:11" x14ac:dyDescent="0.25">
      <c r="A815" s="4" t="s">
        <v>12</v>
      </c>
      <c r="B815" s="1">
        <v>0.65463899999999997</v>
      </c>
      <c r="C815" s="1">
        <v>0.65809899999999999</v>
      </c>
      <c r="D815" s="1">
        <f>IF(B815&gt;C815,B815-C815,C815-B815)</f>
        <v>3.4600000000000186E-3</v>
      </c>
      <c r="E815">
        <f>MINUTE(D815)</f>
        <v>4</v>
      </c>
      <c r="F815">
        <f>SECOND(D815)</f>
        <v>59</v>
      </c>
      <c r="G815">
        <f>ROUND(E815+F815/60,2)</f>
        <v>4.9800000000000004</v>
      </c>
      <c r="H815">
        <f>60*E815+F815</f>
        <v>299</v>
      </c>
      <c r="I815" s="3">
        <f>5*(3600/H815)</f>
        <v>60.200668896321076</v>
      </c>
      <c r="J815" s="16">
        <f t="shared" si="24"/>
        <v>0</v>
      </c>
      <c r="K815" s="17">
        <f t="shared" si="25"/>
        <v>15</v>
      </c>
    </row>
    <row r="816" spans="1:11" x14ac:dyDescent="0.25">
      <c r="A816" s="4" t="s">
        <v>5</v>
      </c>
      <c r="B816" s="1">
        <v>0.74470000000000003</v>
      </c>
      <c r="C816" s="1">
        <v>0.74815600000000004</v>
      </c>
      <c r="D816" s="1">
        <f>IF(B816&gt;C816,B816-C816,C816-B816)</f>
        <v>3.4560000000000146E-3</v>
      </c>
      <c r="E816">
        <f>MINUTE(D816)</f>
        <v>4</v>
      </c>
      <c r="F816">
        <f>SECOND(D816)</f>
        <v>59</v>
      </c>
      <c r="G816">
        <f>ROUND(E816+F816/60,2)</f>
        <v>4.9800000000000004</v>
      </c>
      <c r="H816">
        <f>60*E816+F816</f>
        <v>299</v>
      </c>
      <c r="I816" s="3">
        <f>5*(3600/H816)</f>
        <v>60.200668896321076</v>
      </c>
      <c r="J816" s="16">
        <f t="shared" si="24"/>
        <v>0</v>
      </c>
      <c r="K816" s="17">
        <f t="shared" si="25"/>
        <v>17</v>
      </c>
    </row>
    <row r="817" spans="1:11" x14ac:dyDescent="0.25">
      <c r="A817" s="4" t="s">
        <v>162</v>
      </c>
      <c r="B817" s="1">
        <v>8.4322999999999995E-2</v>
      </c>
      <c r="C817" s="1">
        <v>8.0866999999999994E-2</v>
      </c>
      <c r="D817" s="1">
        <f>IF(B817&gt;C817,B817-C817,C817-B817)</f>
        <v>3.4560000000000007E-3</v>
      </c>
      <c r="E817">
        <f>MINUTE(D817)</f>
        <v>4</v>
      </c>
      <c r="F817">
        <f>SECOND(D817)</f>
        <v>59</v>
      </c>
      <c r="G817">
        <f>ROUND(E817+F817/60,2)</f>
        <v>4.9800000000000004</v>
      </c>
      <c r="H817">
        <f>60*E817+F817</f>
        <v>299</v>
      </c>
      <c r="I817" s="3">
        <f>5*(3600/H817)</f>
        <v>60.200668896321076</v>
      </c>
      <c r="J817" s="16">
        <f t="shared" si="24"/>
        <v>0</v>
      </c>
      <c r="K817" s="17">
        <f t="shared" si="25"/>
        <v>2</v>
      </c>
    </row>
    <row r="818" spans="1:11" x14ac:dyDescent="0.25">
      <c r="A818" s="4" t="s">
        <v>162</v>
      </c>
      <c r="B818" s="1">
        <v>0.459476</v>
      </c>
      <c r="C818" s="1">
        <v>0.45600000000000002</v>
      </c>
      <c r="D818" s="1">
        <f>IF(B818&gt;C818,B818-C818,C818-B818)</f>
        <v>3.4759999999999791E-3</v>
      </c>
      <c r="E818">
        <f>MINUTE(D818)</f>
        <v>5</v>
      </c>
      <c r="F818">
        <f>SECOND(D818)</f>
        <v>0</v>
      </c>
      <c r="G818">
        <f>ROUND(E818+F818/60,2)</f>
        <v>5</v>
      </c>
      <c r="H818">
        <f>60*E818+F818</f>
        <v>300</v>
      </c>
      <c r="I818" s="3">
        <f>5*(3600/H818)</f>
        <v>60</v>
      </c>
      <c r="J818" s="16">
        <f t="shared" si="24"/>
        <v>0</v>
      </c>
      <c r="K818" s="17">
        <f t="shared" si="25"/>
        <v>11</v>
      </c>
    </row>
    <row r="819" spans="1:11" x14ac:dyDescent="0.25">
      <c r="A819" s="4" t="s">
        <v>22</v>
      </c>
      <c r="B819" s="1">
        <v>0.96188399999999996</v>
      </c>
      <c r="C819" s="1">
        <v>0.95841200000000004</v>
      </c>
      <c r="D819" s="1">
        <f>IF(B819&gt;C819,B819-C819,C819-B819)</f>
        <v>3.4719999999999196E-3</v>
      </c>
      <c r="E819">
        <f>MINUTE(D819)</f>
        <v>5</v>
      </c>
      <c r="F819">
        <f>SECOND(D819)</f>
        <v>0</v>
      </c>
      <c r="G819">
        <f>ROUND(E819+F819/60,2)</f>
        <v>5</v>
      </c>
      <c r="H819">
        <f>60*E819+F819</f>
        <v>300</v>
      </c>
      <c r="I819" s="3">
        <f>5*(3600/H819)</f>
        <v>60</v>
      </c>
      <c r="J819" s="16">
        <f t="shared" si="24"/>
        <v>0</v>
      </c>
      <c r="K819" s="17">
        <f t="shared" si="25"/>
        <v>23</v>
      </c>
    </row>
    <row r="820" spans="1:11" x14ac:dyDescent="0.25">
      <c r="A820" s="4" t="s">
        <v>168</v>
      </c>
      <c r="B820" s="1">
        <v>0.80745199999999995</v>
      </c>
      <c r="C820" s="1">
        <v>0.80398400000000003</v>
      </c>
      <c r="D820" s="1">
        <f>IF(B820&gt;C820,B820-C820,C820-B820)</f>
        <v>3.4679999999999156E-3</v>
      </c>
      <c r="E820">
        <f>MINUTE(D820)</f>
        <v>5</v>
      </c>
      <c r="F820">
        <f>SECOND(D820)</f>
        <v>0</v>
      </c>
      <c r="G820">
        <f>ROUND(E820+F820/60,2)</f>
        <v>5</v>
      </c>
      <c r="H820">
        <f>60*E820+F820</f>
        <v>300</v>
      </c>
      <c r="I820" s="3">
        <f>5*(3600/H820)</f>
        <v>60</v>
      </c>
      <c r="J820" s="16">
        <f t="shared" si="24"/>
        <v>0</v>
      </c>
      <c r="K820" s="17">
        <f t="shared" si="25"/>
        <v>19</v>
      </c>
    </row>
    <row r="821" spans="1:11" x14ac:dyDescent="0.25">
      <c r="A821" s="4" t="s">
        <v>145</v>
      </c>
      <c r="B821" s="1">
        <v>0.70873299999999995</v>
      </c>
      <c r="C821" s="1">
        <v>0.71220499999999998</v>
      </c>
      <c r="D821" s="1">
        <f>IF(B821&gt;C821,B821-C821,C821-B821)</f>
        <v>3.4720000000000306E-3</v>
      </c>
      <c r="E821">
        <f>MINUTE(D821)</f>
        <v>5</v>
      </c>
      <c r="F821">
        <f>SECOND(D821)</f>
        <v>0</v>
      </c>
      <c r="G821">
        <f>ROUND(E821+F821/60,2)</f>
        <v>5</v>
      </c>
      <c r="H821">
        <f>60*E821+F821</f>
        <v>300</v>
      </c>
      <c r="I821" s="3">
        <f>5*(3600/H821)</f>
        <v>60</v>
      </c>
      <c r="J821" s="16">
        <f t="shared" si="24"/>
        <v>0</v>
      </c>
      <c r="K821" s="17">
        <f t="shared" si="25"/>
        <v>17</v>
      </c>
    </row>
    <row r="822" spans="1:11" x14ac:dyDescent="0.25">
      <c r="A822" s="4" t="s">
        <v>25</v>
      </c>
      <c r="B822" s="1">
        <v>0.54693899999999995</v>
      </c>
      <c r="C822" s="1">
        <v>0.550423</v>
      </c>
      <c r="D822" s="1">
        <f>IF(B822&gt;C822,B822-C822,C822-B822)</f>
        <v>3.4840000000000426E-3</v>
      </c>
      <c r="E822">
        <f>MINUTE(D822)</f>
        <v>5</v>
      </c>
      <c r="F822">
        <f>SECOND(D822)</f>
        <v>1</v>
      </c>
      <c r="G822">
        <f>ROUND(E822+F822/60,2)</f>
        <v>5.0199999999999996</v>
      </c>
      <c r="H822">
        <f>60*E822+F822</f>
        <v>301</v>
      </c>
      <c r="I822" s="3">
        <f>5*(3600/H822)</f>
        <v>59.800664451827245</v>
      </c>
      <c r="J822" s="16">
        <f t="shared" si="24"/>
        <v>0</v>
      </c>
      <c r="K822" s="17">
        <f t="shared" si="25"/>
        <v>13</v>
      </c>
    </row>
    <row r="823" spans="1:11" x14ac:dyDescent="0.25">
      <c r="A823" s="4" t="s">
        <v>101</v>
      </c>
      <c r="B823" s="1">
        <v>0.84344600000000003</v>
      </c>
      <c r="C823" s="1">
        <v>0.84693399999999996</v>
      </c>
      <c r="D823" s="1">
        <f>IF(B823&gt;C823,B823-C823,C823-B823)</f>
        <v>3.4879999999999356E-3</v>
      </c>
      <c r="E823">
        <f>MINUTE(D823)</f>
        <v>5</v>
      </c>
      <c r="F823">
        <f>SECOND(D823)</f>
        <v>1</v>
      </c>
      <c r="G823">
        <f>ROUND(E823+F823/60,2)</f>
        <v>5.0199999999999996</v>
      </c>
      <c r="H823">
        <f>60*E823+F823</f>
        <v>301</v>
      </c>
      <c r="I823" s="3">
        <f>5*(3600/H823)</f>
        <v>59.800664451827245</v>
      </c>
      <c r="J823" s="16">
        <f t="shared" si="24"/>
        <v>0</v>
      </c>
      <c r="K823" s="17">
        <f t="shared" si="25"/>
        <v>20</v>
      </c>
    </row>
    <row r="824" spans="1:11" x14ac:dyDescent="0.25">
      <c r="A824" s="4" t="s">
        <v>127</v>
      </c>
      <c r="B824" s="1">
        <v>0.82420800000000005</v>
      </c>
      <c r="C824" s="1">
        <v>0.82768799999999998</v>
      </c>
      <c r="D824" s="1">
        <f>IF(B824&gt;C824,B824-C824,C824-B824)</f>
        <v>3.4799999999999276E-3</v>
      </c>
      <c r="E824">
        <f>MINUTE(D824)</f>
        <v>5</v>
      </c>
      <c r="F824">
        <f>SECOND(D824)</f>
        <v>1</v>
      </c>
      <c r="G824">
        <f>ROUND(E824+F824/60,2)</f>
        <v>5.0199999999999996</v>
      </c>
      <c r="H824">
        <f>60*E824+F824</f>
        <v>301</v>
      </c>
      <c r="I824" s="3">
        <f>5*(3600/H824)</f>
        <v>59.800664451827245</v>
      </c>
      <c r="J824" s="16">
        <f t="shared" si="24"/>
        <v>0</v>
      </c>
      <c r="K824" s="17">
        <f t="shared" si="25"/>
        <v>19</v>
      </c>
    </row>
    <row r="825" spans="1:11" x14ac:dyDescent="0.25">
      <c r="A825" s="4" t="s">
        <v>12</v>
      </c>
      <c r="B825" s="1">
        <v>0.55209399999999997</v>
      </c>
      <c r="C825" s="1">
        <v>0.54861000000000004</v>
      </c>
      <c r="D825" s="1">
        <f>IF(B825&gt;C825,B825-C825,C825-B825)</f>
        <v>3.4839999999999316E-3</v>
      </c>
      <c r="E825">
        <f>MINUTE(D825)</f>
        <v>5</v>
      </c>
      <c r="F825">
        <f>SECOND(D825)</f>
        <v>1</v>
      </c>
      <c r="G825">
        <f>ROUND(E825+F825/60,2)</f>
        <v>5.0199999999999996</v>
      </c>
      <c r="H825">
        <f>60*E825+F825</f>
        <v>301</v>
      </c>
      <c r="I825" s="3">
        <f>5*(3600/H825)</f>
        <v>59.800664451827245</v>
      </c>
      <c r="J825" s="16">
        <f t="shared" si="24"/>
        <v>0</v>
      </c>
      <c r="K825" s="17">
        <f t="shared" si="25"/>
        <v>13</v>
      </c>
    </row>
    <row r="826" spans="1:11" x14ac:dyDescent="0.25">
      <c r="A826" s="4" t="s">
        <v>322</v>
      </c>
      <c r="B826" s="1">
        <v>0.91881100000000004</v>
      </c>
      <c r="C826" s="1">
        <v>0.915323</v>
      </c>
      <c r="D826" s="1">
        <f>IF(B826&gt;C826,B826-C826,C826-B826)</f>
        <v>3.4880000000000466E-3</v>
      </c>
      <c r="E826">
        <f>MINUTE(D826)</f>
        <v>5</v>
      </c>
      <c r="F826">
        <f>SECOND(D826)</f>
        <v>1</v>
      </c>
      <c r="G826">
        <f>ROUND(E826+F826/60,2)</f>
        <v>5.0199999999999996</v>
      </c>
      <c r="H826">
        <f>60*E826+F826</f>
        <v>301</v>
      </c>
      <c r="I826" s="3">
        <f>5*(3600/H826)</f>
        <v>59.800664451827245</v>
      </c>
      <c r="J826" s="16">
        <f t="shared" si="24"/>
        <v>0</v>
      </c>
      <c r="K826" s="17">
        <f t="shared" si="25"/>
        <v>22</v>
      </c>
    </row>
    <row r="827" spans="1:11" x14ac:dyDescent="0.25">
      <c r="A827" s="4" t="s">
        <v>9</v>
      </c>
      <c r="B827" s="1">
        <v>3.9071000000000002E-2</v>
      </c>
      <c r="C827" s="1">
        <v>4.2567000000000001E-2</v>
      </c>
      <c r="D827" s="1">
        <f>IF(B827&gt;C827,B827-C827,C827-B827)</f>
        <v>3.4959999999999991E-3</v>
      </c>
      <c r="E827">
        <f>MINUTE(D827)</f>
        <v>5</v>
      </c>
      <c r="F827">
        <f>SECOND(D827)</f>
        <v>2</v>
      </c>
      <c r="G827">
        <f>ROUND(E827+F827/60,2)</f>
        <v>5.03</v>
      </c>
      <c r="H827">
        <f>60*E827+F827</f>
        <v>302</v>
      </c>
      <c r="I827" s="3">
        <f>5*(3600/H827)</f>
        <v>59.602649006622521</v>
      </c>
      <c r="J827" s="16">
        <f t="shared" si="24"/>
        <v>0</v>
      </c>
      <c r="K827" s="17">
        <f t="shared" si="25"/>
        <v>0</v>
      </c>
    </row>
    <row r="828" spans="1:11" x14ac:dyDescent="0.25">
      <c r="A828" s="4" t="s">
        <v>286</v>
      </c>
      <c r="B828" s="1">
        <v>4.9029000000000003E-2</v>
      </c>
      <c r="C828" s="1">
        <v>5.2520999999999998E-2</v>
      </c>
      <c r="D828" s="1">
        <f>IF(B828&gt;C828,B828-C828,C828-B828)</f>
        <v>3.4919999999999951E-3</v>
      </c>
      <c r="E828">
        <f>MINUTE(D828)</f>
        <v>5</v>
      </c>
      <c r="F828">
        <f>SECOND(D828)</f>
        <v>2</v>
      </c>
      <c r="G828">
        <f>ROUND(E828+F828/60,2)</f>
        <v>5.03</v>
      </c>
      <c r="H828">
        <f>60*E828+F828</f>
        <v>302</v>
      </c>
      <c r="I828" s="3">
        <f>5*(3600/H828)</f>
        <v>59.602649006622521</v>
      </c>
      <c r="J828" s="16">
        <f t="shared" si="24"/>
        <v>0</v>
      </c>
      <c r="K828" s="17">
        <f t="shared" si="25"/>
        <v>1</v>
      </c>
    </row>
    <row r="829" spans="1:11" x14ac:dyDescent="0.25">
      <c r="A829" s="4" t="s">
        <v>378</v>
      </c>
      <c r="B829" s="1">
        <v>0.62776399999999999</v>
      </c>
      <c r="C829" s="1">
        <v>0.62426800000000005</v>
      </c>
      <c r="D829" s="1">
        <f>IF(B829&gt;C829,B829-C829,C829-B829)</f>
        <v>3.4959999999999436E-3</v>
      </c>
      <c r="E829">
        <f>MINUTE(D829)</f>
        <v>5</v>
      </c>
      <c r="F829">
        <f>SECOND(D829)</f>
        <v>2</v>
      </c>
      <c r="G829">
        <f>ROUND(E829+F829/60,2)</f>
        <v>5.03</v>
      </c>
      <c r="H829">
        <f>60*E829+F829</f>
        <v>302</v>
      </c>
      <c r="I829" s="3">
        <f>5*(3600/H829)</f>
        <v>59.602649006622521</v>
      </c>
      <c r="J829" s="16">
        <f t="shared" si="24"/>
        <v>0</v>
      </c>
      <c r="K829" s="17">
        <f t="shared" si="25"/>
        <v>15</v>
      </c>
    </row>
    <row r="830" spans="1:11" x14ac:dyDescent="0.25">
      <c r="A830" s="4" t="s">
        <v>410</v>
      </c>
      <c r="B830" s="1">
        <v>0.94211</v>
      </c>
      <c r="C830" s="1">
        <v>0.94560599999999995</v>
      </c>
      <c r="D830" s="1">
        <f>IF(B830&gt;C830,B830-C830,C830-B830)</f>
        <v>3.4959999999999436E-3</v>
      </c>
      <c r="E830">
        <f>MINUTE(D830)</f>
        <v>5</v>
      </c>
      <c r="F830">
        <f>SECOND(D830)</f>
        <v>2</v>
      </c>
      <c r="G830">
        <f>ROUND(E830+F830/60,2)</f>
        <v>5.03</v>
      </c>
      <c r="H830">
        <f>60*E830+F830</f>
        <v>302</v>
      </c>
      <c r="I830" s="3">
        <f>5*(3600/H830)</f>
        <v>59.602649006622521</v>
      </c>
      <c r="J830" s="16">
        <f t="shared" si="24"/>
        <v>0</v>
      </c>
      <c r="K830" s="17">
        <f t="shared" si="25"/>
        <v>22</v>
      </c>
    </row>
    <row r="831" spans="1:11" x14ac:dyDescent="0.25">
      <c r="A831" s="4" t="s">
        <v>89</v>
      </c>
      <c r="B831" s="1">
        <v>0.90169999999999995</v>
      </c>
      <c r="C831" s="1">
        <v>0.90521200000000002</v>
      </c>
      <c r="D831" s="1">
        <f>IF(B831&gt;C831,B831-C831,C831-B831)</f>
        <v>3.5120000000000706E-3</v>
      </c>
      <c r="E831">
        <f>MINUTE(D831)</f>
        <v>5</v>
      </c>
      <c r="F831">
        <f>SECOND(D831)</f>
        <v>3</v>
      </c>
      <c r="G831">
        <f>ROUND(E831+F831/60,2)</f>
        <v>5.05</v>
      </c>
      <c r="H831">
        <f>60*E831+F831</f>
        <v>303</v>
      </c>
      <c r="I831" s="3">
        <f>5*(3600/H831)</f>
        <v>59.405940594059402</v>
      </c>
      <c r="J831" s="16">
        <f t="shared" si="24"/>
        <v>0</v>
      </c>
      <c r="K831" s="17">
        <f t="shared" si="25"/>
        <v>21</v>
      </c>
    </row>
    <row r="832" spans="1:11" x14ac:dyDescent="0.25">
      <c r="A832" s="4" t="s">
        <v>155</v>
      </c>
      <c r="B832" s="1">
        <v>0.57598300000000002</v>
      </c>
      <c r="C832" s="1">
        <v>0.57948699999999997</v>
      </c>
      <c r="D832" s="1">
        <f>IF(B832&gt;C832,B832-C832,C832-B832)</f>
        <v>3.5039999999999516E-3</v>
      </c>
      <c r="E832">
        <f>MINUTE(D832)</f>
        <v>5</v>
      </c>
      <c r="F832">
        <f>SECOND(D832)</f>
        <v>3</v>
      </c>
      <c r="G832">
        <f>ROUND(E832+F832/60,2)</f>
        <v>5.05</v>
      </c>
      <c r="H832">
        <f>60*E832+F832</f>
        <v>303</v>
      </c>
      <c r="I832" s="3">
        <f>5*(3600/H832)</f>
        <v>59.405940594059402</v>
      </c>
      <c r="J832" s="16">
        <f t="shared" si="24"/>
        <v>0</v>
      </c>
      <c r="K832" s="17">
        <f t="shared" si="25"/>
        <v>13</v>
      </c>
    </row>
    <row r="833" spans="1:11" x14ac:dyDescent="0.25">
      <c r="A833" s="4" t="s">
        <v>41</v>
      </c>
      <c r="B833" s="1">
        <v>0.25088199999999999</v>
      </c>
      <c r="C833" s="1">
        <v>0.24737799999999999</v>
      </c>
      <c r="D833" s="1">
        <f>IF(B833&gt;C833,B833-C833,C833-B833)</f>
        <v>3.5040000000000071E-3</v>
      </c>
      <c r="E833">
        <f>MINUTE(D833)</f>
        <v>5</v>
      </c>
      <c r="F833">
        <f>SECOND(D833)</f>
        <v>3</v>
      </c>
      <c r="G833">
        <f>ROUND(E833+F833/60,2)</f>
        <v>5.05</v>
      </c>
      <c r="H833">
        <f>60*E833+F833</f>
        <v>303</v>
      </c>
      <c r="I833" s="3">
        <f>5*(3600/H833)</f>
        <v>59.405940594059402</v>
      </c>
      <c r="J833" s="16">
        <f t="shared" si="24"/>
        <v>0</v>
      </c>
      <c r="K833" s="17">
        <f t="shared" si="25"/>
        <v>6</v>
      </c>
    </row>
    <row r="834" spans="1:11" x14ac:dyDescent="0.25">
      <c r="A834" s="8" t="s">
        <v>177</v>
      </c>
      <c r="B834" s="1">
        <v>0.96728700000000001</v>
      </c>
      <c r="C834" s="1">
        <v>0.97079099999999996</v>
      </c>
      <c r="D834" s="1">
        <f>IF(B834&gt;C834,B834-C834,C834-B834)</f>
        <v>3.5039999999999516E-3</v>
      </c>
      <c r="E834">
        <f>MINUTE(D834)</f>
        <v>5</v>
      </c>
      <c r="F834">
        <f>SECOND(D834)</f>
        <v>3</v>
      </c>
      <c r="G834">
        <f>ROUND(E834+F834/60,2)</f>
        <v>5.05</v>
      </c>
      <c r="H834">
        <f>60*E834+F834</f>
        <v>303</v>
      </c>
      <c r="I834" s="10">
        <f>5*(3600/H834)</f>
        <v>59.405940594059402</v>
      </c>
      <c r="J834" s="16">
        <f t="shared" si="24"/>
        <v>0</v>
      </c>
      <c r="K834" s="17">
        <f t="shared" si="25"/>
        <v>23</v>
      </c>
    </row>
    <row r="835" spans="1:11" x14ac:dyDescent="0.25">
      <c r="A835" s="4" t="s">
        <v>49</v>
      </c>
      <c r="B835" s="1">
        <v>0.558307</v>
      </c>
      <c r="C835" s="1">
        <v>0.55478700000000003</v>
      </c>
      <c r="D835" s="1">
        <f>IF(B835&gt;C835,B835-C835,C835-B835)</f>
        <v>3.5199999999999676E-3</v>
      </c>
      <c r="E835">
        <f>MINUTE(D835)</f>
        <v>5</v>
      </c>
      <c r="F835">
        <f>SECOND(D835)</f>
        <v>4</v>
      </c>
      <c r="G835">
        <f>ROUND(E835+F835/60,2)</f>
        <v>5.07</v>
      </c>
      <c r="H835">
        <f>60*E835+F835</f>
        <v>304</v>
      </c>
      <c r="I835" s="3">
        <f>5*(3600/H835)</f>
        <v>59.21052631578948</v>
      </c>
      <c r="J835" s="16">
        <f t="shared" ref="J835:J898" si="26">IF(I835&gt;140,1,0)</f>
        <v>0</v>
      </c>
      <c r="K835" s="17">
        <f t="shared" ref="K835:K898" si="27">HOUR(B835)</f>
        <v>13</v>
      </c>
    </row>
    <row r="836" spans="1:11" x14ac:dyDescent="0.25">
      <c r="A836" s="4" t="s">
        <v>281</v>
      </c>
      <c r="B836" s="1">
        <v>0.66776400000000002</v>
      </c>
      <c r="C836" s="1">
        <v>0.66424799999999995</v>
      </c>
      <c r="D836" s="1">
        <f>IF(B836&gt;C836,B836-C836,C836-B836)</f>
        <v>3.5160000000000746E-3</v>
      </c>
      <c r="E836">
        <f>MINUTE(D836)</f>
        <v>5</v>
      </c>
      <c r="F836">
        <f>SECOND(D836)</f>
        <v>4</v>
      </c>
      <c r="G836">
        <f>ROUND(E836+F836/60,2)</f>
        <v>5.07</v>
      </c>
      <c r="H836">
        <f>60*E836+F836</f>
        <v>304</v>
      </c>
      <c r="I836" s="3">
        <f>5*(3600/H836)</f>
        <v>59.21052631578948</v>
      </c>
      <c r="J836" s="16">
        <f t="shared" si="26"/>
        <v>0</v>
      </c>
      <c r="K836" s="17">
        <f t="shared" si="27"/>
        <v>16</v>
      </c>
    </row>
    <row r="837" spans="1:11" x14ac:dyDescent="0.25">
      <c r="A837" s="4" t="s">
        <v>55</v>
      </c>
      <c r="B837" s="1">
        <v>0.72411499999999995</v>
      </c>
      <c r="C837" s="1">
        <v>0.72764300000000004</v>
      </c>
      <c r="D837" s="1">
        <f>IF(B837&gt;C837,B837-C837,C837-B837)</f>
        <v>3.5280000000000866E-3</v>
      </c>
      <c r="E837">
        <f>MINUTE(D837)</f>
        <v>5</v>
      </c>
      <c r="F837">
        <f>SECOND(D837)</f>
        <v>5</v>
      </c>
      <c r="G837">
        <f>ROUND(E837+F837/60,2)</f>
        <v>5.08</v>
      </c>
      <c r="H837">
        <f>60*E837+F837</f>
        <v>305</v>
      </c>
      <c r="I837" s="3">
        <f>5*(3600/H837)</f>
        <v>59.016393442622956</v>
      </c>
      <c r="J837" s="16">
        <f t="shared" si="26"/>
        <v>0</v>
      </c>
      <c r="K837" s="17">
        <f t="shared" si="27"/>
        <v>17</v>
      </c>
    </row>
    <row r="838" spans="1:11" x14ac:dyDescent="0.25">
      <c r="A838" s="4" t="s">
        <v>143</v>
      </c>
      <c r="B838" s="1">
        <v>0.80431299999999994</v>
      </c>
      <c r="C838" s="1">
        <v>0.80078099999999997</v>
      </c>
      <c r="D838" s="1">
        <f>IF(B838&gt;C838,B838-C838,C838-B838)</f>
        <v>3.5319999999999796E-3</v>
      </c>
      <c r="E838">
        <f>MINUTE(D838)</f>
        <v>5</v>
      </c>
      <c r="F838">
        <f>SECOND(D838)</f>
        <v>5</v>
      </c>
      <c r="G838">
        <f>ROUND(E838+F838/60,2)</f>
        <v>5.08</v>
      </c>
      <c r="H838">
        <f>60*E838+F838</f>
        <v>305</v>
      </c>
      <c r="I838" s="3">
        <f>5*(3600/H838)</f>
        <v>59.016393442622956</v>
      </c>
      <c r="J838" s="16">
        <f t="shared" si="26"/>
        <v>0</v>
      </c>
      <c r="K838" s="17">
        <f t="shared" si="27"/>
        <v>19</v>
      </c>
    </row>
    <row r="839" spans="1:11" x14ac:dyDescent="0.25">
      <c r="A839" s="4" t="s">
        <v>42</v>
      </c>
      <c r="B839" s="1">
        <v>2.5205000000000002E-2</v>
      </c>
      <c r="C839" s="1">
        <v>2.8740999999999999E-2</v>
      </c>
      <c r="D839" s="1">
        <f>IF(B839&gt;C839,B839-C839,C839-B839)</f>
        <v>3.5359999999999975E-3</v>
      </c>
      <c r="E839">
        <f>MINUTE(D839)</f>
        <v>5</v>
      </c>
      <c r="F839">
        <f>SECOND(D839)</f>
        <v>6</v>
      </c>
      <c r="G839">
        <f>ROUND(E839+F839/60,2)</f>
        <v>5.0999999999999996</v>
      </c>
      <c r="H839">
        <f>60*E839+F839</f>
        <v>306</v>
      </c>
      <c r="I839" s="3">
        <f>5*(3600/H839)</f>
        <v>58.82352941176471</v>
      </c>
      <c r="J839" s="16">
        <f t="shared" si="26"/>
        <v>0</v>
      </c>
      <c r="K839" s="17">
        <f t="shared" si="27"/>
        <v>0</v>
      </c>
    </row>
    <row r="840" spans="1:11" x14ac:dyDescent="0.25">
      <c r="A840" s="4" t="s">
        <v>121</v>
      </c>
      <c r="B840" s="1">
        <v>0.62824999999999998</v>
      </c>
      <c r="C840" s="1">
        <v>0.62470999999999999</v>
      </c>
      <c r="D840" s="1">
        <f>IF(B840&gt;C840,B840-C840,C840-B840)</f>
        <v>3.5399999999999876E-3</v>
      </c>
      <c r="E840">
        <f>MINUTE(D840)</f>
        <v>5</v>
      </c>
      <c r="F840">
        <f>SECOND(D840)</f>
        <v>6</v>
      </c>
      <c r="G840">
        <f>ROUND(E840+F840/60,2)</f>
        <v>5.0999999999999996</v>
      </c>
      <c r="H840">
        <f>60*E840+F840</f>
        <v>306</v>
      </c>
      <c r="I840" s="3">
        <f>5*(3600/H840)</f>
        <v>58.82352941176471</v>
      </c>
      <c r="J840" s="16">
        <f t="shared" si="26"/>
        <v>0</v>
      </c>
      <c r="K840" s="17">
        <f t="shared" si="27"/>
        <v>15</v>
      </c>
    </row>
    <row r="841" spans="1:11" x14ac:dyDescent="0.25">
      <c r="A841" s="4" t="s">
        <v>117</v>
      </c>
      <c r="B841" s="1">
        <v>0.803373</v>
      </c>
      <c r="C841" s="1">
        <v>0.79982900000000001</v>
      </c>
      <c r="D841" s="1">
        <f>IF(B841&gt;C841,B841-C841,C841-B841)</f>
        <v>3.5439999999999916E-3</v>
      </c>
      <c r="E841">
        <f>MINUTE(D841)</f>
        <v>5</v>
      </c>
      <c r="F841">
        <f>SECOND(D841)</f>
        <v>6</v>
      </c>
      <c r="G841">
        <f>ROUND(E841+F841/60,2)</f>
        <v>5.0999999999999996</v>
      </c>
      <c r="H841">
        <f>60*E841+F841</f>
        <v>306</v>
      </c>
      <c r="I841" s="3">
        <f>5*(3600/H841)</f>
        <v>58.82352941176471</v>
      </c>
      <c r="J841" s="16">
        <f t="shared" si="26"/>
        <v>0</v>
      </c>
      <c r="K841" s="17">
        <f t="shared" si="27"/>
        <v>19</v>
      </c>
    </row>
    <row r="842" spans="1:11" x14ac:dyDescent="0.25">
      <c r="A842" s="4" t="s">
        <v>188</v>
      </c>
      <c r="B842" s="1">
        <v>0.28119699999999997</v>
      </c>
      <c r="C842" s="1">
        <v>0.27765699999999999</v>
      </c>
      <c r="D842" s="1">
        <f>IF(B842&gt;C842,B842-C842,C842-B842)</f>
        <v>3.5399999999999876E-3</v>
      </c>
      <c r="E842">
        <f>MINUTE(D842)</f>
        <v>5</v>
      </c>
      <c r="F842">
        <f>SECOND(D842)</f>
        <v>6</v>
      </c>
      <c r="G842">
        <f>ROUND(E842+F842/60,2)</f>
        <v>5.0999999999999996</v>
      </c>
      <c r="H842">
        <f>60*E842+F842</f>
        <v>306</v>
      </c>
      <c r="I842" s="3">
        <f>5*(3600/H842)</f>
        <v>58.82352941176471</v>
      </c>
      <c r="J842" s="16">
        <f t="shared" si="26"/>
        <v>0</v>
      </c>
      <c r="K842" s="17">
        <f t="shared" si="27"/>
        <v>6</v>
      </c>
    </row>
    <row r="843" spans="1:11" x14ac:dyDescent="0.25">
      <c r="A843" s="4" t="s">
        <v>146</v>
      </c>
      <c r="B843" s="1">
        <v>6.4591999999999997E-2</v>
      </c>
      <c r="C843" s="1">
        <v>6.1039999999999997E-2</v>
      </c>
      <c r="D843" s="1">
        <f>IF(B843&gt;C843,B843-C843,C843-B843)</f>
        <v>3.5519999999999996E-3</v>
      </c>
      <c r="E843">
        <f>MINUTE(D843)</f>
        <v>5</v>
      </c>
      <c r="F843">
        <f>SECOND(D843)</f>
        <v>7</v>
      </c>
      <c r="G843">
        <f>ROUND(E843+F843/60,2)</f>
        <v>5.12</v>
      </c>
      <c r="H843">
        <f>60*E843+F843</f>
        <v>307</v>
      </c>
      <c r="I843" s="3">
        <f>5*(3600/H843)</f>
        <v>58.631921824104232</v>
      </c>
      <c r="J843" s="16">
        <f t="shared" si="26"/>
        <v>0</v>
      </c>
      <c r="K843" s="17">
        <f t="shared" si="27"/>
        <v>1</v>
      </c>
    </row>
    <row r="844" spans="1:11" x14ac:dyDescent="0.25">
      <c r="A844" s="4" t="s">
        <v>5</v>
      </c>
      <c r="B844" s="1">
        <v>0.59608099999999997</v>
      </c>
      <c r="C844" s="1">
        <v>0.59963299999999997</v>
      </c>
      <c r="D844" s="1">
        <f>IF(B844&gt;C844,B844-C844,C844-B844)</f>
        <v>3.5519999999999996E-3</v>
      </c>
      <c r="E844">
        <f>MINUTE(D844)</f>
        <v>5</v>
      </c>
      <c r="F844">
        <f>SECOND(D844)</f>
        <v>7</v>
      </c>
      <c r="G844">
        <f>ROUND(E844+F844/60,2)</f>
        <v>5.12</v>
      </c>
      <c r="H844">
        <f>60*E844+F844</f>
        <v>307</v>
      </c>
      <c r="I844" s="3">
        <f>5*(3600/H844)</f>
        <v>58.631921824104232</v>
      </c>
      <c r="J844" s="16">
        <f t="shared" si="26"/>
        <v>0</v>
      </c>
      <c r="K844" s="17">
        <f t="shared" si="27"/>
        <v>14</v>
      </c>
    </row>
    <row r="845" spans="1:11" x14ac:dyDescent="0.25">
      <c r="A845" s="4" t="s">
        <v>79</v>
      </c>
      <c r="B845" s="1">
        <v>0.22035199999999999</v>
      </c>
      <c r="C845" s="1">
        <v>0.21679999999999999</v>
      </c>
      <c r="D845" s="1">
        <f>IF(B845&gt;C845,B845-C845,C845-B845)</f>
        <v>3.5519999999999996E-3</v>
      </c>
      <c r="E845">
        <f>MINUTE(D845)</f>
        <v>5</v>
      </c>
      <c r="F845">
        <f>SECOND(D845)</f>
        <v>7</v>
      </c>
      <c r="G845">
        <f>ROUND(E845+F845/60,2)</f>
        <v>5.12</v>
      </c>
      <c r="H845">
        <f>60*E845+F845</f>
        <v>307</v>
      </c>
      <c r="I845" s="3">
        <f>5*(3600/H845)</f>
        <v>58.631921824104232</v>
      </c>
      <c r="J845" s="16">
        <f t="shared" si="26"/>
        <v>0</v>
      </c>
      <c r="K845" s="17">
        <f t="shared" si="27"/>
        <v>5</v>
      </c>
    </row>
    <row r="846" spans="1:11" x14ac:dyDescent="0.25">
      <c r="A846" s="4" t="s">
        <v>200</v>
      </c>
      <c r="B846" s="1">
        <v>0.64594499999999999</v>
      </c>
      <c r="C846" s="1">
        <v>0.649501</v>
      </c>
      <c r="D846" s="1">
        <f>IF(B846&gt;C846,B846-C846,C846-B846)</f>
        <v>3.5560000000000036E-3</v>
      </c>
      <c r="E846">
        <f>MINUTE(D846)</f>
        <v>5</v>
      </c>
      <c r="F846">
        <f>SECOND(D846)</f>
        <v>7</v>
      </c>
      <c r="G846">
        <f>ROUND(E846+F846/60,2)</f>
        <v>5.12</v>
      </c>
      <c r="H846">
        <f>60*E846+F846</f>
        <v>307</v>
      </c>
      <c r="I846" s="3">
        <f>5*(3600/H846)</f>
        <v>58.631921824104232</v>
      </c>
      <c r="J846" s="16">
        <f t="shared" si="26"/>
        <v>0</v>
      </c>
      <c r="K846" s="17">
        <f t="shared" si="27"/>
        <v>15</v>
      </c>
    </row>
    <row r="847" spans="1:11" x14ac:dyDescent="0.25">
      <c r="A847" s="4" t="s">
        <v>6</v>
      </c>
      <c r="B847" s="1">
        <v>0.33882099999999998</v>
      </c>
      <c r="C847" s="1">
        <v>0.342389</v>
      </c>
      <c r="D847" s="1">
        <f>IF(B847&gt;C847,B847-C847,C847-B847)</f>
        <v>3.5680000000000156E-3</v>
      </c>
      <c r="E847">
        <f>MINUTE(D847)</f>
        <v>5</v>
      </c>
      <c r="F847">
        <f>SECOND(D847)</f>
        <v>8</v>
      </c>
      <c r="G847">
        <f>ROUND(E847+F847/60,2)</f>
        <v>5.13</v>
      </c>
      <c r="H847">
        <f>60*E847+F847</f>
        <v>308</v>
      </c>
      <c r="I847" s="3">
        <f>5*(3600/H847)</f>
        <v>58.441558441558442</v>
      </c>
      <c r="J847" s="16">
        <f t="shared" si="26"/>
        <v>0</v>
      </c>
      <c r="K847" s="17">
        <f t="shared" si="27"/>
        <v>8</v>
      </c>
    </row>
    <row r="848" spans="1:11" x14ac:dyDescent="0.25">
      <c r="A848" s="4" t="s">
        <v>109</v>
      </c>
      <c r="B848" s="1">
        <v>0.12549399999999999</v>
      </c>
      <c r="C848" s="1">
        <v>0.121934</v>
      </c>
      <c r="D848" s="1">
        <f>IF(B848&gt;C848,B848-C848,C848-B848)</f>
        <v>3.5599999999999937E-3</v>
      </c>
      <c r="E848">
        <f>MINUTE(D848)</f>
        <v>5</v>
      </c>
      <c r="F848">
        <f>SECOND(D848)</f>
        <v>8</v>
      </c>
      <c r="G848">
        <f>ROUND(E848+F848/60,2)</f>
        <v>5.13</v>
      </c>
      <c r="H848">
        <f>60*E848+F848</f>
        <v>308</v>
      </c>
      <c r="I848" s="3">
        <f>5*(3600/H848)</f>
        <v>58.441558441558442</v>
      </c>
      <c r="J848" s="16">
        <f t="shared" si="26"/>
        <v>0</v>
      </c>
      <c r="K848" s="17">
        <f t="shared" si="27"/>
        <v>3</v>
      </c>
    </row>
    <row r="849" spans="1:11" x14ac:dyDescent="0.25">
      <c r="A849" s="4" t="s">
        <v>40</v>
      </c>
      <c r="B849" s="1">
        <v>4.8376000000000002E-2</v>
      </c>
      <c r="C849" s="1">
        <v>4.4811999999999998E-2</v>
      </c>
      <c r="D849" s="1">
        <f>IF(B849&gt;C849,B849-C849,C849-B849)</f>
        <v>3.5640000000000047E-3</v>
      </c>
      <c r="E849">
        <f>MINUTE(D849)</f>
        <v>5</v>
      </c>
      <c r="F849">
        <f>SECOND(D849)</f>
        <v>8</v>
      </c>
      <c r="G849">
        <f>ROUND(E849+F849/60,2)</f>
        <v>5.13</v>
      </c>
      <c r="H849">
        <f>60*E849+F849</f>
        <v>308</v>
      </c>
      <c r="I849" s="3">
        <f>5*(3600/H849)</f>
        <v>58.441558441558442</v>
      </c>
      <c r="J849" s="16">
        <f t="shared" si="26"/>
        <v>0</v>
      </c>
      <c r="K849" s="17">
        <f t="shared" si="27"/>
        <v>1</v>
      </c>
    </row>
    <row r="850" spans="1:11" x14ac:dyDescent="0.25">
      <c r="A850" s="4" t="s">
        <v>186</v>
      </c>
      <c r="B850" s="1">
        <v>0.53231499999999998</v>
      </c>
      <c r="C850" s="1">
        <v>0.52875499999999998</v>
      </c>
      <c r="D850" s="1">
        <f>IF(B850&gt;C850,B850-C850,C850-B850)</f>
        <v>3.5600000000000076E-3</v>
      </c>
      <c r="E850">
        <f>MINUTE(D850)</f>
        <v>5</v>
      </c>
      <c r="F850">
        <f>SECOND(D850)</f>
        <v>8</v>
      </c>
      <c r="G850">
        <f>ROUND(E850+F850/60,2)</f>
        <v>5.13</v>
      </c>
      <c r="H850">
        <f>60*E850+F850</f>
        <v>308</v>
      </c>
      <c r="I850" s="3">
        <f>5*(3600/H850)</f>
        <v>58.441558441558442</v>
      </c>
      <c r="J850" s="16">
        <f t="shared" si="26"/>
        <v>0</v>
      </c>
      <c r="K850" s="17">
        <f t="shared" si="27"/>
        <v>12</v>
      </c>
    </row>
    <row r="851" spans="1:11" x14ac:dyDescent="0.25">
      <c r="A851" s="4" t="s">
        <v>225</v>
      </c>
      <c r="B851" s="1">
        <v>0.13014400000000001</v>
      </c>
      <c r="C851" s="1">
        <v>0.133712</v>
      </c>
      <c r="D851" s="1">
        <f>IF(B851&gt;C851,B851-C851,C851-B851)</f>
        <v>3.5679999999999878E-3</v>
      </c>
      <c r="E851">
        <f>MINUTE(D851)</f>
        <v>5</v>
      </c>
      <c r="F851">
        <f>SECOND(D851)</f>
        <v>8</v>
      </c>
      <c r="G851">
        <f>ROUND(E851+F851/60,2)</f>
        <v>5.13</v>
      </c>
      <c r="H851">
        <f>60*E851+F851</f>
        <v>308</v>
      </c>
      <c r="I851" s="3">
        <f>5*(3600/H851)</f>
        <v>58.441558441558442</v>
      </c>
      <c r="J851" s="16">
        <f t="shared" si="26"/>
        <v>0</v>
      </c>
      <c r="K851" s="17">
        <f t="shared" si="27"/>
        <v>3</v>
      </c>
    </row>
    <row r="852" spans="1:11" x14ac:dyDescent="0.25">
      <c r="A852" s="4" t="s">
        <v>68</v>
      </c>
      <c r="B852" s="1">
        <v>0.52852399999999999</v>
      </c>
      <c r="C852" s="1">
        <v>0.52494399999999997</v>
      </c>
      <c r="D852" s="1">
        <f>IF(B852&gt;C852,B852-C852,C852-B852)</f>
        <v>3.5800000000000276E-3</v>
      </c>
      <c r="E852">
        <f>MINUTE(D852)</f>
        <v>5</v>
      </c>
      <c r="F852">
        <f>SECOND(D852)</f>
        <v>9</v>
      </c>
      <c r="G852">
        <f>ROUND(E852+F852/60,2)</f>
        <v>5.15</v>
      </c>
      <c r="H852">
        <f>60*E852+F852</f>
        <v>309</v>
      </c>
      <c r="I852" s="3">
        <f>5*(3600/H852)</f>
        <v>58.252427184466022</v>
      </c>
      <c r="J852" s="16">
        <f t="shared" si="26"/>
        <v>0</v>
      </c>
      <c r="K852" s="17">
        <f t="shared" si="27"/>
        <v>12</v>
      </c>
    </row>
    <row r="853" spans="1:11" x14ac:dyDescent="0.25">
      <c r="A853" s="4" t="s">
        <v>69</v>
      </c>
      <c r="B853" s="1">
        <v>0.52150200000000002</v>
      </c>
      <c r="C853" s="1">
        <v>0.517926</v>
      </c>
      <c r="D853" s="1">
        <f>IF(B853&gt;C853,B853-C853,C853-B853)</f>
        <v>3.5760000000000236E-3</v>
      </c>
      <c r="E853">
        <f>MINUTE(D853)</f>
        <v>5</v>
      </c>
      <c r="F853">
        <f>SECOND(D853)</f>
        <v>9</v>
      </c>
      <c r="G853">
        <f>ROUND(E853+F853/60,2)</f>
        <v>5.15</v>
      </c>
      <c r="H853">
        <f>60*E853+F853</f>
        <v>309</v>
      </c>
      <c r="I853" s="3">
        <f>5*(3600/H853)</f>
        <v>58.252427184466022</v>
      </c>
      <c r="J853" s="16">
        <f t="shared" si="26"/>
        <v>0</v>
      </c>
      <c r="K853" s="17">
        <f t="shared" si="27"/>
        <v>12</v>
      </c>
    </row>
    <row r="854" spans="1:11" x14ac:dyDescent="0.25">
      <c r="A854" s="4" t="s">
        <v>5</v>
      </c>
      <c r="B854" s="1">
        <v>0.13581199999999999</v>
      </c>
      <c r="C854" s="1">
        <v>0.13939199999999999</v>
      </c>
      <c r="D854" s="1">
        <f>IF(B854&gt;C854,B854-C854,C854-B854)</f>
        <v>3.5799999999999998E-3</v>
      </c>
      <c r="E854">
        <f>MINUTE(D854)</f>
        <v>5</v>
      </c>
      <c r="F854">
        <f>SECOND(D854)</f>
        <v>9</v>
      </c>
      <c r="G854">
        <f>ROUND(E854+F854/60,2)</f>
        <v>5.15</v>
      </c>
      <c r="H854">
        <f>60*E854+F854</f>
        <v>309</v>
      </c>
      <c r="I854" s="3">
        <f>5*(3600/H854)</f>
        <v>58.252427184466022</v>
      </c>
      <c r="J854" s="16">
        <f t="shared" si="26"/>
        <v>0</v>
      </c>
      <c r="K854" s="17">
        <f t="shared" si="27"/>
        <v>3</v>
      </c>
    </row>
    <row r="855" spans="1:11" x14ac:dyDescent="0.25">
      <c r="A855" s="4" t="s">
        <v>136</v>
      </c>
      <c r="B855" s="1">
        <v>0.68890700000000005</v>
      </c>
      <c r="C855" s="1">
        <v>0.69249099999999997</v>
      </c>
      <c r="D855" s="1">
        <f>IF(B855&gt;C855,B855-C855,C855-B855)</f>
        <v>3.5839999999999206E-3</v>
      </c>
      <c r="E855">
        <f>MINUTE(D855)</f>
        <v>5</v>
      </c>
      <c r="F855">
        <f>SECOND(D855)</f>
        <v>10</v>
      </c>
      <c r="G855">
        <f>ROUND(E855+F855/60,2)</f>
        <v>5.17</v>
      </c>
      <c r="H855">
        <f>60*E855+F855</f>
        <v>310</v>
      </c>
      <c r="I855" s="3">
        <f>5*(3600/H855)</f>
        <v>58.064516129032256</v>
      </c>
      <c r="J855" s="16">
        <f t="shared" si="26"/>
        <v>0</v>
      </c>
      <c r="K855" s="17">
        <f t="shared" si="27"/>
        <v>16</v>
      </c>
    </row>
    <row r="856" spans="1:11" x14ac:dyDescent="0.25">
      <c r="A856" s="4" t="s">
        <v>60</v>
      </c>
      <c r="B856" s="1">
        <v>0.715557</v>
      </c>
      <c r="C856" s="1">
        <v>0.71916100000000005</v>
      </c>
      <c r="D856" s="1">
        <f>IF(B856&gt;C856,B856-C856,C856-B856)</f>
        <v>3.6040000000000516E-3</v>
      </c>
      <c r="E856">
        <f>MINUTE(D856)</f>
        <v>5</v>
      </c>
      <c r="F856">
        <f>SECOND(D856)</f>
        <v>11</v>
      </c>
      <c r="G856">
        <f>ROUND(E856+F856/60,2)</f>
        <v>5.18</v>
      </c>
      <c r="H856">
        <f>60*E856+F856</f>
        <v>311</v>
      </c>
      <c r="I856" s="3">
        <f>5*(3600/H856)</f>
        <v>57.877813504823152</v>
      </c>
      <c r="J856" s="16">
        <f t="shared" si="26"/>
        <v>0</v>
      </c>
      <c r="K856" s="17">
        <f t="shared" si="27"/>
        <v>17</v>
      </c>
    </row>
    <row r="857" spans="1:11" x14ac:dyDescent="0.25">
      <c r="A857" s="4" t="s">
        <v>18</v>
      </c>
      <c r="B857" s="1">
        <v>0.62996300000000005</v>
      </c>
      <c r="C857" s="1">
        <v>0.62636700000000001</v>
      </c>
      <c r="D857" s="1">
        <f>IF(B857&gt;C857,B857-C857,C857-B857)</f>
        <v>3.5960000000000436E-3</v>
      </c>
      <c r="E857">
        <f>MINUTE(D857)</f>
        <v>5</v>
      </c>
      <c r="F857">
        <f>SECOND(D857)</f>
        <v>11</v>
      </c>
      <c r="G857">
        <f>ROUND(E857+F857/60,2)</f>
        <v>5.18</v>
      </c>
      <c r="H857">
        <f>60*E857+F857</f>
        <v>311</v>
      </c>
      <c r="I857" s="3">
        <f>5*(3600/H857)</f>
        <v>57.877813504823152</v>
      </c>
      <c r="J857" s="16">
        <f t="shared" si="26"/>
        <v>0</v>
      </c>
      <c r="K857" s="17">
        <f t="shared" si="27"/>
        <v>15</v>
      </c>
    </row>
    <row r="858" spans="1:11" x14ac:dyDescent="0.25">
      <c r="A858" s="4" t="s">
        <v>113</v>
      </c>
      <c r="B858" s="1">
        <v>0.93603599999999998</v>
      </c>
      <c r="C858" s="1">
        <v>0.93963600000000003</v>
      </c>
      <c r="D858" s="1">
        <f>IF(B858&gt;C858,B858-C858,C858-B858)</f>
        <v>3.6000000000000476E-3</v>
      </c>
      <c r="E858">
        <f>MINUTE(D858)</f>
        <v>5</v>
      </c>
      <c r="F858">
        <f>SECOND(D858)</f>
        <v>11</v>
      </c>
      <c r="G858">
        <f>ROUND(E858+F858/60,2)</f>
        <v>5.18</v>
      </c>
      <c r="H858">
        <f>60*E858+F858</f>
        <v>311</v>
      </c>
      <c r="I858" s="3">
        <f>5*(3600/H858)</f>
        <v>57.877813504823152</v>
      </c>
      <c r="J858" s="16">
        <f t="shared" si="26"/>
        <v>0</v>
      </c>
      <c r="K858" s="17">
        <f t="shared" si="27"/>
        <v>22</v>
      </c>
    </row>
    <row r="859" spans="1:11" x14ac:dyDescent="0.25">
      <c r="A859" s="4" t="s">
        <v>219</v>
      </c>
      <c r="B859" s="1">
        <v>0.51214999999999999</v>
      </c>
      <c r="C859" s="1">
        <v>0.50854600000000005</v>
      </c>
      <c r="D859" s="1">
        <f>IF(B859&gt;C859,B859-C859,C859-B859)</f>
        <v>3.6039999999999406E-3</v>
      </c>
      <c r="E859">
        <f>MINUTE(D859)</f>
        <v>5</v>
      </c>
      <c r="F859">
        <f>SECOND(D859)</f>
        <v>11</v>
      </c>
      <c r="G859">
        <f>ROUND(E859+F859/60,2)</f>
        <v>5.18</v>
      </c>
      <c r="H859">
        <f>60*E859+F859</f>
        <v>311</v>
      </c>
      <c r="I859" s="3">
        <f>5*(3600/H859)</f>
        <v>57.877813504823152</v>
      </c>
      <c r="J859" s="16">
        <f t="shared" si="26"/>
        <v>0</v>
      </c>
      <c r="K859" s="17">
        <f t="shared" si="27"/>
        <v>12</v>
      </c>
    </row>
    <row r="860" spans="1:11" x14ac:dyDescent="0.25">
      <c r="A860" s="4" t="s">
        <v>14</v>
      </c>
      <c r="B860" s="1">
        <v>0.24673800000000001</v>
      </c>
      <c r="C860" s="1">
        <v>0.24312600000000001</v>
      </c>
      <c r="D860" s="1">
        <f>IF(B860&gt;C860,B860-C860,C860-B860)</f>
        <v>3.6120000000000041E-3</v>
      </c>
      <c r="E860">
        <f>MINUTE(D860)</f>
        <v>5</v>
      </c>
      <c r="F860">
        <f>SECOND(D860)</f>
        <v>12</v>
      </c>
      <c r="G860">
        <f>ROUND(E860+F860/60,2)</f>
        <v>5.2</v>
      </c>
      <c r="H860">
        <f>60*E860+F860</f>
        <v>312</v>
      </c>
      <c r="I860" s="3">
        <f>5*(3600/H860)</f>
        <v>57.692307692307693</v>
      </c>
      <c r="J860" s="16">
        <f t="shared" si="26"/>
        <v>0</v>
      </c>
      <c r="K860" s="17">
        <f t="shared" si="27"/>
        <v>5</v>
      </c>
    </row>
    <row r="861" spans="1:11" x14ac:dyDescent="0.25">
      <c r="A861" s="4" t="s">
        <v>98</v>
      </c>
      <c r="B861" s="1">
        <v>0.456841</v>
      </c>
      <c r="C861" s="1">
        <v>0.45322499999999999</v>
      </c>
      <c r="D861" s="1">
        <f>IF(B861&gt;C861,B861-C861,C861-B861)</f>
        <v>3.6160000000000081E-3</v>
      </c>
      <c r="E861">
        <f>MINUTE(D861)</f>
        <v>5</v>
      </c>
      <c r="F861">
        <f>SECOND(D861)</f>
        <v>12</v>
      </c>
      <c r="G861">
        <f>ROUND(E861+F861/60,2)</f>
        <v>5.2</v>
      </c>
      <c r="H861">
        <f>60*E861+F861</f>
        <v>312</v>
      </c>
      <c r="I861" s="3">
        <f>5*(3600/H861)</f>
        <v>57.692307692307693</v>
      </c>
      <c r="J861" s="16">
        <f t="shared" si="26"/>
        <v>0</v>
      </c>
      <c r="K861" s="17">
        <f t="shared" si="27"/>
        <v>10</v>
      </c>
    </row>
    <row r="862" spans="1:11" x14ac:dyDescent="0.25">
      <c r="A862" s="4" t="s">
        <v>364</v>
      </c>
      <c r="B862" s="1">
        <v>0.96552199999999999</v>
      </c>
      <c r="C862" s="1">
        <v>0.96191400000000005</v>
      </c>
      <c r="D862" s="1">
        <f>IF(B862&gt;C862,B862-C862,C862-B862)</f>
        <v>3.6079999999999446E-3</v>
      </c>
      <c r="E862">
        <f>MINUTE(D862)</f>
        <v>5</v>
      </c>
      <c r="F862">
        <f>SECOND(D862)</f>
        <v>12</v>
      </c>
      <c r="G862">
        <f>ROUND(E862+F862/60,2)</f>
        <v>5.2</v>
      </c>
      <c r="H862">
        <f>60*E862+F862</f>
        <v>312</v>
      </c>
      <c r="I862" s="3">
        <f>5*(3600/H862)</f>
        <v>57.692307692307693</v>
      </c>
      <c r="J862" s="16">
        <f t="shared" si="26"/>
        <v>0</v>
      </c>
      <c r="K862" s="17">
        <f t="shared" si="27"/>
        <v>23</v>
      </c>
    </row>
    <row r="863" spans="1:11" x14ac:dyDescent="0.25">
      <c r="A863" s="4" t="s">
        <v>123</v>
      </c>
      <c r="B863" s="1">
        <v>0.97869200000000001</v>
      </c>
      <c r="C863" s="1">
        <v>0.97506400000000004</v>
      </c>
      <c r="D863" s="1">
        <f>IF(B863&gt;C863,B863-C863,C863-B863)</f>
        <v>3.6279999999999646E-3</v>
      </c>
      <c r="E863">
        <f>MINUTE(D863)</f>
        <v>5</v>
      </c>
      <c r="F863">
        <f>SECOND(D863)</f>
        <v>13</v>
      </c>
      <c r="G863">
        <f>ROUND(E863+F863/60,2)</f>
        <v>5.22</v>
      </c>
      <c r="H863">
        <f>60*E863+F863</f>
        <v>313</v>
      </c>
      <c r="I863" s="3">
        <f>5*(3600/H863)</f>
        <v>57.507987220447284</v>
      </c>
      <c r="J863" s="16">
        <f t="shared" si="26"/>
        <v>0</v>
      </c>
      <c r="K863" s="17">
        <f t="shared" si="27"/>
        <v>23</v>
      </c>
    </row>
    <row r="864" spans="1:11" x14ac:dyDescent="0.25">
      <c r="A864" s="4" t="s">
        <v>155</v>
      </c>
      <c r="B864" s="1">
        <v>0.113997</v>
      </c>
      <c r="C864" s="1">
        <v>0.117621</v>
      </c>
      <c r="D864" s="1">
        <f>IF(B864&gt;C864,B864-C864,C864-B864)</f>
        <v>3.6240000000000022E-3</v>
      </c>
      <c r="E864">
        <f>MINUTE(D864)</f>
        <v>5</v>
      </c>
      <c r="F864">
        <f>SECOND(D864)</f>
        <v>13</v>
      </c>
      <c r="G864">
        <f>ROUND(E864+F864/60,2)</f>
        <v>5.22</v>
      </c>
      <c r="H864">
        <f>60*E864+F864</f>
        <v>313</v>
      </c>
      <c r="I864" s="3">
        <f>5*(3600/H864)</f>
        <v>57.507987220447284</v>
      </c>
      <c r="J864" s="16">
        <f t="shared" si="26"/>
        <v>0</v>
      </c>
      <c r="K864" s="17">
        <f t="shared" si="27"/>
        <v>2</v>
      </c>
    </row>
    <row r="865" spans="1:11" x14ac:dyDescent="0.25">
      <c r="A865" s="4" t="s">
        <v>18</v>
      </c>
      <c r="B865" s="1">
        <v>1.0023960000000001</v>
      </c>
      <c r="C865" s="1">
        <v>0.99877199999999999</v>
      </c>
      <c r="D865" s="1">
        <f>IF(B865&gt;C865,B865-C865,C865-B865)</f>
        <v>3.6240000000000716E-3</v>
      </c>
      <c r="E865">
        <f>MINUTE(D865)</f>
        <v>5</v>
      </c>
      <c r="F865">
        <f>SECOND(D865)</f>
        <v>13</v>
      </c>
      <c r="G865">
        <f>ROUND(E865+F865/60,2)</f>
        <v>5.22</v>
      </c>
      <c r="H865">
        <f>60*E865+F865</f>
        <v>313</v>
      </c>
      <c r="I865" s="3">
        <f>5*(3600/H865)</f>
        <v>57.507987220447284</v>
      </c>
      <c r="J865" s="16">
        <f t="shared" si="26"/>
        <v>0</v>
      </c>
      <c r="K865" s="17">
        <f t="shared" si="27"/>
        <v>0</v>
      </c>
    </row>
    <row r="866" spans="1:11" x14ac:dyDescent="0.25">
      <c r="A866" s="4" t="s">
        <v>99</v>
      </c>
      <c r="B866" s="1">
        <v>9.5533999999999994E-2</v>
      </c>
      <c r="C866" s="1">
        <v>9.1910000000000006E-2</v>
      </c>
      <c r="D866" s="1">
        <f>IF(B866&gt;C866,B866-C866,C866-B866)</f>
        <v>3.6239999999999883E-3</v>
      </c>
      <c r="E866">
        <f>MINUTE(D866)</f>
        <v>5</v>
      </c>
      <c r="F866">
        <f>SECOND(D866)</f>
        <v>13</v>
      </c>
      <c r="G866">
        <f>ROUND(E866+F866/60,2)</f>
        <v>5.22</v>
      </c>
      <c r="H866">
        <f>60*E866+F866</f>
        <v>313</v>
      </c>
      <c r="I866" s="3">
        <f>5*(3600/H866)</f>
        <v>57.507987220447284</v>
      </c>
      <c r="J866" s="16">
        <f t="shared" si="26"/>
        <v>0</v>
      </c>
      <c r="K866" s="17">
        <f t="shared" si="27"/>
        <v>2</v>
      </c>
    </row>
    <row r="867" spans="1:11" x14ac:dyDescent="0.25">
      <c r="A867" s="4" t="s">
        <v>113</v>
      </c>
      <c r="B867" s="1">
        <v>0.16992399999999999</v>
      </c>
      <c r="C867" s="1">
        <v>0.166296</v>
      </c>
      <c r="D867" s="1">
        <f>IF(B867&gt;C867,B867-C867,C867-B867)</f>
        <v>3.6279999999999923E-3</v>
      </c>
      <c r="E867">
        <f>MINUTE(D867)</f>
        <v>5</v>
      </c>
      <c r="F867">
        <f>SECOND(D867)</f>
        <v>13</v>
      </c>
      <c r="G867">
        <f>ROUND(E867+F867/60,2)</f>
        <v>5.22</v>
      </c>
      <c r="H867">
        <f>60*E867+F867</f>
        <v>313</v>
      </c>
      <c r="I867" s="3">
        <f>5*(3600/H867)</f>
        <v>57.507987220447284</v>
      </c>
      <c r="J867" s="16">
        <f t="shared" si="26"/>
        <v>0</v>
      </c>
      <c r="K867" s="17">
        <f t="shared" si="27"/>
        <v>4</v>
      </c>
    </row>
    <row r="868" spans="1:11" x14ac:dyDescent="0.25">
      <c r="A868" s="8" t="s">
        <v>180</v>
      </c>
      <c r="B868" s="1">
        <v>0.14814099999999999</v>
      </c>
      <c r="C868" s="1">
        <v>0.14450499999999999</v>
      </c>
      <c r="D868" s="1">
        <f>IF(B868&gt;C868,B868-C868,C868-B868)</f>
        <v>3.6360000000000003E-3</v>
      </c>
      <c r="E868">
        <f>MINUTE(D868)</f>
        <v>5</v>
      </c>
      <c r="F868">
        <f>SECOND(D868)</f>
        <v>14</v>
      </c>
      <c r="G868">
        <f>ROUND(E868+F868/60,2)</f>
        <v>5.23</v>
      </c>
      <c r="H868">
        <f>60*E868+F868</f>
        <v>314</v>
      </c>
      <c r="I868" s="10">
        <f>5*(3600/H868)</f>
        <v>57.324840764331206</v>
      </c>
      <c r="J868" s="16">
        <f t="shared" si="26"/>
        <v>0</v>
      </c>
      <c r="K868" s="17">
        <f t="shared" si="27"/>
        <v>3</v>
      </c>
    </row>
    <row r="869" spans="1:11" x14ac:dyDescent="0.25">
      <c r="A869" s="4" t="s">
        <v>387</v>
      </c>
      <c r="B869" s="1">
        <v>0.59238800000000003</v>
      </c>
      <c r="C869" s="1">
        <v>0.58874800000000005</v>
      </c>
      <c r="D869" s="1">
        <f>IF(B869&gt;C869,B869-C869,C869-B869)</f>
        <v>3.6399999999999766E-3</v>
      </c>
      <c r="E869">
        <f>MINUTE(D869)</f>
        <v>5</v>
      </c>
      <c r="F869">
        <f>SECOND(D869)</f>
        <v>14</v>
      </c>
      <c r="G869">
        <f>ROUND(E869+F869/60,2)</f>
        <v>5.23</v>
      </c>
      <c r="H869">
        <f>60*E869+F869</f>
        <v>314</v>
      </c>
      <c r="I869" s="3">
        <f>5*(3600/H869)</f>
        <v>57.324840764331206</v>
      </c>
      <c r="J869" s="16">
        <f t="shared" si="26"/>
        <v>0</v>
      </c>
      <c r="K869" s="17">
        <f t="shared" si="27"/>
        <v>14</v>
      </c>
    </row>
    <row r="870" spans="1:11" x14ac:dyDescent="0.25">
      <c r="A870" s="4" t="s">
        <v>84</v>
      </c>
      <c r="B870" s="1">
        <v>0.23138</v>
      </c>
      <c r="C870" s="1">
        <v>0.23502799999999999</v>
      </c>
      <c r="D870" s="1">
        <f>IF(B870&gt;C870,B870-C870,C870-B870)</f>
        <v>3.6479999999999846E-3</v>
      </c>
      <c r="E870">
        <f>MINUTE(D870)</f>
        <v>5</v>
      </c>
      <c r="F870">
        <f>SECOND(D870)</f>
        <v>15</v>
      </c>
      <c r="G870">
        <f>ROUND(E870+F870/60,2)</f>
        <v>5.25</v>
      </c>
      <c r="H870">
        <f>60*E870+F870</f>
        <v>315</v>
      </c>
      <c r="I870" s="3">
        <f>5*(3600/H870)</f>
        <v>57.142857142857146</v>
      </c>
      <c r="J870" s="16">
        <f t="shared" si="26"/>
        <v>0</v>
      </c>
      <c r="K870" s="17">
        <f t="shared" si="27"/>
        <v>5</v>
      </c>
    </row>
    <row r="871" spans="1:11" x14ac:dyDescent="0.25">
      <c r="A871" s="4" t="s">
        <v>49</v>
      </c>
      <c r="B871" s="1">
        <v>0.52166900000000005</v>
      </c>
      <c r="C871" s="1">
        <v>0.52531700000000003</v>
      </c>
      <c r="D871" s="1">
        <f>IF(B871&gt;C871,B871-C871,C871-B871)</f>
        <v>3.6479999999999846E-3</v>
      </c>
      <c r="E871">
        <f>MINUTE(D871)</f>
        <v>5</v>
      </c>
      <c r="F871">
        <f>SECOND(D871)</f>
        <v>15</v>
      </c>
      <c r="G871">
        <f>ROUND(E871+F871/60,2)</f>
        <v>5.25</v>
      </c>
      <c r="H871">
        <f>60*E871+F871</f>
        <v>315</v>
      </c>
      <c r="I871" s="3">
        <f>5*(3600/H871)</f>
        <v>57.142857142857146</v>
      </c>
      <c r="J871" s="16">
        <f t="shared" si="26"/>
        <v>0</v>
      </c>
      <c r="K871" s="17">
        <f t="shared" si="27"/>
        <v>12</v>
      </c>
    </row>
    <row r="872" spans="1:11" x14ac:dyDescent="0.25">
      <c r="A872" s="4" t="s">
        <v>41</v>
      </c>
      <c r="B872" s="1">
        <v>0.33540799999999998</v>
      </c>
      <c r="C872" s="1">
        <v>0.33905200000000002</v>
      </c>
      <c r="D872" s="1">
        <f>IF(B872&gt;C872,B872-C872,C872-B872)</f>
        <v>3.6440000000000361E-3</v>
      </c>
      <c r="E872">
        <f>MINUTE(D872)</f>
        <v>5</v>
      </c>
      <c r="F872">
        <f>SECOND(D872)</f>
        <v>15</v>
      </c>
      <c r="G872">
        <f>ROUND(E872+F872/60,2)</f>
        <v>5.25</v>
      </c>
      <c r="H872">
        <f>60*E872+F872</f>
        <v>315</v>
      </c>
      <c r="I872" s="3">
        <f>5*(3600/H872)</f>
        <v>57.142857142857146</v>
      </c>
      <c r="J872" s="16">
        <f t="shared" si="26"/>
        <v>0</v>
      </c>
      <c r="K872" s="17">
        <f t="shared" si="27"/>
        <v>8</v>
      </c>
    </row>
    <row r="873" spans="1:11" x14ac:dyDescent="0.25">
      <c r="A873" s="4" t="s">
        <v>117</v>
      </c>
      <c r="B873" s="1">
        <v>0.54806999999999995</v>
      </c>
      <c r="C873" s="1">
        <v>0.54442199999999996</v>
      </c>
      <c r="D873" s="1">
        <f>IF(B873&gt;C873,B873-C873,C873-B873)</f>
        <v>3.6479999999999846E-3</v>
      </c>
      <c r="E873">
        <f>MINUTE(D873)</f>
        <v>5</v>
      </c>
      <c r="F873">
        <f>SECOND(D873)</f>
        <v>15</v>
      </c>
      <c r="G873">
        <f>ROUND(E873+F873/60,2)</f>
        <v>5.25</v>
      </c>
      <c r="H873">
        <f>60*E873+F873</f>
        <v>315</v>
      </c>
      <c r="I873" s="3">
        <f>5*(3600/H873)</f>
        <v>57.142857142857146</v>
      </c>
      <c r="J873" s="16">
        <f t="shared" si="26"/>
        <v>0</v>
      </c>
      <c r="K873" s="17">
        <f t="shared" si="27"/>
        <v>13</v>
      </c>
    </row>
    <row r="874" spans="1:11" x14ac:dyDescent="0.25">
      <c r="A874" s="4" t="s">
        <v>46</v>
      </c>
      <c r="B874" s="1">
        <v>0.193527</v>
      </c>
      <c r="C874" s="1">
        <v>0.18987100000000001</v>
      </c>
      <c r="D874" s="1">
        <f>IF(B874&gt;C874,B874-C874,C874-B874)</f>
        <v>3.6559999999999926E-3</v>
      </c>
      <c r="E874">
        <f>MINUTE(D874)</f>
        <v>5</v>
      </c>
      <c r="F874">
        <f>SECOND(D874)</f>
        <v>16</v>
      </c>
      <c r="G874">
        <f>ROUND(E874+F874/60,2)</f>
        <v>5.27</v>
      </c>
      <c r="H874">
        <f>60*E874+F874</f>
        <v>316</v>
      </c>
      <c r="I874" s="3">
        <f>5*(3600/H874)</f>
        <v>56.962025316455694</v>
      </c>
      <c r="J874" s="16">
        <f t="shared" si="26"/>
        <v>0</v>
      </c>
      <c r="K874" s="17">
        <f t="shared" si="27"/>
        <v>4</v>
      </c>
    </row>
    <row r="875" spans="1:11" x14ac:dyDescent="0.25">
      <c r="A875" s="4" t="s">
        <v>109</v>
      </c>
      <c r="B875" s="1">
        <v>0.68685200000000002</v>
      </c>
      <c r="C875" s="1">
        <v>0.69050400000000001</v>
      </c>
      <c r="D875" s="1">
        <f>IF(B875&gt;C875,B875-C875,C875-B875)</f>
        <v>3.6519999999999886E-3</v>
      </c>
      <c r="E875">
        <f>MINUTE(D875)</f>
        <v>5</v>
      </c>
      <c r="F875">
        <f>SECOND(D875)</f>
        <v>16</v>
      </c>
      <c r="G875">
        <f>ROUND(E875+F875/60,2)</f>
        <v>5.27</v>
      </c>
      <c r="H875">
        <f>60*E875+F875</f>
        <v>316</v>
      </c>
      <c r="I875" s="3">
        <f>5*(3600/H875)</f>
        <v>56.962025316455694</v>
      </c>
      <c r="J875" s="16">
        <f t="shared" si="26"/>
        <v>0</v>
      </c>
      <c r="K875" s="17">
        <f t="shared" si="27"/>
        <v>16</v>
      </c>
    </row>
    <row r="876" spans="1:11" x14ac:dyDescent="0.25">
      <c r="A876" s="4" t="s">
        <v>41</v>
      </c>
      <c r="B876" s="1">
        <v>0.86237600000000003</v>
      </c>
      <c r="C876" s="1">
        <v>0.86603200000000002</v>
      </c>
      <c r="D876" s="1">
        <f>IF(B876&gt;C876,B876-C876,C876-B876)</f>
        <v>3.6559999999999926E-3</v>
      </c>
      <c r="E876">
        <f>MINUTE(D876)</f>
        <v>5</v>
      </c>
      <c r="F876">
        <f>SECOND(D876)</f>
        <v>16</v>
      </c>
      <c r="G876">
        <f>ROUND(E876+F876/60,2)</f>
        <v>5.27</v>
      </c>
      <c r="H876">
        <f>60*E876+F876</f>
        <v>316</v>
      </c>
      <c r="I876" s="3">
        <f>5*(3600/H876)</f>
        <v>56.962025316455694</v>
      </c>
      <c r="J876" s="16">
        <f t="shared" si="26"/>
        <v>0</v>
      </c>
      <c r="K876" s="17">
        <f t="shared" si="27"/>
        <v>20</v>
      </c>
    </row>
    <row r="877" spans="1:11" x14ac:dyDescent="0.25">
      <c r="A877" s="4" t="s">
        <v>24</v>
      </c>
      <c r="B877" s="1">
        <v>0.355049</v>
      </c>
      <c r="C877" s="1">
        <v>0.358705</v>
      </c>
      <c r="D877" s="1">
        <f>IF(B877&gt;C877,B877-C877,C877-B877)</f>
        <v>3.6559999999999926E-3</v>
      </c>
      <c r="E877">
        <f>MINUTE(D877)</f>
        <v>5</v>
      </c>
      <c r="F877">
        <f>SECOND(D877)</f>
        <v>16</v>
      </c>
      <c r="G877">
        <f>ROUND(E877+F877/60,2)</f>
        <v>5.27</v>
      </c>
      <c r="H877">
        <f>60*E877+F877</f>
        <v>316</v>
      </c>
      <c r="I877" s="3">
        <f>5*(3600/H877)</f>
        <v>56.962025316455694</v>
      </c>
      <c r="J877" s="16">
        <f t="shared" si="26"/>
        <v>0</v>
      </c>
      <c r="K877" s="17">
        <f t="shared" si="27"/>
        <v>8</v>
      </c>
    </row>
    <row r="878" spans="1:11" x14ac:dyDescent="0.25">
      <c r="A878" s="4" t="s">
        <v>45</v>
      </c>
      <c r="B878" s="1">
        <v>0.26977200000000001</v>
      </c>
      <c r="C878" s="1">
        <v>0.2661</v>
      </c>
      <c r="D878" s="1">
        <f>IF(B878&gt;C878,B878-C878,C878-B878)</f>
        <v>3.6720000000000086E-3</v>
      </c>
      <c r="E878">
        <f>MINUTE(D878)</f>
        <v>5</v>
      </c>
      <c r="F878">
        <f>SECOND(D878)</f>
        <v>17</v>
      </c>
      <c r="G878">
        <f>ROUND(E878+F878/60,2)</f>
        <v>5.28</v>
      </c>
      <c r="H878">
        <f>60*E878+F878</f>
        <v>317</v>
      </c>
      <c r="I878" s="3">
        <f>5*(3600/H878)</f>
        <v>56.782334384858046</v>
      </c>
      <c r="J878" s="16">
        <f t="shared" si="26"/>
        <v>0</v>
      </c>
      <c r="K878" s="17">
        <f t="shared" si="27"/>
        <v>6</v>
      </c>
    </row>
    <row r="879" spans="1:11" x14ac:dyDescent="0.25">
      <c r="A879" s="4" t="s">
        <v>12</v>
      </c>
      <c r="B879" s="1">
        <v>0.17019400000000001</v>
      </c>
      <c r="C879" s="1">
        <v>0.17386599999999999</v>
      </c>
      <c r="D879" s="1">
        <f>IF(B879&gt;C879,B879-C879,C879-B879)</f>
        <v>3.6719999999999808E-3</v>
      </c>
      <c r="E879">
        <f>MINUTE(D879)</f>
        <v>5</v>
      </c>
      <c r="F879">
        <f>SECOND(D879)</f>
        <v>17</v>
      </c>
      <c r="G879">
        <f>ROUND(E879+F879/60,2)</f>
        <v>5.28</v>
      </c>
      <c r="H879">
        <f>60*E879+F879</f>
        <v>317</v>
      </c>
      <c r="I879" s="3">
        <f>5*(3600/H879)</f>
        <v>56.782334384858046</v>
      </c>
      <c r="J879" s="16">
        <f t="shared" si="26"/>
        <v>0</v>
      </c>
      <c r="K879" s="17">
        <f t="shared" si="27"/>
        <v>4</v>
      </c>
    </row>
    <row r="880" spans="1:11" x14ac:dyDescent="0.25">
      <c r="A880" s="4" t="s">
        <v>91</v>
      </c>
      <c r="B880" s="1">
        <v>0.97138999999999998</v>
      </c>
      <c r="C880" s="1">
        <v>0.97505799999999998</v>
      </c>
      <c r="D880" s="1">
        <f>IF(B880&gt;C880,B880-C880,C880-B880)</f>
        <v>3.6680000000000046E-3</v>
      </c>
      <c r="E880">
        <f>MINUTE(D880)</f>
        <v>5</v>
      </c>
      <c r="F880">
        <f>SECOND(D880)</f>
        <v>17</v>
      </c>
      <c r="G880">
        <f>ROUND(E880+F880/60,2)</f>
        <v>5.28</v>
      </c>
      <c r="H880">
        <f>60*E880+F880</f>
        <v>317</v>
      </c>
      <c r="I880" s="3">
        <f>5*(3600/H880)</f>
        <v>56.782334384858046</v>
      </c>
      <c r="J880" s="16">
        <f t="shared" si="26"/>
        <v>0</v>
      </c>
      <c r="K880" s="17">
        <f t="shared" si="27"/>
        <v>23</v>
      </c>
    </row>
    <row r="881" spans="1:11" x14ac:dyDescent="0.25">
      <c r="A881" s="4" t="s">
        <v>249</v>
      </c>
      <c r="B881" s="1">
        <v>0.261075</v>
      </c>
      <c r="C881" s="1">
        <v>0.257411</v>
      </c>
      <c r="D881" s="1">
        <f>IF(B881&gt;C881,B881-C881,C881-B881)</f>
        <v>3.6640000000000006E-3</v>
      </c>
      <c r="E881">
        <f>MINUTE(D881)</f>
        <v>5</v>
      </c>
      <c r="F881">
        <f>SECOND(D881)</f>
        <v>17</v>
      </c>
      <c r="G881">
        <f>ROUND(E881+F881/60,2)</f>
        <v>5.28</v>
      </c>
      <c r="H881">
        <f>60*E881+F881</f>
        <v>317</v>
      </c>
      <c r="I881" s="3">
        <f>5*(3600/H881)</f>
        <v>56.782334384858046</v>
      </c>
      <c r="J881" s="16">
        <f t="shared" si="26"/>
        <v>0</v>
      </c>
      <c r="K881" s="17">
        <f t="shared" si="27"/>
        <v>6</v>
      </c>
    </row>
    <row r="882" spans="1:11" x14ac:dyDescent="0.25">
      <c r="A882" s="4" t="s">
        <v>279</v>
      </c>
      <c r="B882" s="1">
        <v>0.20541999999999999</v>
      </c>
      <c r="C882" s="1">
        <v>0.20174800000000001</v>
      </c>
      <c r="D882" s="1">
        <f>IF(B882&gt;C882,B882-C882,C882-B882)</f>
        <v>3.6719999999999808E-3</v>
      </c>
      <c r="E882">
        <f>MINUTE(D882)</f>
        <v>5</v>
      </c>
      <c r="F882">
        <f>SECOND(D882)</f>
        <v>17</v>
      </c>
      <c r="G882">
        <f>ROUND(E882+F882/60,2)</f>
        <v>5.28</v>
      </c>
      <c r="H882">
        <f>60*E882+F882</f>
        <v>317</v>
      </c>
      <c r="I882" s="3">
        <f>5*(3600/H882)</f>
        <v>56.782334384858046</v>
      </c>
      <c r="J882" s="16">
        <f t="shared" si="26"/>
        <v>0</v>
      </c>
      <c r="K882" s="17">
        <f t="shared" si="27"/>
        <v>4</v>
      </c>
    </row>
    <row r="883" spans="1:11" x14ac:dyDescent="0.25">
      <c r="A883" s="4" t="s">
        <v>284</v>
      </c>
      <c r="B883" s="1">
        <v>0.466858</v>
      </c>
      <c r="C883" s="1">
        <v>0.47053</v>
      </c>
      <c r="D883" s="1">
        <f>IF(B883&gt;C883,B883-C883,C883-B883)</f>
        <v>3.6720000000000086E-3</v>
      </c>
      <c r="E883">
        <f>MINUTE(D883)</f>
        <v>5</v>
      </c>
      <c r="F883">
        <f>SECOND(D883)</f>
        <v>17</v>
      </c>
      <c r="G883">
        <f>ROUND(E883+F883/60,2)</f>
        <v>5.28</v>
      </c>
      <c r="H883">
        <f>60*E883+F883</f>
        <v>317</v>
      </c>
      <c r="I883" s="3">
        <f>5*(3600/H883)</f>
        <v>56.782334384858046</v>
      </c>
      <c r="J883" s="16">
        <f t="shared" si="26"/>
        <v>0</v>
      </c>
      <c r="K883" s="17">
        <f t="shared" si="27"/>
        <v>11</v>
      </c>
    </row>
    <row r="884" spans="1:11" x14ac:dyDescent="0.25">
      <c r="A884" s="4" t="s">
        <v>117</v>
      </c>
      <c r="B884" s="1">
        <v>0.91855399999999998</v>
      </c>
      <c r="C884" s="1">
        <v>0.92222999999999999</v>
      </c>
      <c r="D884" s="1">
        <f>IF(B884&gt;C884,B884-C884,C884-B884)</f>
        <v>3.6760000000000126E-3</v>
      </c>
      <c r="E884">
        <f>MINUTE(D884)</f>
        <v>5</v>
      </c>
      <c r="F884">
        <f>SECOND(D884)</f>
        <v>18</v>
      </c>
      <c r="G884">
        <f>ROUND(E884+F884/60,2)</f>
        <v>5.3</v>
      </c>
      <c r="H884">
        <f>60*E884+F884</f>
        <v>318</v>
      </c>
      <c r="I884" s="3">
        <f>5*(3600/H884)</f>
        <v>56.603773584905653</v>
      </c>
      <c r="J884" s="16">
        <f t="shared" si="26"/>
        <v>0</v>
      </c>
      <c r="K884" s="17">
        <f t="shared" si="27"/>
        <v>22</v>
      </c>
    </row>
    <row r="885" spans="1:11" x14ac:dyDescent="0.25">
      <c r="A885" s="4" t="s">
        <v>397</v>
      </c>
      <c r="B885" s="1">
        <v>0.62391700000000005</v>
      </c>
      <c r="C885" s="1">
        <v>0.62759699999999996</v>
      </c>
      <c r="D885" s="1">
        <f>IF(B885&gt;C885,B885-C885,C885-B885)</f>
        <v>3.6799999999999056E-3</v>
      </c>
      <c r="E885">
        <f>MINUTE(D885)</f>
        <v>5</v>
      </c>
      <c r="F885">
        <f>SECOND(D885)</f>
        <v>18</v>
      </c>
      <c r="G885">
        <f>ROUND(E885+F885/60,2)</f>
        <v>5.3</v>
      </c>
      <c r="H885">
        <f>60*E885+F885</f>
        <v>318</v>
      </c>
      <c r="I885" s="3">
        <f>5*(3600/H885)</f>
        <v>56.603773584905653</v>
      </c>
      <c r="J885" s="16">
        <f t="shared" si="26"/>
        <v>0</v>
      </c>
      <c r="K885" s="17">
        <f t="shared" si="27"/>
        <v>14</v>
      </c>
    </row>
    <row r="886" spans="1:11" x14ac:dyDescent="0.25">
      <c r="A886" s="4" t="s">
        <v>64</v>
      </c>
      <c r="B886" s="1">
        <v>0.184341</v>
      </c>
      <c r="C886" s="1">
        <v>0.18803700000000001</v>
      </c>
      <c r="D886" s="1">
        <f>IF(B886&gt;C886,B886-C886,C886-B886)</f>
        <v>3.6960000000000048E-3</v>
      </c>
      <c r="E886">
        <f>MINUTE(D886)</f>
        <v>5</v>
      </c>
      <c r="F886">
        <f>SECOND(D886)</f>
        <v>19</v>
      </c>
      <c r="G886">
        <f>ROUND(E886+F886/60,2)</f>
        <v>5.32</v>
      </c>
      <c r="H886">
        <f>60*E886+F886</f>
        <v>319</v>
      </c>
      <c r="I886" s="3">
        <f>5*(3600/H886)</f>
        <v>56.426332288401255</v>
      </c>
      <c r="J886" s="16">
        <f t="shared" si="26"/>
        <v>0</v>
      </c>
      <c r="K886" s="17">
        <f t="shared" si="27"/>
        <v>4</v>
      </c>
    </row>
    <row r="887" spans="1:11" x14ac:dyDescent="0.25">
      <c r="A887" s="4" t="s">
        <v>41</v>
      </c>
      <c r="B887" s="1">
        <v>0.57073399999999996</v>
      </c>
      <c r="C887" s="1">
        <v>0.56704200000000005</v>
      </c>
      <c r="D887" s="1">
        <f>IF(B887&gt;C887,B887-C887,C887-B887)</f>
        <v>3.6919999999999176E-3</v>
      </c>
      <c r="E887">
        <f>MINUTE(D887)</f>
        <v>5</v>
      </c>
      <c r="F887">
        <f>SECOND(D887)</f>
        <v>19</v>
      </c>
      <c r="G887">
        <f>ROUND(E887+F887/60,2)</f>
        <v>5.32</v>
      </c>
      <c r="H887">
        <f>60*E887+F887</f>
        <v>319</v>
      </c>
      <c r="I887" s="3">
        <f>5*(3600/H887)</f>
        <v>56.426332288401255</v>
      </c>
      <c r="J887" s="16">
        <f t="shared" si="26"/>
        <v>0</v>
      </c>
      <c r="K887" s="17">
        <f t="shared" si="27"/>
        <v>13</v>
      </c>
    </row>
    <row r="888" spans="1:11" x14ac:dyDescent="0.25">
      <c r="A888" s="4" t="s">
        <v>162</v>
      </c>
      <c r="B888" s="1">
        <v>0.81777500000000003</v>
      </c>
      <c r="C888" s="1">
        <v>0.81406699999999999</v>
      </c>
      <c r="D888" s="1">
        <f>IF(B888&gt;C888,B888-C888,C888-B888)</f>
        <v>3.7080000000000446E-3</v>
      </c>
      <c r="E888">
        <f>MINUTE(D888)</f>
        <v>5</v>
      </c>
      <c r="F888">
        <f>SECOND(D888)</f>
        <v>20</v>
      </c>
      <c r="G888">
        <f>ROUND(E888+F888/60,2)</f>
        <v>5.33</v>
      </c>
      <c r="H888">
        <f>60*E888+F888</f>
        <v>320</v>
      </c>
      <c r="I888" s="3">
        <f>5*(3600/H888)</f>
        <v>56.25</v>
      </c>
      <c r="J888" s="16">
        <f t="shared" si="26"/>
        <v>0</v>
      </c>
      <c r="K888" s="17">
        <f t="shared" si="27"/>
        <v>19</v>
      </c>
    </row>
    <row r="889" spans="1:11" x14ac:dyDescent="0.25">
      <c r="A889" s="4" t="s">
        <v>109</v>
      </c>
      <c r="B889" s="1">
        <v>0.60236199999999995</v>
      </c>
      <c r="C889" s="1">
        <v>0.60606199999999999</v>
      </c>
      <c r="D889" s="1">
        <f>IF(B889&gt;C889,B889-C889,C889-B889)</f>
        <v>3.7000000000000366E-3</v>
      </c>
      <c r="E889">
        <f>MINUTE(D889)</f>
        <v>5</v>
      </c>
      <c r="F889">
        <f>SECOND(D889)</f>
        <v>20</v>
      </c>
      <c r="G889">
        <f>ROUND(E889+F889/60,2)</f>
        <v>5.33</v>
      </c>
      <c r="H889">
        <f>60*E889+F889</f>
        <v>320</v>
      </c>
      <c r="I889" s="3">
        <f>5*(3600/H889)</f>
        <v>56.25</v>
      </c>
      <c r="J889" s="16">
        <f t="shared" si="26"/>
        <v>0</v>
      </c>
      <c r="K889" s="17">
        <f t="shared" si="27"/>
        <v>14</v>
      </c>
    </row>
    <row r="890" spans="1:11" x14ac:dyDescent="0.25">
      <c r="A890" s="4" t="s">
        <v>44</v>
      </c>
      <c r="B890" s="1">
        <v>0.40304299999999998</v>
      </c>
      <c r="C890" s="1">
        <v>0.399339</v>
      </c>
      <c r="D890" s="1">
        <f>IF(B890&gt;C890,B890-C890,C890-B890)</f>
        <v>3.7039999999999851E-3</v>
      </c>
      <c r="E890">
        <f>MINUTE(D890)</f>
        <v>5</v>
      </c>
      <c r="F890">
        <f>SECOND(D890)</f>
        <v>20</v>
      </c>
      <c r="G890">
        <f>ROUND(E890+F890/60,2)</f>
        <v>5.33</v>
      </c>
      <c r="H890">
        <f>60*E890+F890</f>
        <v>320</v>
      </c>
      <c r="I890" s="3">
        <f>5*(3600/H890)</f>
        <v>56.25</v>
      </c>
      <c r="J890" s="16">
        <f t="shared" si="26"/>
        <v>0</v>
      </c>
      <c r="K890" s="17">
        <f t="shared" si="27"/>
        <v>9</v>
      </c>
    </row>
    <row r="891" spans="1:11" x14ac:dyDescent="0.25">
      <c r="A891" s="4" t="s">
        <v>312</v>
      </c>
      <c r="B891" s="1">
        <v>5.4336000000000002E-2</v>
      </c>
      <c r="C891" s="1">
        <v>5.8035999999999997E-2</v>
      </c>
      <c r="D891" s="1">
        <f>IF(B891&gt;C891,B891-C891,C891-B891)</f>
        <v>3.699999999999995E-3</v>
      </c>
      <c r="E891">
        <f>MINUTE(D891)</f>
        <v>5</v>
      </c>
      <c r="F891">
        <f>SECOND(D891)</f>
        <v>20</v>
      </c>
      <c r="G891">
        <f>ROUND(E891+F891/60,2)</f>
        <v>5.33</v>
      </c>
      <c r="H891">
        <f>60*E891+F891</f>
        <v>320</v>
      </c>
      <c r="I891" s="3">
        <f>5*(3600/H891)</f>
        <v>56.25</v>
      </c>
      <c r="J891" s="16">
        <f t="shared" si="26"/>
        <v>0</v>
      </c>
      <c r="K891" s="17">
        <f t="shared" si="27"/>
        <v>1</v>
      </c>
    </row>
    <row r="892" spans="1:11" x14ac:dyDescent="0.25">
      <c r="A892" s="4" t="s">
        <v>69</v>
      </c>
      <c r="B892" s="1">
        <v>0.51825500000000002</v>
      </c>
      <c r="C892" s="1">
        <v>0.51454299999999997</v>
      </c>
      <c r="D892" s="1">
        <f>IF(B892&gt;C892,B892-C892,C892-B892)</f>
        <v>3.7120000000000486E-3</v>
      </c>
      <c r="E892">
        <f>MINUTE(D892)</f>
        <v>5</v>
      </c>
      <c r="F892">
        <f>SECOND(D892)</f>
        <v>21</v>
      </c>
      <c r="G892">
        <f>ROUND(E892+F892/60,2)</f>
        <v>5.35</v>
      </c>
      <c r="H892">
        <f>60*E892+F892</f>
        <v>321</v>
      </c>
      <c r="I892" s="3">
        <f>5*(3600/H892)</f>
        <v>56.074766355140184</v>
      </c>
      <c r="J892" s="16">
        <f t="shared" si="26"/>
        <v>0</v>
      </c>
      <c r="K892" s="17">
        <f t="shared" si="27"/>
        <v>12</v>
      </c>
    </row>
    <row r="893" spans="1:11" x14ac:dyDescent="0.25">
      <c r="A893" s="4" t="s">
        <v>130</v>
      </c>
      <c r="B893" s="1">
        <v>0.23073199999999999</v>
      </c>
      <c r="C893" s="1">
        <v>0.22701199999999999</v>
      </c>
      <c r="D893" s="1">
        <f>IF(B893&gt;C893,B893-C893,C893-B893)</f>
        <v>3.7200000000000011E-3</v>
      </c>
      <c r="E893">
        <f>MINUTE(D893)</f>
        <v>5</v>
      </c>
      <c r="F893">
        <f>SECOND(D893)</f>
        <v>21</v>
      </c>
      <c r="G893">
        <f>ROUND(E893+F893/60,2)</f>
        <v>5.35</v>
      </c>
      <c r="H893">
        <f>60*E893+F893</f>
        <v>321</v>
      </c>
      <c r="I893" s="3">
        <f>5*(3600/H893)</f>
        <v>56.074766355140184</v>
      </c>
      <c r="J893" s="16">
        <f t="shared" si="26"/>
        <v>0</v>
      </c>
      <c r="K893" s="17">
        <f t="shared" si="27"/>
        <v>5</v>
      </c>
    </row>
    <row r="894" spans="1:11" x14ac:dyDescent="0.25">
      <c r="A894" s="4" t="s">
        <v>34</v>
      </c>
      <c r="B894" s="1">
        <v>0.23633899999999999</v>
      </c>
      <c r="C894" s="1">
        <v>0.23261499999999999</v>
      </c>
      <c r="D894" s="1">
        <f>IF(B894&gt;C894,B894-C894,C894-B894)</f>
        <v>3.7240000000000051E-3</v>
      </c>
      <c r="E894">
        <f>MINUTE(D894)</f>
        <v>5</v>
      </c>
      <c r="F894">
        <f>SECOND(D894)</f>
        <v>22</v>
      </c>
      <c r="G894">
        <f>ROUND(E894+F894/60,2)</f>
        <v>5.37</v>
      </c>
      <c r="H894">
        <f>60*E894+F894</f>
        <v>322</v>
      </c>
      <c r="I894" s="3">
        <f>5*(3600/H894)</f>
        <v>55.900621118012424</v>
      </c>
      <c r="J894" s="16">
        <f t="shared" si="26"/>
        <v>0</v>
      </c>
      <c r="K894" s="17">
        <f t="shared" si="27"/>
        <v>5</v>
      </c>
    </row>
    <row r="895" spans="1:11" x14ac:dyDescent="0.25">
      <c r="A895" s="4" t="s">
        <v>117</v>
      </c>
      <c r="B895" s="1">
        <v>0.28364</v>
      </c>
      <c r="C895" s="1">
        <v>0.27990799999999999</v>
      </c>
      <c r="D895" s="1">
        <f>IF(B895&gt;C895,B895-C895,C895-B895)</f>
        <v>3.7320000000000131E-3</v>
      </c>
      <c r="E895">
        <f>MINUTE(D895)</f>
        <v>5</v>
      </c>
      <c r="F895">
        <f>SECOND(D895)</f>
        <v>22</v>
      </c>
      <c r="G895">
        <f>ROUND(E895+F895/60,2)</f>
        <v>5.37</v>
      </c>
      <c r="H895">
        <f>60*E895+F895</f>
        <v>322</v>
      </c>
      <c r="I895" s="3">
        <f>5*(3600/H895)</f>
        <v>55.900621118012424</v>
      </c>
      <c r="J895" s="16">
        <f t="shared" si="26"/>
        <v>0</v>
      </c>
      <c r="K895" s="17">
        <f t="shared" si="27"/>
        <v>6</v>
      </c>
    </row>
    <row r="896" spans="1:11" x14ac:dyDescent="0.25">
      <c r="A896" s="4" t="s">
        <v>72</v>
      </c>
      <c r="B896" s="1">
        <v>0.35344900000000001</v>
      </c>
      <c r="C896" s="1">
        <v>0.35718100000000003</v>
      </c>
      <c r="D896" s="1">
        <f>IF(B896&gt;C896,B896-C896,C896-B896)</f>
        <v>3.7320000000000131E-3</v>
      </c>
      <c r="E896">
        <f>MINUTE(D896)</f>
        <v>5</v>
      </c>
      <c r="F896">
        <f>SECOND(D896)</f>
        <v>22</v>
      </c>
      <c r="G896">
        <f>ROUND(E896+F896/60,2)</f>
        <v>5.37</v>
      </c>
      <c r="H896">
        <f>60*E896+F896</f>
        <v>322</v>
      </c>
      <c r="I896" s="3">
        <f>5*(3600/H896)</f>
        <v>55.900621118012424</v>
      </c>
      <c r="J896" s="16">
        <f t="shared" si="26"/>
        <v>0</v>
      </c>
      <c r="K896" s="17">
        <f t="shared" si="27"/>
        <v>8</v>
      </c>
    </row>
    <row r="897" spans="1:11" x14ac:dyDescent="0.25">
      <c r="A897" s="4" t="s">
        <v>77</v>
      </c>
      <c r="B897" s="1">
        <v>0.32361200000000001</v>
      </c>
      <c r="C897" s="1">
        <v>0.31988800000000001</v>
      </c>
      <c r="D897" s="1">
        <f>IF(B897&gt;C897,B897-C897,C897-B897)</f>
        <v>3.7240000000000051E-3</v>
      </c>
      <c r="E897">
        <f>MINUTE(D897)</f>
        <v>5</v>
      </c>
      <c r="F897">
        <f>SECOND(D897)</f>
        <v>22</v>
      </c>
      <c r="G897">
        <f>ROUND(E897+F897/60,2)</f>
        <v>5.37</v>
      </c>
      <c r="H897">
        <f>60*E897+F897</f>
        <v>322</v>
      </c>
      <c r="I897" s="3">
        <f>5*(3600/H897)</f>
        <v>55.900621118012424</v>
      </c>
      <c r="J897" s="16">
        <f t="shared" si="26"/>
        <v>0</v>
      </c>
      <c r="K897" s="17">
        <f t="shared" si="27"/>
        <v>7</v>
      </c>
    </row>
    <row r="898" spans="1:11" x14ac:dyDescent="0.25">
      <c r="A898" s="4" t="s">
        <v>162</v>
      </c>
      <c r="B898" s="1">
        <v>0.44693699999999997</v>
      </c>
      <c r="C898" s="1">
        <v>0.44320900000000002</v>
      </c>
      <c r="D898" s="1">
        <f>IF(B898&gt;C898,B898-C898,C898-B898)</f>
        <v>3.7279999999999536E-3</v>
      </c>
      <c r="E898">
        <f>MINUTE(D898)</f>
        <v>5</v>
      </c>
      <c r="F898">
        <f>SECOND(D898)</f>
        <v>22</v>
      </c>
      <c r="G898">
        <f>ROUND(E898+F898/60,2)</f>
        <v>5.37</v>
      </c>
      <c r="H898">
        <f>60*E898+F898</f>
        <v>322</v>
      </c>
      <c r="I898" s="3">
        <f>5*(3600/H898)</f>
        <v>55.900621118012424</v>
      </c>
      <c r="J898" s="16">
        <f t="shared" si="26"/>
        <v>0</v>
      </c>
      <c r="K898" s="17">
        <f t="shared" si="27"/>
        <v>10</v>
      </c>
    </row>
    <row r="899" spans="1:11" x14ac:dyDescent="0.25">
      <c r="A899" s="4" t="s">
        <v>43</v>
      </c>
      <c r="B899" s="1">
        <v>0.71188700000000005</v>
      </c>
      <c r="C899" s="1">
        <v>0.715611</v>
      </c>
      <c r="D899" s="1">
        <f>IF(B899&gt;C899,B899-C899,C899-B899)</f>
        <v>3.7239999999999496E-3</v>
      </c>
      <c r="E899">
        <f>MINUTE(D899)</f>
        <v>5</v>
      </c>
      <c r="F899">
        <f>SECOND(D899)</f>
        <v>22</v>
      </c>
      <c r="G899">
        <f>ROUND(E899+F899/60,2)</f>
        <v>5.37</v>
      </c>
      <c r="H899">
        <f>60*E899+F899</f>
        <v>322</v>
      </c>
      <c r="I899" s="3">
        <f>5*(3600/H899)</f>
        <v>55.900621118012424</v>
      </c>
      <c r="J899" s="16">
        <f t="shared" ref="J899:J962" si="28">IF(I899&gt;140,1,0)</f>
        <v>0</v>
      </c>
      <c r="K899" s="17">
        <f t="shared" ref="K899:K962" si="29">HOUR(B899)</f>
        <v>17</v>
      </c>
    </row>
    <row r="900" spans="1:11" x14ac:dyDescent="0.25">
      <c r="A900" s="4" t="s">
        <v>278</v>
      </c>
      <c r="B900" s="1">
        <v>0.29603000000000002</v>
      </c>
      <c r="C900" s="1">
        <v>0.29230200000000001</v>
      </c>
      <c r="D900" s="1">
        <f>IF(B900&gt;C900,B900-C900,C900-B900)</f>
        <v>3.7280000000000091E-3</v>
      </c>
      <c r="E900">
        <f>MINUTE(D900)</f>
        <v>5</v>
      </c>
      <c r="F900">
        <f>SECOND(D900)</f>
        <v>22</v>
      </c>
      <c r="G900">
        <f>ROUND(E900+F900/60,2)</f>
        <v>5.37</v>
      </c>
      <c r="H900">
        <f>60*E900+F900</f>
        <v>322</v>
      </c>
      <c r="I900" s="3">
        <f>5*(3600/H900)</f>
        <v>55.900621118012424</v>
      </c>
      <c r="J900" s="16">
        <f t="shared" si="28"/>
        <v>0</v>
      </c>
      <c r="K900" s="17">
        <f t="shared" si="29"/>
        <v>7</v>
      </c>
    </row>
    <row r="901" spans="1:11" x14ac:dyDescent="0.25">
      <c r="A901" s="4" t="s">
        <v>10</v>
      </c>
      <c r="B901" s="1">
        <v>0.85223800000000005</v>
      </c>
      <c r="C901" s="1">
        <v>0.84849799999999997</v>
      </c>
      <c r="D901" s="1">
        <f>IF(B901&gt;C901,B901-C901,C901-B901)</f>
        <v>3.7400000000000766E-3</v>
      </c>
      <c r="E901">
        <f>MINUTE(D901)</f>
        <v>5</v>
      </c>
      <c r="F901">
        <f>SECOND(D901)</f>
        <v>23</v>
      </c>
      <c r="G901">
        <f>ROUND(E901+F901/60,2)</f>
        <v>5.38</v>
      </c>
      <c r="H901">
        <f>60*E901+F901</f>
        <v>323</v>
      </c>
      <c r="I901" s="3">
        <f>5*(3600/H901)</f>
        <v>55.727554179566567</v>
      </c>
      <c r="J901" s="16">
        <f t="shared" si="28"/>
        <v>0</v>
      </c>
      <c r="K901" s="17">
        <f t="shared" si="29"/>
        <v>20</v>
      </c>
    </row>
    <row r="902" spans="1:11" x14ac:dyDescent="0.25">
      <c r="A902" s="4" t="s">
        <v>161</v>
      </c>
      <c r="B902" s="1">
        <v>0.37874799999999997</v>
      </c>
      <c r="C902" s="1">
        <v>0.382492</v>
      </c>
      <c r="D902" s="1">
        <f>IF(B902&gt;C902,B902-C902,C902-B902)</f>
        <v>3.7440000000000251E-3</v>
      </c>
      <c r="E902">
        <f>MINUTE(D902)</f>
        <v>5</v>
      </c>
      <c r="F902">
        <f>SECOND(D902)</f>
        <v>23</v>
      </c>
      <c r="G902">
        <f>ROUND(E902+F902/60,2)</f>
        <v>5.38</v>
      </c>
      <c r="H902">
        <f>60*E902+F902</f>
        <v>323</v>
      </c>
      <c r="I902" s="3">
        <f>5*(3600/H902)</f>
        <v>55.727554179566567</v>
      </c>
      <c r="J902" s="16">
        <f t="shared" si="28"/>
        <v>0</v>
      </c>
      <c r="K902" s="17">
        <f t="shared" si="29"/>
        <v>9</v>
      </c>
    </row>
    <row r="903" spans="1:11" x14ac:dyDescent="0.25">
      <c r="A903" s="4" t="s">
        <v>21</v>
      </c>
      <c r="B903" s="1">
        <v>0.36847200000000002</v>
      </c>
      <c r="C903" s="1">
        <v>0.364732</v>
      </c>
      <c r="D903" s="1">
        <f>IF(B903&gt;C903,B903-C903,C903-B903)</f>
        <v>3.7400000000000211E-3</v>
      </c>
      <c r="E903">
        <f>MINUTE(D903)</f>
        <v>5</v>
      </c>
      <c r="F903">
        <f>SECOND(D903)</f>
        <v>23</v>
      </c>
      <c r="G903">
        <f>ROUND(E903+F903/60,2)</f>
        <v>5.38</v>
      </c>
      <c r="H903">
        <f>60*E903+F903</f>
        <v>323</v>
      </c>
      <c r="I903" s="3">
        <f>5*(3600/H903)</f>
        <v>55.727554179566567</v>
      </c>
      <c r="J903" s="16">
        <f t="shared" si="28"/>
        <v>0</v>
      </c>
      <c r="K903" s="17">
        <f t="shared" si="29"/>
        <v>8</v>
      </c>
    </row>
    <row r="904" spans="1:11" x14ac:dyDescent="0.25">
      <c r="A904" s="4" t="s">
        <v>41</v>
      </c>
      <c r="B904" s="1">
        <v>0.811751</v>
      </c>
      <c r="C904" s="1">
        <v>0.81549499999999997</v>
      </c>
      <c r="D904" s="1">
        <f>IF(B904&gt;C904,B904-C904,C904-B904)</f>
        <v>3.7439999999999696E-3</v>
      </c>
      <c r="E904">
        <f>MINUTE(D904)</f>
        <v>5</v>
      </c>
      <c r="F904">
        <f>SECOND(D904)</f>
        <v>23</v>
      </c>
      <c r="G904">
        <f>ROUND(E904+F904/60,2)</f>
        <v>5.38</v>
      </c>
      <c r="H904">
        <f>60*E904+F904</f>
        <v>323</v>
      </c>
      <c r="I904" s="3">
        <f>5*(3600/H904)</f>
        <v>55.727554179566567</v>
      </c>
      <c r="J904" s="16">
        <f t="shared" si="28"/>
        <v>0</v>
      </c>
      <c r="K904" s="17">
        <f t="shared" si="29"/>
        <v>19</v>
      </c>
    </row>
    <row r="905" spans="1:11" x14ac:dyDescent="0.25">
      <c r="A905" s="4" t="s">
        <v>5</v>
      </c>
      <c r="B905" s="1">
        <v>0.14322299999999999</v>
      </c>
      <c r="C905" s="1">
        <v>0.14696300000000001</v>
      </c>
      <c r="D905" s="1">
        <f>IF(B905&gt;C905,B905-C905,C905-B905)</f>
        <v>3.7400000000000211E-3</v>
      </c>
      <c r="E905">
        <f>MINUTE(D905)</f>
        <v>5</v>
      </c>
      <c r="F905">
        <f>SECOND(D905)</f>
        <v>23</v>
      </c>
      <c r="G905">
        <f>ROUND(E905+F905/60,2)</f>
        <v>5.38</v>
      </c>
      <c r="H905">
        <f>60*E905+F905</f>
        <v>323</v>
      </c>
      <c r="I905" s="3">
        <f>5*(3600/H905)</f>
        <v>55.727554179566567</v>
      </c>
      <c r="J905" s="16">
        <f t="shared" si="28"/>
        <v>0</v>
      </c>
      <c r="K905" s="17">
        <f t="shared" si="29"/>
        <v>3</v>
      </c>
    </row>
    <row r="906" spans="1:11" x14ac:dyDescent="0.25">
      <c r="A906" s="8" t="s">
        <v>179</v>
      </c>
      <c r="B906" s="1">
        <v>0.92008900000000005</v>
      </c>
      <c r="C906" s="1">
        <v>0.92382900000000001</v>
      </c>
      <c r="D906" s="1">
        <f>IF(B906&gt;C906,B906-C906,C906-B906)</f>
        <v>3.7399999999999656E-3</v>
      </c>
      <c r="E906">
        <f>MINUTE(D906)</f>
        <v>5</v>
      </c>
      <c r="F906">
        <f>SECOND(D906)</f>
        <v>23</v>
      </c>
      <c r="G906">
        <f>ROUND(E906+F906/60,2)</f>
        <v>5.38</v>
      </c>
      <c r="H906">
        <f>60*E906+F906</f>
        <v>323</v>
      </c>
      <c r="I906" s="10">
        <f>5*(3600/H906)</f>
        <v>55.727554179566567</v>
      </c>
      <c r="J906" s="16">
        <f t="shared" si="28"/>
        <v>0</v>
      </c>
      <c r="K906" s="17">
        <f t="shared" si="29"/>
        <v>22</v>
      </c>
    </row>
    <row r="907" spans="1:11" x14ac:dyDescent="0.25">
      <c r="A907" s="4" t="s">
        <v>30</v>
      </c>
      <c r="B907" s="1">
        <v>0.46298299999999998</v>
      </c>
      <c r="C907" s="1">
        <v>0.459231</v>
      </c>
      <c r="D907" s="1">
        <f>IF(B907&gt;C907,B907-C907,C907-B907)</f>
        <v>3.7519999999999776E-3</v>
      </c>
      <c r="E907">
        <f>MINUTE(D907)</f>
        <v>5</v>
      </c>
      <c r="F907">
        <f>SECOND(D907)</f>
        <v>24</v>
      </c>
      <c r="G907">
        <f>ROUND(E907+F907/60,2)</f>
        <v>5.4</v>
      </c>
      <c r="H907">
        <f>60*E907+F907</f>
        <v>324</v>
      </c>
      <c r="I907" s="3">
        <f>5*(3600/H907)</f>
        <v>55.555555555555557</v>
      </c>
      <c r="J907" s="16">
        <f t="shared" si="28"/>
        <v>0</v>
      </c>
      <c r="K907" s="17">
        <f t="shared" si="29"/>
        <v>11</v>
      </c>
    </row>
    <row r="908" spans="1:11" x14ac:dyDescent="0.25">
      <c r="A908" s="4" t="s">
        <v>31</v>
      </c>
      <c r="B908" s="1">
        <v>7.6189999999999999E-3</v>
      </c>
      <c r="C908" s="1">
        <v>3.8670000000000002E-3</v>
      </c>
      <c r="D908" s="1">
        <f>IF(B908&gt;C908,B908-C908,C908-B908)</f>
        <v>3.7519999999999997E-3</v>
      </c>
      <c r="E908">
        <f>MINUTE(D908)</f>
        <v>5</v>
      </c>
      <c r="F908">
        <f>SECOND(D908)</f>
        <v>24</v>
      </c>
      <c r="G908">
        <f>ROUND(E908+F908/60,2)</f>
        <v>5.4</v>
      </c>
      <c r="H908">
        <f>60*E908+F908</f>
        <v>324</v>
      </c>
      <c r="I908" s="3">
        <f>5*(3600/H908)</f>
        <v>55.555555555555557</v>
      </c>
      <c r="J908" s="16">
        <f t="shared" si="28"/>
        <v>0</v>
      </c>
      <c r="K908" s="17">
        <f t="shared" si="29"/>
        <v>0</v>
      </c>
    </row>
    <row r="909" spans="1:11" x14ac:dyDescent="0.25">
      <c r="A909" s="4" t="s">
        <v>33</v>
      </c>
      <c r="B909" s="1">
        <v>0.506386</v>
      </c>
      <c r="C909" s="1">
        <v>0.50263400000000003</v>
      </c>
      <c r="D909" s="1">
        <f>IF(B909&gt;C909,B909-C909,C909-B909)</f>
        <v>3.7519999999999776E-3</v>
      </c>
      <c r="E909">
        <f>MINUTE(D909)</f>
        <v>5</v>
      </c>
      <c r="F909">
        <f>SECOND(D909)</f>
        <v>24</v>
      </c>
      <c r="G909">
        <f>ROUND(E909+F909/60,2)</f>
        <v>5.4</v>
      </c>
      <c r="H909">
        <f>60*E909+F909</f>
        <v>324</v>
      </c>
      <c r="I909" s="3">
        <f>5*(3600/H909)</f>
        <v>55.555555555555557</v>
      </c>
      <c r="J909" s="16">
        <f t="shared" si="28"/>
        <v>0</v>
      </c>
      <c r="K909" s="17">
        <f t="shared" si="29"/>
        <v>12</v>
      </c>
    </row>
    <row r="910" spans="1:11" x14ac:dyDescent="0.25">
      <c r="A910" s="4" t="s">
        <v>80</v>
      </c>
      <c r="B910" s="1">
        <v>0.58458699999999997</v>
      </c>
      <c r="C910" s="1">
        <v>0.58833899999999995</v>
      </c>
      <c r="D910" s="1">
        <f>IF(B910&gt;C910,B910-C910,C910-B910)</f>
        <v>3.7519999999999776E-3</v>
      </c>
      <c r="E910">
        <f>MINUTE(D910)</f>
        <v>5</v>
      </c>
      <c r="F910">
        <f>SECOND(D910)</f>
        <v>24</v>
      </c>
      <c r="G910">
        <f>ROUND(E910+F910/60,2)</f>
        <v>5.4</v>
      </c>
      <c r="H910">
        <f>60*E910+F910</f>
        <v>324</v>
      </c>
      <c r="I910" s="3">
        <f>5*(3600/H910)</f>
        <v>55.555555555555557</v>
      </c>
      <c r="J910" s="16">
        <f t="shared" si="28"/>
        <v>0</v>
      </c>
      <c r="K910" s="17">
        <f t="shared" si="29"/>
        <v>14</v>
      </c>
    </row>
    <row r="911" spans="1:11" x14ac:dyDescent="0.25">
      <c r="A911" s="4" t="s">
        <v>228</v>
      </c>
      <c r="B911" s="1">
        <v>3.1982999999999998E-2</v>
      </c>
      <c r="C911" s="1">
        <v>3.5730999999999999E-2</v>
      </c>
      <c r="D911" s="1">
        <f>IF(B911&gt;C911,B911-C911,C911-B911)</f>
        <v>3.7480000000000013E-3</v>
      </c>
      <c r="E911">
        <f>MINUTE(D911)</f>
        <v>5</v>
      </c>
      <c r="F911">
        <f>SECOND(D911)</f>
        <v>24</v>
      </c>
      <c r="G911">
        <f>ROUND(E911+F911/60,2)</f>
        <v>5.4</v>
      </c>
      <c r="H911">
        <f>60*E911+F911</f>
        <v>324</v>
      </c>
      <c r="I911" s="3">
        <f>5*(3600/H911)</f>
        <v>55.555555555555557</v>
      </c>
      <c r="J911" s="16">
        <f t="shared" si="28"/>
        <v>0</v>
      </c>
      <c r="K911" s="17">
        <f t="shared" si="29"/>
        <v>0</v>
      </c>
    </row>
    <row r="912" spans="1:11" x14ac:dyDescent="0.25">
      <c r="A912" s="4" t="s">
        <v>270</v>
      </c>
      <c r="B912" s="1">
        <v>0.88112500000000005</v>
      </c>
      <c r="C912" s="1">
        <v>0.87737299999999996</v>
      </c>
      <c r="D912" s="1">
        <f>IF(B912&gt;C912,B912-C912,C912-B912)</f>
        <v>3.7520000000000886E-3</v>
      </c>
      <c r="E912">
        <f>MINUTE(D912)</f>
        <v>5</v>
      </c>
      <c r="F912">
        <f>SECOND(D912)</f>
        <v>24</v>
      </c>
      <c r="G912">
        <f>ROUND(E912+F912/60,2)</f>
        <v>5.4</v>
      </c>
      <c r="H912">
        <f>60*E912+F912</f>
        <v>324</v>
      </c>
      <c r="I912" s="3">
        <f>5*(3600/H912)</f>
        <v>55.555555555555557</v>
      </c>
      <c r="J912" s="16">
        <f t="shared" si="28"/>
        <v>0</v>
      </c>
      <c r="K912" s="17">
        <f t="shared" si="29"/>
        <v>21</v>
      </c>
    </row>
    <row r="913" spans="1:11" x14ac:dyDescent="0.25">
      <c r="A913" s="4" t="s">
        <v>202</v>
      </c>
      <c r="B913" s="1">
        <v>0.817774</v>
      </c>
      <c r="C913" s="1">
        <v>0.82153799999999999</v>
      </c>
      <c r="D913" s="1">
        <f>IF(B913&gt;C913,B913-C913,C913-B913)</f>
        <v>3.7639999999999896E-3</v>
      </c>
      <c r="E913">
        <f>MINUTE(D913)</f>
        <v>5</v>
      </c>
      <c r="F913">
        <f>SECOND(D913)</f>
        <v>25</v>
      </c>
      <c r="G913">
        <f>ROUND(E913+F913/60,2)</f>
        <v>5.42</v>
      </c>
      <c r="H913">
        <f>60*E913+F913</f>
        <v>325</v>
      </c>
      <c r="I913" s="3">
        <f>5*(3600/H913)</f>
        <v>55.384615384615387</v>
      </c>
      <c r="J913" s="16">
        <f t="shared" si="28"/>
        <v>0</v>
      </c>
      <c r="K913" s="17">
        <f t="shared" si="29"/>
        <v>19</v>
      </c>
    </row>
    <row r="914" spans="1:11" x14ac:dyDescent="0.25">
      <c r="A914" s="4" t="s">
        <v>223</v>
      </c>
      <c r="B914" s="1">
        <v>0.66965399999999997</v>
      </c>
      <c r="C914" s="1">
        <v>0.66589399999999999</v>
      </c>
      <c r="D914" s="1">
        <f>IF(B914&gt;C914,B914-C914,C914-B914)</f>
        <v>3.7599999999999856E-3</v>
      </c>
      <c r="E914">
        <f>MINUTE(D914)</f>
        <v>5</v>
      </c>
      <c r="F914">
        <f>SECOND(D914)</f>
        <v>25</v>
      </c>
      <c r="G914">
        <f>ROUND(E914+F914/60,2)</f>
        <v>5.42</v>
      </c>
      <c r="H914">
        <f>60*E914+F914</f>
        <v>325</v>
      </c>
      <c r="I914" s="3">
        <f>5*(3600/H914)</f>
        <v>55.384615384615387</v>
      </c>
      <c r="J914" s="16">
        <f t="shared" si="28"/>
        <v>0</v>
      </c>
      <c r="K914" s="17">
        <f t="shared" si="29"/>
        <v>16</v>
      </c>
    </row>
    <row r="915" spans="1:11" x14ac:dyDescent="0.25">
      <c r="A915" s="4" t="s">
        <v>47</v>
      </c>
      <c r="B915" s="1">
        <v>0.73745799999999995</v>
      </c>
      <c r="C915" s="1">
        <v>0.73368199999999995</v>
      </c>
      <c r="D915" s="1">
        <f>IF(B915&gt;C915,B915-C915,C915-B915)</f>
        <v>3.7760000000000016E-3</v>
      </c>
      <c r="E915">
        <f>MINUTE(D915)</f>
        <v>5</v>
      </c>
      <c r="F915">
        <f>SECOND(D915)</f>
        <v>26</v>
      </c>
      <c r="G915">
        <f>ROUND(E915+F915/60,2)</f>
        <v>5.43</v>
      </c>
      <c r="H915">
        <f>60*E915+F915</f>
        <v>326</v>
      </c>
      <c r="I915" s="3">
        <f>5*(3600/H915)</f>
        <v>55.214723926380373</v>
      </c>
      <c r="J915" s="16">
        <f t="shared" si="28"/>
        <v>0</v>
      </c>
      <c r="K915" s="17">
        <f t="shared" si="29"/>
        <v>17</v>
      </c>
    </row>
    <row r="916" spans="1:11" x14ac:dyDescent="0.25">
      <c r="A916" s="4" t="s">
        <v>109</v>
      </c>
      <c r="B916" s="1">
        <v>0.86325399999999997</v>
      </c>
      <c r="C916" s="1">
        <v>0.86702199999999996</v>
      </c>
      <c r="D916" s="1">
        <f>IF(B916&gt;C916,B916-C916,C916-B916)</f>
        <v>3.7679999999999936E-3</v>
      </c>
      <c r="E916">
        <f>MINUTE(D916)</f>
        <v>5</v>
      </c>
      <c r="F916">
        <f>SECOND(D916)</f>
        <v>26</v>
      </c>
      <c r="G916">
        <f>ROUND(E916+F916/60,2)</f>
        <v>5.43</v>
      </c>
      <c r="H916">
        <f>60*E916+F916</f>
        <v>326</v>
      </c>
      <c r="I916" s="3">
        <f>5*(3600/H916)</f>
        <v>55.214723926380373</v>
      </c>
      <c r="J916" s="16">
        <f t="shared" si="28"/>
        <v>0</v>
      </c>
      <c r="K916" s="17">
        <f t="shared" si="29"/>
        <v>20</v>
      </c>
    </row>
    <row r="917" spans="1:11" x14ac:dyDescent="0.25">
      <c r="A917" s="4" t="s">
        <v>337</v>
      </c>
      <c r="B917" s="1">
        <v>5.2663000000000001E-2</v>
      </c>
      <c r="C917" s="1">
        <v>4.8890999999999997E-2</v>
      </c>
      <c r="D917" s="1">
        <f>IF(B917&gt;C917,B917-C917,C917-B917)</f>
        <v>3.7720000000000045E-3</v>
      </c>
      <c r="E917">
        <f>MINUTE(D917)</f>
        <v>5</v>
      </c>
      <c r="F917">
        <f>SECOND(D917)</f>
        <v>26</v>
      </c>
      <c r="G917">
        <f>ROUND(E917+F917/60,2)</f>
        <v>5.43</v>
      </c>
      <c r="H917">
        <f>60*E917+F917</f>
        <v>326</v>
      </c>
      <c r="I917" s="3">
        <f>5*(3600/H917)</f>
        <v>55.214723926380373</v>
      </c>
      <c r="J917" s="16">
        <f t="shared" si="28"/>
        <v>0</v>
      </c>
      <c r="K917" s="17">
        <f t="shared" si="29"/>
        <v>1</v>
      </c>
    </row>
    <row r="918" spans="1:11" x14ac:dyDescent="0.25">
      <c r="A918" s="4" t="s">
        <v>358</v>
      </c>
      <c r="B918" s="1">
        <v>0.76871599999999995</v>
      </c>
      <c r="C918" s="1">
        <v>0.77248799999999995</v>
      </c>
      <c r="D918" s="1">
        <f>IF(B918&gt;C918,B918-C918,C918-B918)</f>
        <v>3.7719999999999976E-3</v>
      </c>
      <c r="E918">
        <f>MINUTE(D918)</f>
        <v>5</v>
      </c>
      <c r="F918">
        <f>SECOND(D918)</f>
        <v>26</v>
      </c>
      <c r="G918">
        <f>ROUND(E918+F918/60,2)</f>
        <v>5.43</v>
      </c>
      <c r="H918">
        <f>60*E918+F918</f>
        <v>326</v>
      </c>
      <c r="I918" s="3">
        <f>5*(3600/H918)</f>
        <v>55.214723926380373</v>
      </c>
      <c r="J918" s="16">
        <f t="shared" si="28"/>
        <v>0</v>
      </c>
      <c r="K918" s="17">
        <f t="shared" si="29"/>
        <v>18</v>
      </c>
    </row>
    <row r="919" spans="1:11" x14ac:dyDescent="0.25">
      <c r="A919" s="4" t="s">
        <v>5</v>
      </c>
      <c r="B919" s="1">
        <v>0.31651800000000002</v>
      </c>
      <c r="C919" s="1">
        <v>0.31273800000000002</v>
      </c>
      <c r="D919" s="1">
        <f>IF(B919&gt;C919,B919-C919,C919-B919)</f>
        <v>3.7800000000000056E-3</v>
      </c>
      <c r="E919">
        <f>MINUTE(D919)</f>
        <v>5</v>
      </c>
      <c r="F919">
        <f>SECOND(D919)</f>
        <v>27</v>
      </c>
      <c r="G919">
        <f>ROUND(E919+F919/60,2)</f>
        <v>5.45</v>
      </c>
      <c r="H919">
        <f>60*E919+F919</f>
        <v>327</v>
      </c>
      <c r="I919" s="3">
        <f>5*(3600/H919)</f>
        <v>55.045871559633028</v>
      </c>
      <c r="J919" s="16">
        <f t="shared" si="28"/>
        <v>0</v>
      </c>
      <c r="K919" s="17">
        <f t="shared" si="29"/>
        <v>7</v>
      </c>
    </row>
    <row r="920" spans="1:11" x14ac:dyDescent="0.25">
      <c r="A920" s="4" t="s">
        <v>87</v>
      </c>
      <c r="B920" s="1">
        <v>0.29541000000000001</v>
      </c>
      <c r="C920" s="1">
        <v>0.29919800000000002</v>
      </c>
      <c r="D920" s="1">
        <f>IF(B920&gt;C920,B920-C920,C920-B920)</f>
        <v>3.7880000000000136E-3</v>
      </c>
      <c r="E920">
        <f>MINUTE(D920)</f>
        <v>5</v>
      </c>
      <c r="F920">
        <f>SECOND(D920)</f>
        <v>27</v>
      </c>
      <c r="G920">
        <f>ROUND(E920+F920/60,2)</f>
        <v>5.45</v>
      </c>
      <c r="H920">
        <f>60*E920+F920</f>
        <v>327</v>
      </c>
      <c r="I920" s="3">
        <f>5*(3600/H920)</f>
        <v>55.045871559633028</v>
      </c>
      <c r="J920" s="16">
        <f t="shared" si="28"/>
        <v>0</v>
      </c>
      <c r="K920" s="17">
        <f t="shared" si="29"/>
        <v>7</v>
      </c>
    </row>
    <row r="921" spans="1:11" x14ac:dyDescent="0.25">
      <c r="A921" s="4" t="s">
        <v>56</v>
      </c>
      <c r="B921" s="1">
        <v>0.45928099999999999</v>
      </c>
      <c r="C921" s="1">
        <v>0.45549299999999998</v>
      </c>
      <c r="D921" s="1">
        <f>IF(B921&gt;C921,B921-C921,C921-B921)</f>
        <v>3.7880000000000136E-3</v>
      </c>
      <c r="E921">
        <f>MINUTE(D921)</f>
        <v>5</v>
      </c>
      <c r="F921">
        <f>SECOND(D921)</f>
        <v>27</v>
      </c>
      <c r="G921">
        <f>ROUND(E921+F921/60,2)</f>
        <v>5.45</v>
      </c>
      <c r="H921">
        <f>60*E921+F921</f>
        <v>327</v>
      </c>
      <c r="I921" s="3">
        <f>5*(3600/H921)</f>
        <v>55.045871559633028</v>
      </c>
      <c r="J921" s="16">
        <f t="shared" si="28"/>
        <v>0</v>
      </c>
      <c r="K921" s="17">
        <f t="shared" si="29"/>
        <v>11</v>
      </c>
    </row>
    <row r="922" spans="1:11" x14ac:dyDescent="0.25">
      <c r="A922" s="4" t="s">
        <v>187</v>
      </c>
      <c r="B922" s="1">
        <v>0.688388</v>
      </c>
      <c r="C922" s="1">
        <v>0.69217200000000001</v>
      </c>
      <c r="D922" s="1">
        <f>IF(B922&gt;C922,B922-C922,C922-B922)</f>
        <v>3.7840000000000096E-3</v>
      </c>
      <c r="E922">
        <f>MINUTE(D922)</f>
        <v>5</v>
      </c>
      <c r="F922">
        <f>SECOND(D922)</f>
        <v>27</v>
      </c>
      <c r="G922">
        <f>ROUND(E922+F922/60,2)</f>
        <v>5.45</v>
      </c>
      <c r="H922">
        <f>60*E922+F922</f>
        <v>327</v>
      </c>
      <c r="I922" s="3">
        <f>5*(3600/H922)</f>
        <v>55.045871559633028</v>
      </c>
      <c r="J922" s="16">
        <f t="shared" si="28"/>
        <v>0</v>
      </c>
      <c r="K922" s="17">
        <f t="shared" si="29"/>
        <v>16</v>
      </c>
    </row>
    <row r="923" spans="1:11" x14ac:dyDescent="0.25">
      <c r="A923" s="4" t="s">
        <v>395</v>
      </c>
      <c r="B923" s="1">
        <v>0.42941800000000002</v>
      </c>
      <c r="C923" s="1">
        <v>0.42563400000000001</v>
      </c>
      <c r="D923" s="1">
        <f>IF(B923&gt;C923,B923-C923,C923-B923)</f>
        <v>3.7840000000000096E-3</v>
      </c>
      <c r="E923">
        <f>MINUTE(D923)</f>
        <v>5</v>
      </c>
      <c r="F923">
        <f>SECOND(D923)</f>
        <v>27</v>
      </c>
      <c r="G923">
        <f>ROUND(E923+F923/60,2)</f>
        <v>5.45</v>
      </c>
      <c r="H923">
        <f>60*E923+F923</f>
        <v>327</v>
      </c>
      <c r="I923" s="3">
        <f>5*(3600/H923)</f>
        <v>55.045871559633028</v>
      </c>
      <c r="J923" s="16">
        <f t="shared" si="28"/>
        <v>0</v>
      </c>
      <c r="K923" s="17">
        <f t="shared" si="29"/>
        <v>10</v>
      </c>
    </row>
    <row r="924" spans="1:11" x14ac:dyDescent="0.25">
      <c r="A924" s="4" t="s">
        <v>150</v>
      </c>
      <c r="B924" s="1">
        <v>0.92992200000000003</v>
      </c>
      <c r="C924" s="1">
        <v>0.926122</v>
      </c>
      <c r="D924" s="1">
        <f>IF(B924&gt;C924,B924-C924,C924-B924)</f>
        <v>3.8000000000000256E-3</v>
      </c>
      <c r="E924">
        <f>MINUTE(D924)</f>
        <v>5</v>
      </c>
      <c r="F924">
        <f>SECOND(D924)</f>
        <v>28</v>
      </c>
      <c r="G924">
        <f>ROUND(E924+F924/60,2)</f>
        <v>5.47</v>
      </c>
      <c r="H924">
        <f>60*E924+F924</f>
        <v>328</v>
      </c>
      <c r="I924" s="3">
        <f>5*(3600/H924)</f>
        <v>54.878048780487809</v>
      </c>
      <c r="J924" s="16">
        <f t="shared" si="28"/>
        <v>0</v>
      </c>
      <c r="K924" s="17">
        <f t="shared" si="29"/>
        <v>22</v>
      </c>
    </row>
    <row r="925" spans="1:11" x14ac:dyDescent="0.25">
      <c r="A925" s="4" t="s">
        <v>109</v>
      </c>
      <c r="B925" s="1">
        <v>0.30027799999999999</v>
      </c>
      <c r="C925" s="1">
        <v>0.30407800000000001</v>
      </c>
      <c r="D925" s="1">
        <f>IF(B925&gt;C925,B925-C925,C925-B925)</f>
        <v>3.8000000000000256E-3</v>
      </c>
      <c r="E925">
        <f>MINUTE(D925)</f>
        <v>5</v>
      </c>
      <c r="F925">
        <f>SECOND(D925)</f>
        <v>28</v>
      </c>
      <c r="G925">
        <f>ROUND(E925+F925/60,2)</f>
        <v>5.47</v>
      </c>
      <c r="H925">
        <f>60*E925+F925</f>
        <v>328</v>
      </c>
      <c r="I925" s="3">
        <f>5*(3600/H925)</f>
        <v>54.878048780487809</v>
      </c>
      <c r="J925" s="16">
        <f t="shared" si="28"/>
        <v>0</v>
      </c>
      <c r="K925" s="17">
        <f t="shared" si="29"/>
        <v>7</v>
      </c>
    </row>
    <row r="926" spans="1:11" x14ac:dyDescent="0.25">
      <c r="A926" s="4" t="s">
        <v>162</v>
      </c>
      <c r="B926" s="1">
        <v>0.33263599999999999</v>
      </c>
      <c r="C926" s="1">
        <v>0.32883600000000002</v>
      </c>
      <c r="D926" s="1">
        <f>IF(B926&gt;C926,B926-C926,C926-B926)</f>
        <v>3.7999999999999701E-3</v>
      </c>
      <c r="E926">
        <f>MINUTE(D926)</f>
        <v>5</v>
      </c>
      <c r="F926">
        <f>SECOND(D926)</f>
        <v>28</v>
      </c>
      <c r="G926">
        <f>ROUND(E926+F926/60,2)</f>
        <v>5.47</v>
      </c>
      <c r="H926">
        <f>60*E926+F926</f>
        <v>328</v>
      </c>
      <c r="I926" s="3">
        <f>5*(3600/H926)</f>
        <v>54.878048780487809</v>
      </c>
      <c r="J926" s="16">
        <f t="shared" si="28"/>
        <v>0</v>
      </c>
      <c r="K926" s="17">
        <f t="shared" si="29"/>
        <v>7</v>
      </c>
    </row>
    <row r="927" spans="1:11" x14ac:dyDescent="0.25">
      <c r="A927" s="4" t="s">
        <v>71</v>
      </c>
      <c r="B927" s="1">
        <v>0.53334199999999998</v>
      </c>
      <c r="C927" s="1">
        <v>0.52953799999999995</v>
      </c>
      <c r="D927" s="1">
        <f>IF(B927&gt;C927,B927-C927,C927-B927)</f>
        <v>3.8040000000000296E-3</v>
      </c>
      <c r="E927">
        <f>MINUTE(D927)</f>
        <v>5</v>
      </c>
      <c r="F927">
        <f>SECOND(D927)</f>
        <v>29</v>
      </c>
      <c r="G927">
        <f>ROUND(E927+F927/60,2)</f>
        <v>5.48</v>
      </c>
      <c r="H927">
        <f>60*E927+F927</f>
        <v>329</v>
      </c>
      <c r="I927" s="3">
        <f>5*(3600/H927)</f>
        <v>54.711246200607903</v>
      </c>
      <c r="J927" s="16">
        <f t="shared" si="28"/>
        <v>0</v>
      </c>
      <c r="K927" s="17">
        <f t="shared" si="29"/>
        <v>12</v>
      </c>
    </row>
    <row r="928" spans="1:11" x14ac:dyDescent="0.25">
      <c r="A928" s="4" t="s">
        <v>64</v>
      </c>
      <c r="B928" s="1">
        <v>0.75966599999999995</v>
      </c>
      <c r="C928" s="1">
        <v>0.75585800000000003</v>
      </c>
      <c r="D928" s="1">
        <f>IF(B928&gt;C928,B928-C928,C928-B928)</f>
        <v>3.8079999999999226E-3</v>
      </c>
      <c r="E928">
        <f>MINUTE(D928)</f>
        <v>5</v>
      </c>
      <c r="F928">
        <f>SECOND(D928)</f>
        <v>29</v>
      </c>
      <c r="G928">
        <f>ROUND(E928+F928/60,2)</f>
        <v>5.48</v>
      </c>
      <c r="H928">
        <f>60*E928+F928</f>
        <v>329</v>
      </c>
      <c r="I928" s="3">
        <f>5*(3600/H928)</f>
        <v>54.711246200607903</v>
      </c>
      <c r="J928" s="16">
        <f t="shared" si="28"/>
        <v>0</v>
      </c>
      <c r="K928" s="17">
        <f t="shared" si="29"/>
        <v>18</v>
      </c>
    </row>
    <row r="929" spans="1:11" x14ac:dyDescent="0.25">
      <c r="A929" s="4" t="s">
        <v>109</v>
      </c>
      <c r="B929" s="1">
        <v>0.87171399999999999</v>
      </c>
      <c r="C929" s="1">
        <v>0.87551800000000002</v>
      </c>
      <c r="D929" s="1">
        <f>IF(B929&gt;C929,B929-C929,C929-B929)</f>
        <v>3.8040000000000296E-3</v>
      </c>
      <c r="E929">
        <f>MINUTE(D929)</f>
        <v>5</v>
      </c>
      <c r="F929">
        <f>SECOND(D929)</f>
        <v>29</v>
      </c>
      <c r="G929">
        <f>ROUND(E929+F929/60,2)</f>
        <v>5.48</v>
      </c>
      <c r="H929">
        <f>60*E929+F929</f>
        <v>329</v>
      </c>
      <c r="I929" s="3">
        <f>5*(3600/H929)</f>
        <v>54.711246200607903</v>
      </c>
      <c r="J929" s="16">
        <f t="shared" si="28"/>
        <v>0</v>
      </c>
      <c r="K929" s="17">
        <f t="shared" si="29"/>
        <v>20</v>
      </c>
    </row>
    <row r="930" spans="1:11" x14ac:dyDescent="0.25">
      <c r="A930" s="4" t="s">
        <v>5</v>
      </c>
      <c r="B930" s="1">
        <v>7.6984999999999998E-2</v>
      </c>
      <c r="C930" s="1">
        <v>7.3173000000000002E-2</v>
      </c>
      <c r="D930" s="1">
        <f>IF(B930&gt;C930,B930-C930,C930-B930)</f>
        <v>3.8119999999999959E-3</v>
      </c>
      <c r="E930">
        <f>MINUTE(D930)</f>
        <v>5</v>
      </c>
      <c r="F930">
        <f>SECOND(D930)</f>
        <v>29</v>
      </c>
      <c r="G930">
        <f>ROUND(E930+F930/60,2)</f>
        <v>5.48</v>
      </c>
      <c r="H930">
        <f>60*E930+F930</f>
        <v>329</v>
      </c>
      <c r="I930" s="3">
        <f>5*(3600/H930)</f>
        <v>54.711246200607903</v>
      </c>
      <c r="J930" s="16">
        <f t="shared" si="28"/>
        <v>0</v>
      </c>
      <c r="K930" s="17">
        <f t="shared" si="29"/>
        <v>1</v>
      </c>
    </row>
    <row r="931" spans="1:11" x14ac:dyDescent="0.25">
      <c r="A931" s="4" t="s">
        <v>158</v>
      </c>
      <c r="B931" s="1">
        <v>0.20841899999999999</v>
      </c>
      <c r="C931" s="1">
        <v>0.212231</v>
      </c>
      <c r="D931" s="1">
        <f>IF(B931&gt;C931,B931-C931,C931-B931)</f>
        <v>3.8120000000000098E-3</v>
      </c>
      <c r="E931">
        <f>MINUTE(D931)</f>
        <v>5</v>
      </c>
      <c r="F931">
        <f>SECOND(D931)</f>
        <v>29</v>
      </c>
      <c r="G931">
        <f>ROUND(E931+F931/60,2)</f>
        <v>5.48</v>
      </c>
      <c r="H931">
        <f>60*E931+F931</f>
        <v>329</v>
      </c>
      <c r="I931" s="3">
        <f>5*(3600/H931)</f>
        <v>54.711246200607903</v>
      </c>
      <c r="J931" s="16">
        <f t="shared" si="28"/>
        <v>0</v>
      </c>
      <c r="K931" s="17">
        <f t="shared" si="29"/>
        <v>5</v>
      </c>
    </row>
    <row r="932" spans="1:11" x14ac:dyDescent="0.25">
      <c r="A932" s="4" t="s">
        <v>107</v>
      </c>
      <c r="B932" s="1">
        <v>2.9825000000000001E-2</v>
      </c>
      <c r="C932" s="1">
        <v>3.3637E-2</v>
      </c>
      <c r="D932" s="1">
        <f>IF(B932&gt;C932,B932-C932,C932-B932)</f>
        <v>3.8119999999999994E-3</v>
      </c>
      <c r="E932">
        <f>MINUTE(D932)</f>
        <v>5</v>
      </c>
      <c r="F932">
        <f>SECOND(D932)</f>
        <v>29</v>
      </c>
      <c r="G932">
        <f>ROUND(E932+F932/60,2)</f>
        <v>5.48</v>
      </c>
      <c r="H932">
        <f>60*E932+F932</f>
        <v>329</v>
      </c>
      <c r="I932" s="3">
        <f>5*(3600/H932)</f>
        <v>54.711246200607903</v>
      </c>
      <c r="J932" s="16">
        <f t="shared" si="28"/>
        <v>0</v>
      </c>
      <c r="K932" s="17">
        <f t="shared" si="29"/>
        <v>0</v>
      </c>
    </row>
    <row r="933" spans="1:11" x14ac:dyDescent="0.25">
      <c r="A933" s="4" t="s">
        <v>406</v>
      </c>
      <c r="B933" s="1">
        <v>0.23919599999999999</v>
      </c>
      <c r="C933" s="1">
        <v>0.24299999999999999</v>
      </c>
      <c r="D933" s="1">
        <f>IF(B933&gt;C933,B933-C933,C933-B933)</f>
        <v>3.8040000000000018E-3</v>
      </c>
      <c r="E933">
        <f>MINUTE(D933)</f>
        <v>5</v>
      </c>
      <c r="F933">
        <f>SECOND(D933)</f>
        <v>29</v>
      </c>
      <c r="G933">
        <f>ROUND(E933+F933/60,2)</f>
        <v>5.48</v>
      </c>
      <c r="H933">
        <f>60*E933+F933</f>
        <v>329</v>
      </c>
      <c r="I933" s="3">
        <f>5*(3600/H933)</f>
        <v>54.711246200607903</v>
      </c>
      <c r="J933" s="16">
        <f t="shared" si="28"/>
        <v>0</v>
      </c>
      <c r="K933" s="17">
        <f t="shared" si="29"/>
        <v>5</v>
      </c>
    </row>
    <row r="934" spans="1:11" x14ac:dyDescent="0.25">
      <c r="A934" s="4" t="s">
        <v>11</v>
      </c>
      <c r="B934" s="1">
        <v>0.44774900000000001</v>
      </c>
      <c r="C934" s="1">
        <v>0.451573</v>
      </c>
      <c r="D934" s="1">
        <f>IF(B934&gt;C934,B934-C934,C934-B934)</f>
        <v>3.8239999999999941E-3</v>
      </c>
      <c r="E934">
        <f>MINUTE(D934)</f>
        <v>5</v>
      </c>
      <c r="F934">
        <f>SECOND(D934)</f>
        <v>30</v>
      </c>
      <c r="G934">
        <f>ROUND(E934+F934/60,2)</f>
        <v>5.5</v>
      </c>
      <c r="H934">
        <f>60*E934+F934</f>
        <v>330</v>
      </c>
      <c r="I934" s="3">
        <f>5*(3600/H934)</f>
        <v>54.54545454545454</v>
      </c>
      <c r="J934" s="16">
        <f t="shared" si="28"/>
        <v>0</v>
      </c>
      <c r="K934" s="17">
        <f t="shared" si="29"/>
        <v>10</v>
      </c>
    </row>
    <row r="935" spans="1:11" x14ac:dyDescent="0.25">
      <c r="A935" s="4" t="s">
        <v>27</v>
      </c>
      <c r="B935" s="1">
        <v>7.0146E-2</v>
      </c>
      <c r="C935" s="1">
        <v>6.633E-2</v>
      </c>
      <c r="D935" s="1">
        <f>IF(B935&gt;C935,B935-C935,C935-B935)</f>
        <v>3.8159999999999999E-3</v>
      </c>
      <c r="E935">
        <f>MINUTE(D935)</f>
        <v>5</v>
      </c>
      <c r="F935">
        <f>SECOND(D935)</f>
        <v>30</v>
      </c>
      <c r="G935">
        <f>ROUND(E935+F935/60,2)</f>
        <v>5.5</v>
      </c>
      <c r="H935">
        <f>60*E935+F935</f>
        <v>330</v>
      </c>
      <c r="I935" s="3">
        <f>5*(3600/H935)</f>
        <v>54.54545454545454</v>
      </c>
      <c r="J935" s="16">
        <f t="shared" si="28"/>
        <v>0</v>
      </c>
      <c r="K935" s="17">
        <f t="shared" si="29"/>
        <v>1</v>
      </c>
    </row>
    <row r="936" spans="1:11" x14ac:dyDescent="0.25">
      <c r="A936" s="4" t="s">
        <v>260</v>
      </c>
      <c r="B936" s="1">
        <v>0.38089400000000001</v>
      </c>
      <c r="C936" s="1">
        <v>0.37707400000000002</v>
      </c>
      <c r="D936" s="1">
        <f>IF(B936&gt;C936,B936-C936,C936-B936)</f>
        <v>3.8199999999999901E-3</v>
      </c>
      <c r="E936">
        <f>MINUTE(D936)</f>
        <v>5</v>
      </c>
      <c r="F936">
        <f>SECOND(D936)</f>
        <v>30</v>
      </c>
      <c r="G936">
        <f>ROUND(E936+F936/60,2)</f>
        <v>5.5</v>
      </c>
      <c r="H936">
        <f>60*E936+F936</f>
        <v>330</v>
      </c>
      <c r="I936" s="3">
        <f>5*(3600/H936)</f>
        <v>54.54545454545454</v>
      </c>
      <c r="J936" s="16">
        <f t="shared" si="28"/>
        <v>0</v>
      </c>
      <c r="K936" s="17">
        <f t="shared" si="29"/>
        <v>9</v>
      </c>
    </row>
    <row r="937" spans="1:11" x14ac:dyDescent="0.25">
      <c r="A937" s="4" t="s">
        <v>20</v>
      </c>
      <c r="B937" s="1">
        <v>0.65905100000000005</v>
      </c>
      <c r="C937" s="1">
        <v>0.662879</v>
      </c>
      <c r="D937" s="1">
        <f>IF(B937&gt;C937,B937-C937,C937-B937)</f>
        <v>3.8279999999999426E-3</v>
      </c>
      <c r="E937">
        <f>MINUTE(D937)</f>
        <v>5</v>
      </c>
      <c r="F937">
        <f>SECOND(D937)</f>
        <v>31</v>
      </c>
      <c r="G937">
        <f>ROUND(E937+F937/60,2)</f>
        <v>5.52</v>
      </c>
      <c r="H937">
        <f>60*E937+F937</f>
        <v>331</v>
      </c>
      <c r="I937" s="3">
        <f>5*(3600/H937)</f>
        <v>54.380664652567972</v>
      </c>
      <c r="J937" s="16">
        <f t="shared" si="28"/>
        <v>0</v>
      </c>
      <c r="K937" s="17">
        <f t="shared" si="29"/>
        <v>15</v>
      </c>
    </row>
    <row r="938" spans="1:11" x14ac:dyDescent="0.25">
      <c r="A938" s="4" t="s">
        <v>274</v>
      </c>
      <c r="B938" s="1">
        <v>0.47454200000000002</v>
      </c>
      <c r="C938" s="1">
        <v>0.47071400000000002</v>
      </c>
      <c r="D938" s="1">
        <f>IF(B938&gt;C938,B938-C938,C938-B938)</f>
        <v>3.8279999999999981E-3</v>
      </c>
      <c r="E938">
        <f>MINUTE(D938)</f>
        <v>5</v>
      </c>
      <c r="F938">
        <f>SECOND(D938)</f>
        <v>31</v>
      </c>
      <c r="G938">
        <f>ROUND(E938+F938/60,2)</f>
        <v>5.52</v>
      </c>
      <c r="H938">
        <f>60*E938+F938</f>
        <v>331</v>
      </c>
      <c r="I938" s="3">
        <f>5*(3600/H938)</f>
        <v>54.380664652567972</v>
      </c>
      <c r="J938" s="16">
        <f t="shared" si="28"/>
        <v>0</v>
      </c>
      <c r="K938" s="17">
        <f t="shared" si="29"/>
        <v>11</v>
      </c>
    </row>
    <row r="939" spans="1:11" x14ac:dyDescent="0.25">
      <c r="A939" s="4" t="s">
        <v>404</v>
      </c>
      <c r="B939" s="1">
        <v>0.56015199999999998</v>
      </c>
      <c r="C939" s="1">
        <v>0.55632400000000004</v>
      </c>
      <c r="D939" s="1">
        <f>IF(B939&gt;C939,B939-C939,C939-B939)</f>
        <v>3.8279999999999426E-3</v>
      </c>
      <c r="E939">
        <f>MINUTE(D939)</f>
        <v>5</v>
      </c>
      <c r="F939">
        <f>SECOND(D939)</f>
        <v>31</v>
      </c>
      <c r="G939">
        <f>ROUND(E939+F939/60,2)</f>
        <v>5.52</v>
      </c>
      <c r="H939">
        <f>60*E939+F939</f>
        <v>331</v>
      </c>
      <c r="I939" s="3">
        <f>5*(3600/H939)</f>
        <v>54.380664652567972</v>
      </c>
      <c r="J939" s="16">
        <f t="shared" si="28"/>
        <v>0</v>
      </c>
      <c r="K939" s="17">
        <f t="shared" si="29"/>
        <v>13</v>
      </c>
    </row>
    <row r="940" spans="1:11" x14ac:dyDescent="0.25">
      <c r="A940" s="4" t="s">
        <v>75</v>
      </c>
      <c r="B940" s="1">
        <v>0.59153599999999995</v>
      </c>
      <c r="C940" s="1">
        <v>0.58769199999999999</v>
      </c>
      <c r="D940" s="1">
        <f>IF(B940&gt;C940,B940-C940,C940-B940)</f>
        <v>3.8439999999999586E-3</v>
      </c>
      <c r="E940">
        <f>MINUTE(D940)</f>
        <v>5</v>
      </c>
      <c r="F940">
        <f>SECOND(D940)</f>
        <v>32</v>
      </c>
      <c r="G940">
        <f>ROUND(E940+F940/60,2)</f>
        <v>5.53</v>
      </c>
      <c r="H940">
        <f>60*E940+F940</f>
        <v>332</v>
      </c>
      <c r="I940" s="3">
        <f>5*(3600/H940)</f>
        <v>54.216867469879517</v>
      </c>
      <c r="J940" s="16">
        <f t="shared" si="28"/>
        <v>0</v>
      </c>
      <c r="K940" s="17">
        <f t="shared" si="29"/>
        <v>14</v>
      </c>
    </row>
    <row r="941" spans="1:11" x14ac:dyDescent="0.25">
      <c r="A941" s="4" t="s">
        <v>51</v>
      </c>
      <c r="B941" s="1">
        <v>0.231432</v>
      </c>
      <c r="C941" s="1">
        <v>0.22759199999999999</v>
      </c>
      <c r="D941" s="1">
        <f>IF(B941&gt;C941,B941-C941,C941-B941)</f>
        <v>3.8400000000000101E-3</v>
      </c>
      <c r="E941">
        <f>MINUTE(D941)</f>
        <v>5</v>
      </c>
      <c r="F941">
        <f>SECOND(D941)</f>
        <v>32</v>
      </c>
      <c r="G941">
        <f>ROUND(E941+F941/60,2)</f>
        <v>5.53</v>
      </c>
      <c r="H941">
        <f>60*E941+F941</f>
        <v>332</v>
      </c>
      <c r="I941" s="3">
        <f>5*(3600/H941)</f>
        <v>54.216867469879517</v>
      </c>
      <c r="J941" s="16">
        <f t="shared" si="28"/>
        <v>0</v>
      </c>
      <c r="K941" s="17">
        <f t="shared" si="29"/>
        <v>5</v>
      </c>
    </row>
    <row r="942" spans="1:11" x14ac:dyDescent="0.25">
      <c r="A942" s="4" t="s">
        <v>90</v>
      </c>
      <c r="B942" s="1">
        <v>0.63536800000000004</v>
      </c>
      <c r="C942" s="1">
        <v>0.639208</v>
      </c>
      <c r="D942" s="1">
        <f>IF(B942&gt;C942,B942-C942,C942-B942)</f>
        <v>3.8399999999999546E-3</v>
      </c>
      <c r="E942">
        <f>MINUTE(D942)</f>
        <v>5</v>
      </c>
      <c r="F942">
        <f>SECOND(D942)</f>
        <v>32</v>
      </c>
      <c r="G942">
        <f>ROUND(E942+F942/60,2)</f>
        <v>5.53</v>
      </c>
      <c r="H942">
        <f>60*E942+F942</f>
        <v>332</v>
      </c>
      <c r="I942" s="3">
        <f>5*(3600/H942)</f>
        <v>54.216867469879517</v>
      </c>
      <c r="J942" s="16">
        <f t="shared" si="28"/>
        <v>0</v>
      </c>
      <c r="K942" s="17">
        <f t="shared" si="29"/>
        <v>15</v>
      </c>
    </row>
    <row r="943" spans="1:11" x14ac:dyDescent="0.25">
      <c r="A943" s="4" t="s">
        <v>39</v>
      </c>
      <c r="B943" s="1">
        <v>8.9300000000000004E-2</v>
      </c>
      <c r="C943" s="1">
        <v>9.3151999999999999E-2</v>
      </c>
      <c r="D943" s="1">
        <f>IF(B943&gt;C943,B943-C943,C943-B943)</f>
        <v>3.8519999999999943E-3</v>
      </c>
      <c r="E943">
        <f>MINUTE(D943)</f>
        <v>5</v>
      </c>
      <c r="F943">
        <f>SECOND(D943)</f>
        <v>33</v>
      </c>
      <c r="G943">
        <f>ROUND(E943+F943/60,2)</f>
        <v>5.55</v>
      </c>
      <c r="H943">
        <f>60*E943+F943</f>
        <v>333</v>
      </c>
      <c r="I943" s="3">
        <f>5*(3600/H943)</f>
        <v>54.054054054054049</v>
      </c>
      <c r="J943" s="16">
        <f t="shared" si="28"/>
        <v>0</v>
      </c>
      <c r="K943" s="17">
        <f t="shared" si="29"/>
        <v>2</v>
      </c>
    </row>
    <row r="944" spans="1:11" x14ac:dyDescent="0.25">
      <c r="A944" s="4" t="s">
        <v>19</v>
      </c>
      <c r="B944" s="1">
        <v>0.76597700000000002</v>
      </c>
      <c r="C944" s="1">
        <v>0.76212500000000005</v>
      </c>
      <c r="D944" s="1">
        <f>IF(B944&gt;C944,B944-C944,C944-B944)</f>
        <v>3.8519999999999666E-3</v>
      </c>
      <c r="E944">
        <f>MINUTE(D944)</f>
        <v>5</v>
      </c>
      <c r="F944">
        <f>SECOND(D944)</f>
        <v>33</v>
      </c>
      <c r="G944">
        <f>ROUND(E944+F944/60,2)</f>
        <v>5.55</v>
      </c>
      <c r="H944">
        <f>60*E944+F944</f>
        <v>333</v>
      </c>
      <c r="I944" s="3">
        <f>5*(3600/H944)</f>
        <v>54.054054054054049</v>
      </c>
      <c r="J944" s="16">
        <f t="shared" si="28"/>
        <v>0</v>
      </c>
      <c r="K944" s="17">
        <f t="shared" si="29"/>
        <v>18</v>
      </c>
    </row>
    <row r="945" spans="1:11" x14ac:dyDescent="0.25">
      <c r="A945" s="4" t="s">
        <v>209</v>
      </c>
      <c r="B945" s="1">
        <v>0.40768100000000002</v>
      </c>
      <c r="C945" s="1">
        <v>0.40382499999999999</v>
      </c>
      <c r="D945" s="1">
        <f>IF(B945&gt;C945,B945-C945,C945-B945)</f>
        <v>3.8560000000000261E-3</v>
      </c>
      <c r="E945">
        <f>MINUTE(D945)</f>
        <v>5</v>
      </c>
      <c r="F945">
        <f>SECOND(D945)</f>
        <v>33</v>
      </c>
      <c r="G945">
        <f>ROUND(E945+F945/60,2)</f>
        <v>5.55</v>
      </c>
      <c r="H945">
        <f>60*E945+F945</f>
        <v>333</v>
      </c>
      <c r="I945" s="3">
        <f>5*(3600/H945)</f>
        <v>54.054054054054049</v>
      </c>
      <c r="J945" s="16">
        <f t="shared" si="28"/>
        <v>0</v>
      </c>
      <c r="K945" s="17">
        <f t="shared" si="29"/>
        <v>9</v>
      </c>
    </row>
    <row r="946" spans="1:11" x14ac:dyDescent="0.25">
      <c r="A946" s="4" t="s">
        <v>87</v>
      </c>
      <c r="B946" s="1">
        <v>0.14188400000000001</v>
      </c>
      <c r="C946" s="1">
        <v>0.14574799999999999</v>
      </c>
      <c r="D946" s="1">
        <f>IF(B946&gt;C946,B946-C946,C946-B946)</f>
        <v>3.8639999999999786E-3</v>
      </c>
      <c r="E946">
        <f>MINUTE(D946)</f>
        <v>5</v>
      </c>
      <c r="F946">
        <f>SECOND(D946)</f>
        <v>34</v>
      </c>
      <c r="G946">
        <f>ROUND(E946+F946/60,2)</f>
        <v>5.57</v>
      </c>
      <c r="H946">
        <f>60*E946+F946</f>
        <v>334</v>
      </c>
      <c r="I946" s="3">
        <f>5*(3600/H946)</f>
        <v>53.892215568862277</v>
      </c>
      <c r="J946" s="16">
        <f t="shared" si="28"/>
        <v>0</v>
      </c>
      <c r="K946" s="17">
        <f t="shared" si="29"/>
        <v>3</v>
      </c>
    </row>
    <row r="947" spans="1:11" x14ac:dyDescent="0.25">
      <c r="A947" s="4" t="s">
        <v>103</v>
      </c>
      <c r="B947" s="1">
        <v>0.65021700000000004</v>
      </c>
      <c r="C947" s="1">
        <v>0.64635299999999996</v>
      </c>
      <c r="D947" s="1">
        <f>IF(B947&gt;C947,B947-C947,C947-B947)</f>
        <v>3.8640000000000896E-3</v>
      </c>
      <c r="E947">
        <f>MINUTE(D947)</f>
        <v>5</v>
      </c>
      <c r="F947">
        <f>SECOND(D947)</f>
        <v>34</v>
      </c>
      <c r="G947">
        <f>ROUND(E947+F947/60,2)</f>
        <v>5.57</v>
      </c>
      <c r="H947">
        <f>60*E947+F947</f>
        <v>334</v>
      </c>
      <c r="I947" s="3">
        <f>5*(3600/H947)</f>
        <v>53.892215568862277</v>
      </c>
      <c r="J947" s="16">
        <f t="shared" si="28"/>
        <v>0</v>
      </c>
      <c r="K947" s="17">
        <f t="shared" si="29"/>
        <v>15</v>
      </c>
    </row>
    <row r="948" spans="1:11" x14ac:dyDescent="0.25">
      <c r="A948" s="4" t="s">
        <v>41</v>
      </c>
      <c r="B948" s="1">
        <v>0.93147599999999997</v>
      </c>
      <c r="C948" s="1">
        <v>0.93533999999999995</v>
      </c>
      <c r="D948" s="1">
        <f>IF(B948&gt;C948,B948-C948,C948-B948)</f>
        <v>3.8639999999999786E-3</v>
      </c>
      <c r="E948">
        <f>MINUTE(D948)</f>
        <v>5</v>
      </c>
      <c r="F948">
        <f>SECOND(D948)</f>
        <v>34</v>
      </c>
      <c r="G948">
        <f>ROUND(E948+F948/60,2)</f>
        <v>5.57</v>
      </c>
      <c r="H948">
        <f>60*E948+F948</f>
        <v>334</v>
      </c>
      <c r="I948" s="3">
        <f>5*(3600/H948)</f>
        <v>53.892215568862277</v>
      </c>
      <c r="J948" s="16">
        <f t="shared" si="28"/>
        <v>0</v>
      </c>
      <c r="K948" s="17">
        <f t="shared" si="29"/>
        <v>22</v>
      </c>
    </row>
    <row r="949" spans="1:11" x14ac:dyDescent="0.25">
      <c r="A949" s="4" t="s">
        <v>64</v>
      </c>
      <c r="B949" s="1">
        <v>0.31358399999999997</v>
      </c>
      <c r="C949" s="1">
        <v>0.317444</v>
      </c>
      <c r="D949" s="1">
        <f>IF(B949&gt;C949,B949-C949,C949-B949)</f>
        <v>3.8600000000000301E-3</v>
      </c>
      <c r="E949">
        <f>MINUTE(D949)</f>
        <v>5</v>
      </c>
      <c r="F949">
        <f>SECOND(D949)</f>
        <v>34</v>
      </c>
      <c r="G949">
        <f>ROUND(E949+F949/60,2)</f>
        <v>5.57</v>
      </c>
      <c r="H949">
        <f>60*E949+F949</f>
        <v>334</v>
      </c>
      <c r="I949" s="3">
        <f>5*(3600/H949)</f>
        <v>53.892215568862277</v>
      </c>
      <c r="J949" s="16">
        <f t="shared" si="28"/>
        <v>0</v>
      </c>
      <c r="K949" s="17">
        <f t="shared" si="29"/>
        <v>7</v>
      </c>
    </row>
    <row r="950" spans="1:11" x14ac:dyDescent="0.25">
      <c r="A950" s="4" t="s">
        <v>231</v>
      </c>
      <c r="B950" s="1">
        <v>1.7892000000000002E-2</v>
      </c>
      <c r="C950" s="1">
        <v>1.4028000000000001E-2</v>
      </c>
      <c r="D950" s="1">
        <f>IF(B950&gt;C950,B950-C950,C950-B950)</f>
        <v>3.8640000000000011E-3</v>
      </c>
      <c r="E950">
        <f>MINUTE(D950)</f>
        <v>5</v>
      </c>
      <c r="F950">
        <f>SECOND(D950)</f>
        <v>34</v>
      </c>
      <c r="G950">
        <f>ROUND(E950+F950/60,2)</f>
        <v>5.57</v>
      </c>
      <c r="H950">
        <f>60*E950+F950</f>
        <v>334</v>
      </c>
      <c r="I950" s="3">
        <f>5*(3600/H950)</f>
        <v>53.892215568862277</v>
      </c>
      <c r="J950" s="16">
        <f t="shared" si="28"/>
        <v>0</v>
      </c>
      <c r="K950" s="17">
        <f t="shared" si="29"/>
        <v>0</v>
      </c>
    </row>
    <row r="951" spans="1:11" x14ac:dyDescent="0.25">
      <c r="A951" s="4" t="s">
        <v>32</v>
      </c>
      <c r="B951" s="1">
        <v>0.83624799999999999</v>
      </c>
      <c r="C951" s="1">
        <v>0.832376</v>
      </c>
      <c r="D951" s="1">
        <f>IF(B951&gt;C951,B951-C951,C951-B951)</f>
        <v>3.8719999999999866E-3</v>
      </c>
      <c r="E951">
        <f>MINUTE(D951)</f>
        <v>5</v>
      </c>
      <c r="F951">
        <f>SECOND(D951)</f>
        <v>35</v>
      </c>
      <c r="G951">
        <f>ROUND(E951+F951/60,2)</f>
        <v>5.58</v>
      </c>
      <c r="H951">
        <f>60*E951+F951</f>
        <v>335</v>
      </c>
      <c r="I951" s="3">
        <f>5*(3600/H951)</f>
        <v>53.731343283582092</v>
      </c>
      <c r="J951" s="16">
        <f t="shared" si="28"/>
        <v>0</v>
      </c>
      <c r="K951" s="17">
        <f t="shared" si="29"/>
        <v>20</v>
      </c>
    </row>
    <row r="952" spans="1:11" x14ac:dyDescent="0.25">
      <c r="A952" s="4" t="s">
        <v>46</v>
      </c>
      <c r="B952" s="1">
        <v>0.42665900000000001</v>
      </c>
      <c r="C952" s="1">
        <v>0.42278300000000002</v>
      </c>
      <c r="D952" s="1">
        <f>IF(B952&gt;C952,B952-C952,C952-B952)</f>
        <v>3.8759999999999906E-3</v>
      </c>
      <c r="E952">
        <f>MINUTE(D952)</f>
        <v>5</v>
      </c>
      <c r="F952">
        <f>SECOND(D952)</f>
        <v>35</v>
      </c>
      <c r="G952">
        <f>ROUND(E952+F952/60,2)</f>
        <v>5.58</v>
      </c>
      <c r="H952">
        <f>60*E952+F952</f>
        <v>335</v>
      </c>
      <c r="I952" s="3">
        <f>5*(3600/H952)</f>
        <v>53.731343283582092</v>
      </c>
      <c r="J952" s="16">
        <f t="shared" si="28"/>
        <v>0</v>
      </c>
      <c r="K952" s="17">
        <f t="shared" si="29"/>
        <v>10</v>
      </c>
    </row>
    <row r="953" spans="1:11" x14ac:dyDescent="0.25">
      <c r="A953" s="4" t="s">
        <v>58</v>
      </c>
      <c r="B953" s="1">
        <v>0.90173300000000001</v>
      </c>
      <c r="C953" s="1">
        <v>0.905613</v>
      </c>
      <c r="D953" s="1">
        <f>IF(B953&gt;C953,B953-C953,C953-B953)</f>
        <v>3.8799999999999946E-3</v>
      </c>
      <c r="E953">
        <f>MINUTE(D953)</f>
        <v>5</v>
      </c>
      <c r="F953">
        <f>SECOND(D953)</f>
        <v>35</v>
      </c>
      <c r="G953">
        <f>ROUND(E953+F953/60,2)</f>
        <v>5.58</v>
      </c>
      <c r="H953">
        <f>60*E953+F953</f>
        <v>335</v>
      </c>
      <c r="I953" s="3">
        <f>5*(3600/H953)</f>
        <v>53.731343283582092</v>
      </c>
      <c r="J953" s="16">
        <f t="shared" si="28"/>
        <v>0</v>
      </c>
      <c r="K953" s="17">
        <f t="shared" si="29"/>
        <v>21</v>
      </c>
    </row>
    <row r="954" spans="1:11" x14ac:dyDescent="0.25">
      <c r="A954" s="4" t="s">
        <v>82</v>
      </c>
      <c r="B954" s="1">
        <v>0.63863800000000004</v>
      </c>
      <c r="C954" s="1">
        <v>0.64251000000000003</v>
      </c>
      <c r="D954" s="1">
        <f>IF(B954&gt;C954,B954-C954,C954-B954)</f>
        <v>3.8719999999999866E-3</v>
      </c>
      <c r="E954">
        <f>MINUTE(D954)</f>
        <v>5</v>
      </c>
      <c r="F954">
        <f>SECOND(D954)</f>
        <v>35</v>
      </c>
      <c r="G954">
        <f>ROUND(E954+F954/60,2)</f>
        <v>5.58</v>
      </c>
      <c r="H954">
        <f>60*E954+F954</f>
        <v>335</v>
      </c>
      <c r="I954" s="3">
        <f>5*(3600/H954)</f>
        <v>53.731343283582092</v>
      </c>
      <c r="J954" s="16">
        <f t="shared" si="28"/>
        <v>0</v>
      </c>
      <c r="K954" s="17">
        <f t="shared" si="29"/>
        <v>15</v>
      </c>
    </row>
    <row r="955" spans="1:11" x14ac:dyDescent="0.25">
      <c r="A955" s="4" t="s">
        <v>3</v>
      </c>
      <c r="B955" s="1">
        <v>0.121036</v>
      </c>
      <c r="C955" s="1">
        <v>0.12492</v>
      </c>
      <c r="D955" s="1">
        <f>IF(B955&gt;C955,B955-C955,C955-B955)</f>
        <v>3.8839999999999986E-3</v>
      </c>
      <c r="E955">
        <f>MINUTE(D955)</f>
        <v>5</v>
      </c>
      <c r="F955">
        <f>SECOND(D955)</f>
        <v>36</v>
      </c>
      <c r="G955">
        <f>ROUND(E955+F955/60,2)</f>
        <v>5.6</v>
      </c>
      <c r="H955">
        <f>60*E955+F955</f>
        <v>336</v>
      </c>
      <c r="I955" s="3">
        <f>5*(3600/H955)</f>
        <v>53.571428571428569</v>
      </c>
      <c r="J955" s="16">
        <f t="shared" si="28"/>
        <v>0</v>
      </c>
      <c r="K955" s="17">
        <f t="shared" si="29"/>
        <v>2</v>
      </c>
    </row>
    <row r="956" spans="1:11" x14ac:dyDescent="0.25">
      <c r="A956" s="4" t="s">
        <v>41</v>
      </c>
      <c r="B956" s="1">
        <v>0.17504700000000001</v>
      </c>
      <c r="C956" s="1">
        <v>0.17893500000000001</v>
      </c>
      <c r="D956" s="1">
        <f>IF(B956&gt;C956,B956-C956,C956-B956)</f>
        <v>3.8880000000000026E-3</v>
      </c>
      <c r="E956">
        <f>MINUTE(D956)</f>
        <v>5</v>
      </c>
      <c r="F956">
        <f>SECOND(D956)</f>
        <v>36</v>
      </c>
      <c r="G956">
        <f>ROUND(E956+F956/60,2)</f>
        <v>5.6</v>
      </c>
      <c r="H956">
        <f>60*E956+F956</f>
        <v>336</v>
      </c>
      <c r="I956" s="3">
        <f>5*(3600/H956)</f>
        <v>53.571428571428569</v>
      </c>
      <c r="J956" s="16">
        <f t="shared" si="28"/>
        <v>0</v>
      </c>
      <c r="K956" s="17">
        <f t="shared" si="29"/>
        <v>4</v>
      </c>
    </row>
    <row r="957" spans="1:11" x14ac:dyDescent="0.25">
      <c r="A957" s="4" t="s">
        <v>66</v>
      </c>
      <c r="B957" s="1">
        <v>0.336086</v>
      </c>
      <c r="C957" s="1">
        <v>0.33219799999999999</v>
      </c>
      <c r="D957" s="1">
        <f>IF(B957&gt;C957,B957-C957,C957-B957)</f>
        <v>3.8880000000000026E-3</v>
      </c>
      <c r="E957">
        <f>MINUTE(D957)</f>
        <v>5</v>
      </c>
      <c r="F957">
        <f>SECOND(D957)</f>
        <v>36</v>
      </c>
      <c r="G957">
        <f>ROUND(E957+F957/60,2)</f>
        <v>5.6</v>
      </c>
      <c r="H957">
        <f>60*E957+F957</f>
        <v>336</v>
      </c>
      <c r="I957" s="3">
        <f>5*(3600/H957)</f>
        <v>53.571428571428569</v>
      </c>
      <c r="J957" s="16">
        <f t="shared" si="28"/>
        <v>0</v>
      </c>
      <c r="K957" s="17">
        <f t="shared" si="29"/>
        <v>8</v>
      </c>
    </row>
    <row r="958" spans="1:11" x14ac:dyDescent="0.25">
      <c r="A958" s="4" t="s">
        <v>54</v>
      </c>
      <c r="B958" s="1">
        <v>0.10882</v>
      </c>
      <c r="C958" s="1">
        <v>0.104932</v>
      </c>
      <c r="D958" s="1">
        <f>IF(B958&gt;C958,B958-C958,C958-B958)</f>
        <v>3.8880000000000026E-3</v>
      </c>
      <c r="E958">
        <f>MINUTE(D958)</f>
        <v>5</v>
      </c>
      <c r="F958">
        <f>SECOND(D958)</f>
        <v>36</v>
      </c>
      <c r="G958">
        <f>ROUND(E958+F958/60,2)</f>
        <v>5.6</v>
      </c>
      <c r="H958">
        <f>60*E958+F958</f>
        <v>336</v>
      </c>
      <c r="I958" s="3">
        <f>5*(3600/H958)</f>
        <v>53.571428571428569</v>
      </c>
      <c r="J958" s="16">
        <f t="shared" si="28"/>
        <v>0</v>
      </c>
      <c r="K958" s="17">
        <f t="shared" si="29"/>
        <v>2</v>
      </c>
    </row>
    <row r="959" spans="1:11" x14ac:dyDescent="0.25">
      <c r="A959" s="4" t="s">
        <v>64</v>
      </c>
      <c r="B959" s="1">
        <v>0.122706</v>
      </c>
      <c r="C959" s="1">
        <v>0.118814</v>
      </c>
      <c r="D959" s="1">
        <f>IF(B959&gt;C959,B959-C959,C959-B959)</f>
        <v>3.8919999999999927E-3</v>
      </c>
      <c r="E959">
        <f>MINUTE(D959)</f>
        <v>5</v>
      </c>
      <c r="F959">
        <f>SECOND(D959)</f>
        <v>36</v>
      </c>
      <c r="G959">
        <f>ROUND(E959+F959/60,2)</f>
        <v>5.6</v>
      </c>
      <c r="H959">
        <f>60*E959+F959</f>
        <v>336</v>
      </c>
      <c r="I959" s="3">
        <f>5*(3600/H959)</f>
        <v>53.571428571428569</v>
      </c>
      <c r="J959" s="16">
        <f t="shared" si="28"/>
        <v>0</v>
      </c>
      <c r="K959" s="17">
        <f t="shared" si="29"/>
        <v>2</v>
      </c>
    </row>
    <row r="960" spans="1:11" x14ac:dyDescent="0.25">
      <c r="A960" s="4" t="s">
        <v>47</v>
      </c>
      <c r="B960" s="1">
        <v>0.56683799999999995</v>
      </c>
      <c r="C960" s="1">
        <v>0.56295399999999995</v>
      </c>
      <c r="D960" s="1">
        <f>IF(B960&gt;C960,B960-C960,C960-B960)</f>
        <v>3.8839999999999986E-3</v>
      </c>
      <c r="E960">
        <f>MINUTE(D960)</f>
        <v>5</v>
      </c>
      <c r="F960">
        <f>SECOND(D960)</f>
        <v>36</v>
      </c>
      <c r="G960">
        <f>ROUND(E960+F960/60,2)</f>
        <v>5.6</v>
      </c>
      <c r="H960">
        <f>60*E960+F960</f>
        <v>336</v>
      </c>
      <c r="I960" s="3">
        <f>5*(3600/H960)</f>
        <v>53.571428571428569</v>
      </c>
      <c r="J960" s="16">
        <f t="shared" si="28"/>
        <v>0</v>
      </c>
      <c r="K960" s="17">
        <f t="shared" si="29"/>
        <v>13</v>
      </c>
    </row>
    <row r="961" spans="1:11" x14ac:dyDescent="0.25">
      <c r="A961" s="4" t="s">
        <v>28</v>
      </c>
      <c r="B961" s="1">
        <v>0.29008400000000001</v>
      </c>
      <c r="C961" s="1">
        <v>0.29398800000000003</v>
      </c>
      <c r="D961" s="1">
        <f>IF(B961&gt;C961,B961-C961,C961-B961)</f>
        <v>3.9040000000000186E-3</v>
      </c>
      <c r="E961">
        <f>MINUTE(D961)</f>
        <v>5</v>
      </c>
      <c r="F961">
        <f>SECOND(D961)</f>
        <v>37</v>
      </c>
      <c r="G961">
        <f>ROUND(E961+F961/60,2)</f>
        <v>5.62</v>
      </c>
      <c r="H961">
        <f>60*E961+F961</f>
        <v>337</v>
      </c>
      <c r="I961" s="3">
        <f>5*(3600/H961)</f>
        <v>53.412462908011868</v>
      </c>
      <c r="J961" s="16">
        <f t="shared" si="28"/>
        <v>0</v>
      </c>
      <c r="K961" s="17">
        <f t="shared" si="29"/>
        <v>6</v>
      </c>
    </row>
    <row r="962" spans="1:11" x14ac:dyDescent="0.25">
      <c r="A962" s="4" t="s">
        <v>112</v>
      </c>
      <c r="B962" s="1">
        <v>0.85606400000000005</v>
      </c>
      <c r="C962" s="1">
        <v>0.85216400000000003</v>
      </c>
      <c r="D962" s="1">
        <f>IF(B962&gt;C962,B962-C962,C962-B962)</f>
        <v>3.9000000000000146E-3</v>
      </c>
      <c r="E962">
        <f>MINUTE(D962)</f>
        <v>5</v>
      </c>
      <c r="F962">
        <f>SECOND(D962)</f>
        <v>37</v>
      </c>
      <c r="G962">
        <f>ROUND(E962+F962/60,2)</f>
        <v>5.62</v>
      </c>
      <c r="H962">
        <f>60*E962+F962</f>
        <v>337</v>
      </c>
      <c r="I962" s="3">
        <f>5*(3600/H962)</f>
        <v>53.412462908011868</v>
      </c>
      <c r="J962" s="16">
        <f t="shared" si="28"/>
        <v>0</v>
      </c>
      <c r="K962" s="17">
        <f t="shared" si="29"/>
        <v>20</v>
      </c>
    </row>
    <row r="963" spans="1:11" x14ac:dyDescent="0.25">
      <c r="A963" s="4" t="s">
        <v>117</v>
      </c>
      <c r="B963" s="1">
        <v>0.17993500000000001</v>
      </c>
      <c r="C963" s="1">
        <v>0.17603099999999999</v>
      </c>
      <c r="D963" s="1">
        <f>IF(B963&gt;C963,B963-C963,C963-B963)</f>
        <v>3.9040000000000186E-3</v>
      </c>
      <c r="E963">
        <f>MINUTE(D963)</f>
        <v>5</v>
      </c>
      <c r="F963">
        <f>SECOND(D963)</f>
        <v>37</v>
      </c>
      <c r="G963">
        <f>ROUND(E963+F963/60,2)</f>
        <v>5.62</v>
      </c>
      <c r="H963">
        <f>60*E963+F963</f>
        <v>337</v>
      </c>
      <c r="I963" s="3">
        <f>5*(3600/H963)</f>
        <v>53.412462908011868</v>
      </c>
      <c r="J963" s="16">
        <f t="shared" ref="J963:J1001" si="30">IF(I963&gt;140,1,0)</f>
        <v>0</v>
      </c>
      <c r="K963" s="17">
        <f t="shared" ref="K963:K1001" si="31">HOUR(B963)</f>
        <v>4</v>
      </c>
    </row>
    <row r="964" spans="1:11" x14ac:dyDescent="0.25">
      <c r="A964" s="4" t="s">
        <v>96</v>
      </c>
      <c r="B964" s="1">
        <v>0.69461200000000001</v>
      </c>
      <c r="C964" s="1">
        <v>0.69851200000000002</v>
      </c>
      <c r="D964" s="1">
        <f>IF(B964&gt;C964,B964-C964,C964-B964)</f>
        <v>3.9000000000000146E-3</v>
      </c>
      <c r="E964">
        <f>MINUTE(D964)</f>
        <v>5</v>
      </c>
      <c r="F964">
        <f>SECOND(D964)</f>
        <v>37</v>
      </c>
      <c r="G964">
        <f>ROUND(E964+F964/60,2)</f>
        <v>5.62</v>
      </c>
      <c r="H964">
        <f>60*E964+F964</f>
        <v>337</v>
      </c>
      <c r="I964" s="3">
        <f>5*(3600/H964)</f>
        <v>53.412462908011868</v>
      </c>
      <c r="J964" s="16">
        <f t="shared" si="30"/>
        <v>0</v>
      </c>
      <c r="K964" s="17">
        <f t="shared" si="31"/>
        <v>16</v>
      </c>
    </row>
    <row r="965" spans="1:11" x14ac:dyDescent="0.25">
      <c r="A965" s="4" t="s">
        <v>134</v>
      </c>
      <c r="B965" s="1">
        <v>0.16026199999999999</v>
      </c>
      <c r="C965" s="1">
        <v>0.16416600000000001</v>
      </c>
      <c r="D965" s="1">
        <f>IF(B965&gt;C965,B965-C965,C965-B965)</f>
        <v>3.9040000000000186E-3</v>
      </c>
      <c r="E965">
        <f>MINUTE(D965)</f>
        <v>5</v>
      </c>
      <c r="F965">
        <f>SECOND(D965)</f>
        <v>37</v>
      </c>
      <c r="G965">
        <f>ROUND(E965+F965/60,2)</f>
        <v>5.62</v>
      </c>
      <c r="H965">
        <f>60*E965+F965</f>
        <v>337</v>
      </c>
      <c r="I965" s="3">
        <f>5*(3600/H965)</f>
        <v>53.412462908011868</v>
      </c>
      <c r="J965" s="16">
        <f t="shared" si="30"/>
        <v>0</v>
      </c>
      <c r="K965" s="17">
        <f t="shared" si="31"/>
        <v>3</v>
      </c>
    </row>
    <row r="966" spans="1:11" x14ac:dyDescent="0.25">
      <c r="A966" s="4" t="s">
        <v>218</v>
      </c>
      <c r="B966" s="1">
        <v>4.9180000000000001E-2</v>
      </c>
      <c r="C966" s="1">
        <v>4.5275999999999997E-2</v>
      </c>
      <c r="D966" s="1">
        <f>IF(B966&gt;C966,B966-C966,C966-B966)</f>
        <v>3.9040000000000047E-3</v>
      </c>
      <c r="E966">
        <f>MINUTE(D966)</f>
        <v>5</v>
      </c>
      <c r="F966">
        <f>SECOND(D966)</f>
        <v>37</v>
      </c>
      <c r="G966">
        <f>ROUND(E966+F966/60,2)</f>
        <v>5.62</v>
      </c>
      <c r="H966">
        <f>60*E966+F966</f>
        <v>337</v>
      </c>
      <c r="I966" s="3">
        <f>5*(3600/H966)</f>
        <v>53.412462908011868</v>
      </c>
      <c r="J966" s="16">
        <f t="shared" si="30"/>
        <v>0</v>
      </c>
      <c r="K966" s="17">
        <f t="shared" si="31"/>
        <v>1</v>
      </c>
    </row>
    <row r="967" spans="1:11" x14ac:dyDescent="0.25">
      <c r="A967" s="4" t="s">
        <v>373</v>
      </c>
      <c r="B967" s="1">
        <v>0.79386299999999999</v>
      </c>
      <c r="C967" s="1">
        <v>0.797763</v>
      </c>
      <c r="D967" s="1">
        <f>IF(B967&gt;C967,B967-C967,C967-B967)</f>
        <v>3.9000000000000146E-3</v>
      </c>
      <c r="E967">
        <f>MINUTE(D967)</f>
        <v>5</v>
      </c>
      <c r="F967">
        <f>SECOND(D967)</f>
        <v>37</v>
      </c>
      <c r="G967">
        <f>ROUND(E967+F967/60,2)</f>
        <v>5.62</v>
      </c>
      <c r="H967">
        <f>60*E967+F967</f>
        <v>337</v>
      </c>
      <c r="I967" s="3">
        <f>5*(3600/H967)</f>
        <v>53.412462908011868</v>
      </c>
      <c r="J967" s="16">
        <f t="shared" si="30"/>
        <v>0</v>
      </c>
      <c r="K967" s="17">
        <f t="shared" si="31"/>
        <v>19</v>
      </c>
    </row>
    <row r="968" spans="1:11" x14ac:dyDescent="0.25">
      <c r="A968" s="4" t="s">
        <v>377</v>
      </c>
      <c r="B968" s="1">
        <v>0.65303999999999995</v>
      </c>
      <c r="C968" s="1">
        <v>0.64914400000000005</v>
      </c>
      <c r="D968" s="1">
        <f>IF(B968&gt;C968,B968-C968,C968-B968)</f>
        <v>3.8959999999998995E-3</v>
      </c>
      <c r="E968">
        <f>MINUTE(D968)</f>
        <v>5</v>
      </c>
      <c r="F968">
        <f>SECOND(D968)</f>
        <v>37</v>
      </c>
      <c r="G968">
        <f>ROUND(E968+F968/60,2)</f>
        <v>5.62</v>
      </c>
      <c r="H968">
        <f>60*E968+F968</f>
        <v>337</v>
      </c>
      <c r="I968" s="3">
        <f>5*(3600/H968)</f>
        <v>53.412462908011868</v>
      </c>
      <c r="J968" s="16">
        <f t="shared" si="30"/>
        <v>0</v>
      </c>
      <c r="K968" s="17">
        <f t="shared" si="31"/>
        <v>15</v>
      </c>
    </row>
    <row r="969" spans="1:11" x14ac:dyDescent="0.25">
      <c r="A969" s="4" t="s">
        <v>41</v>
      </c>
      <c r="B969" s="1">
        <v>0.54968600000000001</v>
      </c>
      <c r="C969" s="1">
        <v>0.55359800000000003</v>
      </c>
      <c r="D969" s="1">
        <f>IF(B969&gt;C969,B969-C969,C969-B969)</f>
        <v>3.9120000000000266E-3</v>
      </c>
      <c r="E969">
        <f>MINUTE(D969)</f>
        <v>5</v>
      </c>
      <c r="F969">
        <f>SECOND(D969)</f>
        <v>38</v>
      </c>
      <c r="G969">
        <f>ROUND(E969+F969/60,2)</f>
        <v>5.63</v>
      </c>
      <c r="H969">
        <f>60*E969+F969</f>
        <v>338</v>
      </c>
      <c r="I969" s="3">
        <f>5*(3600/H969)</f>
        <v>53.254437869822482</v>
      </c>
      <c r="J969" s="16">
        <f t="shared" si="30"/>
        <v>0</v>
      </c>
      <c r="K969" s="17">
        <f t="shared" si="31"/>
        <v>13</v>
      </c>
    </row>
    <row r="970" spans="1:11" x14ac:dyDescent="0.25">
      <c r="A970" s="4" t="s">
        <v>50</v>
      </c>
      <c r="B970" s="1">
        <v>0.46306999999999998</v>
      </c>
      <c r="C970" s="1">
        <v>0.466978</v>
      </c>
      <c r="D970" s="1">
        <f>IF(B970&gt;C970,B970-C970,C970-B970)</f>
        <v>3.9080000000000226E-3</v>
      </c>
      <c r="E970">
        <f>MINUTE(D970)</f>
        <v>5</v>
      </c>
      <c r="F970">
        <f>SECOND(D970)</f>
        <v>38</v>
      </c>
      <c r="G970">
        <f>ROUND(E970+F970/60,2)</f>
        <v>5.63</v>
      </c>
      <c r="H970">
        <f>60*E970+F970</f>
        <v>338</v>
      </c>
      <c r="I970" s="3">
        <f>5*(3600/H970)</f>
        <v>53.254437869822482</v>
      </c>
      <c r="J970" s="16">
        <f t="shared" si="30"/>
        <v>0</v>
      </c>
      <c r="K970" s="17">
        <f t="shared" si="31"/>
        <v>11</v>
      </c>
    </row>
    <row r="971" spans="1:11" x14ac:dyDescent="0.25">
      <c r="A971" s="4" t="s">
        <v>5</v>
      </c>
      <c r="B971" s="1">
        <v>0.12634100000000001</v>
      </c>
      <c r="C971" s="1">
        <v>0.122433</v>
      </c>
      <c r="D971" s="1">
        <f>IF(B971&gt;C971,B971-C971,C971-B971)</f>
        <v>3.9080000000000087E-3</v>
      </c>
      <c r="E971">
        <f>MINUTE(D971)</f>
        <v>5</v>
      </c>
      <c r="F971">
        <f>SECOND(D971)</f>
        <v>38</v>
      </c>
      <c r="G971">
        <f>ROUND(E971+F971/60,2)</f>
        <v>5.63</v>
      </c>
      <c r="H971">
        <f>60*E971+F971</f>
        <v>338</v>
      </c>
      <c r="I971" s="3">
        <f>5*(3600/H971)</f>
        <v>53.254437869822482</v>
      </c>
      <c r="J971" s="16">
        <f t="shared" si="30"/>
        <v>0</v>
      </c>
      <c r="K971" s="17">
        <f t="shared" si="31"/>
        <v>3</v>
      </c>
    </row>
    <row r="972" spans="1:11" x14ac:dyDescent="0.25">
      <c r="A972" s="4" t="s">
        <v>311</v>
      </c>
      <c r="B972" s="1">
        <v>0.959534</v>
      </c>
      <c r="C972" s="1">
        <v>0.96345000000000003</v>
      </c>
      <c r="D972" s="1">
        <f>IF(B972&gt;C972,B972-C972,C972-B972)</f>
        <v>3.9160000000000306E-3</v>
      </c>
      <c r="E972">
        <f>MINUTE(D972)</f>
        <v>5</v>
      </c>
      <c r="F972">
        <f>SECOND(D972)</f>
        <v>38</v>
      </c>
      <c r="G972">
        <f>ROUND(E972+F972/60,2)</f>
        <v>5.63</v>
      </c>
      <c r="H972">
        <f>60*E972+F972</f>
        <v>338</v>
      </c>
      <c r="I972" s="3">
        <f>5*(3600/H972)</f>
        <v>53.254437869822482</v>
      </c>
      <c r="J972" s="16">
        <f t="shared" si="30"/>
        <v>0</v>
      </c>
      <c r="K972" s="17">
        <f t="shared" si="31"/>
        <v>23</v>
      </c>
    </row>
    <row r="973" spans="1:11" x14ac:dyDescent="0.25">
      <c r="A973" s="4" t="s">
        <v>65</v>
      </c>
      <c r="B973" s="1">
        <v>0.55854400000000004</v>
      </c>
      <c r="C973" s="1">
        <v>0.55462400000000001</v>
      </c>
      <c r="D973" s="1">
        <f>IF(B973&gt;C973,B973-C973,C973-B973)</f>
        <v>3.9200000000000346E-3</v>
      </c>
      <c r="E973">
        <f>MINUTE(D973)</f>
        <v>5</v>
      </c>
      <c r="F973">
        <f>SECOND(D973)</f>
        <v>39</v>
      </c>
      <c r="G973">
        <f>ROUND(E973+F973/60,2)</f>
        <v>5.65</v>
      </c>
      <c r="H973">
        <f>60*E973+F973</f>
        <v>339</v>
      </c>
      <c r="I973" s="3">
        <f>5*(3600/H973)</f>
        <v>53.097345132743364</v>
      </c>
      <c r="J973" s="16">
        <f t="shared" si="30"/>
        <v>0</v>
      </c>
      <c r="K973" s="17">
        <f t="shared" si="31"/>
        <v>13</v>
      </c>
    </row>
    <row r="974" spans="1:11" x14ac:dyDescent="0.25">
      <c r="A974" s="4" t="s">
        <v>212</v>
      </c>
      <c r="B974" s="1">
        <v>0.15565499999999999</v>
      </c>
      <c r="C974" s="1">
        <v>0.151727</v>
      </c>
      <c r="D974" s="1">
        <f>IF(B974&gt;C974,B974-C974,C974-B974)</f>
        <v>3.9279999999999871E-3</v>
      </c>
      <c r="E974">
        <f>MINUTE(D974)</f>
        <v>5</v>
      </c>
      <c r="F974">
        <f>SECOND(D974)</f>
        <v>39</v>
      </c>
      <c r="G974">
        <f>ROUND(E974+F974/60,2)</f>
        <v>5.65</v>
      </c>
      <c r="H974">
        <f>60*E974+F974</f>
        <v>339</v>
      </c>
      <c r="I974" s="3">
        <f>5*(3600/H974)</f>
        <v>53.097345132743364</v>
      </c>
      <c r="J974" s="16">
        <f t="shared" si="30"/>
        <v>0</v>
      </c>
      <c r="K974" s="17">
        <f t="shared" si="31"/>
        <v>3</v>
      </c>
    </row>
    <row r="975" spans="1:11" x14ac:dyDescent="0.25">
      <c r="A975" s="4" t="s">
        <v>353</v>
      </c>
      <c r="B975" s="1">
        <v>0.74910699999999997</v>
      </c>
      <c r="C975" s="1">
        <v>0.753027</v>
      </c>
      <c r="D975" s="1">
        <f>IF(B975&gt;C975,B975-C975,C975-B975)</f>
        <v>3.9200000000000346E-3</v>
      </c>
      <c r="E975">
        <f>MINUTE(D975)</f>
        <v>5</v>
      </c>
      <c r="F975">
        <f>SECOND(D975)</f>
        <v>39</v>
      </c>
      <c r="G975">
        <f>ROUND(E975+F975/60,2)</f>
        <v>5.65</v>
      </c>
      <c r="H975">
        <f>60*E975+F975</f>
        <v>339</v>
      </c>
      <c r="I975" s="3">
        <f>5*(3600/H975)</f>
        <v>53.097345132743364</v>
      </c>
      <c r="J975" s="16">
        <f t="shared" si="30"/>
        <v>0</v>
      </c>
      <c r="K975" s="17">
        <f t="shared" si="31"/>
        <v>17</v>
      </c>
    </row>
    <row r="976" spans="1:11" x14ac:dyDescent="0.25">
      <c r="A976" s="4" t="s">
        <v>207</v>
      </c>
      <c r="B976" s="1">
        <v>0.68479000000000001</v>
      </c>
      <c r="C976" s="1">
        <v>0.68872999999999995</v>
      </c>
      <c r="D976" s="1">
        <f>IF(B976&gt;C976,B976-C976,C976-B976)</f>
        <v>3.9399999999999435E-3</v>
      </c>
      <c r="E976">
        <f>MINUTE(D976)</f>
        <v>5</v>
      </c>
      <c r="F976">
        <f>SECOND(D976)</f>
        <v>40</v>
      </c>
      <c r="G976">
        <f>ROUND(E976+F976/60,2)</f>
        <v>5.67</v>
      </c>
      <c r="H976">
        <f>60*E976+F976</f>
        <v>340</v>
      </c>
      <c r="I976" s="3">
        <f>5*(3600/H976)</f>
        <v>52.941176470588232</v>
      </c>
      <c r="J976" s="16">
        <f t="shared" si="30"/>
        <v>0</v>
      </c>
      <c r="K976" s="17">
        <f t="shared" si="31"/>
        <v>16</v>
      </c>
    </row>
    <row r="977" spans="1:11" x14ac:dyDescent="0.25">
      <c r="A977" s="4" t="s">
        <v>233</v>
      </c>
      <c r="B977" s="1">
        <v>0.423147</v>
      </c>
      <c r="C977" s="1">
        <v>0.419211</v>
      </c>
      <c r="D977" s="1">
        <f>IF(B977&gt;C977,B977-C977,C977-B977)</f>
        <v>3.9359999999999951E-3</v>
      </c>
      <c r="E977">
        <f>MINUTE(D977)</f>
        <v>5</v>
      </c>
      <c r="F977">
        <f>SECOND(D977)</f>
        <v>40</v>
      </c>
      <c r="G977">
        <f>ROUND(E977+F977/60,2)</f>
        <v>5.67</v>
      </c>
      <c r="H977">
        <f>60*E977+F977</f>
        <v>340</v>
      </c>
      <c r="I977" s="3">
        <f>5*(3600/H977)</f>
        <v>52.941176470588232</v>
      </c>
      <c r="J977" s="16">
        <f t="shared" si="30"/>
        <v>0</v>
      </c>
      <c r="K977" s="17">
        <f t="shared" si="31"/>
        <v>10</v>
      </c>
    </row>
    <row r="978" spans="1:11" x14ac:dyDescent="0.25">
      <c r="A978" s="4" t="s">
        <v>307</v>
      </c>
      <c r="B978" s="1">
        <v>0.67436099999999999</v>
      </c>
      <c r="C978" s="1">
        <v>0.67042500000000005</v>
      </c>
      <c r="D978" s="1">
        <f>IF(B978&gt;C978,B978-C978,C978-B978)</f>
        <v>3.9359999999999395E-3</v>
      </c>
      <c r="E978">
        <f>MINUTE(D978)</f>
        <v>5</v>
      </c>
      <c r="F978">
        <f>SECOND(D978)</f>
        <v>40</v>
      </c>
      <c r="G978">
        <f>ROUND(E978+F978/60,2)</f>
        <v>5.67</v>
      </c>
      <c r="H978">
        <f>60*E978+F978</f>
        <v>340</v>
      </c>
      <c r="I978" s="3">
        <f>5*(3600/H978)</f>
        <v>52.941176470588232</v>
      </c>
      <c r="J978" s="16">
        <f t="shared" si="30"/>
        <v>0</v>
      </c>
      <c r="K978" s="17">
        <f t="shared" si="31"/>
        <v>16</v>
      </c>
    </row>
    <row r="979" spans="1:11" x14ac:dyDescent="0.25">
      <c r="A979" s="4" t="s">
        <v>380</v>
      </c>
      <c r="B979" s="1">
        <v>0.64335699999999996</v>
      </c>
      <c r="C979" s="1">
        <v>0.63941700000000001</v>
      </c>
      <c r="D979" s="1">
        <f>IF(B979&gt;C979,B979-C979,C979-B979)</f>
        <v>3.9399999999999435E-3</v>
      </c>
      <c r="E979">
        <f>MINUTE(D979)</f>
        <v>5</v>
      </c>
      <c r="F979">
        <f>SECOND(D979)</f>
        <v>40</v>
      </c>
      <c r="G979">
        <f>ROUND(E979+F979/60,2)</f>
        <v>5.67</v>
      </c>
      <c r="H979">
        <f>60*E979+F979</f>
        <v>340</v>
      </c>
      <c r="I979" s="3">
        <f>5*(3600/H979)</f>
        <v>52.941176470588232</v>
      </c>
      <c r="J979" s="16">
        <f t="shared" si="30"/>
        <v>0</v>
      </c>
      <c r="K979" s="17">
        <f t="shared" si="31"/>
        <v>15</v>
      </c>
    </row>
    <row r="980" spans="1:11" x14ac:dyDescent="0.25">
      <c r="A980" s="4" t="s">
        <v>152</v>
      </c>
      <c r="B980" s="1">
        <v>0.86309499999999995</v>
      </c>
      <c r="C980" s="1">
        <v>0.85914699999999999</v>
      </c>
      <c r="D980" s="1">
        <f>IF(B980&gt;C980,B980-C980,C980-B980)</f>
        <v>3.9479999999999515E-3</v>
      </c>
      <c r="E980">
        <f>MINUTE(D980)</f>
        <v>5</v>
      </c>
      <c r="F980">
        <f>SECOND(D980)</f>
        <v>41</v>
      </c>
      <c r="G980">
        <f>ROUND(E980+F980/60,2)</f>
        <v>5.68</v>
      </c>
      <c r="H980">
        <f>60*E980+F980</f>
        <v>341</v>
      </c>
      <c r="I980" s="3">
        <f>5*(3600/H980)</f>
        <v>52.785923753665685</v>
      </c>
      <c r="J980" s="16">
        <f t="shared" si="30"/>
        <v>0</v>
      </c>
      <c r="K980" s="17">
        <f t="shared" si="31"/>
        <v>20</v>
      </c>
    </row>
    <row r="981" spans="1:11" x14ac:dyDescent="0.25">
      <c r="A981" s="4" t="s">
        <v>428</v>
      </c>
      <c r="B981" s="1">
        <v>0.93484299999999998</v>
      </c>
      <c r="C981" s="1">
        <v>0.93879100000000004</v>
      </c>
      <c r="D981" s="1">
        <f>IF(B981&gt;C981,B981-C981,C981-B981)</f>
        <v>3.9480000000000626E-3</v>
      </c>
      <c r="E981">
        <f>MINUTE(D981)</f>
        <v>5</v>
      </c>
      <c r="F981">
        <f>SECOND(D981)</f>
        <v>41</v>
      </c>
      <c r="G981">
        <f>ROUND(E981+F981/60,2)</f>
        <v>5.68</v>
      </c>
      <c r="H981">
        <f>60*E981+F981</f>
        <v>341</v>
      </c>
      <c r="I981" s="3">
        <f>5*(3600/H981)</f>
        <v>52.785923753665685</v>
      </c>
      <c r="J981" s="16">
        <f t="shared" si="30"/>
        <v>0</v>
      </c>
      <c r="K981" s="17">
        <f t="shared" si="31"/>
        <v>22</v>
      </c>
    </row>
    <row r="982" spans="1:11" x14ac:dyDescent="0.25">
      <c r="A982" s="4" t="s">
        <v>106</v>
      </c>
      <c r="B982" s="1">
        <v>0.97974099999999997</v>
      </c>
      <c r="C982" s="1">
        <v>0.98368500000000003</v>
      </c>
      <c r="D982" s="1">
        <f>IF(B982&gt;C982,B982-C982,C982-B982)</f>
        <v>3.9440000000000586E-3</v>
      </c>
      <c r="E982">
        <f>MINUTE(D982)</f>
        <v>5</v>
      </c>
      <c r="F982">
        <f>SECOND(D982)</f>
        <v>41</v>
      </c>
      <c r="G982">
        <f>ROUND(E982+F982/60,2)</f>
        <v>5.68</v>
      </c>
      <c r="H982">
        <f>60*E982+F982</f>
        <v>341</v>
      </c>
      <c r="I982" s="3">
        <f>5*(3600/H982)</f>
        <v>52.785923753665685</v>
      </c>
      <c r="J982" s="16">
        <f t="shared" si="30"/>
        <v>0</v>
      </c>
      <c r="K982" s="17">
        <f t="shared" si="31"/>
        <v>23</v>
      </c>
    </row>
    <row r="983" spans="1:11" x14ac:dyDescent="0.25">
      <c r="A983" s="4" t="s">
        <v>109</v>
      </c>
      <c r="B983" s="1">
        <v>0.61124299999999998</v>
      </c>
      <c r="C983" s="1">
        <v>0.61519100000000004</v>
      </c>
      <c r="D983" s="1">
        <f>IF(B983&gt;C983,B983-C983,C983-B983)</f>
        <v>3.9480000000000626E-3</v>
      </c>
      <c r="E983">
        <f>MINUTE(D983)</f>
        <v>5</v>
      </c>
      <c r="F983">
        <f>SECOND(D983)</f>
        <v>41</v>
      </c>
      <c r="G983">
        <f>ROUND(E983+F983/60,2)</f>
        <v>5.68</v>
      </c>
      <c r="H983">
        <f>60*E983+F983</f>
        <v>341</v>
      </c>
      <c r="I983" s="3">
        <f>5*(3600/H983)</f>
        <v>52.785923753665685</v>
      </c>
      <c r="J983" s="16">
        <f t="shared" si="30"/>
        <v>0</v>
      </c>
      <c r="K983" s="17">
        <f t="shared" si="31"/>
        <v>14</v>
      </c>
    </row>
    <row r="984" spans="1:11" x14ac:dyDescent="0.25">
      <c r="A984" s="4" t="s">
        <v>109</v>
      </c>
      <c r="B984" s="1">
        <v>0.67701</v>
      </c>
      <c r="C984" s="1">
        <v>0.67305400000000004</v>
      </c>
      <c r="D984" s="1">
        <f>IF(B984&gt;C984,B984-C984,C984-B984)</f>
        <v>3.9559999999999595E-3</v>
      </c>
      <c r="E984">
        <f>MINUTE(D984)</f>
        <v>5</v>
      </c>
      <c r="F984">
        <f>SECOND(D984)</f>
        <v>42</v>
      </c>
      <c r="G984">
        <f>ROUND(E984+F984/60,2)</f>
        <v>5.7</v>
      </c>
      <c r="H984">
        <f>60*E984+F984</f>
        <v>342</v>
      </c>
      <c r="I984" s="3">
        <f>5*(3600/H984)</f>
        <v>52.631578947368425</v>
      </c>
      <c r="J984" s="16">
        <f t="shared" si="30"/>
        <v>0</v>
      </c>
      <c r="K984" s="17">
        <f t="shared" si="31"/>
        <v>16</v>
      </c>
    </row>
    <row r="985" spans="1:11" x14ac:dyDescent="0.25">
      <c r="A985" s="4" t="s">
        <v>55</v>
      </c>
      <c r="B985" s="1">
        <v>0.62152399999999997</v>
      </c>
      <c r="C985" s="1">
        <v>0.61756</v>
      </c>
      <c r="D985" s="1">
        <f>IF(B985&gt;C985,B985-C985,C985-B985)</f>
        <v>3.9639999999999675E-3</v>
      </c>
      <c r="E985">
        <f>MINUTE(D985)</f>
        <v>5</v>
      </c>
      <c r="F985">
        <f>SECOND(D985)</f>
        <v>42</v>
      </c>
      <c r="G985">
        <f>ROUND(E985+F985/60,2)</f>
        <v>5.7</v>
      </c>
      <c r="H985">
        <f>60*E985+F985</f>
        <v>342</v>
      </c>
      <c r="I985" s="3">
        <f>5*(3600/H985)</f>
        <v>52.631578947368425</v>
      </c>
      <c r="J985" s="16">
        <f t="shared" si="30"/>
        <v>0</v>
      </c>
      <c r="K985" s="17">
        <f t="shared" si="31"/>
        <v>14</v>
      </c>
    </row>
    <row r="986" spans="1:11" x14ac:dyDescent="0.25">
      <c r="A986" s="4" t="s">
        <v>108</v>
      </c>
      <c r="B986" s="1">
        <v>0.39525900000000003</v>
      </c>
      <c r="C986" s="1">
        <v>0.39127499999999998</v>
      </c>
      <c r="D986" s="1">
        <f>IF(B986&gt;C986,B986-C986,C986-B986)</f>
        <v>3.9840000000000431E-3</v>
      </c>
      <c r="E986">
        <f>MINUTE(D986)</f>
        <v>5</v>
      </c>
      <c r="F986">
        <f>SECOND(D986)</f>
        <v>44</v>
      </c>
      <c r="G986">
        <f>ROUND(E986+F986/60,2)</f>
        <v>5.73</v>
      </c>
      <c r="H986">
        <f>60*E986+F986</f>
        <v>344</v>
      </c>
      <c r="I986" s="3">
        <f>5*(3600/H986)</f>
        <v>52.325581395348841</v>
      </c>
      <c r="J986" s="16">
        <f t="shared" si="30"/>
        <v>0</v>
      </c>
      <c r="K986" s="17">
        <f t="shared" si="31"/>
        <v>9</v>
      </c>
    </row>
    <row r="987" spans="1:11" x14ac:dyDescent="0.25">
      <c r="A987" s="4" t="s">
        <v>126</v>
      </c>
      <c r="B987" s="1">
        <v>0.63802199999999998</v>
      </c>
      <c r="C987" s="1">
        <v>0.64200199999999996</v>
      </c>
      <c r="D987" s="1">
        <f>IF(B987&gt;C987,B987-C987,C987-B987)</f>
        <v>3.9799999999999836E-3</v>
      </c>
      <c r="E987">
        <f>MINUTE(D987)</f>
        <v>5</v>
      </c>
      <c r="F987">
        <f>SECOND(D987)</f>
        <v>44</v>
      </c>
      <c r="G987">
        <f>ROUND(E987+F987/60,2)</f>
        <v>5.73</v>
      </c>
      <c r="H987">
        <f>60*E987+F987</f>
        <v>344</v>
      </c>
      <c r="I987" s="3">
        <f>5*(3600/H987)</f>
        <v>52.325581395348841</v>
      </c>
      <c r="J987" s="16">
        <f t="shared" si="30"/>
        <v>0</v>
      </c>
      <c r="K987" s="17">
        <f t="shared" si="31"/>
        <v>15</v>
      </c>
    </row>
    <row r="988" spans="1:11" x14ac:dyDescent="0.25">
      <c r="A988" s="4" t="s">
        <v>152</v>
      </c>
      <c r="B988" s="1">
        <v>1.2241E-2</v>
      </c>
      <c r="C988" s="1">
        <v>1.6216999999999999E-2</v>
      </c>
      <c r="D988" s="1">
        <f>IF(B988&gt;C988,B988-C988,C988-B988)</f>
        <v>3.9759999999999986E-3</v>
      </c>
      <c r="E988">
        <f>MINUTE(D988)</f>
        <v>5</v>
      </c>
      <c r="F988">
        <f>SECOND(D988)</f>
        <v>44</v>
      </c>
      <c r="G988">
        <f>ROUND(E988+F988/60,2)</f>
        <v>5.73</v>
      </c>
      <c r="H988">
        <f>60*E988+F988</f>
        <v>344</v>
      </c>
      <c r="I988" s="3">
        <f>5*(3600/H988)</f>
        <v>52.325581395348841</v>
      </c>
      <c r="J988" s="16">
        <f t="shared" si="30"/>
        <v>0</v>
      </c>
      <c r="K988" s="17">
        <f t="shared" si="31"/>
        <v>0</v>
      </c>
    </row>
    <row r="989" spans="1:11" x14ac:dyDescent="0.25">
      <c r="A989" s="4" t="s">
        <v>75</v>
      </c>
      <c r="B989" s="1">
        <v>0.33326600000000001</v>
      </c>
      <c r="C989" s="1">
        <v>0.32928600000000002</v>
      </c>
      <c r="D989" s="1">
        <f>IF(B989&gt;C989,B989-C989,C989-B989)</f>
        <v>3.9799999999999836E-3</v>
      </c>
      <c r="E989">
        <f>MINUTE(D989)</f>
        <v>5</v>
      </c>
      <c r="F989">
        <f>SECOND(D989)</f>
        <v>44</v>
      </c>
      <c r="G989">
        <f>ROUND(E989+F989/60,2)</f>
        <v>5.73</v>
      </c>
      <c r="H989">
        <f>60*E989+F989</f>
        <v>344</v>
      </c>
      <c r="I989" s="3">
        <f>5*(3600/H989)</f>
        <v>52.325581395348841</v>
      </c>
      <c r="J989" s="16">
        <f t="shared" si="30"/>
        <v>0</v>
      </c>
      <c r="K989" s="17">
        <f t="shared" si="31"/>
        <v>7</v>
      </c>
    </row>
    <row r="990" spans="1:11" x14ac:dyDescent="0.25">
      <c r="A990" s="4" t="s">
        <v>5</v>
      </c>
      <c r="B990" s="1">
        <v>0.33269399999999999</v>
      </c>
      <c r="C990" s="1">
        <v>0.33667799999999998</v>
      </c>
      <c r="D990" s="1">
        <f>IF(B990&gt;C990,B990-C990,C990-B990)</f>
        <v>3.9839999999999876E-3</v>
      </c>
      <c r="E990">
        <f>MINUTE(D990)</f>
        <v>5</v>
      </c>
      <c r="F990">
        <f>SECOND(D990)</f>
        <v>44</v>
      </c>
      <c r="G990">
        <f>ROUND(E990+F990/60,2)</f>
        <v>5.73</v>
      </c>
      <c r="H990">
        <f>60*E990+F990</f>
        <v>344</v>
      </c>
      <c r="I990" s="3">
        <f>5*(3600/H990)</f>
        <v>52.325581395348841</v>
      </c>
      <c r="J990" s="16">
        <f t="shared" si="30"/>
        <v>0</v>
      </c>
      <c r="K990" s="17">
        <f t="shared" si="31"/>
        <v>7</v>
      </c>
    </row>
    <row r="991" spans="1:11" x14ac:dyDescent="0.25">
      <c r="A991" s="4" t="s">
        <v>102</v>
      </c>
      <c r="B991" s="1">
        <v>0.31938899999999998</v>
      </c>
      <c r="C991" s="1">
        <v>0.31539299999999998</v>
      </c>
      <c r="D991" s="1">
        <f>IF(B991&gt;C991,B991-C991,C991-B991)</f>
        <v>3.9959999999999996E-3</v>
      </c>
      <c r="E991">
        <f>MINUTE(D991)</f>
        <v>5</v>
      </c>
      <c r="F991">
        <f>SECOND(D991)</f>
        <v>45</v>
      </c>
      <c r="G991">
        <f>ROUND(E991+F991/60,2)</f>
        <v>5.75</v>
      </c>
      <c r="H991">
        <f>60*E991+F991</f>
        <v>345</v>
      </c>
      <c r="I991" s="3">
        <f>5*(3600/H991)</f>
        <v>52.173913043478265</v>
      </c>
      <c r="J991" s="16">
        <f t="shared" si="30"/>
        <v>0</v>
      </c>
      <c r="K991" s="17">
        <f t="shared" si="31"/>
        <v>7</v>
      </c>
    </row>
    <row r="992" spans="1:11" x14ac:dyDescent="0.25">
      <c r="A992" s="4" t="s">
        <v>56</v>
      </c>
      <c r="B992" s="1">
        <v>5.7780000000000001E-3</v>
      </c>
      <c r="C992" s="1">
        <v>1.7899999999999999E-3</v>
      </c>
      <c r="D992" s="1">
        <f>IF(B992&gt;C992,B992-C992,C992-B992)</f>
        <v>3.9880000000000002E-3</v>
      </c>
      <c r="E992">
        <f>MINUTE(D992)</f>
        <v>5</v>
      </c>
      <c r="F992">
        <f>SECOND(D992)</f>
        <v>45</v>
      </c>
      <c r="G992">
        <f>ROUND(E992+F992/60,2)</f>
        <v>5.75</v>
      </c>
      <c r="H992">
        <f>60*E992+F992</f>
        <v>345</v>
      </c>
      <c r="I992" s="3">
        <f>5*(3600/H992)</f>
        <v>52.173913043478265</v>
      </c>
      <c r="J992" s="16">
        <f t="shared" si="30"/>
        <v>0</v>
      </c>
      <c r="K992" s="17">
        <f t="shared" si="31"/>
        <v>0</v>
      </c>
    </row>
    <row r="993" spans="1:11" x14ac:dyDescent="0.25">
      <c r="A993" s="4" t="s">
        <v>117</v>
      </c>
      <c r="B993" s="1">
        <v>0.67266300000000001</v>
      </c>
      <c r="C993" s="1">
        <v>0.676651</v>
      </c>
      <c r="D993" s="1">
        <f>IF(B993&gt;C993,B993-C993,C993-B993)</f>
        <v>3.9879999999999916E-3</v>
      </c>
      <c r="E993">
        <f>MINUTE(D993)</f>
        <v>5</v>
      </c>
      <c r="F993">
        <f>SECOND(D993)</f>
        <v>45</v>
      </c>
      <c r="G993">
        <f>ROUND(E993+F993/60,2)</f>
        <v>5.75</v>
      </c>
      <c r="H993">
        <f>60*E993+F993</f>
        <v>345</v>
      </c>
      <c r="I993" s="3">
        <f>5*(3600/H993)</f>
        <v>52.173913043478265</v>
      </c>
      <c r="J993" s="16">
        <f t="shared" si="30"/>
        <v>0</v>
      </c>
      <c r="K993" s="17">
        <f t="shared" si="31"/>
        <v>16</v>
      </c>
    </row>
    <row r="994" spans="1:11" x14ac:dyDescent="0.25">
      <c r="A994" s="4" t="s">
        <v>47</v>
      </c>
      <c r="B994" s="1">
        <v>0.30973099999999998</v>
      </c>
      <c r="C994" s="1">
        <v>0.31371900000000003</v>
      </c>
      <c r="D994" s="1">
        <f>IF(B994&gt;C994,B994-C994,C994-B994)</f>
        <v>3.9880000000000471E-3</v>
      </c>
      <c r="E994">
        <f>MINUTE(D994)</f>
        <v>5</v>
      </c>
      <c r="F994">
        <f>SECOND(D994)</f>
        <v>45</v>
      </c>
      <c r="G994">
        <f>ROUND(E994+F994/60,2)</f>
        <v>5.75</v>
      </c>
      <c r="H994">
        <f>60*E994+F994</f>
        <v>345</v>
      </c>
      <c r="I994" s="3">
        <f>5*(3600/H994)</f>
        <v>52.173913043478265</v>
      </c>
      <c r="J994" s="16">
        <f t="shared" si="30"/>
        <v>0</v>
      </c>
      <c r="K994" s="17">
        <f t="shared" si="31"/>
        <v>7</v>
      </c>
    </row>
    <row r="995" spans="1:11" x14ac:dyDescent="0.25">
      <c r="A995" s="4" t="s">
        <v>30</v>
      </c>
      <c r="B995" s="1">
        <v>0.13069600000000001</v>
      </c>
      <c r="C995" s="1">
        <v>0.134684</v>
      </c>
      <c r="D995" s="1">
        <f>IF(B995&gt;C995,B995-C995,C995-B995)</f>
        <v>3.9879999999999916E-3</v>
      </c>
      <c r="E995">
        <f>MINUTE(D995)</f>
        <v>5</v>
      </c>
      <c r="F995">
        <f>SECOND(D995)</f>
        <v>45</v>
      </c>
      <c r="G995">
        <f>ROUND(E995+F995/60,2)</f>
        <v>5.75</v>
      </c>
      <c r="H995">
        <f>60*E995+F995</f>
        <v>345</v>
      </c>
      <c r="I995" s="3">
        <f>5*(3600/H995)</f>
        <v>52.173913043478265</v>
      </c>
      <c r="J995" s="16">
        <f t="shared" si="30"/>
        <v>0</v>
      </c>
      <c r="K995" s="17">
        <f t="shared" si="31"/>
        <v>3</v>
      </c>
    </row>
    <row r="996" spans="1:11" x14ac:dyDescent="0.25">
      <c r="A996" s="4" t="s">
        <v>85</v>
      </c>
      <c r="B996" s="1">
        <v>0.88788900000000004</v>
      </c>
      <c r="C996" s="1">
        <v>0.88389300000000004</v>
      </c>
      <c r="D996" s="1">
        <f>IF(B996&gt;C996,B996-C996,C996-B996)</f>
        <v>3.9959999999999996E-3</v>
      </c>
      <c r="E996">
        <f>MINUTE(D996)</f>
        <v>5</v>
      </c>
      <c r="F996">
        <f>SECOND(D996)</f>
        <v>45</v>
      </c>
      <c r="G996">
        <f>ROUND(E996+F996/60,2)</f>
        <v>5.75</v>
      </c>
      <c r="H996">
        <f>60*E996+F996</f>
        <v>345</v>
      </c>
      <c r="I996" s="3">
        <f>5*(3600/H996)</f>
        <v>52.173913043478265</v>
      </c>
      <c r="J996" s="16">
        <f t="shared" si="30"/>
        <v>0</v>
      </c>
      <c r="K996" s="17">
        <f t="shared" si="31"/>
        <v>21</v>
      </c>
    </row>
    <row r="997" spans="1:11" x14ac:dyDescent="0.25">
      <c r="A997" s="4" t="s">
        <v>130</v>
      </c>
      <c r="B997" s="1">
        <v>0.54161700000000002</v>
      </c>
      <c r="C997" s="1">
        <v>0.53762900000000002</v>
      </c>
      <c r="D997" s="1">
        <f>IF(B997&gt;C997,B997-C997,C997-B997)</f>
        <v>3.9879999999999916E-3</v>
      </c>
      <c r="E997">
        <f>MINUTE(D997)</f>
        <v>5</v>
      </c>
      <c r="F997">
        <f>SECOND(D997)</f>
        <v>45</v>
      </c>
      <c r="G997">
        <f>ROUND(E997+F997/60,2)</f>
        <v>5.75</v>
      </c>
      <c r="H997">
        <f>60*E997+F997</f>
        <v>345</v>
      </c>
      <c r="I997" s="3">
        <f>5*(3600/H997)</f>
        <v>52.173913043478265</v>
      </c>
      <c r="J997" s="16">
        <f t="shared" si="30"/>
        <v>0</v>
      </c>
      <c r="K997" s="17">
        <f t="shared" si="31"/>
        <v>12</v>
      </c>
    </row>
    <row r="998" spans="1:11" x14ac:dyDescent="0.25">
      <c r="A998" s="4" t="s">
        <v>152</v>
      </c>
      <c r="B998" s="1">
        <v>0.76902999999999999</v>
      </c>
      <c r="C998" s="1">
        <v>0.76503399999999999</v>
      </c>
      <c r="D998" s="1">
        <f>IF(B998&gt;C998,B998-C998,C998-B998)</f>
        <v>3.9959999999999996E-3</v>
      </c>
      <c r="E998">
        <f>MINUTE(D998)</f>
        <v>5</v>
      </c>
      <c r="F998">
        <f>SECOND(D998)</f>
        <v>45</v>
      </c>
      <c r="G998">
        <f>ROUND(E998+F998/60,2)</f>
        <v>5.75</v>
      </c>
      <c r="H998">
        <f>60*E998+F998</f>
        <v>345</v>
      </c>
      <c r="I998" s="3">
        <f>5*(3600/H998)</f>
        <v>52.173913043478265</v>
      </c>
      <c r="J998" s="16">
        <f t="shared" si="30"/>
        <v>0</v>
      </c>
      <c r="K998" s="17">
        <f t="shared" si="31"/>
        <v>18</v>
      </c>
    </row>
    <row r="999" spans="1:11" x14ac:dyDescent="0.25">
      <c r="A999" s="4" t="s">
        <v>156</v>
      </c>
      <c r="B999" s="1">
        <v>0.47500999999999999</v>
      </c>
      <c r="C999" s="1">
        <v>0.47900199999999998</v>
      </c>
      <c r="D999" s="1">
        <f>IF(B999&gt;C999,B999-C999,C999-B999)</f>
        <v>3.9919999999999956E-3</v>
      </c>
      <c r="E999">
        <f>MINUTE(D999)</f>
        <v>5</v>
      </c>
      <c r="F999">
        <f>SECOND(D999)</f>
        <v>45</v>
      </c>
      <c r="G999">
        <f>ROUND(E999+F999/60,2)</f>
        <v>5.75</v>
      </c>
      <c r="H999">
        <f>60*E999+F999</f>
        <v>345</v>
      </c>
      <c r="I999" s="3">
        <f>5*(3600/H999)</f>
        <v>52.173913043478265</v>
      </c>
      <c r="J999" s="16">
        <f t="shared" si="30"/>
        <v>0</v>
      </c>
      <c r="K999" s="17">
        <f t="shared" si="31"/>
        <v>11</v>
      </c>
    </row>
    <row r="1000" spans="1:11" x14ac:dyDescent="0.25">
      <c r="A1000" s="4" t="s">
        <v>319</v>
      </c>
      <c r="B1000" s="1">
        <v>0.126361</v>
      </c>
      <c r="C1000" s="1">
        <v>0.130357</v>
      </c>
      <c r="D1000" s="1">
        <f>IF(B1000&gt;C1000,B1000-C1000,C1000-B1000)</f>
        <v>3.9959999999999996E-3</v>
      </c>
      <c r="E1000">
        <f>MINUTE(D1000)</f>
        <v>5</v>
      </c>
      <c r="F1000">
        <f>SECOND(D1000)</f>
        <v>45</v>
      </c>
      <c r="G1000">
        <f>ROUND(E1000+F1000/60,2)</f>
        <v>5.75</v>
      </c>
      <c r="H1000">
        <f>60*E1000+F1000</f>
        <v>345</v>
      </c>
      <c r="I1000" s="3">
        <f>5*(3600/H1000)</f>
        <v>52.173913043478265</v>
      </c>
      <c r="J1000" s="16">
        <f t="shared" si="30"/>
        <v>0</v>
      </c>
      <c r="K1000" s="17">
        <f t="shared" si="31"/>
        <v>3</v>
      </c>
    </row>
    <row r="1001" spans="1:11" x14ac:dyDescent="0.25">
      <c r="A1001" s="4" t="s">
        <v>132</v>
      </c>
      <c r="B1001" s="1">
        <v>2.7099000000000002E-2</v>
      </c>
      <c r="C1001" s="1">
        <v>2.2926999999999999E-2</v>
      </c>
      <c r="D1001" s="1">
        <f>IF(B1001&gt;C1001,B1001-C1001,C1001-B1001)</f>
        <v>4.1720000000000021E-3</v>
      </c>
      <c r="E1001">
        <f>MINUTE(D1001)</f>
        <v>6</v>
      </c>
      <c r="F1001">
        <f>SECOND(D1001)</f>
        <v>0</v>
      </c>
      <c r="G1001">
        <f>ROUND(E1001+F1001/60,2)</f>
        <v>6</v>
      </c>
      <c r="H1001">
        <f>60*E1001+F1001</f>
        <v>360</v>
      </c>
      <c r="I1001" s="3">
        <f>5*(3600/H1001)</f>
        <v>50</v>
      </c>
      <c r="J1001" s="16">
        <f t="shared" si="30"/>
        <v>0</v>
      </c>
      <c r="K1001" s="17">
        <f t="shared" si="3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E3" sqref="E3"/>
    </sheetView>
  </sheetViews>
  <sheetFormatPr defaultRowHeight="15" x14ac:dyDescent="0.25"/>
  <cols>
    <col min="1" max="1" width="17.5703125" bestFit="1" customWidth="1"/>
    <col min="2" max="2" width="24.5703125" bestFit="1" customWidth="1"/>
    <col min="4" max="4" width="15" bestFit="1" customWidth="1"/>
  </cols>
  <sheetData>
    <row r="1" spans="1:4" x14ac:dyDescent="0.25">
      <c r="A1" s="11" t="s">
        <v>439</v>
      </c>
      <c r="B1" t="s">
        <v>442</v>
      </c>
    </row>
    <row r="3" spans="1:4" x14ac:dyDescent="0.25">
      <c r="A3" s="11" t="s">
        <v>441</v>
      </c>
      <c r="B3" t="s">
        <v>440</v>
      </c>
      <c r="D3" s="2" t="s">
        <v>443</v>
      </c>
    </row>
    <row r="4" spans="1:4" x14ac:dyDescent="0.25">
      <c r="A4" s="12" t="s">
        <v>13</v>
      </c>
      <c r="B4" s="13">
        <v>1</v>
      </c>
      <c r="D4" s="2">
        <f>COUNTIF(B4:B38,1)</f>
        <v>35</v>
      </c>
    </row>
    <row r="5" spans="1:4" x14ac:dyDescent="0.25">
      <c r="A5" s="12" t="s">
        <v>6</v>
      </c>
      <c r="B5" s="13">
        <v>1</v>
      </c>
    </row>
    <row r="6" spans="1:4" x14ac:dyDescent="0.25">
      <c r="A6" s="12" t="s">
        <v>76</v>
      </c>
      <c r="B6" s="13">
        <v>1</v>
      </c>
    </row>
    <row r="7" spans="1:4" x14ac:dyDescent="0.25">
      <c r="A7" s="12" t="s">
        <v>199</v>
      </c>
      <c r="B7" s="13">
        <v>1</v>
      </c>
    </row>
    <row r="8" spans="1:4" x14ac:dyDescent="0.25">
      <c r="A8" s="12" t="s">
        <v>369</v>
      </c>
      <c r="B8" s="13">
        <v>1</v>
      </c>
    </row>
    <row r="9" spans="1:4" x14ac:dyDescent="0.25">
      <c r="A9" s="12" t="s">
        <v>120</v>
      </c>
      <c r="B9" s="13">
        <v>1</v>
      </c>
    </row>
    <row r="10" spans="1:4" x14ac:dyDescent="0.25">
      <c r="A10" s="12" t="s">
        <v>80</v>
      </c>
      <c r="B10" s="13">
        <v>1</v>
      </c>
    </row>
    <row r="11" spans="1:4" x14ac:dyDescent="0.25">
      <c r="A11" s="12" t="s">
        <v>99</v>
      </c>
      <c r="B11" s="13">
        <v>1</v>
      </c>
    </row>
    <row r="12" spans="1:4" x14ac:dyDescent="0.25">
      <c r="A12" s="12" t="s">
        <v>132</v>
      </c>
      <c r="B12" s="13">
        <v>1</v>
      </c>
    </row>
    <row r="13" spans="1:4" x14ac:dyDescent="0.25">
      <c r="A13" s="12" t="s">
        <v>103</v>
      </c>
      <c r="B13" s="13">
        <v>1</v>
      </c>
    </row>
    <row r="14" spans="1:4" x14ac:dyDescent="0.25">
      <c r="A14" s="12" t="s">
        <v>388</v>
      </c>
      <c r="B14" s="13">
        <v>1</v>
      </c>
    </row>
    <row r="15" spans="1:4" x14ac:dyDescent="0.25">
      <c r="A15" s="12" t="s">
        <v>73</v>
      </c>
      <c r="B15" s="13">
        <v>1</v>
      </c>
    </row>
    <row r="16" spans="1:4" x14ac:dyDescent="0.25">
      <c r="A16" s="12" t="s">
        <v>400</v>
      </c>
      <c r="B16" s="13">
        <v>1</v>
      </c>
    </row>
    <row r="17" spans="1:2" x14ac:dyDescent="0.25">
      <c r="A17" s="12" t="s">
        <v>246</v>
      </c>
      <c r="B17" s="13">
        <v>1</v>
      </c>
    </row>
    <row r="18" spans="1:2" x14ac:dyDescent="0.25">
      <c r="A18" s="12" t="s">
        <v>24</v>
      </c>
      <c r="B18" s="13">
        <v>1</v>
      </c>
    </row>
    <row r="19" spans="1:2" x14ac:dyDescent="0.25">
      <c r="A19" s="12" t="s">
        <v>412</v>
      </c>
      <c r="B19" s="13">
        <v>1</v>
      </c>
    </row>
    <row r="20" spans="1:2" x14ac:dyDescent="0.25">
      <c r="A20" s="12" t="s">
        <v>428</v>
      </c>
      <c r="B20" s="13">
        <v>1</v>
      </c>
    </row>
    <row r="21" spans="1:2" x14ac:dyDescent="0.25">
      <c r="A21" s="12" t="s">
        <v>21</v>
      </c>
      <c r="B21" s="13">
        <v>1</v>
      </c>
    </row>
    <row r="22" spans="1:2" x14ac:dyDescent="0.25">
      <c r="A22" s="12" t="s">
        <v>27</v>
      </c>
      <c r="B22" s="13">
        <v>1</v>
      </c>
    </row>
    <row r="23" spans="1:2" x14ac:dyDescent="0.25">
      <c r="A23" s="12" t="s">
        <v>49</v>
      </c>
      <c r="B23" s="13">
        <v>1</v>
      </c>
    </row>
    <row r="24" spans="1:2" x14ac:dyDescent="0.25">
      <c r="A24" s="12" t="s">
        <v>47</v>
      </c>
      <c r="B24" s="13">
        <v>1</v>
      </c>
    </row>
    <row r="25" spans="1:2" x14ac:dyDescent="0.25">
      <c r="A25" s="12" t="s">
        <v>41</v>
      </c>
      <c r="B25" s="13">
        <v>1</v>
      </c>
    </row>
    <row r="26" spans="1:2" x14ac:dyDescent="0.25">
      <c r="A26" s="12" t="s">
        <v>75</v>
      </c>
      <c r="B26" s="13">
        <v>1</v>
      </c>
    </row>
    <row r="27" spans="1:2" x14ac:dyDescent="0.25">
      <c r="A27" s="12" t="s">
        <v>136</v>
      </c>
      <c r="B27" s="13">
        <v>1</v>
      </c>
    </row>
    <row r="28" spans="1:2" x14ac:dyDescent="0.25">
      <c r="A28" s="12" t="s">
        <v>283</v>
      </c>
      <c r="B28" s="13">
        <v>1</v>
      </c>
    </row>
    <row r="29" spans="1:2" x14ac:dyDescent="0.25">
      <c r="A29" s="12" t="s">
        <v>291</v>
      </c>
      <c r="B29" s="13">
        <v>1</v>
      </c>
    </row>
    <row r="30" spans="1:2" x14ac:dyDescent="0.25">
      <c r="A30" s="12" t="s">
        <v>87</v>
      </c>
      <c r="B30" s="13">
        <v>1</v>
      </c>
    </row>
    <row r="31" spans="1:2" x14ac:dyDescent="0.25">
      <c r="A31" s="12" t="s">
        <v>52</v>
      </c>
      <c r="B31" s="13">
        <v>1</v>
      </c>
    </row>
    <row r="32" spans="1:2" x14ac:dyDescent="0.25">
      <c r="A32" s="12" t="s">
        <v>139</v>
      </c>
      <c r="B32" s="13">
        <v>1</v>
      </c>
    </row>
    <row r="33" spans="1:2" x14ac:dyDescent="0.25">
      <c r="A33" s="12" t="s">
        <v>48</v>
      </c>
      <c r="B33" s="13">
        <v>1</v>
      </c>
    </row>
    <row r="34" spans="1:2" x14ac:dyDescent="0.25">
      <c r="A34" s="12" t="s">
        <v>144</v>
      </c>
      <c r="B34" s="13">
        <v>1</v>
      </c>
    </row>
    <row r="35" spans="1:2" x14ac:dyDescent="0.25">
      <c r="A35" s="12" t="s">
        <v>157</v>
      </c>
      <c r="B35" s="13">
        <v>1</v>
      </c>
    </row>
    <row r="36" spans="1:2" x14ac:dyDescent="0.25">
      <c r="A36" s="12" t="s">
        <v>321</v>
      </c>
      <c r="B36" s="13">
        <v>1</v>
      </c>
    </row>
    <row r="37" spans="1:2" x14ac:dyDescent="0.25">
      <c r="A37" s="12" t="s">
        <v>324</v>
      </c>
      <c r="B37" s="13">
        <v>1</v>
      </c>
    </row>
    <row r="38" spans="1:2" x14ac:dyDescent="0.25">
      <c r="A38" s="12" t="s">
        <v>63</v>
      </c>
      <c r="B38" s="13">
        <v>1</v>
      </c>
    </row>
    <row r="39" spans="1:2" x14ac:dyDescent="0.25">
      <c r="A39" s="12" t="s">
        <v>434</v>
      </c>
      <c r="B39" s="13"/>
    </row>
    <row r="40" spans="1:2" x14ac:dyDescent="0.25">
      <c r="A40" s="12" t="s">
        <v>435</v>
      </c>
      <c r="B40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J1048576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6.5703125" bestFit="1" customWidth="1"/>
    <col min="9" max="9" width="11.5703125" bestFit="1" customWidth="1"/>
    <col min="10" max="10" width="19.28515625" bestFit="1" customWidth="1"/>
    <col min="11" max="11" width="13.140625" bestFit="1" customWidth="1"/>
  </cols>
  <sheetData>
    <row r="1" spans="1:11" x14ac:dyDescent="0.25">
      <c r="A1" s="8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1" t="s">
        <v>423</v>
      </c>
      <c r="H1" s="1" t="s">
        <v>424</v>
      </c>
      <c r="I1" s="9" t="s">
        <v>425</v>
      </c>
      <c r="J1" s="9" t="s">
        <v>439</v>
      </c>
      <c r="K1" s="1"/>
    </row>
    <row r="2" spans="1:11" x14ac:dyDescent="0.25">
      <c r="A2" s="8" t="s">
        <v>41</v>
      </c>
      <c r="B2" s="1">
        <v>0.55237700000000001</v>
      </c>
      <c r="C2" s="1">
        <v>0.55376899999999996</v>
      </c>
      <c r="D2" s="1">
        <f>IF(B2&gt;C2,B2-C2,C2-B2)</f>
        <v>1.3919999999999488E-3</v>
      </c>
      <c r="E2">
        <f>MINUTE(D2)</f>
        <v>2</v>
      </c>
      <c r="F2">
        <f>SECOND(D2)</f>
        <v>0</v>
      </c>
      <c r="G2">
        <f>ROUND(E2+F2/60,2)</f>
        <v>2</v>
      </c>
      <c r="H2">
        <f>60*E2+F2</f>
        <v>120</v>
      </c>
      <c r="I2" s="10">
        <f>5*(3600/H2)</f>
        <v>150</v>
      </c>
      <c r="J2" s="16">
        <f>IF(I2&gt;140,1,0)</f>
        <v>1</v>
      </c>
      <c r="K2" s="3"/>
    </row>
    <row r="3" spans="1:11" x14ac:dyDescent="0.25">
      <c r="A3" s="8" t="s">
        <v>369</v>
      </c>
      <c r="B3" s="1">
        <v>0.78395599999999999</v>
      </c>
      <c r="C3" s="1">
        <v>0.78256400000000004</v>
      </c>
      <c r="D3" s="1">
        <f>IF(B3&gt;C3,B3-C3,C3-B3)</f>
        <v>1.3919999999999488E-3</v>
      </c>
      <c r="E3">
        <f>MINUTE(D3)</f>
        <v>2</v>
      </c>
      <c r="F3">
        <f>SECOND(D3)</f>
        <v>0</v>
      </c>
      <c r="G3">
        <f>ROUND(E3+F3/60,2)</f>
        <v>2</v>
      </c>
      <c r="H3">
        <f>60*E3+F3</f>
        <v>120</v>
      </c>
      <c r="I3" s="10">
        <f>5*(3600/H3)</f>
        <v>150</v>
      </c>
      <c r="J3" s="16">
        <f t="shared" ref="J3:J66" si="0">IF(I3&gt;140,1,0)</f>
        <v>1</v>
      </c>
    </row>
    <row r="4" spans="1:11" x14ac:dyDescent="0.25">
      <c r="A4" s="4" t="s">
        <v>157</v>
      </c>
      <c r="B4" s="1">
        <v>0.37124299999999999</v>
      </c>
      <c r="C4" s="1">
        <v>0.36984699999999998</v>
      </c>
      <c r="D4" s="1">
        <f>IF(B4&gt;C4,B4-C4,C4-B4)</f>
        <v>1.3960000000000083E-3</v>
      </c>
      <c r="E4">
        <f>MINUTE(D4)</f>
        <v>2</v>
      </c>
      <c r="F4">
        <f>SECOND(D4)</f>
        <v>1</v>
      </c>
      <c r="G4">
        <f>ROUND(E4+F4/60,2)</f>
        <v>2.02</v>
      </c>
      <c r="H4">
        <f>60*E4+F4</f>
        <v>121</v>
      </c>
      <c r="I4" s="3">
        <f>5*(3600/H4)</f>
        <v>148.7603305785124</v>
      </c>
      <c r="J4" s="16">
        <f t="shared" si="0"/>
        <v>1</v>
      </c>
    </row>
    <row r="5" spans="1:11" x14ac:dyDescent="0.25">
      <c r="A5" s="4" t="s">
        <v>76</v>
      </c>
      <c r="B5" s="1">
        <v>0.51857500000000001</v>
      </c>
      <c r="C5" s="1">
        <v>0.51999099999999998</v>
      </c>
      <c r="D5" s="1">
        <f>IF(B5&gt;C5,B5-C5,C5-B5)</f>
        <v>1.4159999999999728E-3</v>
      </c>
      <c r="E5">
        <f>MINUTE(D5)</f>
        <v>2</v>
      </c>
      <c r="F5">
        <f>SECOND(D5)</f>
        <v>2</v>
      </c>
      <c r="G5">
        <f>ROUND(E5+F5/60,2)</f>
        <v>2.0299999999999998</v>
      </c>
      <c r="H5">
        <f>60*E5+F5</f>
        <v>122</v>
      </c>
      <c r="I5" s="3">
        <f>5*(3600/H5)</f>
        <v>147.54098360655738</v>
      </c>
      <c r="J5" s="16">
        <f t="shared" si="0"/>
        <v>1</v>
      </c>
    </row>
    <row r="6" spans="1:11" x14ac:dyDescent="0.25">
      <c r="A6" s="4" t="s">
        <v>75</v>
      </c>
      <c r="B6" s="1">
        <v>0.43252099999999999</v>
      </c>
      <c r="C6" s="1">
        <v>0.43110500000000002</v>
      </c>
      <c r="D6" s="1">
        <f>IF(B6&gt;C6,B6-C6,C6-B6)</f>
        <v>1.4159999999999728E-3</v>
      </c>
      <c r="E6">
        <f>MINUTE(D6)</f>
        <v>2</v>
      </c>
      <c r="F6">
        <f>SECOND(D6)</f>
        <v>2</v>
      </c>
      <c r="G6">
        <f>ROUND(E6+F6/60,2)</f>
        <v>2.0299999999999998</v>
      </c>
      <c r="H6">
        <f>60*E6+F6</f>
        <v>122</v>
      </c>
      <c r="I6" s="3">
        <f>5*(3600/H6)</f>
        <v>147.54098360655738</v>
      </c>
      <c r="J6" s="16">
        <f t="shared" si="0"/>
        <v>1</v>
      </c>
    </row>
    <row r="7" spans="1:11" x14ac:dyDescent="0.25">
      <c r="A7" s="4" t="s">
        <v>6</v>
      </c>
      <c r="B7" s="1">
        <v>0.89605199999999996</v>
      </c>
      <c r="C7" s="1">
        <v>0.89464399999999999</v>
      </c>
      <c r="D7" s="1">
        <f>IF(B7&gt;C7,B7-C7,C7-B7)</f>
        <v>1.4079999999999648E-3</v>
      </c>
      <c r="E7">
        <f>MINUTE(D7)</f>
        <v>2</v>
      </c>
      <c r="F7">
        <f>SECOND(D7)</f>
        <v>2</v>
      </c>
      <c r="G7">
        <f>ROUND(E7+F7/60,2)</f>
        <v>2.0299999999999998</v>
      </c>
      <c r="H7">
        <f>60*E7+F7</f>
        <v>122</v>
      </c>
      <c r="I7" s="3">
        <f>5*(3600/H7)</f>
        <v>147.54098360655738</v>
      </c>
      <c r="J7" s="16">
        <f t="shared" si="0"/>
        <v>1</v>
      </c>
    </row>
    <row r="8" spans="1:11" x14ac:dyDescent="0.25">
      <c r="A8" s="4" t="s">
        <v>73</v>
      </c>
      <c r="B8" s="1">
        <v>0.31540200000000002</v>
      </c>
      <c r="C8" s="1">
        <v>0.31398599999999999</v>
      </c>
      <c r="D8" s="1">
        <f>IF(B8&gt;C8,B8-C8,C8-B8)</f>
        <v>1.4160000000000283E-3</v>
      </c>
      <c r="E8">
        <f>MINUTE(D8)</f>
        <v>2</v>
      </c>
      <c r="F8">
        <f>SECOND(D8)</f>
        <v>2</v>
      </c>
      <c r="G8">
        <f>ROUND(E8+F8/60,2)</f>
        <v>2.0299999999999998</v>
      </c>
      <c r="H8">
        <f>60*E8+F8</f>
        <v>122</v>
      </c>
      <c r="I8" s="3">
        <f>5*(3600/H8)</f>
        <v>147.54098360655738</v>
      </c>
      <c r="J8" s="16">
        <f t="shared" si="0"/>
        <v>1</v>
      </c>
    </row>
    <row r="9" spans="1:11" x14ac:dyDescent="0.25">
      <c r="A9" s="4" t="s">
        <v>428</v>
      </c>
      <c r="B9" s="1">
        <v>0.67204299999999995</v>
      </c>
      <c r="C9" s="1">
        <v>0.67345100000000002</v>
      </c>
      <c r="D9" s="1">
        <f>IF(B9&gt;C9,B9-C9,C9-B9)</f>
        <v>1.4080000000000759E-3</v>
      </c>
      <c r="E9">
        <f>MINUTE(D9)</f>
        <v>2</v>
      </c>
      <c r="F9">
        <f>SECOND(D9)</f>
        <v>2</v>
      </c>
      <c r="G9">
        <f>ROUND(E9+F9/60,2)</f>
        <v>2.0299999999999998</v>
      </c>
      <c r="H9">
        <f>60*E9+F9</f>
        <v>122</v>
      </c>
      <c r="I9" s="3">
        <f>5*(3600/H9)</f>
        <v>147.54098360655738</v>
      </c>
      <c r="J9" s="16">
        <f t="shared" si="0"/>
        <v>1</v>
      </c>
    </row>
    <row r="10" spans="1:11" x14ac:dyDescent="0.25">
      <c r="A10" s="4" t="s">
        <v>21</v>
      </c>
      <c r="B10" s="1">
        <v>0.25031599999999998</v>
      </c>
      <c r="C10" s="1">
        <v>0.24890399999999999</v>
      </c>
      <c r="D10" s="1">
        <f>IF(B10&gt;C10,B10-C10,C10-B10)</f>
        <v>1.4119999999999966E-3</v>
      </c>
      <c r="E10">
        <f>MINUTE(D10)</f>
        <v>2</v>
      </c>
      <c r="F10">
        <f>SECOND(D10)</f>
        <v>2</v>
      </c>
      <c r="G10">
        <f>ROUND(E10+F10/60,2)</f>
        <v>2.0299999999999998</v>
      </c>
      <c r="H10">
        <f>60*E10+F10</f>
        <v>122</v>
      </c>
      <c r="I10" s="3">
        <f>5*(3600/H10)</f>
        <v>147.54098360655738</v>
      </c>
      <c r="J10" s="16">
        <f t="shared" si="0"/>
        <v>1</v>
      </c>
    </row>
    <row r="11" spans="1:11" x14ac:dyDescent="0.25">
      <c r="A11" s="4" t="s">
        <v>321</v>
      </c>
      <c r="B11" s="1">
        <v>0.92649000000000004</v>
      </c>
      <c r="C11" s="1">
        <v>0.92508199999999996</v>
      </c>
      <c r="D11" s="1">
        <f>IF(B11&gt;C11,B11-C11,C11-B11)</f>
        <v>1.4080000000000759E-3</v>
      </c>
      <c r="E11">
        <f>MINUTE(D11)</f>
        <v>2</v>
      </c>
      <c r="F11">
        <f>SECOND(D11)</f>
        <v>2</v>
      </c>
      <c r="G11">
        <f>ROUND(E11+F11/60,2)</f>
        <v>2.0299999999999998</v>
      </c>
      <c r="H11">
        <f>60*E11+F11</f>
        <v>122</v>
      </c>
      <c r="I11" s="3">
        <f>5*(3600/H11)</f>
        <v>147.54098360655738</v>
      </c>
      <c r="J11" s="16">
        <f t="shared" si="0"/>
        <v>1</v>
      </c>
    </row>
    <row r="12" spans="1:11" x14ac:dyDescent="0.25">
      <c r="A12" s="4" t="s">
        <v>324</v>
      </c>
      <c r="B12" s="1">
        <v>0.49864799999999998</v>
      </c>
      <c r="C12" s="1">
        <v>0.49723600000000001</v>
      </c>
      <c r="D12" s="1">
        <f>IF(B12&gt;C12,B12-C12,C12-B12)</f>
        <v>1.4119999999999688E-3</v>
      </c>
      <c r="E12">
        <f>MINUTE(D12)</f>
        <v>2</v>
      </c>
      <c r="F12">
        <f>SECOND(D12)</f>
        <v>2</v>
      </c>
      <c r="G12">
        <f>ROUND(E12+F12/60,2)</f>
        <v>2.0299999999999998</v>
      </c>
      <c r="H12">
        <f>60*E12+F12</f>
        <v>122</v>
      </c>
      <c r="I12" s="3">
        <f>5*(3600/H12)</f>
        <v>147.54098360655738</v>
      </c>
      <c r="J12" s="16">
        <f t="shared" si="0"/>
        <v>1</v>
      </c>
    </row>
    <row r="13" spans="1:11" x14ac:dyDescent="0.25">
      <c r="A13" s="4" t="s">
        <v>388</v>
      </c>
      <c r="B13" s="1">
        <v>0.68928500000000004</v>
      </c>
      <c r="C13" s="1">
        <v>0.68787699999999996</v>
      </c>
      <c r="D13" s="1">
        <f>IF(B13&gt;C13,B13-C13,C13-B13)</f>
        <v>1.4080000000000759E-3</v>
      </c>
      <c r="E13">
        <f>MINUTE(D13)</f>
        <v>2</v>
      </c>
      <c r="F13">
        <f>SECOND(D13)</f>
        <v>2</v>
      </c>
      <c r="G13">
        <f>ROUND(E13+F13/60,2)</f>
        <v>2.0299999999999998</v>
      </c>
      <c r="H13">
        <f>60*E13+F13</f>
        <v>122</v>
      </c>
      <c r="I13" s="3">
        <f>5*(3600/H13)</f>
        <v>147.54098360655738</v>
      </c>
      <c r="J13" s="16">
        <f t="shared" si="0"/>
        <v>1</v>
      </c>
    </row>
    <row r="14" spans="1:11" x14ac:dyDescent="0.25">
      <c r="A14" s="4" t="s">
        <v>412</v>
      </c>
      <c r="B14" s="1">
        <v>0.16583700000000001</v>
      </c>
      <c r="C14" s="1">
        <v>0.16724900000000001</v>
      </c>
      <c r="D14" s="1">
        <f>IF(B14&gt;C14,B14-C14,C14-B14)</f>
        <v>1.4119999999999966E-3</v>
      </c>
      <c r="E14">
        <f>MINUTE(D14)</f>
        <v>2</v>
      </c>
      <c r="F14">
        <f>SECOND(D14)</f>
        <v>2</v>
      </c>
      <c r="G14">
        <f>ROUND(E14+F14/60,2)</f>
        <v>2.0299999999999998</v>
      </c>
      <c r="H14">
        <f>60*E14+F14</f>
        <v>122</v>
      </c>
      <c r="I14" s="3">
        <f>5*(3600/H14)</f>
        <v>147.54098360655738</v>
      </c>
      <c r="J14" s="16">
        <f t="shared" si="0"/>
        <v>1</v>
      </c>
    </row>
    <row r="15" spans="1:11" x14ac:dyDescent="0.25">
      <c r="A15" s="4" t="s">
        <v>24</v>
      </c>
      <c r="B15" s="1">
        <v>0.72382100000000005</v>
      </c>
      <c r="C15" s="1">
        <v>0.72524900000000003</v>
      </c>
      <c r="D15" s="1">
        <f>IF(B15&gt;C15,B15-C15,C15-B15)</f>
        <v>1.4279999999999848E-3</v>
      </c>
      <c r="E15">
        <f>MINUTE(D15)</f>
        <v>2</v>
      </c>
      <c r="F15">
        <f>SECOND(D15)</f>
        <v>3</v>
      </c>
      <c r="G15">
        <f>ROUND(E15+F15/60,2)</f>
        <v>2.0499999999999998</v>
      </c>
      <c r="H15">
        <f>60*E15+F15</f>
        <v>123</v>
      </c>
      <c r="I15" s="3">
        <f>5*(3600/H15)</f>
        <v>146.34146341463415</v>
      </c>
      <c r="J15" s="16">
        <f t="shared" si="0"/>
        <v>1</v>
      </c>
    </row>
    <row r="16" spans="1:11" x14ac:dyDescent="0.25">
      <c r="A16" s="4" t="s">
        <v>27</v>
      </c>
      <c r="B16" s="1">
        <v>0.51301399999999997</v>
      </c>
      <c r="C16" s="1">
        <v>0.51158599999999999</v>
      </c>
      <c r="D16" s="1">
        <f>IF(B16&gt;C16,B16-C16,C16-B16)</f>
        <v>1.4279999999999848E-3</v>
      </c>
      <c r="E16">
        <f>MINUTE(D16)</f>
        <v>2</v>
      </c>
      <c r="F16">
        <f>SECOND(D16)</f>
        <v>3</v>
      </c>
      <c r="G16">
        <f>ROUND(E16+F16/60,2)</f>
        <v>2.0499999999999998</v>
      </c>
      <c r="H16">
        <f>60*E16+F16</f>
        <v>123</v>
      </c>
      <c r="I16" s="3">
        <f>5*(3600/H16)</f>
        <v>146.34146341463415</v>
      </c>
      <c r="J16" s="16">
        <f t="shared" si="0"/>
        <v>1</v>
      </c>
    </row>
    <row r="17" spans="1:10" x14ac:dyDescent="0.25">
      <c r="A17" s="4" t="s">
        <v>103</v>
      </c>
      <c r="B17" s="1">
        <v>0.69916400000000001</v>
      </c>
      <c r="C17" s="1">
        <v>0.70058399999999998</v>
      </c>
      <c r="D17" s="1">
        <f>IF(B17&gt;C17,B17-C17,C17-B17)</f>
        <v>1.4199999999999768E-3</v>
      </c>
      <c r="E17">
        <f>MINUTE(D17)</f>
        <v>2</v>
      </c>
      <c r="F17">
        <f>SECOND(D17)</f>
        <v>3</v>
      </c>
      <c r="G17">
        <f>ROUND(E17+F17/60,2)</f>
        <v>2.0499999999999998</v>
      </c>
      <c r="H17">
        <f>60*E17+F17</f>
        <v>123</v>
      </c>
      <c r="I17" s="3">
        <f>5*(3600/H17)</f>
        <v>146.34146341463415</v>
      </c>
      <c r="J17" s="16">
        <f t="shared" si="0"/>
        <v>1</v>
      </c>
    </row>
    <row r="18" spans="1:10" x14ac:dyDescent="0.25">
      <c r="A18" s="4" t="s">
        <v>120</v>
      </c>
      <c r="B18" s="1">
        <v>2.4251999999999999E-2</v>
      </c>
      <c r="C18" s="1">
        <v>2.2828000000000001E-2</v>
      </c>
      <c r="D18" s="1">
        <f>IF(B18&gt;C18,B18-C18,C18-B18)</f>
        <v>1.4239999999999982E-3</v>
      </c>
      <c r="E18">
        <f>MINUTE(D18)</f>
        <v>2</v>
      </c>
      <c r="F18">
        <f>SECOND(D18)</f>
        <v>3</v>
      </c>
      <c r="G18">
        <f>ROUND(E18+F18/60,2)</f>
        <v>2.0499999999999998</v>
      </c>
      <c r="H18">
        <f>60*E18+F18</f>
        <v>123</v>
      </c>
      <c r="I18" s="3">
        <f>5*(3600/H18)</f>
        <v>146.34146341463415</v>
      </c>
      <c r="J18" s="16">
        <f t="shared" si="0"/>
        <v>1</v>
      </c>
    </row>
    <row r="19" spans="1:10" x14ac:dyDescent="0.25">
      <c r="A19" s="4" t="s">
        <v>87</v>
      </c>
      <c r="B19" s="1">
        <v>0.44867299999999999</v>
      </c>
      <c r="C19" s="1">
        <v>0.45009300000000002</v>
      </c>
      <c r="D19" s="1">
        <f>IF(B19&gt;C19,B19-C19,C19-B19)</f>
        <v>1.4200000000000323E-3</v>
      </c>
      <c r="E19">
        <f>MINUTE(D19)</f>
        <v>2</v>
      </c>
      <c r="F19">
        <f>SECOND(D19)</f>
        <v>3</v>
      </c>
      <c r="G19">
        <f>ROUND(E19+F19/60,2)</f>
        <v>2.0499999999999998</v>
      </c>
      <c r="H19">
        <f>60*E19+F19</f>
        <v>123</v>
      </c>
      <c r="I19" s="3">
        <f>5*(3600/H19)</f>
        <v>146.34146341463415</v>
      </c>
      <c r="J19" s="16">
        <f t="shared" si="0"/>
        <v>1</v>
      </c>
    </row>
    <row r="20" spans="1:10" x14ac:dyDescent="0.25">
      <c r="A20" s="4" t="s">
        <v>136</v>
      </c>
      <c r="B20" s="1">
        <v>0.67697099999999999</v>
      </c>
      <c r="C20" s="1">
        <v>0.67554700000000001</v>
      </c>
      <c r="D20" s="1">
        <f>IF(B20&gt;C20,B20-C20,C20-B20)</f>
        <v>1.4239999999999808E-3</v>
      </c>
      <c r="E20">
        <f>MINUTE(D20)</f>
        <v>2</v>
      </c>
      <c r="F20">
        <f>SECOND(D20)</f>
        <v>3</v>
      </c>
      <c r="G20">
        <f>ROUND(E20+F20/60,2)</f>
        <v>2.0499999999999998</v>
      </c>
      <c r="H20">
        <f>60*E20+F20</f>
        <v>123</v>
      </c>
      <c r="I20" s="3">
        <f>5*(3600/H20)</f>
        <v>146.34146341463415</v>
      </c>
      <c r="J20" s="16">
        <f t="shared" si="0"/>
        <v>1</v>
      </c>
    </row>
    <row r="21" spans="1:10" x14ac:dyDescent="0.25">
      <c r="A21" s="4" t="s">
        <v>75</v>
      </c>
      <c r="B21" s="1">
        <v>0.75790400000000002</v>
      </c>
      <c r="C21" s="1">
        <v>0.75648000000000004</v>
      </c>
      <c r="D21" s="1">
        <f>IF(B21&gt;C21,B21-C21,C21-B21)</f>
        <v>1.4239999999999808E-3</v>
      </c>
      <c r="E21">
        <f>MINUTE(D21)</f>
        <v>2</v>
      </c>
      <c r="F21">
        <f>SECOND(D21)</f>
        <v>3</v>
      </c>
      <c r="G21">
        <f>ROUND(E21+F21/60,2)</f>
        <v>2.0499999999999998</v>
      </c>
      <c r="H21">
        <f>60*E21+F21</f>
        <v>123</v>
      </c>
      <c r="I21" s="3">
        <f>5*(3600/H21)</f>
        <v>146.34146341463415</v>
      </c>
      <c r="J21" s="16">
        <f t="shared" si="0"/>
        <v>1</v>
      </c>
    </row>
    <row r="22" spans="1:10" x14ac:dyDescent="0.25">
      <c r="A22" s="4" t="s">
        <v>13</v>
      </c>
      <c r="B22" s="1">
        <v>0.23710300000000001</v>
      </c>
      <c r="C22" s="1">
        <v>0.23566300000000001</v>
      </c>
      <c r="D22" s="1">
        <f>IF(B22&gt;C22,B22-C22,C22-B22)</f>
        <v>1.4399999999999968E-3</v>
      </c>
      <c r="E22">
        <f>MINUTE(D22)</f>
        <v>2</v>
      </c>
      <c r="F22">
        <f>SECOND(D22)</f>
        <v>4</v>
      </c>
      <c r="G22">
        <f>ROUND(E22+F22/60,2)</f>
        <v>2.0699999999999998</v>
      </c>
      <c r="H22">
        <f>60*E22+F22</f>
        <v>124</v>
      </c>
      <c r="I22" s="3">
        <f>5*(3600/H22)</f>
        <v>145.16129032258064</v>
      </c>
      <c r="J22" s="16">
        <f t="shared" si="0"/>
        <v>1</v>
      </c>
    </row>
    <row r="23" spans="1:10" x14ac:dyDescent="0.25">
      <c r="A23" s="4" t="s">
        <v>139</v>
      </c>
      <c r="B23" s="1">
        <v>0.84553900000000004</v>
      </c>
      <c r="C23" s="1">
        <v>0.84697100000000003</v>
      </c>
      <c r="D23" s="1">
        <f>IF(B23&gt;C23,B23-C23,C23-B23)</f>
        <v>1.4319999999999888E-3</v>
      </c>
      <c r="E23">
        <f>MINUTE(D23)</f>
        <v>2</v>
      </c>
      <c r="F23">
        <f>SECOND(D23)</f>
        <v>4</v>
      </c>
      <c r="G23">
        <f>ROUND(E23+F23/60,2)</f>
        <v>2.0699999999999998</v>
      </c>
      <c r="H23">
        <f>60*E23+F23</f>
        <v>124</v>
      </c>
      <c r="I23" s="3">
        <f>5*(3600/H23)</f>
        <v>145.16129032258064</v>
      </c>
      <c r="J23" s="16">
        <f t="shared" si="0"/>
        <v>1</v>
      </c>
    </row>
    <row r="24" spans="1:10" x14ac:dyDescent="0.25">
      <c r="A24" s="4" t="s">
        <v>132</v>
      </c>
      <c r="B24" s="1">
        <v>0.51571999999999996</v>
      </c>
      <c r="C24" s="1">
        <v>0.51715999999999995</v>
      </c>
      <c r="D24" s="1">
        <f>IF(B24&gt;C24,B24-C24,C24-B24)</f>
        <v>1.4399999999999968E-3</v>
      </c>
      <c r="E24">
        <f>MINUTE(D24)</f>
        <v>2</v>
      </c>
      <c r="F24">
        <f>SECOND(D24)</f>
        <v>4</v>
      </c>
      <c r="G24">
        <f>ROUND(E24+F24/60,2)</f>
        <v>2.0699999999999998</v>
      </c>
      <c r="H24">
        <f>60*E24+F24</f>
        <v>124</v>
      </c>
      <c r="I24" s="3">
        <f>5*(3600/H24)</f>
        <v>145.16129032258064</v>
      </c>
      <c r="J24" s="16">
        <f t="shared" si="0"/>
        <v>1</v>
      </c>
    </row>
    <row r="25" spans="1:10" x14ac:dyDescent="0.25">
      <c r="A25" s="4" t="s">
        <v>400</v>
      </c>
      <c r="B25" s="1">
        <v>0.50423899999999999</v>
      </c>
      <c r="C25" s="1">
        <v>0.502799</v>
      </c>
      <c r="D25" s="1">
        <f>IF(B25&gt;C25,B25-C25,C25-B25)</f>
        <v>1.4399999999999968E-3</v>
      </c>
      <c r="E25">
        <f>MINUTE(D25)</f>
        <v>2</v>
      </c>
      <c r="F25">
        <f>SECOND(D25)</f>
        <v>4</v>
      </c>
      <c r="G25">
        <f>ROUND(E25+F25/60,2)</f>
        <v>2.0699999999999998</v>
      </c>
      <c r="H25">
        <f>60*E25+F25</f>
        <v>124</v>
      </c>
      <c r="I25" s="3">
        <f>5*(3600/H25)</f>
        <v>145.16129032258064</v>
      </c>
      <c r="J25" s="16">
        <f t="shared" si="0"/>
        <v>1</v>
      </c>
    </row>
    <row r="26" spans="1:10" x14ac:dyDescent="0.25">
      <c r="A26" s="4" t="s">
        <v>80</v>
      </c>
      <c r="B26" s="1">
        <v>0.73143899999999995</v>
      </c>
      <c r="C26" s="1">
        <v>0.73288699999999996</v>
      </c>
      <c r="D26" s="1">
        <f>IF(B26&gt;C26,B26-C26,C26-B26)</f>
        <v>1.4480000000000048E-3</v>
      </c>
      <c r="E26">
        <f>MINUTE(D26)</f>
        <v>2</v>
      </c>
      <c r="F26">
        <f>SECOND(D26)</f>
        <v>5</v>
      </c>
      <c r="G26">
        <f>ROUND(E26+F26/60,2)</f>
        <v>2.08</v>
      </c>
      <c r="H26">
        <f>60*E26+F26</f>
        <v>125</v>
      </c>
      <c r="I26" s="3">
        <f>5*(3600/H26)</f>
        <v>144</v>
      </c>
      <c r="J26" s="16">
        <f t="shared" si="0"/>
        <v>1</v>
      </c>
    </row>
    <row r="27" spans="1:10" x14ac:dyDescent="0.25">
      <c r="A27" s="4" t="s">
        <v>47</v>
      </c>
      <c r="B27" s="1">
        <v>7.4501999999999999E-2</v>
      </c>
      <c r="C27" s="1">
        <v>7.3053999999999994E-2</v>
      </c>
      <c r="D27" s="1">
        <f>IF(B27&gt;C27,B27-C27,C27-B27)</f>
        <v>1.4480000000000048E-3</v>
      </c>
      <c r="E27">
        <f>MINUTE(D27)</f>
        <v>2</v>
      </c>
      <c r="F27">
        <f>SECOND(D27)</f>
        <v>5</v>
      </c>
      <c r="G27">
        <f>ROUND(E27+F27/60,2)</f>
        <v>2.08</v>
      </c>
      <c r="H27">
        <f>60*E27+F27</f>
        <v>125</v>
      </c>
      <c r="I27" s="3">
        <f>5*(3600/H27)</f>
        <v>144</v>
      </c>
      <c r="J27" s="16">
        <f t="shared" si="0"/>
        <v>1</v>
      </c>
    </row>
    <row r="28" spans="1:10" x14ac:dyDescent="0.25">
      <c r="A28" s="4" t="s">
        <v>48</v>
      </c>
      <c r="B28" s="1">
        <v>0.53415599999999996</v>
      </c>
      <c r="C28" s="1">
        <v>0.53560399999999997</v>
      </c>
      <c r="D28" s="1">
        <f>IF(B28&gt;C28,B28-C28,C28-B28)</f>
        <v>1.4480000000000048E-3</v>
      </c>
      <c r="E28">
        <f>MINUTE(D28)</f>
        <v>2</v>
      </c>
      <c r="F28">
        <f>SECOND(D28)</f>
        <v>5</v>
      </c>
      <c r="G28">
        <f>ROUND(E28+F28/60,2)</f>
        <v>2.08</v>
      </c>
      <c r="H28">
        <f>60*E28+F28</f>
        <v>125</v>
      </c>
      <c r="I28" s="3">
        <f>5*(3600/H28)</f>
        <v>144</v>
      </c>
      <c r="J28" s="16">
        <f t="shared" si="0"/>
        <v>1</v>
      </c>
    </row>
    <row r="29" spans="1:10" x14ac:dyDescent="0.25">
      <c r="A29" s="4" t="s">
        <v>52</v>
      </c>
      <c r="B29" s="1">
        <v>0.86371399999999998</v>
      </c>
      <c r="C29" s="1">
        <v>0.86516999999999999</v>
      </c>
      <c r="D29" s="1">
        <f>IF(B29&gt;C29,B29-C29,C29-B29)</f>
        <v>1.4560000000000128E-3</v>
      </c>
      <c r="E29">
        <f>MINUTE(D29)</f>
        <v>2</v>
      </c>
      <c r="F29">
        <f>SECOND(D29)</f>
        <v>6</v>
      </c>
      <c r="G29">
        <f>ROUND(E29+F29/60,2)</f>
        <v>2.1</v>
      </c>
      <c r="H29">
        <f>60*E29+F29</f>
        <v>126</v>
      </c>
      <c r="I29" s="3">
        <f>5*(3600/H29)</f>
        <v>142.85714285714286</v>
      </c>
      <c r="J29" s="16">
        <f t="shared" si="0"/>
        <v>1</v>
      </c>
    </row>
    <row r="30" spans="1:10" x14ac:dyDescent="0.25">
      <c r="A30" s="4" t="s">
        <v>49</v>
      </c>
      <c r="B30" s="1">
        <v>0.84440099999999996</v>
      </c>
      <c r="C30" s="1">
        <v>0.84294100000000005</v>
      </c>
      <c r="D30" s="1">
        <f>IF(B30&gt;C30,B30-C30,C30-B30)</f>
        <v>1.4599999999999058E-3</v>
      </c>
      <c r="E30">
        <f>MINUTE(D30)</f>
        <v>2</v>
      </c>
      <c r="F30">
        <f>SECOND(D30)</f>
        <v>6</v>
      </c>
      <c r="G30">
        <f>ROUND(E30+F30/60,2)</f>
        <v>2.1</v>
      </c>
      <c r="H30">
        <f>60*E30+F30</f>
        <v>126</v>
      </c>
      <c r="I30" s="3">
        <f>5*(3600/H30)</f>
        <v>142.85714285714286</v>
      </c>
      <c r="J30" s="16">
        <f t="shared" si="0"/>
        <v>1</v>
      </c>
    </row>
    <row r="31" spans="1:10" x14ac:dyDescent="0.25">
      <c r="A31" s="4" t="s">
        <v>99</v>
      </c>
      <c r="B31" s="1">
        <v>0.51575599999999999</v>
      </c>
      <c r="C31" s="1">
        <v>0.51722000000000001</v>
      </c>
      <c r="D31" s="1">
        <f>IF(B31&gt;C31,B31-C31,C31-B31)</f>
        <v>1.4640000000000208E-3</v>
      </c>
      <c r="E31">
        <f>MINUTE(D31)</f>
        <v>2</v>
      </c>
      <c r="F31">
        <f>SECOND(D31)</f>
        <v>6</v>
      </c>
      <c r="G31">
        <f>ROUND(E31+F31/60,2)</f>
        <v>2.1</v>
      </c>
      <c r="H31">
        <f>60*E31+F31</f>
        <v>126</v>
      </c>
      <c r="I31" s="3">
        <f>5*(3600/H31)</f>
        <v>142.85714285714286</v>
      </c>
      <c r="J31" s="16">
        <f t="shared" si="0"/>
        <v>1</v>
      </c>
    </row>
    <row r="32" spans="1:10" x14ac:dyDescent="0.25">
      <c r="A32" s="4" t="s">
        <v>63</v>
      </c>
      <c r="B32" s="1">
        <v>0.35100700000000001</v>
      </c>
      <c r="C32" s="1">
        <v>0.35246300000000003</v>
      </c>
      <c r="D32" s="1">
        <f>IF(B32&gt;C32,B32-C32,C32-B32)</f>
        <v>1.4560000000000128E-3</v>
      </c>
      <c r="E32">
        <f>MINUTE(D32)</f>
        <v>2</v>
      </c>
      <c r="F32">
        <f>SECOND(D32)</f>
        <v>6</v>
      </c>
      <c r="G32">
        <f>ROUND(E32+F32/60,2)</f>
        <v>2.1</v>
      </c>
      <c r="H32">
        <f>60*E32+F32</f>
        <v>126</v>
      </c>
      <c r="I32" s="3">
        <f>5*(3600/H32)</f>
        <v>142.85714285714286</v>
      </c>
      <c r="J32" s="16">
        <f t="shared" si="0"/>
        <v>1</v>
      </c>
    </row>
    <row r="33" spans="1:10" x14ac:dyDescent="0.25">
      <c r="A33" s="4" t="s">
        <v>199</v>
      </c>
      <c r="B33" s="1">
        <v>5.1676E-2</v>
      </c>
      <c r="C33" s="1">
        <v>5.3148000000000001E-2</v>
      </c>
      <c r="D33" s="1">
        <f>IF(B33&gt;C33,B33-C33,C33-B33)</f>
        <v>1.4720000000000011E-3</v>
      </c>
      <c r="E33">
        <f>MINUTE(D33)</f>
        <v>2</v>
      </c>
      <c r="F33">
        <f>SECOND(D33)</f>
        <v>7</v>
      </c>
      <c r="G33">
        <f>ROUND(E33+F33/60,2)</f>
        <v>2.12</v>
      </c>
      <c r="H33">
        <f>60*E33+F33</f>
        <v>127</v>
      </c>
      <c r="I33" s="3">
        <f>5*(3600/H33)</f>
        <v>141.73228346456693</v>
      </c>
      <c r="J33" s="16">
        <f t="shared" si="0"/>
        <v>1</v>
      </c>
    </row>
    <row r="34" spans="1:10" x14ac:dyDescent="0.25">
      <c r="A34" s="4" t="s">
        <v>246</v>
      </c>
      <c r="B34" s="1">
        <v>0.55222700000000002</v>
      </c>
      <c r="C34" s="1">
        <v>0.550759</v>
      </c>
      <c r="D34" s="1">
        <f>IF(B34&gt;C34,B34-C34,C34-B34)</f>
        <v>1.4680000000000248E-3</v>
      </c>
      <c r="E34">
        <f>MINUTE(D34)</f>
        <v>2</v>
      </c>
      <c r="F34">
        <f>SECOND(D34)</f>
        <v>7</v>
      </c>
      <c r="G34">
        <f>ROUND(E34+F34/60,2)</f>
        <v>2.12</v>
      </c>
      <c r="H34">
        <f>60*E34+F34</f>
        <v>127</v>
      </c>
      <c r="I34" s="3">
        <f>5*(3600/H34)</f>
        <v>141.73228346456693</v>
      </c>
      <c r="J34" s="16">
        <f t="shared" si="0"/>
        <v>1</v>
      </c>
    </row>
    <row r="35" spans="1:10" x14ac:dyDescent="0.25">
      <c r="A35" s="4" t="s">
        <v>291</v>
      </c>
      <c r="B35" s="1">
        <v>0.72183600000000003</v>
      </c>
      <c r="C35" s="1">
        <v>0.72330399999999995</v>
      </c>
      <c r="D35" s="1">
        <f>IF(B35&gt;C35,B35-C35,C35-B35)</f>
        <v>1.4679999999999138E-3</v>
      </c>
      <c r="E35">
        <f>MINUTE(D35)</f>
        <v>2</v>
      </c>
      <c r="F35">
        <f>SECOND(D35)</f>
        <v>7</v>
      </c>
      <c r="G35">
        <f>ROUND(E35+F35/60,2)</f>
        <v>2.12</v>
      </c>
      <c r="H35">
        <f>60*E35+F35</f>
        <v>127</v>
      </c>
      <c r="I35" s="3">
        <f>5*(3600/H35)</f>
        <v>141.73228346456693</v>
      </c>
      <c r="J35" s="16">
        <f t="shared" si="0"/>
        <v>1</v>
      </c>
    </row>
    <row r="36" spans="1:10" x14ac:dyDescent="0.25">
      <c r="A36" s="4" t="s">
        <v>144</v>
      </c>
      <c r="B36" s="1">
        <v>0.73835600000000001</v>
      </c>
      <c r="C36" s="1">
        <v>0.73983200000000005</v>
      </c>
      <c r="D36" s="1">
        <f>IF(B36&gt;C36,B36-C36,C36-B36)</f>
        <v>1.4760000000000328E-3</v>
      </c>
      <c r="E36">
        <f>MINUTE(D36)</f>
        <v>2</v>
      </c>
      <c r="F36">
        <f>SECOND(D36)</f>
        <v>8</v>
      </c>
      <c r="G36">
        <f>ROUND(E36+F36/60,2)</f>
        <v>2.13</v>
      </c>
      <c r="H36">
        <f>60*E36+F36</f>
        <v>128</v>
      </c>
      <c r="I36" s="3">
        <f>5*(3600/H36)</f>
        <v>140.625</v>
      </c>
      <c r="J36" s="16">
        <f t="shared" si="0"/>
        <v>1</v>
      </c>
    </row>
    <row r="37" spans="1:10" x14ac:dyDescent="0.25">
      <c r="A37" s="4" t="s">
        <v>283</v>
      </c>
      <c r="B37" s="1">
        <v>0.16709599999999999</v>
      </c>
      <c r="C37" s="1">
        <v>0.16858000000000001</v>
      </c>
      <c r="D37" s="1">
        <f>IF(B37&gt;C37,B37-C37,C37-B37)</f>
        <v>1.4840000000000131E-3</v>
      </c>
      <c r="E37">
        <f>MINUTE(D37)</f>
        <v>2</v>
      </c>
      <c r="F37">
        <f>SECOND(D37)</f>
        <v>8</v>
      </c>
      <c r="G37">
        <f>ROUND(E37+F37/60,2)</f>
        <v>2.13</v>
      </c>
      <c r="H37">
        <f>60*E37+F37</f>
        <v>128</v>
      </c>
      <c r="I37" s="3">
        <f>5*(3600/H37)</f>
        <v>140.625</v>
      </c>
      <c r="J37" s="16">
        <f t="shared" si="0"/>
        <v>1</v>
      </c>
    </row>
    <row r="38" spans="1:10" x14ac:dyDescent="0.25">
      <c r="A38" s="4" t="s">
        <v>5</v>
      </c>
      <c r="B38" s="1">
        <v>0.53817999999999999</v>
      </c>
      <c r="C38" s="1">
        <v>0.53967600000000004</v>
      </c>
      <c r="D38" s="1">
        <f>IF(B38&gt;C38,B38-C38,C38-B38)</f>
        <v>1.4960000000000528E-3</v>
      </c>
      <c r="E38">
        <f>MINUTE(D38)</f>
        <v>2</v>
      </c>
      <c r="F38">
        <f>SECOND(D38)</f>
        <v>9</v>
      </c>
      <c r="G38">
        <f>ROUND(E38+F38/60,2)</f>
        <v>2.15</v>
      </c>
      <c r="H38">
        <f>60*E38+F38</f>
        <v>129</v>
      </c>
      <c r="I38" s="3">
        <f>5*(3600/H38)</f>
        <v>139.53488372093022</v>
      </c>
      <c r="J38" s="16">
        <f t="shared" si="0"/>
        <v>0</v>
      </c>
    </row>
    <row r="39" spans="1:10" x14ac:dyDescent="0.25">
      <c r="A39" s="4" t="s">
        <v>197</v>
      </c>
      <c r="B39" s="1">
        <v>0.35936200000000001</v>
      </c>
      <c r="C39" s="1">
        <v>0.35786600000000002</v>
      </c>
      <c r="D39" s="1">
        <f>IF(B39&gt;C39,B39-C39,C39-B39)</f>
        <v>1.4959999999999973E-3</v>
      </c>
      <c r="E39">
        <f>MINUTE(D39)</f>
        <v>2</v>
      </c>
      <c r="F39">
        <f>SECOND(D39)</f>
        <v>9</v>
      </c>
      <c r="G39">
        <f>ROUND(E39+F39/60,2)</f>
        <v>2.15</v>
      </c>
      <c r="H39">
        <f>60*E39+F39</f>
        <v>129</v>
      </c>
      <c r="I39" s="3">
        <f>5*(3600/H39)</f>
        <v>139.53488372093022</v>
      </c>
      <c r="J39" s="16">
        <f t="shared" si="0"/>
        <v>0</v>
      </c>
    </row>
    <row r="40" spans="1:10" x14ac:dyDescent="0.25">
      <c r="A40" s="4" t="s">
        <v>383</v>
      </c>
      <c r="B40" s="1">
        <v>5.2143000000000002E-2</v>
      </c>
      <c r="C40" s="1">
        <v>5.0654999999999999E-2</v>
      </c>
      <c r="D40" s="1">
        <f>IF(B40&gt;C40,B40-C40,C40-B40)</f>
        <v>1.4880000000000032E-3</v>
      </c>
      <c r="E40">
        <f>MINUTE(D40)</f>
        <v>2</v>
      </c>
      <c r="F40">
        <f>SECOND(D40)</f>
        <v>9</v>
      </c>
      <c r="G40">
        <f>ROUND(E40+F40/60,2)</f>
        <v>2.15</v>
      </c>
      <c r="H40">
        <f>60*E40+F40</f>
        <v>129</v>
      </c>
      <c r="I40" s="3">
        <f>5*(3600/H40)</f>
        <v>139.53488372093022</v>
      </c>
      <c r="J40" s="16">
        <f t="shared" si="0"/>
        <v>0</v>
      </c>
    </row>
    <row r="41" spans="1:10" x14ac:dyDescent="0.25">
      <c r="A41" s="4" t="s">
        <v>23</v>
      </c>
      <c r="B41" s="1">
        <v>0.41572100000000001</v>
      </c>
      <c r="C41" s="1">
        <v>0.414217</v>
      </c>
      <c r="D41" s="1">
        <f>IF(B41&gt;C41,B41-C41,C41-B41)</f>
        <v>1.5040000000000053E-3</v>
      </c>
      <c r="E41">
        <f>MINUTE(D41)</f>
        <v>2</v>
      </c>
      <c r="F41">
        <f>SECOND(D41)</f>
        <v>10</v>
      </c>
      <c r="G41">
        <f>ROUND(E41+F41/60,2)</f>
        <v>2.17</v>
      </c>
      <c r="H41">
        <f>60*E41+F41</f>
        <v>130</v>
      </c>
      <c r="I41" s="3">
        <f>5*(3600/H41)</f>
        <v>138.46153846153845</v>
      </c>
      <c r="J41" s="16">
        <f t="shared" si="0"/>
        <v>0</v>
      </c>
    </row>
    <row r="42" spans="1:10" x14ac:dyDescent="0.25">
      <c r="A42" s="4" t="s">
        <v>141</v>
      </c>
      <c r="B42" s="1">
        <v>0.138354</v>
      </c>
      <c r="C42" s="1">
        <v>0.13685</v>
      </c>
      <c r="D42" s="1">
        <f>IF(B42&gt;C42,B42-C42,C42-B42)</f>
        <v>1.5040000000000053E-3</v>
      </c>
      <c r="E42">
        <f>MINUTE(D42)</f>
        <v>2</v>
      </c>
      <c r="F42">
        <f>SECOND(D42)</f>
        <v>10</v>
      </c>
      <c r="G42">
        <f>ROUND(E42+F42/60,2)</f>
        <v>2.17</v>
      </c>
      <c r="H42">
        <f>60*E42+F42</f>
        <v>130</v>
      </c>
      <c r="I42" s="3">
        <f>5*(3600/H42)</f>
        <v>138.46153846153845</v>
      </c>
      <c r="J42" s="16">
        <f t="shared" si="0"/>
        <v>0</v>
      </c>
    </row>
    <row r="43" spans="1:10" x14ac:dyDescent="0.25">
      <c r="A43" s="4" t="s">
        <v>95</v>
      </c>
      <c r="B43" s="1">
        <v>0.18242900000000001</v>
      </c>
      <c r="C43" s="1">
        <v>0.18092900000000001</v>
      </c>
      <c r="D43" s="1">
        <f>IF(B43&gt;C43,B43-C43,C43-B43)</f>
        <v>1.5000000000000013E-3</v>
      </c>
      <c r="E43">
        <f>MINUTE(D43)</f>
        <v>2</v>
      </c>
      <c r="F43">
        <f>SECOND(D43)</f>
        <v>10</v>
      </c>
      <c r="G43">
        <f>ROUND(E43+F43/60,2)</f>
        <v>2.17</v>
      </c>
      <c r="H43">
        <f>60*E43+F43</f>
        <v>130</v>
      </c>
      <c r="I43" s="3">
        <f>5*(3600/H43)</f>
        <v>138.46153846153845</v>
      </c>
      <c r="J43" s="16">
        <f t="shared" si="0"/>
        <v>0</v>
      </c>
    </row>
    <row r="44" spans="1:10" x14ac:dyDescent="0.25">
      <c r="A44" s="4" t="s">
        <v>74</v>
      </c>
      <c r="B44" s="1">
        <v>0.27588800000000002</v>
      </c>
      <c r="C44" s="1">
        <v>0.27738800000000002</v>
      </c>
      <c r="D44" s="1">
        <f>IF(B44&gt;C44,B44-C44,C44-B44)</f>
        <v>1.5000000000000013E-3</v>
      </c>
      <c r="E44">
        <f>MINUTE(D44)</f>
        <v>2</v>
      </c>
      <c r="F44">
        <f>SECOND(D44)</f>
        <v>10</v>
      </c>
      <c r="G44">
        <f>ROUND(E44+F44/60,2)</f>
        <v>2.17</v>
      </c>
      <c r="H44">
        <f>60*E44+F44</f>
        <v>130</v>
      </c>
      <c r="I44" s="3">
        <f>5*(3600/H44)</f>
        <v>138.46153846153845</v>
      </c>
      <c r="J44" s="16">
        <f t="shared" si="0"/>
        <v>0</v>
      </c>
    </row>
    <row r="45" spans="1:10" x14ac:dyDescent="0.25">
      <c r="A45" s="4" t="s">
        <v>72</v>
      </c>
      <c r="B45" s="1">
        <v>0.22588900000000001</v>
      </c>
      <c r="C45" s="1">
        <v>0.224385</v>
      </c>
      <c r="D45" s="1">
        <f>IF(B45&gt;C45,B45-C45,C45-B45)</f>
        <v>1.5040000000000053E-3</v>
      </c>
      <c r="E45">
        <f>MINUTE(D45)</f>
        <v>2</v>
      </c>
      <c r="F45">
        <f>SECOND(D45)</f>
        <v>10</v>
      </c>
      <c r="G45">
        <f>ROUND(E45+F45/60,2)</f>
        <v>2.17</v>
      </c>
      <c r="H45">
        <f>60*E45+F45</f>
        <v>130</v>
      </c>
      <c r="I45" s="3">
        <f>5*(3600/H45)</f>
        <v>138.46153846153845</v>
      </c>
      <c r="J45" s="16">
        <f t="shared" si="0"/>
        <v>0</v>
      </c>
    </row>
    <row r="46" spans="1:10" x14ac:dyDescent="0.25">
      <c r="A46" s="4" t="s">
        <v>18</v>
      </c>
      <c r="B46" s="1">
        <v>0.77679200000000004</v>
      </c>
      <c r="C46" s="1">
        <v>0.77528799999999998</v>
      </c>
      <c r="D46" s="1">
        <f>IF(B46&gt;C46,B46-C46,C46-B46)</f>
        <v>1.5040000000000608E-3</v>
      </c>
      <c r="E46">
        <f>MINUTE(D46)</f>
        <v>2</v>
      </c>
      <c r="F46">
        <f>SECOND(D46)</f>
        <v>10</v>
      </c>
      <c r="G46">
        <f>ROUND(E46+F46/60,2)</f>
        <v>2.17</v>
      </c>
      <c r="H46">
        <f>60*E46+F46</f>
        <v>130</v>
      </c>
      <c r="I46" s="3">
        <f>5*(3600/H46)</f>
        <v>138.46153846153845</v>
      </c>
      <c r="J46" s="16">
        <f t="shared" si="0"/>
        <v>0</v>
      </c>
    </row>
    <row r="47" spans="1:10" x14ac:dyDescent="0.25">
      <c r="A47" s="4" t="s">
        <v>104</v>
      </c>
      <c r="B47" s="1">
        <v>0.50448999999999999</v>
      </c>
      <c r="C47" s="1">
        <v>0.50298200000000004</v>
      </c>
      <c r="D47" s="1">
        <f>IF(B47&gt;C47,B47-C47,C47-B47)</f>
        <v>1.5079999999999538E-3</v>
      </c>
      <c r="E47">
        <f>MINUTE(D47)</f>
        <v>2</v>
      </c>
      <c r="F47">
        <f>SECOND(D47)</f>
        <v>10</v>
      </c>
      <c r="G47">
        <f>ROUND(E47+F47/60,2)</f>
        <v>2.17</v>
      </c>
      <c r="H47">
        <f>60*E47+F47</f>
        <v>130</v>
      </c>
      <c r="I47" s="3">
        <f>5*(3600/H47)</f>
        <v>138.46153846153845</v>
      </c>
      <c r="J47" s="16">
        <f t="shared" si="0"/>
        <v>0</v>
      </c>
    </row>
    <row r="48" spans="1:10" x14ac:dyDescent="0.25">
      <c r="A48" s="4" t="s">
        <v>118</v>
      </c>
      <c r="B48" s="1">
        <v>0.83749799999999996</v>
      </c>
      <c r="C48" s="1">
        <v>0.83599400000000001</v>
      </c>
      <c r="D48" s="1">
        <f>IF(B48&gt;C48,B48-C48,C48-B48)</f>
        <v>1.5039999999999498E-3</v>
      </c>
      <c r="E48">
        <f>MINUTE(D48)</f>
        <v>2</v>
      </c>
      <c r="F48">
        <f>SECOND(D48)</f>
        <v>10</v>
      </c>
      <c r="G48">
        <f>ROUND(E48+F48/60,2)</f>
        <v>2.17</v>
      </c>
      <c r="H48">
        <f>60*E48+F48</f>
        <v>130</v>
      </c>
      <c r="I48" s="3">
        <f>5*(3600/H48)</f>
        <v>138.46153846153845</v>
      </c>
      <c r="J48" s="16">
        <f t="shared" si="0"/>
        <v>0</v>
      </c>
    </row>
    <row r="49" spans="1:10" x14ac:dyDescent="0.25">
      <c r="A49" s="4" t="s">
        <v>87</v>
      </c>
      <c r="B49" s="1">
        <v>0.52210599999999996</v>
      </c>
      <c r="C49" s="1">
        <v>0.52360600000000002</v>
      </c>
      <c r="D49" s="1">
        <f>IF(B49&gt;C49,B49-C49,C49-B49)</f>
        <v>1.5000000000000568E-3</v>
      </c>
      <c r="E49">
        <f>MINUTE(D49)</f>
        <v>2</v>
      </c>
      <c r="F49">
        <f>SECOND(D49)</f>
        <v>10</v>
      </c>
      <c r="G49">
        <f>ROUND(E49+F49/60,2)</f>
        <v>2.17</v>
      </c>
      <c r="H49">
        <f>60*E49+F49</f>
        <v>130</v>
      </c>
      <c r="I49" s="3">
        <f>5*(3600/H49)</f>
        <v>138.46153846153845</v>
      </c>
      <c r="J49" s="16">
        <f t="shared" si="0"/>
        <v>0</v>
      </c>
    </row>
    <row r="50" spans="1:10" x14ac:dyDescent="0.25">
      <c r="A50" s="4" t="s">
        <v>234</v>
      </c>
      <c r="B50" s="1">
        <v>0.53744899999999995</v>
      </c>
      <c r="C50" s="1">
        <v>0.53895300000000002</v>
      </c>
      <c r="D50" s="1">
        <f>IF(B50&gt;C50,B50-C50,C50-B50)</f>
        <v>1.5040000000000608E-3</v>
      </c>
      <c r="E50">
        <f>MINUTE(D50)</f>
        <v>2</v>
      </c>
      <c r="F50">
        <f>SECOND(D50)</f>
        <v>10</v>
      </c>
      <c r="G50">
        <f>ROUND(E50+F50/60,2)</f>
        <v>2.17</v>
      </c>
      <c r="H50">
        <f>60*E50+F50</f>
        <v>130</v>
      </c>
      <c r="I50" s="3">
        <f>5*(3600/H50)</f>
        <v>138.46153846153845</v>
      </c>
      <c r="J50" s="16">
        <f t="shared" si="0"/>
        <v>0</v>
      </c>
    </row>
    <row r="51" spans="1:10" x14ac:dyDescent="0.25">
      <c r="A51" s="4" t="s">
        <v>134</v>
      </c>
      <c r="B51" s="1">
        <v>0.86431400000000003</v>
      </c>
      <c r="C51" s="1">
        <v>0.86280199999999996</v>
      </c>
      <c r="D51" s="1">
        <f>IF(B51&gt;C51,B51-C51,C51-B51)</f>
        <v>1.5120000000000688E-3</v>
      </c>
      <c r="E51">
        <f>MINUTE(D51)</f>
        <v>2</v>
      </c>
      <c r="F51">
        <f>SECOND(D51)</f>
        <v>11</v>
      </c>
      <c r="G51">
        <f>ROUND(E51+F51/60,2)</f>
        <v>2.1800000000000002</v>
      </c>
      <c r="H51">
        <f>60*E51+F51</f>
        <v>131</v>
      </c>
      <c r="I51" s="3">
        <f>5*(3600/H51)</f>
        <v>137.40458015267177</v>
      </c>
      <c r="J51" s="16">
        <f t="shared" si="0"/>
        <v>0</v>
      </c>
    </row>
    <row r="52" spans="1:10" x14ac:dyDescent="0.25">
      <c r="A52" s="4" t="s">
        <v>16</v>
      </c>
      <c r="B52" s="1">
        <v>0.26755400000000001</v>
      </c>
      <c r="C52" s="1">
        <v>0.266042</v>
      </c>
      <c r="D52" s="1">
        <f>IF(B52&gt;C52,B52-C52,C52-B52)</f>
        <v>1.5120000000000133E-3</v>
      </c>
      <c r="E52">
        <f>MINUTE(D52)</f>
        <v>2</v>
      </c>
      <c r="F52">
        <f>SECOND(D52)</f>
        <v>11</v>
      </c>
      <c r="G52">
        <f>ROUND(E52+F52/60,2)</f>
        <v>2.1800000000000002</v>
      </c>
      <c r="H52">
        <f>60*E52+F52</f>
        <v>131</v>
      </c>
      <c r="I52" s="3">
        <f>5*(3600/H52)</f>
        <v>137.40458015267177</v>
      </c>
      <c r="J52" s="16">
        <f t="shared" si="0"/>
        <v>0</v>
      </c>
    </row>
    <row r="53" spans="1:10" x14ac:dyDescent="0.25">
      <c r="A53" s="4" t="s">
        <v>181</v>
      </c>
      <c r="B53" s="1">
        <v>0.89040600000000003</v>
      </c>
      <c r="C53" s="1">
        <v>0.88888599999999995</v>
      </c>
      <c r="D53" s="1">
        <f>IF(B53&gt;C53,B53-C53,C53-B53)</f>
        <v>1.5200000000000768E-3</v>
      </c>
      <c r="E53">
        <f>MINUTE(D53)</f>
        <v>2</v>
      </c>
      <c r="F53">
        <f>SECOND(D53)</f>
        <v>11</v>
      </c>
      <c r="G53">
        <f>ROUND(E53+F53/60,2)</f>
        <v>2.1800000000000002</v>
      </c>
      <c r="H53">
        <f>60*E53+F53</f>
        <v>131</v>
      </c>
      <c r="I53" s="3">
        <f>5*(3600/H53)</f>
        <v>137.40458015267177</v>
      </c>
      <c r="J53" s="16">
        <f t="shared" si="0"/>
        <v>0</v>
      </c>
    </row>
    <row r="54" spans="1:10" x14ac:dyDescent="0.25">
      <c r="A54" s="4" t="s">
        <v>339</v>
      </c>
      <c r="B54" s="1">
        <v>0.55148399999999997</v>
      </c>
      <c r="C54" s="1">
        <v>0.55299600000000004</v>
      </c>
      <c r="D54" s="1">
        <f>IF(B54&gt;C54,B54-C54,C54-B54)</f>
        <v>1.5120000000000688E-3</v>
      </c>
      <c r="E54">
        <f>MINUTE(D54)</f>
        <v>2</v>
      </c>
      <c r="F54">
        <f>SECOND(D54)</f>
        <v>11</v>
      </c>
      <c r="G54">
        <f>ROUND(E54+F54/60,2)</f>
        <v>2.1800000000000002</v>
      </c>
      <c r="H54">
        <f>60*E54+F54</f>
        <v>131</v>
      </c>
      <c r="I54" s="3">
        <f>5*(3600/H54)</f>
        <v>137.40458015267177</v>
      </c>
      <c r="J54" s="16">
        <f t="shared" si="0"/>
        <v>0</v>
      </c>
    </row>
    <row r="55" spans="1:10" x14ac:dyDescent="0.25">
      <c r="A55" s="4" t="s">
        <v>120</v>
      </c>
      <c r="B55" s="1">
        <v>0.67288400000000004</v>
      </c>
      <c r="C55" s="1">
        <v>0.67135999999999996</v>
      </c>
      <c r="D55" s="1">
        <f>IF(B55&gt;C55,B55-C55,C55-B55)</f>
        <v>1.5240000000000808E-3</v>
      </c>
      <c r="E55">
        <f>MINUTE(D55)</f>
        <v>2</v>
      </c>
      <c r="F55">
        <f>SECOND(D55)</f>
        <v>12</v>
      </c>
      <c r="G55">
        <f>ROUND(E55+F55/60,2)</f>
        <v>2.2000000000000002</v>
      </c>
      <c r="H55">
        <f>60*E55+F55</f>
        <v>132</v>
      </c>
      <c r="I55" s="3">
        <f>5*(3600/H55)</f>
        <v>136.36363636363637</v>
      </c>
      <c r="J55" s="16">
        <f t="shared" si="0"/>
        <v>0</v>
      </c>
    </row>
    <row r="56" spans="1:10" x14ac:dyDescent="0.25">
      <c r="A56" s="4" t="s">
        <v>153</v>
      </c>
      <c r="B56" s="1">
        <v>0.13258500000000001</v>
      </c>
      <c r="C56" s="1">
        <v>0.13410900000000001</v>
      </c>
      <c r="D56" s="1">
        <f>IF(B56&gt;C56,B56-C56,C56-B56)</f>
        <v>1.5239999999999976E-3</v>
      </c>
      <c r="E56">
        <f>MINUTE(D56)</f>
        <v>2</v>
      </c>
      <c r="F56">
        <f>SECOND(D56)</f>
        <v>12</v>
      </c>
      <c r="G56">
        <f>ROUND(E56+F56/60,2)</f>
        <v>2.2000000000000002</v>
      </c>
      <c r="H56">
        <f>60*E56+F56</f>
        <v>132</v>
      </c>
      <c r="I56" s="3">
        <f>5*(3600/H56)</f>
        <v>136.36363636363637</v>
      </c>
      <c r="J56" s="16">
        <f t="shared" si="0"/>
        <v>0</v>
      </c>
    </row>
    <row r="57" spans="1:10" x14ac:dyDescent="0.25">
      <c r="A57" s="4" t="s">
        <v>47</v>
      </c>
      <c r="B57" s="1">
        <v>0.23163800000000001</v>
      </c>
      <c r="C57" s="1">
        <v>0.23316999999999999</v>
      </c>
      <c r="D57" s="1">
        <f>IF(B57&gt;C57,B57-C57,C57-B57)</f>
        <v>1.5319999999999778E-3</v>
      </c>
      <c r="E57">
        <f>MINUTE(D57)</f>
        <v>2</v>
      </c>
      <c r="F57">
        <f>SECOND(D57)</f>
        <v>12</v>
      </c>
      <c r="G57">
        <f>ROUND(E57+F57/60,2)</f>
        <v>2.2000000000000002</v>
      </c>
      <c r="H57">
        <f>60*E57+F57</f>
        <v>132</v>
      </c>
      <c r="I57" s="3">
        <f>5*(3600/H57)</f>
        <v>136.36363636363637</v>
      </c>
      <c r="J57" s="16">
        <f t="shared" si="0"/>
        <v>0</v>
      </c>
    </row>
    <row r="58" spans="1:10" x14ac:dyDescent="0.25">
      <c r="A58" s="4" t="s">
        <v>60</v>
      </c>
      <c r="B58" s="1">
        <v>0.42548900000000001</v>
      </c>
      <c r="C58" s="1">
        <v>0.42702099999999998</v>
      </c>
      <c r="D58" s="1">
        <f>IF(B58&gt;C58,B58-C58,C58-B58)</f>
        <v>1.5319999999999778E-3</v>
      </c>
      <c r="E58">
        <f>MINUTE(D58)</f>
        <v>2</v>
      </c>
      <c r="F58">
        <f>SECOND(D58)</f>
        <v>12</v>
      </c>
      <c r="G58">
        <f>ROUND(E58+F58/60,2)</f>
        <v>2.2000000000000002</v>
      </c>
      <c r="H58">
        <f>60*E58+F58</f>
        <v>132</v>
      </c>
      <c r="I58" s="3">
        <f>5*(3600/H58)</f>
        <v>136.36363636363637</v>
      </c>
      <c r="J58" s="16">
        <f t="shared" si="0"/>
        <v>0</v>
      </c>
    </row>
    <row r="59" spans="1:10" x14ac:dyDescent="0.25">
      <c r="A59" s="4" t="s">
        <v>280</v>
      </c>
      <c r="B59" s="1">
        <v>8.2901000000000002E-2</v>
      </c>
      <c r="C59" s="1">
        <v>8.4425E-2</v>
      </c>
      <c r="D59" s="1">
        <f>IF(B59&gt;C59,B59-C59,C59-B59)</f>
        <v>1.5239999999999976E-3</v>
      </c>
      <c r="E59">
        <f>MINUTE(D59)</f>
        <v>2</v>
      </c>
      <c r="F59">
        <f>SECOND(D59)</f>
        <v>12</v>
      </c>
      <c r="G59">
        <f>ROUND(E59+F59/60,2)</f>
        <v>2.2000000000000002</v>
      </c>
      <c r="H59">
        <f>60*E59+F59</f>
        <v>132</v>
      </c>
      <c r="I59" s="3">
        <f>5*(3600/H59)</f>
        <v>136.36363636363637</v>
      </c>
      <c r="J59" s="16">
        <f t="shared" si="0"/>
        <v>0</v>
      </c>
    </row>
    <row r="60" spans="1:10" x14ac:dyDescent="0.25">
      <c r="A60" s="4" t="s">
        <v>74</v>
      </c>
      <c r="B60" s="1">
        <v>0.20558899999999999</v>
      </c>
      <c r="C60" s="1">
        <v>0.20712900000000001</v>
      </c>
      <c r="D60" s="1">
        <f>IF(B60&gt;C60,B60-C60,C60-B60)</f>
        <v>1.5400000000000136E-3</v>
      </c>
      <c r="E60">
        <f>MINUTE(D60)</f>
        <v>2</v>
      </c>
      <c r="F60">
        <f>SECOND(D60)</f>
        <v>13</v>
      </c>
      <c r="G60">
        <f>ROUND(E60+F60/60,2)</f>
        <v>2.2200000000000002</v>
      </c>
      <c r="H60">
        <f>60*E60+F60</f>
        <v>133</v>
      </c>
      <c r="I60" s="3">
        <f>5*(3600/H60)</f>
        <v>135.33834586466165</v>
      </c>
      <c r="J60" s="16">
        <f t="shared" si="0"/>
        <v>0</v>
      </c>
    </row>
    <row r="61" spans="1:10" x14ac:dyDescent="0.25">
      <c r="A61" s="4" t="s">
        <v>93</v>
      </c>
      <c r="B61" s="1">
        <v>0.24371599999999999</v>
      </c>
      <c r="C61" s="1">
        <v>0.24526400000000001</v>
      </c>
      <c r="D61" s="1">
        <f>IF(B61&gt;C61,B61-C61,C61-B61)</f>
        <v>1.5480000000000216E-3</v>
      </c>
      <c r="E61">
        <f>MINUTE(D61)</f>
        <v>2</v>
      </c>
      <c r="F61">
        <f>SECOND(D61)</f>
        <v>14</v>
      </c>
      <c r="G61">
        <f>ROUND(E61+F61/60,2)</f>
        <v>2.23</v>
      </c>
      <c r="H61">
        <f>60*E61+F61</f>
        <v>134</v>
      </c>
      <c r="I61" s="3">
        <f>5*(3600/H61)</f>
        <v>134.32835820895522</v>
      </c>
      <c r="J61" s="16">
        <f t="shared" si="0"/>
        <v>0</v>
      </c>
    </row>
    <row r="62" spans="1:10" x14ac:dyDescent="0.25">
      <c r="A62" s="4" t="s">
        <v>68</v>
      </c>
      <c r="B62" s="1">
        <v>0.398974</v>
      </c>
      <c r="C62" s="1">
        <v>0.40052599999999999</v>
      </c>
      <c r="D62" s="1">
        <f>IF(B62&gt;C62,B62-C62,C62-B62)</f>
        <v>1.5519999999999978E-3</v>
      </c>
      <c r="E62">
        <f>MINUTE(D62)</f>
        <v>2</v>
      </c>
      <c r="F62">
        <f>SECOND(D62)</f>
        <v>14</v>
      </c>
      <c r="G62">
        <f>ROUND(E62+F62/60,2)</f>
        <v>2.23</v>
      </c>
      <c r="H62">
        <f>60*E62+F62</f>
        <v>134</v>
      </c>
      <c r="I62" s="3">
        <f>5*(3600/H62)</f>
        <v>134.32835820895522</v>
      </c>
      <c r="J62" s="16">
        <f t="shared" si="0"/>
        <v>0</v>
      </c>
    </row>
    <row r="63" spans="1:10" x14ac:dyDescent="0.25">
      <c r="A63" s="4" t="s">
        <v>57</v>
      </c>
      <c r="B63" s="1">
        <v>0.174453</v>
      </c>
      <c r="C63" s="1">
        <v>0.176009</v>
      </c>
      <c r="D63" s="1">
        <f>IF(B63&gt;C63,B63-C63,C63-B63)</f>
        <v>1.5560000000000018E-3</v>
      </c>
      <c r="E63">
        <f>MINUTE(D63)</f>
        <v>2</v>
      </c>
      <c r="F63">
        <f>SECOND(D63)</f>
        <v>14</v>
      </c>
      <c r="G63">
        <f>ROUND(E63+F63/60,2)</f>
        <v>2.23</v>
      </c>
      <c r="H63">
        <f>60*E63+F63</f>
        <v>134</v>
      </c>
      <c r="I63" s="3">
        <f>5*(3600/H63)</f>
        <v>134.32835820895522</v>
      </c>
      <c r="J63" s="16">
        <f t="shared" si="0"/>
        <v>0</v>
      </c>
    </row>
    <row r="64" spans="1:10" x14ac:dyDescent="0.25">
      <c r="A64" s="4" t="s">
        <v>93</v>
      </c>
      <c r="B64" s="1">
        <v>0.64764299999999997</v>
      </c>
      <c r="C64" s="1">
        <v>0.64919099999999996</v>
      </c>
      <c r="D64" s="1">
        <f>IF(B64&gt;C64,B64-C64,C64-B64)</f>
        <v>1.5479999999999938E-3</v>
      </c>
      <c r="E64">
        <f>MINUTE(D64)</f>
        <v>2</v>
      </c>
      <c r="F64">
        <f>SECOND(D64)</f>
        <v>14</v>
      </c>
      <c r="G64">
        <f>ROUND(E64+F64/60,2)</f>
        <v>2.23</v>
      </c>
      <c r="H64">
        <f>60*E64+F64</f>
        <v>134</v>
      </c>
      <c r="I64" s="3">
        <f>5*(3600/H64)</f>
        <v>134.32835820895522</v>
      </c>
      <c r="J64" s="16">
        <f t="shared" si="0"/>
        <v>0</v>
      </c>
    </row>
    <row r="65" spans="1:10" x14ac:dyDescent="0.25">
      <c r="A65" s="4" t="s">
        <v>117</v>
      </c>
      <c r="B65" s="1">
        <v>3.3759999999999998E-2</v>
      </c>
      <c r="C65" s="1">
        <v>3.5316E-2</v>
      </c>
      <c r="D65" s="1">
        <f>IF(B65&gt;C65,B65-C65,C65-B65)</f>
        <v>1.5560000000000018E-3</v>
      </c>
      <c r="E65">
        <f>MINUTE(D65)</f>
        <v>2</v>
      </c>
      <c r="F65">
        <f>SECOND(D65)</f>
        <v>14</v>
      </c>
      <c r="G65">
        <f>ROUND(E65+F65/60,2)</f>
        <v>2.23</v>
      </c>
      <c r="H65">
        <f>60*E65+F65</f>
        <v>134</v>
      </c>
      <c r="I65" s="3">
        <f>5*(3600/H65)</f>
        <v>134.32835820895522</v>
      </c>
      <c r="J65" s="16">
        <f t="shared" si="0"/>
        <v>0</v>
      </c>
    </row>
    <row r="66" spans="1:10" x14ac:dyDescent="0.25">
      <c r="A66" s="4" t="s">
        <v>109</v>
      </c>
      <c r="B66" s="1">
        <v>0.38767800000000002</v>
      </c>
      <c r="C66" s="1">
        <v>0.38923000000000002</v>
      </c>
      <c r="D66" s="1">
        <f>IF(B66&gt;C66,B66-C66,C66-B66)</f>
        <v>1.5519999999999978E-3</v>
      </c>
      <c r="E66">
        <f>MINUTE(D66)</f>
        <v>2</v>
      </c>
      <c r="F66">
        <f>SECOND(D66)</f>
        <v>14</v>
      </c>
      <c r="G66">
        <f>ROUND(E66+F66/60,2)</f>
        <v>2.23</v>
      </c>
      <c r="H66">
        <f>60*E66+F66</f>
        <v>134</v>
      </c>
      <c r="I66" s="3">
        <f>5*(3600/H66)</f>
        <v>134.32835820895522</v>
      </c>
      <c r="J66" s="16">
        <f t="shared" si="0"/>
        <v>0</v>
      </c>
    </row>
    <row r="67" spans="1:10" x14ac:dyDescent="0.25">
      <c r="A67" s="4" t="s">
        <v>203</v>
      </c>
      <c r="B67" s="1">
        <v>0.49404599999999999</v>
      </c>
      <c r="C67" s="1">
        <v>0.49249399999999999</v>
      </c>
      <c r="D67" s="1">
        <f>IF(B67&gt;C67,B67-C67,C67-B67)</f>
        <v>1.5519999999999978E-3</v>
      </c>
      <c r="E67">
        <f>MINUTE(D67)</f>
        <v>2</v>
      </c>
      <c r="F67">
        <f>SECOND(D67)</f>
        <v>14</v>
      </c>
      <c r="G67">
        <f>ROUND(E67+F67/60,2)</f>
        <v>2.23</v>
      </c>
      <c r="H67">
        <f>60*E67+F67</f>
        <v>134</v>
      </c>
      <c r="I67" s="3">
        <f>5*(3600/H67)</f>
        <v>134.32835820895522</v>
      </c>
      <c r="J67" s="16">
        <f t="shared" ref="J67:J130" si="1">IF(I67&gt;140,1,0)</f>
        <v>0</v>
      </c>
    </row>
    <row r="68" spans="1:10" x14ac:dyDescent="0.25">
      <c r="A68" s="4" t="s">
        <v>131</v>
      </c>
      <c r="B68" s="1">
        <v>0.380658</v>
      </c>
      <c r="C68" s="1">
        <v>0.37909399999999999</v>
      </c>
      <c r="D68" s="1">
        <f>IF(B68&gt;C68,B68-C68,C68-B68)</f>
        <v>1.5640000000000098E-3</v>
      </c>
      <c r="E68">
        <f>MINUTE(D68)</f>
        <v>2</v>
      </c>
      <c r="F68">
        <f>SECOND(D68)</f>
        <v>15</v>
      </c>
      <c r="G68">
        <f>ROUND(E68+F68/60,2)</f>
        <v>2.25</v>
      </c>
      <c r="H68">
        <f>60*E68+F68</f>
        <v>135</v>
      </c>
      <c r="I68" s="3">
        <f>5*(3600/H68)</f>
        <v>133.33333333333334</v>
      </c>
      <c r="J68" s="16">
        <f t="shared" si="1"/>
        <v>0</v>
      </c>
    </row>
    <row r="69" spans="1:10" x14ac:dyDescent="0.25">
      <c r="A69" s="4" t="s">
        <v>82</v>
      </c>
      <c r="B69" s="1">
        <v>0.34303299999999998</v>
      </c>
      <c r="C69" s="1">
        <v>0.34460099999999999</v>
      </c>
      <c r="D69" s="1">
        <f>IF(B69&gt;C69,B69-C69,C69-B69)</f>
        <v>1.5680000000000138E-3</v>
      </c>
      <c r="E69">
        <f>MINUTE(D69)</f>
        <v>2</v>
      </c>
      <c r="F69">
        <f>SECOND(D69)</f>
        <v>15</v>
      </c>
      <c r="G69">
        <f>ROUND(E69+F69/60,2)</f>
        <v>2.25</v>
      </c>
      <c r="H69">
        <f>60*E69+F69</f>
        <v>135</v>
      </c>
      <c r="I69" s="3">
        <f>5*(3600/H69)</f>
        <v>133.33333333333334</v>
      </c>
      <c r="J69" s="16">
        <f t="shared" si="1"/>
        <v>0</v>
      </c>
    </row>
    <row r="70" spans="1:10" x14ac:dyDescent="0.25">
      <c r="A70" s="4" t="s">
        <v>20</v>
      </c>
      <c r="B70" s="1">
        <v>0.262909</v>
      </c>
      <c r="C70" s="1">
        <v>0.26447300000000001</v>
      </c>
      <c r="D70" s="1">
        <f>IF(B70&gt;C70,B70-C70,C70-B70)</f>
        <v>1.5640000000000098E-3</v>
      </c>
      <c r="E70">
        <f>MINUTE(D70)</f>
        <v>2</v>
      </c>
      <c r="F70">
        <f>SECOND(D70)</f>
        <v>15</v>
      </c>
      <c r="G70">
        <f>ROUND(E70+F70/60,2)</f>
        <v>2.25</v>
      </c>
      <c r="H70">
        <f>60*E70+F70</f>
        <v>135</v>
      </c>
      <c r="I70" s="3">
        <f>5*(3600/H70)</f>
        <v>133.33333333333334</v>
      </c>
      <c r="J70" s="16">
        <f t="shared" si="1"/>
        <v>0</v>
      </c>
    </row>
    <row r="71" spans="1:10" x14ac:dyDescent="0.25">
      <c r="A71" s="4" t="s">
        <v>297</v>
      </c>
      <c r="B71" s="1">
        <v>0.63311200000000001</v>
      </c>
      <c r="C71" s="1">
        <v>0.63467600000000002</v>
      </c>
      <c r="D71" s="1">
        <f>IF(B71&gt;C71,B71-C71,C71-B71)</f>
        <v>1.5640000000000098E-3</v>
      </c>
      <c r="E71">
        <f>MINUTE(D71)</f>
        <v>2</v>
      </c>
      <c r="F71">
        <f>SECOND(D71)</f>
        <v>15</v>
      </c>
      <c r="G71">
        <f>ROUND(E71+F71/60,2)</f>
        <v>2.25</v>
      </c>
      <c r="H71">
        <f>60*E71+F71</f>
        <v>135</v>
      </c>
      <c r="I71" s="3">
        <f>5*(3600/H71)</f>
        <v>133.33333333333334</v>
      </c>
      <c r="J71" s="16">
        <f t="shared" si="1"/>
        <v>0</v>
      </c>
    </row>
    <row r="72" spans="1:10" x14ac:dyDescent="0.25">
      <c r="A72" s="4" t="s">
        <v>3</v>
      </c>
      <c r="B72" s="1">
        <v>0.140041</v>
      </c>
      <c r="C72" s="1">
        <v>0.14161699999999999</v>
      </c>
      <c r="D72" s="1">
        <f>IF(B72&gt;C72,B72-C72,C72-B72)</f>
        <v>1.5759999999999941E-3</v>
      </c>
      <c r="E72">
        <f>MINUTE(D72)</f>
        <v>2</v>
      </c>
      <c r="F72">
        <f>SECOND(D72)</f>
        <v>16</v>
      </c>
      <c r="G72">
        <f>ROUND(E72+F72/60,2)</f>
        <v>2.27</v>
      </c>
      <c r="H72">
        <f>60*E72+F72</f>
        <v>136</v>
      </c>
      <c r="I72" s="3">
        <f>5*(3600/H72)</f>
        <v>132.35294117647058</v>
      </c>
      <c r="J72" s="16">
        <f t="shared" si="1"/>
        <v>0</v>
      </c>
    </row>
    <row r="73" spans="1:10" x14ac:dyDescent="0.25">
      <c r="A73" s="4" t="s">
        <v>83</v>
      </c>
      <c r="B73" s="1">
        <v>0.72719900000000004</v>
      </c>
      <c r="C73" s="1">
        <v>0.72877099999999995</v>
      </c>
      <c r="D73" s="1">
        <f>IF(B73&gt;C73,B73-C73,C73-B73)</f>
        <v>1.5719999999999068E-3</v>
      </c>
      <c r="E73">
        <f>MINUTE(D73)</f>
        <v>2</v>
      </c>
      <c r="F73">
        <f>SECOND(D73)</f>
        <v>16</v>
      </c>
      <c r="G73">
        <f>ROUND(E73+F73/60,2)</f>
        <v>2.27</v>
      </c>
      <c r="H73">
        <f>60*E73+F73</f>
        <v>136</v>
      </c>
      <c r="I73" s="3">
        <f>5*(3600/H73)</f>
        <v>132.35294117647058</v>
      </c>
      <c r="J73" s="16">
        <f t="shared" si="1"/>
        <v>0</v>
      </c>
    </row>
    <row r="74" spans="1:10" x14ac:dyDescent="0.25">
      <c r="A74" s="4" t="s">
        <v>62</v>
      </c>
      <c r="B74" s="1">
        <v>8.6955000000000005E-2</v>
      </c>
      <c r="C74" s="1">
        <v>8.5378999999999997E-2</v>
      </c>
      <c r="D74" s="1">
        <f>IF(B74&gt;C74,B74-C74,C74-B74)</f>
        <v>1.576000000000008E-3</v>
      </c>
      <c r="E74">
        <f>MINUTE(D74)</f>
        <v>2</v>
      </c>
      <c r="F74">
        <f>SECOND(D74)</f>
        <v>16</v>
      </c>
      <c r="G74">
        <f>ROUND(E74+F74/60,2)</f>
        <v>2.27</v>
      </c>
      <c r="H74">
        <f>60*E74+F74</f>
        <v>136</v>
      </c>
      <c r="I74" s="3">
        <f>5*(3600/H74)</f>
        <v>132.35294117647058</v>
      </c>
      <c r="J74" s="16">
        <f t="shared" si="1"/>
        <v>0</v>
      </c>
    </row>
    <row r="75" spans="1:10" x14ac:dyDescent="0.25">
      <c r="A75" s="4" t="s">
        <v>252</v>
      </c>
      <c r="B75" s="1">
        <v>0.40370400000000001</v>
      </c>
      <c r="C75" s="1">
        <v>0.40213199999999999</v>
      </c>
      <c r="D75" s="1">
        <f>IF(B75&gt;C75,B75-C75,C75-B75)</f>
        <v>1.5720000000000178E-3</v>
      </c>
      <c r="E75">
        <f>MINUTE(D75)</f>
        <v>2</v>
      </c>
      <c r="F75">
        <f>SECOND(D75)</f>
        <v>16</v>
      </c>
      <c r="G75">
        <f>ROUND(E75+F75/60,2)</f>
        <v>2.27</v>
      </c>
      <c r="H75">
        <f>60*E75+F75</f>
        <v>136</v>
      </c>
      <c r="I75" s="3">
        <f>5*(3600/H75)</f>
        <v>132.35294117647058</v>
      </c>
      <c r="J75" s="16">
        <f t="shared" si="1"/>
        <v>0</v>
      </c>
    </row>
    <row r="76" spans="1:10" x14ac:dyDescent="0.25">
      <c r="A76" s="4" t="s">
        <v>125</v>
      </c>
      <c r="B76" s="1">
        <v>0.93394999999999995</v>
      </c>
      <c r="C76" s="1">
        <v>0.93237000000000003</v>
      </c>
      <c r="D76" s="1">
        <f>IF(B76&gt;C76,B76-C76,C76-B76)</f>
        <v>1.5799999999999148E-3</v>
      </c>
      <c r="E76">
        <f>MINUTE(D76)</f>
        <v>2</v>
      </c>
      <c r="F76">
        <f>SECOND(D76)</f>
        <v>17</v>
      </c>
      <c r="G76">
        <f>ROUND(E76+F76/60,2)</f>
        <v>2.2799999999999998</v>
      </c>
      <c r="H76">
        <f>60*E76+F76</f>
        <v>137</v>
      </c>
      <c r="I76" s="3">
        <f>5*(3600/H76)</f>
        <v>131.38686131386862</v>
      </c>
      <c r="J76" s="16">
        <f t="shared" si="1"/>
        <v>0</v>
      </c>
    </row>
    <row r="77" spans="1:10" x14ac:dyDescent="0.25">
      <c r="A77" s="4" t="s">
        <v>354</v>
      </c>
      <c r="B77" s="1">
        <v>0.58568299999999995</v>
      </c>
      <c r="C77" s="1">
        <v>0.58726699999999998</v>
      </c>
      <c r="D77" s="1">
        <f>IF(B77&gt;C77,B77-C77,C77-B77)</f>
        <v>1.5840000000000298E-3</v>
      </c>
      <c r="E77">
        <f>MINUTE(D77)</f>
        <v>2</v>
      </c>
      <c r="F77">
        <f>SECOND(D77)</f>
        <v>17</v>
      </c>
      <c r="G77">
        <f>ROUND(E77+F77/60,2)</f>
        <v>2.2799999999999998</v>
      </c>
      <c r="H77">
        <f>60*E77+F77</f>
        <v>137</v>
      </c>
      <c r="I77" s="3">
        <f>5*(3600/H77)</f>
        <v>131.38686131386862</v>
      </c>
      <c r="J77" s="16">
        <f t="shared" si="1"/>
        <v>0</v>
      </c>
    </row>
    <row r="78" spans="1:10" x14ac:dyDescent="0.25">
      <c r="A78" s="4" t="s">
        <v>21</v>
      </c>
      <c r="B78" s="1">
        <v>0.99788299999999996</v>
      </c>
      <c r="C78" s="1">
        <v>0.99948300000000001</v>
      </c>
      <c r="D78" s="1">
        <f>IF(B78&gt;C78,B78-C78,C78-B78)</f>
        <v>1.6000000000000458E-3</v>
      </c>
      <c r="E78">
        <f>MINUTE(D78)</f>
        <v>2</v>
      </c>
      <c r="F78">
        <f>SECOND(D78)</f>
        <v>18</v>
      </c>
      <c r="G78">
        <f>ROUND(E78+F78/60,2)</f>
        <v>2.2999999999999998</v>
      </c>
      <c r="H78">
        <f>60*E78+F78</f>
        <v>138</v>
      </c>
      <c r="I78" s="3">
        <f>5*(3600/H78)</f>
        <v>130.43478260869566</v>
      </c>
      <c r="J78" s="16">
        <f t="shared" si="1"/>
        <v>0</v>
      </c>
    </row>
    <row r="79" spans="1:10" x14ac:dyDescent="0.25">
      <c r="A79" s="4" t="s">
        <v>5</v>
      </c>
      <c r="B79" s="1">
        <v>0.19459099999999999</v>
      </c>
      <c r="C79" s="1">
        <v>0.196183</v>
      </c>
      <c r="D79" s="1">
        <f>IF(B79&gt;C79,B79-C79,C79-B79)</f>
        <v>1.5920000000000101E-3</v>
      </c>
      <c r="E79">
        <f>MINUTE(D79)</f>
        <v>2</v>
      </c>
      <c r="F79">
        <f>SECOND(D79)</f>
        <v>18</v>
      </c>
      <c r="G79">
        <f>ROUND(E79+F79/60,2)</f>
        <v>2.2999999999999998</v>
      </c>
      <c r="H79">
        <f>60*E79+F79</f>
        <v>138</v>
      </c>
      <c r="I79" s="3">
        <f>5*(3600/H79)</f>
        <v>130.43478260869566</v>
      </c>
      <c r="J79" s="16">
        <f t="shared" si="1"/>
        <v>0</v>
      </c>
    </row>
    <row r="80" spans="1:10" x14ac:dyDescent="0.25">
      <c r="A80" s="4" t="s">
        <v>386</v>
      </c>
      <c r="B80" s="1">
        <v>0.71810700000000005</v>
      </c>
      <c r="C80" s="1">
        <v>0.71969899999999998</v>
      </c>
      <c r="D80" s="1">
        <f>IF(B80&gt;C80,B80-C80,C80-B80)</f>
        <v>1.5919999999999268E-3</v>
      </c>
      <c r="E80">
        <f>MINUTE(D80)</f>
        <v>2</v>
      </c>
      <c r="F80">
        <f>SECOND(D80)</f>
        <v>18</v>
      </c>
      <c r="G80">
        <f>ROUND(E80+F80/60,2)</f>
        <v>2.2999999999999998</v>
      </c>
      <c r="H80">
        <f>60*E80+F80</f>
        <v>138</v>
      </c>
      <c r="I80" s="3">
        <f>5*(3600/H80)</f>
        <v>130.43478260869566</v>
      </c>
      <c r="J80" s="16">
        <f t="shared" si="1"/>
        <v>0</v>
      </c>
    </row>
    <row r="81" spans="1:10" x14ac:dyDescent="0.25">
      <c r="A81" s="4" t="s">
        <v>162</v>
      </c>
      <c r="B81" s="1">
        <v>0.97303899999999999</v>
      </c>
      <c r="C81" s="1">
        <v>0.97464700000000004</v>
      </c>
      <c r="D81" s="1">
        <f>IF(B81&gt;C81,B81-C81,C81-B81)</f>
        <v>1.6080000000000538E-3</v>
      </c>
      <c r="E81">
        <f>MINUTE(D81)</f>
        <v>2</v>
      </c>
      <c r="F81">
        <f>SECOND(D81)</f>
        <v>19</v>
      </c>
      <c r="G81">
        <f>ROUND(E81+F81/60,2)</f>
        <v>2.3199999999999998</v>
      </c>
      <c r="H81">
        <f>60*E81+F81</f>
        <v>139</v>
      </c>
      <c r="I81" s="3">
        <f>5*(3600/H81)</f>
        <v>129.49640287769785</v>
      </c>
      <c r="J81" s="16">
        <f t="shared" si="1"/>
        <v>0</v>
      </c>
    </row>
    <row r="82" spans="1:10" x14ac:dyDescent="0.25">
      <c r="A82" s="4" t="s">
        <v>85</v>
      </c>
      <c r="B82" s="1">
        <v>9.6156000000000005E-2</v>
      </c>
      <c r="C82" s="1">
        <v>9.7767999999999994E-2</v>
      </c>
      <c r="D82" s="1">
        <f>IF(B82&gt;C82,B82-C82,C82-B82)</f>
        <v>1.6119999999999884E-3</v>
      </c>
      <c r="E82">
        <f>MINUTE(D82)</f>
        <v>2</v>
      </c>
      <c r="F82">
        <f>SECOND(D82)</f>
        <v>19</v>
      </c>
      <c r="G82">
        <f>ROUND(E82+F82/60,2)</f>
        <v>2.3199999999999998</v>
      </c>
      <c r="H82">
        <f>60*E82+F82</f>
        <v>139</v>
      </c>
      <c r="I82" s="3">
        <f>5*(3600/H82)</f>
        <v>129.49640287769785</v>
      </c>
      <c r="J82" s="16">
        <f t="shared" si="1"/>
        <v>0</v>
      </c>
    </row>
    <row r="83" spans="1:10" x14ac:dyDescent="0.25">
      <c r="A83" s="4" t="s">
        <v>129</v>
      </c>
      <c r="B83" s="1">
        <v>0.89078199999999996</v>
      </c>
      <c r="C83" s="1">
        <v>0.89239400000000002</v>
      </c>
      <c r="D83" s="1">
        <f>IF(B83&gt;C83,B83-C83,C83-B83)</f>
        <v>1.6120000000000578E-3</v>
      </c>
      <c r="E83">
        <f>MINUTE(D83)</f>
        <v>2</v>
      </c>
      <c r="F83">
        <f>SECOND(D83)</f>
        <v>19</v>
      </c>
      <c r="G83">
        <f>ROUND(E83+F83/60,2)</f>
        <v>2.3199999999999998</v>
      </c>
      <c r="H83">
        <f>60*E83+F83</f>
        <v>139</v>
      </c>
      <c r="I83" s="3">
        <f>5*(3600/H83)</f>
        <v>129.49640287769785</v>
      </c>
      <c r="J83" s="16">
        <f t="shared" si="1"/>
        <v>0</v>
      </c>
    </row>
    <row r="84" spans="1:10" x14ac:dyDescent="0.25">
      <c r="A84" s="4" t="s">
        <v>254</v>
      </c>
      <c r="B84" s="1">
        <v>0.20783799999999999</v>
      </c>
      <c r="C84" s="1">
        <v>0.20622599999999999</v>
      </c>
      <c r="D84" s="1">
        <f>IF(B84&gt;C84,B84-C84,C84-B84)</f>
        <v>1.6120000000000023E-3</v>
      </c>
      <c r="E84">
        <f>MINUTE(D84)</f>
        <v>2</v>
      </c>
      <c r="F84">
        <f>SECOND(D84)</f>
        <v>19</v>
      </c>
      <c r="G84">
        <f>ROUND(E84+F84/60,2)</f>
        <v>2.3199999999999998</v>
      </c>
      <c r="H84">
        <f>60*E84+F84</f>
        <v>139</v>
      </c>
      <c r="I84" s="3">
        <f>5*(3600/H84)</f>
        <v>129.49640287769785</v>
      </c>
      <c r="J84" s="16">
        <f t="shared" si="1"/>
        <v>0</v>
      </c>
    </row>
    <row r="85" spans="1:10" x14ac:dyDescent="0.25">
      <c r="A85" s="4" t="s">
        <v>362</v>
      </c>
      <c r="B85" s="1">
        <v>0.61457899999999999</v>
      </c>
      <c r="C85" s="1">
        <v>0.61297100000000004</v>
      </c>
      <c r="D85" s="1">
        <f>IF(B85&gt;C85,B85-C85,C85-B85)</f>
        <v>1.6079999999999428E-3</v>
      </c>
      <c r="E85">
        <f>MINUTE(D85)</f>
        <v>2</v>
      </c>
      <c r="F85">
        <f>SECOND(D85)</f>
        <v>19</v>
      </c>
      <c r="G85">
        <f>ROUND(E85+F85/60,2)</f>
        <v>2.3199999999999998</v>
      </c>
      <c r="H85">
        <f>60*E85+F85</f>
        <v>139</v>
      </c>
      <c r="I85" s="3">
        <f>5*(3600/H85)</f>
        <v>129.49640287769785</v>
      </c>
      <c r="J85" s="16">
        <f t="shared" si="1"/>
        <v>0</v>
      </c>
    </row>
    <row r="86" spans="1:10" x14ac:dyDescent="0.25">
      <c r="A86" s="4" t="s">
        <v>48</v>
      </c>
      <c r="B86" s="1">
        <v>0.29613200000000001</v>
      </c>
      <c r="C86" s="1">
        <v>0.29450799999999999</v>
      </c>
      <c r="D86" s="1">
        <f>IF(B86&gt;C86,B86-C86,C86-B86)</f>
        <v>1.6240000000000143E-3</v>
      </c>
      <c r="E86">
        <f>MINUTE(D86)</f>
        <v>2</v>
      </c>
      <c r="F86">
        <f>SECOND(D86)</f>
        <v>20</v>
      </c>
      <c r="G86">
        <f>ROUND(E86+F86/60,2)</f>
        <v>2.33</v>
      </c>
      <c r="H86">
        <f>60*E86+F86</f>
        <v>140</v>
      </c>
      <c r="I86" s="3">
        <f>5*(3600/H86)</f>
        <v>128.57142857142858</v>
      </c>
      <c r="J86" s="16">
        <f t="shared" si="1"/>
        <v>0</v>
      </c>
    </row>
    <row r="87" spans="1:10" x14ac:dyDescent="0.25">
      <c r="A87" s="4" t="s">
        <v>117</v>
      </c>
      <c r="B87" s="1">
        <v>0.42769200000000002</v>
      </c>
      <c r="C87" s="1">
        <v>0.42931599999999998</v>
      </c>
      <c r="D87" s="1">
        <f>IF(B87&gt;C87,B87-C87,C87-B87)</f>
        <v>1.6239999999999588E-3</v>
      </c>
      <c r="E87">
        <f>MINUTE(D87)</f>
        <v>2</v>
      </c>
      <c r="F87">
        <f>SECOND(D87)</f>
        <v>20</v>
      </c>
      <c r="G87">
        <f>ROUND(E87+F87/60,2)</f>
        <v>2.33</v>
      </c>
      <c r="H87">
        <f>60*E87+F87</f>
        <v>140</v>
      </c>
      <c r="I87" s="3">
        <f>5*(3600/H87)</f>
        <v>128.57142857142858</v>
      </c>
      <c r="J87" s="16">
        <f t="shared" si="1"/>
        <v>0</v>
      </c>
    </row>
    <row r="88" spans="1:10" x14ac:dyDescent="0.25">
      <c r="A88" s="4" t="s">
        <v>41</v>
      </c>
      <c r="B88" s="1">
        <v>0.90852699999999997</v>
      </c>
      <c r="C88" s="1">
        <v>0.90690300000000001</v>
      </c>
      <c r="D88" s="1">
        <f>IF(B88&gt;C88,B88-C88,C88-B88)</f>
        <v>1.6239999999999588E-3</v>
      </c>
      <c r="E88">
        <f>MINUTE(D88)</f>
        <v>2</v>
      </c>
      <c r="F88">
        <f>SECOND(D88)</f>
        <v>20</v>
      </c>
      <c r="G88">
        <f>ROUND(E88+F88/60,2)</f>
        <v>2.33</v>
      </c>
      <c r="H88">
        <f>60*E88+F88</f>
        <v>140</v>
      </c>
      <c r="I88" s="3">
        <f>5*(3600/H88)</f>
        <v>128.57142857142858</v>
      </c>
      <c r="J88" s="16">
        <f t="shared" si="1"/>
        <v>0</v>
      </c>
    </row>
    <row r="89" spans="1:10" x14ac:dyDescent="0.25">
      <c r="A89" s="4" t="s">
        <v>56</v>
      </c>
      <c r="B89" s="1">
        <v>0.34593800000000002</v>
      </c>
      <c r="C89" s="1">
        <v>0.34431400000000001</v>
      </c>
      <c r="D89" s="1">
        <f>IF(B89&gt;C89,B89-C89,C89-B89)</f>
        <v>1.6240000000000143E-3</v>
      </c>
      <c r="E89">
        <f>MINUTE(D89)</f>
        <v>2</v>
      </c>
      <c r="F89">
        <f>SECOND(D89)</f>
        <v>20</v>
      </c>
      <c r="G89">
        <f>ROUND(E89+F89/60,2)</f>
        <v>2.33</v>
      </c>
      <c r="H89">
        <f>60*E89+F89</f>
        <v>140</v>
      </c>
      <c r="I89" s="3">
        <f>5*(3600/H89)</f>
        <v>128.57142857142858</v>
      </c>
      <c r="J89" s="16">
        <f t="shared" si="1"/>
        <v>0</v>
      </c>
    </row>
    <row r="90" spans="1:10" x14ac:dyDescent="0.25">
      <c r="A90" s="4" t="s">
        <v>111</v>
      </c>
      <c r="B90" s="1">
        <v>0.37411299999999997</v>
      </c>
      <c r="C90" s="1">
        <v>0.37249300000000002</v>
      </c>
      <c r="D90" s="1">
        <f>IF(B90&gt;C90,B90-C90,C90-B90)</f>
        <v>1.6199999999999548E-3</v>
      </c>
      <c r="E90">
        <f>MINUTE(D90)</f>
        <v>2</v>
      </c>
      <c r="F90">
        <f>SECOND(D90)</f>
        <v>20</v>
      </c>
      <c r="G90">
        <f>ROUND(E90+F90/60,2)</f>
        <v>2.33</v>
      </c>
      <c r="H90">
        <f>60*E90+F90</f>
        <v>140</v>
      </c>
      <c r="I90" s="3">
        <f>5*(3600/H90)</f>
        <v>128.57142857142858</v>
      </c>
      <c r="J90" s="16">
        <f t="shared" si="1"/>
        <v>0</v>
      </c>
    </row>
    <row r="91" spans="1:10" x14ac:dyDescent="0.25">
      <c r="A91" s="4" t="s">
        <v>159</v>
      </c>
      <c r="B91" s="1">
        <v>0.37415799999999999</v>
      </c>
      <c r="C91" s="1">
        <v>0.375778</v>
      </c>
      <c r="D91" s="1">
        <f>IF(B91&gt;C91,B91-C91,C91-B91)</f>
        <v>1.6200000000000103E-3</v>
      </c>
      <c r="E91">
        <f>MINUTE(D91)</f>
        <v>2</v>
      </c>
      <c r="F91">
        <f>SECOND(D91)</f>
        <v>20</v>
      </c>
      <c r="G91">
        <f>ROUND(E91+F91/60,2)</f>
        <v>2.33</v>
      </c>
      <c r="H91">
        <f>60*E91+F91</f>
        <v>140</v>
      </c>
      <c r="I91" s="3">
        <f>5*(3600/H91)</f>
        <v>128.57142857142858</v>
      </c>
      <c r="J91" s="16">
        <f t="shared" si="1"/>
        <v>0</v>
      </c>
    </row>
    <row r="92" spans="1:10" x14ac:dyDescent="0.25">
      <c r="A92" s="4" t="s">
        <v>275</v>
      </c>
      <c r="B92" s="1">
        <v>0.94390099999999999</v>
      </c>
      <c r="C92" s="1">
        <v>0.94228100000000004</v>
      </c>
      <c r="D92" s="1">
        <f>IF(B92&gt;C92,B92-C92,C92-B92)</f>
        <v>1.6199999999999548E-3</v>
      </c>
      <c r="E92">
        <f>MINUTE(D92)</f>
        <v>2</v>
      </c>
      <c r="F92">
        <f>SECOND(D92)</f>
        <v>20</v>
      </c>
      <c r="G92">
        <f>ROUND(E92+F92/60,2)</f>
        <v>2.33</v>
      </c>
      <c r="H92">
        <f>60*E92+F92</f>
        <v>140</v>
      </c>
      <c r="I92" s="3">
        <f>5*(3600/H92)</f>
        <v>128.57142857142858</v>
      </c>
      <c r="J92" s="16">
        <f t="shared" si="1"/>
        <v>0</v>
      </c>
    </row>
    <row r="93" spans="1:10" x14ac:dyDescent="0.25">
      <c r="A93" s="4" t="s">
        <v>349</v>
      </c>
      <c r="B93" s="1">
        <v>0.62740099999999999</v>
      </c>
      <c r="C93" s="1">
        <v>0.62578100000000003</v>
      </c>
      <c r="D93" s="1">
        <f>IF(B93&gt;C93,B93-C93,C93-B93)</f>
        <v>1.6199999999999548E-3</v>
      </c>
      <c r="E93">
        <f>MINUTE(D93)</f>
        <v>2</v>
      </c>
      <c r="F93">
        <f>SECOND(D93)</f>
        <v>20</v>
      </c>
      <c r="G93">
        <f>ROUND(E93+F93/60,2)</f>
        <v>2.33</v>
      </c>
      <c r="H93">
        <f>60*E93+F93</f>
        <v>140</v>
      </c>
      <c r="I93" s="3">
        <f>5*(3600/H93)</f>
        <v>128.57142857142858</v>
      </c>
      <c r="J93" s="16">
        <f t="shared" si="1"/>
        <v>0</v>
      </c>
    </row>
    <row r="94" spans="1:10" x14ac:dyDescent="0.25">
      <c r="A94" s="4" t="s">
        <v>100</v>
      </c>
      <c r="B94" s="1">
        <v>0.76018399999999997</v>
      </c>
      <c r="C94" s="1">
        <v>0.75855600000000001</v>
      </c>
      <c r="D94" s="1">
        <f>IF(B94&gt;C94,B94-C94,C94-B94)</f>
        <v>1.6279999999999628E-3</v>
      </c>
      <c r="E94">
        <f>MINUTE(D94)</f>
        <v>2</v>
      </c>
      <c r="F94">
        <f>SECOND(D94)</f>
        <v>21</v>
      </c>
      <c r="G94">
        <f>ROUND(E94+F94/60,2)</f>
        <v>2.35</v>
      </c>
      <c r="H94">
        <f>60*E94+F94</f>
        <v>141</v>
      </c>
      <c r="I94" s="3">
        <f>5*(3600/H94)</f>
        <v>127.65957446808511</v>
      </c>
      <c r="J94" s="16">
        <f t="shared" si="1"/>
        <v>0</v>
      </c>
    </row>
    <row r="95" spans="1:10" x14ac:dyDescent="0.25">
      <c r="A95" s="4" t="s">
        <v>110</v>
      </c>
      <c r="B95" s="1">
        <v>0.167017</v>
      </c>
      <c r="C95" s="1">
        <v>0.16538900000000001</v>
      </c>
      <c r="D95" s="1">
        <f>IF(B95&gt;C95,B95-C95,C95-B95)</f>
        <v>1.6279999999999906E-3</v>
      </c>
      <c r="E95">
        <f>MINUTE(D95)</f>
        <v>2</v>
      </c>
      <c r="F95">
        <f>SECOND(D95)</f>
        <v>21</v>
      </c>
      <c r="G95">
        <f>ROUND(E95+F95/60,2)</f>
        <v>2.35</v>
      </c>
      <c r="H95">
        <f>60*E95+F95</f>
        <v>141</v>
      </c>
      <c r="I95" s="3">
        <f>5*(3600/H95)</f>
        <v>127.65957446808511</v>
      </c>
      <c r="J95" s="16">
        <f t="shared" si="1"/>
        <v>0</v>
      </c>
    </row>
    <row r="96" spans="1:10" x14ac:dyDescent="0.25">
      <c r="A96" s="4" t="s">
        <v>125</v>
      </c>
      <c r="B96" s="1">
        <v>0.37008999999999997</v>
      </c>
      <c r="C96" s="1">
        <v>0.368454</v>
      </c>
      <c r="D96" s="1">
        <f>IF(B96&gt;C96,B96-C96,C96-B96)</f>
        <v>1.6359999999999708E-3</v>
      </c>
      <c r="E96">
        <f>MINUTE(D96)</f>
        <v>2</v>
      </c>
      <c r="F96">
        <f>SECOND(D96)</f>
        <v>21</v>
      </c>
      <c r="G96">
        <f>ROUND(E96+F96/60,2)</f>
        <v>2.35</v>
      </c>
      <c r="H96">
        <f>60*E96+F96</f>
        <v>141</v>
      </c>
      <c r="I96" s="3">
        <f>5*(3600/H96)</f>
        <v>127.65957446808511</v>
      </c>
      <c r="J96" s="16">
        <f t="shared" si="1"/>
        <v>0</v>
      </c>
    </row>
    <row r="97" spans="1:10" x14ac:dyDescent="0.25">
      <c r="A97" s="4" t="s">
        <v>153</v>
      </c>
      <c r="B97" s="1">
        <v>0.53429599999999999</v>
      </c>
      <c r="C97" s="1">
        <v>0.53593199999999996</v>
      </c>
      <c r="D97" s="1">
        <f>IF(B97&gt;C97,B97-C97,C97-B97)</f>
        <v>1.6359999999999708E-3</v>
      </c>
      <c r="E97">
        <f>MINUTE(D97)</f>
        <v>2</v>
      </c>
      <c r="F97">
        <f>SECOND(D97)</f>
        <v>21</v>
      </c>
      <c r="G97">
        <f>ROUND(E97+F97/60,2)</f>
        <v>2.35</v>
      </c>
      <c r="H97">
        <f>60*E97+F97</f>
        <v>141</v>
      </c>
      <c r="I97" s="3">
        <f>5*(3600/H97)</f>
        <v>127.65957446808511</v>
      </c>
      <c r="J97" s="16">
        <f t="shared" si="1"/>
        <v>0</v>
      </c>
    </row>
    <row r="98" spans="1:10" x14ac:dyDescent="0.25">
      <c r="A98" s="4" t="s">
        <v>372</v>
      </c>
      <c r="B98" s="1">
        <v>0.26910400000000001</v>
      </c>
      <c r="C98" s="1">
        <v>0.27073199999999997</v>
      </c>
      <c r="D98" s="1">
        <f>IF(B98&gt;C98,B98-C98,C98-B98)</f>
        <v>1.6279999999999628E-3</v>
      </c>
      <c r="E98">
        <f>MINUTE(D98)</f>
        <v>2</v>
      </c>
      <c r="F98">
        <f>SECOND(D98)</f>
        <v>21</v>
      </c>
      <c r="G98">
        <f>ROUND(E98+F98/60,2)</f>
        <v>2.35</v>
      </c>
      <c r="H98">
        <f>60*E98+F98</f>
        <v>141</v>
      </c>
      <c r="I98" s="3">
        <f>5*(3600/H98)</f>
        <v>127.65957446808511</v>
      </c>
      <c r="J98" s="16">
        <f t="shared" si="1"/>
        <v>0</v>
      </c>
    </row>
    <row r="99" spans="1:10" x14ac:dyDescent="0.25">
      <c r="A99" s="4" t="s">
        <v>83</v>
      </c>
      <c r="B99" s="1">
        <v>0.99456699999999998</v>
      </c>
      <c r="C99" s="1">
        <v>0.99620699999999995</v>
      </c>
      <c r="D99" s="1">
        <f>IF(B99&gt;C99,B99-C99,C99-B99)</f>
        <v>1.6399999999999748E-3</v>
      </c>
      <c r="E99">
        <f>MINUTE(D99)</f>
        <v>2</v>
      </c>
      <c r="F99">
        <f>SECOND(D99)</f>
        <v>22</v>
      </c>
      <c r="G99">
        <f>ROUND(E99+F99/60,2)</f>
        <v>2.37</v>
      </c>
      <c r="H99">
        <f>60*E99+F99</f>
        <v>142</v>
      </c>
      <c r="I99" s="3">
        <f>5*(3600/H99)</f>
        <v>126.7605633802817</v>
      </c>
      <c r="J99" s="16">
        <f t="shared" si="1"/>
        <v>0</v>
      </c>
    </row>
    <row r="100" spans="1:10" x14ac:dyDescent="0.25">
      <c r="A100" s="4" t="s">
        <v>103</v>
      </c>
      <c r="B100" s="1">
        <v>0.28323100000000001</v>
      </c>
      <c r="C100" s="1">
        <v>0.28487099999999999</v>
      </c>
      <c r="D100" s="1">
        <f>IF(B100&gt;C100,B100-C100,C100-B100)</f>
        <v>1.6399999999999748E-3</v>
      </c>
      <c r="E100">
        <f>MINUTE(D100)</f>
        <v>2</v>
      </c>
      <c r="F100">
        <f>SECOND(D100)</f>
        <v>22</v>
      </c>
      <c r="G100">
        <f>ROUND(E100+F100/60,2)</f>
        <v>2.37</v>
      </c>
      <c r="H100">
        <f>60*E100+F100</f>
        <v>142</v>
      </c>
      <c r="I100" s="3">
        <f>5*(3600/H100)</f>
        <v>126.7605633802817</v>
      </c>
      <c r="J100" s="16">
        <f t="shared" si="1"/>
        <v>0</v>
      </c>
    </row>
    <row r="101" spans="1:10" x14ac:dyDescent="0.25">
      <c r="A101" s="4" t="s">
        <v>137</v>
      </c>
      <c r="B101" s="1">
        <v>0.15091399999999999</v>
      </c>
      <c r="C101" s="1">
        <v>0.14927399999999999</v>
      </c>
      <c r="D101" s="1">
        <f>IF(B101&gt;C101,B101-C101,C101-B101)</f>
        <v>1.6400000000000026E-3</v>
      </c>
      <c r="E101">
        <f>MINUTE(D101)</f>
        <v>2</v>
      </c>
      <c r="F101">
        <f>SECOND(D101)</f>
        <v>22</v>
      </c>
      <c r="G101">
        <f>ROUND(E101+F101/60,2)</f>
        <v>2.37</v>
      </c>
      <c r="H101">
        <f>60*E101+F101</f>
        <v>142</v>
      </c>
      <c r="I101" s="3">
        <f>5*(3600/H101)</f>
        <v>126.7605633802817</v>
      </c>
      <c r="J101" s="16">
        <f t="shared" si="1"/>
        <v>0</v>
      </c>
    </row>
    <row r="102" spans="1:10" x14ac:dyDescent="0.25">
      <c r="A102" s="4" t="s">
        <v>57</v>
      </c>
      <c r="B102" s="1">
        <v>0.66941799999999996</v>
      </c>
      <c r="C102" s="1">
        <v>0.66777399999999998</v>
      </c>
      <c r="D102" s="1">
        <f>IF(B102&gt;C102,B102-C102,C102-B102)</f>
        <v>1.6439999999999788E-3</v>
      </c>
      <c r="E102">
        <f>MINUTE(D102)</f>
        <v>2</v>
      </c>
      <c r="F102">
        <f>SECOND(D102)</f>
        <v>22</v>
      </c>
      <c r="G102">
        <f>ROUND(E102+F102/60,2)</f>
        <v>2.37</v>
      </c>
      <c r="H102">
        <f>60*E102+F102</f>
        <v>142</v>
      </c>
      <c r="I102" s="3">
        <f>5*(3600/H102)</f>
        <v>126.7605633802817</v>
      </c>
      <c r="J102" s="16">
        <f t="shared" si="1"/>
        <v>0</v>
      </c>
    </row>
    <row r="103" spans="1:10" x14ac:dyDescent="0.25">
      <c r="A103" s="4" t="s">
        <v>175</v>
      </c>
      <c r="B103" s="1">
        <v>0.832403</v>
      </c>
      <c r="C103" s="1">
        <v>0.83075900000000003</v>
      </c>
      <c r="D103" s="1">
        <f>IF(B103&gt;C103,B103-C103,C103-B103)</f>
        <v>1.6439999999999788E-3</v>
      </c>
      <c r="E103">
        <f>MINUTE(D103)</f>
        <v>2</v>
      </c>
      <c r="F103">
        <f>SECOND(D103)</f>
        <v>22</v>
      </c>
      <c r="G103">
        <f>ROUND(E103+F103/60,2)</f>
        <v>2.37</v>
      </c>
      <c r="H103">
        <f>60*E103+F103</f>
        <v>142</v>
      </c>
      <c r="I103" s="3">
        <f>5*(3600/H103)</f>
        <v>126.7605633802817</v>
      </c>
      <c r="J103" s="16">
        <f t="shared" si="1"/>
        <v>0</v>
      </c>
    </row>
    <row r="104" spans="1:10" x14ac:dyDescent="0.25">
      <c r="A104" s="4" t="s">
        <v>5</v>
      </c>
      <c r="B104" s="1">
        <v>0.52575099999999997</v>
      </c>
      <c r="C104" s="1">
        <v>0.52411099999999999</v>
      </c>
      <c r="D104" s="1">
        <f>IF(B104&gt;C104,B104-C104,C104-B104)</f>
        <v>1.6399999999999748E-3</v>
      </c>
      <c r="E104">
        <f>MINUTE(D104)</f>
        <v>2</v>
      </c>
      <c r="F104">
        <f>SECOND(D104)</f>
        <v>22</v>
      </c>
      <c r="G104">
        <f>ROUND(E104+F104/60,2)</f>
        <v>2.37</v>
      </c>
      <c r="H104">
        <f>60*E104+F104</f>
        <v>142</v>
      </c>
      <c r="I104" s="3">
        <f>5*(3600/H104)</f>
        <v>126.7605633802817</v>
      </c>
      <c r="J104" s="16">
        <f t="shared" si="1"/>
        <v>0</v>
      </c>
    </row>
    <row r="105" spans="1:10" x14ac:dyDescent="0.25">
      <c r="A105" s="4" t="s">
        <v>357</v>
      </c>
      <c r="B105" s="1">
        <v>0.63840600000000003</v>
      </c>
      <c r="C105" s="1">
        <v>0.64005400000000001</v>
      </c>
      <c r="D105" s="1">
        <f>IF(B105&gt;C105,B105-C105,C105-B105)</f>
        <v>1.6479999999999828E-3</v>
      </c>
      <c r="E105">
        <f>MINUTE(D105)</f>
        <v>2</v>
      </c>
      <c r="F105">
        <f>SECOND(D105)</f>
        <v>22</v>
      </c>
      <c r="G105">
        <f>ROUND(E105+F105/60,2)</f>
        <v>2.37</v>
      </c>
      <c r="H105">
        <f>60*E105+F105</f>
        <v>142</v>
      </c>
      <c r="I105" s="3">
        <f>5*(3600/H105)</f>
        <v>126.7605633802817</v>
      </c>
      <c r="J105" s="16">
        <f t="shared" si="1"/>
        <v>0</v>
      </c>
    </row>
    <row r="106" spans="1:10" x14ac:dyDescent="0.25">
      <c r="A106" s="4" t="s">
        <v>63</v>
      </c>
      <c r="B106" s="1">
        <v>0.122056</v>
      </c>
      <c r="C106" s="1">
        <v>0.12371600000000001</v>
      </c>
      <c r="D106" s="1">
        <f>IF(B106&gt;C106,B106-C106,C106-B106)</f>
        <v>1.6600000000000087E-3</v>
      </c>
      <c r="E106">
        <f>MINUTE(D106)</f>
        <v>2</v>
      </c>
      <c r="F106">
        <f>SECOND(D106)</f>
        <v>23</v>
      </c>
      <c r="G106">
        <f>ROUND(E106+F106/60,2)</f>
        <v>2.38</v>
      </c>
      <c r="H106">
        <f>60*E106+F106</f>
        <v>143</v>
      </c>
      <c r="I106" s="3">
        <f>5*(3600/H106)</f>
        <v>125.87412587412587</v>
      </c>
      <c r="J106" s="16">
        <f t="shared" si="1"/>
        <v>0</v>
      </c>
    </row>
    <row r="107" spans="1:10" x14ac:dyDescent="0.25">
      <c r="A107" s="4" t="s">
        <v>3</v>
      </c>
      <c r="B107" s="1">
        <v>0.29002600000000001</v>
      </c>
      <c r="C107" s="1">
        <v>0.291682</v>
      </c>
      <c r="D107" s="1">
        <f>IF(B107&gt;C107,B107-C107,C107-B107)</f>
        <v>1.6559999999999908E-3</v>
      </c>
      <c r="E107">
        <f>MINUTE(D107)</f>
        <v>2</v>
      </c>
      <c r="F107">
        <f>SECOND(D107)</f>
        <v>23</v>
      </c>
      <c r="G107">
        <f>ROUND(E107+F107/60,2)</f>
        <v>2.38</v>
      </c>
      <c r="H107">
        <f>60*E107+F107</f>
        <v>143</v>
      </c>
      <c r="I107" s="3">
        <f>5*(3600/H107)</f>
        <v>125.87412587412587</v>
      </c>
      <c r="J107" s="16">
        <f t="shared" si="1"/>
        <v>0</v>
      </c>
    </row>
    <row r="108" spans="1:10" x14ac:dyDescent="0.25">
      <c r="A108" s="4" t="s">
        <v>24</v>
      </c>
      <c r="B108" s="1">
        <v>0.55516799999999999</v>
      </c>
      <c r="C108" s="1">
        <v>0.55682399999999999</v>
      </c>
      <c r="D108" s="1">
        <f>IF(B108&gt;C108,B108-C108,C108-B108)</f>
        <v>1.6559999999999908E-3</v>
      </c>
      <c r="E108">
        <f>MINUTE(D108)</f>
        <v>2</v>
      </c>
      <c r="F108">
        <f>SECOND(D108)</f>
        <v>23</v>
      </c>
      <c r="G108">
        <f>ROUND(E108+F108/60,2)</f>
        <v>2.38</v>
      </c>
      <c r="H108">
        <f>60*E108+F108</f>
        <v>143</v>
      </c>
      <c r="I108" s="3">
        <f>5*(3600/H108)</f>
        <v>125.87412587412587</v>
      </c>
      <c r="J108" s="16">
        <f t="shared" si="1"/>
        <v>0</v>
      </c>
    </row>
    <row r="109" spans="1:10" x14ac:dyDescent="0.25">
      <c r="A109" s="4" t="s">
        <v>137</v>
      </c>
      <c r="B109" s="1">
        <v>0.78898900000000005</v>
      </c>
      <c r="C109" s="1">
        <v>0.78733299999999995</v>
      </c>
      <c r="D109" s="1">
        <f>IF(B109&gt;C109,B109-C109,C109-B109)</f>
        <v>1.6560000000001018E-3</v>
      </c>
      <c r="E109">
        <f>MINUTE(D109)</f>
        <v>2</v>
      </c>
      <c r="F109">
        <f>SECOND(D109)</f>
        <v>23</v>
      </c>
      <c r="G109">
        <f>ROUND(E109+F109/60,2)</f>
        <v>2.38</v>
      </c>
      <c r="H109">
        <f>60*E109+F109</f>
        <v>143</v>
      </c>
      <c r="I109" s="3">
        <f>5*(3600/H109)</f>
        <v>125.87412587412587</v>
      </c>
      <c r="J109" s="16">
        <f t="shared" si="1"/>
        <v>0</v>
      </c>
    </row>
    <row r="110" spans="1:10" x14ac:dyDescent="0.25">
      <c r="A110" s="4" t="s">
        <v>74</v>
      </c>
      <c r="B110" s="1">
        <v>0.30348399999999998</v>
      </c>
      <c r="C110" s="1">
        <v>0.30182799999999999</v>
      </c>
      <c r="D110" s="1">
        <f>IF(B110&gt;C110,B110-C110,C110-B110)</f>
        <v>1.6559999999999908E-3</v>
      </c>
      <c r="E110">
        <f>MINUTE(D110)</f>
        <v>2</v>
      </c>
      <c r="F110">
        <f>SECOND(D110)</f>
        <v>23</v>
      </c>
      <c r="G110">
        <f>ROUND(E110+F110/60,2)</f>
        <v>2.38</v>
      </c>
      <c r="H110">
        <f>60*E110+F110</f>
        <v>143</v>
      </c>
      <c r="I110" s="3">
        <f>5*(3600/H110)</f>
        <v>125.87412587412587</v>
      </c>
      <c r="J110" s="16">
        <f t="shared" si="1"/>
        <v>0</v>
      </c>
    </row>
    <row r="111" spans="1:10" x14ac:dyDescent="0.25">
      <c r="A111" s="4" t="s">
        <v>266</v>
      </c>
      <c r="B111" s="1">
        <v>0.431591</v>
      </c>
      <c r="C111" s="1">
        <v>0.43324699999999999</v>
      </c>
      <c r="D111" s="1">
        <f>IF(B111&gt;C111,B111-C111,C111-B111)</f>
        <v>1.6559999999999908E-3</v>
      </c>
      <c r="E111">
        <f>MINUTE(D111)</f>
        <v>2</v>
      </c>
      <c r="F111">
        <f>SECOND(D111)</f>
        <v>23</v>
      </c>
      <c r="G111">
        <f>ROUND(E111+F111/60,2)</f>
        <v>2.38</v>
      </c>
      <c r="H111">
        <f>60*E111+F111</f>
        <v>143</v>
      </c>
      <c r="I111" s="3">
        <f>5*(3600/H111)</f>
        <v>125.87412587412587</v>
      </c>
      <c r="J111" s="16">
        <f t="shared" si="1"/>
        <v>0</v>
      </c>
    </row>
    <row r="112" spans="1:10" x14ac:dyDescent="0.25">
      <c r="A112" s="4" t="s">
        <v>59</v>
      </c>
      <c r="B112" s="1">
        <v>0.54649099999999995</v>
      </c>
      <c r="C112" s="1">
        <v>0.54815899999999995</v>
      </c>
      <c r="D112" s="1">
        <f>IF(B112&gt;C112,B112-C112,C112-B112)</f>
        <v>1.6680000000000028E-3</v>
      </c>
      <c r="E112">
        <f>MINUTE(D112)</f>
        <v>2</v>
      </c>
      <c r="F112">
        <f>SECOND(D112)</f>
        <v>24</v>
      </c>
      <c r="G112">
        <f>ROUND(E112+F112/60,2)</f>
        <v>2.4</v>
      </c>
      <c r="H112">
        <f>60*E112+F112</f>
        <v>144</v>
      </c>
      <c r="I112" s="3">
        <f>5*(3600/H112)</f>
        <v>125</v>
      </c>
      <c r="J112" s="16">
        <f t="shared" si="1"/>
        <v>0</v>
      </c>
    </row>
    <row r="113" spans="1:10" x14ac:dyDescent="0.25">
      <c r="A113" s="4" t="s">
        <v>162</v>
      </c>
      <c r="B113" s="1">
        <v>2.4351000000000001E-2</v>
      </c>
      <c r="C113" s="1">
        <v>2.6023000000000001E-2</v>
      </c>
      <c r="D113" s="1">
        <f>IF(B113&gt;C113,B113-C113,C113-B113)</f>
        <v>1.6719999999999999E-3</v>
      </c>
      <c r="E113">
        <f>MINUTE(D113)</f>
        <v>2</v>
      </c>
      <c r="F113">
        <f>SECOND(D113)</f>
        <v>24</v>
      </c>
      <c r="G113">
        <f>ROUND(E113+F113/60,2)</f>
        <v>2.4</v>
      </c>
      <c r="H113">
        <f>60*E113+F113</f>
        <v>144</v>
      </c>
      <c r="I113" s="3">
        <f>5*(3600/H113)</f>
        <v>125</v>
      </c>
      <c r="J113" s="16">
        <f t="shared" si="1"/>
        <v>0</v>
      </c>
    </row>
    <row r="114" spans="1:10" x14ac:dyDescent="0.25">
      <c r="A114" s="4" t="s">
        <v>49</v>
      </c>
      <c r="B114" s="1">
        <v>0.76098399999999999</v>
      </c>
      <c r="C114" s="1">
        <v>0.75931599999999999</v>
      </c>
      <c r="D114" s="1">
        <f>IF(B114&gt;C114,B114-C114,C114-B114)</f>
        <v>1.6680000000000028E-3</v>
      </c>
      <c r="E114">
        <f>MINUTE(D114)</f>
        <v>2</v>
      </c>
      <c r="F114">
        <f>SECOND(D114)</f>
        <v>24</v>
      </c>
      <c r="G114">
        <f>ROUND(E114+F114/60,2)</f>
        <v>2.4</v>
      </c>
      <c r="H114">
        <f>60*E114+F114</f>
        <v>144</v>
      </c>
      <c r="I114" s="3">
        <f>5*(3600/H114)</f>
        <v>125</v>
      </c>
      <c r="J114" s="16">
        <f t="shared" si="1"/>
        <v>0</v>
      </c>
    </row>
    <row r="115" spans="1:10" x14ac:dyDescent="0.25">
      <c r="A115" s="4" t="s">
        <v>96</v>
      </c>
      <c r="B115" s="1">
        <v>0.116232</v>
      </c>
      <c r="C115" s="1">
        <v>0.11791600000000001</v>
      </c>
      <c r="D115" s="1">
        <f>IF(B115&gt;C115,B115-C115,C115-B115)</f>
        <v>1.6840000000000049E-3</v>
      </c>
      <c r="E115">
        <f>MINUTE(D115)</f>
        <v>2</v>
      </c>
      <c r="F115">
        <f>SECOND(D115)</f>
        <v>25</v>
      </c>
      <c r="G115">
        <f>ROUND(E115+F115/60,2)</f>
        <v>2.42</v>
      </c>
      <c r="H115">
        <f>60*E115+F115</f>
        <v>145</v>
      </c>
      <c r="I115" s="3">
        <f>5*(3600/H115)</f>
        <v>124.13793103448276</v>
      </c>
      <c r="J115" s="16">
        <f t="shared" si="1"/>
        <v>0</v>
      </c>
    </row>
    <row r="116" spans="1:10" x14ac:dyDescent="0.25">
      <c r="A116" s="8" t="s">
        <v>171</v>
      </c>
      <c r="B116" s="1">
        <v>0.60342499999999999</v>
      </c>
      <c r="C116" s="1">
        <v>0.605105</v>
      </c>
      <c r="D116" s="1">
        <f>IF(B116&gt;C116,B116-C116,C116-B116)</f>
        <v>1.6800000000000148E-3</v>
      </c>
      <c r="E116">
        <f>MINUTE(D116)</f>
        <v>2</v>
      </c>
      <c r="F116">
        <f>SECOND(D116)</f>
        <v>25</v>
      </c>
      <c r="G116">
        <f>ROUND(E116+F116/60,2)</f>
        <v>2.42</v>
      </c>
      <c r="H116">
        <f>60*E116+F116</f>
        <v>145</v>
      </c>
      <c r="I116" s="10">
        <f>5*(3600/H116)</f>
        <v>124.13793103448276</v>
      </c>
      <c r="J116" s="16">
        <f t="shared" si="1"/>
        <v>0</v>
      </c>
    </row>
    <row r="117" spans="1:10" x14ac:dyDescent="0.25">
      <c r="A117" s="4" t="s">
        <v>132</v>
      </c>
      <c r="B117" s="1">
        <v>4.0057000000000002E-2</v>
      </c>
      <c r="C117" s="1">
        <v>4.1741E-2</v>
      </c>
      <c r="D117" s="1">
        <f>IF(B117&gt;C117,B117-C117,C117-B117)</f>
        <v>1.683999999999998E-3</v>
      </c>
      <c r="E117">
        <f>MINUTE(D117)</f>
        <v>2</v>
      </c>
      <c r="F117">
        <f>SECOND(D117)</f>
        <v>25</v>
      </c>
      <c r="G117">
        <f>ROUND(E117+F117/60,2)</f>
        <v>2.42</v>
      </c>
      <c r="H117">
        <f>60*E117+F117</f>
        <v>145</v>
      </c>
      <c r="I117" s="3">
        <f>5*(3600/H117)</f>
        <v>124.13793103448276</v>
      </c>
      <c r="J117" s="16">
        <f t="shared" si="1"/>
        <v>0</v>
      </c>
    </row>
    <row r="118" spans="1:10" x14ac:dyDescent="0.25">
      <c r="A118" s="4" t="s">
        <v>110</v>
      </c>
      <c r="B118" s="1">
        <v>0.11290600000000001</v>
      </c>
      <c r="C118" s="1">
        <v>0.11459</v>
      </c>
      <c r="D118" s="1">
        <f>IF(B118&gt;C118,B118-C118,C118-B118)</f>
        <v>1.6839999999999911E-3</v>
      </c>
      <c r="E118">
        <f>MINUTE(D118)</f>
        <v>2</v>
      </c>
      <c r="F118">
        <f>SECOND(D118)</f>
        <v>25</v>
      </c>
      <c r="G118">
        <f>ROUND(E118+F118/60,2)</f>
        <v>2.42</v>
      </c>
      <c r="H118">
        <f>60*E118+F118</f>
        <v>145</v>
      </c>
      <c r="I118" s="3">
        <f>5*(3600/H118)</f>
        <v>124.13793103448276</v>
      </c>
      <c r="J118" s="16">
        <f t="shared" si="1"/>
        <v>0</v>
      </c>
    </row>
    <row r="119" spans="1:10" x14ac:dyDescent="0.25">
      <c r="A119" s="4" t="s">
        <v>220</v>
      </c>
      <c r="B119" s="1">
        <v>0.56824699999999995</v>
      </c>
      <c r="C119" s="1">
        <v>0.56993099999999997</v>
      </c>
      <c r="D119" s="1">
        <f>IF(B119&gt;C119,B119-C119,C119-B119)</f>
        <v>1.6840000000000188E-3</v>
      </c>
      <c r="E119">
        <f>MINUTE(D119)</f>
        <v>2</v>
      </c>
      <c r="F119">
        <f>SECOND(D119)</f>
        <v>25</v>
      </c>
      <c r="G119">
        <f>ROUND(E119+F119/60,2)</f>
        <v>2.42</v>
      </c>
      <c r="H119">
        <f>60*E119+F119</f>
        <v>145</v>
      </c>
      <c r="I119" s="3">
        <f>5*(3600/H119)</f>
        <v>124.13793103448276</v>
      </c>
      <c r="J119" s="16">
        <f t="shared" si="1"/>
        <v>0</v>
      </c>
    </row>
    <row r="120" spans="1:10" x14ac:dyDescent="0.25">
      <c r="A120" s="4" t="s">
        <v>351</v>
      </c>
      <c r="B120" s="1">
        <v>0.69694299999999998</v>
      </c>
      <c r="C120" s="1">
        <v>0.698627</v>
      </c>
      <c r="D120" s="1">
        <f>IF(B120&gt;C120,B120-C120,C120-B120)</f>
        <v>1.6840000000000188E-3</v>
      </c>
      <c r="E120">
        <f>MINUTE(D120)</f>
        <v>2</v>
      </c>
      <c r="F120">
        <f>SECOND(D120)</f>
        <v>25</v>
      </c>
      <c r="G120">
        <f>ROUND(E120+F120/60,2)</f>
        <v>2.42</v>
      </c>
      <c r="H120">
        <f>60*E120+F120</f>
        <v>145</v>
      </c>
      <c r="I120" s="3">
        <f>5*(3600/H120)</f>
        <v>124.13793103448276</v>
      </c>
      <c r="J120" s="16">
        <f t="shared" si="1"/>
        <v>0</v>
      </c>
    </row>
    <row r="121" spans="1:10" x14ac:dyDescent="0.25">
      <c r="A121" s="4" t="s">
        <v>43</v>
      </c>
      <c r="B121" s="1">
        <v>0.74113899999999999</v>
      </c>
      <c r="C121" s="1">
        <v>0.74283100000000002</v>
      </c>
      <c r="D121" s="1">
        <f>IF(B121&gt;C121,B121-C121,C121-B121)</f>
        <v>1.6920000000000268E-3</v>
      </c>
      <c r="E121">
        <f>MINUTE(D121)</f>
        <v>2</v>
      </c>
      <c r="F121">
        <f>SECOND(D121)</f>
        <v>26</v>
      </c>
      <c r="G121">
        <f>ROUND(E121+F121/60,2)</f>
        <v>2.4300000000000002</v>
      </c>
      <c r="H121">
        <f>60*E121+F121</f>
        <v>146</v>
      </c>
      <c r="I121" s="3">
        <f>5*(3600/H121)</f>
        <v>123.2876712328767</v>
      </c>
      <c r="J121" s="16">
        <f t="shared" si="1"/>
        <v>0</v>
      </c>
    </row>
    <row r="122" spans="1:10" x14ac:dyDescent="0.25">
      <c r="A122" s="4" t="s">
        <v>120</v>
      </c>
      <c r="B122" s="1">
        <v>0.42249799999999998</v>
      </c>
      <c r="C122" s="1">
        <v>0.42418600000000001</v>
      </c>
      <c r="D122" s="1">
        <f>IF(B122&gt;C122,B122-C122,C122-B122)</f>
        <v>1.6880000000000228E-3</v>
      </c>
      <c r="E122">
        <f>MINUTE(D122)</f>
        <v>2</v>
      </c>
      <c r="F122">
        <f>SECOND(D122)</f>
        <v>26</v>
      </c>
      <c r="G122">
        <f>ROUND(E122+F122/60,2)</f>
        <v>2.4300000000000002</v>
      </c>
      <c r="H122">
        <f>60*E122+F122</f>
        <v>146</v>
      </c>
      <c r="I122" s="3">
        <f>5*(3600/H122)</f>
        <v>123.2876712328767</v>
      </c>
      <c r="J122" s="16">
        <f t="shared" si="1"/>
        <v>0</v>
      </c>
    </row>
    <row r="123" spans="1:10" x14ac:dyDescent="0.25">
      <c r="A123" s="4" t="s">
        <v>162</v>
      </c>
      <c r="B123" s="1">
        <v>0.90659900000000004</v>
      </c>
      <c r="C123" s="1">
        <v>0.90828699999999996</v>
      </c>
      <c r="D123" s="1">
        <f>IF(B123&gt;C123,B123-C123,C123-B123)</f>
        <v>1.6879999999999118E-3</v>
      </c>
      <c r="E123">
        <f>MINUTE(D123)</f>
        <v>2</v>
      </c>
      <c r="F123">
        <f>SECOND(D123)</f>
        <v>26</v>
      </c>
      <c r="G123">
        <f>ROUND(E123+F123/60,2)</f>
        <v>2.4300000000000002</v>
      </c>
      <c r="H123">
        <f>60*E123+F123</f>
        <v>146</v>
      </c>
      <c r="I123" s="3">
        <f>5*(3600/H123)</f>
        <v>123.2876712328767</v>
      </c>
      <c r="J123" s="16">
        <f t="shared" si="1"/>
        <v>0</v>
      </c>
    </row>
    <row r="124" spans="1:10" x14ac:dyDescent="0.25">
      <c r="A124" s="4" t="s">
        <v>79</v>
      </c>
      <c r="B124" s="1">
        <v>0.26555499999999999</v>
      </c>
      <c r="C124" s="1">
        <v>0.26725100000000002</v>
      </c>
      <c r="D124" s="1">
        <f>IF(B124&gt;C124,B124-C124,C124-B124)</f>
        <v>1.6960000000000308E-3</v>
      </c>
      <c r="E124">
        <f>MINUTE(D124)</f>
        <v>2</v>
      </c>
      <c r="F124">
        <f>SECOND(D124)</f>
        <v>27</v>
      </c>
      <c r="G124">
        <f>ROUND(E124+F124/60,2)</f>
        <v>2.4500000000000002</v>
      </c>
      <c r="H124">
        <f>60*E124+F124</f>
        <v>147</v>
      </c>
      <c r="I124" s="3">
        <f>5*(3600/H124)</f>
        <v>122.44897959183673</v>
      </c>
      <c r="J124" s="16">
        <f t="shared" si="1"/>
        <v>0</v>
      </c>
    </row>
    <row r="125" spans="1:10" x14ac:dyDescent="0.25">
      <c r="A125" s="4" t="s">
        <v>103</v>
      </c>
      <c r="B125" s="1">
        <v>0.95169999999999999</v>
      </c>
      <c r="C125" s="1">
        <v>0.95000399999999996</v>
      </c>
      <c r="D125" s="1">
        <f>IF(B125&gt;C125,B125-C125,C125-B125)</f>
        <v>1.6960000000000308E-3</v>
      </c>
      <c r="E125">
        <f>MINUTE(D125)</f>
        <v>2</v>
      </c>
      <c r="F125">
        <f>SECOND(D125)</f>
        <v>27</v>
      </c>
      <c r="G125">
        <f>ROUND(E125+F125/60,2)</f>
        <v>2.4500000000000002</v>
      </c>
      <c r="H125">
        <f>60*E125+F125</f>
        <v>147</v>
      </c>
      <c r="I125" s="3">
        <f>5*(3600/H125)</f>
        <v>122.44897959183673</v>
      </c>
      <c r="J125" s="16">
        <f t="shared" si="1"/>
        <v>0</v>
      </c>
    </row>
    <row r="126" spans="1:10" x14ac:dyDescent="0.25">
      <c r="A126" s="4" t="s">
        <v>140</v>
      </c>
      <c r="B126" s="1">
        <v>0.94930499999999995</v>
      </c>
      <c r="C126" s="1">
        <v>0.95100099999999999</v>
      </c>
      <c r="D126" s="1">
        <f>IF(B126&gt;C126,B126-C126,C126-B126)</f>
        <v>1.6960000000000308E-3</v>
      </c>
      <c r="E126">
        <f>MINUTE(D126)</f>
        <v>2</v>
      </c>
      <c r="F126">
        <f>SECOND(D126)</f>
        <v>27</v>
      </c>
      <c r="G126">
        <f>ROUND(E126+F126/60,2)</f>
        <v>2.4500000000000002</v>
      </c>
      <c r="H126">
        <f>60*E126+F126</f>
        <v>147</v>
      </c>
      <c r="I126" s="3">
        <f>5*(3600/H126)</f>
        <v>122.44897959183673</v>
      </c>
      <c r="J126" s="16">
        <f t="shared" si="1"/>
        <v>0</v>
      </c>
    </row>
    <row r="127" spans="1:10" x14ac:dyDescent="0.25">
      <c r="A127" s="4" t="s">
        <v>97</v>
      </c>
      <c r="B127" s="1">
        <v>0.217417</v>
      </c>
      <c r="C127" s="1">
        <v>0.215721</v>
      </c>
      <c r="D127" s="1">
        <f>IF(B127&gt;C127,B127-C127,C127-B127)</f>
        <v>1.6960000000000031E-3</v>
      </c>
      <c r="E127">
        <f>MINUTE(D127)</f>
        <v>2</v>
      </c>
      <c r="F127">
        <f>SECOND(D127)</f>
        <v>27</v>
      </c>
      <c r="G127">
        <f>ROUND(E127+F127/60,2)</f>
        <v>2.4500000000000002</v>
      </c>
      <c r="H127">
        <f>60*E127+F127</f>
        <v>147</v>
      </c>
      <c r="I127" s="3">
        <f>5*(3600/H127)</f>
        <v>122.44897959183673</v>
      </c>
      <c r="J127" s="16">
        <f t="shared" si="1"/>
        <v>0</v>
      </c>
    </row>
    <row r="128" spans="1:10" x14ac:dyDescent="0.25">
      <c r="A128" s="4" t="s">
        <v>41</v>
      </c>
      <c r="B128" s="1">
        <v>0.44640400000000002</v>
      </c>
      <c r="C128" s="1">
        <v>0.4481</v>
      </c>
      <c r="D128" s="1">
        <f>IF(B128&gt;C128,B128-C128,C128-B128)</f>
        <v>1.6959999999999753E-3</v>
      </c>
      <c r="E128">
        <f>MINUTE(D128)</f>
        <v>2</v>
      </c>
      <c r="F128">
        <f>SECOND(D128)</f>
        <v>27</v>
      </c>
      <c r="G128">
        <f>ROUND(E128+F128/60,2)</f>
        <v>2.4500000000000002</v>
      </c>
      <c r="H128">
        <f>60*E128+F128</f>
        <v>147</v>
      </c>
      <c r="I128" s="3">
        <f>5*(3600/H128)</f>
        <v>122.44897959183673</v>
      </c>
      <c r="J128" s="16">
        <f t="shared" si="1"/>
        <v>0</v>
      </c>
    </row>
    <row r="129" spans="1:10" x14ac:dyDescent="0.25">
      <c r="A129" s="4" t="s">
        <v>236</v>
      </c>
      <c r="B129" s="1">
        <v>0.74470800000000004</v>
      </c>
      <c r="C129" s="1">
        <v>0.74641199999999996</v>
      </c>
      <c r="D129" s="1">
        <f>IF(B129&gt;C129,B129-C129,C129-B129)</f>
        <v>1.7039999999999278E-3</v>
      </c>
      <c r="E129">
        <f>MINUTE(D129)</f>
        <v>2</v>
      </c>
      <c r="F129">
        <f>SECOND(D129)</f>
        <v>27</v>
      </c>
      <c r="G129">
        <f>ROUND(E129+F129/60,2)</f>
        <v>2.4500000000000002</v>
      </c>
      <c r="H129">
        <f>60*E129+F129</f>
        <v>147</v>
      </c>
      <c r="I129" s="3">
        <f>5*(3600/H129)</f>
        <v>122.44897959183673</v>
      </c>
      <c r="J129" s="16">
        <f t="shared" si="1"/>
        <v>0</v>
      </c>
    </row>
    <row r="130" spans="1:10" x14ac:dyDescent="0.25">
      <c r="A130" s="4" t="s">
        <v>128</v>
      </c>
      <c r="B130" s="1">
        <v>0.32555600000000001</v>
      </c>
      <c r="C130" s="1">
        <v>0.327264</v>
      </c>
      <c r="D130" s="1">
        <f>IF(B130&gt;C130,B130-C130,C130-B130)</f>
        <v>1.7079999999999873E-3</v>
      </c>
      <c r="E130">
        <f>MINUTE(D130)</f>
        <v>2</v>
      </c>
      <c r="F130">
        <f>SECOND(D130)</f>
        <v>28</v>
      </c>
      <c r="G130">
        <f>ROUND(E130+F130/60,2)</f>
        <v>2.4700000000000002</v>
      </c>
      <c r="H130">
        <f>60*E130+F130</f>
        <v>148</v>
      </c>
      <c r="I130" s="3">
        <f>5*(3600/H130)</f>
        <v>121.62162162162161</v>
      </c>
      <c r="J130" s="16">
        <f t="shared" si="1"/>
        <v>0</v>
      </c>
    </row>
    <row r="131" spans="1:10" x14ac:dyDescent="0.25">
      <c r="A131" s="4" t="s">
        <v>149</v>
      </c>
      <c r="B131" s="1">
        <v>0.68221900000000002</v>
      </c>
      <c r="C131" s="1">
        <v>0.68393499999999996</v>
      </c>
      <c r="D131" s="1">
        <f>IF(B131&gt;C131,B131-C131,C131-B131)</f>
        <v>1.7159999999999398E-3</v>
      </c>
      <c r="E131">
        <f>MINUTE(D131)</f>
        <v>2</v>
      </c>
      <c r="F131">
        <f>SECOND(D131)</f>
        <v>28</v>
      </c>
      <c r="G131">
        <f>ROUND(E131+F131/60,2)</f>
        <v>2.4700000000000002</v>
      </c>
      <c r="H131">
        <f>60*E131+F131</f>
        <v>148</v>
      </c>
      <c r="I131" s="3">
        <f>5*(3600/H131)</f>
        <v>121.62162162162161</v>
      </c>
      <c r="J131" s="16">
        <f t="shared" ref="J131:J194" si="2">IF(I131&gt;140,1,0)</f>
        <v>0</v>
      </c>
    </row>
    <row r="132" spans="1:10" x14ac:dyDescent="0.25">
      <c r="A132" s="4" t="s">
        <v>109</v>
      </c>
      <c r="B132" s="1">
        <v>0.98943999999999999</v>
      </c>
      <c r="C132" s="1">
        <v>0.98772800000000005</v>
      </c>
      <c r="D132" s="1">
        <f>IF(B132&gt;C132,B132-C132,C132-B132)</f>
        <v>1.7119999999999358E-3</v>
      </c>
      <c r="E132">
        <f>MINUTE(D132)</f>
        <v>2</v>
      </c>
      <c r="F132">
        <f>SECOND(D132)</f>
        <v>28</v>
      </c>
      <c r="G132">
        <f>ROUND(E132+F132/60,2)</f>
        <v>2.4700000000000002</v>
      </c>
      <c r="H132">
        <f>60*E132+F132</f>
        <v>148</v>
      </c>
      <c r="I132" s="3">
        <f>5*(3600/H132)</f>
        <v>121.62162162162161</v>
      </c>
      <c r="J132" s="16">
        <f t="shared" si="2"/>
        <v>0</v>
      </c>
    </row>
    <row r="133" spans="1:10" x14ac:dyDescent="0.25">
      <c r="A133" s="4" t="s">
        <v>64</v>
      </c>
      <c r="B133" s="1">
        <v>0.352136</v>
      </c>
      <c r="C133" s="1">
        <v>0.35384399999999999</v>
      </c>
      <c r="D133" s="1">
        <f>IF(B133&gt;C133,B133-C133,C133-B133)</f>
        <v>1.7079999999999873E-3</v>
      </c>
      <c r="E133">
        <f>MINUTE(D133)</f>
        <v>2</v>
      </c>
      <c r="F133">
        <f>SECOND(D133)</f>
        <v>28</v>
      </c>
      <c r="G133">
        <f>ROUND(E133+F133/60,2)</f>
        <v>2.4700000000000002</v>
      </c>
      <c r="H133">
        <f>60*E133+F133</f>
        <v>148</v>
      </c>
      <c r="I133" s="3">
        <f>5*(3600/H133)</f>
        <v>121.62162162162161</v>
      </c>
      <c r="J133" s="16">
        <f t="shared" si="2"/>
        <v>0</v>
      </c>
    </row>
    <row r="134" spans="1:10" x14ac:dyDescent="0.25">
      <c r="A134" s="4" t="s">
        <v>157</v>
      </c>
      <c r="B134" s="1">
        <v>0.72528599999999999</v>
      </c>
      <c r="C134" s="1">
        <v>0.72699800000000003</v>
      </c>
      <c r="D134" s="1">
        <f>IF(B134&gt;C134,B134-C134,C134-B134)</f>
        <v>1.7120000000000468E-3</v>
      </c>
      <c r="E134">
        <f>MINUTE(D134)</f>
        <v>2</v>
      </c>
      <c r="F134">
        <f>SECOND(D134)</f>
        <v>28</v>
      </c>
      <c r="G134">
        <f>ROUND(E134+F134/60,2)</f>
        <v>2.4700000000000002</v>
      </c>
      <c r="H134">
        <f>60*E134+F134</f>
        <v>148</v>
      </c>
      <c r="I134" s="3">
        <f>5*(3600/H134)</f>
        <v>121.62162162162161</v>
      </c>
      <c r="J134" s="16">
        <f t="shared" si="2"/>
        <v>0</v>
      </c>
    </row>
    <row r="135" spans="1:10" x14ac:dyDescent="0.25">
      <c r="A135" s="4" t="s">
        <v>238</v>
      </c>
      <c r="B135" s="1">
        <v>3.8924E-2</v>
      </c>
      <c r="C135" s="1">
        <v>3.7212000000000002E-2</v>
      </c>
      <c r="D135" s="1">
        <f>IF(B135&gt;C135,B135-C135,C135-B135)</f>
        <v>1.7119999999999982E-3</v>
      </c>
      <c r="E135">
        <f>MINUTE(D135)</f>
        <v>2</v>
      </c>
      <c r="F135">
        <f>SECOND(D135)</f>
        <v>28</v>
      </c>
      <c r="G135">
        <f>ROUND(E135+F135/60,2)</f>
        <v>2.4700000000000002</v>
      </c>
      <c r="H135">
        <f>60*E135+F135</f>
        <v>148</v>
      </c>
      <c r="I135" s="3">
        <f>5*(3600/H135)</f>
        <v>121.62162162162161</v>
      </c>
      <c r="J135" s="16">
        <f t="shared" si="2"/>
        <v>0</v>
      </c>
    </row>
    <row r="136" spans="1:10" x14ac:dyDescent="0.25">
      <c r="A136" s="4" t="s">
        <v>346</v>
      </c>
      <c r="B136" s="1">
        <v>0.11723</v>
      </c>
      <c r="C136" s="1">
        <v>0.115522</v>
      </c>
      <c r="D136" s="1">
        <f>IF(B136&gt;C136,B136-C136,C136-B136)</f>
        <v>1.7080000000000012E-3</v>
      </c>
      <c r="E136">
        <f>MINUTE(D136)</f>
        <v>2</v>
      </c>
      <c r="F136">
        <f>SECOND(D136)</f>
        <v>28</v>
      </c>
      <c r="G136">
        <f>ROUND(E136+F136/60,2)</f>
        <v>2.4700000000000002</v>
      </c>
      <c r="H136">
        <f>60*E136+F136</f>
        <v>148</v>
      </c>
      <c r="I136" s="3">
        <f>5*(3600/H136)</f>
        <v>121.62162162162161</v>
      </c>
      <c r="J136" s="16">
        <f t="shared" si="2"/>
        <v>0</v>
      </c>
    </row>
    <row r="137" spans="1:10" x14ac:dyDescent="0.25">
      <c r="A137" s="4" t="s">
        <v>381</v>
      </c>
      <c r="B137" s="1">
        <v>0.89447600000000005</v>
      </c>
      <c r="C137" s="1">
        <v>0.89619199999999999</v>
      </c>
      <c r="D137" s="1">
        <f>IF(B137&gt;C137,B137-C137,C137-B137)</f>
        <v>1.7159999999999398E-3</v>
      </c>
      <c r="E137">
        <f>MINUTE(D137)</f>
        <v>2</v>
      </c>
      <c r="F137">
        <f>SECOND(D137)</f>
        <v>28</v>
      </c>
      <c r="G137">
        <f>ROUND(E137+F137/60,2)</f>
        <v>2.4700000000000002</v>
      </c>
      <c r="H137">
        <f>60*E137+F137</f>
        <v>148</v>
      </c>
      <c r="I137" s="3">
        <f>5*(3600/H137)</f>
        <v>121.62162162162161</v>
      </c>
      <c r="J137" s="16">
        <f t="shared" si="2"/>
        <v>0</v>
      </c>
    </row>
    <row r="138" spans="1:10" x14ac:dyDescent="0.25">
      <c r="A138" s="4" t="s">
        <v>107</v>
      </c>
      <c r="B138" s="1">
        <v>0.36874600000000002</v>
      </c>
      <c r="C138" s="1">
        <v>0.37047400000000003</v>
      </c>
      <c r="D138" s="1">
        <f>IF(B138&gt;C138,B138-C138,C138-B138)</f>
        <v>1.7280000000000073E-3</v>
      </c>
      <c r="E138">
        <f>MINUTE(D138)</f>
        <v>2</v>
      </c>
      <c r="F138">
        <f>SECOND(D138)</f>
        <v>29</v>
      </c>
      <c r="G138">
        <f>ROUND(E138+F138/60,2)</f>
        <v>2.48</v>
      </c>
      <c r="H138">
        <f>60*E138+F138</f>
        <v>149</v>
      </c>
      <c r="I138" s="3">
        <f>5*(3600/H138)</f>
        <v>120.80536912751677</v>
      </c>
      <c r="J138" s="16">
        <f t="shared" si="2"/>
        <v>0</v>
      </c>
    </row>
    <row r="139" spans="1:10" x14ac:dyDescent="0.25">
      <c r="A139" s="4" t="s">
        <v>16</v>
      </c>
      <c r="B139" s="1">
        <v>0.90525999999999995</v>
      </c>
      <c r="C139" s="1">
        <v>0.90354000000000001</v>
      </c>
      <c r="D139" s="1">
        <f>IF(B139&gt;C139,B139-C139,C139-B139)</f>
        <v>1.7199999999999438E-3</v>
      </c>
      <c r="E139">
        <f>MINUTE(D139)</f>
        <v>2</v>
      </c>
      <c r="F139">
        <f>SECOND(D139)</f>
        <v>29</v>
      </c>
      <c r="G139">
        <f>ROUND(E139+F139/60,2)</f>
        <v>2.48</v>
      </c>
      <c r="H139">
        <f>60*E139+F139</f>
        <v>149</v>
      </c>
      <c r="I139" s="3">
        <f>5*(3600/H139)</f>
        <v>120.80536912751677</v>
      </c>
      <c r="J139" s="16">
        <f t="shared" si="2"/>
        <v>0</v>
      </c>
    </row>
    <row r="140" spans="1:10" x14ac:dyDescent="0.25">
      <c r="A140" s="4" t="s">
        <v>72</v>
      </c>
      <c r="B140" s="1">
        <v>0.848275</v>
      </c>
      <c r="C140" s="1">
        <v>0.84999499999999995</v>
      </c>
      <c r="D140" s="1">
        <f>IF(B140&gt;C140,B140-C140,C140-B140)</f>
        <v>1.7199999999999438E-3</v>
      </c>
      <c r="E140">
        <f>MINUTE(D140)</f>
        <v>2</v>
      </c>
      <c r="F140">
        <f>SECOND(D140)</f>
        <v>29</v>
      </c>
      <c r="G140">
        <f>ROUND(E140+F140/60,2)</f>
        <v>2.48</v>
      </c>
      <c r="H140">
        <f>60*E140+F140</f>
        <v>149</v>
      </c>
      <c r="I140" s="3">
        <f>5*(3600/H140)</f>
        <v>120.80536912751677</v>
      </c>
      <c r="J140" s="16">
        <f t="shared" si="2"/>
        <v>0</v>
      </c>
    </row>
    <row r="141" spans="1:10" x14ac:dyDescent="0.25">
      <c r="A141" s="4" t="s">
        <v>157</v>
      </c>
      <c r="B141" s="1">
        <v>0.82582299999999997</v>
      </c>
      <c r="C141" s="1">
        <v>0.82754700000000003</v>
      </c>
      <c r="D141" s="1">
        <f>IF(B141&gt;C141,B141-C141,C141-B141)</f>
        <v>1.7240000000000588E-3</v>
      </c>
      <c r="E141">
        <f>MINUTE(D141)</f>
        <v>2</v>
      </c>
      <c r="F141">
        <f>SECOND(D141)</f>
        <v>29</v>
      </c>
      <c r="G141">
        <f>ROUND(E141+F141/60,2)</f>
        <v>2.48</v>
      </c>
      <c r="H141">
        <f>60*E141+F141</f>
        <v>149</v>
      </c>
      <c r="I141" s="3">
        <f>5*(3600/H141)</f>
        <v>120.80536912751677</v>
      </c>
      <c r="J141" s="16">
        <f t="shared" si="2"/>
        <v>0</v>
      </c>
    </row>
    <row r="142" spans="1:10" x14ac:dyDescent="0.25">
      <c r="A142" s="4" t="s">
        <v>411</v>
      </c>
      <c r="B142" s="1">
        <v>0.51790700000000001</v>
      </c>
      <c r="C142" s="1">
        <v>0.51618299999999995</v>
      </c>
      <c r="D142" s="1">
        <f>IF(B142&gt;C142,B142-C142,C142-B142)</f>
        <v>1.7240000000000588E-3</v>
      </c>
      <c r="E142">
        <f>MINUTE(D142)</f>
        <v>2</v>
      </c>
      <c r="F142">
        <f>SECOND(D142)</f>
        <v>29</v>
      </c>
      <c r="G142">
        <f>ROUND(E142+F142/60,2)</f>
        <v>2.48</v>
      </c>
      <c r="H142">
        <f>60*E142+F142</f>
        <v>149</v>
      </c>
      <c r="I142" s="3">
        <f>5*(3600/H142)</f>
        <v>120.80536912751677</v>
      </c>
      <c r="J142" s="16">
        <f t="shared" si="2"/>
        <v>0</v>
      </c>
    </row>
    <row r="143" spans="1:10" x14ac:dyDescent="0.25">
      <c r="A143" s="4" t="s">
        <v>132</v>
      </c>
      <c r="B143" s="1">
        <v>0.64908500000000002</v>
      </c>
      <c r="C143" s="1">
        <v>0.65082499999999999</v>
      </c>
      <c r="D143" s="1">
        <f>IF(B143&gt;C143,B143-C143,C143-B143)</f>
        <v>1.7399999999999638E-3</v>
      </c>
      <c r="E143">
        <f>MINUTE(D143)</f>
        <v>2</v>
      </c>
      <c r="F143">
        <f>SECOND(D143)</f>
        <v>30</v>
      </c>
      <c r="G143">
        <f>ROUND(E143+F143/60,2)</f>
        <v>2.5</v>
      </c>
      <c r="H143">
        <f>60*E143+F143</f>
        <v>150</v>
      </c>
      <c r="I143" s="3">
        <f>5*(3600/H143)</f>
        <v>120</v>
      </c>
      <c r="J143" s="16">
        <f t="shared" si="2"/>
        <v>0</v>
      </c>
    </row>
    <row r="144" spans="1:10" x14ac:dyDescent="0.25">
      <c r="A144" s="4" t="s">
        <v>155</v>
      </c>
      <c r="B144" s="1">
        <v>0.38238299999999997</v>
      </c>
      <c r="C144" s="1">
        <v>0.38064700000000001</v>
      </c>
      <c r="D144" s="1">
        <f>IF(B144&gt;C144,B144-C144,C144-B144)</f>
        <v>1.7359999999999598E-3</v>
      </c>
      <c r="E144">
        <f>MINUTE(D144)</f>
        <v>2</v>
      </c>
      <c r="F144">
        <f>SECOND(D144)</f>
        <v>30</v>
      </c>
      <c r="G144">
        <f>ROUND(E144+F144/60,2)</f>
        <v>2.5</v>
      </c>
      <c r="H144">
        <f>60*E144+F144</f>
        <v>150</v>
      </c>
      <c r="I144" s="3">
        <f>5*(3600/H144)</f>
        <v>120</v>
      </c>
      <c r="J144" s="16">
        <f t="shared" si="2"/>
        <v>0</v>
      </c>
    </row>
    <row r="145" spans="1:10" x14ac:dyDescent="0.25">
      <c r="A145" s="4" t="s">
        <v>221</v>
      </c>
      <c r="B145" s="1">
        <v>0.83130700000000002</v>
      </c>
      <c r="C145" s="1">
        <v>0.82957099999999995</v>
      </c>
      <c r="D145" s="1">
        <f>IF(B145&gt;C145,B145-C145,C145-B145)</f>
        <v>1.7360000000000708E-3</v>
      </c>
      <c r="E145">
        <f>MINUTE(D145)</f>
        <v>2</v>
      </c>
      <c r="F145">
        <f>SECOND(D145)</f>
        <v>30</v>
      </c>
      <c r="G145">
        <f>ROUND(E145+F145/60,2)</f>
        <v>2.5</v>
      </c>
      <c r="H145">
        <f>60*E145+F145</f>
        <v>150</v>
      </c>
      <c r="I145" s="3">
        <f>5*(3600/H145)</f>
        <v>120</v>
      </c>
      <c r="J145" s="16">
        <f t="shared" si="2"/>
        <v>0</v>
      </c>
    </row>
    <row r="146" spans="1:10" x14ac:dyDescent="0.25">
      <c r="A146" s="4" t="s">
        <v>315</v>
      </c>
      <c r="B146" s="1">
        <v>0.91733100000000001</v>
      </c>
      <c r="C146" s="1">
        <v>0.91906299999999996</v>
      </c>
      <c r="D146" s="1">
        <f>IF(B146&gt;C146,B146-C146,C146-B146)</f>
        <v>1.7319999999999558E-3</v>
      </c>
      <c r="E146">
        <f>MINUTE(D146)</f>
        <v>2</v>
      </c>
      <c r="F146">
        <f>SECOND(D146)</f>
        <v>30</v>
      </c>
      <c r="G146">
        <f>ROUND(E146+F146/60,2)</f>
        <v>2.5</v>
      </c>
      <c r="H146">
        <f>60*E146+F146</f>
        <v>150</v>
      </c>
      <c r="I146" s="3">
        <f>5*(3600/H146)</f>
        <v>120</v>
      </c>
      <c r="J146" s="16">
        <f t="shared" si="2"/>
        <v>0</v>
      </c>
    </row>
    <row r="147" spans="1:10" x14ac:dyDescent="0.25">
      <c r="A147" s="8" t="s">
        <v>86</v>
      </c>
      <c r="B147" s="1">
        <v>0.386492</v>
      </c>
      <c r="C147" s="1">
        <v>0.38474799999999998</v>
      </c>
      <c r="D147" s="1">
        <f>IF(B147&gt;C147,B147-C147,C147-B147)</f>
        <v>1.7440000000000233E-3</v>
      </c>
      <c r="E147">
        <f>MINUTE(D147)</f>
        <v>2</v>
      </c>
      <c r="F147">
        <f>SECOND(D147)</f>
        <v>31</v>
      </c>
      <c r="G147">
        <f>ROUND(E147+F147/60,2)</f>
        <v>2.52</v>
      </c>
      <c r="H147">
        <f>60*E147+F147</f>
        <v>151</v>
      </c>
      <c r="I147" s="10">
        <f>5*(3600/H147)</f>
        <v>119.20529801324504</v>
      </c>
      <c r="J147" s="16">
        <f t="shared" si="2"/>
        <v>0</v>
      </c>
    </row>
    <row r="148" spans="1:10" x14ac:dyDescent="0.25">
      <c r="A148" s="4" t="s">
        <v>21</v>
      </c>
      <c r="B148" s="1">
        <v>0.84183399999999997</v>
      </c>
      <c r="C148" s="1">
        <v>0.840086</v>
      </c>
      <c r="D148" s="1">
        <f>IF(B148&gt;C148,B148-C148,C148-B148)</f>
        <v>1.7479999999999718E-3</v>
      </c>
      <c r="E148">
        <f>MINUTE(D148)</f>
        <v>2</v>
      </c>
      <c r="F148">
        <f>SECOND(D148)</f>
        <v>31</v>
      </c>
      <c r="G148">
        <f>ROUND(E148+F148/60,2)</f>
        <v>2.52</v>
      </c>
      <c r="H148">
        <f>60*E148+F148</f>
        <v>151</v>
      </c>
      <c r="I148" s="3">
        <f>5*(3600/H148)</f>
        <v>119.20529801324504</v>
      </c>
      <c r="J148" s="16">
        <f t="shared" si="2"/>
        <v>0</v>
      </c>
    </row>
    <row r="149" spans="1:10" x14ac:dyDescent="0.25">
      <c r="A149" s="4" t="s">
        <v>64</v>
      </c>
      <c r="B149" s="1">
        <v>0.43862400000000001</v>
      </c>
      <c r="C149" s="1">
        <v>0.43687599999999999</v>
      </c>
      <c r="D149" s="1">
        <f>IF(B149&gt;C149,B149-C149,C149-B149)</f>
        <v>1.7480000000000273E-3</v>
      </c>
      <c r="E149">
        <f>MINUTE(D149)</f>
        <v>2</v>
      </c>
      <c r="F149">
        <f>SECOND(D149)</f>
        <v>31</v>
      </c>
      <c r="G149">
        <f>ROUND(E149+F149/60,2)</f>
        <v>2.52</v>
      </c>
      <c r="H149">
        <f>60*E149+F149</f>
        <v>151</v>
      </c>
      <c r="I149" s="3">
        <f>5*(3600/H149)</f>
        <v>119.20529801324504</v>
      </c>
      <c r="J149" s="16">
        <f t="shared" si="2"/>
        <v>0</v>
      </c>
    </row>
    <row r="150" spans="1:10" x14ac:dyDescent="0.25">
      <c r="A150" s="4" t="s">
        <v>4</v>
      </c>
      <c r="B150" s="1">
        <v>0.16196199999999999</v>
      </c>
      <c r="C150" s="1">
        <v>0.16370999999999999</v>
      </c>
      <c r="D150" s="1">
        <f>IF(B150&gt;C150,B150-C150,C150-B150)</f>
        <v>1.7479999999999996E-3</v>
      </c>
      <c r="E150">
        <f>MINUTE(D150)</f>
        <v>2</v>
      </c>
      <c r="F150">
        <f>SECOND(D150)</f>
        <v>31</v>
      </c>
      <c r="G150">
        <f>ROUND(E150+F150/60,2)</f>
        <v>2.52</v>
      </c>
      <c r="H150">
        <f>60*E150+F150</f>
        <v>151</v>
      </c>
      <c r="I150" s="3">
        <f>5*(3600/H150)</f>
        <v>119.20529801324504</v>
      </c>
      <c r="J150" s="16">
        <f t="shared" si="2"/>
        <v>0</v>
      </c>
    </row>
    <row r="151" spans="1:10" x14ac:dyDescent="0.25">
      <c r="A151" s="4" t="s">
        <v>100</v>
      </c>
      <c r="B151" s="1">
        <v>0.56021500000000002</v>
      </c>
      <c r="C151" s="1">
        <v>0.56196699999999999</v>
      </c>
      <c r="D151" s="1">
        <f>IF(B151&gt;C151,B151-C151,C151-B151)</f>
        <v>1.7519999999999758E-3</v>
      </c>
      <c r="E151">
        <f>MINUTE(D151)</f>
        <v>2</v>
      </c>
      <c r="F151">
        <f>SECOND(D151)</f>
        <v>31</v>
      </c>
      <c r="G151">
        <f>ROUND(E151+F151/60,2)</f>
        <v>2.52</v>
      </c>
      <c r="H151">
        <f>60*E151+F151</f>
        <v>151</v>
      </c>
      <c r="I151" s="3">
        <f>5*(3600/H151)</f>
        <v>119.20529801324504</v>
      </c>
      <c r="J151" s="16">
        <f t="shared" si="2"/>
        <v>0</v>
      </c>
    </row>
    <row r="152" spans="1:10" x14ac:dyDescent="0.25">
      <c r="A152" s="4" t="s">
        <v>263</v>
      </c>
      <c r="B152" s="1">
        <v>3.39E-2</v>
      </c>
      <c r="C152" s="1">
        <v>3.2155999999999997E-2</v>
      </c>
      <c r="D152" s="1">
        <f>IF(B152&gt;C152,B152-C152,C152-B152)</f>
        <v>1.7440000000000025E-3</v>
      </c>
      <c r="E152">
        <f>MINUTE(D152)</f>
        <v>2</v>
      </c>
      <c r="F152">
        <f>SECOND(D152)</f>
        <v>31</v>
      </c>
      <c r="G152">
        <f>ROUND(E152+F152/60,2)</f>
        <v>2.52</v>
      </c>
      <c r="H152">
        <f>60*E152+F152</f>
        <v>151</v>
      </c>
      <c r="I152" s="3">
        <f>5*(3600/H152)</f>
        <v>119.20529801324504</v>
      </c>
      <c r="J152" s="16">
        <f t="shared" si="2"/>
        <v>0</v>
      </c>
    </row>
    <row r="153" spans="1:10" x14ac:dyDescent="0.25">
      <c r="A153" s="4" t="s">
        <v>68</v>
      </c>
      <c r="B153" s="1">
        <v>0.98681600000000003</v>
      </c>
      <c r="C153" s="1">
        <v>0.98857600000000001</v>
      </c>
      <c r="D153" s="1">
        <f>IF(B153&gt;C153,B153-C153,C153-B153)</f>
        <v>1.7599999999999838E-3</v>
      </c>
      <c r="E153">
        <f>MINUTE(D153)</f>
        <v>2</v>
      </c>
      <c r="F153">
        <f>SECOND(D153)</f>
        <v>32</v>
      </c>
      <c r="G153">
        <f>ROUND(E153+F153/60,2)</f>
        <v>2.5299999999999998</v>
      </c>
      <c r="H153">
        <f>60*E153+F153</f>
        <v>152</v>
      </c>
      <c r="I153" s="3">
        <f>5*(3600/H153)</f>
        <v>118.42105263157896</v>
      </c>
      <c r="J153" s="16">
        <f t="shared" si="2"/>
        <v>0</v>
      </c>
    </row>
    <row r="154" spans="1:10" x14ac:dyDescent="0.25">
      <c r="A154" s="4" t="s">
        <v>47</v>
      </c>
      <c r="B154" s="1">
        <v>0.76115200000000005</v>
      </c>
      <c r="C154" s="1">
        <v>0.75938799999999995</v>
      </c>
      <c r="D154" s="1">
        <f>IF(B154&gt;C154,B154-C154,C154-B154)</f>
        <v>1.7640000000000988E-3</v>
      </c>
      <c r="E154">
        <f>MINUTE(D154)</f>
        <v>2</v>
      </c>
      <c r="F154">
        <f>SECOND(D154)</f>
        <v>32</v>
      </c>
      <c r="G154">
        <f>ROUND(E154+F154/60,2)</f>
        <v>2.5299999999999998</v>
      </c>
      <c r="H154">
        <f>60*E154+F154</f>
        <v>152</v>
      </c>
      <c r="I154" s="3">
        <f>5*(3600/H154)</f>
        <v>118.42105263157896</v>
      </c>
      <c r="J154" s="16">
        <f t="shared" si="2"/>
        <v>0</v>
      </c>
    </row>
    <row r="155" spans="1:10" x14ac:dyDescent="0.25">
      <c r="A155" s="4" t="s">
        <v>117</v>
      </c>
      <c r="B155" s="1">
        <v>0.95934200000000003</v>
      </c>
      <c r="C155" s="1">
        <v>0.95758200000000004</v>
      </c>
      <c r="D155" s="1">
        <f>IF(B155&gt;C155,B155-C155,C155-B155)</f>
        <v>1.7599999999999838E-3</v>
      </c>
      <c r="E155">
        <f>MINUTE(D155)</f>
        <v>2</v>
      </c>
      <c r="F155">
        <f>SECOND(D155)</f>
        <v>32</v>
      </c>
      <c r="G155">
        <f>ROUND(E155+F155/60,2)</f>
        <v>2.5299999999999998</v>
      </c>
      <c r="H155">
        <f>60*E155+F155</f>
        <v>152</v>
      </c>
      <c r="I155" s="3">
        <f>5*(3600/H155)</f>
        <v>118.42105263157896</v>
      </c>
      <c r="J155" s="16">
        <f t="shared" si="2"/>
        <v>0</v>
      </c>
    </row>
    <row r="156" spans="1:10" x14ac:dyDescent="0.25">
      <c r="A156" s="4" t="s">
        <v>21</v>
      </c>
      <c r="B156" s="1">
        <v>7.4226E-2</v>
      </c>
      <c r="C156" s="1">
        <v>7.5994000000000006E-2</v>
      </c>
      <c r="D156" s="1">
        <f>IF(B156&gt;C156,B156-C156,C156-B156)</f>
        <v>1.7680000000000057E-3</v>
      </c>
      <c r="E156">
        <f>MINUTE(D156)</f>
        <v>2</v>
      </c>
      <c r="F156">
        <f>SECOND(D156)</f>
        <v>33</v>
      </c>
      <c r="G156">
        <f>ROUND(E156+F156/60,2)</f>
        <v>2.5499999999999998</v>
      </c>
      <c r="H156">
        <f>60*E156+F156</f>
        <v>153</v>
      </c>
      <c r="I156" s="3">
        <f>5*(3600/H156)</f>
        <v>117.64705882352942</v>
      </c>
      <c r="J156" s="16">
        <f t="shared" si="2"/>
        <v>0</v>
      </c>
    </row>
    <row r="157" spans="1:10" x14ac:dyDescent="0.25">
      <c r="A157" s="4" t="s">
        <v>167</v>
      </c>
      <c r="B157" s="1">
        <v>0.40695900000000002</v>
      </c>
      <c r="C157" s="1">
        <v>0.40518700000000002</v>
      </c>
      <c r="D157" s="1">
        <f>IF(B157&gt;C157,B157-C157,C157-B157)</f>
        <v>1.7719999999999958E-3</v>
      </c>
      <c r="E157">
        <f>MINUTE(D157)</f>
        <v>2</v>
      </c>
      <c r="F157">
        <f>SECOND(D157)</f>
        <v>33</v>
      </c>
      <c r="G157">
        <f>ROUND(E157+F157/60,2)</f>
        <v>2.5499999999999998</v>
      </c>
      <c r="H157">
        <f>60*E157+F157</f>
        <v>153</v>
      </c>
      <c r="I157" s="3">
        <f>5*(3600/H157)</f>
        <v>117.64705882352942</v>
      </c>
      <c r="J157" s="16">
        <f t="shared" si="2"/>
        <v>0</v>
      </c>
    </row>
    <row r="158" spans="1:10" x14ac:dyDescent="0.25">
      <c r="A158" s="4" t="s">
        <v>122</v>
      </c>
      <c r="B158" s="1">
        <v>3.8954000000000003E-2</v>
      </c>
      <c r="C158" s="1">
        <v>4.0722000000000001E-2</v>
      </c>
      <c r="D158" s="1">
        <f>IF(B158&gt;C158,B158-C158,C158-B158)</f>
        <v>1.7679999999999987E-3</v>
      </c>
      <c r="E158">
        <f>MINUTE(D158)</f>
        <v>2</v>
      </c>
      <c r="F158">
        <f>SECOND(D158)</f>
        <v>33</v>
      </c>
      <c r="G158">
        <f>ROUND(E158+F158/60,2)</f>
        <v>2.5499999999999998</v>
      </c>
      <c r="H158">
        <f>60*E158+F158</f>
        <v>153</v>
      </c>
      <c r="I158" s="3">
        <f>5*(3600/H158)</f>
        <v>117.64705882352942</v>
      </c>
      <c r="J158" s="16">
        <f t="shared" si="2"/>
        <v>0</v>
      </c>
    </row>
    <row r="159" spans="1:10" x14ac:dyDescent="0.25">
      <c r="A159" s="4" t="s">
        <v>146</v>
      </c>
      <c r="B159" s="1">
        <v>0.61743499999999996</v>
      </c>
      <c r="C159" s="1">
        <v>0.61920299999999995</v>
      </c>
      <c r="D159" s="1">
        <f>IF(B159&gt;C159,B159-C159,C159-B159)</f>
        <v>1.7679999999999918E-3</v>
      </c>
      <c r="E159">
        <f>MINUTE(D159)</f>
        <v>2</v>
      </c>
      <c r="F159">
        <f>SECOND(D159)</f>
        <v>33</v>
      </c>
      <c r="G159">
        <f>ROUND(E159+F159/60,2)</f>
        <v>2.5499999999999998</v>
      </c>
      <c r="H159">
        <f>60*E159+F159</f>
        <v>153</v>
      </c>
      <c r="I159" s="3">
        <f>5*(3600/H159)</f>
        <v>117.64705882352942</v>
      </c>
      <c r="J159" s="16">
        <f t="shared" si="2"/>
        <v>0</v>
      </c>
    </row>
    <row r="160" spans="1:10" x14ac:dyDescent="0.25">
      <c r="A160" s="4" t="s">
        <v>12</v>
      </c>
      <c r="B160" s="1">
        <v>0.33185700000000001</v>
      </c>
      <c r="C160" s="1">
        <v>0.33362900000000001</v>
      </c>
      <c r="D160" s="1">
        <f>IF(B160&gt;C160,B160-C160,C160-B160)</f>
        <v>1.7719999999999958E-3</v>
      </c>
      <c r="E160">
        <f>MINUTE(D160)</f>
        <v>2</v>
      </c>
      <c r="F160">
        <f>SECOND(D160)</f>
        <v>33</v>
      </c>
      <c r="G160">
        <f>ROUND(E160+F160/60,2)</f>
        <v>2.5499999999999998</v>
      </c>
      <c r="H160">
        <f>60*E160+F160</f>
        <v>153</v>
      </c>
      <c r="I160" s="3">
        <f>5*(3600/H160)</f>
        <v>117.64705882352942</v>
      </c>
      <c r="J160" s="16">
        <f t="shared" si="2"/>
        <v>0</v>
      </c>
    </row>
    <row r="161" spans="1:10" x14ac:dyDescent="0.25">
      <c r="A161" s="4" t="s">
        <v>77</v>
      </c>
      <c r="B161" s="1">
        <v>0.86746599999999996</v>
      </c>
      <c r="C161" s="1">
        <v>0.86568199999999995</v>
      </c>
      <c r="D161" s="1">
        <f>IF(B161&gt;C161,B161-C161,C161-B161)</f>
        <v>1.7840000000000078E-3</v>
      </c>
      <c r="E161">
        <f>MINUTE(D161)</f>
        <v>2</v>
      </c>
      <c r="F161">
        <f>SECOND(D161)</f>
        <v>34</v>
      </c>
      <c r="G161">
        <f>ROUND(E161+F161/60,2)</f>
        <v>2.57</v>
      </c>
      <c r="H161">
        <f>60*E161+F161</f>
        <v>154</v>
      </c>
      <c r="I161" s="3">
        <f>5*(3600/H161)</f>
        <v>116.88311688311688</v>
      </c>
      <c r="J161" s="16">
        <f t="shared" si="2"/>
        <v>0</v>
      </c>
    </row>
    <row r="162" spans="1:10" x14ac:dyDescent="0.25">
      <c r="A162" s="4" t="s">
        <v>12</v>
      </c>
      <c r="B162" s="1">
        <v>0.43819900000000001</v>
      </c>
      <c r="C162" s="1">
        <v>0.43998700000000002</v>
      </c>
      <c r="D162" s="1">
        <f>IF(B162&gt;C162,B162-C162,C162-B162)</f>
        <v>1.7880000000000118E-3</v>
      </c>
      <c r="E162">
        <f>MINUTE(D162)</f>
        <v>2</v>
      </c>
      <c r="F162">
        <f>SECOND(D162)</f>
        <v>34</v>
      </c>
      <c r="G162">
        <f>ROUND(E162+F162/60,2)</f>
        <v>2.57</v>
      </c>
      <c r="H162">
        <f>60*E162+F162</f>
        <v>154</v>
      </c>
      <c r="I162" s="3">
        <f>5*(3600/H162)</f>
        <v>116.88311688311688</v>
      </c>
      <c r="J162" s="16">
        <f t="shared" si="2"/>
        <v>0</v>
      </c>
    </row>
    <row r="163" spans="1:10" x14ac:dyDescent="0.25">
      <c r="A163" s="4" t="s">
        <v>147</v>
      </c>
      <c r="B163" s="1">
        <v>0.42548399999999997</v>
      </c>
      <c r="C163" s="1">
        <v>0.42727199999999999</v>
      </c>
      <c r="D163" s="1">
        <f>IF(B163&gt;C163,B163-C163,C163-B163)</f>
        <v>1.7880000000000118E-3</v>
      </c>
      <c r="E163">
        <f>MINUTE(D163)</f>
        <v>2</v>
      </c>
      <c r="F163">
        <f>SECOND(D163)</f>
        <v>34</v>
      </c>
      <c r="G163">
        <f>ROUND(E163+F163/60,2)</f>
        <v>2.57</v>
      </c>
      <c r="H163">
        <f>60*E163+F163</f>
        <v>154</v>
      </c>
      <c r="I163" s="3">
        <f>5*(3600/H163)</f>
        <v>116.88311688311688</v>
      </c>
      <c r="J163" s="16">
        <f t="shared" si="2"/>
        <v>0</v>
      </c>
    </row>
    <row r="164" spans="1:10" x14ac:dyDescent="0.25">
      <c r="A164" s="4" t="s">
        <v>54</v>
      </c>
      <c r="B164" s="1">
        <v>0.83164899999999997</v>
      </c>
      <c r="C164" s="1">
        <v>0.82985699999999996</v>
      </c>
      <c r="D164" s="1">
        <f>IF(B164&gt;C164,B164-C164,C164-B164)</f>
        <v>1.7920000000000158E-3</v>
      </c>
      <c r="E164">
        <f>MINUTE(D164)</f>
        <v>2</v>
      </c>
      <c r="F164">
        <f>SECOND(D164)</f>
        <v>35</v>
      </c>
      <c r="G164">
        <f>ROUND(E164+F164/60,2)</f>
        <v>2.58</v>
      </c>
      <c r="H164">
        <f>60*E164+F164</f>
        <v>155</v>
      </c>
      <c r="I164" s="3">
        <f>5*(3600/H164)</f>
        <v>116.12903225806451</v>
      </c>
      <c r="J164" s="16">
        <f t="shared" si="2"/>
        <v>0</v>
      </c>
    </row>
    <row r="165" spans="1:10" x14ac:dyDescent="0.25">
      <c r="A165" s="4" t="s">
        <v>59</v>
      </c>
      <c r="B165" s="1">
        <v>0.91732499999999995</v>
      </c>
      <c r="C165" s="1">
        <v>0.91552900000000004</v>
      </c>
      <c r="D165" s="1">
        <f>IF(B165&gt;C165,B165-C165,C165-B165)</f>
        <v>1.7959999999999088E-3</v>
      </c>
      <c r="E165">
        <f>MINUTE(D165)</f>
        <v>2</v>
      </c>
      <c r="F165">
        <f>SECOND(D165)</f>
        <v>35</v>
      </c>
      <c r="G165">
        <f>ROUND(E165+F165/60,2)</f>
        <v>2.58</v>
      </c>
      <c r="H165">
        <f>60*E165+F165</f>
        <v>155</v>
      </c>
      <c r="I165" s="3">
        <f>5*(3600/H165)</f>
        <v>116.12903225806451</v>
      </c>
      <c r="J165" s="16">
        <f t="shared" si="2"/>
        <v>0</v>
      </c>
    </row>
    <row r="166" spans="1:10" x14ac:dyDescent="0.25">
      <c r="A166" s="4" t="s">
        <v>310</v>
      </c>
      <c r="B166" s="1">
        <v>0.870444</v>
      </c>
      <c r="C166" s="1">
        <v>0.86865199999999998</v>
      </c>
      <c r="D166" s="1">
        <f>IF(B166&gt;C166,B166-C166,C166-B166)</f>
        <v>1.7920000000000158E-3</v>
      </c>
      <c r="E166">
        <f>MINUTE(D166)</f>
        <v>2</v>
      </c>
      <c r="F166">
        <f>SECOND(D166)</f>
        <v>35</v>
      </c>
      <c r="G166">
        <f>ROUND(E166+F166/60,2)</f>
        <v>2.58</v>
      </c>
      <c r="H166">
        <f>60*E166+F166</f>
        <v>155</v>
      </c>
      <c r="I166" s="3">
        <f>5*(3600/H166)</f>
        <v>116.12903225806451</v>
      </c>
      <c r="J166" s="16">
        <f t="shared" si="2"/>
        <v>0</v>
      </c>
    </row>
    <row r="167" spans="1:10" x14ac:dyDescent="0.25">
      <c r="A167" s="4" t="s">
        <v>112</v>
      </c>
      <c r="B167" s="1">
        <v>0.45399299999999998</v>
      </c>
      <c r="C167" s="1">
        <v>0.452185</v>
      </c>
      <c r="D167" s="1">
        <f>IF(B167&gt;C167,B167-C167,C167-B167)</f>
        <v>1.8079999999999763E-3</v>
      </c>
      <c r="E167">
        <f>MINUTE(D167)</f>
        <v>2</v>
      </c>
      <c r="F167">
        <f>SECOND(D167)</f>
        <v>36</v>
      </c>
      <c r="G167">
        <f>ROUND(E167+F167/60,2)</f>
        <v>2.6</v>
      </c>
      <c r="H167">
        <f>60*E167+F167</f>
        <v>156</v>
      </c>
      <c r="I167" s="3">
        <f>5*(3600/H167)</f>
        <v>115.38461538461539</v>
      </c>
      <c r="J167" s="16">
        <f t="shared" si="2"/>
        <v>0</v>
      </c>
    </row>
    <row r="168" spans="1:10" x14ac:dyDescent="0.25">
      <c r="A168" s="4" t="s">
        <v>131</v>
      </c>
      <c r="B168" s="1">
        <v>0.64960200000000001</v>
      </c>
      <c r="C168" s="1">
        <v>0.65140200000000004</v>
      </c>
      <c r="D168" s="1">
        <f>IF(B168&gt;C168,B168-C168,C168-B168)</f>
        <v>1.8000000000000238E-3</v>
      </c>
      <c r="E168">
        <f>MINUTE(D168)</f>
        <v>2</v>
      </c>
      <c r="F168">
        <f>SECOND(D168)</f>
        <v>36</v>
      </c>
      <c r="G168">
        <f>ROUND(E168+F168/60,2)</f>
        <v>2.6</v>
      </c>
      <c r="H168">
        <f>60*E168+F168</f>
        <v>156</v>
      </c>
      <c r="I168" s="3">
        <f>5*(3600/H168)</f>
        <v>115.38461538461539</v>
      </c>
      <c r="J168" s="16">
        <f t="shared" si="2"/>
        <v>0</v>
      </c>
    </row>
    <row r="169" spans="1:10" x14ac:dyDescent="0.25">
      <c r="A169" s="4" t="s">
        <v>78</v>
      </c>
      <c r="B169" s="1">
        <v>0.84384199999999998</v>
      </c>
      <c r="C169" s="1">
        <v>0.845642</v>
      </c>
      <c r="D169" s="1">
        <f>IF(B169&gt;C169,B169-C169,C169-B169)</f>
        <v>1.8000000000000238E-3</v>
      </c>
      <c r="E169">
        <f>MINUTE(D169)</f>
        <v>2</v>
      </c>
      <c r="F169">
        <f>SECOND(D169)</f>
        <v>36</v>
      </c>
      <c r="G169">
        <f>ROUND(E169+F169/60,2)</f>
        <v>2.6</v>
      </c>
      <c r="H169">
        <f>60*E169+F169</f>
        <v>156</v>
      </c>
      <c r="I169" s="3">
        <f>5*(3600/H169)</f>
        <v>115.38461538461539</v>
      </c>
      <c r="J169" s="16">
        <f t="shared" si="2"/>
        <v>0</v>
      </c>
    </row>
    <row r="170" spans="1:10" x14ac:dyDescent="0.25">
      <c r="A170" s="4" t="s">
        <v>47</v>
      </c>
      <c r="B170" s="1">
        <v>0.203124</v>
      </c>
      <c r="C170" s="1">
        <v>0.204928</v>
      </c>
      <c r="D170" s="1">
        <f>IF(B170&gt;C170,B170-C170,C170-B170)</f>
        <v>1.804E-3</v>
      </c>
      <c r="E170">
        <f>MINUTE(D170)</f>
        <v>2</v>
      </c>
      <c r="F170">
        <f>SECOND(D170)</f>
        <v>36</v>
      </c>
      <c r="G170">
        <f>ROUND(E170+F170/60,2)</f>
        <v>2.6</v>
      </c>
      <c r="H170">
        <f>60*E170+F170</f>
        <v>156</v>
      </c>
      <c r="I170" s="3">
        <f>5*(3600/H170)</f>
        <v>115.38461538461539</v>
      </c>
      <c r="J170" s="16">
        <f t="shared" si="2"/>
        <v>0</v>
      </c>
    </row>
    <row r="171" spans="1:10" x14ac:dyDescent="0.25">
      <c r="A171" s="4" t="s">
        <v>97</v>
      </c>
      <c r="B171" s="1">
        <v>0.79618299999999997</v>
      </c>
      <c r="C171" s="1">
        <v>0.79799500000000001</v>
      </c>
      <c r="D171" s="1">
        <f>IF(B171&gt;C171,B171-C171,C171-B171)</f>
        <v>1.8120000000000358E-3</v>
      </c>
      <c r="E171">
        <f>MINUTE(D171)</f>
        <v>2</v>
      </c>
      <c r="F171">
        <f>SECOND(D171)</f>
        <v>37</v>
      </c>
      <c r="G171">
        <f>ROUND(E171+F171/60,2)</f>
        <v>2.62</v>
      </c>
      <c r="H171">
        <f>60*E171+F171</f>
        <v>157</v>
      </c>
      <c r="I171" s="3">
        <f>5*(3600/H171)</f>
        <v>114.64968152866241</v>
      </c>
      <c r="J171" s="16">
        <f t="shared" si="2"/>
        <v>0</v>
      </c>
    </row>
    <row r="172" spans="1:10" x14ac:dyDescent="0.25">
      <c r="A172" s="4" t="s">
        <v>75</v>
      </c>
      <c r="B172" s="1">
        <v>0.80092399999999997</v>
      </c>
      <c r="C172" s="1">
        <v>0.79910400000000004</v>
      </c>
      <c r="D172" s="1">
        <f>IF(B172&gt;C172,B172-C172,C172-B172)</f>
        <v>1.8199999999999328E-3</v>
      </c>
      <c r="E172">
        <f>MINUTE(D172)</f>
        <v>2</v>
      </c>
      <c r="F172">
        <f>SECOND(D172)</f>
        <v>37</v>
      </c>
      <c r="G172">
        <f>ROUND(E172+F172/60,2)</f>
        <v>2.62</v>
      </c>
      <c r="H172">
        <f>60*E172+F172</f>
        <v>157</v>
      </c>
      <c r="I172" s="3">
        <f>5*(3600/H172)</f>
        <v>114.64968152866241</v>
      </c>
      <c r="J172" s="16">
        <f t="shared" si="2"/>
        <v>0</v>
      </c>
    </row>
    <row r="173" spans="1:10" x14ac:dyDescent="0.25">
      <c r="A173" s="4" t="s">
        <v>12</v>
      </c>
      <c r="B173" s="1">
        <v>0.67800800000000006</v>
      </c>
      <c r="C173" s="1">
        <v>0.67982399999999998</v>
      </c>
      <c r="D173" s="1">
        <f>IF(B173&gt;C173,B173-C173,C173-B173)</f>
        <v>1.8159999999999288E-3</v>
      </c>
      <c r="E173">
        <f>MINUTE(D173)</f>
        <v>2</v>
      </c>
      <c r="F173">
        <f>SECOND(D173)</f>
        <v>37</v>
      </c>
      <c r="G173">
        <f>ROUND(E173+F173/60,2)</f>
        <v>2.62</v>
      </c>
      <c r="H173">
        <f>60*E173+F173</f>
        <v>157</v>
      </c>
      <c r="I173" s="3">
        <f>5*(3600/H173)</f>
        <v>114.64968152866241</v>
      </c>
      <c r="J173" s="16">
        <f t="shared" si="2"/>
        <v>0</v>
      </c>
    </row>
    <row r="174" spans="1:10" x14ac:dyDescent="0.25">
      <c r="A174" s="4" t="s">
        <v>318</v>
      </c>
      <c r="B174" s="1">
        <v>0.62203600000000003</v>
      </c>
      <c r="C174" s="1">
        <v>0.620224</v>
      </c>
      <c r="D174" s="1">
        <f>IF(B174&gt;C174,B174-C174,C174-B174)</f>
        <v>1.8120000000000358E-3</v>
      </c>
      <c r="E174">
        <f>MINUTE(D174)</f>
        <v>2</v>
      </c>
      <c r="F174">
        <f>SECOND(D174)</f>
        <v>37</v>
      </c>
      <c r="G174">
        <f>ROUND(E174+F174/60,2)</f>
        <v>2.62</v>
      </c>
      <c r="H174">
        <f>60*E174+F174</f>
        <v>157</v>
      </c>
      <c r="I174" s="3">
        <f>5*(3600/H174)</f>
        <v>114.64968152866241</v>
      </c>
      <c r="J174" s="16">
        <f t="shared" si="2"/>
        <v>0</v>
      </c>
    </row>
    <row r="175" spans="1:10" x14ac:dyDescent="0.25">
      <c r="A175" s="4" t="s">
        <v>21</v>
      </c>
      <c r="B175" s="1">
        <v>0.58114299999999997</v>
      </c>
      <c r="C175" s="1">
        <v>0.58296700000000001</v>
      </c>
      <c r="D175" s="1">
        <f>IF(B175&gt;C175,B175-C175,C175-B175)</f>
        <v>1.8240000000000478E-3</v>
      </c>
      <c r="E175">
        <f>MINUTE(D175)</f>
        <v>2</v>
      </c>
      <c r="F175">
        <f>SECOND(D175)</f>
        <v>38</v>
      </c>
      <c r="G175">
        <f>ROUND(E175+F175/60,2)</f>
        <v>2.63</v>
      </c>
      <c r="H175">
        <f>60*E175+F175</f>
        <v>158</v>
      </c>
      <c r="I175" s="3">
        <f>5*(3600/H175)</f>
        <v>113.92405063291139</v>
      </c>
      <c r="J175" s="16">
        <f t="shared" si="2"/>
        <v>0</v>
      </c>
    </row>
    <row r="176" spans="1:10" x14ac:dyDescent="0.25">
      <c r="A176" s="4" t="s">
        <v>159</v>
      </c>
      <c r="B176" s="1">
        <v>0.515621</v>
      </c>
      <c r="C176" s="1">
        <v>0.51379300000000006</v>
      </c>
      <c r="D176" s="1">
        <f>IF(B176&gt;C176,B176-C176,C176-B176)</f>
        <v>1.8279999999999408E-3</v>
      </c>
      <c r="E176">
        <f>MINUTE(D176)</f>
        <v>2</v>
      </c>
      <c r="F176">
        <f>SECOND(D176)</f>
        <v>38</v>
      </c>
      <c r="G176">
        <f>ROUND(E176+F176/60,2)</f>
        <v>2.63</v>
      </c>
      <c r="H176">
        <f>60*E176+F176</f>
        <v>158</v>
      </c>
      <c r="I176" s="3">
        <f>5*(3600/H176)</f>
        <v>113.92405063291139</v>
      </c>
      <c r="J176" s="16">
        <f t="shared" si="2"/>
        <v>0</v>
      </c>
    </row>
    <row r="177" spans="1:10" x14ac:dyDescent="0.25">
      <c r="A177" s="4" t="s">
        <v>62</v>
      </c>
      <c r="B177" s="1">
        <v>0.61977899999999997</v>
      </c>
      <c r="C177" s="1">
        <v>0.62161100000000002</v>
      </c>
      <c r="D177" s="1">
        <f>IF(B177&gt;C177,B177-C177,C177-B177)</f>
        <v>1.8320000000000558E-3</v>
      </c>
      <c r="E177">
        <f>MINUTE(D177)</f>
        <v>2</v>
      </c>
      <c r="F177">
        <f>SECOND(D177)</f>
        <v>38</v>
      </c>
      <c r="G177">
        <f>ROUND(E177+F177/60,2)</f>
        <v>2.63</v>
      </c>
      <c r="H177">
        <f>60*E177+F177</f>
        <v>158</v>
      </c>
      <c r="I177" s="3">
        <f>5*(3600/H177)</f>
        <v>113.92405063291139</v>
      </c>
      <c r="J177" s="16">
        <f t="shared" si="2"/>
        <v>0</v>
      </c>
    </row>
    <row r="178" spans="1:10" x14ac:dyDescent="0.25">
      <c r="A178" s="4" t="s">
        <v>65</v>
      </c>
      <c r="B178" s="1">
        <v>0.51582700000000004</v>
      </c>
      <c r="C178" s="1">
        <v>0.51399899999999998</v>
      </c>
      <c r="D178" s="1">
        <f>IF(B178&gt;C178,B178-C178,C178-B178)</f>
        <v>1.8280000000000518E-3</v>
      </c>
      <c r="E178">
        <f>MINUTE(D178)</f>
        <v>2</v>
      </c>
      <c r="F178">
        <f>SECOND(D178)</f>
        <v>38</v>
      </c>
      <c r="G178">
        <f>ROUND(E178+F178/60,2)</f>
        <v>2.63</v>
      </c>
      <c r="H178">
        <f>60*E178+F178</f>
        <v>158</v>
      </c>
      <c r="I178" s="3">
        <f>5*(3600/H178)</f>
        <v>113.92405063291139</v>
      </c>
      <c r="J178" s="16">
        <f t="shared" si="2"/>
        <v>0</v>
      </c>
    </row>
    <row r="179" spans="1:10" x14ac:dyDescent="0.25">
      <c r="A179" s="4" t="s">
        <v>27</v>
      </c>
      <c r="B179" s="1">
        <v>0.16414500000000001</v>
      </c>
      <c r="C179" s="1">
        <v>0.16232099999999999</v>
      </c>
      <c r="D179" s="1">
        <f>IF(B179&gt;C179,B179-C179,C179-B179)</f>
        <v>1.82400000000002E-3</v>
      </c>
      <c r="E179">
        <f>MINUTE(D179)</f>
        <v>2</v>
      </c>
      <c r="F179">
        <f>SECOND(D179)</f>
        <v>38</v>
      </c>
      <c r="G179">
        <f>ROUND(E179+F179/60,2)</f>
        <v>2.63</v>
      </c>
      <c r="H179">
        <f>60*E179+F179</f>
        <v>158</v>
      </c>
      <c r="I179" s="3">
        <f>5*(3600/H179)</f>
        <v>113.92405063291139</v>
      </c>
      <c r="J179" s="16">
        <f t="shared" si="2"/>
        <v>0</v>
      </c>
    </row>
    <row r="180" spans="1:10" x14ac:dyDescent="0.25">
      <c r="A180" s="4" t="s">
        <v>242</v>
      </c>
      <c r="B180" s="1">
        <v>0.29494700000000001</v>
      </c>
      <c r="C180" s="1">
        <v>0.29311900000000002</v>
      </c>
      <c r="D180" s="1">
        <f>IF(B180&gt;C180,B180-C180,C180-B180)</f>
        <v>1.8279999999999963E-3</v>
      </c>
      <c r="E180">
        <f>MINUTE(D180)</f>
        <v>2</v>
      </c>
      <c r="F180">
        <f>SECOND(D180)</f>
        <v>38</v>
      </c>
      <c r="G180">
        <f>ROUND(E180+F180/60,2)</f>
        <v>2.63</v>
      </c>
      <c r="H180">
        <f>60*E180+F180</f>
        <v>158</v>
      </c>
      <c r="I180" s="3">
        <f>5*(3600/H180)</f>
        <v>113.92405063291139</v>
      </c>
      <c r="J180" s="16">
        <f t="shared" si="2"/>
        <v>0</v>
      </c>
    </row>
    <row r="181" spans="1:10" x14ac:dyDescent="0.25">
      <c r="A181" s="4" t="s">
        <v>302</v>
      </c>
      <c r="B181" s="1">
        <v>0.16837199999999999</v>
      </c>
      <c r="C181" s="1">
        <v>0.17019599999999999</v>
      </c>
      <c r="D181" s="1">
        <f>IF(B181&gt;C181,B181-C181,C181-B181)</f>
        <v>1.8239999999999923E-3</v>
      </c>
      <c r="E181">
        <f>MINUTE(D181)</f>
        <v>2</v>
      </c>
      <c r="F181">
        <f>SECOND(D181)</f>
        <v>38</v>
      </c>
      <c r="G181">
        <f>ROUND(E181+F181/60,2)</f>
        <v>2.63</v>
      </c>
      <c r="H181">
        <f>60*E181+F181</f>
        <v>158</v>
      </c>
      <c r="I181" s="3">
        <f>5*(3600/H181)</f>
        <v>113.92405063291139</v>
      </c>
      <c r="J181" s="16">
        <f t="shared" si="2"/>
        <v>0</v>
      </c>
    </row>
    <row r="182" spans="1:10" x14ac:dyDescent="0.25">
      <c r="A182" s="4" t="s">
        <v>129</v>
      </c>
      <c r="B182" s="1">
        <v>0.34697099999999997</v>
      </c>
      <c r="C182" s="1">
        <v>0.34513500000000003</v>
      </c>
      <c r="D182" s="1">
        <f>IF(B182&gt;C182,B182-C182,C182-B182)</f>
        <v>1.8359999999999488E-3</v>
      </c>
      <c r="E182">
        <f>MINUTE(D182)</f>
        <v>2</v>
      </c>
      <c r="F182">
        <f>SECOND(D182)</f>
        <v>39</v>
      </c>
      <c r="G182">
        <f>ROUND(E182+F182/60,2)</f>
        <v>2.65</v>
      </c>
      <c r="H182">
        <f>60*E182+F182</f>
        <v>159</v>
      </c>
      <c r="I182" s="3">
        <f>5*(3600/H182)</f>
        <v>113.20754716981131</v>
      </c>
      <c r="J182" s="16">
        <f t="shared" si="2"/>
        <v>0</v>
      </c>
    </row>
    <row r="183" spans="1:10" x14ac:dyDescent="0.25">
      <c r="A183" s="4" t="s">
        <v>117</v>
      </c>
      <c r="B183" s="1">
        <v>0.93513800000000002</v>
      </c>
      <c r="C183" s="1">
        <v>0.93698199999999998</v>
      </c>
      <c r="D183" s="1">
        <f>IF(B183&gt;C183,B183-C183,C183-B183)</f>
        <v>1.8439999999999568E-3</v>
      </c>
      <c r="E183">
        <f>MINUTE(D183)</f>
        <v>2</v>
      </c>
      <c r="F183">
        <f>SECOND(D183)</f>
        <v>39</v>
      </c>
      <c r="G183">
        <f>ROUND(E183+F183/60,2)</f>
        <v>2.65</v>
      </c>
      <c r="H183">
        <f>60*E183+F183</f>
        <v>159</v>
      </c>
      <c r="I183" s="3">
        <f>5*(3600/H183)</f>
        <v>113.20754716981131</v>
      </c>
      <c r="J183" s="16">
        <f t="shared" si="2"/>
        <v>0</v>
      </c>
    </row>
    <row r="184" spans="1:10" x14ac:dyDescent="0.25">
      <c r="A184" s="4" t="s">
        <v>304</v>
      </c>
      <c r="B184" s="1">
        <v>0.90426600000000001</v>
      </c>
      <c r="C184" s="1">
        <v>0.90610999999999997</v>
      </c>
      <c r="D184" s="1">
        <f>IF(B184&gt;C184,B184-C184,C184-B184)</f>
        <v>1.8439999999999568E-3</v>
      </c>
      <c r="E184">
        <f>MINUTE(D184)</f>
        <v>2</v>
      </c>
      <c r="F184">
        <f>SECOND(D184)</f>
        <v>39</v>
      </c>
      <c r="G184">
        <f>ROUND(E184+F184/60,2)</f>
        <v>2.65</v>
      </c>
      <c r="H184">
        <f>60*E184+F184</f>
        <v>159</v>
      </c>
      <c r="I184" s="3">
        <f>5*(3600/H184)</f>
        <v>113.20754716981131</v>
      </c>
      <c r="J184" s="16">
        <f t="shared" si="2"/>
        <v>0</v>
      </c>
    </row>
    <row r="185" spans="1:10" x14ac:dyDescent="0.25">
      <c r="A185" s="4" t="s">
        <v>385</v>
      </c>
      <c r="B185" s="1">
        <v>0.626494</v>
      </c>
      <c r="C185" s="1">
        <v>0.62833399999999995</v>
      </c>
      <c r="D185" s="1">
        <f>IF(B185&gt;C185,B185-C185,C185-B185)</f>
        <v>1.8399999999999528E-3</v>
      </c>
      <c r="E185">
        <f>MINUTE(D185)</f>
        <v>2</v>
      </c>
      <c r="F185">
        <f>SECOND(D185)</f>
        <v>39</v>
      </c>
      <c r="G185">
        <f>ROUND(E185+F185/60,2)</f>
        <v>2.65</v>
      </c>
      <c r="H185">
        <f>60*E185+F185</f>
        <v>159</v>
      </c>
      <c r="I185" s="3">
        <f>5*(3600/H185)</f>
        <v>113.20754716981131</v>
      </c>
      <c r="J185" s="16">
        <f t="shared" si="2"/>
        <v>0</v>
      </c>
    </row>
    <row r="186" spans="1:10" x14ac:dyDescent="0.25">
      <c r="A186" s="4" t="s">
        <v>12</v>
      </c>
      <c r="B186" s="1">
        <v>0.92180200000000001</v>
      </c>
      <c r="C186" s="1">
        <v>0.91994600000000004</v>
      </c>
      <c r="D186" s="1">
        <f>IF(B186&gt;C186,B186-C186,C186-B186)</f>
        <v>1.8559999999999688E-3</v>
      </c>
      <c r="E186">
        <f>MINUTE(D186)</f>
        <v>2</v>
      </c>
      <c r="F186">
        <f>SECOND(D186)</f>
        <v>40</v>
      </c>
      <c r="G186">
        <f>ROUND(E186+F186/60,2)</f>
        <v>2.67</v>
      </c>
      <c r="H186">
        <f>60*E186+F186</f>
        <v>160</v>
      </c>
      <c r="I186" s="3">
        <f>5*(3600/H186)</f>
        <v>112.5</v>
      </c>
      <c r="J186" s="16">
        <f t="shared" si="2"/>
        <v>0</v>
      </c>
    </row>
    <row r="187" spans="1:10" x14ac:dyDescent="0.25">
      <c r="A187" s="4" t="s">
        <v>5</v>
      </c>
      <c r="B187" s="1">
        <v>4.0059999999999998E-2</v>
      </c>
      <c r="C187" s="1">
        <v>3.8204000000000002E-2</v>
      </c>
      <c r="D187" s="1">
        <f>IF(B187&gt;C187,B187-C187,C187-B187)</f>
        <v>1.8559999999999965E-3</v>
      </c>
      <c r="E187">
        <f>MINUTE(D187)</f>
        <v>2</v>
      </c>
      <c r="F187">
        <f>SECOND(D187)</f>
        <v>40</v>
      </c>
      <c r="G187">
        <f>ROUND(E187+F187/60,2)</f>
        <v>2.67</v>
      </c>
      <c r="H187">
        <f>60*E187+F187</f>
        <v>160</v>
      </c>
      <c r="I187" s="3">
        <f>5*(3600/H187)</f>
        <v>112.5</v>
      </c>
      <c r="J187" s="16">
        <f t="shared" si="2"/>
        <v>0</v>
      </c>
    </row>
    <row r="188" spans="1:10" x14ac:dyDescent="0.25">
      <c r="A188" s="4" t="s">
        <v>79</v>
      </c>
      <c r="B188" s="1">
        <v>0.81873700000000005</v>
      </c>
      <c r="C188" s="1">
        <v>0.82059300000000002</v>
      </c>
      <c r="D188" s="1">
        <f>IF(B188&gt;C188,B188-C188,C188-B188)</f>
        <v>1.8559999999999688E-3</v>
      </c>
      <c r="E188">
        <f>MINUTE(D188)</f>
        <v>2</v>
      </c>
      <c r="F188">
        <f>SECOND(D188)</f>
        <v>40</v>
      </c>
      <c r="G188">
        <f>ROUND(E188+F188/60,2)</f>
        <v>2.67</v>
      </c>
      <c r="H188">
        <f>60*E188+F188</f>
        <v>160</v>
      </c>
      <c r="I188" s="3">
        <f>5*(3600/H188)</f>
        <v>112.5</v>
      </c>
      <c r="J188" s="16">
        <f t="shared" si="2"/>
        <v>0</v>
      </c>
    </row>
    <row r="189" spans="1:10" x14ac:dyDescent="0.25">
      <c r="A189" s="4" t="s">
        <v>109</v>
      </c>
      <c r="B189" s="1">
        <v>0.58387299999999998</v>
      </c>
      <c r="C189" s="1">
        <v>0.58202500000000001</v>
      </c>
      <c r="D189" s="1">
        <f>IF(B189&gt;C189,B189-C189,C189-B189)</f>
        <v>1.8479999999999608E-3</v>
      </c>
      <c r="E189">
        <f>MINUTE(D189)</f>
        <v>2</v>
      </c>
      <c r="F189">
        <f>SECOND(D189)</f>
        <v>40</v>
      </c>
      <c r="G189">
        <f>ROUND(E189+F189/60,2)</f>
        <v>2.67</v>
      </c>
      <c r="H189">
        <f>60*E189+F189</f>
        <v>160</v>
      </c>
      <c r="I189" s="3">
        <f>5*(3600/H189)</f>
        <v>112.5</v>
      </c>
      <c r="J189" s="16">
        <f t="shared" si="2"/>
        <v>0</v>
      </c>
    </row>
    <row r="190" spans="1:10" x14ac:dyDescent="0.25">
      <c r="A190" s="4" t="s">
        <v>162</v>
      </c>
      <c r="B190" s="1">
        <v>1.2021E-2</v>
      </c>
      <c r="C190" s="1">
        <v>1.3877E-2</v>
      </c>
      <c r="D190" s="1">
        <f>IF(B190&gt;C190,B190-C190,C190-B190)</f>
        <v>1.856E-3</v>
      </c>
      <c r="E190">
        <f>MINUTE(D190)</f>
        <v>2</v>
      </c>
      <c r="F190">
        <f>SECOND(D190)</f>
        <v>40</v>
      </c>
      <c r="G190">
        <f>ROUND(E190+F190/60,2)</f>
        <v>2.67</v>
      </c>
      <c r="H190">
        <f>60*E190+F190</f>
        <v>160</v>
      </c>
      <c r="I190" s="3">
        <f>5*(3600/H190)</f>
        <v>112.5</v>
      </c>
      <c r="J190" s="16">
        <f t="shared" si="2"/>
        <v>0</v>
      </c>
    </row>
    <row r="191" spans="1:10" x14ac:dyDescent="0.25">
      <c r="A191" s="4" t="s">
        <v>208</v>
      </c>
      <c r="B191" s="1">
        <v>0.81711299999999998</v>
      </c>
      <c r="C191" s="1">
        <v>0.81896500000000005</v>
      </c>
      <c r="D191" s="1">
        <f>IF(B191&gt;C191,B191-C191,C191-B191)</f>
        <v>1.8520000000000758E-3</v>
      </c>
      <c r="E191">
        <f>MINUTE(D191)</f>
        <v>2</v>
      </c>
      <c r="F191">
        <f>SECOND(D191)</f>
        <v>40</v>
      </c>
      <c r="G191">
        <f>ROUND(E191+F191/60,2)</f>
        <v>2.67</v>
      </c>
      <c r="H191">
        <f>60*E191+F191</f>
        <v>160</v>
      </c>
      <c r="I191" s="3">
        <f>5*(3600/H191)</f>
        <v>112.5</v>
      </c>
      <c r="J191" s="16">
        <f t="shared" si="2"/>
        <v>0</v>
      </c>
    </row>
    <row r="192" spans="1:10" x14ac:dyDescent="0.25">
      <c r="A192" s="4" t="s">
        <v>317</v>
      </c>
      <c r="B192" s="1">
        <v>0.144228</v>
      </c>
      <c r="C192" s="1">
        <v>0.142376</v>
      </c>
      <c r="D192" s="1">
        <f>IF(B192&gt;C192,B192-C192,C192-B192)</f>
        <v>1.8519999999999925E-3</v>
      </c>
      <c r="E192">
        <f>MINUTE(D192)</f>
        <v>2</v>
      </c>
      <c r="F192">
        <f>SECOND(D192)</f>
        <v>40</v>
      </c>
      <c r="G192">
        <f>ROUND(E192+F192/60,2)</f>
        <v>2.67</v>
      </c>
      <c r="H192">
        <f>60*E192+F192</f>
        <v>160</v>
      </c>
      <c r="I192" s="3">
        <f>5*(3600/H192)</f>
        <v>112.5</v>
      </c>
      <c r="J192" s="16">
        <f t="shared" si="2"/>
        <v>0</v>
      </c>
    </row>
    <row r="193" spans="1:10" x14ac:dyDescent="0.25">
      <c r="A193" s="4" t="s">
        <v>64</v>
      </c>
      <c r="B193" s="1">
        <v>0.21684999999999999</v>
      </c>
      <c r="C193" s="1">
        <v>0.21870999999999999</v>
      </c>
      <c r="D193" s="1">
        <f>IF(B193&gt;C193,B193-C193,C193-B193)</f>
        <v>1.8600000000000005E-3</v>
      </c>
      <c r="E193">
        <f>MINUTE(D193)</f>
        <v>2</v>
      </c>
      <c r="F193">
        <f>SECOND(D193)</f>
        <v>41</v>
      </c>
      <c r="G193">
        <f>ROUND(E193+F193/60,2)</f>
        <v>2.68</v>
      </c>
      <c r="H193">
        <f>60*E193+F193</f>
        <v>161</v>
      </c>
      <c r="I193" s="3">
        <f>5*(3600/H193)</f>
        <v>111.80124223602485</v>
      </c>
      <c r="J193" s="16">
        <f t="shared" si="2"/>
        <v>0</v>
      </c>
    </row>
    <row r="194" spans="1:10" x14ac:dyDescent="0.25">
      <c r="A194" s="4" t="s">
        <v>156</v>
      </c>
      <c r="B194" s="1">
        <v>0.93236399999999997</v>
      </c>
      <c r="C194" s="1">
        <v>0.93049999999999999</v>
      </c>
      <c r="D194" s="1">
        <f>IF(B194&gt;C194,B194-C194,C194-B194)</f>
        <v>1.8639999999999768E-3</v>
      </c>
      <c r="E194">
        <f>MINUTE(D194)</f>
        <v>2</v>
      </c>
      <c r="F194">
        <f>SECOND(D194)</f>
        <v>41</v>
      </c>
      <c r="G194">
        <f>ROUND(E194+F194/60,2)</f>
        <v>2.68</v>
      </c>
      <c r="H194">
        <f>60*E194+F194</f>
        <v>161</v>
      </c>
      <c r="I194" s="3">
        <f>5*(3600/H194)</f>
        <v>111.80124223602485</v>
      </c>
      <c r="J194" s="16">
        <f t="shared" si="2"/>
        <v>0</v>
      </c>
    </row>
    <row r="195" spans="1:10" x14ac:dyDescent="0.25">
      <c r="A195" s="4" t="s">
        <v>83</v>
      </c>
      <c r="B195" s="1">
        <v>0.83486300000000002</v>
      </c>
      <c r="C195" s="1">
        <v>0.83299500000000004</v>
      </c>
      <c r="D195" s="1">
        <f>IF(B195&gt;C195,B195-C195,C195-B195)</f>
        <v>1.8679999999999808E-3</v>
      </c>
      <c r="E195">
        <f>MINUTE(D195)</f>
        <v>2</v>
      </c>
      <c r="F195">
        <f>SECOND(D195)</f>
        <v>41</v>
      </c>
      <c r="G195">
        <f>ROUND(E195+F195/60,2)</f>
        <v>2.68</v>
      </c>
      <c r="H195">
        <f>60*E195+F195</f>
        <v>161</v>
      </c>
      <c r="I195" s="3">
        <f>5*(3600/H195)</f>
        <v>111.80124223602485</v>
      </c>
      <c r="J195" s="16">
        <f t="shared" ref="J195:J258" si="3">IF(I195&gt;140,1,0)</f>
        <v>0</v>
      </c>
    </row>
    <row r="196" spans="1:10" x14ac:dyDescent="0.25">
      <c r="A196" s="4" t="s">
        <v>87</v>
      </c>
      <c r="B196" s="1">
        <v>0.61230499999999999</v>
      </c>
      <c r="C196" s="1">
        <v>0.61417299999999997</v>
      </c>
      <c r="D196" s="1">
        <f>IF(B196&gt;C196,B196-C196,C196-B196)</f>
        <v>1.8679999999999808E-3</v>
      </c>
      <c r="E196">
        <f>MINUTE(D196)</f>
        <v>2</v>
      </c>
      <c r="F196">
        <f>SECOND(D196)</f>
        <v>41</v>
      </c>
      <c r="G196">
        <f>ROUND(E196+F196/60,2)</f>
        <v>2.68</v>
      </c>
      <c r="H196">
        <f>60*E196+F196</f>
        <v>161</v>
      </c>
      <c r="I196" s="3">
        <f>5*(3600/H196)</f>
        <v>111.80124223602485</v>
      </c>
      <c r="J196" s="16">
        <f t="shared" si="3"/>
        <v>0</v>
      </c>
    </row>
    <row r="197" spans="1:10" x14ac:dyDescent="0.25">
      <c r="A197" s="4" t="s">
        <v>192</v>
      </c>
      <c r="B197" s="1">
        <v>0.23611099999999999</v>
      </c>
      <c r="C197" s="1">
        <v>0.23797099999999999</v>
      </c>
      <c r="D197" s="1">
        <f>IF(B197&gt;C197,B197-C197,C197-B197)</f>
        <v>1.8600000000000005E-3</v>
      </c>
      <c r="E197">
        <f>MINUTE(D197)</f>
        <v>2</v>
      </c>
      <c r="F197">
        <f>SECOND(D197)</f>
        <v>41</v>
      </c>
      <c r="G197">
        <f>ROUND(E197+F197/60,2)</f>
        <v>2.68</v>
      </c>
      <c r="H197">
        <f>60*E197+F197</f>
        <v>161</v>
      </c>
      <c r="I197" s="3">
        <f>5*(3600/H197)</f>
        <v>111.80124223602485</v>
      </c>
      <c r="J197" s="16">
        <f t="shared" si="3"/>
        <v>0</v>
      </c>
    </row>
    <row r="198" spans="1:10" x14ac:dyDescent="0.25">
      <c r="A198" s="4" t="s">
        <v>271</v>
      </c>
      <c r="B198" s="1">
        <v>0.906107</v>
      </c>
      <c r="C198" s="1">
        <v>0.90796699999999997</v>
      </c>
      <c r="D198" s="1">
        <f>IF(B198&gt;C198,B198-C198,C198-B198)</f>
        <v>1.8599999999999728E-3</v>
      </c>
      <c r="E198">
        <f>MINUTE(D198)</f>
        <v>2</v>
      </c>
      <c r="F198">
        <f>SECOND(D198)</f>
        <v>41</v>
      </c>
      <c r="G198">
        <f>ROUND(E198+F198/60,2)</f>
        <v>2.68</v>
      </c>
      <c r="H198">
        <f>60*E198+F198</f>
        <v>161</v>
      </c>
      <c r="I198" s="3">
        <f>5*(3600/H198)</f>
        <v>111.80124223602485</v>
      </c>
      <c r="J198" s="16">
        <f t="shared" si="3"/>
        <v>0</v>
      </c>
    </row>
    <row r="199" spans="1:10" x14ac:dyDescent="0.25">
      <c r="A199" s="4" t="s">
        <v>314</v>
      </c>
      <c r="B199" s="1">
        <v>0.62873999999999997</v>
      </c>
      <c r="C199" s="1">
        <v>0.63060400000000005</v>
      </c>
      <c r="D199" s="1">
        <f>IF(B199&gt;C199,B199-C199,C199-B199)</f>
        <v>1.8640000000000878E-3</v>
      </c>
      <c r="E199">
        <f>MINUTE(D199)</f>
        <v>2</v>
      </c>
      <c r="F199">
        <f>SECOND(D199)</f>
        <v>41</v>
      </c>
      <c r="G199">
        <f>ROUND(E199+F199/60,2)</f>
        <v>2.68</v>
      </c>
      <c r="H199">
        <f>60*E199+F199</f>
        <v>161</v>
      </c>
      <c r="I199" s="3">
        <f>5*(3600/H199)</f>
        <v>111.80124223602485</v>
      </c>
      <c r="J199" s="16">
        <f t="shared" si="3"/>
        <v>0</v>
      </c>
    </row>
    <row r="200" spans="1:10" x14ac:dyDescent="0.25">
      <c r="A200" s="4" t="s">
        <v>394</v>
      </c>
      <c r="B200" s="1">
        <v>0.78683000000000003</v>
      </c>
      <c r="C200" s="1">
        <v>0.78496600000000005</v>
      </c>
      <c r="D200" s="1">
        <f>IF(B200&gt;C200,B200-C200,C200-B200)</f>
        <v>1.8639999999999768E-3</v>
      </c>
      <c r="E200">
        <f>MINUTE(D200)</f>
        <v>2</v>
      </c>
      <c r="F200">
        <f>SECOND(D200)</f>
        <v>41</v>
      </c>
      <c r="G200">
        <f>ROUND(E200+F200/60,2)</f>
        <v>2.68</v>
      </c>
      <c r="H200">
        <f>60*E200+F200</f>
        <v>161</v>
      </c>
      <c r="I200" s="3">
        <f>5*(3600/H200)</f>
        <v>111.80124223602485</v>
      </c>
      <c r="J200" s="16">
        <f t="shared" si="3"/>
        <v>0</v>
      </c>
    </row>
    <row r="201" spans="1:10" x14ac:dyDescent="0.25">
      <c r="A201" s="4" t="s">
        <v>62</v>
      </c>
      <c r="B201" s="1">
        <v>0.703264</v>
      </c>
      <c r="C201" s="1">
        <v>0.70138800000000001</v>
      </c>
      <c r="D201" s="1">
        <f>IF(B201&gt;C201,B201-C201,C201-B201)</f>
        <v>1.8759999999999888E-3</v>
      </c>
      <c r="E201">
        <f>MINUTE(D201)</f>
        <v>2</v>
      </c>
      <c r="F201">
        <f>SECOND(D201)</f>
        <v>42</v>
      </c>
      <c r="G201">
        <f>ROUND(E201+F201/60,2)</f>
        <v>2.7</v>
      </c>
      <c r="H201">
        <f>60*E201+F201</f>
        <v>162</v>
      </c>
      <c r="I201" s="3">
        <f>5*(3600/H201)</f>
        <v>111.11111111111111</v>
      </c>
      <c r="J201" s="16">
        <f t="shared" si="3"/>
        <v>0</v>
      </c>
    </row>
    <row r="202" spans="1:10" x14ac:dyDescent="0.25">
      <c r="A202" s="4" t="s">
        <v>5</v>
      </c>
      <c r="B202" s="1">
        <v>0.40955399999999997</v>
      </c>
      <c r="C202" s="1">
        <v>0.41143000000000002</v>
      </c>
      <c r="D202" s="1">
        <f>IF(B202&gt;C202,B202-C202,C202-B202)</f>
        <v>1.8760000000000443E-3</v>
      </c>
      <c r="E202">
        <f>MINUTE(D202)</f>
        <v>2</v>
      </c>
      <c r="F202">
        <f>SECOND(D202)</f>
        <v>42</v>
      </c>
      <c r="G202">
        <f>ROUND(E202+F202/60,2)</f>
        <v>2.7</v>
      </c>
      <c r="H202">
        <f>60*E202+F202</f>
        <v>162</v>
      </c>
      <c r="I202" s="3">
        <f>5*(3600/H202)</f>
        <v>111.11111111111111</v>
      </c>
      <c r="J202" s="16">
        <f t="shared" si="3"/>
        <v>0</v>
      </c>
    </row>
    <row r="203" spans="1:10" x14ac:dyDescent="0.25">
      <c r="A203" s="4" t="s">
        <v>5</v>
      </c>
      <c r="B203" s="1">
        <v>0.89798900000000004</v>
      </c>
      <c r="C203" s="1">
        <v>0.89986100000000002</v>
      </c>
      <c r="D203" s="1">
        <f>IF(B203&gt;C203,B203-C203,C203-B203)</f>
        <v>1.8719999999999848E-3</v>
      </c>
      <c r="E203">
        <f>MINUTE(D203)</f>
        <v>2</v>
      </c>
      <c r="F203">
        <f>SECOND(D203)</f>
        <v>42</v>
      </c>
      <c r="G203">
        <f>ROUND(E203+F203/60,2)</f>
        <v>2.7</v>
      </c>
      <c r="H203">
        <f>60*E203+F203</f>
        <v>162</v>
      </c>
      <c r="I203" s="3">
        <f>5*(3600/H203)</f>
        <v>111.11111111111111</v>
      </c>
      <c r="J203" s="16">
        <f t="shared" si="3"/>
        <v>0</v>
      </c>
    </row>
    <row r="204" spans="1:10" x14ac:dyDescent="0.25">
      <c r="A204" s="4" t="s">
        <v>47</v>
      </c>
      <c r="B204" s="1">
        <v>0.38585999999999998</v>
      </c>
      <c r="C204" s="1">
        <v>0.38773999999999997</v>
      </c>
      <c r="D204" s="1">
        <f>IF(B204&gt;C204,B204-C204,C204-B204)</f>
        <v>1.8799999999999928E-3</v>
      </c>
      <c r="E204">
        <f>MINUTE(D204)</f>
        <v>2</v>
      </c>
      <c r="F204">
        <f>SECOND(D204)</f>
        <v>42</v>
      </c>
      <c r="G204">
        <f>ROUND(E204+F204/60,2)</f>
        <v>2.7</v>
      </c>
      <c r="H204">
        <f>60*E204+F204</f>
        <v>162</v>
      </c>
      <c r="I204" s="3">
        <f>5*(3600/H204)</f>
        <v>111.11111111111111</v>
      </c>
      <c r="J204" s="16">
        <f t="shared" si="3"/>
        <v>0</v>
      </c>
    </row>
    <row r="205" spans="1:10" x14ac:dyDescent="0.25">
      <c r="A205" s="4" t="s">
        <v>47</v>
      </c>
      <c r="B205" s="1">
        <v>0.39534399999999997</v>
      </c>
      <c r="C205" s="1">
        <v>0.39347199999999999</v>
      </c>
      <c r="D205" s="1">
        <f>IF(B205&gt;C205,B205-C205,C205-B205)</f>
        <v>1.8719999999999848E-3</v>
      </c>
      <c r="E205">
        <f>MINUTE(D205)</f>
        <v>2</v>
      </c>
      <c r="F205">
        <f>SECOND(D205)</f>
        <v>42</v>
      </c>
      <c r="G205">
        <f>ROUND(E205+F205/60,2)</f>
        <v>2.7</v>
      </c>
      <c r="H205">
        <f>60*E205+F205</f>
        <v>162</v>
      </c>
      <c r="I205" s="3">
        <f>5*(3600/H205)</f>
        <v>111.11111111111111</v>
      </c>
      <c r="J205" s="16">
        <f t="shared" si="3"/>
        <v>0</v>
      </c>
    </row>
    <row r="206" spans="1:10" x14ac:dyDescent="0.25">
      <c r="A206" s="4" t="s">
        <v>61</v>
      </c>
      <c r="B206" s="1">
        <v>0.25781799999999999</v>
      </c>
      <c r="C206" s="1">
        <v>0.25594600000000001</v>
      </c>
      <c r="D206" s="1">
        <f>IF(B206&gt;C206,B206-C206,C206-B206)</f>
        <v>1.8719999999999848E-3</v>
      </c>
      <c r="E206">
        <f>MINUTE(D206)</f>
        <v>2</v>
      </c>
      <c r="F206">
        <f>SECOND(D206)</f>
        <v>42</v>
      </c>
      <c r="G206">
        <f>ROUND(E206+F206/60,2)</f>
        <v>2.7</v>
      </c>
      <c r="H206">
        <f>60*E206+F206</f>
        <v>162</v>
      </c>
      <c r="I206" s="3">
        <f>5*(3600/H206)</f>
        <v>111.11111111111111</v>
      </c>
      <c r="J206" s="16">
        <f t="shared" si="3"/>
        <v>0</v>
      </c>
    </row>
    <row r="207" spans="1:10" x14ac:dyDescent="0.25">
      <c r="A207" s="4" t="s">
        <v>47</v>
      </c>
      <c r="B207" s="1">
        <v>0.35125499999999998</v>
      </c>
      <c r="C207" s="1">
        <v>0.349383</v>
      </c>
      <c r="D207" s="1">
        <f>IF(B207&gt;C207,B207-C207,C207-B207)</f>
        <v>1.8719999999999848E-3</v>
      </c>
      <c r="E207">
        <f>MINUTE(D207)</f>
        <v>2</v>
      </c>
      <c r="F207">
        <f>SECOND(D207)</f>
        <v>42</v>
      </c>
      <c r="G207">
        <f>ROUND(E207+F207/60,2)</f>
        <v>2.7</v>
      </c>
      <c r="H207">
        <f>60*E207+F207</f>
        <v>162</v>
      </c>
      <c r="I207" s="3">
        <f>5*(3600/H207)</f>
        <v>111.11111111111111</v>
      </c>
      <c r="J207" s="16">
        <f t="shared" si="3"/>
        <v>0</v>
      </c>
    </row>
    <row r="208" spans="1:10" x14ac:dyDescent="0.25">
      <c r="A208" s="4" t="s">
        <v>33</v>
      </c>
      <c r="B208" s="1">
        <v>0.92453600000000002</v>
      </c>
      <c r="C208" s="1">
        <v>0.92642400000000003</v>
      </c>
      <c r="D208" s="1">
        <f>IF(B208&gt;C208,B208-C208,C208-B208)</f>
        <v>1.8880000000000008E-3</v>
      </c>
      <c r="E208">
        <f>MINUTE(D208)</f>
        <v>2</v>
      </c>
      <c r="F208">
        <f>SECOND(D208)</f>
        <v>43</v>
      </c>
      <c r="G208">
        <f>ROUND(E208+F208/60,2)</f>
        <v>2.72</v>
      </c>
      <c r="H208">
        <f>60*E208+F208</f>
        <v>163</v>
      </c>
      <c r="I208" s="3">
        <f>5*(3600/H208)</f>
        <v>110.42944785276075</v>
      </c>
      <c r="J208" s="16">
        <f t="shared" si="3"/>
        <v>0</v>
      </c>
    </row>
    <row r="209" spans="1:10" x14ac:dyDescent="0.25">
      <c r="A209" s="4" t="s">
        <v>105</v>
      </c>
      <c r="B209" s="1">
        <v>0.30809599999999998</v>
      </c>
      <c r="C209" s="1">
        <v>0.30620399999999998</v>
      </c>
      <c r="D209" s="1">
        <f>IF(B209&gt;C209,B209-C209,C209-B209)</f>
        <v>1.8920000000000048E-3</v>
      </c>
      <c r="E209">
        <f>MINUTE(D209)</f>
        <v>2</v>
      </c>
      <c r="F209">
        <f>SECOND(D209)</f>
        <v>43</v>
      </c>
      <c r="G209">
        <f>ROUND(E209+F209/60,2)</f>
        <v>2.72</v>
      </c>
      <c r="H209">
        <f>60*E209+F209</f>
        <v>163</v>
      </c>
      <c r="I209" s="3">
        <f>5*(3600/H209)</f>
        <v>110.42944785276075</v>
      </c>
      <c r="J209" s="16">
        <f t="shared" si="3"/>
        <v>0</v>
      </c>
    </row>
    <row r="210" spans="1:10" x14ac:dyDescent="0.25">
      <c r="A210" s="4" t="s">
        <v>162</v>
      </c>
      <c r="B210" s="1">
        <v>0.50681100000000001</v>
      </c>
      <c r="C210" s="1">
        <v>0.50492700000000001</v>
      </c>
      <c r="D210" s="1">
        <f>IF(B210&gt;C210,B210-C210,C210-B210)</f>
        <v>1.8839999999999968E-3</v>
      </c>
      <c r="E210">
        <f>MINUTE(D210)</f>
        <v>2</v>
      </c>
      <c r="F210">
        <f>SECOND(D210)</f>
        <v>43</v>
      </c>
      <c r="G210">
        <f>ROUND(E210+F210/60,2)</f>
        <v>2.72</v>
      </c>
      <c r="H210">
        <f>60*E210+F210</f>
        <v>163</v>
      </c>
      <c r="I210" s="3">
        <f>5*(3600/H210)</f>
        <v>110.42944785276075</v>
      </c>
      <c r="J210" s="16">
        <f t="shared" si="3"/>
        <v>0</v>
      </c>
    </row>
    <row r="211" spans="1:10" x14ac:dyDescent="0.25">
      <c r="A211" s="4" t="s">
        <v>60</v>
      </c>
      <c r="B211" s="1">
        <v>0.72680199999999995</v>
      </c>
      <c r="C211" s="1">
        <v>0.72868999999999995</v>
      </c>
      <c r="D211" s="1">
        <f>IF(B211&gt;C211,B211-C211,C211-B211)</f>
        <v>1.8880000000000008E-3</v>
      </c>
      <c r="E211">
        <f>MINUTE(D211)</f>
        <v>2</v>
      </c>
      <c r="F211">
        <f>SECOND(D211)</f>
        <v>43</v>
      </c>
      <c r="G211">
        <f>ROUND(E211+F211/60,2)</f>
        <v>2.72</v>
      </c>
      <c r="H211">
        <f>60*E211+F211</f>
        <v>163</v>
      </c>
      <c r="I211" s="3">
        <f>5*(3600/H211)</f>
        <v>110.42944785276075</v>
      </c>
      <c r="J211" s="16">
        <f t="shared" si="3"/>
        <v>0</v>
      </c>
    </row>
    <row r="212" spans="1:10" x14ac:dyDescent="0.25">
      <c r="A212" s="4" t="s">
        <v>121</v>
      </c>
      <c r="B212" s="1">
        <v>0.49659500000000001</v>
      </c>
      <c r="C212" s="1">
        <v>0.494703</v>
      </c>
      <c r="D212" s="1">
        <f>IF(B212&gt;C212,B212-C212,C212-B212)</f>
        <v>1.8920000000000048E-3</v>
      </c>
      <c r="E212">
        <f>MINUTE(D212)</f>
        <v>2</v>
      </c>
      <c r="F212">
        <f>SECOND(D212)</f>
        <v>43</v>
      </c>
      <c r="G212">
        <f>ROUND(E212+F212/60,2)</f>
        <v>2.72</v>
      </c>
      <c r="H212">
        <f>60*E212+F212</f>
        <v>163</v>
      </c>
      <c r="I212" s="3">
        <f>5*(3600/H212)</f>
        <v>110.42944785276075</v>
      </c>
      <c r="J212" s="16">
        <f t="shared" si="3"/>
        <v>0</v>
      </c>
    </row>
    <row r="213" spans="1:10" x14ac:dyDescent="0.25">
      <c r="A213" s="4" t="s">
        <v>112</v>
      </c>
      <c r="B213" s="1">
        <v>0.43324000000000001</v>
      </c>
      <c r="C213" s="1">
        <v>0.43135600000000002</v>
      </c>
      <c r="D213" s="1">
        <f>IF(B213&gt;C213,B213-C213,C213-B213)</f>
        <v>1.8839999999999968E-3</v>
      </c>
      <c r="E213">
        <f>MINUTE(D213)</f>
        <v>2</v>
      </c>
      <c r="F213">
        <f>SECOND(D213)</f>
        <v>43</v>
      </c>
      <c r="G213">
        <f>ROUND(E213+F213/60,2)</f>
        <v>2.72</v>
      </c>
      <c r="H213">
        <f>60*E213+F213</f>
        <v>163</v>
      </c>
      <c r="I213" s="3">
        <f>5*(3600/H213)</f>
        <v>110.42944785276075</v>
      </c>
      <c r="J213" s="16">
        <f t="shared" si="3"/>
        <v>0</v>
      </c>
    </row>
    <row r="214" spans="1:10" x14ac:dyDescent="0.25">
      <c r="A214" s="4" t="s">
        <v>37</v>
      </c>
      <c r="B214" s="1">
        <v>0.62783900000000004</v>
      </c>
      <c r="C214" s="1">
        <v>0.62973500000000004</v>
      </c>
      <c r="D214" s="1">
        <f>IF(B214&gt;C214,B214-C214,C214-B214)</f>
        <v>1.8960000000000088E-3</v>
      </c>
      <c r="E214">
        <f>MINUTE(D214)</f>
        <v>2</v>
      </c>
      <c r="F214">
        <f>SECOND(D214)</f>
        <v>44</v>
      </c>
      <c r="G214">
        <f>ROUND(E214+F214/60,2)</f>
        <v>2.73</v>
      </c>
      <c r="H214">
        <f>60*E214+F214</f>
        <v>164</v>
      </c>
      <c r="I214" s="3">
        <f>5*(3600/H214)</f>
        <v>109.75609756097562</v>
      </c>
      <c r="J214" s="16">
        <f t="shared" si="3"/>
        <v>0</v>
      </c>
    </row>
    <row r="215" spans="1:10" x14ac:dyDescent="0.25">
      <c r="A215" s="4" t="s">
        <v>155</v>
      </c>
      <c r="B215" s="1">
        <v>0.84710200000000002</v>
      </c>
      <c r="C215" s="1">
        <v>0.84899800000000003</v>
      </c>
      <c r="D215" s="1">
        <f>IF(B215&gt;C215,B215-C215,C215-B215)</f>
        <v>1.8960000000000088E-3</v>
      </c>
      <c r="E215">
        <f>MINUTE(D215)</f>
        <v>2</v>
      </c>
      <c r="F215">
        <f>SECOND(D215)</f>
        <v>44</v>
      </c>
      <c r="G215">
        <f>ROUND(E215+F215/60,2)</f>
        <v>2.73</v>
      </c>
      <c r="H215">
        <f>60*E215+F215</f>
        <v>164</v>
      </c>
      <c r="I215" s="3">
        <f>5*(3600/H215)</f>
        <v>109.75609756097562</v>
      </c>
      <c r="J215" s="16">
        <f t="shared" si="3"/>
        <v>0</v>
      </c>
    </row>
    <row r="216" spans="1:10" x14ac:dyDescent="0.25">
      <c r="A216" s="4" t="s">
        <v>73</v>
      </c>
      <c r="B216" s="1">
        <v>0.94866899999999998</v>
      </c>
      <c r="C216" s="1">
        <v>0.950569</v>
      </c>
      <c r="D216" s="1">
        <f>IF(B216&gt;C216,B216-C216,C216-B216)</f>
        <v>1.9000000000000128E-3</v>
      </c>
      <c r="E216">
        <f>MINUTE(D216)</f>
        <v>2</v>
      </c>
      <c r="F216">
        <f>SECOND(D216)</f>
        <v>44</v>
      </c>
      <c r="G216">
        <f>ROUND(E216+F216/60,2)</f>
        <v>2.73</v>
      </c>
      <c r="H216">
        <f>60*E216+F216</f>
        <v>164</v>
      </c>
      <c r="I216" s="3">
        <f>5*(3600/H216)</f>
        <v>109.75609756097562</v>
      </c>
      <c r="J216" s="16">
        <f t="shared" si="3"/>
        <v>0</v>
      </c>
    </row>
    <row r="217" spans="1:10" x14ac:dyDescent="0.25">
      <c r="A217" s="4" t="s">
        <v>87</v>
      </c>
      <c r="B217" s="1">
        <v>0.290101</v>
      </c>
      <c r="C217" s="1">
        <v>0.29200100000000001</v>
      </c>
      <c r="D217" s="1">
        <f>IF(B217&gt;C217,B217-C217,C217-B217)</f>
        <v>1.9000000000000128E-3</v>
      </c>
      <c r="E217">
        <f>MINUTE(D217)</f>
        <v>2</v>
      </c>
      <c r="F217">
        <f>SECOND(D217)</f>
        <v>44</v>
      </c>
      <c r="G217">
        <f>ROUND(E217+F217/60,2)</f>
        <v>2.73</v>
      </c>
      <c r="H217">
        <f>60*E217+F217</f>
        <v>164</v>
      </c>
      <c r="I217" s="3">
        <f>5*(3600/H217)</f>
        <v>109.75609756097562</v>
      </c>
      <c r="J217" s="16">
        <f t="shared" si="3"/>
        <v>0</v>
      </c>
    </row>
    <row r="218" spans="1:10" x14ac:dyDescent="0.25">
      <c r="A218" s="4" t="s">
        <v>11</v>
      </c>
      <c r="B218" s="1">
        <v>0.91238200000000003</v>
      </c>
      <c r="C218" s="1">
        <v>0.91429400000000005</v>
      </c>
      <c r="D218" s="1">
        <f>IF(B218&gt;C218,B218-C218,C218-B218)</f>
        <v>1.9120000000000248E-3</v>
      </c>
      <c r="E218">
        <f>MINUTE(D218)</f>
        <v>2</v>
      </c>
      <c r="F218">
        <f>SECOND(D218)</f>
        <v>45</v>
      </c>
      <c r="G218">
        <f>ROUND(E218+F218/60,2)</f>
        <v>2.75</v>
      </c>
      <c r="H218">
        <f>60*E218+F218</f>
        <v>165</v>
      </c>
      <c r="I218" s="3">
        <f>5*(3600/H218)</f>
        <v>109.09090909090908</v>
      </c>
      <c r="J218" s="16">
        <f t="shared" si="3"/>
        <v>0</v>
      </c>
    </row>
    <row r="219" spans="1:10" x14ac:dyDescent="0.25">
      <c r="A219" s="4" t="s">
        <v>306</v>
      </c>
      <c r="B219" s="1">
        <v>0.97919</v>
      </c>
      <c r="C219" s="1">
        <v>0.97728199999999998</v>
      </c>
      <c r="D219" s="1">
        <f>IF(B219&gt;C219,B219-C219,C219-B219)</f>
        <v>1.9080000000000208E-3</v>
      </c>
      <c r="E219">
        <f>MINUTE(D219)</f>
        <v>2</v>
      </c>
      <c r="F219">
        <f>SECOND(D219)</f>
        <v>45</v>
      </c>
      <c r="G219">
        <f>ROUND(E219+F219/60,2)</f>
        <v>2.75</v>
      </c>
      <c r="H219">
        <f>60*E219+F219</f>
        <v>165</v>
      </c>
      <c r="I219" s="3">
        <f>5*(3600/H219)</f>
        <v>109.09090909090908</v>
      </c>
      <c r="J219" s="16">
        <f t="shared" si="3"/>
        <v>0</v>
      </c>
    </row>
    <row r="220" spans="1:10" x14ac:dyDescent="0.25">
      <c r="A220" s="4" t="s">
        <v>408</v>
      </c>
      <c r="B220" s="1">
        <v>9.325E-3</v>
      </c>
      <c r="C220" s="1">
        <v>7.417E-3</v>
      </c>
      <c r="D220" s="1">
        <f>IF(B220&gt;C220,B220-C220,C220-B220)</f>
        <v>1.908E-3</v>
      </c>
      <c r="E220">
        <f>MINUTE(D220)</f>
        <v>2</v>
      </c>
      <c r="F220">
        <f>SECOND(D220)</f>
        <v>45</v>
      </c>
      <c r="G220">
        <f>ROUND(E220+F220/60,2)</f>
        <v>2.75</v>
      </c>
      <c r="H220">
        <f>60*E220+F220</f>
        <v>165</v>
      </c>
      <c r="I220" s="3">
        <f>5*(3600/H220)</f>
        <v>109.09090909090908</v>
      </c>
      <c r="J220" s="16">
        <f t="shared" si="3"/>
        <v>0</v>
      </c>
    </row>
    <row r="221" spans="1:10" x14ac:dyDescent="0.25">
      <c r="A221" s="4" t="s">
        <v>11</v>
      </c>
      <c r="B221" s="1">
        <v>0.93227400000000005</v>
      </c>
      <c r="C221" s="1">
        <v>0.93418999999999996</v>
      </c>
      <c r="D221" s="1">
        <f>IF(B221&gt;C221,B221-C221,C221-B221)</f>
        <v>1.9159999999999178E-3</v>
      </c>
      <c r="E221">
        <f>MINUTE(D221)</f>
        <v>2</v>
      </c>
      <c r="F221">
        <f>SECOND(D221)</f>
        <v>46</v>
      </c>
      <c r="G221">
        <f>ROUND(E221+F221/60,2)</f>
        <v>2.77</v>
      </c>
      <c r="H221">
        <f>60*E221+F221</f>
        <v>166</v>
      </c>
      <c r="I221" s="3">
        <f>5*(3600/H221)</f>
        <v>108.43373493975903</v>
      </c>
      <c r="J221" s="16">
        <f t="shared" si="3"/>
        <v>0</v>
      </c>
    </row>
    <row r="222" spans="1:10" x14ac:dyDescent="0.25">
      <c r="A222" s="4" t="s">
        <v>51</v>
      </c>
      <c r="B222" s="1">
        <v>0.20654</v>
      </c>
      <c r="C222" s="1">
        <v>0.20846000000000001</v>
      </c>
      <c r="D222" s="1">
        <f>IF(B222&gt;C222,B222-C222,C222-B222)</f>
        <v>1.920000000000005E-3</v>
      </c>
      <c r="E222">
        <f>MINUTE(D222)</f>
        <v>2</v>
      </c>
      <c r="F222">
        <f>SECOND(D222)</f>
        <v>46</v>
      </c>
      <c r="G222">
        <f>ROUND(E222+F222/60,2)</f>
        <v>2.77</v>
      </c>
      <c r="H222">
        <f>60*E222+F222</f>
        <v>166</v>
      </c>
      <c r="I222" s="3">
        <f>5*(3600/H222)</f>
        <v>108.43373493975903</v>
      </c>
      <c r="J222" s="16">
        <f t="shared" si="3"/>
        <v>0</v>
      </c>
    </row>
    <row r="223" spans="1:10" x14ac:dyDescent="0.25">
      <c r="A223" s="4" t="s">
        <v>119</v>
      </c>
      <c r="B223" s="1">
        <v>0.797157</v>
      </c>
      <c r="C223" s="1">
        <v>0.79524099999999998</v>
      </c>
      <c r="D223" s="1">
        <f>IF(B223&gt;C223,B223-C223,C223-B223)</f>
        <v>1.9160000000000288E-3</v>
      </c>
      <c r="E223">
        <f>MINUTE(D223)</f>
        <v>2</v>
      </c>
      <c r="F223">
        <f>SECOND(D223)</f>
        <v>46</v>
      </c>
      <c r="G223">
        <f>ROUND(E223+F223/60,2)</f>
        <v>2.77</v>
      </c>
      <c r="H223">
        <f>60*E223+F223</f>
        <v>166</v>
      </c>
      <c r="I223" s="3">
        <f>5*(3600/H223)</f>
        <v>108.43373493975903</v>
      </c>
      <c r="J223" s="16">
        <f t="shared" si="3"/>
        <v>0</v>
      </c>
    </row>
    <row r="224" spans="1:10" x14ac:dyDescent="0.25">
      <c r="A224" s="4" t="s">
        <v>162</v>
      </c>
      <c r="B224" s="1">
        <v>0.110017</v>
      </c>
      <c r="C224" s="1">
        <v>0.108101</v>
      </c>
      <c r="D224" s="1">
        <f>IF(B224&gt;C224,B224-C224,C224-B224)</f>
        <v>1.916000000000001E-3</v>
      </c>
      <c r="E224">
        <f>MINUTE(D224)</f>
        <v>2</v>
      </c>
      <c r="F224">
        <f>SECOND(D224)</f>
        <v>46</v>
      </c>
      <c r="G224">
        <f>ROUND(E224+F224/60,2)</f>
        <v>2.77</v>
      </c>
      <c r="H224">
        <f>60*E224+F224</f>
        <v>166</v>
      </c>
      <c r="I224" s="3">
        <f>5*(3600/H224)</f>
        <v>108.43373493975903</v>
      </c>
      <c r="J224" s="16">
        <f t="shared" si="3"/>
        <v>0</v>
      </c>
    </row>
    <row r="225" spans="1:10" x14ac:dyDescent="0.25">
      <c r="A225" s="4" t="s">
        <v>7</v>
      </c>
      <c r="B225" s="1">
        <v>0.172735</v>
      </c>
      <c r="C225" s="1">
        <v>0.17081499999999999</v>
      </c>
      <c r="D225" s="1">
        <f>IF(B225&gt;C225,B225-C225,C225-B225)</f>
        <v>1.920000000000005E-3</v>
      </c>
      <c r="E225">
        <f>MINUTE(D225)</f>
        <v>2</v>
      </c>
      <c r="F225">
        <f>SECOND(D225)</f>
        <v>46</v>
      </c>
      <c r="G225">
        <f>ROUND(E225+F225/60,2)</f>
        <v>2.77</v>
      </c>
      <c r="H225">
        <f>60*E225+F225</f>
        <v>166</v>
      </c>
      <c r="I225" s="3">
        <f>5*(3600/H225)</f>
        <v>108.43373493975903</v>
      </c>
      <c r="J225" s="16">
        <f t="shared" si="3"/>
        <v>0</v>
      </c>
    </row>
    <row r="226" spans="1:10" x14ac:dyDescent="0.25">
      <c r="A226" s="4" t="s">
        <v>298</v>
      </c>
      <c r="B226" s="1">
        <v>0.71425300000000003</v>
      </c>
      <c r="C226" s="1">
        <v>0.71617299999999995</v>
      </c>
      <c r="D226" s="1">
        <f>IF(B226&gt;C226,B226-C226,C226-B226)</f>
        <v>1.9199999999999218E-3</v>
      </c>
      <c r="E226">
        <f>MINUTE(D226)</f>
        <v>2</v>
      </c>
      <c r="F226">
        <f>SECOND(D226)</f>
        <v>46</v>
      </c>
      <c r="G226">
        <f>ROUND(E226+F226/60,2)</f>
        <v>2.77</v>
      </c>
      <c r="H226">
        <f>60*E226+F226</f>
        <v>166</v>
      </c>
      <c r="I226" s="3">
        <f>5*(3600/H226)</f>
        <v>108.43373493975903</v>
      </c>
      <c r="J226" s="16">
        <f t="shared" si="3"/>
        <v>0</v>
      </c>
    </row>
    <row r="227" spans="1:10" x14ac:dyDescent="0.25">
      <c r="A227" s="4" t="s">
        <v>78</v>
      </c>
      <c r="B227" s="1">
        <v>0.39455000000000001</v>
      </c>
      <c r="C227" s="1">
        <v>0.39648600000000001</v>
      </c>
      <c r="D227" s="1">
        <f>IF(B227&gt;C227,B227-C227,C227-B227)</f>
        <v>1.9359999999999933E-3</v>
      </c>
      <c r="E227">
        <f>MINUTE(D227)</f>
        <v>2</v>
      </c>
      <c r="F227">
        <f>SECOND(D227)</f>
        <v>47</v>
      </c>
      <c r="G227">
        <f>ROUND(E227+F227/60,2)</f>
        <v>2.78</v>
      </c>
      <c r="H227">
        <f>60*E227+F227</f>
        <v>167</v>
      </c>
      <c r="I227" s="3">
        <f>5*(3600/H227)</f>
        <v>107.78443113772455</v>
      </c>
      <c r="J227" s="16">
        <f t="shared" si="3"/>
        <v>0</v>
      </c>
    </row>
    <row r="228" spans="1:10" x14ac:dyDescent="0.25">
      <c r="A228" s="4" t="s">
        <v>41</v>
      </c>
      <c r="B228" s="1">
        <v>0.88634100000000005</v>
      </c>
      <c r="C228" s="1">
        <v>0.88827299999999998</v>
      </c>
      <c r="D228" s="1">
        <f>IF(B228&gt;C228,B228-C228,C228-B228)</f>
        <v>1.9319999999999338E-3</v>
      </c>
      <c r="E228">
        <f>MINUTE(D228)</f>
        <v>2</v>
      </c>
      <c r="F228">
        <f>SECOND(D228)</f>
        <v>47</v>
      </c>
      <c r="G228">
        <f>ROUND(E228+F228/60,2)</f>
        <v>2.78</v>
      </c>
      <c r="H228">
        <f>60*E228+F228</f>
        <v>167</v>
      </c>
      <c r="I228" s="3">
        <f>5*(3600/H228)</f>
        <v>107.78443113772455</v>
      </c>
      <c r="J228" s="16">
        <f t="shared" si="3"/>
        <v>0</v>
      </c>
    </row>
    <row r="229" spans="1:10" x14ac:dyDescent="0.25">
      <c r="A229" s="4" t="s">
        <v>109</v>
      </c>
      <c r="B229" s="1">
        <v>0.30414799999999997</v>
      </c>
      <c r="C229" s="1">
        <v>0.30221199999999998</v>
      </c>
      <c r="D229" s="1">
        <f>IF(B229&gt;C229,B229-C229,C229-B229)</f>
        <v>1.9359999999999933E-3</v>
      </c>
      <c r="E229">
        <f>MINUTE(D229)</f>
        <v>2</v>
      </c>
      <c r="F229">
        <f>SECOND(D229)</f>
        <v>47</v>
      </c>
      <c r="G229">
        <f>ROUND(E229+F229/60,2)</f>
        <v>2.78</v>
      </c>
      <c r="H229">
        <f>60*E229+F229</f>
        <v>167</v>
      </c>
      <c r="I229" s="3">
        <f>5*(3600/H229)</f>
        <v>107.78443113772455</v>
      </c>
      <c r="J229" s="16">
        <f t="shared" si="3"/>
        <v>0</v>
      </c>
    </row>
    <row r="230" spans="1:10" x14ac:dyDescent="0.25">
      <c r="A230" s="4" t="s">
        <v>119</v>
      </c>
      <c r="B230" s="1">
        <v>0.80451099999999998</v>
      </c>
      <c r="C230" s="1">
        <v>0.80257900000000004</v>
      </c>
      <c r="D230" s="1">
        <f>IF(B230&gt;C230,B230-C230,C230-B230)</f>
        <v>1.9319999999999338E-3</v>
      </c>
      <c r="E230">
        <f>MINUTE(D230)</f>
        <v>2</v>
      </c>
      <c r="F230">
        <f>SECOND(D230)</f>
        <v>47</v>
      </c>
      <c r="G230">
        <f>ROUND(E230+F230/60,2)</f>
        <v>2.78</v>
      </c>
      <c r="H230">
        <f>60*E230+F230</f>
        <v>167</v>
      </c>
      <c r="I230" s="3">
        <f>5*(3600/H230)</f>
        <v>107.78443113772455</v>
      </c>
      <c r="J230" s="16">
        <f t="shared" si="3"/>
        <v>0</v>
      </c>
    </row>
    <row r="231" spans="1:10" x14ac:dyDescent="0.25">
      <c r="A231" s="4" t="s">
        <v>124</v>
      </c>
      <c r="B231" s="1">
        <v>0.37814999999999999</v>
      </c>
      <c r="C231" s="1">
        <v>0.38008599999999998</v>
      </c>
      <c r="D231" s="1">
        <f>IF(B231&gt;C231,B231-C231,C231-B231)</f>
        <v>1.9359999999999933E-3</v>
      </c>
      <c r="E231">
        <f>MINUTE(D231)</f>
        <v>2</v>
      </c>
      <c r="F231">
        <f>SECOND(D231)</f>
        <v>47</v>
      </c>
      <c r="G231">
        <f>ROUND(E231+F231/60,2)</f>
        <v>2.78</v>
      </c>
      <c r="H231">
        <f>60*E231+F231</f>
        <v>167</v>
      </c>
      <c r="I231" s="3">
        <f>5*(3600/H231)</f>
        <v>107.78443113772455</v>
      </c>
      <c r="J231" s="16">
        <f t="shared" si="3"/>
        <v>0</v>
      </c>
    </row>
    <row r="232" spans="1:10" x14ac:dyDescent="0.25">
      <c r="A232" s="4" t="s">
        <v>103</v>
      </c>
      <c r="B232" s="1">
        <v>0.39823199999999997</v>
      </c>
      <c r="C232" s="1">
        <v>0.40016400000000002</v>
      </c>
      <c r="D232" s="1">
        <f>IF(B232&gt;C232,B232-C232,C232-B232)</f>
        <v>1.9320000000000448E-3</v>
      </c>
      <c r="E232">
        <f>MINUTE(D232)</f>
        <v>2</v>
      </c>
      <c r="F232">
        <f>SECOND(D232)</f>
        <v>47</v>
      </c>
      <c r="G232">
        <f>ROUND(E232+F232/60,2)</f>
        <v>2.78</v>
      </c>
      <c r="H232">
        <f>60*E232+F232</f>
        <v>167</v>
      </c>
      <c r="I232" s="3">
        <f>5*(3600/H232)</f>
        <v>107.78443113772455</v>
      </c>
      <c r="J232" s="16">
        <f t="shared" si="3"/>
        <v>0</v>
      </c>
    </row>
    <row r="233" spans="1:10" x14ac:dyDescent="0.25">
      <c r="A233" s="4" t="s">
        <v>201</v>
      </c>
      <c r="B233" s="1">
        <v>1.3842999999999999E-2</v>
      </c>
      <c r="C233" s="1">
        <v>1.1911E-2</v>
      </c>
      <c r="D233" s="1">
        <f>IF(B233&gt;C233,B233-C233,C233-B233)</f>
        <v>1.9319999999999997E-3</v>
      </c>
      <c r="E233">
        <f>MINUTE(D233)</f>
        <v>2</v>
      </c>
      <c r="F233">
        <f>SECOND(D233)</f>
        <v>47</v>
      </c>
      <c r="G233">
        <f>ROUND(E233+F233/60,2)</f>
        <v>2.78</v>
      </c>
      <c r="H233">
        <f>60*E233+F233</f>
        <v>167</v>
      </c>
      <c r="I233" s="3">
        <f>5*(3600/H233)</f>
        <v>107.78443113772455</v>
      </c>
      <c r="J233" s="16">
        <f t="shared" si="3"/>
        <v>0</v>
      </c>
    </row>
    <row r="234" spans="1:10" x14ac:dyDescent="0.25">
      <c r="A234" s="4" t="s">
        <v>116</v>
      </c>
      <c r="B234" s="1">
        <v>4.8832E-2</v>
      </c>
      <c r="C234" s="1">
        <v>5.0776000000000002E-2</v>
      </c>
      <c r="D234" s="1">
        <f>IF(B234&gt;C234,B234-C234,C234-B234)</f>
        <v>1.9440000000000013E-3</v>
      </c>
      <c r="E234">
        <f>MINUTE(D234)</f>
        <v>2</v>
      </c>
      <c r="F234">
        <f>SECOND(D234)</f>
        <v>48</v>
      </c>
      <c r="G234">
        <f>ROUND(E234+F234/60,2)</f>
        <v>2.8</v>
      </c>
      <c r="H234">
        <f>60*E234+F234</f>
        <v>168</v>
      </c>
      <c r="I234" s="3">
        <f>5*(3600/H234)</f>
        <v>107.14285714285714</v>
      </c>
      <c r="J234" s="16">
        <f t="shared" si="3"/>
        <v>0</v>
      </c>
    </row>
    <row r="235" spans="1:10" x14ac:dyDescent="0.25">
      <c r="A235" s="4" t="s">
        <v>36</v>
      </c>
      <c r="B235" s="1">
        <v>0.514571</v>
      </c>
      <c r="C235" s="1">
        <v>0.51262700000000005</v>
      </c>
      <c r="D235" s="1">
        <f>IF(B235&gt;C235,B235-C235,C235-B235)</f>
        <v>1.9439999999999458E-3</v>
      </c>
      <c r="E235">
        <f>MINUTE(D235)</f>
        <v>2</v>
      </c>
      <c r="F235">
        <f>SECOND(D235)</f>
        <v>48</v>
      </c>
      <c r="G235">
        <f>ROUND(E235+F235/60,2)</f>
        <v>2.8</v>
      </c>
      <c r="H235">
        <f>60*E235+F235</f>
        <v>168</v>
      </c>
      <c r="I235" s="3">
        <f>5*(3600/H235)</f>
        <v>107.14285714285714</v>
      </c>
      <c r="J235" s="16">
        <f t="shared" si="3"/>
        <v>0</v>
      </c>
    </row>
    <row r="236" spans="1:10" x14ac:dyDescent="0.25">
      <c r="A236" s="4" t="s">
        <v>59</v>
      </c>
      <c r="B236" s="1">
        <v>0.99075100000000005</v>
      </c>
      <c r="C236" s="1">
        <v>0.98880699999999999</v>
      </c>
      <c r="D236" s="1">
        <f>IF(B236&gt;C236,B236-C236,C236-B236)</f>
        <v>1.9440000000000568E-3</v>
      </c>
      <c r="E236">
        <f>MINUTE(D236)</f>
        <v>2</v>
      </c>
      <c r="F236">
        <f>SECOND(D236)</f>
        <v>48</v>
      </c>
      <c r="G236">
        <f>ROUND(E236+F236/60,2)</f>
        <v>2.8</v>
      </c>
      <c r="H236">
        <f>60*E236+F236</f>
        <v>168</v>
      </c>
      <c r="I236" s="3">
        <f>5*(3600/H236)</f>
        <v>107.14285714285714</v>
      </c>
      <c r="J236" s="16">
        <f t="shared" si="3"/>
        <v>0</v>
      </c>
    </row>
    <row r="237" spans="1:10" x14ac:dyDescent="0.25">
      <c r="A237" s="4" t="s">
        <v>76</v>
      </c>
      <c r="B237" s="1">
        <v>0.80892299999999995</v>
      </c>
      <c r="C237" s="1">
        <v>0.806979</v>
      </c>
      <c r="D237" s="1">
        <f>IF(B237&gt;C237,B237-C237,C237-B237)</f>
        <v>1.9439999999999458E-3</v>
      </c>
      <c r="E237">
        <f>MINUTE(D237)</f>
        <v>2</v>
      </c>
      <c r="F237">
        <f>SECOND(D237)</f>
        <v>48</v>
      </c>
      <c r="G237">
        <f>ROUND(E237+F237/60,2)</f>
        <v>2.8</v>
      </c>
      <c r="H237">
        <f>60*E237+F237</f>
        <v>168</v>
      </c>
      <c r="I237" s="3">
        <f>5*(3600/H237)</f>
        <v>107.14285714285714</v>
      </c>
      <c r="J237" s="16">
        <f t="shared" si="3"/>
        <v>0</v>
      </c>
    </row>
    <row r="238" spans="1:10" x14ac:dyDescent="0.25">
      <c r="A238" s="4" t="s">
        <v>301</v>
      </c>
      <c r="B238" s="1">
        <v>4.1440000000000001E-3</v>
      </c>
      <c r="C238" s="1">
        <v>2.196E-3</v>
      </c>
      <c r="D238" s="1">
        <f>IF(B238&gt;C238,B238-C238,C238-B238)</f>
        <v>1.9480000000000001E-3</v>
      </c>
      <c r="E238">
        <f>MINUTE(D238)</f>
        <v>2</v>
      </c>
      <c r="F238">
        <f>SECOND(D238)</f>
        <v>48</v>
      </c>
      <c r="G238">
        <f>ROUND(E238+F238/60,2)</f>
        <v>2.8</v>
      </c>
      <c r="H238">
        <f>60*E238+F238</f>
        <v>168</v>
      </c>
      <c r="I238" s="3">
        <f>5*(3600/H238)</f>
        <v>107.14285714285714</v>
      </c>
      <c r="J238" s="16">
        <f t="shared" si="3"/>
        <v>0</v>
      </c>
    </row>
    <row r="239" spans="1:10" x14ac:dyDescent="0.25">
      <c r="A239" s="4" t="s">
        <v>107</v>
      </c>
      <c r="B239" s="1">
        <v>0.40933199999999997</v>
      </c>
      <c r="C239" s="1">
        <v>0.41129199999999999</v>
      </c>
      <c r="D239" s="1">
        <f>IF(B239&gt;C239,B239-C239,C239-B239)</f>
        <v>1.9600000000000173E-3</v>
      </c>
      <c r="E239">
        <f>MINUTE(D239)</f>
        <v>2</v>
      </c>
      <c r="F239">
        <f>SECOND(D239)</f>
        <v>49</v>
      </c>
      <c r="G239">
        <f>ROUND(E239+F239/60,2)</f>
        <v>2.82</v>
      </c>
      <c r="H239">
        <f>60*E239+F239</f>
        <v>169</v>
      </c>
      <c r="I239" s="3">
        <f>5*(3600/H239)</f>
        <v>106.50887573964496</v>
      </c>
      <c r="J239" s="16">
        <f t="shared" si="3"/>
        <v>0</v>
      </c>
    </row>
    <row r="240" spans="1:10" x14ac:dyDescent="0.25">
      <c r="A240" s="4" t="s">
        <v>313</v>
      </c>
      <c r="B240" s="1">
        <v>0.83169999999999999</v>
      </c>
      <c r="C240" s="1">
        <v>0.82974400000000004</v>
      </c>
      <c r="D240" s="1">
        <f>IF(B240&gt;C240,B240-C240,C240-B240)</f>
        <v>1.9559999999999578E-3</v>
      </c>
      <c r="E240">
        <f>MINUTE(D240)</f>
        <v>2</v>
      </c>
      <c r="F240">
        <f>SECOND(D240)</f>
        <v>49</v>
      </c>
      <c r="G240">
        <f>ROUND(E240+F240/60,2)</f>
        <v>2.82</v>
      </c>
      <c r="H240">
        <f>60*E240+F240</f>
        <v>169</v>
      </c>
      <c r="I240" s="3">
        <f>5*(3600/H240)</f>
        <v>106.50887573964496</v>
      </c>
      <c r="J240" s="16">
        <f t="shared" si="3"/>
        <v>0</v>
      </c>
    </row>
    <row r="241" spans="1:10" x14ac:dyDescent="0.25">
      <c r="A241" s="4" t="s">
        <v>9</v>
      </c>
      <c r="B241" s="1">
        <v>6.9554000000000005E-2</v>
      </c>
      <c r="C241" s="1">
        <v>6.7585999999999993E-2</v>
      </c>
      <c r="D241" s="1">
        <f>IF(B241&gt;C241,B241-C241,C241-B241)</f>
        <v>1.9680000000000114E-3</v>
      </c>
      <c r="E241">
        <f>MINUTE(D241)</f>
        <v>2</v>
      </c>
      <c r="F241">
        <f>SECOND(D241)</f>
        <v>50</v>
      </c>
      <c r="G241">
        <f>ROUND(E241+F241/60,2)</f>
        <v>2.83</v>
      </c>
      <c r="H241">
        <f>60*E241+F241</f>
        <v>170</v>
      </c>
      <c r="I241" s="3">
        <f>5*(3600/H241)</f>
        <v>105.88235294117646</v>
      </c>
      <c r="J241" s="16">
        <f t="shared" si="3"/>
        <v>0</v>
      </c>
    </row>
    <row r="242" spans="1:10" x14ac:dyDescent="0.25">
      <c r="A242" s="4" t="s">
        <v>53</v>
      </c>
      <c r="B242" s="1">
        <v>0.57415799999999995</v>
      </c>
      <c r="C242" s="1">
        <v>0.57219399999999998</v>
      </c>
      <c r="D242" s="1">
        <f>IF(B242&gt;C242,B242-C242,C242-B242)</f>
        <v>1.9639999999999658E-3</v>
      </c>
      <c r="E242">
        <f>MINUTE(D242)</f>
        <v>2</v>
      </c>
      <c r="F242">
        <f>SECOND(D242)</f>
        <v>50</v>
      </c>
      <c r="G242">
        <f>ROUND(E242+F242/60,2)</f>
        <v>2.83</v>
      </c>
      <c r="H242">
        <f>60*E242+F242</f>
        <v>170</v>
      </c>
      <c r="I242" s="3">
        <f>5*(3600/H242)</f>
        <v>105.88235294117646</v>
      </c>
      <c r="J242" s="16">
        <f t="shared" si="3"/>
        <v>0</v>
      </c>
    </row>
    <row r="243" spans="1:10" x14ac:dyDescent="0.25">
      <c r="A243" s="4" t="s">
        <v>75</v>
      </c>
      <c r="B243" s="1">
        <v>0.19887299999999999</v>
      </c>
      <c r="C243" s="1">
        <v>0.196909</v>
      </c>
      <c r="D243" s="1">
        <f>IF(B243&gt;C243,B243-C243,C243-B243)</f>
        <v>1.9639999999999935E-3</v>
      </c>
      <c r="E243">
        <f>MINUTE(D243)</f>
        <v>2</v>
      </c>
      <c r="F243">
        <f>SECOND(D243)</f>
        <v>50</v>
      </c>
      <c r="G243">
        <f>ROUND(E243+F243/60,2)</f>
        <v>2.83</v>
      </c>
      <c r="H243">
        <f>60*E243+F243</f>
        <v>170</v>
      </c>
      <c r="I243" s="3">
        <f>5*(3600/H243)</f>
        <v>105.88235294117646</v>
      </c>
      <c r="J243" s="16">
        <f t="shared" si="3"/>
        <v>0</v>
      </c>
    </row>
    <row r="244" spans="1:10" x14ac:dyDescent="0.25">
      <c r="A244" s="4" t="s">
        <v>5</v>
      </c>
      <c r="B244" s="1">
        <v>0.18615499999999999</v>
      </c>
      <c r="C244" s="1">
        <v>0.18418699999999999</v>
      </c>
      <c r="D244" s="1">
        <f>IF(B244&gt;C244,B244-C244,C244-B244)</f>
        <v>1.9679999999999975E-3</v>
      </c>
      <c r="E244">
        <f>MINUTE(D244)</f>
        <v>2</v>
      </c>
      <c r="F244">
        <f>SECOND(D244)</f>
        <v>50</v>
      </c>
      <c r="G244">
        <f>ROUND(E244+F244/60,2)</f>
        <v>2.83</v>
      </c>
      <c r="H244">
        <f>60*E244+F244</f>
        <v>170</v>
      </c>
      <c r="I244" s="3">
        <f>5*(3600/H244)</f>
        <v>105.88235294117646</v>
      </c>
      <c r="J244" s="16">
        <f t="shared" si="3"/>
        <v>0</v>
      </c>
    </row>
    <row r="245" spans="1:10" x14ac:dyDescent="0.25">
      <c r="A245" s="4" t="s">
        <v>243</v>
      </c>
      <c r="B245" s="1">
        <v>0.32779999999999998</v>
      </c>
      <c r="C245" s="1">
        <v>0.32583200000000001</v>
      </c>
      <c r="D245" s="1">
        <f>IF(B245&gt;C245,B245-C245,C245-B245)</f>
        <v>1.9679999999999698E-3</v>
      </c>
      <c r="E245">
        <f>MINUTE(D245)</f>
        <v>2</v>
      </c>
      <c r="F245">
        <f>SECOND(D245)</f>
        <v>50</v>
      </c>
      <c r="G245">
        <f>ROUND(E245+F245/60,2)</f>
        <v>2.83</v>
      </c>
      <c r="H245">
        <f>60*E245+F245</f>
        <v>170</v>
      </c>
      <c r="I245" s="3">
        <f>5*(3600/H245)</f>
        <v>105.88235294117646</v>
      </c>
      <c r="J245" s="16">
        <f t="shared" si="3"/>
        <v>0</v>
      </c>
    </row>
    <row r="246" spans="1:10" x14ac:dyDescent="0.25">
      <c r="A246" s="4" t="s">
        <v>338</v>
      </c>
      <c r="B246" s="1">
        <v>0.114995</v>
      </c>
      <c r="C246" s="1">
        <v>0.113023</v>
      </c>
      <c r="D246" s="1">
        <f>IF(B246&gt;C246,B246-C246,C246-B246)</f>
        <v>1.9720000000000015E-3</v>
      </c>
      <c r="E246">
        <f>MINUTE(D246)</f>
        <v>2</v>
      </c>
      <c r="F246">
        <f>SECOND(D246)</f>
        <v>50</v>
      </c>
      <c r="G246">
        <f>ROUND(E246+F246/60,2)</f>
        <v>2.83</v>
      </c>
      <c r="H246">
        <f>60*E246+F246</f>
        <v>170</v>
      </c>
      <c r="I246" s="3">
        <f>5*(3600/H246)</f>
        <v>105.88235294117646</v>
      </c>
      <c r="J246" s="16">
        <f t="shared" si="3"/>
        <v>0</v>
      </c>
    </row>
    <row r="247" spans="1:10" x14ac:dyDescent="0.25">
      <c r="A247" s="4" t="s">
        <v>138</v>
      </c>
      <c r="B247" s="1">
        <v>0.48477300000000001</v>
      </c>
      <c r="C247" s="1">
        <v>0.48279699999999998</v>
      </c>
      <c r="D247" s="1">
        <f>IF(B247&gt;C247,B247-C247,C247-B247)</f>
        <v>1.9760000000000333E-3</v>
      </c>
      <c r="E247">
        <f>MINUTE(D247)</f>
        <v>2</v>
      </c>
      <c r="F247">
        <f>SECOND(D247)</f>
        <v>51</v>
      </c>
      <c r="G247">
        <f>ROUND(E247+F247/60,2)</f>
        <v>2.85</v>
      </c>
      <c r="H247">
        <f>60*E247+F247</f>
        <v>171</v>
      </c>
      <c r="I247" s="3">
        <f>5*(3600/H247)</f>
        <v>105.26315789473685</v>
      </c>
      <c r="J247" s="16">
        <f t="shared" si="3"/>
        <v>0</v>
      </c>
    </row>
    <row r="248" spans="1:10" x14ac:dyDescent="0.25">
      <c r="A248" s="4" t="s">
        <v>247</v>
      </c>
      <c r="B248" s="1">
        <v>0.30108499999999999</v>
      </c>
      <c r="C248" s="1">
        <v>0.29910100000000001</v>
      </c>
      <c r="D248" s="1">
        <f>IF(B248&gt;C248,B248-C248,C248-B248)</f>
        <v>1.9839999999999858E-3</v>
      </c>
      <c r="E248">
        <f>MINUTE(D248)</f>
        <v>2</v>
      </c>
      <c r="F248">
        <f>SECOND(D248)</f>
        <v>51</v>
      </c>
      <c r="G248">
        <f>ROUND(E248+F248/60,2)</f>
        <v>2.85</v>
      </c>
      <c r="H248">
        <f>60*E248+F248</f>
        <v>171</v>
      </c>
      <c r="I248" s="3">
        <f>5*(3600/H248)</f>
        <v>105.26315789473685</v>
      </c>
      <c r="J248" s="16">
        <f t="shared" si="3"/>
        <v>0</v>
      </c>
    </row>
    <row r="249" spans="1:10" x14ac:dyDescent="0.25">
      <c r="A249" s="4" t="s">
        <v>9</v>
      </c>
      <c r="B249" s="1">
        <v>0.20372499999999999</v>
      </c>
      <c r="C249" s="1">
        <v>0.20172899999999999</v>
      </c>
      <c r="D249" s="1">
        <f>IF(B249&gt;C249,B249-C249,C249-B249)</f>
        <v>1.9959999999999978E-3</v>
      </c>
      <c r="E249">
        <f>MINUTE(D249)</f>
        <v>2</v>
      </c>
      <c r="F249">
        <f>SECOND(D249)</f>
        <v>52</v>
      </c>
      <c r="G249">
        <f>ROUND(E249+F249/60,2)</f>
        <v>2.87</v>
      </c>
      <c r="H249">
        <f>60*E249+F249</f>
        <v>172</v>
      </c>
      <c r="I249" s="3">
        <f>5*(3600/H249)</f>
        <v>104.65116279069768</v>
      </c>
      <c r="J249" s="16">
        <f t="shared" si="3"/>
        <v>0</v>
      </c>
    </row>
    <row r="250" spans="1:10" x14ac:dyDescent="0.25">
      <c r="A250" s="4" t="s">
        <v>67</v>
      </c>
      <c r="B250" s="1">
        <v>0.859155</v>
      </c>
      <c r="C250" s="1">
        <v>0.85716700000000001</v>
      </c>
      <c r="D250" s="1">
        <f>IF(B250&gt;C250,B250-C250,C250-B250)</f>
        <v>1.9879999999999898E-3</v>
      </c>
      <c r="E250">
        <f>MINUTE(D250)</f>
        <v>2</v>
      </c>
      <c r="F250">
        <f>SECOND(D250)</f>
        <v>52</v>
      </c>
      <c r="G250">
        <f>ROUND(E250+F250/60,2)</f>
        <v>2.87</v>
      </c>
      <c r="H250">
        <f>60*E250+F250</f>
        <v>172</v>
      </c>
      <c r="I250" s="3">
        <f>5*(3600/H250)</f>
        <v>104.65116279069768</v>
      </c>
      <c r="J250" s="16">
        <f t="shared" si="3"/>
        <v>0</v>
      </c>
    </row>
    <row r="251" spans="1:10" x14ac:dyDescent="0.25">
      <c r="A251" s="4" t="s">
        <v>109</v>
      </c>
      <c r="B251" s="1">
        <v>0.36385299999999998</v>
      </c>
      <c r="C251" s="1">
        <v>0.36585299999999998</v>
      </c>
      <c r="D251" s="1">
        <f>IF(B251&gt;C251,B251-C251,C251-B251)</f>
        <v>2.0000000000000018E-3</v>
      </c>
      <c r="E251">
        <f>MINUTE(D251)</f>
        <v>2</v>
      </c>
      <c r="F251">
        <f>SECOND(D251)</f>
        <v>53</v>
      </c>
      <c r="G251">
        <f>ROUND(E251+F251/60,2)</f>
        <v>2.88</v>
      </c>
      <c r="H251">
        <f>60*E251+F251</f>
        <v>173</v>
      </c>
      <c r="I251" s="3">
        <f>5*(3600/H251)</f>
        <v>104.04624277456648</v>
      </c>
      <c r="J251" s="16">
        <f t="shared" si="3"/>
        <v>0</v>
      </c>
    </row>
    <row r="252" spans="1:10" x14ac:dyDescent="0.25">
      <c r="A252" s="4" t="s">
        <v>115</v>
      </c>
      <c r="B252" s="1">
        <v>3.1198E-2</v>
      </c>
      <c r="C252" s="1">
        <v>2.9186E-2</v>
      </c>
      <c r="D252" s="1">
        <f>IF(B252&gt;C252,B252-C252,C252-B252)</f>
        <v>2.0119999999999999E-3</v>
      </c>
      <c r="E252">
        <f>MINUTE(D252)</f>
        <v>2</v>
      </c>
      <c r="F252">
        <f>SECOND(D252)</f>
        <v>54</v>
      </c>
      <c r="G252">
        <f>ROUND(E252+F252/60,2)</f>
        <v>2.9</v>
      </c>
      <c r="H252">
        <f>60*E252+F252</f>
        <v>174</v>
      </c>
      <c r="I252" s="3">
        <f>5*(3600/H252)</f>
        <v>103.44827586206897</v>
      </c>
      <c r="J252" s="16">
        <f t="shared" si="3"/>
        <v>0</v>
      </c>
    </row>
    <row r="253" spans="1:10" x14ac:dyDescent="0.25">
      <c r="A253" s="4" t="s">
        <v>87</v>
      </c>
      <c r="B253" s="1">
        <v>0.517347</v>
      </c>
      <c r="C253" s="1">
        <v>0.51533499999999999</v>
      </c>
      <c r="D253" s="1">
        <f>IF(B253&gt;C253,B253-C253,C253-B253)</f>
        <v>2.0120000000000138E-3</v>
      </c>
      <c r="E253">
        <f>MINUTE(D253)</f>
        <v>2</v>
      </c>
      <c r="F253">
        <f>SECOND(D253)</f>
        <v>54</v>
      </c>
      <c r="G253">
        <f>ROUND(E253+F253/60,2)</f>
        <v>2.9</v>
      </c>
      <c r="H253">
        <f>60*E253+F253</f>
        <v>174</v>
      </c>
      <c r="I253" s="3">
        <f>5*(3600/H253)</f>
        <v>103.44827586206897</v>
      </c>
      <c r="J253" s="16">
        <f t="shared" si="3"/>
        <v>0</v>
      </c>
    </row>
    <row r="254" spans="1:10" x14ac:dyDescent="0.25">
      <c r="A254" s="4" t="s">
        <v>114</v>
      </c>
      <c r="B254" s="1">
        <v>0.56009799999999998</v>
      </c>
      <c r="C254" s="1">
        <v>0.55808599999999997</v>
      </c>
      <c r="D254" s="1">
        <f>IF(B254&gt;C254,B254-C254,C254-B254)</f>
        <v>2.0120000000000138E-3</v>
      </c>
      <c r="E254">
        <f>MINUTE(D254)</f>
        <v>2</v>
      </c>
      <c r="F254">
        <f>SECOND(D254)</f>
        <v>54</v>
      </c>
      <c r="G254">
        <f>ROUND(E254+F254/60,2)</f>
        <v>2.9</v>
      </c>
      <c r="H254">
        <f>60*E254+F254</f>
        <v>174</v>
      </c>
      <c r="I254" s="3">
        <f>5*(3600/H254)</f>
        <v>103.44827586206897</v>
      </c>
      <c r="J254" s="16">
        <f t="shared" si="3"/>
        <v>0</v>
      </c>
    </row>
    <row r="255" spans="1:10" x14ac:dyDescent="0.25">
      <c r="A255" s="4" t="s">
        <v>35</v>
      </c>
      <c r="B255" s="1">
        <v>3.5965999999999998E-2</v>
      </c>
      <c r="C255" s="1">
        <v>3.7982000000000002E-2</v>
      </c>
      <c r="D255" s="1">
        <f>IF(B255&gt;C255,B255-C255,C255-B255)</f>
        <v>2.0160000000000039E-3</v>
      </c>
      <c r="E255">
        <f>MINUTE(D255)</f>
        <v>2</v>
      </c>
      <c r="F255">
        <f>SECOND(D255)</f>
        <v>54</v>
      </c>
      <c r="G255">
        <f>ROUND(E255+F255/60,2)</f>
        <v>2.9</v>
      </c>
      <c r="H255">
        <f>60*E255+F255</f>
        <v>174</v>
      </c>
      <c r="I255" s="3">
        <f>5*(3600/H255)</f>
        <v>103.44827586206897</v>
      </c>
      <c r="J255" s="16">
        <f t="shared" si="3"/>
        <v>0</v>
      </c>
    </row>
    <row r="256" spans="1:10" x14ac:dyDescent="0.25">
      <c r="A256" s="4" t="s">
        <v>293</v>
      </c>
      <c r="B256" s="1">
        <v>0.55314399999999997</v>
      </c>
      <c r="C256" s="1">
        <v>0.55515999999999999</v>
      </c>
      <c r="D256" s="1">
        <f>IF(B256&gt;C256,B256-C256,C256-B256)</f>
        <v>2.0160000000000178E-3</v>
      </c>
      <c r="E256">
        <f>MINUTE(D256)</f>
        <v>2</v>
      </c>
      <c r="F256">
        <f>SECOND(D256)</f>
        <v>54</v>
      </c>
      <c r="G256">
        <f>ROUND(E256+F256/60,2)</f>
        <v>2.9</v>
      </c>
      <c r="H256">
        <f>60*E256+F256</f>
        <v>174</v>
      </c>
      <c r="I256" s="3">
        <f>5*(3600/H256)</f>
        <v>103.44827586206897</v>
      </c>
      <c r="J256" s="16">
        <f t="shared" si="3"/>
        <v>0</v>
      </c>
    </row>
    <row r="257" spans="1:10" x14ac:dyDescent="0.25">
      <c r="A257" s="4" t="s">
        <v>162</v>
      </c>
      <c r="B257" s="1">
        <v>0.17679500000000001</v>
      </c>
      <c r="C257" s="1">
        <v>0.17477100000000001</v>
      </c>
      <c r="D257" s="1">
        <f>IF(B257&gt;C257,B257-C257,C257-B257)</f>
        <v>2.023999999999998E-3</v>
      </c>
      <c r="E257">
        <f>MINUTE(D257)</f>
        <v>2</v>
      </c>
      <c r="F257">
        <f>SECOND(D257)</f>
        <v>55</v>
      </c>
      <c r="G257">
        <f>ROUND(E257+F257/60,2)</f>
        <v>2.92</v>
      </c>
      <c r="H257">
        <f>60*E257+F257</f>
        <v>175</v>
      </c>
      <c r="I257" s="3">
        <f>5*(3600/H257)</f>
        <v>102.85714285714286</v>
      </c>
      <c r="J257" s="16">
        <f t="shared" si="3"/>
        <v>0</v>
      </c>
    </row>
    <row r="258" spans="1:10" x14ac:dyDescent="0.25">
      <c r="A258" s="4" t="s">
        <v>117</v>
      </c>
      <c r="B258" s="1">
        <v>0.84016999999999997</v>
      </c>
      <c r="C258" s="1">
        <v>0.84218999999999999</v>
      </c>
      <c r="D258" s="1">
        <f>IF(B258&gt;C258,B258-C258,C258-B258)</f>
        <v>2.0200000000000218E-3</v>
      </c>
      <c r="E258">
        <f>MINUTE(D258)</f>
        <v>2</v>
      </c>
      <c r="F258">
        <f>SECOND(D258)</f>
        <v>55</v>
      </c>
      <c r="G258">
        <f>ROUND(E258+F258/60,2)</f>
        <v>2.92</v>
      </c>
      <c r="H258">
        <f>60*E258+F258</f>
        <v>175</v>
      </c>
      <c r="I258" s="3">
        <f>5*(3600/H258)</f>
        <v>102.85714285714286</v>
      </c>
      <c r="J258" s="16">
        <f t="shared" si="3"/>
        <v>0</v>
      </c>
    </row>
    <row r="259" spans="1:10" x14ac:dyDescent="0.25">
      <c r="A259" s="4" t="s">
        <v>139</v>
      </c>
      <c r="B259" s="1">
        <v>0.28436099999999997</v>
      </c>
      <c r="C259" s="1">
        <v>0.286385</v>
      </c>
      <c r="D259" s="1">
        <f>IF(B259&gt;C259,B259-C259,C259-B259)</f>
        <v>2.0240000000000258E-3</v>
      </c>
      <c r="E259">
        <f>MINUTE(D259)</f>
        <v>2</v>
      </c>
      <c r="F259">
        <f>SECOND(D259)</f>
        <v>55</v>
      </c>
      <c r="G259">
        <f>ROUND(E259+F259/60,2)</f>
        <v>2.92</v>
      </c>
      <c r="H259">
        <f>60*E259+F259</f>
        <v>175</v>
      </c>
      <c r="I259" s="3">
        <f>5*(3600/H259)</f>
        <v>102.85714285714286</v>
      </c>
      <c r="J259" s="16">
        <f t="shared" ref="J259:J322" si="4">IF(I259&gt;140,1,0)</f>
        <v>0</v>
      </c>
    </row>
    <row r="260" spans="1:10" x14ac:dyDescent="0.25">
      <c r="A260" s="4" t="s">
        <v>217</v>
      </c>
      <c r="B260" s="1">
        <v>9.6702999999999997E-2</v>
      </c>
      <c r="C260" s="1">
        <v>9.4674999999999995E-2</v>
      </c>
      <c r="D260" s="1">
        <f>IF(B260&gt;C260,B260-C260,C260-B260)</f>
        <v>2.028000000000002E-3</v>
      </c>
      <c r="E260">
        <f>MINUTE(D260)</f>
        <v>2</v>
      </c>
      <c r="F260">
        <f>SECOND(D260)</f>
        <v>55</v>
      </c>
      <c r="G260">
        <f>ROUND(E260+F260/60,2)</f>
        <v>2.92</v>
      </c>
      <c r="H260">
        <f>60*E260+F260</f>
        <v>175</v>
      </c>
      <c r="I260" s="3">
        <f>5*(3600/H260)</f>
        <v>102.85714285714286</v>
      </c>
      <c r="J260" s="16">
        <f t="shared" si="4"/>
        <v>0</v>
      </c>
    </row>
    <row r="261" spans="1:10" x14ac:dyDescent="0.25">
      <c r="A261" s="4" t="s">
        <v>250</v>
      </c>
      <c r="B261" s="1">
        <v>0.69297900000000001</v>
      </c>
      <c r="C261" s="1">
        <v>0.69500300000000004</v>
      </c>
      <c r="D261" s="1">
        <f>IF(B261&gt;C261,B261-C261,C261-B261)</f>
        <v>2.0240000000000258E-3</v>
      </c>
      <c r="E261">
        <f>MINUTE(D261)</f>
        <v>2</v>
      </c>
      <c r="F261">
        <f>SECOND(D261)</f>
        <v>55</v>
      </c>
      <c r="G261">
        <f>ROUND(E261+F261/60,2)</f>
        <v>2.92</v>
      </c>
      <c r="H261">
        <f>60*E261+F261</f>
        <v>175</v>
      </c>
      <c r="I261" s="3">
        <f>5*(3600/H261)</f>
        <v>102.85714285714286</v>
      </c>
      <c r="J261" s="16">
        <f t="shared" si="4"/>
        <v>0</v>
      </c>
    </row>
    <row r="262" spans="1:10" x14ac:dyDescent="0.25">
      <c r="A262" s="4" t="s">
        <v>396</v>
      </c>
      <c r="B262" s="1">
        <v>0.14202300000000001</v>
      </c>
      <c r="C262" s="1">
        <v>0.13999500000000001</v>
      </c>
      <c r="D262" s="1">
        <f>IF(B262&gt;C262,B262-C262,C262-B262)</f>
        <v>2.028000000000002E-3</v>
      </c>
      <c r="E262">
        <f>MINUTE(D262)</f>
        <v>2</v>
      </c>
      <c r="F262">
        <f>SECOND(D262)</f>
        <v>55</v>
      </c>
      <c r="G262">
        <f>ROUND(E262+F262/60,2)</f>
        <v>2.92</v>
      </c>
      <c r="H262">
        <f>60*E262+F262</f>
        <v>175</v>
      </c>
      <c r="I262" s="3">
        <f>5*(3600/H262)</f>
        <v>102.85714285714286</v>
      </c>
      <c r="J262" s="16">
        <f t="shared" si="4"/>
        <v>0</v>
      </c>
    </row>
    <row r="263" spans="1:10" x14ac:dyDescent="0.25">
      <c r="A263" s="4" t="s">
        <v>143</v>
      </c>
      <c r="B263" s="1">
        <v>0.46729599999999999</v>
      </c>
      <c r="C263" s="1">
        <v>0.46933599999999998</v>
      </c>
      <c r="D263" s="1">
        <f>IF(B263&gt;C263,B263-C263,C263-B263)</f>
        <v>2.0399999999999863E-3</v>
      </c>
      <c r="E263">
        <f>MINUTE(D263)</f>
        <v>2</v>
      </c>
      <c r="F263">
        <f>SECOND(D263)</f>
        <v>56</v>
      </c>
      <c r="G263">
        <f>ROUND(E263+F263/60,2)</f>
        <v>2.93</v>
      </c>
      <c r="H263">
        <f>60*E263+F263</f>
        <v>176</v>
      </c>
      <c r="I263" s="3">
        <f>5*(3600/H263)</f>
        <v>102.27272727272727</v>
      </c>
      <c r="J263" s="16">
        <f t="shared" si="4"/>
        <v>0</v>
      </c>
    </row>
    <row r="264" spans="1:10" x14ac:dyDescent="0.25">
      <c r="A264" s="4" t="s">
        <v>109</v>
      </c>
      <c r="B264" s="1">
        <v>0.869726</v>
      </c>
      <c r="C264" s="1">
        <v>0.86768999999999996</v>
      </c>
      <c r="D264" s="1">
        <f>IF(B264&gt;C264,B264-C264,C264-B264)</f>
        <v>2.0360000000000378E-3</v>
      </c>
      <c r="E264">
        <f>MINUTE(D264)</f>
        <v>2</v>
      </c>
      <c r="F264">
        <f>SECOND(D264)</f>
        <v>56</v>
      </c>
      <c r="G264">
        <f>ROUND(E264+F264/60,2)</f>
        <v>2.93</v>
      </c>
      <c r="H264">
        <f>60*E264+F264</f>
        <v>176</v>
      </c>
      <c r="I264" s="3">
        <f>5*(3600/H264)</f>
        <v>102.27272727272727</v>
      </c>
      <c r="J264" s="16">
        <f t="shared" si="4"/>
        <v>0</v>
      </c>
    </row>
    <row r="265" spans="1:10" x14ac:dyDescent="0.25">
      <c r="A265" s="4" t="s">
        <v>165</v>
      </c>
      <c r="B265" s="1">
        <v>0.16714200000000001</v>
      </c>
      <c r="C265" s="1">
        <v>0.165106</v>
      </c>
      <c r="D265" s="1">
        <f>IF(B265&gt;C265,B265-C265,C265-B265)</f>
        <v>2.03600000000001E-3</v>
      </c>
      <c r="E265">
        <f>MINUTE(D265)</f>
        <v>2</v>
      </c>
      <c r="F265">
        <f>SECOND(D265)</f>
        <v>56</v>
      </c>
      <c r="G265">
        <f>ROUND(E265+F265/60,2)</f>
        <v>2.93</v>
      </c>
      <c r="H265">
        <f>60*E265+F265</f>
        <v>176</v>
      </c>
      <c r="I265" s="3">
        <f>5*(3600/H265)</f>
        <v>102.27272727272727</v>
      </c>
      <c r="J265" s="16">
        <f t="shared" si="4"/>
        <v>0</v>
      </c>
    </row>
    <row r="266" spans="1:10" x14ac:dyDescent="0.25">
      <c r="A266" s="4" t="s">
        <v>58</v>
      </c>
      <c r="B266" s="1">
        <v>0.88663099999999995</v>
      </c>
      <c r="C266" s="1">
        <v>0.888683</v>
      </c>
      <c r="D266" s="1">
        <f>IF(B266&gt;C266,B266-C266,C266-B266)</f>
        <v>2.0520000000000538E-3</v>
      </c>
      <c r="E266">
        <f>MINUTE(D266)</f>
        <v>2</v>
      </c>
      <c r="F266">
        <f>SECOND(D266)</f>
        <v>57</v>
      </c>
      <c r="G266">
        <f>ROUND(E266+F266/60,2)</f>
        <v>2.95</v>
      </c>
      <c r="H266">
        <f>60*E266+F266</f>
        <v>177</v>
      </c>
      <c r="I266" s="3">
        <f>5*(3600/H266)</f>
        <v>101.69491525423729</v>
      </c>
      <c r="J266" s="16">
        <f t="shared" si="4"/>
        <v>0</v>
      </c>
    </row>
    <row r="267" spans="1:10" x14ac:dyDescent="0.25">
      <c r="A267" s="4" t="s">
        <v>158</v>
      </c>
      <c r="B267" s="1">
        <v>0.82938000000000001</v>
      </c>
      <c r="C267" s="1">
        <v>0.82733199999999996</v>
      </c>
      <c r="D267" s="1">
        <f>IF(B267&gt;C267,B267-C267,C267-B267)</f>
        <v>2.0480000000000498E-3</v>
      </c>
      <c r="E267">
        <f>MINUTE(D267)</f>
        <v>2</v>
      </c>
      <c r="F267">
        <f>SECOND(D267)</f>
        <v>57</v>
      </c>
      <c r="G267">
        <f>ROUND(E267+F267/60,2)</f>
        <v>2.95</v>
      </c>
      <c r="H267">
        <f>60*E267+F267</f>
        <v>177</v>
      </c>
      <c r="I267" s="3">
        <f>5*(3600/H267)</f>
        <v>101.69491525423729</v>
      </c>
      <c r="J267" s="16">
        <f t="shared" si="4"/>
        <v>0</v>
      </c>
    </row>
    <row r="268" spans="1:10" x14ac:dyDescent="0.25">
      <c r="A268" s="4" t="s">
        <v>23</v>
      </c>
      <c r="B268" s="1">
        <v>0.551709</v>
      </c>
      <c r="C268" s="1">
        <v>0.54965699999999995</v>
      </c>
      <c r="D268" s="1">
        <f>IF(B268&gt;C268,B268-C268,C268-B268)</f>
        <v>2.0520000000000538E-3</v>
      </c>
      <c r="E268">
        <f>MINUTE(D268)</f>
        <v>2</v>
      </c>
      <c r="F268">
        <f>SECOND(D268)</f>
        <v>57</v>
      </c>
      <c r="G268">
        <f>ROUND(E268+F268/60,2)</f>
        <v>2.95</v>
      </c>
      <c r="H268">
        <f>60*E268+F268</f>
        <v>177</v>
      </c>
      <c r="I268" s="3">
        <f>5*(3600/H268)</f>
        <v>101.69491525423729</v>
      </c>
      <c r="J268" s="16">
        <f t="shared" si="4"/>
        <v>0</v>
      </c>
    </row>
    <row r="269" spans="1:10" x14ac:dyDescent="0.25">
      <c r="A269" s="4" t="s">
        <v>211</v>
      </c>
      <c r="B269" s="1">
        <v>0.29138900000000001</v>
      </c>
      <c r="C269" s="1">
        <v>0.29344100000000001</v>
      </c>
      <c r="D269" s="1">
        <f>IF(B269&gt;C269,B269-C269,C269-B269)</f>
        <v>2.0519999999999983E-3</v>
      </c>
      <c r="E269">
        <f>MINUTE(D269)</f>
        <v>2</v>
      </c>
      <c r="F269">
        <f>SECOND(D269)</f>
        <v>57</v>
      </c>
      <c r="G269">
        <f>ROUND(E269+F269/60,2)</f>
        <v>2.95</v>
      </c>
      <c r="H269">
        <f>60*E269+F269</f>
        <v>177</v>
      </c>
      <c r="I269" s="3">
        <f>5*(3600/H269)</f>
        <v>101.69491525423729</v>
      </c>
      <c r="J269" s="16">
        <f t="shared" si="4"/>
        <v>0</v>
      </c>
    </row>
    <row r="270" spans="1:10" x14ac:dyDescent="0.25">
      <c r="A270" s="4" t="s">
        <v>257</v>
      </c>
      <c r="B270" s="1">
        <v>0.66598000000000002</v>
      </c>
      <c r="C270" s="1">
        <v>0.66393599999999997</v>
      </c>
      <c r="D270" s="1">
        <f>IF(B270&gt;C270,B270-C270,C270-B270)</f>
        <v>2.0440000000000458E-3</v>
      </c>
      <c r="E270">
        <f>MINUTE(D270)</f>
        <v>2</v>
      </c>
      <c r="F270">
        <f>SECOND(D270)</f>
        <v>57</v>
      </c>
      <c r="G270">
        <f>ROUND(E270+F270/60,2)</f>
        <v>2.95</v>
      </c>
      <c r="H270">
        <f>60*E270+F270</f>
        <v>177</v>
      </c>
      <c r="I270" s="3">
        <f>5*(3600/H270)</f>
        <v>101.69491525423729</v>
      </c>
      <c r="J270" s="16">
        <f t="shared" si="4"/>
        <v>0</v>
      </c>
    </row>
    <row r="271" spans="1:10" x14ac:dyDescent="0.25">
      <c r="A271" s="4" t="s">
        <v>96</v>
      </c>
      <c r="B271" s="1">
        <v>0.699542</v>
      </c>
      <c r="C271" s="1">
        <v>0.70160199999999995</v>
      </c>
      <c r="D271" s="1">
        <f>IF(B271&gt;C271,B271-C271,C271-B271)</f>
        <v>2.0599999999999508E-3</v>
      </c>
      <c r="E271">
        <f>MINUTE(D271)</f>
        <v>2</v>
      </c>
      <c r="F271">
        <f>SECOND(D271)</f>
        <v>58</v>
      </c>
      <c r="G271">
        <f>ROUND(E271+F271/60,2)</f>
        <v>2.97</v>
      </c>
      <c r="H271">
        <f>60*E271+F271</f>
        <v>178</v>
      </c>
      <c r="I271" s="3">
        <f>5*(3600/H271)</f>
        <v>101.12359550561798</v>
      </c>
      <c r="J271" s="16">
        <f t="shared" si="4"/>
        <v>0</v>
      </c>
    </row>
    <row r="272" spans="1:10" x14ac:dyDescent="0.25">
      <c r="A272" s="4" t="s">
        <v>117</v>
      </c>
      <c r="B272" s="1">
        <v>0.26135000000000003</v>
      </c>
      <c r="C272" s="1">
        <v>0.26341399999999998</v>
      </c>
      <c r="D272" s="1">
        <f>IF(B272&gt;C272,B272-C272,C272-B272)</f>
        <v>2.0639999999999548E-3</v>
      </c>
      <c r="E272">
        <f>MINUTE(D272)</f>
        <v>2</v>
      </c>
      <c r="F272">
        <f>SECOND(D272)</f>
        <v>58</v>
      </c>
      <c r="G272">
        <f>ROUND(E272+F272/60,2)</f>
        <v>2.97</v>
      </c>
      <c r="H272">
        <f>60*E272+F272</f>
        <v>178</v>
      </c>
      <c r="I272" s="3">
        <f>5*(3600/H272)</f>
        <v>101.12359550561798</v>
      </c>
      <c r="J272" s="16">
        <f t="shared" si="4"/>
        <v>0</v>
      </c>
    </row>
    <row r="273" spans="1:10" x14ac:dyDescent="0.25">
      <c r="A273" s="4" t="s">
        <v>117</v>
      </c>
      <c r="B273" s="1">
        <v>0.97350800000000004</v>
      </c>
      <c r="C273" s="1">
        <v>0.97145199999999998</v>
      </c>
      <c r="D273" s="1">
        <f>IF(B273&gt;C273,B273-C273,C273-B273)</f>
        <v>2.0560000000000578E-3</v>
      </c>
      <c r="E273">
        <f>MINUTE(D273)</f>
        <v>2</v>
      </c>
      <c r="F273">
        <f>SECOND(D273)</f>
        <v>58</v>
      </c>
      <c r="G273">
        <f>ROUND(E273+F273/60,2)</f>
        <v>2.97</v>
      </c>
      <c r="H273">
        <f>60*E273+F273</f>
        <v>178</v>
      </c>
      <c r="I273" s="3">
        <f>5*(3600/H273)</f>
        <v>101.12359550561798</v>
      </c>
      <c r="J273" s="16">
        <f t="shared" si="4"/>
        <v>0</v>
      </c>
    </row>
    <row r="274" spans="1:10" x14ac:dyDescent="0.25">
      <c r="A274" s="4" t="s">
        <v>50</v>
      </c>
      <c r="B274" s="1">
        <v>0.14851200000000001</v>
      </c>
      <c r="C274" s="1">
        <v>0.14644799999999999</v>
      </c>
      <c r="D274" s="1">
        <f>IF(B274&gt;C274,B274-C274,C274-B274)</f>
        <v>2.0640000000000103E-3</v>
      </c>
      <c r="E274">
        <f>MINUTE(D274)</f>
        <v>2</v>
      </c>
      <c r="F274">
        <f>SECOND(D274)</f>
        <v>58</v>
      </c>
      <c r="G274">
        <f>ROUND(E274+F274/60,2)</f>
        <v>2.97</v>
      </c>
      <c r="H274">
        <f>60*E274+F274</f>
        <v>178</v>
      </c>
      <c r="I274" s="3">
        <f>5*(3600/H274)</f>
        <v>101.12359550561798</v>
      </c>
      <c r="J274" s="16">
        <f t="shared" si="4"/>
        <v>0</v>
      </c>
    </row>
    <row r="275" spans="1:10" x14ac:dyDescent="0.25">
      <c r="A275" s="4" t="s">
        <v>49</v>
      </c>
      <c r="B275" s="1">
        <v>0.16655700000000001</v>
      </c>
      <c r="C275" s="1">
        <v>0.168625</v>
      </c>
      <c r="D275" s="1">
        <f>IF(B275&gt;C275,B275-C275,C275-B275)</f>
        <v>2.0679999999999865E-3</v>
      </c>
      <c r="E275">
        <f>MINUTE(D275)</f>
        <v>2</v>
      </c>
      <c r="F275">
        <f>SECOND(D275)</f>
        <v>59</v>
      </c>
      <c r="G275">
        <f>ROUND(E275+F275/60,2)</f>
        <v>2.98</v>
      </c>
      <c r="H275">
        <f>60*E275+F275</f>
        <v>179</v>
      </c>
      <c r="I275" s="3">
        <f>5*(3600/H275)</f>
        <v>100.55865921787711</v>
      </c>
      <c r="J275" s="16">
        <f t="shared" si="4"/>
        <v>0</v>
      </c>
    </row>
    <row r="276" spans="1:10" x14ac:dyDescent="0.25">
      <c r="A276" s="4" t="s">
        <v>173</v>
      </c>
      <c r="B276" s="1">
        <v>0.45782299999999998</v>
      </c>
      <c r="C276" s="1">
        <v>0.45575500000000002</v>
      </c>
      <c r="D276" s="1">
        <f>IF(B276&gt;C276,B276-C276,C276-B276)</f>
        <v>2.0679999999999588E-3</v>
      </c>
      <c r="E276">
        <f>MINUTE(D276)</f>
        <v>2</v>
      </c>
      <c r="F276">
        <f>SECOND(D276)</f>
        <v>59</v>
      </c>
      <c r="G276">
        <f>ROUND(E276+F276/60,2)</f>
        <v>2.98</v>
      </c>
      <c r="H276">
        <f>60*E276+F276</f>
        <v>179</v>
      </c>
      <c r="I276" s="3">
        <f>5*(3600/H276)</f>
        <v>100.55865921787711</v>
      </c>
      <c r="J276" s="16">
        <f t="shared" si="4"/>
        <v>0</v>
      </c>
    </row>
    <row r="277" spans="1:10" x14ac:dyDescent="0.25">
      <c r="A277" s="4" t="s">
        <v>83</v>
      </c>
      <c r="B277" s="1">
        <v>0.91982600000000003</v>
      </c>
      <c r="C277" s="1">
        <v>0.91775399999999996</v>
      </c>
      <c r="D277" s="1">
        <f>IF(B277&gt;C277,B277-C277,C277-B277)</f>
        <v>2.0720000000000738E-3</v>
      </c>
      <c r="E277">
        <f>MINUTE(D277)</f>
        <v>2</v>
      </c>
      <c r="F277">
        <f>SECOND(D277)</f>
        <v>59</v>
      </c>
      <c r="G277">
        <f>ROUND(E277+F277/60,2)</f>
        <v>2.98</v>
      </c>
      <c r="H277">
        <f>60*E277+F277</f>
        <v>179</v>
      </c>
      <c r="I277" s="3">
        <f>5*(3600/H277)</f>
        <v>100.55865921787711</v>
      </c>
      <c r="J277" s="16">
        <f t="shared" si="4"/>
        <v>0</v>
      </c>
    </row>
    <row r="278" spans="1:10" x14ac:dyDescent="0.25">
      <c r="A278" s="4" t="s">
        <v>241</v>
      </c>
      <c r="B278" s="1">
        <v>0.12286</v>
      </c>
      <c r="C278" s="1">
        <v>0.12078800000000001</v>
      </c>
      <c r="D278" s="1">
        <f>IF(B278&gt;C278,B278-C278,C278-B278)</f>
        <v>2.0719999999999905E-3</v>
      </c>
      <c r="E278">
        <f>MINUTE(D278)</f>
        <v>2</v>
      </c>
      <c r="F278">
        <f>SECOND(D278)</f>
        <v>59</v>
      </c>
      <c r="G278">
        <f>ROUND(E278+F278/60,2)</f>
        <v>2.98</v>
      </c>
      <c r="H278">
        <f>60*E278+F278</f>
        <v>179</v>
      </c>
      <c r="I278" s="3">
        <f>5*(3600/H278)</f>
        <v>100.55865921787711</v>
      </c>
      <c r="J278" s="16">
        <f t="shared" si="4"/>
        <v>0</v>
      </c>
    </row>
    <row r="279" spans="1:10" x14ac:dyDescent="0.25">
      <c r="A279" s="4" t="s">
        <v>70</v>
      </c>
      <c r="B279" s="1">
        <v>0.55355699999999997</v>
      </c>
      <c r="C279" s="1">
        <v>0.55564499999999994</v>
      </c>
      <c r="D279" s="1">
        <f>IF(B279&gt;C279,B279-C279,C279-B279)</f>
        <v>2.0879999999999788E-3</v>
      </c>
      <c r="E279">
        <f>MINUTE(D279)</f>
        <v>3</v>
      </c>
      <c r="F279">
        <f>SECOND(D279)</f>
        <v>0</v>
      </c>
      <c r="G279">
        <f>ROUND(E279+F279/60,2)</f>
        <v>3</v>
      </c>
      <c r="H279">
        <f>60*E279+F279</f>
        <v>180</v>
      </c>
      <c r="I279" s="3">
        <f>5*(3600/H279)</f>
        <v>100</v>
      </c>
      <c r="J279" s="16">
        <f t="shared" si="4"/>
        <v>0</v>
      </c>
    </row>
    <row r="280" spans="1:10" x14ac:dyDescent="0.25">
      <c r="A280" s="4" t="s">
        <v>66</v>
      </c>
      <c r="B280" s="1">
        <v>0.21590100000000001</v>
      </c>
      <c r="C280" s="1">
        <v>0.21798100000000001</v>
      </c>
      <c r="D280" s="1">
        <f>IF(B280&gt;C280,B280-C280,C280-B280)</f>
        <v>2.0799999999999985E-3</v>
      </c>
      <c r="E280">
        <f>MINUTE(D280)</f>
        <v>3</v>
      </c>
      <c r="F280">
        <f>SECOND(D280)</f>
        <v>0</v>
      </c>
      <c r="G280">
        <f>ROUND(E280+F280/60,2)</f>
        <v>3</v>
      </c>
      <c r="H280">
        <f>60*E280+F280</f>
        <v>180</v>
      </c>
      <c r="I280" s="3">
        <f>5*(3600/H280)</f>
        <v>100</v>
      </c>
      <c r="J280" s="16">
        <f t="shared" si="4"/>
        <v>0</v>
      </c>
    </row>
    <row r="281" spans="1:10" x14ac:dyDescent="0.25">
      <c r="A281" s="4" t="s">
        <v>74</v>
      </c>
      <c r="B281" s="1">
        <v>0.61492599999999997</v>
      </c>
      <c r="C281" s="1">
        <v>0.61283799999999999</v>
      </c>
      <c r="D281" s="1">
        <f>IF(B281&gt;C281,B281-C281,C281-B281)</f>
        <v>2.0879999999999788E-3</v>
      </c>
      <c r="E281">
        <f>MINUTE(D281)</f>
        <v>3</v>
      </c>
      <c r="F281">
        <f>SECOND(D281)</f>
        <v>0</v>
      </c>
      <c r="G281">
        <f>ROUND(E281+F281/60,2)</f>
        <v>3</v>
      </c>
      <c r="H281">
        <f>60*E281+F281</f>
        <v>180</v>
      </c>
      <c r="I281" s="3">
        <f>5*(3600/H281)</f>
        <v>100</v>
      </c>
      <c r="J281" s="16">
        <f t="shared" si="4"/>
        <v>0</v>
      </c>
    </row>
    <row r="282" spans="1:10" x14ac:dyDescent="0.25">
      <c r="A282" s="4" t="s">
        <v>194</v>
      </c>
      <c r="B282" s="1">
        <v>0.59056699999999995</v>
      </c>
      <c r="C282" s="1">
        <v>0.58848299999999998</v>
      </c>
      <c r="D282" s="1">
        <f>IF(B282&gt;C282,B282-C282,C282-B282)</f>
        <v>2.0839999999999748E-3</v>
      </c>
      <c r="E282">
        <f>MINUTE(D282)</f>
        <v>3</v>
      </c>
      <c r="F282">
        <f>SECOND(D282)</f>
        <v>0</v>
      </c>
      <c r="G282">
        <f>ROUND(E282+F282/60,2)</f>
        <v>3</v>
      </c>
      <c r="H282">
        <f>60*E282+F282</f>
        <v>180</v>
      </c>
      <c r="I282" s="3">
        <f>5*(3600/H282)</f>
        <v>100</v>
      </c>
      <c r="J282" s="16">
        <f t="shared" si="4"/>
        <v>0</v>
      </c>
    </row>
    <row r="283" spans="1:10" x14ac:dyDescent="0.25">
      <c r="A283" s="4" t="s">
        <v>205</v>
      </c>
      <c r="B283" s="1">
        <v>0.62204599999999999</v>
      </c>
      <c r="C283" s="1">
        <v>0.62412999999999996</v>
      </c>
      <c r="D283" s="1">
        <f>IF(B283&gt;C283,B283-C283,C283-B283)</f>
        <v>2.0839999999999748E-3</v>
      </c>
      <c r="E283">
        <f>MINUTE(D283)</f>
        <v>3</v>
      </c>
      <c r="F283">
        <f>SECOND(D283)</f>
        <v>0</v>
      </c>
      <c r="G283">
        <f>ROUND(E283+F283/60,2)</f>
        <v>3</v>
      </c>
      <c r="H283">
        <f>60*E283+F283</f>
        <v>180</v>
      </c>
      <c r="I283" s="3">
        <f>5*(3600/H283)</f>
        <v>100</v>
      </c>
      <c r="J283" s="16">
        <f t="shared" si="4"/>
        <v>0</v>
      </c>
    </row>
    <row r="284" spans="1:10" x14ac:dyDescent="0.25">
      <c r="A284" s="4" t="s">
        <v>323</v>
      </c>
      <c r="B284" s="1">
        <v>5.8838000000000001E-2</v>
      </c>
      <c r="C284" s="1">
        <v>5.6753999999999999E-2</v>
      </c>
      <c r="D284" s="1">
        <f>IF(B284&gt;C284,B284-C284,C284-B284)</f>
        <v>2.0840000000000025E-3</v>
      </c>
      <c r="E284">
        <f>MINUTE(D284)</f>
        <v>3</v>
      </c>
      <c r="F284">
        <f>SECOND(D284)</f>
        <v>0</v>
      </c>
      <c r="G284">
        <f>ROUND(E284+F284/60,2)</f>
        <v>3</v>
      </c>
      <c r="H284">
        <f>60*E284+F284</f>
        <v>180</v>
      </c>
      <c r="I284" s="3">
        <f>5*(3600/H284)</f>
        <v>100</v>
      </c>
      <c r="J284" s="16">
        <f t="shared" si="4"/>
        <v>0</v>
      </c>
    </row>
    <row r="285" spans="1:10" x14ac:dyDescent="0.25">
      <c r="A285" s="4" t="s">
        <v>367</v>
      </c>
      <c r="B285" s="1">
        <v>0.64812400000000003</v>
      </c>
      <c r="C285" s="1">
        <v>0.64603600000000005</v>
      </c>
      <c r="D285" s="1">
        <f>IF(B285&gt;C285,B285-C285,C285-B285)</f>
        <v>2.0879999999999788E-3</v>
      </c>
      <c r="E285">
        <f>MINUTE(D285)</f>
        <v>3</v>
      </c>
      <c r="F285">
        <f>SECOND(D285)</f>
        <v>0</v>
      </c>
      <c r="G285">
        <f>ROUND(E285+F285/60,2)</f>
        <v>3</v>
      </c>
      <c r="H285">
        <f>60*E285+F285</f>
        <v>180</v>
      </c>
      <c r="I285" s="3">
        <f>5*(3600/H285)</f>
        <v>100</v>
      </c>
      <c r="J285" s="16">
        <f t="shared" si="4"/>
        <v>0</v>
      </c>
    </row>
    <row r="286" spans="1:10" x14ac:dyDescent="0.25">
      <c r="A286" s="4" t="s">
        <v>174</v>
      </c>
      <c r="B286" s="1">
        <v>0.39857500000000001</v>
      </c>
      <c r="C286" s="1">
        <v>0.40067900000000001</v>
      </c>
      <c r="D286" s="1">
        <f>IF(B286&gt;C286,B286-C286,C286-B286)</f>
        <v>2.1039999999999948E-3</v>
      </c>
      <c r="E286">
        <f>MINUTE(D286)</f>
        <v>3</v>
      </c>
      <c r="F286">
        <f>SECOND(D286)</f>
        <v>2</v>
      </c>
      <c r="G286">
        <f>ROUND(E286+F286/60,2)</f>
        <v>3.03</v>
      </c>
      <c r="H286">
        <f>60*E286+F286</f>
        <v>182</v>
      </c>
      <c r="I286" s="3">
        <f>5*(3600/H286)</f>
        <v>98.901098901098905</v>
      </c>
      <c r="J286" s="16">
        <f t="shared" si="4"/>
        <v>0</v>
      </c>
    </row>
    <row r="287" spans="1:10" x14ac:dyDescent="0.25">
      <c r="A287" s="4" t="s">
        <v>101</v>
      </c>
      <c r="B287" s="1">
        <v>9.8788000000000001E-2</v>
      </c>
      <c r="C287" s="1">
        <v>9.6680000000000002E-2</v>
      </c>
      <c r="D287" s="1">
        <f>IF(B287&gt;C287,B287-C287,C287-B287)</f>
        <v>2.1079999999999988E-3</v>
      </c>
      <c r="E287">
        <f>MINUTE(D287)</f>
        <v>3</v>
      </c>
      <c r="F287">
        <f>SECOND(D287)</f>
        <v>2</v>
      </c>
      <c r="G287">
        <f>ROUND(E287+F287/60,2)</f>
        <v>3.03</v>
      </c>
      <c r="H287">
        <f>60*E287+F287</f>
        <v>182</v>
      </c>
      <c r="I287" s="3">
        <f>5*(3600/H287)</f>
        <v>98.901098901098905</v>
      </c>
      <c r="J287" s="16">
        <f t="shared" si="4"/>
        <v>0</v>
      </c>
    </row>
    <row r="288" spans="1:10" x14ac:dyDescent="0.25">
      <c r="A288" s="4" t="s">
        <v>16</v>
      </c>
      <c r="B288" s="1">
        <v>0.25660300000000003</v>
      </c>
      <c r="C288" s="1">
        <v>0.25871100000000002</v>
      </c>
      <c r="D288" s="1">
        <f>IF(B288&gt;C288,B288-C288,C288-B288)</f>
        <v>2.1079999999999988E-3</v>
      </c>
      <c r="E288">
        <f>MINUTE(D288)</f>
        <v>3</v>
      </c>
      <c r="F288">
        <f>SECOND(D288)</f>
        <v>2</v>
      </c>
      <c r="G288">
        <f>ROUND(E288+F288/60,2)</f>
        <v>3.03</v>
      </c>
      <c r="H288">
        <f>60*E288+F288</f>
        <v>182</v>
      </c>
      <c r="I288" s="3">
        <f>5*(3600/H288)</f>
        <v>98.901098901098905</v>
      </c>
      <c r="J288" s="16">
        <f t="shared" si="4"/>
        <v>0</v>
      </c>
    </row>
    <row r="289" spans="1:10" x14ac:dyDescent="0.25">
      <c r="A289" s="4" t="s">
        <v>198</v>
      </c>
      <c r="B289" s="1">
        <v>0.220692</v>
      </c>
      <c r="C289" s="1">
        <v>0.218588</v>
      </c>
      <c r="D289" s="1">
        <f>IF(B289&gt;C289,B289-C289,C289-B289)</f>
        <v>2.1039999999999948E-3</v>
      </c>
      <c r="E289">
        <f>MINUTE(D289)</f>
        <v>3</v>
      </c>
      <c r="F289">
        <f>SECOND(D289)</f>
        <v>2</v>
      </c>
      <c r="G289">
        <f>ROUND(E289+F289/60,2)</f>
        <v>3.03</v>
      </c>
      <c r="H289">
        <f>60*E289+F289</f>
        <v>182</v>
      </c>
      <c r="I289" s="3">
        <f>5*(3600/H289)</f>
        <v>98.901098901098905</v>
      </c>
      <c r="J289" s="16">
        <f t="shared" si="4"/>
        <v>0</v>
      </c>
    </row>
    <row r="290" spans="1:10" x14ac:dyDescent="0.25">
      <c r="A290" s="4" t="s">
        <v>329</v>
      </c>
      <c r="B290" s="1">
        <v>0.12620799999999999</v>
      </c>
      <c r="C290" s="1">
        <v>0.12831600000000001</v>
      </c>
      <c r="D290" s="1">
        <f>IF(B290&gt;C290,B290-C290,C290-B290)</f>
        <v>2.1080000000000265E-3</v>
      </c>
      <c r="E290">
        <f>MINUTE(D290)</f>
        <v>3</v>
      </c>
      <c r="F290">
        <f>SECOND(D290)</f>
        <v>2</v>
      </c>
      <c r="G290">
        <f>ROUND(E290+F290/60,2)</f>
        <v>3.03</v>
      </c>
      <c r="H290">
        <f>60*E290+F290</f>
        <v>182</v>
      </c>
      <c r="I290" s="3">
        <f>5*(3600/H290)</f>
        <v>98.901098901098905</v>
      </c>
      <c r="J290" s="16">
        <f t="shared" si="4"/>
        <v>0</v>
      </c>
    </row>
    <row r="291" spans="1:10" x14ac:dyDescent="0.25">
      <c r="A291" s="4" t="s">
        <v>345</v>
      </c>
      <c r="B291" s="1">
        <v>0.77340900000000001</v>
      </c>
      <c r="C291" s="1">
        <v>0.77552900000000002</v>
      </c>
      <c r="D291" s="1">
        <f>IF(B291&gt;C291,B291-C291,C291-B291)</f>
        <v>2.1200000000000108E-3</v>
      </c>
      <c r="E291">
        <f>MINUTE(D291)</f>
        <v>3</v>
      </c>
      <c r="F291">
        <f>SECOND(D291)</f>
        <v>3</v>
      </c>
      <c r="G291">
        <f>ROUND(E291+F291/60,2)</f>
        <v>3.05</v>
      </c>
      <c r="H291">
        <f>60*E291+F291</f>
        <v>183</v>
      </c>
      <c r="I291" s="3">
        <f>5*(3600/H291)</f>
        <v>98.360655737704917</v>
      </c>
      <c r="J291" s="16">
        <f t="shared" si="4"/>
        <v>0</v>
      </c>
    </row>
    <row r="292" spans="1:10" x14ac:dyDescent="0.25">
      <c r="A292" s="4" t="s">
        <v>60</v>
      </c>
      <c r="B292" s="1">
        <v>0.71798300000000004</v>
      </c>
      <c r="C292" s="1">
        <v>0.71585500000000002</v>
      </c>
      <c r="D292" s="1">
        <f>IF(B292&gt;C292,B292-C292,C292-B292)</f>
        <v>2.1280000000000188E-3</v>
      </c>
      <c r="E292">
        <f>MINUTE(D292)</f>
        <v>3</v>
      </c>
      <c r="F292">
        <f>SECOND(D292)</f>
        <v>4</v>
      </c>
      <c r="G292">
        <f>ROUND(E292+F292/60,2)</f>
        <v>3.07</v>
      </c>
      <c r="H292">
        <f>60*E292+F292</f>
        <v>184</v>
      </c>
      <c r="I292" s="3">
        <f>5*(3600/H292)</f>
        <v>97.826086956521735</v>
      </c>
      <c r="J292" s="16">
        <f t="shared" si="4"/>
        <v>0</v>
      </c>
    </row>
    <row r="293" spans="1:10" x14ac:dyDescent="0.25">
      <c r="A293" s="4" t="s">
        <v>191</v>
      </c>
      <c r="B293" s="1">
        <v>0.193879</v>
      </c>
      <c r="C293" s="1">
        <v>0.19175500000000001</v>
      </c>
      <c r="D293" s="1">
        <f>IF(B293&gt;C293,B293-C293,C293-B293)</f>
        <v>2.123999999999987E-3</v>
      </c>
      <c r="E293">
        <f>MINUTE(D293)</f>
        <v>3</v>
      </c>
      <c r="F293">
        <f>SECOND(D293)</f>
        <v>4</v>
      </c>
      <c r="G293">
        <f>ROUND(E293+F293/60,2)</f>
        <v>3.07</v>
      </c>
      <c r="H293">
        <f>60*E293+F293</f>
        <v>184</v>
      </c>
      <c r="I293" s="3">
        <f>5*(3600/H293)</f>
        <v>97.826086956521735</v>
      </c>
      <c r="J293" s="16">
        <f t="shared" si="4"/>
        <v>0</v>
      </c>
    </row>
    <row r="294" spans="1:10" x14ac:dyDescent="0.25">
      <c r="A294" s="4" t="s">
        <v>195</v>
      </c>
      <c r="B294" s="1">
        <v>0.41790500000000003</v>
      </c>
      <c r="C294" s="1">
        <v>0.415773</v>
      </c>
      <c r="D294" s="1">
        <f>IF(B294&gt;C294,B294-C294,C294-B294)</f>
        <v>2.1320000000000228E-3</v>
      </c>
      <c r="E294">
        <f>MINUTE(D294)</f>
        <v>3</v>
      </c>
      <c r="F294">
        <f>SECOND(D294)</f>
        <v>4</v>
      </c>
      <c r="G294">
        <f>ROUND(E294+F294/60,2)</f>
        <v>3.07</v>
      </c>
      <c r="H294">
        <f>60*E294+F294</f>
        <v>184</v>
      </c>
      <c r="I294" s="3">
        <f>5*(3600/H294)</f>
        <v>97.826086956521735</v>
      </c>
      <c r="J294" s="16">
        <f t="shared" si="4"/>
        <v>0</v>
      </c>
    </row>
    <row r="295" spans="1:10" x14ac:dyDescent="0.25">
      <c r="A295" s="4" t="s">
        <v>210</v>
      </c>
      <c r="B295" s="1">
        <v>0.32662200000000002</v>
      </c>
      <c r="C295" s="1">
        <v>0.32874599999999998</v>
      </c>
      <c r="D295" s="1">
        <f>IF(B295&gt;C295,B295-C295,C295-B295)</f>
        <v>2.1239999999999593E-3</v>
      </c>
      <c r="E295">
        <f>MINUTE(D295)</f>
        <v>3</v>
      </c>
      <c r="F295">
        <f>SECOND(D295)</f>
        <v>4</v>
      </c>
      <c r="G295">
        <f>ROUND(E295+F295/60,2)</f>
        <v>3.07</v>
      </c>
      <c r="H295">
        <f>60*E295+F295</f>
        <v>184</v>
      </c>
      <c r="I295" s="3">
        <f>5*(3600/H295)</f>
        <v>97.826086956521735</v>
      </c>
      <c r="J295" s="16">
        <f t="shared" si="4"/>
        <v>0</v>
      </c>
    </row>
    <row r="296" spans="1:10" x14ac:dyDescent="0.25">
      <c r="A296" s="4" t="s">
        <v>379</v>
      </c>
      <c r="B296" s="1">
        <v>0.880853</v>
      </c>
      <c r="C296" s="1">
        <v>0.88298100000000002</v>
      </c>
      <c r="D296" s="1">
        <f>IF(B296&gt;C296,B296-C296,C296-B296)</f>
        <v>2.1280000000000188E-3</v>
      </c>
      <c r="E296">
        <f>MINUTE(D296)</f>
        <v>3</v>
      </c>
      <c r="F296">
        <f>SECOND(D296)</f>
        <v>4</v>
      </c>
      <c r="G296">
        <f>ROUND(E296+F296/60,2)</f>
        <v>3.07</v>
      </c>
      <c r="H296">
        <f>60*E296+F296</f>
        <v>184</v>
      </c>
      <c r="I296" s="3">
        <f>5*(3600/H296)</f>
        <v>97.826086956521735</v>
      </c>
      <c r="J296" s="16">
        <f t="shared" si="4"/>
        <v>0</v>
      </c>
    </row>
    <row r="297" spans="1:10" x14ac:dyDescent="0.25">
      <c r="A297" s="4" t="s">
        <v>31</v>
      </c>
      <c r="B297" s="1">
        <v>0.20865400000000001</v>
      </c>
      <c r="C297" s="1">
        <v>0.21079800000000001</v>
      </c>
      <c r="D297" s="1">
        <f>IF(B297&gt;C297,B297-C297,C297-B297)</f>
        <v>2.144000000000007E-3</v>
      </c>
      <c r="E297">
        <f>MINUTE(D297)</f>
        <v>3</v>
      </c>
      <c r="F297">
        <f>SECOND(D297)</f>
        <v>5</v>
      </c>
      <c r="G297">
        <f>ROUND(E297+F297/60,2)</f>
        <v>3.08</v>
      </c>
      <c r="H297">
        <f>60*E297+F297</f>
        <v>185</v>
      </c>
      <c r="I297" s="3">
        <f>5*(3600/H297)</f>
        <v>97.297297297297291</v>
      </c>
      <c r="J297" s="16">
        <f t="shared" si="4"/>
        <v>0</v>
      </c>
    </row>
    <row r="298" spans="1:10" x14ac:dyDescent="0.25">
      <c r="A298" s="4" t="s">
        <v>49</v>
      </c>
      <c r="B298" s="1">
        <v>0.94723900000000005</v>
      </c>
      <c r="C298" s="1">
        <v>0.94938299999999998</v>
      </c>
      <c r="D298" s="1">
        <f>IF(B298&gt;C298,B298-C298,C298-B298)</f>
        <v>2.1439999999999237E-3</v>
      </c>
      <c r="E298">
        <f>MINUTE(D298)</f>
        <v>3</v>
      </c>
      <c r="F298">
        <f>SECOND(D298)</f>
        <v>5</v>
      </c>
      <c r="G298">
        <f>ROUND(E298+F298/60,2)</f>
        <v>3.08</v>
      </c>
      <c r="H298">
        <f>60*E298+F298</f>
        <v>185</v>
      </c>
      <c r="I298" s="3">
        <f>5*(3600/H298)</f>
        <v>97.297297297297291</v>
      </c>
      <c r="J298" s="16">
        <f t="shared" si="4"/>
        <v>0</v>
      </c>
    </row>
    <row r="299" spans="1:10" x14ac:dyDescent="0.25">
      <c r="A299" s="4" t="s">
        <v>40</v>
      </c>
      <c r="B299" s="1">
        <v>0.67679900000000004</v>
      </c>
      <c r="C299" s="1">
        <v>0.67894299999999996</v>
      </c>
      <c r="D299" s="1">
        <f>IF(B299&gt;C299,B299-C299,C299-B299)</f>
        <v>2.1439999999999237E-3</v>
      </c>
      <c r="E299">
        <f>MINUTE(D299)</f>
        <v>3</v>
      </c>
      <c r="F299">
        <f>SECOND(D299)</f>
        <v>5</v>
      </c>
      <c r="G299">
        <f>ROUND(E299+F299/60,2)</f>
        <v>3.08</v>
      </c>
      <c r="H299">
        <f>60*E299+F299</f>
        <v>185</v>
      </c>
      <c r="I299" s="3">
        <f>5*(3600/H299)</f>
        <v>97.297297297297291</v>
      </c>
      <c r="J299" s="16">
        <f t="shared" si="4"/>
        <v>0</v>
      </c>
    </row>
    <row r="300" spans="1:10" x14ac:dyDescent="0.25">
      <c r="A300" s="4" t="s">
        <v>88</v>
      </c>
      <c r="B300" s="1">
        <v>5.8613999999999999E-2</v>
      </c>
      <c r="C300" s="1">
        <v>5.6474000000000003E-2</v>
      </c>
      <c r="D300" s="1">
        <f>IF(B300&gt;C300,B300-C300,C300-B300)</f>
        <v>2.1399999999999961E-3</v>
      </c>
      <c r="E300">
        <f>MINUTE(D300)</f>
        <v>3</v>
      </c>
      <c r="F300">
        <f>SECOND(D300)</f>
        <v>5</v>
      </c>
      <c r="G300">
        <f>ROUND(E300+F300/60,2)</f>
        <v>3.08</v>
      </c>
      <c r="H300">
        <f>60*E300+F300</f>
        <v>185</v>
      </c>
      <c r="I300" s="3">
        <f>5*(3600/H300)</f>
        <v>97.297297297297291</v>
      </c>
      <c r="J300" s="16">
        <f t="shared" si="4"/>
        <v>0</v>
      </c>
    </row>
    <row r="301" spans="1:10" x14ac:dyDescent="0.25">
      <c r="A301" s="4" t="s">
        <v>430</v>
      </c>
      <c r="B301" s="1">
        <v>0.74694899999999997</v>
      </c>
      <c r="C301" s="1">
        <v>0.74481299999999995</v>
      </c>
      <c r="D301" s="1">
        <f>IF(B301&gt;C301,B301-C301,C301-B301)</f>
        <v>2.1360000000000268E-3</v>
      </c>
      <c r="E301">
        <f>MINUTE(D301)</f>
        <v>3</v>
      </c>
      <c r="F301">
        <f>SECOND(D301)</f>
        <v>5</v>
      </c>
      <c r="G301">
        <f>ROUND(E301+F301/60,2)</f>
        <v>3.08</v>
      </c>
      <c r="H301">
        <f>60*E301+F301</f>
        <v>185</v>
      </c>
      <c r="I301" s="3">
        <f>5*(3600/H301)</f>
        <v>97.297297297297291</v>
      </c>
      <c r="J301" s="16">
        <f t="shared" si="4"/>
        <v>0</v>
      </c>
    </row>
    <row r="302" spans="1:10" x14ac:dyDescent="0.25">
      <c r="A302" s="4" t="s">
        <v>288</v>
      </c>
      <c r="B302" s="1">
        <v>9.7457000000000002E-2</v>
      </c>
      <c r="C302" s="1">
        <v>9.9600999999999995E-2</v>
      </c>
      <c r="D302" s="1">
        <f>IF(B302&gt;C302,B302-C302,C302-B302)</f>
        <v>2.1439999999999931E-3</v>
      </c>
      <c r="E302">
        <f>MINUTE(D302)</f>
        <v>3</v>
      </c>
      <c r="F302">
        <f>SECOND(D302)</f>
        <v>5</v>
      </c>
      <c r="G302">
        <f>ROUND(E302+F302/60,2)</f>
        <v>3.08</v>
      </c>
      <c r="H302">
        <f>60*E302+F302</f>
        <v>185</v>
      </c>
      <c r="I302" s="3">
        <f>5*(3600/H302)</f>
        <v>97.297297297297291</v>
      </c>
      <c r="J302" s="16">
        <f t="shared" si="4"/>
        <v>0</v>
      </c>
    </row>
    <row r="303" spans="1:10" x14ac:dyDescent="0.25">
      <c r="A303" s="4" t="s">
        <v>100</v>
      </c>
      <c r="B303" s="1">
        <v>0.98372400000000004</v>
      </c>
      <c r="C303" s="1">
        <v>0.98587599999999997</v>
      </c>
      <c r="D303" s="1">
        <f>IF(B303&gt;C303,B303-C303,C303-B303)</f>
        <v>2.1519999999999317E-3</v>
      </c>
      <c r="E303">
        <f>MINUTE(D303)</f>
        <v>3</v>
      </c>
      <c r="F303">
        <f>SECOND(D303)</f>
        <v>6</v>
      </c>
      <c r="G303">
        <f>ROUND(E303+F303/60,2)</f>
        <v>3.1</v>
      </c>
      <c r="H303">
        <f>60*E303+F303</f>
        <v>186</v>
      </c>
      <c r="I303" s="3">
        <f>5*(3600/H303)</f>
        <v>96.774193548387103</v>
      </c>
      <c r="J303" s="16">
        <f t="shared" si="4"/>
        <v>0</v>
      </c>
    </row>
    <row r="304" spans="1:10" x14ac:dyDescent="0.25">
      <c r="A304" s="4" t="s">
        <v>74</v>
      </c>
      <c r="B304" s="1">
        <v>0.64918399999999998</v>
      </c>
      <c r="C304" s="1">
        <v>0.64702800000000005</v>
      </c>
      <c r="D304" s="1">
        <f>IF(B304&gt;C304,B304-C304,C304-B304)</f>
        <v>2.1559999999999357E-3</v>
      </c>
      <c r="E304">
        <f>MINUTE(D304)</f>
        <v>3</v>
      </c>
      <c r="F304">
        <f>SECOND(D304)</f>
        <v>6</v>
      </c>
      <c r="G304">
        <f>ROUND(E304+F304/60,2)</f>
        <v>3.1</v>
      </c>
      <c r="H304">
        <f>60*E304+F304</f>
        <v>186</v>
      </c>
      <c r="I304" s="3">
        <f>5*(3600/H304)</f>
        <v>96.774193548387103</v>
      </c>
      <c r="J304" s="16">
        <f t="shared" si="4"/>
        <v>0</v>
      </c>
    </row>
    <row r="305" spans="1:10" x14ac:dyDescent="0.25">
      <c r="A305" s="4" t="s">
        <v>19</v>
      </c>
      <c r="B305" s="1">
        <v>0.94621999999999995</v>
      </c>
      <c r="C305" s="1">
        <v>0.948376</v>
      </c>
      <c r="D305" s="1">
        <f>IF(B305&gt;C305,B305-C305,C305-B305)</f>
        <v>2.1560000000000468E-3</v>
      </c>
      <c r="E305">
        <f>MINUTE(D305)</f>
        <v>3</v>
      </c>
      <c r="F305">
        <f>SECOND(D305)</f>
        <v>6</v>
      </c>
      <c r="G305">
        <f>ROUND(E305+F305/60,2)</f>
        <v>3.1</v>
      </c>
      <c r="H305">
        <f>60*E305+F305</f>
        <v>186</v>
      </c>
      <c r="I305" s="3">
        <f>5*(3600/H305)</f>
        <v>96.774193548387103</v>
      </c>
      <c r="J305" s="16">
        <f t="shared" si="4"/>
        <v>0</v>
      </c>
    </row>
    <row r="306" spans="1:10" x14ac:dyDescent="0.25">
      <c r="A306" s="4" t="s">
        <v>109</v>
      </c>
      <c r="B306" s="1">
        <v>0.23508799999999999</v>
      </c>
      <c r="C306" s="1">
        <v>0.23294000000000001</v>
      </c>
      <c r="D306" s="1">
        <f>IF(B306&gt;C306,B306-C306,C306-B306)</f>
        <v>2.1479999999999833E-3</v>
      </c>
      <c r="E306">
        <f>MINUTE(D306)</f>
        <v>3</v>
      </c>
      <c r="F306">
        <f>SECOND(D306)</f>
        <v>6</v>
      </c>
      <c r="G306">
        <f>ROUND(E306+F306/60,2)</f>
        <v>3.1</v>
      </c>
      <c r="H306">
        <f>60*E306+F306</f>
        <v>186</v>
      </c>
      <c r="I306" s="3">
        <f>5*(3600/H306)</f>
        <v>96.774193548387103</v>
      </c>
      <c r="J306" s="16">
        <f t="shared" si="4"/>
        <v>0</v>
      </c>
    </row>
    <row r="307" spans="1:10" x14ac:dyDescent="0.25">
      <c r="A307" s="4" t="s">
        <v>282</v>
      </c>
      <c r="B307" s="1">
        <v>8.2269999999999999E-3</v>
      </c>
      <c r="C307" s="1">
        <v>1.0375000000000001E-2</v>
      </c>
      <c r="D307" s="1">
        <f>IF(B307&gt;C307,B307-C307,C307-B307)</f>
        <v>2.1480000000000006E-3</v>
      </c>
      <c r="E307">
        <f>MINUTE(D307)</f>
        <v>3</v>
      </c>
      <c r="F307">
        <f>SECOND(D307)</f>
        <v>6</v>
      </c>
      <c r="G307">
        <f>ROUND(E307+F307/60,2)</f>
        <v>3.1</v>
      </c>
      <c r="H307">
        <f>60*E307+F307</f>
        <v>186</v>
      </c>
      <c r="I307" s="3">
        <f>5*(3600/H307)</f>
        <v>96.774193548387103</v>
      </c>
      <c r="J307" s="16">
        <f t="shared" si="4"/>
        <v>0</v>
      </c>
    </row>
    <row r="308" spans="1:10" x14ac:dyDescent="0.25">
      <c r="A308" s="4" t="s">
        <v>320</v>
      </c>
      <c r="B308" s="1">
        <v>0.476607</v>
      </c>
      <c r="C308" s="1">
        <v>0.47875899999999999</v>
      </c>
      <c r="D308" s="1">
        <f>IF(B308&gt;C308,B308-C308,C308-B308)</f>
        <v>2.1519999999999873E-3</v>
      </c>
      <c r="E308">
        <f>MINUTE(D308)</f>
        <v>3</v>
      </c>
      <c r="F308">
        <f>SECOND(D308)</f>
        <v>6</v>
      </c>
      <c r="G308">
        <f>ROUND(E308+F308/60,2)</f>
        <v>3.1</v>
      </c>
      <c r="H308">
        <f>60*E308+F308</f>
        <v>186</v>
      </c>
      <c r="I308" s="3">
        <f>5*(3600/H308)</f>
        <v>96.774193548387103</v>
      </c>
      <c r="J308" s="16">
        <f t="shared" si="4"/>
        <v>0</v>
      </c>
    </row>
    <row r="309" spans="1:10" x14ac:dyDescent="0.25">
      <c r="A309" s="4" t="s">
        <v>72</v>
      </c>
      <c r="B309" s="1">
        <v>0.73590199999999995</v>
      </c>
      <c r="C309" s="1">
        <v>0.738062</v>
      </c>
      <c r="D309" s="1">
        <f>IF(B309&gt;C309,B309-C309,C309-B309)</f>
        <v>2.1600000000000508E-3</v>
      </c>
      <c r="E309">
        <f>MINUTE(D309)</f>
        <v>3</v>
      </c>
      <c r="F309">
        <f>SECOND(D309)</f>
        <v>7</v>
      </c>
      <c r="G309">
        <f>ROUND(E309+F309/60,2)</f>
        <v>3.12</v>
      </c>
      <c r="H309">
        <f>60*E309+F309</f>
        <v>187</v>
      </c>
      <c r="I309" s="3">
        <f>5*(3600/H309)</f>
        <v>96.256684491978604</v>
      </c>
      <c r="J309" s="16">
        <f t="shared" si="4"/>
        <v>0</v>
      </c>
    </row>
    <row r="310" spans="1:10" x14ac:dyDescent="0.25">
      <c r="A310" s="4" t="s">
        <v>107</v>
      </c>
      <c r="B310" s="1">
        <v>0.41733100000000001</v>
      </c>
      <c r="C310" s="1">
        <v>0.419491</v>
      </c>
      <c r="D310" s="1">
        <f>IF(B310&gt;C310,B310-C310,C310-B310)</f>
        <v>2.1599999999999953E-3</v>
      </c>
      <c r="E310">
        <f>MINUTE(D310)</f>
        <v>3</v>
      </c>
      <c r="F310">
        <f>SECOND(D310)</f>
        <v>7</v>
      </c>
      <c r="G310">
        <f>ROUND(E310+F310/60,2)</f>
        <v>3.12</v>
      </c>
      <c r="H310">
        <f>60*E310+F310</f>
        <v>187</v>
      </c>
      <c r="I310" s="3">
        <f>5*(3600/H310)</f>
        <v>96.256684491978604</v>
      </c>
      <c r="J310" s="16">
        <f t="shared" si="4"/>
        <v>0</v>
      </c>
    </row>
    <row r="311" spans="1:10" x14ac:dyDescent="0.25">
      <c r="A311" s="4" t="s">
        <v>172</v>
      </c>
      <c r="B311" s="1">
        <v>0.90573400000000004</v>
      </c>
      <c r="C311" s="1">
        <v>0.90789799999999998</v>
      </c>
      <c r="D311" s="1">
        <f>IF(B311&gt;C311,B311-C311,C311-B311)</f>
        <v>2.1639999999999437E-3</v>
      </c>
      <c r="E311">
        <f>MINUTE(D311)</f>
        <v>3</v>
      </c>
      <c r="F311">
        <f>SECOND(D311)</f>
        <v>7</v>
      </c>
      <c r="G311">
        <f>ROUND(E311+F311/60,2)</f>
        <v>3.12</v>
      </c>
      <c r="H311">
        <f>60*E311+F311</f>
        <v>187</v>
      </c>
      <c r="I311" s="3">
        <f>5*(3600/H311)</f>
        <v>96.256684491978604</v>
      </c>
      <c r="J311" s="16">
        <f t="shared" si="4"/>
        <v>0</v>
      </c>
    </row>
    <row r="312" spans="1:10" x14ac:dyDescent="0.25">
      <c r="A312" s="4" t="s">
        <v>28</v>
      </c>
      <c r="B312" s="1">
        <v>0.52204899999999999</v>
      </c>
      <c r="C312" s="1">
        <v>0.52420900000000004</v>
      </c>
      <c r="D312" s="1">
        <f>IF(B312&gt;C312,B312-C312,C312-B312)</f>
        <v>2.1600000000000508E-3</v>
      </c>
      <c r="E312">
        <f>MINUTE(D312)</f>
        <v>3</v>
      </c>
      <c r="F312">
        <f>SECOND(D312)</f>
        <v>7</v>
      </c>
      <c r="G312">
        <f>ROUND(E312+F312/60,2)</f>
        <v>3.12</v>
      </c>
      <c r="H312">
        <f>60*E312+F312</f>
        <v>187</v>
      </c>
      <c r="I312" s="3">
        <f>5*(3600/H312)</f>
        <v>96.256684491978604</v>
      </c>
      <c r="J312" s="16">
        <f t="shared" si="4"/>
        <v>0</v>
      </c>
    </row>
    <row r="313" spans="1:10" x14ac:dyDescent="0.25">
      <c r="A313" s="4" t="s">
        <v>343</v>
      </c>
      <c r="B313" s="1">
        <v>0.68652000000000002</v>
      </c>
      <c r="C313" s="1">
        <v>0.68868399999999996</v>
      </c>
      <c r="D313" s="1">
        <f>IF(B313&gt;C313,B313-C313,C313-B313)</f>
        <v>2.1639999999999437E-3</v>
      </c>
      <c r="E313">
        <f>MINUTE(D313)</f>
        <v>3</v>
      </c>
      <c r="F313">
        <f>SECOND(D313)</f>
        <v>7</v>
      </c>
      <c r="G313">
        <f>ROUND(E313+F313/60,2)</f>
        <v>3.12</v>
      </c>
      <c r="H313">
        <f>60*E313+F313</f>
        <v>187</v>
      </c>
      <c r="I313" s="3">
        <f>5*(3600/H313)</f>
        <v>96.256684491978604</v>
      </c>
      <c r="J313" s="16">
        <f t="shared" si="4"/>
        <v>0</v>
      </c>
    </row>
    <row r="314" spans="1:10" x14ac:dyDescent="0.25">
      <c r="A314" s="4" t="s">
        <v>27</v>
      </c>
      <c r="B314" s="1">
        <v>0.94908300000000001</v>
      </c>
      <c r="C314" s="1">
        <v>0.94690700000000005</v>
      </c>
      <c r="D314" s="1">
        <f>IF(B314&gt;C314,B314-C314,C314-B314)</f>
        <v>2.1759999999999557E-3</v>
      </c>
      <c r="E314">
        <f>MINUTE(D314)</f>
        <v>3</v>
      </c>
      <c r="F314">
        <f>SECOND(D314)</f>
        <v>8</v>
      </c>
      <c r="G314">
        <f>ROUND(E314+F314/60,2)</f>
        <v>3.13</v>
      </c>
      <c r="H314">
        <f>60*E314+F314</f>
        <v>188</v>
      </c>
      <c r="I314" s="3">
        <f>5*(3600/H314)</f>
        <v>95.744680851063833</v>
      </c>
      <c r="J314" s="16">
        <f t="shared" si="4"/>
        <v>0</v>
      </c>
    </row>
    <row r="315" spans="1:10" x14ac:dyDescent="0.25">
      <c r="A315" s="4" t="s">
        <v>75</v>
      </c>
      <c r="B315" s="1">
        <v>0.331623</v>
      </c>
      <c r="C315" s="1">
        <v>0.33379500000000001</v>
      </c>
      <c r="D315" s="1">
        <f>IF(B315&gt;C315,B315-C315,C315-B315)</f>
        <v>2.1720000000000073E-3</v>
      </c>
      <c r="E315">
        <f>MINUTE(D315)</f>
        <v>3</v>
      </c>
      <c r="F315">
        <f>SECOND(D315)</f>
        <v>8</v>
      </c>
      <c r="G315">
        <f>ROUND(E315+F315/60,2)</f>
        <v>3.13</v>
      </c>
      <c r="H315">
        <f>60*E315+F315</f>
        <v>188</v>
      </c>
      <c r="I315" s="3">
        <f>5*(3600/H315)</f>
        <v>95.744680851063833</v>
      </c>
      <c r="J315" s="16">
        <f t="shared" si="4"/>
        <v>0</v>
      </c>
    </row>
    <row r="316" spans="1:10" x14ac:dyDescent="0.25">
      <c r="A316" s="4" t="s">
        <v>85</v>
      </c>
      <c r="B316" s="1">
        <v>0.90568499999999996</v>
      </c>
      <c r="C316" s="1">
        <v>0.90785700000000003</v>
      </c>
      <c r="D316" s="1">
        <f>IF(B316&gt;C316,B316-C316,C316-B316)</f>
        <v>2.1720000000000628E-3</v>
      </c>
      <c r="E316">
        <f>MINUTE(D316)</f>
        <v>3</v>
      </c>
      <c r="F316">
        <f>SECOND(D316)</f>
        <v>8</v>
      </c>
      <c r="G316">
        <f>ROUND(E316+F316/60,2)</f>
        <v>3.13</v>
      </c>
      <c r="H316">
        <f>60*E316+F316</f>
        <v>188</v>
      </c>
      <c r="I316" s="3">
        <f>5*(3600/H316)</f>
        <v>95.744680851063833</v>
      </c>
      <c r="J316" s="16">
        <f t="shared" si="4"/>
        <v>0</v>
      </c>
    </row>
    <row r="317" spans="1:10" x14ac:dyDescent="0.25">
      <c r="A317" s="4" t="s">
        <v>118</v>
      </c>
      <c r="B317" s="1">
        <v>0.657829</v>
      </c>
      <c r="C317" s="1">
        <v>0.65565300000000004</v>
      </c>
      <c r="D317" s="1">
        <f>IF(B317&gt;C317,B317-C317,C317-B317)</f>
        <v>2.1759999999999557E-3</v>
      </c>
      <c r="E317">
        <f>MINUTE(D317)</f>
        <v>3</v>
      </c>
      <c r="F317">
        <f>SECOND(D317)</f>
        <v>8</v>
      </c>
      <c r="G317">
        <f>ROUND(E317+F317/60,2)</f>
        <v>3.13</v>
      </c>
      <c r="H317">
        <f>60*E317+F317</f>
        <v>188</v>
      </c>
      <c r="I317" s="3">
        <f>5*(3600/H317)</f>
        <v>95.744680851063833</v>
      </c>
      <c r="J317" s="16">
        <f t="shared" si="4"/>
        <v>0</v>
      </c>
    </row>
    <row r="318" spans="1:10" x14ac:dyDescent="0.25">
      <c r="A318" s="4" t="s">
        <v>75</v>
      </c>
      <c r="B318" s="1">
        <v>0.169961</v>
      </c>
      <c r="C318" s="1">
        <v>0.17214099999999999</v>
      </c>
      <c r="D318" s="1">
        <f>IF(B318&gt;C318,B318-C318,C318-B318)</f>
        <v>2.1799999999999875E-3</v>
      </c>
      <c r="E318">
        <f>MINUTE(D318)</f>
        <v>3</v>
      </c>
      <c r="F318">
        <f>SECOND(D318)</f>
        <v>8</v>
      </c>
      <c r="G318">
        <f>ROUND(E318+F318/60,2)</f>
        <v>3.13</v>
      </c>
      <c r="H318">
        <f>60*E318+F318</f>
        <v>188</v>
      </c>
      <c r="I318" s="3">
        <f>5*(3600/H318)</f>
        <v>95.744680851063833</v>
      </c>
      <c r="J318" s="16">
        <f t="shared" si="4"/>
        <v>0</v>
      </c>
    </row>
    <row r="319" spans="1:10" x14ac:dyDescent="0.25">
      <c r="A319" s="4" t="s">
        <v>25</v>
      </c>
      <c r="B319" s="1">
        <v>0.50799799999999995</v>
      </c>
      <c r="C319" s="1">
        <v>0.50580599999999998</v>
      </c>
      <c r="D319" s="1">
        <f>IF(B319&gt;C319,B319-C319,C319-B319)</f>
        <v>2.1919999999999717E-3</v>
      </c>
      <c r="E319">
        <f>MINUTE(D319)</f>
        <v>3</v>
      </c>
      <c r="F319">
        <f>SECOND(D319)</f>
        <v>9</v>
      </c>
      <c r="G319">
        <f>ROUND(E319+F319/60,2)</f>
        <v>3.15</v>
      </c>
      <c r="H319">
        <f>60*E319+F319</f>
        <v>189</v>
      </c>
      <c r="I319" s="3">
        <f>5*(3600/H319)</f>
        <v>95.238095238095241</v>
      </c>
      <c r="J319" s="16">
        <f t="shared" si="4"/>
        <v>0</v>
      </c>
    </row>
    <row r="320" spans="1:10" x14ac:dyDescent="0.25">
      <c r="A320" s="4" t="s">
        <v>109</v>
      </c>
      <c r="B320" s="1">
        <v>5.2546000000000002E-2</v>
      </c>
      <c r="C320" s="1">
        <v>5.0361999999999997E-2</v>
      </c>
      <c r="D320" s="1">
        <f>IF(B320&gt;C320,B320-C320,C320-B320)</f>
        <v>2.1840000000000054E-3</v>
      </c>
      <c r="E320">
        <f>MINUTE(D320)</f>
        <v>3</v>
      </c>
      <c r="F320">
        <f>SECOND(D320)</f>
        <v>9</v>
      </c>
      <c r="G320">
        <f>ROUND(E320+F320/60,2)</f>
        <v>3.15</v>
      </c>
      <c r="H320">
        <f>60*E320+F320</f>
        <v>189</v>
      </c>
      <c r="I320" s="3">
        <f>5*(3600/H320)</f>
        <v>95.238095238095241</v>
      </c>
      <c r="J320" s="16">
        <f t="shared" si="4"/>
        <v>0</v>
      </c>
    </row>
    <row r="321" spans="1:10" x14ac:dyDescent="0.25">
      <c r="A321" s="4" t="s">
        <v>183</v>
      </c>
      <c r="B321" s="1">
        <v>0.100374</v>
      </c>
      <c r="C321" s="1">
        <v>9.8185999999999996E-2</v>
      </c>
      <c r="D321" s="1">
        <f>IF(B321&gt;C321,B321-C321,C321-B321)</f>
        <v>2.1880000000000094E-3</v>
      </c>
      <c r="E321">
        <f>MINUTE(D321)</f>
        <v>3</v>
      </c>
      <c r="F321">
        <f>SECOND(D321)</f>
        <v>9</v>
      </c>
      <c r="G321">
        <f>ROUND(E321+F321/60,2)</f>
        <v>3.15</v>
      </c>
      <c r="H321">
        <f>60*E321+F321</f>
        <v>189</v>
      </c>
      <c r="I321" s="3">
        <f>5*(3600/H321)</f>
        <v>95.238095238095241</v>
      </c>
      <c r="J321" s="16">
        <f t="shared" si="4"/>
        <v>0</v>
      </c>
    </row>
    <row r="322" spans="1:10" x14ac:dyDescent="0.25">
      <c r="A322" s="4" t="s">
        <v>12</v>
      </c>
      <c r="B322" s="1">
        <v>0.93074100000000004</v>
      </c>
      <c r="C322" s="1">
        <v>0.92855299999999996</v>
      </c>
      <c r="D322" s="1">
        <f>IF(B322&gt;C322,B322-C322,C322-B322)</f>
        <v>2.1880000000000788E-3</v>
      </c>
      <c r="E322">
        <f>MINUTE(D322)</f>
        <v>3</v>
      </c>
      <c r="F322">
        <f>SECOND(D322)</f>
        <v>9</v>
      </c>
      <c r="G322">
        <f>ROUND(E322+F322/60,2)</f>
        <v>3.15</v>
      </c>
      <c r="H322">
        <f>60*E322+F322</f>
        <v>189</v>
      </c>
      <c r="I322" s="3">
        <f>5*(3600/H322)</f>
        <v>95.238095238095241</v>
      </c>
      <c r="J322" s="16">
        <f t="shared" si="4"/>
        <v>0</v>
      </c>
    </row>
    <row r="323" spans="1:10" x14ac:dyDescent="0.25">
      <c r="A323" s="4" t="s">
        <v>269</v>
      </c>
      <c r="B323" s="1">
        <v>0.53266400000000003</v>
      </c>
      <c r="C323" s="1">
        <v>0.534856</v>
      </c>
      <c r="D323" s="1">
        <f>IF(B323&gt;C323,B323-C323,C323-B323)</f>
        <v>2.1919999999999717E-3</v>
      </c>
      <c r="E323">
        <f>MINUTE(D323)</f>
        <v>3</v>
      </c>
      <c r="F323">
        <f>SECOND(D323)</f>
        <v>9</v>
      </c>
      <c r="G323">
        <f>ROUND(E323+F323/60,2)</f>
        <v>3.15</v>
      </c>
      <c r="H323">
        <f>60*E323+F323</f>
        <v>189</v>
      </c>
      <c r="I323" s="3">
        <f>5*(3600/H323)</f>
        <v>95.238095238095241</v>
      </c>
      <c r="J323" s="16">
        <f t="shared" ref="J323:J386" si="5">IF(I323&gt;140,1,0)</f>
        <v>0</v>
      </c>
    </row>
    <row r="324" spans="1:10" x14ac:dyDescent="0.25">
      <c r="A324" s="4" t="s">
        <v>272</v>
      </c>
      <c r="B324" s="1">
        <v>0.52357299999999996</v>
      </c>
      <c r="C324" s="1">
        <v>0.52576100000000003</v>
      </c>
      <c r="D324" s="1">
        <f>IF(B324&gt;C324,B324-C324,C324-B324)</f>
        <v>2.1880000000000788E-3</v>
      </c>
      <c r="E324">
        <f>MINUTE(D324)</f>
        <v>3</v>
      </c>
      <c r="F324">
        <f>SECOND(D324)</f>
        <v>9</v>
      </c>
      <c r="G324">
        <f>ROUND(E324+F324/60,2)</f>
        <v>3.15</v>
      </c>
      <c r="H324">
        <f>60*E324+F324</f>
        <v>189</v>
      </c>
      <c r="I324" s="3">
        <f>5*(3600/H324)</f>
        <v>95.238095238095241</v>
      </c>
      <c r="J324" s="16">
        <f t="shared" si="5"/>
        <v>0</v>
      </c>
    </row>
    <row r="325" spans="1:10" x14ac:dyDescent="0.25">
      <c r="A325" s="4" t="s">
        <v>214</v>
      </c>
      <c r="B325" s="1">
        <v>0.64281900000000003</v>
      </c>
      <c r="C325" s="1">
        <v>0.64061900000000005</v>
      </c>
      <c r="D325" s="1">
        <f>IF(B325&gt;C325,B325-C325,C325-B325)</f>
        <v>2.1999999999999797E-3</v>
      </c>
      <c r="E325">
        <f>MINUTE(D325)</f>
        <v>3</v>
      </c>
      <c r="F325">
        <f>SECOND(D325)</f>
        <v>10</v>
      </c>
      <c r="G325">
        <f>ROUND(E325+F325/60,2)</f>
        <v>3.17</v>
      </c>
      <c r="H325">
        <f>60*E325+F325</f>
        <v>190</v>
      </c>
      <c r="I325" s="3">
        <f>5*(3600/H325)</f>
        <v>94.73684210526315</v>
      </c>
      <c r="J325" s="16">
        <f t="shared" si="5"/>
        <v>0</v>
      </c>
    </row>
    <row r="326" spans="1:10" x14ac:dyDescent="0.25">
      <c r="A326" s="4" t="s">
        <v>292</v>
      </c>
      <c r="B326" s="1">
        <v>0.62462799999999996</v>
      </c>
      <c r="C326" s="1">
        <v>0.62682800000000005</v>
      </c>
      <c r="D326" s="1">
        <f>IF(B326&gt;C326,B326-C326,C326-B326)</f>
        <v>2.2000000000000908E-3</v>
      </c>
      <c r="E326">
        <f>MINUTE(D326)</f>
        <v>3</v>
      </c>
      <c r="F326">
        <f>SECOND(D326)</f>
        <v>10</v>
      </c>
      <c r="G326">
        <f>ROUND(E326+F326/60,2)</f>
        <v>3.17</v>
      </c>
      <c r="H326">
        <f>60*E326+F326</f>
        <v>190</v>
      </c>
      <c r="I326" s="3">
        <f>5*(3600/H326)</f>
        <v>94.73684210526315</v>
      </c>
      <c r="J326" s="16">
        <f t="shared" si="5"/>
        <v>0</v>
      </c>
    </row>
    <row r="327" spans="1:10" x14ac:dyDescent="0.25">
      <c r="A327" s="4" t="s">
        <v>4</v>
      </c>
      <c r="B327" s="1">
        <v>0.92153600000000002</v>
      </c>
      <c r="C327" s="1">
        <v>0.91932400000000003</v>
      </c>
      <c r="D327" s="1">
        <f>IF(B327&gt;C327,B327-C327,C327-B327)</f>
        <v>2.2119999999999918E-3</v>
      </c>
      <c r="E327">
        <f>MINUTE(D327)</f>
        <v>3</v>
      </c>
      <c r="F327">
        <f>SECOND(D327)</f>
        <v>11</v>
      </c>
      <c r="G327">
        <f>ROUND(E327+F327/60,2)</f>
        <v>3.18</v>
      </c>
      <c r="H327">
        <f>60*E327+F327</f>
        <v>191</v>
      </c>
      <c r="I327" s="3">
        <f>5*(3600/H327)</f>
        <v>94.240837696335092</v>
      </c>
      <c r="J327" s="16">
        <f t="shared" si="5"/>
        <v>0</v>
      </c>
    </row>
    <row r="328" spans="1:10" x14ac:dyDescent="0.25">
      <c r="A328" s="4" t="s">
        <v>21</v>
      </c>
      <c r="B328" s="1">
        <v>0.88179300000000005</v>
      </c>
      <c r="C328" s="1">
        <v>0.87958099999999995</v>
      </c>
      <c r="D328" s="1">
        <f>IF(B328&gt;C328,B328-C328,C328-B328)</f>
        <v>2.2120000000001028E-3</v>
      </c>
      <c r="E328">
        <f>MINUTE(D328)</f>
        <v>3</v>
      </c>
      <c r="F328">
        <f>SECOND(D328)</f>
        <v>11</v>
      </c>
      <c r="G328">
        <f>ROUND(E328+F328/60,2)</f>
        <v>3.18</v>
      </c>
      <c r="H328">
        <f>60*E328+F328</f>
        <v>191</v>
      </c>
      <c r="I328" s="3">
        <f>5*(3600/H328)</f>
        <v>94.240837696335092</v>
      </c>
      <c r="J328" s="16">
        <f t="shared" si="5"/>
        <v>0</v>
      </c>
    </row>
    <row r="329" spans="1:10" x14ac:dyDescent="0.25">
      <c r="A329" s="4" t="s">
        <v>155</v>
      </c>
      <c r="B329" s="1">
        <v>0.93974999999999997</v>
      </c>
      <c r="C329" s="1">
        <v>0.94196199999999997</v>
      </c>
      <c r="D329" s="1">
        <f>IF(B329&gt;C329,B329-C329,C329-B329)</f>
        <v>2.2119999999999918E-3</v>
      </c>
      <c r="E329">
        <f>MINUTE(D329)</f>
        <v>3</v>
      </c>
      <c r="F329">
        <f>SECOND(D329)</f>
        <v>11</v>
      </c>
      <c r="G329">
        <f>ROUND(E329+F329/60,2)</f>
        <v>3.18</v>
      </c>
      <c r="H329">
        <f>60*E329+F329</f>
        <v>191</v>
      </c>
      <c r="I329" s="3">
        <f>5*(3600/H329)</f>
        <v>94.240837696335092</v>
      </c>
      <c r="J329" s="16">
        <f t="shared" si="5"/>
        <v>0</v>
      </c>
    </row>
    <row r="330" spans="1:10" x14ac:dyDescent="0.25">
      <c r="A330" s="4" t="s">
        <v>49</v>
      </c>
      <c r="B330" s="1">
        <v>0.76181600000000005</v>
      </c>
      <c r="C330" s="1">
        <v>0.75960799999999995</v>
      </c>
      <c r="D330" s="1">
        <f>IF(B330&gt;C330,B330-C330,C330-B330)</f>
        <v>2.2080000000000988E-3</v>
      </c>
      <c r="E330">
        <f>MINUTE(D330)</f>
        <v>3</v>
      </c>
      <c r="F330">
        <f>SECOND(D330)</f>
        <v>11</v>
      </c>
      <c r="G330">
        <f>ROUND(E330+F330/60,2)</f>
        <v>3.18</v>
      </c>
      <c r="H330">
        <f>60*E330+F330</f>
        <v>191</v>
      </c>
      <c r="I330" s="3">
        <f>5*(3600/H330)</f>
        <v>94.240837696335092</v>
      </c>
      <c r="J330" s="16">
        <f t="shared" si="5"/>
        <v>0</v>
      </c>
    </row>
    <row r="331" spans="1:10" x14ac:dyDescent="0.25">
      <c r="A331" s="4" t="s">
        <v>119</v>
      </c>
      <c r="B331" s="1">
        <v>0.71098499999999998</v>
      </c>
      <c r="C331" s="1">
        <v>0.70876899999999998</v>
      </c>
      <c r="D331" s="1">
        <f>IF(B331&gt;C331,B331-C331,C331-B331)</f>
        <v>2.2159999999999958E-3</v>
      </c>
      <c r="E331">
        <f>MINUTE(D331)</f>
        <v>3</v>
      </c>
      <c r="F331">
        <f>SECOND(D331)</f>
        <v>11</v>
      </c>
      <c r="G331">
        <f>ROUND(E331+F331/60,2)</f>
        <v>3.18</v>
      </c>
      <c r="H331">
        <f>60*E331+F331</f>
        <v>191</v>
      </c>
      <c r="I331" s="3">
        <f>5*(3600/H331)</f>
        <v>94.240837696335092</v>
      </c>
      <c r="J331" s="16">
        <f t="shared" si="5"/>
        <v>0</v>
      </c>
    </row>
    <row r="332" spans="1:10" x14ac:dyDescent="0.25">
      <c r="A332" s="4" t="s">
        <v>190</v>
      </c>
      <c r="B332" s="1">
        <v>0.78212599999999999</v>
      </c>
      <c r="C332" s="1">
        <v>0.779918</v>
      </c>
      <c r="D332" s="1">
        <f>IF(B332&gt;C332,B332-C332,C332-B332)</f>
        <v>2.2079999999999878E-3</v>
      </c>
      <c r="E332">
        <f>MINUTE(D332)</f>
        <v>3</v>
      </c>
      <c r="F332">
        <f>SECOND(D332)</f>
        <v>11</v>
      </c>
      <c r="G332">
        <f>ROUND(E332+F332/60,2)</f>
        <v>3.18</v>
      </c>
      <c r="H332">
        <f>60*E332+F332</f>
        <v>191</v>
      </c>
      <c r="I332" s="3">
        <f>5*(3600/H332)</f>
        <v>94.240837696335092</v>
      </c>
      <c r="J332" s="16">
        <f t="shared" si="5"/>
        <v>0</v>
      </c>
    </row>
    <row r="333" spans="1:10" x14ac:dyDescent="0.25">
      <c r="A333" s="4" t="s">
        <v>17</v>
      </c>
      <c r="B333" s="1">
        <v>0.94928199999999996</v>
      </c>
      <c r="C333" s="1">
        <v>0.94705799999999996</v>
      </c>
      <c r="D333" s="1">
        <f>IF(B333&gt;C333,B333-C333,C333-B333)</f>
        <v>2.2240000000000038E-3</v>
      </c>
      <c r="E333">
        <f>MINUTE(D333)</f>
        <v>3</v>
      </c>
      <c r="F333">
        <f>SECOND(D333)</f>
        <v>12</v>
      </c>
      <c r="G333">
        <f>ROUND(E333+F333/60,2)</f>
        <v>3.2</v>
      </c>
      <c r="H333">
        <f>60*E333+F333</f>
        <v>192</v>
      </c>
      <c r="I333" s="3">
        <f>5*(3600/H333)</f>
        <v>93.75</v>
      </c>
      <c r="J333" s="16">
        <f t="shared" si="5"/>
        <v>0</v>
      </c>
    </row>
    <row r="334" spans="1:10" x14ac:dyDescent="0.25">
      <c r="A334" s="4" t="s">
        <v>88</v>
      </c>
      <c r="B334" s="1">
        <v>0.48257800000000001</v>
      </c>
      <c r="C334" s="1">
        <v>0.480354</v>
      </c>
      <c r="D334" s="1">
        <f>IF(B334&gt;C334,B334-C334,C334-B334)</f>
        <v>2.2240000000000038E-3</v>
      </c>
      <c r="E334">
        <f>MINUTE(D334)</f>
        <v>3</v>
      </c>
      <c r="F334">
        <f>SECOND(D334)</f>
        <v>12</v>
      </c>
      <c r="G334">
        <f>ROUND(E334+F334/60,2)</f>
        <v>3.2</v>
      </c>
      <c r="H334">
        <f>60*E334+F334</f>
        <v>192</v>
      </c>
      <c r="I334" s="3">
        <f>5*(3600/H334)</f>
        <v>93.75</v>
      </c>
      <c r="J334" s="16">
        <f t="shared" si="5"/>
        <v>0</v>
      </c>
    </row>
    <row r="335" spans="1:10" x14ac:dyDescent="0.25">
      <c r="A335" s="4" t="s">
        <v>3</v>
      </c>
      <c r="B335" s="1">
        <v>0.31244499999999997</v>
      </c>
      <c r="C335" s="1">
        <v>0.31022499999999997</v>
      </c>
      <c r="D335" s="1">
        <f>IF(B335&gt;C335,B335-C335,C335-B335)</f>
        <v>2.2199999999999998E-3</v>
      </c>
      <c r="E335">
        <f>MINUTE(D335)</f>
        <v>3</v>
      </c>
      <c r="F335">
        <f>SECOND(D335)</f>
        <v>12</v>
      </c>
      <c r="G335">
        <f>ROUND(E335+F335/60,2)</f>
        <v>3.2</v>
      </c>
      <c r="H335">
        <f>60*E335+F335</f>
        <v>192</v>
      </c>
      <c r="I335" s="3">
        <f>5*(3600/H335)</f>
        <v>93.75</v>
      </c>
      <c r="J335" s="16">
        <f t="shared" si="5"/>
        <v>0</v>
      </c>
    </row>
    <row r="336" spans="1:10" x14ac:dyDescent="0.25">
      <c r="A336" s="4" t="s">
        <v>6</v>
      </c>
      <c r="B336" s="1">
        <v>0.71089100000000005</v>
      </c>
      <c r="C336" s="1">
        <v>0.71311899999999995</v>
      </c>
      <c r="D336" s="1">
        <f>IF(B336&gt;C336,B336-C336,C336-B336)</f>
        <v>2.2279999999998967E-3</v>
      </c>
      <c r="E336">
        <f>MINUTE(D336)</f>
        <v>3</v>
      </c>
      <c r="F336">
        <f>SECOND(D336)</f>
        <v>12</v>
      </c>
      <c r="G336">
        <f>ROUND(E336+F336/60,2)</f>
        <v>3.2</v>
      </c>
      <c r="H336">
        <f>60*E336+F336</f>
        <v>192</v>
      </c>
      <c r="I336" s="3">
        <f>5*(3600/H336)</f>
        <v>93.75</v>
      </c>
      <c r="J336" s="16">
        <f t="shared" si="5"/>
        <v>0</v>
      </c>
    </row>
    <row r="337" spans="1:10" x14ac:dyDescent="0.25">
      <c r="A337" s="4" t="s">
        <v>45</v>
      </c>
      <c r="B337" s="1">
        <v>0.90539000000000003</v>
      </c>
      <c r="C337" s="1">
        <v>0.90761800000000004</v>
      </c>
      <c r="D337" s="1">
        <f>IF(B337&gt;C337,B337-C337,C337-B337)</f>
        <v>2.2280000000000078E-3</v>
      </c>
      <c r="E337">
        <f>MINUTE(D337)</f>
        <v>3</v>
      </c>
      <c r="F337">
        <f>SECOND(D337)</f>
        <v>12</v>
      </c>
      <c r="G337">
        <f>ROUND(E337+F337/60,2)</f>
        <v>3.2</v>
      </c>
      <c r="H337">
        <f>60*E337+F337</f>
        <v>192</v>
      </c>
      <c r="I337" s="3">
        <f>5*(3600/H337)</f>
        <v>93.75</v>
      </c>
      <c r="J337" s="16">
        <f t="shared" si="5"/>
        <v>0</v>
      </c>
    </row>
    <row r="338" spans="1:10" x14ac:dyDescent="0.25">
      <c r="A338" s="4" t="s">
        <v>117</v>
      </c>
      <c r="B338" s="1">
        <v>0.82010700000000003</v>
      </c>
      <c r="C338" s="1">
        <v>0.82233500000000004</v>
      </c>
      <c r="D338" s="1">
        <f>IF(B338&gt;C338,B338-C338,C338-B338)</f>
        <v>2.2280000000000078E-3</v>
      </c>
      <c r="E338">
        <f>MINUTE(D338)</f>
        <v>3</v>
      </c>
      <c r="F338">
        <f>SECOND(D338)</f>
        <v>12</v>
      </c>
      <c r="G338">
        <f>ROUND(E338+F338/60,2)</f>
        <v>3.2</v>
      </c>
      <c r="H338">
        <f>60*E338+F338</f>
        <v>192</v>
      </c>
      <c r="I338" s="3">
        <f>5*(3600/H338)</f>
        <v>93.75</v>
      </c>
      <c r="J338" s="16">
        <f t="shared" si="5"/>
        <v>0</v>
      </c>
    </row>
    <row r="339" spans="1:10" x14ac:dyDescent="0.25">
      <c r="A339" s="4" t="s">
        <v>232</v>
      </c>
      <c r="B339" s="1">
        <v>0.29889700000000002</v>
      </c>
      <c r="C339" s="1">
        <v>0.29667300000000002</v>
      </c>
      <c r="D339" s="1">
        <f>IF(B339&gt;C339,B339-C339,C339-B339)</f>
        <v>2.2240000000000038E-3</v>
      </c>
      <c r="E339">
        <f>MINUTE(D339)</f>
        <v>3</v>
      </c>
      <c r="F339">
        <f>SECOND(D339)</f>
        <v>12</v>
      </c>
      <c r="G339">
        <f>ROUND(E339+F339/60,2)</f>
        <v>3.2</v>
      </c>
      <c r="H339">
        <f>60*E339+F339</f>
        <v>192</v>
      </c>
      <c r="I339" s="3">
        <f>5*(3600/H339)</f>
        <v>93.75</v>
      </c>
      <c r="J339" s="16">
        <f t="shared" si="5"/>
        <v>0</v>
      </c>
    </row>
    <row r="340" spans="1:10" x14ac:dyDescent="0.25">
      <c r="A340" s="4" t="s">
        <v>262</v>
      </c>
      <c r="B340" s="1">
        <v>6.8135000000000001E-2</v>
      </c>
      <c r="C340" s="1">
        <v>7.0362999999999995E-2</v>
      </c>
      <c r="D340" s="1">
        <f>IF(B340&gt;C340,B340-C340,C340-B340)</f>
        <v>2.2279999999999939E-3</v>
      </c>
      <c r="E340">
        <f>MINUTE(D340)</f>
        <v>3</v>
      </c>
      <c r="F340">
        <f>SECOND(D340)</f>
        <v>12</v>
      </c>
      <c r="G340">
        <f>ROUND(E340+F340/60,2)</f>
        <v>3.2</v>
      </c>
      <c r="H340">
        <f>60*E340+F340</f>
        <v>192</v>
      </c>
      <c r="I340" s="3">
        <f>5*(3600/H340)</f>
        <v>93.75</v>
      </c>
      <c r="J340" s="16">
        <f t="shared" si="5"/>
        <v>0</v>
      </c>
    </row>
    <row r="341" spans="1:10" x14ac:dyDescent="0.25">
      <c r="A341" s="4" t="s">
        <v>44</v>
      </c>
      <c r="B341" s="1">
        <v>0.45712199999999997</v>
      </c>
      <c r="C341" s="1">
        <v>0.45935799999999999</v>
      </c>
      <c r="D341" s="1">
        <f>IF(B341&gt;C341,B341-C341,C341-B341)</f>
        <v>2.2360000000000158E-3</v>
      </c>
      <c r="E341">
        <f>MINUTE(D341)</f>
        <v>3</v>
      </c>
      <c r="F341">
        <f>SECOND(D341)</f>
        <v>13</v>
      </c>
      <c r="G341">
        <f>ROUND(E341+F341/60,2)</f>
        <v>3.22</v>
      </c>
      <c r="H341">
        <f>60*E341+F341</f>
        <v>193</v>
      </c>
      <c r="I341" s="3">
        <f>5*(3600/H341)</f>
        <v>93.264248704663203</v>
      </c>
      <c r="J341" s="16">
        <f t="shared" si="5"/>
        <v>0</v>
      </c>
    </row>
    <row r="342" spans="1:10" x14ac:dyDescent="0.25">
      <c r="A342" s="4" t="s">
        <v>245</v>
      </c>
      <c r="B342" s="1">
        <v>0.57927600000000001</v>
      </c>
      <c r="C342" s="1">
        <v>0.58151200000000003</v>
      </c>
      <c r="D342" s="1">
        <f>IF(B342&gt;C342,B342-C342,C342-B342)</f>
        <v>2.2360000000000158E-3</v>
      </c>
      <c r="E342">
        <f>MINUTE(D342)</f>
        <v>3</v>
      </c>
      <c r="F342">
        <f>SECOND(D342)</f>
        <v>13</v>
      </c>
      <c r="G342">
        <f>ROUND(E342+F342/60,2)</f>
        <v>3.22</v>
      </c>
      <c r="H342">
        <f>60*E342+F342</f>
        <v>193</v>
      </c>
      <c r="I342" s="3">
        <f>5*(3600/H342)</f>
        <v>93.264248704663203</v>
      </c>
      <c r="J342" s="16">
        <f t="shared" si="5"/>
        <v>0</v>
      </c>
    </row>
    <row r="343" spans="1:10" x14ac:dyDescent="0.25">
      <c r="A343" s="4" t="s">
        <v>348</v>
      </c>
      <c r="B343" s="1">
        <v>1.4217E-2</v>
      </c>
      <c r="C343" s="1">
        <v>1.1981E-2</v>
      </c>
      <c r="D343" s="1">
        <f>IF(B343&gt;C343,B343-C343,C343-B343)</f>
        <v>2.2360000000000001E-3</v>
      </c>
      <c r="E343">
        <f>MINUTE(D343)</f>
        <v>3</v>
      </c>
      <c r="F343">
        <f>SECOND(D343)</f>
        <v>13</v>
      </c>
      <c r="G343">
        <f>ROUND(E343+F343/60,2)</f>
        <v>3.22</v>
      </c>
      <c r="H343">
        <f>60*E343+F343</f>
        <v>193</v>
      </c>
      <c r="I343" s="3">
        <f>5*(3600/H343)</f>
        <v>93.264248704663203</v>
      </c>
      <c r="J343" s="16">
        <f t="shared" si="5"/>
        <v>0</v>
      </c>
    </row>
    <row r="344" spans="1:10" x14ac:dyDescent="0.25">
      <c r="A344" s="4" t="s">
        <v>134</v>
      </c>
      <c r="B344" s="1">
        <v>0.71828700000000001</v>
      </c>
      <c r="C344" s="1">
        <v>0.72052700000000003</v>
      </c>
      <c r="D344" s="1">
        <f>IF(B344&gt;C344,B344-C344,C344-B344)</f>
        <v>2.2400000000000198E-3</v>
      </c>
      <c r="E344">
        <f>MINUTE(D344)</f>
        <v>3</v>
      </c>
      <c r="F344">
        <f>SECOND(D344)</f>
        <v>14</v>
      </c>
      <c r="G344">
        <f>ROUND(E344+F344/60,2)</f>
        <v>3.23</v>
      </c>
      <c r="H344">
        <f>60*E344+F344</f>
        <v>194</v>
      </c>
      <c r="I344" s="3">
        <f>5*(3600/H344)</f>
        <v>92.783505154639187</v>
      </c>
      <c r="J344" s="16">
        <f t="shared" si="5"/>
        <v>0</v>
      </c>
    </row>
    <row r="345" spans="1:10" x14ac:dyDescent="0.25">
      <c r="A345" s="4" t="s">
        <v>87</v>
      </c>
      <c r="B345" s="1">
        <v>0.50998299999999996</v>
      </c>
      <c r="C345" s="1">
        <v>0.50774300000000006</v>
      </c>
      <c r="D345" s="1">
        <f>IF(B345&gt;C345,B345-C345,C345-B345)</f>
        <v>2.2399999999999087E-3</v>
      </c>
      <c r="E345">
        <f>MINUTE(D345)</f>
        <v>3</v>
      </c>
      <c r="F345">
        <f>SECOND(D345)</f>
        <v>14</v>
      </c>
      <c r="G345">
        <f>ROUND(E345+F345/60,2)</f>
        <v>3.23</v>
      </c>
      <c r="H345">
        <f>60*E345+F345</f>
        <v>194</v>
      </c>
      <c r="I345" s="3">
        <f>5*(3600/H345)</f>
        <v>92.783505154639187</v>
      </c>
      <c r="J345" s="16">
        <f t="shared" si="5"/>
        <v>0</v>
      </c>
    </row>
    <row r="346" spans="1:10" x14ac:dyDescent="0.25">
      <c r="A346" s="4" t="s">
        <v>63</v>
      </c>
      <c r="B346" s="1">
        <v>0.35734100000000002</v>
      </c>
      <c r="C346" s="1">
        <v>0.355101</v>
      </c>
      <c r="D346" s="1">
        <f>IF(B346&gt;C346,B346-C346,C346-B346)</f>
        <v>2.2400000000000198E-3</v>
      </c>
      <c r="E346">
        <f>MINUTE(D346)</f>
        <v>3</v>
      </c>
      <c r="F346">
        <f>SECOND(D346)</f>
        <v>14</v>
      </c>
      <c r="G346">
        <f>ROUND(E346+F346/60,2)</f>
        <v>3.23</v>
      </c>
      <c r="H346">
        <f>60*E346+F346</f>
        <v>194</v>
      </c>
      <c r="I346" s="3">
        <f>5*(3600/H346)</f>
        <v>92.783505154639187</v>
      </c>
      <c r="J346" s="16">
        <f t="shared" si="5"/>
        <v>0</v>
      </c>
    </row>
    <row r="347" spans="1:10" x14ac:dyDescent="0.25">
      <c r="A347" s="4" t="s">
        <v>21</v>
      </c>
      <c r="B347" s="1">
        <v>0.72038999999999997</v>
      </c>
      <c r="C347" s="1">
        <v>0.722634</v>
      </c>
      <c r="D347" s="1">
        <f>IF(B347&gt;C347,B347-C347,C347-B347)</f>
        <v>2.2440000000000238E-3</v>
      </c>
      <c r="E347">
        <f>MINUTE(D347)</f>
        <v>3</v>
      </c>
      <c r="F347">
        <f>SECOND(D347)</f>
        <v>14</v>
      </c>
      <c r="G347">
        <f>ROUND(E347+F347/60,2)</f>
        <v>3.23</v>
      </c>
      <c r="H347">
        <f>60*E347+F347</f>
        <v>194</v>
      </c>
      <c r="I347" s="3">
        <f>5*(3600/H347)</f>
        <v>92.783505154639187</v>
      </c>
      <c r="J347" s="16">
        <f t="shared" si="5"/>
        <v>0</v>
      </c>
    </row>
    <row r="348" spans="1:10" x14ac:dyDescent="0.25">
      <c r="A348" s="4" t="s">
        <v>52</v>
      </c>
      <c r="B348" s="1">
        <v>0.86003499999999999</v>
      </c>
      <c r="C348" s="1">
        <v>0.85779499999999997</v>
      </c>
      <c r="D348" s="1">
        <f>IF(B348&gt;C348,B348-C348,C348-B348)</f>
        <v>2.2400000000000198E-3</v>
      </c>
      <c r="E348">
        <f>MINUTE(D348)</f>
        <v>3</v>
      </c>
      <c r="F348">
        <f>SECOND(D348)</f>
        <v>14</v>
      </c>
      <c r="G348">
        <f>ROUND(E348+F348/60,2)</f>
        <v>3.23</v>
      </c>
      <c r="H348">
        <f>60*E348+F348</f>
        <v>194</v>
      </c>
      <c r="I348" s="3">
        <f>5*(3600/H348)</f>
        <v>92.783505154639187</v>
      </c>
      <c r="J348" s="16">
        <f t="shared" si="5"/>
        <v>0</v>
      </c>
    </row>
    <row r="349" spans="1:10" x14ac:dyDescent="0.25">
      <c r="A349" s="4" t="s">
        <v>162</v>
      </c>
      <c r="B349" s="1">
        <v>0.73413300000000004</v>
      </c>
      <c r="C349" s="1">
        <v>0.73189300000000002</v>
      </c>
      <c r="D349" s="1">
        <f>IF(B349&gt;C349,B349-C349,C349-B349)</f>
        <v>2.2400000000000198E-3</v>
      </c>
      <c r="E349">
        <f>MINUTE(D349)</f>
        <v>3</v>
      </c>
      <c r="F349">
        <f>SECOND(D349)</f>
        <v>14</v>
      </c>
      <c r="G349">
        <f>ROUND(E349+F349/60,2)</f>
        <v>3.23</v>
      </c>
      <c r="H349">
        <f>60*E349+F349</f>
        <v>194</v>
      </c>
      <c r="I349" s="3">
        <f>5*(3600/H349)</f>
        <v>92.783505154639187</v>
      </c>
      <c r="J349" s="16">
        <f t="shared" si="5"/>
        <v>0</v>
      </c>
    </row>
    <row r="350" spans="1:10" x14ac:dyDescent="0.25">
      <c r="A350" s="4" t="s">
        <v>5</v>
      </c>
      <c r="B350" s="1">
        <v>0.43023099999999997</v>
      </c>
      <c r="C350" s="1">
        <v>0.43248700000000001</v>
      </c>
      <c r="D350" s="1">
        <f>IF(B350&gt;C350,B350-C350,C350-B350)</f>
        <v>2.2560000000000358E-3</v>
      </c>
      <c r="E350">
        <f>MINUTE(D350)</f>
        <v>3</v>
      </c>
      <c r="F350">
        <f>SECOND(D350)</f>
        <v>15</v>
      </c>
      <c r="G350">
        <f>ROUND(E350+F350/60,2)</f>
        <v>3.25</v>
      </c>
      <c r="H350">
        <f>60*E350+F350</f>
        <v>195</v>
      </c>
      <c r="I350" s="3">
        <f>5*(3600/H350)</f>
        <v>92.307692307692292</v>
      </c>
      <c r="J350" s="16">
        <f t="shared" si="5"/>
        <v>0</v>
      </c>
    </row>
    <row r="351" spans="1:10" x14ac:dyDescent="0.25">
      <c r="A351" s="4" t="s">
        <v>49</v>
      </c>
      <c r="B351" s="1">
        <v>0.73685999999999996</v>
      </c>
      <c r="C351" s="1">
        <v>0.73460400000000003</v>
      </c>
      <c r="D351" s="1">
        <f>IF(B351&gt;C351,B351-C351,C351-B351)</f>
        <v>2.2559999999999247E-3</v>
      </c>
      <c r="E351">
        <f>MINUTE(D351)</f>
        <v>3</v>
      </c>
      <c r="F351">
        <f>SECOND(D351)</f>
        <v>15</v>
      </c>
      <c r="G351">
        <f>ROUND(E351+F351/60,2)</f>
        <v>3.25</v>
      </c>
      <c r="H351">
        <f>60*E351+F351</f>
        <v>195</v>
      </c>
      <c r="I351" s="3">
        <f>5*(3600/H351)</f>
        <v>92.307692307692292</v>
      </c>
      <c r="J351" s="16">
        <f t="shared" si="5"/>
        <v>0</v>
      </c>
    </row>
    <row r="352" spans="1:10" x14ac:dyDescent="0.25">
      <c r="A352" s="4" t="s">
        <v>259</v>
      </c>
      <c r="B352" s="1">
        <v>0.72672199999999998</v>
      </c>
      <c r="C352" s="1">
        <v>0.72446999999999995</v>
      </c>
      <c r="D352" s="1">
        <f>IF(B352&gt;C352,B352-C352,C352-B352)</f>
        <v>2.2520000000000318E-3</v>
      </c>
      <c r="E352">
        <f>MINUTE(D352)</f>
        <v>3</v>
      </c>
      <c r="F352">
        <f>SECOND(D352)</f>
        <v>15</v>
      </c>
      <c r="G352">
        <f>ROUND(E352+F352/60,2)</f>
        <v>3.25</v>
      </c>
      <c r="H352">
        <f>60*E352+F352</f>
        <v>195</v>
      </c>
      <c r="I352" s="3">
        <f>5*(3600/H352)</f>
        <v>92.307692307692292</v>
      </c>
      <c r="J352" s="16">
        <f t="shared" si="5"/>
        <v>0</v>
      </c>
    </row>
    <row r="353" spans="1:10" x14ac:dyDescent="0.25">
      <c r="A353" s="4" t="s">
        <v>26</v>
      </c>
      <c r="B353" s="1">
        <v>0.32196599999999997</v>
      </c>
      <c r="C353" s="1">
        <v>0.32423800000000003</v>
      </c>
      <c r="D353" s="1">
        <f>IF(B353&gt;C353,B353-C353,C353-B353)</f>
        <v>2.2720000000000518E-3</v>
      </c>
      <c r="E353">
        <f>MINUTE(D353)</f>
        <v>3</v>
      </c>
      <c r="F353">
        <f>SECOND(D353)</f>
        <v>16</v>
      </c>
      <c r="G353">
        <f>ROUND(E353+F353/60,2)</f>
        <v>3.27</v>
      </c>
      <c r="H353">
        <f>60*E353+F353</f>
        <v>196</v>
      </c>
      <c r="I353" s="3">
        <f>5*(3600/H353)</f>
        <v>91.83673469387756</v>
      </c>
      <c r="J353" s="16">
        <f t="shared" si="5"/>
        <v>0</v>
      </c>
    </row>
    <row r="354" spans="1:10" x14ac:dyDescent="0.25">
      <c r="A354" s="4" t="s">
        <v>68</v>
      </c>
      <c r="B354" s="1">
        <v>1.8766999999999999E-2</v>
      </c>
      <c r="C354" s="1">
        <v>2.1031000000000001E-2</v>
      </c>
      <c r="D354" s="1">
        <f>IF(B354&gt;C354,B354-C354,C354-B354)</f>
        <v>2.2640000000000021E-3</v>
      </c>
      <c r="E354">
        <f>MINUTE(D354)</f>
        <v>3</v>
      </c>
      <c r="F354">
        <f>SECOND(D354)</f>
        <v>16</v>
      </c>
      <c r="G354">
        <f>ROUND(E354+F354/60,2)</f>
        <v>3.27</v>
      </c>
      <c r="H354">
        <f>60*E354+F354</f>
        <v>196</v>
      </c>
      <c r="I354" s="3">
        <f>5*(3600/H354)</f>
        <v>91.83673469387756</v>
      </c>
      <c r="J354" s="16">
        <f t="shared" si="5"/>
        <v>0</v>
      </c>
    </row>
    <row r="355" spans="1:10" x14ac:dyDescent="0.25">
      <c r="A355" s="4" t="s">
        <v>16</v>
      </c>
      <c r="B355" s="1">
        <v>8.7446999999999997E-2</v>
      </c>
      <c r="C355" s="1">
        <v>8.5182999999999995E-2</v>
      </c>
      <c r="D355" s="1">
        <f>IF(B355&gt;C355,B355-C355,C355-B355)</f>
        <v>2.2640000000000021E-3</v>
      </c>
      <c r="E355">
        <f>MINUTE(D355)</f>
        <v>3</v>
      </c>
      <c r="F355">
        <f>SECOND(D355)</f>
        <v>16</v>
      </c>
      <c r="G355">
        <f>ROUND(E355+F355/60,2)</f>
        <v>3.27</v>
      </c>
      <c r="H355">
        <f>60*E355+F355</f>
        <v>196</v>
      </c>
      <c r="I355" s="3">
        <f>5*(3600/H355)</f>
        <v>91.83673469387756</v>
      </c>
      <c r="J355" s="16">
        <f t="shared" si="5"/>
        <v>0</v>
      </c>
    </row>
    <row r="356" spans="1:10" x14ac:dyDescent="0.25">
      <c r="A356" s="4" t="s">
        <v>162</v>
      </c>
      <c r="B356" s="1">
        <v>0.80282699999999996</v>
      </c>
      <c r="C356" s="1">
        <v>0.805091</v>
      </c>
      <c r="D356" s="1">
        <f>IF(B356&gt;C356,B356-C356,C356-B356)</f>
        <v>2.2640000000000438E-3</v>
      </c>
      <c r="E356">
        <f>MINUTE(D356)</f>
        <v>3</v>
      </c>
      <c r="F356">
        <f>SECOND(D356)</f>
        <v>16</v>
      </c>
      <c r="G356">
        <f>ROUND(E356+F356/60,2)</f>
        <v>3.27</v>
      </c>
      <c r="H356">
        <f>60*E356+F356</f>
        <v>196</v>
      </c>
      <c r="I356" s="3">
        <f>5*(3600/H356)</f>
        <v>91.83673469387756</v>
      </c>
      <c r="J356" s="16">
        <f t="shared" si="5"/>
        <v>0</v>
      </c>
    </row>
    <row r="357" spans="1:10" x14ac:dyDescent="0.25">
      <c r="A357" s="4" t="s">
        <v>4</v>
      </c>
      <c r="B357" s="1">
        <v>0.86221700000000001</v>
      </c>
      <c r="C357" s="1">
        <v>0.85994899999999996</v>
      </c>
      <c r="D357" s="1">
        <f>IF(B357&gt;C357,B357-C357,C357-B357)</f>
        <v>2.2680000000000478E-3</v>
      </c>
      <c r="E357">
        <f>MINUTE(D357)</f>
        <v>3</v>
      </c>
      <c r="F357">
        <f>SECOND(D357)</f>
        <v>16</v>
      </c>
      <c r="G357">
        <f>ROUND(E357+F357/60,2)</f>
        <v>3.27</v>
      </c>
      <c r="H357">
        <f>60*E357+F357</f>
        <v>196</v>
      </c>
      <c r="I357" s="3">
        <f>5*(3600/H357)</f>
        <v>91.83673469387756</v>
      </c>
      <c r="J357" s="16">
        <f t="shared" si="5"/>
        <v>0</v>
      </c>
    </row>
    <row r="358" spans="1:10" x14ac:dyDescent="0.25">
      <c r="A358" s="4" t="s">
        <v>35</v>
      </c>
      <c r="B358" s="1">
        <v>0.74358000000000002</v>
      </c>
      <c r="C358" s="1">
        <v>0.74584399999999995</v>
      </c>
      <c r="D358" s="1">
        <f>IF(B358&gt;C358,B358-C358,C358-B358)</f>
        <v>2.2639999999999327E-3</v>
      </c>
      <c r="E358">
        <f>MINUTE(D358)</f>
        <v>3</v>
      </c>
      <c r="F358">
        <f>SECOND(D358)</f>
        <v>16</v>
      </c>
      <c r="G358">
        <f>ROUND(E358+F358/60,2)</f>
        <v>3.27</v>
      </c>
      <c r="H358">
        <f>60*E358+F358</f>
        <v>196</v>
      </c>
      <c r="I358" s="3">
        <f>5*(3600/H358)</f>
        <v>91.83673469387756</v>
      </c>
      <c r="J358" s="16">
        <f t="shared" si="5"/>
        <v>0</v>
      </c>
    </row>
    <row r="359" spans="1:10" x14ac:dyDescent="0.25">
      <c r="A359" s="4" t="s">
        <v>163</v>
      </c>
      <c r="B359" s="1">
        <v>0.69269999999999998</v>
      </c>
      <c r="C359" s="1">
        <v>0.69043600000000005</v>
      </c>
      <c r="D359" s="1">
        <f>IF(B359&gt;C359,B359-C359,C359-B359)</f>
        <v>2.2639999999999327E-3</v>
      </c>
      <c r="E359">
        <f>MINUTE(D359)</f>
        <v>3</v>
      </c>
      <c r="F359">
        <f>SECOND(D359)</f>
        <v>16</v>
      </c>
      <c r="G359">
        <f>ROUND(E359+F359/60,2)</f>
        <v>3.27</v>
      </c>
      <c r="H359">
        <f>60*E359+F359</f>
        <v>196</v>
      </c>
      <c r="I359" s="3">
        <f>5*(3600/H359)</f>
        <v>91.83673469387756</v>
      </c>
      <c r="J359" s="16">
        <f t="shared" si="5"/>
        <v>0</v>
      </c>
    </row>
    <row r="360" spans="1:10" x14ac:dyDescent="0.25">
      <c r="A360" s="4" t="s">
        <v>122</v>
      </c>
      <c r="B360" s="1">
        <v>0.68302600000000002</v>
      </c>
      <c r="C360" s="1">
        <v>0.68075799999999997</v>
      </c>
      <c r="D360" s="1">
        <f>IF(B360&gt;C360,B360-C360,C360-B360)</f>
        <v>2.2680000000000478E-3</v>
      </c>
      <c r="E360">
        <f>MINUTE(D360)</f>
        <v>3</v>
      </c>
      <c r="F360">
        <f>SECOND(D360)</f>
        <v>16</v>
      </c>
      <c r="G360">
        <f>ROUND(E360+F360/60,2)</f>
        <v>3.27</v>
      </c>
      <c r="H360">
        <f>60*E360+F360</f>
        <v>196</v>
      </c>
      <c r="I360" s="3">
        <f>5*(3600/H360)</f>
        <v>91.83673469387756</v>
      </c>
      <c r="J360" s="16">
        <f t="shared" si="5"/>
        <v>0</v>
      </c>
    </row>
    <row r="361" spans="1:10" x14ac:dyDescent="0.25">
      <c r="A361" s="4" t="s">
        <v>41</v>
      </c>
      <c r="B361" s="1">
        <v>0.101677</v>
      </c>
      <c r="C361" s="1">
        <v>9.9404999999999993E-2</v>
      </c>
      <c r="D361" s="1">
        <f>IF(B361&gt;C361,B361-C361,C361-B361)</f>
        <v>2.2720000000000101E-3</v>
      </c>
      <c r="E361">
        <f>MINUTE(D361)</f>
        <v>3</v>
      </c>
      <c r="F361">
        <f>SECOND(D361)</f>
        <v>16</v>
      </c>
      <c r="G361">
        <f>ROUND(E361+F361/60,2)</f>
        <v>3.27</v>
      </c>
      <c r="H361">
        <f>60*E361+F361</f>
        <v>196</v>
      </c>
      <c r="I361" s="3">
        <f>5*(3600/H361)</f>
        <v>91.83673469387756</v>
      </c>
      <c r="J361" s="16">
        <f t="shared" si="5"/>
        <v>0</v>
      </c>
    </row>
    <row r="362" spans="1:10" x14ac:dyDescent="0.25">
      <c r="A362" s="4" t="s">
        <v>330</v>
      </c>
      <c r="B362" s="1">
        <v>3.6773E-2</v>
      </c>
      <c r="C362" s="1">
        <v>3.4508999999999998E-2</v>
      </c>
      <c r="D362" s="1">
        <f>IF(B362&gt;C362,B362-C362,C362-B362)</f>
        <v>2.2640000000000021E-3</v>
      </c>
      <c r="E362">
        <f>MINUTE(D362)</f>
        <v>3</v>
      </c>
      <c r="F362">
        <f>SECOND(D362)</f>
        <v>16</v>
      </c>
      <c r="G362">
        <f>ROUND(E362+F362/60,2)</f>
        <v>3.27</v>
      </c>
      <c r="H362">
        <f>60*E362+F362</f>
        <v>196</v>
      </c>
      <c r="I362" s="3">
        <f>5*(3600/H362)</f>
        <v>91.83673469387756</v>
      </c>
      <c r="J362" s="16">
        <f t="shared" si="5"/>
        <v>0</v>
      </c>
    </row>
    <row r="363" spans="1:10" x14ac:dyDescent="0.25">
      <c r="A363" s="4" t="s">
        <v>56</v>
      </c>
      <c r="B363" s="1">
        <v>0.34653200000000001</v>
      </c>
      <c r="C363" s="1">
        <v>0.34881600000000001</v>
      </c>
      <c r="D363" s="1">
        <f>IF(B363&gt;C363,B363-C363,C363-B363)</f>
        <v>2.2840000000000082E-3</v>
      </c>
      <c r="E363">
        <f>MINUTE(D363)</f>
        <v>3</v>
      </c>
      <c r="F363">
        <f>SECOND(D363)</f>
        <v>17</v>
      </c>
      <c r="G363">
        <f>ROUND(E363+F363/60,2)</f>
        <v>3.28</v>
      </c>
      <c r="H363">
        <f>60*E363+F363</f>
        <v>197</v>
      </c>
      <c r="I363" s="3">
        <f>5*(3600/H363)</f>
        <v>91.370558375634516</v>
      </c>
      <c r="J363" s="16">
        <f t="shared" si="5"/>
        <v>0</v>
      </c>
    </row>
    <row r="364" spans="1:10" x14ac:dyDescent="0.25">
      <c r="A364" s="4" t="s">
        <v>60</v>
      </c>
      <c r="B364" s="1">
        <v>2.2539E-2</v>
      </c>
      <c r="C364" s="1">
        <v>2.0254999999999999E-2</v>
      </c>
      <c r="D364" s="1">
        <f>IF(B364&gt;C364,B364-C364,C364-B364)</f>
        <v>2.2840000000000013E-3</v>
      </c>
      <c r="E364">
        <f>MINUTE(D364)</f>
        <v>3</v>
      </c>
      <c r="F364">
        <f>SECOND(D364)</f>
        <v>17</v>
      </c>
      <c r="G364">
        <f>ROUND(E364+F364/60,2)</f>
        <v>3.28</v>
      </c>
      <c r="H364">
        <f>60*E364+F364</f>
        <v>197</v>
      </c>
      <c r="I364" s="3">
        <f>5*(3600/H364)</f>
        <v>91.370558375634516</v>
      </c>
      <c r="J364" s="16">
        <f t="shared" si="5"/>
        <v>0</v>
      </c>
    </row>
    <row r="365" spans="1:10" x14ac:dyDescent="0.25">
      <c r="A365" s="4" t="s">
        <v>117</v>
      </c>
      <c r="B365" s="1">
        <v>0.21960199999999999</v>
      </c>
      <c r="C365" s="1">
        <v>0.21732199999999999</v>
      </c>
      <c r="D365" s="1">
        <f>IF(B365&gt;C365,B365-C365,C365-B365)</f>
        <v>2.2800000000000042E-3</v>
      </c>
      <c r="E365">
        <f>MINUTE(D365)</f>
        <v>3</v>
      </c>
      <c r="F365">
        <f>SECOND(D365)</f>
        <v>17</v>
      </c>
      <c r="G365">
        <f>ROUND(E365+F365/60,2)</f>
        <v>3.28</v>
      </c>
      <c r="H365">
        <f>60*E365+F365</f>
        <v>197</v>
      </c>
      <c r="I365" s="3">
        <f>5*(3600/H365)</f>
        <v>91.370558375634516</v>
      </c>
      <c r="J365" s="16">
        <f t="shared" si="5"/>
        <v>0</v>
      </c>
    </row>
    <row r="366" spans="1:10" x14ac:dyDescent="0.25">
      <c r="A366" s="4" t="s">
        <v>111</v>
      </c>
      <c r="B366" s="1">
        <v>0.66062200000000004</v>
      </c>
      <c r="C366" s="1">
        <v>0.65834599999999999</v>
      </c>
      <c r="D366" s="1">
        <f>IF(B366&gt;C366,B366-C366,C366-B366)</f>
        <v>2.2760000000000558E-3</v>
      </c>
      <c r="E366">
        <f>MINUTE(D366)</f>
        <v>3</v>
      </c>
      <c r="F366">
        <f>SECOND(D366)</f>
        <v>17</v>
      </c>
      <c r="G366">
        <f>ROUND(E366+F366/60,2)</f>
        <v>3.28</v>
      </c>
      <c r="H366">
        <f>60*E366+F366</f>
        <v>197</v>
      </c>
      <c r="I366" s="3">
        <f>5*(3600/H366)</f>
        <v>91.370558375634516</v>
      </c>
      <c r="J366" s="16">
        <f t="shared" si="5"/>
        <v>0</v>
      </c>
    </row>
    <row r="367" spans="1:10" x14ac:dyDescent="0.25">
      <c r="A367" s="4" t="s">
        <v>116</v>
      </c>
      <c r="B367" s="1">
        <v>0.31276999999999999</v>
      </c>
      <c r="C367" s="1">
        <v>0.31504599999999999</v>
      </c>
      <c r="D367" s="1">
        <f>IF(B367&gt;C367,B367-C367,C367-B367)</f>
        <v>2.2760000000000002E-3</v>
      </c>
      <c r="E367">
        <f>MINUTE(D367)</f>
        <v>3</v>
      </c>
      <c r="F367">
        <f>SECOND(D367)</f>
        <v>17</v>
      </c>
      <c r="G367">
        <f>ROUND(E367+F367/60,2)</f>
        <v>3.28</v>
      </c>
      <c r="H367">
        <f>60*E367+F367</f>
        <v>197</v>
      </c>
      <c r="I367" s="3">
        <f>5*(3600/H367)</f>
        <v>91.370558375634516</v>
      </c>
      <c r="J367" s="16">
        <f t="shared" si="5"/>
        <v>0</v>
      </c>
    </row>
    <row r="368" spans="1:10" x14ac:dyDescent="0.25">
      <c r="A368" s="4" t="s">
        <v>141</v>
      </c>
      <c r="B368" s="1">
        <v>0.99470000000000003</v>
      </c>
      <c r="C368" s="1">
        <v>0.99698399999999998</v>
      </c>
      <c r="D368" s="1">
        <f>IF(B368&gt;C368,B368-C368,C368-B368)</f>
        <v>2.2839999999999527E-3</v>
      </c>
      <c r="E368">
        <f>MINUTE(D368)</f>
        <v>3</v>
      </c>
      <c r="F368">
        <f>SECOND(D368)</f>
        <v>17</v>
      </c>
      <c r="G368">
        <f>ROUND(E368+F368/60,2)</f>
        <v>3.28</v>
      </c>
      <c r="H368">
        <f>60*E368+F368</f>
        <v>197</v>
      </c>
      <c r="I368" s="3">
        <f>5*(3600/H368)</f>
        <v>91.370558375634516</v>
      </c>
      <c r="J368" s="16">
        <f t="shared" si="5"/>
        <v>0</v>
      </c>
    </row>
    <row r="369" spans="1:10" x14ac:dyDescent="0.25">
      <c r="A369" s="4" t="s">
        <v>3</v>
      </c>
      <c r="B369" s="1">
        <v>0.59558999999999995</v>
      </c>
      <c r="C369" s="1">
        <v>0.59787400000000002</v>
      </c>
      <c r="D369" s="1">
        <f>IF(B369&gt;C369,B369-C369,C369-B369)</f>
        <v>2.2840000000000638E-3</v>
      </c>
      <c r="E369">
        <f>MINUTE(D369)</f>
        <v>3</v>
      </c>
      <c r="F369">
        <f>SECOND(D369)</f>
        <v>17</v>
      </c>
      <c r="G369">
        <f>ROUND(E369+F369/60,2)</f>
        <v>3.28</v>
      </c>
      <c r="H369">
        <f>60*E369+F369</f>
        <v>197</v>
      </c>
      <c r="I369" s="3">
        <f>5*(3600/H369)</f>
        <v>91.370558375634516</v>
      </c>
      <c r="J369" s="16">
        <f t="shared" si="5"/>
        <v>0</v>
      </c>
    </row>
    <row r="370" spans="1:10" x14ac:dyDescent="0.25">
      <c r="A370" s="4" t="s">
        <v>5</v>
      </c>
      <c r="B370" s="1">
        <v>0.84894400000000003</v>
      </c>
      <c r="C370" s="1">
        <v>0.84666799999999998</v>
      </c>
      <c r="D370" s="1">
        <f>IF(B370&gt;C370,B370-C370,C370-B370)</f>
        <v>2.2760000000000558E-3</v>
      </c>
      <c r="E370">
        <f>MINUTE(D370)</f>
        <v>3</v>
      </c>
      <c r="F370">
        <f>SECOND(D370)</f>
        <v>17</v>
      </c>
      <c r="G370">
        <f>ROUND(E370+F370/60,2)</f>
        <v>3.28</v>
      </c>
      <c r="H370">
        <f>60*E370+F370</f>
        <v>197</v>
      </c>
      <c r="I370" s="3">
        <f>5*(3600/H370)</f>
        <v>91.370558375634516</v>
      </c>
      <c r="J370" s="16">
        <f t="shared" si="5"/>
        <v>0</v>
      </c>
    </row>
    <row r="371" spans="1:10" x14ac:dyDescent="0.25">
      <c r="A371" s="4" t="s">
        <v>264</v>
      </c>
      <c r="B371" s="1">
        <v>0.54122899999999996</v>
      </c>
      <c r="C371" s="1">
        <v>0.54350900000000002</v>
      </c>
      <c r="D371" s="1">
        <f>IF(B371&gt;C371,B371-C371,C371-B371)</f>
        <v>2.2800000000000598E-3</v>
      </c>
      <c r="E371">
        <f>MINUTE(D371)</f>
        <v>3</v>
      </c>
      <c r="F371">
        <f>SECOND(D371)</f>
        <v>17</v>
      </c>
      <c r="G371">
        <f>ROUND(E371+F371/60,2)</f>
        <v>3.28</v>
      </c>
      <c r="H371">
        <f>60*E371+F371</f>
        <v>197</v>
      </c>
      <c r="I371" s="3">
        <f>5*(3600/H371)</f>
        <v>91.370558375634516</v>
      </c>
      <c r="J371" s="16">
        <f t="shared" si="5"/>
        <v>0</v>
      </c>
    </row>
    <row r="372" spans="1:10" x14ac:dyDescent="0.25">
      <c r="A372" s="4" t="s">
        <v>20</v>
      </c>
      <c r="B372" s="1">
        <v>0.127914</v>
      </c>
      <c r="C372" s="1">
        <v>0.12561800000000001</v>
      </c>
      <c r="D372" s="1">
        <f>IF(B372&gt;C372,B372-C372,C372-B372)</f>
        <v>2.2959999999999925E-3</v>
      </c>
      <c r="E372">
        <f>MINUTE(D372)</f>
        <v>3</v>
      </c>
      <c r="F372">
        <f>SECOND(D372)</f>
        <v>18</v>
      </c>
      <c r="G372">
        <f>ROUND(E372+F372/60,2)</f>
        <v>3.3</v>
      </c>
      <c r="H372">
        <f>60*E372+F372</f>
        <v>198</v>
      </c>
      <c r="I372" s="3">
        <f>5*(3600/H372)</f>
        <v>90.909090909090921</v>
      </c>
      <c r="J372" s="16">
        <f t="shared" si="5"/>
        <v>0</v>
      </c>
    </row>
    <row r="373" spans="1:10" x14ac:dyDescent="0.25">
      <c r="A373" s="4" t="s">
        <v>84</v>
      </c>
      <c r="B373" s="1">
        <v>0.20413700000000001</v>
      </c>
      <c r="C373" s="1">
        <v>0.20184099999999999</v>
      </c>
      <c r="D373" s="1">
        <f>IF(B373&gt;C373,B373-C373,C373-B373)</f>
        <v>2.2960000000000202E-3</v>
      </c>
      <c r="E373">
        <f>MINUTE(D373)</f>
        <v>3</v>
      </c>
      <c r="F373">
        <f>SECOND(D373)</f>
        <v>18</v>
      </c>
      <c r="G373">
        <f>ROUND(E373+F373/60,2)</f>
        <v>3.3</v>
      </c>
      <c r="H373">
        <f>60*E373+F373</f>
        <v>198</v>
      </c>
      <c r="I373" s="3">
        <f>5*(3600/H373)</f>
        <v>90.909090909090921</v>
      </c>
      <c r="J373" s="16">
        <f t="shared" si="5"/>
        <v>0</v>
      </c>
    </row>
    <row r="374" spans="1:10" x14ac:dyDescent="0.25">
      <c r="A374" s="4" t="s">
        <v>125</v>
      </c>
      <c r="B374" s="1">
        <v>0.56990099999999999</v>
      </c>
      <c r="C374" s="1">
        <v>0.57219699999999996</v>
      </c>
      <c r="D374" s="1">
        <f>IF(B374&gt;C374,B374-C374,C374-B374)</f>
        <v>2.2959999999999647E-3</v>
      </c>
      <c r="E374">
        <f>MINUTE(D374)</f>
        <v>3</v>
      </c>
      <c r="F374">
        <f>SECOND(D374)</f>
        <v>18</v>
      </c>
      <c r="G374">
        <f>ROUND(E374+F374/60,2)</f>
        <v>3.3</v>
      </c>
      <c r="H374">
        <f>60*E374+F374</f>
        <v>198</v>
      </c>
      <c r="I374" s="3">
        <f>5*(3600/H374)</f>
        <v>90.909090909090921</v>
      </c>
      <c r="J374" s="16">
        <f t="shared" si="5"/>
        <v>0</v>
      </c>
    </row>
    <row r="375" spans="1:10" x14ac:dyDescent="0.25">
      <c r="A375" s="4" t="s">
        <v>126</v>
      </c>
      <c r="B375" s="1">
        <v>0.80859300000000001</v>
      </c>
      <c r="C375" s="1">
        <v>0.80629700000000004</v>
      </c>
      <c r="D375" s="1">
        <f>IF(B375&gt;C375,B375-C375,C375-B375)</f>
        <v>2.2959999999999647E-3</v>
      </c>
      <c r="E375">
        <f>MINUTE(D375)</f>
        <v>3</v>
      </c>
      <c r="F375">
        <f>SECOND(D375)</f>
        <v>18</v>
      </c>
      <c r="G375">
        <f>ROUND(E375+F375/60,2)</f>
        <v>3.3</v>
      </c>
      <c r="H375">
        <f>60*E375+F375</f>
        <v>198</v>
      </c>
      <c r="I375" s="3">
        <f>5*(3600/H375)</f>
        <v>90.909090909090921</v>
      </c>
      <c r="J375" s="16">
        <f t="shared" si="5"/>
        <v>0</v>
      </c>
    </row>
    <row r="376" spans="1:10" x14ac:dyDescent="0.25">
      <c r="A376" s="4" t="s">
        <v>402</v>
      </c>
      <c r="B376" s="1">
        <v>0.54644499999999996</v>
      </c>
      <c r="C376" s="1">
        <v>0.544157</v>
      </c>
      <c r="D376" s="1">
        <f>IF(B376&gt;C376,B376-C376,C376-B376)</f>
        <v>2.2879999999999567E-3</v>
      </c>
      <c r="E376">
        <f>MINUTE(D376)</f>
        <v>3</v>
      </c>
      <c r="F376">
        <f>SECOND(D376)</f>
        <v>18</v>
      </c>
      <c r="G376">
        <f>ROUND(E376+F376/60,2)</f>
        <v>3.3</v>
      </c>
      <c r="H376">
        <f>60*E376+F376</f>
        <v>198</v>
      </c>
      <c r="I376" s="3">
        <f>5*(3600/H376)</f>
        <v>90.909090909090921</v>
      </c>
      <c r="J376" s="16">
        <f t="shared" si="5"/>
        <v>0</v>
      </c>
    </row>
    <row r="377" spans="1:10" x14ac:dyDescent="0.25">
      <c r="A377" s="4" t="s">
        <v>57</v>
      </c>
      <c r="B377" s="1">
        <v>0.95849399999999996</v>
      </c>
      <c r="C377" s="1">
        <v>0.96079800000000004</v>
      </c>
      <c r="D377" s="1">
        <f>IF(B377&gt;C377,B377-C377,C377-B377)</f>
        <v>2.3040000000000838E-3</v>
      </c>
      <c r="E377">
        <f>MINUTE(D377)</f>
        <v>3</v>
      </c>
      <c r="F377">
        <f>SECOND(D377)</f>
        <v>19</v>
      </c>
      <c r="G377">
        <f>ROUND(E377+F377/60,2)</f>
        <v>3.32</v>
      </c>
      <c r="H377">
        <f>60*E377+F377</f>
        <v>199</v>
      </c>
      <c r="I377" s="3">
        <f>5*(3600/H377)</f>
        <v>90.452261306532648</v>
      </c>
      <c r="J377" s="16">
        <f t="shared" si="5"/>
        <v>0</v>
      </c>
    </row>
    <row r="378" spans="1:10" x14ac:dyDescent="0.25">
      <c r="A378" s="4" t="s">
        <v>135</v>
      </c>
      <c r="B378" s="1">
        <v>0.41060799999999997</v>
      </c>
      <c r="C378" s="1">
        <v>0.412908</v>
      </c>
      <c r="D378" s="1">
        <f>IF(B378&gt;C378,B378-C378,C378-B378)</f>
        <v>2.3000000000000242E-3</v>
      </c>
      <c r="E378">
        <f>MINUTE(D378)</f>
        <v>3</v>
      </c>
      <c r="F378">
        <f>SECOND(D378)</f>
        <v>19</v>
      </c>
      <c r="G378">
        <f>ROUND(E378+F378/60,2)</f>
        <v>3.32</v>
      </c>
      <c r="H378">
        <f>60*E378+F378</f>
        <v>199</v>
      </c>
      <c r="I378" s="3">
        <f>5*(3600/H378)</f>
        <v>90.452261306532648</v>
      </c>
      <c r="J378" s="16">
        <f t="shared" si="5"/>
        <v>0</v>
      </c>
    </row>
    <row r="379" spans="1:10" x14ac:dyDescent="0.25">
      <c r="A379" s="4" t="s">
        <v>53</v>
      </c>
      <c r="B379" s="1">
        <v>0.36659199999999997</v>
      </c>
      <c r="C379" s="1">
        <v>0.368896</v>
      </c>
      <c r="D379" s="1">
        <f>IF(B379&gt;C379,B379-C379,C379-B379)</f>
        <v>2.3040000000000282E-3</v>
      </c>
      <c r="E379">
        <f>MINUTE(D379)</f>
        <v>3</v>
      </c>
      <c r="F379">
        <f>SECOND(D379)</f>
        <v>19</v>
      </c>
      <c r="G379">
        <f>ROUND(E379+F379/60,2)</f>
        <v>3.32</v>
      </c>
      <c r="H379">
        <f>60*E379+F379</f>
        <v>199</v>
      </c>
      <c r="I379" s="3">
        <f>5*(3600/H379)</f>
        <v>90.452261306532648</v>
      </c>
      <c r="J379" s="16">
        <f t="shared" si="5"/>
        <v>0</v>
      </c>
    </row>
    <row r="380" spans="1:10" x14ac:dyDescent="0.25">
      <c r="A380" s="4" t="s">
        <v>143</v>
      </c>
      <c r="B380" s="1">
        <v>0.34360400000000002</v>
      </c>
      <c r="C380" s="1">
        <v>0.345912</v>
      </c>
      <c r="D380" s="1">
        <f>IF(B380&gt;C380,B380-C380,C380-B380)</f>
        <v>2.3079999999999767E-3</v>
      </c>
      <c r="E380">
        <f>MINUTE(D380)</f>
        <v>3</v>
      </c>
      <c r="F380">
        <f>SECOND(D380)</f>
        <v>19</v>
      </c>
      <c r="G380">
        <f>ROUND(E380+F380/60,2)</f>
        <v>3.32</v>
      </c>
      <c r="H380">
        <f>60*E380+F380</f>
        <v>199</v>
      </c>
      <c r="I380" s="3">
        <f>5*(3600/H380)</f>
        <v>90.452261306532648</v>
      </c>
      <c r="J380" s="16">
        <f t="shared" si="5"/>
        <v>0</v>
      </c>
    </row>
    <row r="381" spans="1:10" x14ac:dyDescent="0.25">
      <c r="A381" s="4" t="s">
        <v>117</v>
      </c>
      <c r="B381" s="1">
        <v>0.57271000000000005</v>
      </c>
      <c r="C381" s="1">
        <v>0.57501000000000002</v>
      </c>
      <c r="D381" s="1">
        <f>IF(B381&gt;C381,B381-C381,C381-B381)</f>
        <v>2.2999999999999687E-3</v>
      </c>
      <c r="E381">
        <f>MINUTE(D381)</f>
        <v>3</v>
      </c>
      <c r="F381">
        <f>SECOND(D381)</f>
        <v>19</v>
      </c>
      <c r="G381">
        <f>ROUND(E381+F381/60,2)</f>
        <v>3.32</v>
      </c>
      <c r="H381">
        <f>60*E381+F381</f>
        <v>199</v>
      </c>
      <c r="I381" s="3">
        <f>5*(3600/H381)</f>
        <v>90.452261306532648</v>
      </c>
      <c r="J381" s="16">
        <f t="shared" si="5"/>
        <v>0</v>
      </c>
    </row>
    <row r="382" spans="1:10" x14ac:dyDescent="0.25">
      <c r="A382" s="4" t="s">
        <v>277</v>
      </c>
      <c r="B382" s="1">
        <v>0.344642</v>
      </c>
      <c r="C382" s="1">
        <v>0.34694999999999998</v>
      </c>
      <c r="D382" s="1">
        <f>IF(B382&gt;C382,B382-C382,C382-B382)</f>
        <v>2.3079999999999767E-3</v>
      </c>
      <c r="E382">
        <f>MINUTE(D382)</f>
        <v>3</v>
      </c>
      <c r="F382">
        <f>SECOND(D382)</f>
        <v>19</v>
      </c>
      <c r="G382">
        <f>ROUND(E382+F382/60,2)</f>
        <v>3.32</v>
      </c>
      <c r="H382">
        <f>60*E382+F382</f>
        <v>199</v>
      </c>
      <c r="I382" s="3">
        <f>5*(3600/H382)</f>
        <v>90.452261306532648</v>
      </c>
      <c r="J382" s="16">
        <f t="shared" si="5"/>
        <v>0</v>
      </c>
    </row>
    <row r="383" spans="1:10" x14ac:dyDescent="0.25">
      <c r="A383" s="4" t="s">
        <v>154</v>
      </c>
      <c r="B383" s="1">
        <v>0.44955299999999998</v>
      </c>
      <c r="C383" s="1">
        <v>0.447237</v>
      </c>
      <c r="D383" s="1">
        <f>IF(B383&gt;C383,B383-C383,C383-B383)</f>
        <v>2.3159999999999847E-3</v>
      </c>
      <c r="E383">
        <f>MINUTE(D383)</f>
        <v>3</v>
      </c>
      <c r="F383">
        <f>SECOND(D383)</f>
        <v>20</v>
      </c>
      <c r="G383">
        <f>ROUND(E383+F383/60,2)</f>
        <v>3.33</v>
      </c>
      <c r="H383">
        <f>60*E383+F383</f>
        <v>200</v>
      </c>
      <c r="I383" s="3">
        <f>5*(3600/H383)</f>
        <v>90</v>
      </c>
      <c r="J383" s="16">
        <f t="shared" si="5"/>
        <v>0</v>
      </c>
    </row>
    <row r="384" spans="1:10" x14ac:dyDescent="0.25">
      <c r="A384" s="4" t="s">
        <v>103</v>
      </c>
      <c r="B384" s="1">
        <v>0.92061899999999997</v>
      </c>
      <c r="C384" s="1">
        <v>0.92293099999999995</v>
      </c>
      <c r="D384" s="1">
        <f>IF(B384&gt;C384,B384-C384,C384-B384)</f>
        <v>2.3119999999999807E-3</v>
      </c>
      <c r="E384">
        <f>MINUTE(D384)</f>
        <v>3</v>
      </c>
      <c r="F384">
        <f>SECOND(D384)</f>
        <v>20</v>
      </c>
      <c r="G384">
        <f>ROUND(E384+F384/60,2)</f>
        <v>3.33</v>
      </c>
      <c r="H384">
        <f>60*E384+F384</f>
        <v>200</v>
      </c>
      <c r="I384" s="3">
        <f>5*(3600/H384)</f>
        <v>90</v>
      </c>
      <c r="J384" s="16">
        <f t="shared" si="5"/>
        <v>0</v>
      </c>
    </row>
    <row r="385" spans="1:10" x14ac:dyDescent="0.25">
      <c r="A385" s="4" t="s">
        <v>196</v>
      </c>
      <c r="B385" s="1">
        <v>0.73899499999999996</v>
      </c>
      <c r="C385" s="1">
        <v>0.74130700000000005</v>
      </c>
      <c r="D385" s="1">
        <f>IF(B385&gt;C385,B385-C385,C385-B385)</f>
        <v>2.3120000000000918E-3</v>
      </c>
      <c r="E385">
        <f>MINUTE(D385)</f>
        <v>3</v>
      </c>
      <c r="F385">
        <f>SECOND(D385)</f>
        <v>20</v>
      </c>
      <c r="G385">
        <f>ROUND(E385+F385/60,2)</f>
        <v>3.33</v>
      </c>
      <c r="H385">
        <f>60*E385+F385</f>
        <v>200</v>
      </c>
      <c r="I385" s="3">
        <f>5*(3600/H385)</f>
        <v>90</v>
      </c>
      <c r="J385" s="16">
        <f t="shared" si="5"/>
        <v>0</v>
      </c>
    </row>
    <row r="386" spans="1:10" x14ac:dyDescent="0.25">
      <c r="A386" s="4" t="s">
        <v>5</v>
      </c>
      <c r="B386" s="1">
        <v>0.27487200000000001</v>
      </c>
      <c r="C386" s="1">
        <v>0.27720400000000001</v>
      </c>
      <c r="D386" s="1">
        <f>IF(B386&gt;C386,B386-C386,C386-B386)</f>
        <v>2.3320000000000007E-3</v>
      </c>
      <c r="E386">
        <f>MINUTE(D386)</f>
        <v>3</v>
      </c>
      <c r="F386">
        <f>SECOND(D386)</f>
        <v>21</v>
      </c>
      <c r="G386">
        <f>ROUND(E386+F386/60,2)</f>
        <v>3.35</v>
      </c>
      <c r="H386">
        <f>60*E386+F386</f>
        <v>201</v>
      </c>
      <c r="I386" s="3">
        <f>5*(3600/H386)</f>
        <v>89.552238805970148</v>
      </c>
      <c r="J386" s="16">
        <f t="shared" si="5"/>
        <v>0</v>
      </c>
    </row>
    <row r="387" spans="1:10" x14ac:dyDescent="0.25">
      <c r="A387" s="4" t="s">
        <v>128</v>
      </c>
      <c r="B387" s="1">
        <v>0.63809400000000005</v>
      </c>
      <c r="C387" s="1">
        <v>0.63576600000000005</v>
      </c>
      <c r="D387" s="1">
        <f>IF(B387&gt;C387,B387-C387,C387-B387)</f>
        <v>2.3279999999999967E-3</v>
      </c>
      <c r="E387">
        <f>MINUTE(D387)</f>
        <v>3</v>
      </c>
      <c r="F387">
        <f>SECOND(D387)</f>
        <v>21</v>
      </c>
      <c r="G387">
        <f>ROUND(E387+F387/60,2)</f>
        <v>3.35</v>
      </c>
      <c r="H387">
        <f>60*E387+F387</f>
        <v>201</v>
      </c>
      <c r="I387" s="3">
        <f>5*(3600/H387)</f>
        <v>89.552238805970148</v>
      </c>
      <c r="J387" s="16">
        <f t="shared" ref="J387:J450" si="6">IF(I387&gt;140,1,0)</f>
        <v>0</v>
      </c>
    </row>
    <row r="388" spans="1:10" x14ac:dyDescent="0.25">
      <c r="A388" s="4" t="s">
        <v>150</v>
      </c>
      <c r="B388" s="1">
        <v>0.52590599999999998</v>
      </c>
      <c r="C388" s="1">
        <v>0.52823399999999998</v>
      </c>
      <c r="D388" s="1">
        <f>IF(B388&gt;C388,B388-C388,C388-B388)</f>
        <v>2.3279999999999967E-3</v>
      </c>
      <c r="E388">
        <f>MINUTE(D388)</f>
        <v>3</v>
      </c>
      <c r="F388">
        <f>SECOND(D388)</f>
        <v>21</v>
      </c>
      <c r="G388">
        <f>ROUND(E388+F388/60,2)</f>
        <v>3.35</v>
      </c>
      <c r="H388">
        <f>60*E388+F388</f>
        <v>201</v>
      </c>
      <c r="I388" s="3">
        <f>5*(3600/H388)</f>
        <v>89.552238805970148</v>
      </c>
      <c r="J388" s="16">
        <f t="shared" si="6"/>
        <v>0</v>
      </c>
    </row>
    <row r="389" spans="1:10" x14ac:dyDescent="0.25">
      <c r="A389" s="4" t="s">
        <v>5</v>
      </c>
      <c r="B389" s="1">
        <v>0.72962700000000003</v>
      </c>
      <c r="C389" s="1">
        <v>0.72729500000000002</v>
      </c>
      <c r="D389" s="1">
        <f>IF(B389&gt;C389,B389-C389,C389-B389)</f>
        <v>2.3320000000000007E-3</v>
      </c>
      <c r="E389">
        <f>MINUTE(D389)</f>
        <v>3</v>
      </c>
      <c r="F389">
        <f>SECOND(D389)</f>
        <v>21</v>
      </c>
      <c r="G389">
        <f>ROUND(E389+F389/60,2)</f>
        <v>3.35</v>
      </c>
      <c r="H389">
        <f>60*E389+F389</f>
        <v>201</v>
      </c>
      <c r="I389" s="3">
        <f>5*(3600/H389)</f>
        <v>89.552238805970148</v>
      </c>
      <c r="J389" s="16">
        <f t="shared" si="6"/>
        <v>0</v>
      </c>
    </row>
    <row r="390" spans="1:10" x14ac:dyDescent="0.25">
      <c r="A390" s="4" t="s">
        <v>10</v>
      </c>
      <c r="B390" s="1">
        <v>3.9606000000000002E-2</v>
      </c>
      <c r="C390" s="1">
        <v>3.7274000000000002E-2</v>
      </c>
      <c r="D390" s="1">
        <f>IF(B390&gt;C390,B390-C390,C390-B390)</f>
        <v>2.3320000000000007E-3</v>
      </c>
      <c r="E390">
        <f>MINUTE(D390)</f>
        <v>3</v>
      </c>
      <c r="F390">
        <f>SECOND(D390)</f>
        <v>21</v>
      </c>
      <c r="G390">
        <f>ROUND(E390+F390/60,2)</f>
        <v>3.35</v>
      </c>
      <c r="H390">
        <f>60*E390+F390</f>
        <v>201</v>
      </c>
      <c r="I390" s="3">
        <f>5*(3600/H390)</f>
        <v>89.552238805970148</v>
      </c>
      <c r="J390" s="16">
        <f t="shared" si="6"/>
        <v>0</v>
      </c>
    </row>
    <row r="391" spans="1:10" x14ac:dyDescent="0.25">
      <c r="A391" s="4" t="s">
        <v>87</v>
      </c>
      <c r="B391" s="1">
        <v>7.9268000000000005E-2</v>
      </c>
      <c r="C391" s="1">
        <v>8.1591999999999998E-2</v>
      </c>
      <c r="D391" s="1">
        <f>IF(B391&gt;C391,B391-C391,C391-B391)</f>
        <v>2.3239999999999927E-3</v>
      </c>
      <c r="E391">
        <f>MINUTE(D391)</f>
        <v>3</v>
      </c>
      <c r="F391">
        <f>SECOND(D391)</f>
        <v>21</v>
      </c>
      <c r="G391">
        <f>ROUND(E391+F391/60,2)</f>
        <v>3.35</v>
      </c>
      <c r="H391">
        <f>60*E391+F391</f>
        <v>201</v>
      </c>
      <c r="I391" s="3">
        <f>5*(3600/H391)</f>
        <v>89.552238805970148</v>
      </c>
      <c r="J391" s="16">
        <f t="shared" si="6"/>
        <v>0</v>
      </c>
    </row>
    <row r="392" spans="1:10" x14ac:dyDescent="0.25">
      <c r="A392" s="4" t="s">
        <v>251</v>
      </c>
      <c r="B392" s="1">
        <v>5.1720000000000002E-2</v>
      </c>
      <c r="C392" s="1">
        <v>5.4052000000000003E-2</v>
      </c>
      <c r="D392" s="1">
        <f>IF(B392&gt;C392,B392-C392,C392-B392)</f>
        <v>2.3320000000000007E-3</v>
      </c>
      <c r="E392">
        <f>MINUTE(D392)</f>
        <v>3</v>
      </c>
      <c r="F392">
        <f>SECOND(D392)</f>
        <v>21</v>
      </c>
      <c r="G392">
        <f>ROUND(E392+F392/60,2)</f>
        <v>3.35</v>
      </c>
      <c r="H392">
        <f>60*E392+F392</f>
        <v>201</v>
      </c>
      <c r="I392" s="3">
        <f>5*(3600/H392)</f>
        <v>89.552238805970148</v>
      </c>
      <c r="J392" s="16">
        <f t="shared" si="6"/>
        <v>0</v>
      </c>
    </row>
    <row r="393" spans="1:10" x14ac:dyDescent="0.25">
      <c r="A393" s="4" t="s">
        <v>296</v>
      </c>
      <c r="B393" s="1">
        <v>0.48624499999999998</v>
      </c>
      <c r="C393" s="1">
        <v>0.48857299999999998</v>
      </c>
      <c r="D393" s="1">
        <f>IF(B393&gt;C393,B393-C393,C393-B393)</f>
        <v>2.3279999999999967E-3</v>
      </c>
      <c r="E393">
        <f>MINUTE(D393)</f>
        <v>3</v>
      </c>
      <c r="F393">
        <f>SECOND(D393)</f>
        <v>21</v>
      </c>
      <c r="G393">
        <f>ROUND(E393+F393/60,2)</f>
        <v>3.35</v>
      </c>
      <c r="H393">
        <f>60*E393+F393</f>
        <v>201</v>
      </c>
      <c r="I393" s="3">
        <f>5*(3600/H393)</f>
        <v>89.552238805970148</v>
      </c>
      <c r="J393" s="16">
        <f t="shared" si="6"/>
        <v>0</v>
      </c>
    </row>
    <row r="394" spans="1:10" x14ac:dyDescent="0.25">
      <c r="A394" s="4" t="s">
        <v>164</v>
      </c>
      <c r="B394" s="1">
        <v>0.27964899999999998</v>
      </c>
      <c r="C394" s="1">
        <v>0.28198499999999999</v>
      </c>
      <c r="D394" s="1">
        <f>IF(B394&gt;C394,B394-C394,C394-B394)</f>
        <v>2.3360000000000047E-3</v>
      </c>
      <c r="E394">
        <f>MINUTE(D394)</f>
        <v>3</v>
      </c>
      <c r="F394">
        <f>SECOND(D394)</f>
        <v>22</v>
      </c>
      <c r="G394">
        <f>ROUND(E394+F394/60,2)</f>
        <v>3.37</v>
      </c>
      <c r="H394">
        <f>60*E394+F394</f>
        <v>202</v>
      </c>
      <c r="I394" s="3">
        <f>5*(3600/H394)</f>
        <v>89.108910891089124</v>
      </c>
      <c r="J394" s="16">
        <f t="shared" si="6"/>
        <v>0</v>
      </c>
    </row>
    <row r="395" spans="1:10" x14ac:dyDescent="0.25">
      <c r="A395" s="4" t="s">
        <v>5</v>
      </c>
      <c r="B395" s="1">
        <v>0.28254000000000001</v>
      </c>
      <c r="C395" s="1">
        <v>0.28488400000000003</v>
      </c>
      <c r="D395" s="1">
        <f>IF(B395&gt;C395,B395-C395,C395-B395)</f>
        <v>2.3440000000000127E-3</v>
      </c>
      <c r="E395">
        <f>MINUTE(D395)</f>
        <v>3</v>
      </c>
      <c r="F395">
        <f>SECOND(D395)</f>
        <v>23</v>
      </c>
      <c r="G395">
        <f>ROUND(E395+F395/60,2)</f>
        <v>3.38</v>
      </c>
      <c r="H395">
        <f>60*E395+F395</f>
        <v>203</v>
      </c>
      <c r="I395" s="3">
        <f>5*(3600/H395)</f>
        <v>88.66995073891627</v>
      </c>
      <c r="J395" s="16">
        <f t="shared" si="6"/>
        <v>0</v>
      </c>
    </row>
    <row r="396" spans="1:10" x14ac:dyDescent="0.25">
      <c r="A396" s="4" t="s">
        <v>15</v>
      </c>
      <c r="B396" s="1">
        <v>0.52019700000000002</v>
      </c>
      <c r="C396" s="1">
        <v>0.52254900000000004</v>
      </c>
      <c r="D396" s="1">
        <f>IF(B396&gt;C396,B396-C396,C396-B396)</f>
        <v>2.3520000000000207E-3</v>
      </c>
      <c r="E396">
        <f>MINUTE(D396)</f>
        <v>3</v>
      </c>
      <c r="F396">
        <f>SECOND(D396)</f>
        <v>23</v>
      </c>
      <c r="G396">
        <f>ROUND(E396+F396/60,2)</f>
        <v>3.38</v>
      </c>
      <c r="H396">
        <f>60*E396+F396</f>
        <v>203</v>
      </c>
      <c r="I396" s="3">
        <f>5*(3600/H396)</f>
        <v>88.66995073891627</v>
      </c>
      <c r="J396" s="16">
        <f t="shared" si="6"/>
        <v>0</v>
      </c>
    </row>
    <row r="397" spans="1:10" x14ac:dyDescent="0.25">
      <c r="A397" s="4" t="s">
        <v>136</v>
      </c>
      <c r="B397" s="1">
        <v>0.41161799999999998</v>
      </c>
      <c r="C397" s="1">
        <v>0.40927400000000003</v>
      </c>
      <c r="D397" s="1">
        <f>IF(B397&gt;C397,B397-C397,C397-B397)</f>
        <v>2.3439999999999572E-3</v>
      </c>
      <c r="E397">
        <f>MINUTE(D397)</f>
        <v>3</v>
      </c>
      <c r="F397">
        <f>SECOND(D397)</f>
        <v>23</v>
      </c>
      <c r="G397">
        <f>ROUND(E397+F397/60,2)</f>
        <v>3.38</v>
      </c>
      <c r="H397">
        <f>60*E397+F397</f>
        <v>203</v>
      </c>
      <c r="I397" s="3">
        <f>5*(3600/H397)</f>
        <v>88.66995073891627</v>
      </c>
      <c r="J397" s="16">
        <f t="shared" si="6"/>
        <v>0</v>
      </c>
    </row>
    <row r="398" spans="1:10" x14ac:dyDescent="0.25">
      <c r="A398" s="4" t="s">
        <v>77</v>
      </c>
      <c r="B398" s="1">
        <v>2.6912999999999999E-2</v>
      </c>
      <c r="C398" s="1">
        <v>2.9256999999999998E-2</v>
      </c>
      <c r="D398" s="1">
        <f>IF(B398&gt;C398,B398-C398,C398-B398)</f>
        <v>2.3439999999999989E-3</v>
      </c>
      <c r="E398">
        <f>MINUTE(D398)</f>
        <v>3</v>
      </c>
      <c r="F398">
        <f>SECOND(D398)</f>
        <v>23</v>
      </c>
      <c r="G398">
        <f>ROUND(E398+F398/60,2)</f>
        <v>3.38</v>
      </c>
      <c r="H398">
        <f>60*E398+F398</f>
        <v>203</v>
      </c>
      <c r="I398" s="3">
        <f>5*(3600/H398)</f>
        <v>88.66995073891627</v>
      </c>
      <c r="J398" s="16">
        <f t="shared" si="6"/>
        <v>0</v>
      </c>
    </row>
    <row r="399" spans="1:10" x14ac:dyDescent="0.25">
      <c r="A399" s="4" t="s">
        <v>68</v>
      </c>
      <c r="B399" s="1">
        <v>0.40887499999999999</v>
      </c>
      <c r="C399" s="1">
        <v>0.40652700000000003</v>
      </c>
      <c r="D399" s="1">
        <f>IF(B399&gt;C399,B399-C399,C399-B399)</f>
        <v>2.3479999999999612E-3</v>
      </c>
      <c r="E399">
        <f>MINUTE(D399)</f>
        <v>3</v>
      </c>
      <c r="F399">
        <f>SECOND(D399)</f>
        <v>23</v>
      </c>
      <c r="G399">
        <f>ROUND(E399+F399/60,2)</f>
        <v>3.38</v>
      </c>
      <c r="H399">
        <f>60*E399+F399</f>
        <v>203</v>
      </c>
      <c r="I399" s="3">
        <f>5*(3600/H399)</f>
        <v>88.66995073891627</v>
      </c>
      <c r="J399" s="16">
        <f t="shared" si="6"/>
        <v>0</v>
      </c>
    </row>
    <row r="400" spans="1:10" x14ac:dyDescent="0.25">
      <c r="A400" s="4" t="s">
        <v>37</v>
      </c>
      <c r="B400" s="1">
        <v>0.923041</v>
      </c>
      <c r="C400" s="1">
        <v>0.92067699999999997</v>
      </c>
      <c r="D400" s="1">
        <f>IF(B400&gt;C400,B400-C400,C400-B400)</f>
        <v>2.3640000000000327E-3</v>
      </c>
      <c r="E400">
        <f>MINUTE(D400)</f>
        <v>3</v>
      </c>
      <c r="F400">
        <f>SECOND(D400)</f>
        <v>24</v>
      </c>
      <c r="G400">
        <f>ROUND(E400+F400/60,2)</f>
        <v>3.4</v>
      </c>
      <c r="H400">
        <f>60*E400+F400</f>
        <v>204</v>
      </c>
      <c r="I400" s="3">
        <f>5*(3600/H400)</f>
        <v>88.235294117647072</v>
      </c>
      <c r="J400" s="16">
        <f t="shared" si="6"/>
        <v>0</v>
      </c>
    </row>
    <row r="401" spans="1:10" x14ac:dyDescent="0.25">
      <c r="A401" s="4" t="s">
        <v>155</v>
      </c>
      <c r="B401" s="1">
        <v>0.73158400000000001</v>
      </c>
      <c r="C401" s="1">
        <v>0.72921199999999997</v>
      </c>
      <c r="D401" s="1">
        <f>IF(B401&gt;C401,B401-C401,C401-B401)</f>
        <v>2.3720000000000407E-3</v>
      </c>
      <c r="E401">
        <f>MINUTE(D401)</f>
        <v>3</v>
      </c>
      <c r="F401">
        <f>SECOND(D401)</f>
        <v>25</v>
      </c>
      <c r="G401">
        <f>ROUND(E401+F401/60,2)</f>
        <v>3.42</v>
      </c>
      <c r="H401">
        <f>60*E401+F401</f>
        <v>205</v>
      </c>
      <c r="I401" s="3">
        <f>5*(3600/H401)</f>
        <v>87.804878048780495</v>
      </c>
      <c r="J401" s="16">
        <f t="shared" si="6"/>
        <v>0</v>
      </c>
    </row>
    <row r="402" spans="1:10" x14ac:dyDescent="0.25">
      <c r="A402" s="4" t="s">
        <v>15</v>
      </c>
      <c r="B402" s="1">
        <v>5.6968999999999999E-2</v>
      </c>
      <c r="C402" s="1">
        <v>5.4597E-2</v>
      </c>
      <c r="D402" s="1">
        <f>IF(B402&gt;C402,B402-C402,C402-B402)</f>
        <v>2.3719999999999991E-3</v>
      </c>
      <c r="E402">
        <f>MINUTE(D402)</f>
        <v>3</v>
      </c>
      <c r="F402">
        <f>SECOND(D402)</f>
        <v>25</v>
      </c>
      <c r="G402">
        <f>ROUND(E402+F402/60,2)</f>
        <v>3.42</v>
      </c>
      <c r="H402">
        <f>60*E402+F402</f>
        <v>205</v>
      </c>
      <c r="I402" s="3">
        <f>5*(3600/H402)</f>
        <v>87.804878048780495</v>
      </c>
      <c r="J402" s="16">
        <f t="shared" si="6"/>
        <v>0</v>
      </c>
    </row>
    <row r="403" spans="1:10" x14ac:dyDescent="0.25">
      <c r="A403" s="4" t="s">
        <v>109</v>
      </c>
      <c r="B403" s="1">
        <v>0.114372</v>
      </c>
      <c r="C403" s="1">
        <v>0.116748</v>
      </c>
      <c r="D403" s="1">
        <f>IF(B403&gt;C403,B403-C403,C403-B403)</f>
        <v>2.3760000000000031E-3</v>
      </c>
      <c r="E403">
        <f>MINUTE(D403)</f>
        <v>3</v>
      </c>
      <c r="F403">
        <f>SECOND(D403)</f>
        <v>25</v>
      </c>
      <c r="G403">
        <f>ROUND(E403+F403/60,2)</f>
        <v>3.42</v>
      </c>
      <c r="H403">
        <f>60*E403+F403</f>
        <v>205</v>
      </c>
      <c r="I403" s="3">
        <f>5*(3600/H403)</f>
        <v>87.804878048780495</v>
      </c>
      <c r="J403" s="16">
        <f t="shared" si="6"/>
        <v>0</v>
      </c>
    </row>
    <row r="404" spans="1:10" x14ac:dyDescent="0.25">
      <c r="A404" s="4" t="s">
        <v>30</v>
      </c>
      <c r="B404" s="1">
        <v>7.5792999999999999E-2</v>
      </c>
      <c r="C404" s="1">
        <v>7.8176999999999996E-2</v>
      </c>
      <c r="D404" s="1">
        <f>IF(B404&gt;C404,B404-C404,C404-B404)</f>
        <v>2.3839999999999972E-3</v>
      </c>
      <c r="E404">
        <f>MINUTE(D404)</f>
        <v>3</v>
      </c>
      <c r="F404">
        <f>SECOND(D404)</f>
        <v>26</v>
      </c>
      <c r="G404">
        <f>ROUND(E404+F404/60,2)</f>
        <v>3.43</v>
      </c>
      <c r="H404">
        <f>60*E404+F404</f>
        <v>206</v>
      </c>
      <c r="I404" s="3">
        <f>5*(3600/H404)</f>
        <v>87.378640776699029</v>
      </c>
      <c r="J404" s="16">
        <f t="shared" si="6"/>
        <v>0</v>
      </c>
    </row>
    <row r="405" spans="1:10" x14ac:dyDescent="0.25">
      <c r="A405" s="4" t="s">
        <v>67</v>
      </c>
      <c r="B405" s="1">
        <v>0.58044700000000005</v>
      </c>
      <c r="C405" s="1">
        <v>0.58282699999999998</v>
      </c>
      <c r="D405" s="1">
        <f>IF(B405&gt;C405,B405-C405,C405-B405)</f>
        <v>2.3799999999999377E-3</v>
      </c>
      <c r="E405">
        <f>MINUTE(D405)</f>
        <v>3</v>
      </c>
      <c r="F405">
        <f>SECOND(D405)</f>
        <v>26</v>
      </c>
      <c r="G405">
        <f>ROUND(E405+F405/60,2)</f>
        <v>3.43</v>
      </c>
      <c r="H405">
        <f>60*E405+F405</f>
        <v>206</v>
      </c>
      <c r="I405" s="3">
        <f>5*(3600/H405)</f>
        <v>87.378640776699029</v>
      </c>
      <c r="J405" s="16">
        <f t="shared" si="6"/>
        <v>0</v>
      </c>
    </row>
    <row r="406" spans="1:10" x14ac:dyDescent="0.25">
      <c r="A406" s="4" t="s">
        <v>112</v>
      </c>
      <c r="B406" s="1">
        <v>0.95174099999999995</v>
      </c>
      <c r="C406" s="1">
        <v>0.94936100000000001</v>
      </c>
      <c r="D406" s="1">
        <f>IF(B406&gt;C406,B406-C406,C406-B406)</f>
        <v>2.3799999999999377E-3</v>
      </c>
      <c r="E406">
        <f>MINUTE(D406)</f>
        <v>3</v>
      </c>
      <c r="F406">
        <f>SECOND(D406)</f>
        <v>26</v>
      </c>
      <c r="G406">
        <f>ROUND(E406+F406/60,2)</f>
        <v>3.43</v>
      </c>
      <c r="H406">
        <f>60*E406+F406</f>
        <v>206</v>
      </c>
      <c r="I406" s="3">
        <f>5*(3600/H406)</f>
        <v>87.378640776699029</v>
      </c>
      <c r="J406" s="16">
        <f t="shared" si="6"/>
        <v>0</v>
      </c>
    </row>
    <row r="407" spans="1:10" x14ac:dyDescent="0.25">
      <c r="A407" s="4" t="s">
        <v>87</v>
      </c>
      <c r="B407" s="1">
        <v>0.56462000000000001</v>
      </c>
      <c r="C407" s="1">
        <v>0.56223999999999996</v>
      </c>
      <c r="D407" s="1">
        <f>IF(B407&gt;C407,B407-C407,C407-B407)</f>
        <v>2.3800000000000487E-3</v>
      </c>
      <c r="E407">
        <f>MINUTE(D407)</f>
        <v>3</v>
      </c>
      <c r="F407">
        <f>SECOND(D407)</f>
        <v>26</v>
      </c>
      <c r="G407">
        <f>ROUND(E407+F407/60,2)</f>
        <v>3.43</v>
      </c>
      <c r="H407">
        <f>60*E407+F407</f>
        <v>206</v>
      </c>
      <c r="I407" s="3">
        <f>5*(3600/H407)</f>
        <v>87.378640776699029</v>
      </c>
      <c r="J407" s="16">
        <f t="shared" si="6"/>
        <v>0</v>
      </c>
    </row>
    <row r="408" spans="1:10" x14ac:dyDescent="0.25">
      <c r="A408" s="4" t="s">
        <v>185</v>
      </c>
      <c r="B408" s="1">
        <v>0.79104600000000003</v>
      </c>
      <c r="C408" s="1">
        <v>0.78865799999999997</v>
      </c>
      <c r="D408" s="1">
        <f>IF(B408&gt;C408,B408-C408,C408-B408)</f>
        <v>2.3880000000000567E-3</v>
      </c>
      <c r="E408">
        <f>MINUTE(D408)</f>
        <v>3</v>
      </c>
      <c r="F408">
        <f>SECOND(D408)</f>
        <v>26</v>
      </c>
      <c r="G408">
        <f>ROUND(E408+F408/60,2)</f>
        <v>3.43</v>
      </c>
      <c r="H408">
        <f>60*E408+F408</f>
        <v>206</v>
      </c>
      <c r="I408" s="3">
        <f>5*(3600/H408)</f>
        <v>87.378640776699029</v>
      </c>
      <c r="J408" s="16">
        <f t="shared" si="6"/>
        <v>0</v>
      </c>
    </row>
    <row r="409" spans="1:10" x14ac:dyDescent="0.25">
      <c r="A409" s="4" t="s">
        <v>300</v>
      </c>
      <c r="B409" s="1">
        <v>0.21463699999999999</v>
      </c>
      <c r="C409" s="1">
        <v>0.21702099999999999</v>
      </c>
      <c r="D409" s="1">
        <f>IF(B409&gt;C409,B409-C409,C409-B409)</f>
        <v>2.3839999999999972E-3</v>
      </c>
      <c r="E409">
        <f>MINUTE(D409)</f>
        <v>3</v>
      </c>
      <c r="F409">
        <f>SECOND(D409)</f>
        <v>26</v>
      </c>
      <c r="G409">
        <f>ROUND(E409+F409/60,2)</f>
        <v>3.43</v>
      </c>
      <c r="H409">
        <f>60*E409+F409</f>
        <v>206</v>
      </c>
      <c r="I409" s="3">
        <f>5*(3600/H409)</f>
        <v>87.378640776699029</v>
      </c>
      <c r="J409" s="16">
        <f t="shared" si="6"/>
        <v>0</v>
      </c>
    </row>
    <row r="410" spans="1:10" x14ac:dyDescent="0.25">
      <c r="A410" s="8" t="s">
        <v>151</v>
      </c>
      <c r="B410" s="1">
        <v>0.72409299999999999</v>
      </c>
      <c r="C410" s="1">
        <v>0.72649300000000006</v>
      </c>
      <c r="D410" s="1">
        <f>IF(B410&gt;C410,B410-C410,C410-B410)</f>
        <v>2.4000000000000687E-3</v>
      </c>
      <c r="E410">
        <f>MINUTE(D410)</f>
        <v>3</v>
      </c>
      <c r="F410">
        <f>SECOND(D410)</f>
        <v>27</v>
      </c>
      <c r="G410">
        <f>ROUND(E410+F410/60,2)</f>
        <v>3.45</v>
      </c>
      <c r="H410">
        <f>60*E410+F410</f>
        <v>207</v>
      </c>
      <c r="I410" s="10">
        <f>5*(3600/H410)</f>
        <v>86.956521739130437</v>
      </c>
      <c r="J410" s="16">
        <f t="shared" si="6"/>
        <v>0</v>
      </c>
    </row>
    <row r="411" spans="1:10" x14ac:dyDescent="0.25">
      <c r="A411" s="4" t="s">
        <v>92</v>
      </c>
      <c r="B411" s="1">
        <v>0.312112</v>
      </c>
      <c r="C411" s="1">
        <v>0.31450800000000001</v>
      </c>
      <c r="D411" s="1">
        <f>IF(B411&gt;C411,B411-C411,C411-B411)</f>
        <v>2.3960000000000092E-3</v>
      </c>
      <c r="E411">
        <f>MINUTE(D411)</f>
        <v>3</v>
      </c>
      <c r="F411">
        <f>SECOND(D411)</f>
        <v>27</v>
      </c>
      <c r="G411">
        <f>ROUND(E411+F411/60,2)</f>
        <v>3.45</v>
      </c>
      <c r="H411">
        <f>60*E411+F411</f>
        <v>207</v>
      </c>
      <c r="I411" s="3">
        <f>5*(3600/H411)</f>
        <v>86.956521739130437</v>
      </c>
      <c r="J411" s="16">
        <f t="shared" si="6"/>
        <v>0</v>
      </c>
    </row>
    <row r="412" spans="1:10" x14ac:dyDescent="0.25">
      <c r="A412" s="4" t="s">
        <v>407</v>
      </c>
      <c r="B412" s="1">
        <v>0.80954700000000002</v>
      </c>
      <c r="C412" s="1">
        <v>0.81194299999999997</v>
      </c>
      <c r="D412" s="1">
        <f>IF(B412&gt;C412,B412-C412,C412-B412)</f>
        <v>2.3959999999999537E-3</v>
      </c>
      <c r="E412">
        <f>MINUTE(D412)</f>
        <v>3</v>
      </c>
      <c r="F412">
        <f>SECOND(D412)</f>
        <v>27</v>
      </c>
      <c r="G412">
        <f>ROUND(E412+F412/60,2)</f>
        <v>3.45</v>
      </c>
      <c r="H412">
        <f>60*E412+F412</f>
        <v>207</v>
      </c>
      <c r="I412" s="3">
        <f>5*(3600/H412)</f>
        <v>86.956521739130437</v>
      </c>
      <c r="J412" s="16">
        <f t="shared" si="6"/>
        <v>0</v>
      </c>
    </row>
    <row r="413" spans="1:10" x14ac:dyDescent="0.25">
      <c r="A413" s="4" t="s">
        <v>40</v>
      </c>
      <c r="B413" s="1">
        <v>0.89808900000000003</v>
      </c>
      <c r="C413" s="1">
        <v>0.900501</v>
      </c>
      <c r="D413" s="1">
        <f>IF(B413&gt;C413,B413-C413,C413-B413)</f>
        <v>2.4119999999999697E-3</v>
      </c>
      <c r="E413">
        <f>MINUTE(D413)</f>
        <v>3</v>
      </c>
      <c r="F413">
        <f>SECOND(D413)</f>
        <v>28</v>
      </c>
      <c r="G413">
        <f>ROUND(E413+F413/60,2)</f>
        <v>3.47</v>
      </c>
      <c r="H413">
        <f>60*E413+F413</f>
        <v>208</v>
      </c>
      <c r="I413" s="3">
        <f>5*(3600/H413)</f>
        <v>86.538461538461533</v>
      </c>
      <c r="J413" s="16">
        <f t="shared" si="6"/>
        <v>0</v>
      </c>
    </row>
    <row r="414" spans="1:10" x14ac:dyDescent="0.25">
      <c r="A414" s="4" t="s">
        <v>32</v>
      </c>
      <c r="B414" s="1">
        <v>0.62104000000000004</v>
      </c>
      <c r="C414" s="1">
        <v>0.62345200000000001</v>
      </c>
      <c r="D414" s="1">
        <f>IF(B414&gt;C414,B414-C414,C414-B414)</f>
        <v>2.4119999999999697E-3</v>
      </c>
      <c r="E414">
        <f>MINUTE(D414)</f>
        <v>3</v>
      </c>
      <c r="F414">
        <f>SECOND(D414)</f>
        <v>28</v>
      </c>
      <c r="G414">
        <f>ROUND(E414+F414/60,2)</f>
        <v>3.47</v>
      </c>
      <c r="H414">
        <f>60*E414+F414</f>
        <v>208</v>
      </c>
      <c r="I414" s="3">
        <f>5*(3600/H414)</f>
        <v>86.538461538461533</v>
      </c>
      <c r="J414" s="16">
        <f t="shared" si="6"/>
        <v>0</v>
      </c>
    </row>
    <row r="415" spans="1:10" x14ac:dyDescent="0.25">
      <c r="A415" s="4" t="s">
        <v>141</v>
      </c>
      <c r="B415" s="1">
        <v>0.85301000000000005</v>
      </c>
      <c r="C415" s="1">
        <v>0.85059799999999997</v>
      </c>
      <c r="D415" s="1">
        <f>IF(B415&gt;C415,B415-C415,C415-B415)</f>
        <v>2.4120000000000807E-3</v>
      </c>
      <c r="E415">
        <f>MINUTE(D415)</f>
        <v>3</v>
      </c>
      <c r="F415">
        <f>SECOND(D415)</f>
        <v>28</v>
      </c>
      <c r="G415">
        <f>ROUND(E415+F415/60,2)</f>
        <v>3.47</v>
      </c>
      <c r="H415">
        <f>60*E415+F415</f>
        <v>208</v>
      </c>
      <c r="I415" s="3">
        <f>5*(3600/H415)</f>
        <v>86.538461538461533</v>
      </c>
      <c r="J415" s="16">
        <f t="shared" si="6"/>
        <v>0</v>
      </c>
    </row>
    <row r="416" spans="1:10" x14ac:dyDescent="0.25">
      <c r="A416" s="4" t="s">
        <v>83</v>
      </c>
      <c r="B416" s="1">
        <v>6.6768999999999995E-2</v>
      </c>
      <c r="C416" s="1">
        <v>6.9177000000000002E-2</v>
      </c>
      <c r="D416" s="1">
        <f>IF(B416&gt;C416,B416-C416,C416-B416)</f>
        <v>2.4080000000000074E-3</v>
      </c>
      <c r="E416">
        <f>MINUTE(D416)</f>
        <v>3</v>
      </c>
      <c r="F416">
        <f>SECOND(D416)</f>
        <v>28</v>
      </c>
      <c r="G416">
        <f>ROUND(E416+F416/60,2)</f>
        <v>3.47</v>
      </c>
      <c r="H416">
        <f>60*E416+F416</f>
        <v>208</v>
      </c>
      <c r="I416" s="3">
        <f>5*(3600/H416)</f>
        <v>86.538461538461533</v>
      </c>
      <c r="J416" s="16">
        <f t="shared" si="6"/>
        <v>0</v>
      </c>
    </row>
    <row r="417" spans="1:10" x14ac:dyDescent="0.25">
      <c r="A417" s="4" t="s">
        <v>5</v>
      </c>
      <c r="B417" s="1">
        <v>0.95572699999999999</v>
      </c>
      <c r="C417" s="1">
        <v>0.95332300000000003</v>
      </c>
      <c r="D417" s="1">
        <f>IF(B417&gt;C417,B417-C417,C417-B417)</f>
        <v>2.4039999999999617E-3</v>
      </c>
      <c r="E417">
        <f>MINUTE(D417)</f>
        <v>3</v>
      </c>
      <c r="F417">
        <f>SECOND(D417)</f>
        <v>28</v>
      </c>
      <c r="G417">
        <f>ROUND(E417+F417/60,2)</f>
        <v>3.47</v>
      </c>
      <c r="H417">
        <f>60*E417+F417</f>
        <v>208</v>
      </c>
      <c r="I417" s="3">
        <f>5*(3600/H417)</f>
        <v>86.538461538461533</v>
      </c>
      <c r="J417" s="16">
        <f t="shared" si="6"/>
        <v>0</v>
      </c>
    </row>
    <row r="418" spans="1:10" x14ac:dyDescent="0.25">
      <c r="A418" s="4" t="s">
        <v>41</v>
      </c>
      <c r="B418" s="1">
        <v>0.78174299999999997</v>
      </c>
      <c r="C418" s="1">
        <v>0.78416300000000005</v>
      </c>
      <c r="D418" s="1">
        <f>IF(B418&gt;C418,B418-C418,C418-B418)</f>
        <v>2.4200000000000887E-3</v>
      </c>
      <c r="E418">
        <f>MINUTE(D418)</f>
        <v>3</v>
      </c>
      <c r="F418">
        <f>SECOND(D418)</f>
        <v>29</v>
      </c>
      <c r="G418">
        <f>ROUND(E418+F418/60,2)</f>
        <v>3.48</v>
      </c>
      <c r="H418">
        <f>60*E418+F418</f>
        <v>209</v>
      </c>
      <c r="I418" s="3">
        <f>5*(3600/H418)</f>
        <v>86.124401913875602</v>
      </c>
      <c r="J418" s="16">
        <f t="shared" si="6"/>
        <v>0</v>
      </c>
    </row>
    <row r="419" spans="1:10" x14ac:dyDescent="0.25">
      <c r="A419" s="4" t="s">
        <v>22</v>
      </c>
      <c r="B419" s="1">
        <v>0.96167100000000005</v>
      </c>
      <c r="C419" s="1">
        <v>0.95925099999999996</v>
      </c>
      <c r="D419" s="1">
        <f>IF(B419&gt;C419,B419-C419,C419-B419)</f>
        <v>2.4200000000000887E-3</v>
      </c>
      <c r="E419">
        <f>MINUTE(D419)</f>
        <v>3</v>
      </c>
      <c r="F419">
        <f>SECOND(D419)</f>
        <v>29</v>
      </c>
      <c r="G419">
        <f>ROUND(E419+F419/60,2)</f>
        <v>3.48</v>
      </c>
      <c r="H419">
        <f>60*E419+F419</f>
        <v>209</v>
      </c>
      <c r="I419" s="3">
        <f>5*(3600/H419)</f>
        <v>86.124401913875602</v>
      </c>
      <c r="J419" s="16">
        <f t="shared" si="6"/>
        <v>0</v>
      </c>
    </row>
    <row r="420" spans="1:10" x14ac:dyDescent="0.25">
      <c r="A420" s="4" t="s">
        <v>355</v>
      </c>
      <c r="B420" s="1">
        <v>0.59084800000000004</v>
      </c>
      <c r="C420" s="1">
        <v>0.59326400000000001</v>
      </c>
      <c r="D420" s="1">
        <f>IF(B420&gt;C420,B420-C420,C420-B420)</f>
        <v>2.4159999999999737E-3</v>
      </c>
      <c r="E420">
        <f>MINUTE(D420)</f>
        <v>3</v>
      </c>
      <c r="F420">
        <f>SECOND(D420)</f>
        <v>29</v>
      </c>
      <c r="G420">
        <f>ROUND(E420+F420/60,2)</f>
        <v>3.48</v>
      </c>
      <c r="H420">
        <f>60*E420+F420</f>
        <v>209</v>
      </c>
      <c r="I420" s="3">
        <f>5*(3600/H420)</f>
        <v>86.124401913875602</v>
      </c>
      <c r="J420" s="16">
        <f t="shared" si="6"/>
        <v>0</v>
      </c>
    </row>
    <row r="421" spans="1:10" x14ac:dyDescent="0.25">
      <c r="A421" s="4" t="s">
        <v>94</v>
      </c>
      <c r="B421" s="1">
        <v>0.94168399999999997</v>
      </c>
      <c r="C421" s="1">
        <v>0.94411999999999996</v>
      </c>
      <c r="D421" s="1">
        <f>IF(B421&gt;C421,B421-C421,C421-B421)</f>
        <v>2.4359999999999937E-3</v>
      </c>
      <c r="E421">
        <f>MINUTE(D421)</f>
        <v>3</v>
      </c>
      <c r="F421">
        <f>SECOND(D421)</f>
        <v>30</v>
      </c>
      <c r="G421">
        <f>ROUND(E421+F421/60,2)</f>
        <v>3.5</v>
      </c>
      <c r="H421">
        <f>60*E421+F421</f>
        <v>210</v>
      </c>
      <c r="I421" s="3">
        <f>5*(3600/H421)</f>
        <v>85.714285714285708</v>
      </c>
      <c r="J421" s="16">
        <f t="shared" si="6"/>
        <v>0</v>
      </c>
    </row>
    <row r="422" spans="1:10" x14ac:dyDescent="0.25">
      <c r="A422" s="4" t="s">
        <v>162</v>
      </c>
      <c r="B422" s="1">
        <v>0.43030000000000002</v>
      </c>
      <c r="C422" s="1">
        <v>0.432728</v>
      </c>
      <c r="D422" s="1">
        <f>IF(B422&gt;C422,B422-C422,C422-B422)</f>
        <v>2.4279999999999857E-3</v>
      </c>
      <c r="E422">
        <f>MINUTE(D422)</f>
        <v>3</v>
      </c>
      <c r="F422">
        <f>SECOND(D422)</f>
        <v>30</v>
      </c>
      <c r="G422">
        <f>ROUND(E422+F422/60,2)</f>
        <v>3.5</v>
      </c>
      <c r="H422">
        <f>60*E422+F422</f>
        <v>210</v>
      </c>
      <c r="I422" s="3">
        <f>5*(3600/H422)</f>
        <v>85.714285714285708</v>
      </c>
      <c r="J422" s="16">
        <f t="shared" si="6"/>
        <v>0</v>
      </c>
    </row>
    <row r="423" spans="1:10" x14ac:dyDescent="0.25">
      <c r="A423" s="4" t="s">
        <v>72</v>
      </c>
      <c r="B423" s="1">
        <v>0.44072499999999998</v>
      </c>
      <c r="C423" s="1">
        <v>0.43829299999999999</v>
      </c>
      <c r="D423" s="1">
        <f>IF(B423&gt;C423,B423-C423,C423-B423)</f>
        <v>2.4319999999999897E-3</v>
      </c>
      <c r="E423">
        <f>MINUTE(D423)</f>
        <v>3</v>
      </c>
      <c r="F423">
        <f>SECOND(D423)</f>
        <v>30</v>
      </c>
      <c r="G423">
        <f>ROUND(E423+F423/60,2)</f>
        <v>3.5</v>
      </c>
      <c r="H423">
        <f>60*E423+F423</f>
        <v>210</v>
      </c>
      <c r="I423" s="3">
        <f>5*(3600/H423)</f>
        <v>85.714285714285708</v>
      </c>
      <c r="J423" s="16">
        <f t="shared" si="6"/>
        <v>0</v>
      </c>
    </row>
    <row r="424" spans="1:10" x14ac:dyDescent="0.25">
      <c r="A424" s="4" t="s">
        <v>375</v>
      </c>
      <c r="B424" s="1">
        <v>0.41383199999999998</v>
      </c>
      <c r="C424" s="1">
        <v>0.41626000000000002</v>
      </c>
      <c r="D424" s="1">
        <f>IF(B424&gt;C424,B424-C424,C424-B424)</f>
        <v>2.4280000000000412E-3</v>
      </c>
      <c r="E424">
        <f>MINUTE(D424)</f>
        <v>3</v>
      </c>
      <c r="F424">
        <f>SECOND(D424)</f>
        <v>30</v>
      </c>
      <c r="G424">
        <f>ROUND(E424+F424/60,2)</f>
        <v>3.5</v>
      </c>
      <c r="H424">
        <f>60*E424+F424</f>
        <v>210</v>
      </c>
      <c r="I424" s="3">
        <f>5*(3600/H424)</f>
        <v>85.714285714285708</v>
      </c>
      <c r="J424" s="16">
        <f t="shared" si="6"/>
        <v>0</v>
      </c>
    </row>
    <row r="425" spans="1:10" x14ac:dyDescent="0.25">
      <c r="A425" s="4" t="s">
        <v>414</v>
      </c>
      <c r="B425" s="1">
        <v>0.58483099999999999</v>
      </c>
      <c r="C425" s="1">
        <v>0.58725899999999998</v>
      </c>
      <c r="D425" s="1">
        <f>IF(B425&gt;C425,B425-C425,C425-B425)</f>
        <v>2.4279999999999857E-3</v>
      </c>
      <c r="E425">
        <f>MINUTE(D425)</f>
        <v>3</v>
      </c>
      <c r="F425">
        <f>SECOND(D425)</f>
        <v>30</v>
      </c>
      <c r="G425">
        <f>ROUND(E425+F425/60,2)</f>
        <v>3.5</v>
      </c>
      <c r="H425">
        <f>60*E425+F425</f>
        <v>210</v>
      </c>
      <c r="I425" s="3">
        <f>5*(3600/H425)</f>
        <v>85.714285714285708</v>
      </c>
      <c r="J425" s="16">
        <f t="shared" si="6"/>
        <v>0</v>
      </c>
    </row>
    <row r="426" spans="1:10" x14ac:dyDescent="0.25">
      <c r="A426" s="4" t="s">
        <v>27</v>
      </c>
      <c r="B426" s="1">
        <v>0.126585</v>
      </c>
      <c r="C426" s="1">
        <v>0.129029</v>
      </c>
      <c r="D426" s="1">
        <f>IF(B426&gt;C426,B426-C426,C426-B426)</f>
        <v>2.4440000000000017E-3</v>
      </c>
      <c r="E426">
        <f>MINUTE(D426)</f>
        <v>3</v>
      </c>
      <c r="F426">
        <f>SECOND(D426)</f>
        <v>31</v>
      </c>
      <c r="G426">
        <f>ROUND(E426+F426/60,2)</f>
        <v>3.52</v>
      </c>
      <c r="H426">
        <f>60*E426+F426</f>
        <v>211</v>
      </c>
      <c r="I426" s="3">
        <f>5*(3600/H426)</f>
        <v>85.308056872037923</v>
      </c>
      <c r="J426" s="16">
        <f t="shared" si="6"/>
        <v>0</v>
      </c>
    </row>
    <row r="427" spans="1:10" x14ac:dyDescent="0.25">
      <c r="A427" s="4" t="s">
        <v>109</v>
      </c>
      <c r="B427" s="1">
        <v>0.78365300000000004</v>
      </c>
      <c r="C427" s="1">
        <v>0.78609700000000005</v>
      </c>
      <c r="D427" s="1">
        <f>IF(B427&gt;C427,B427-C427,C427-B427)</f>
        <v>2.4440000000000017E-3</v>
      </c>
      <c r="E427">
        <f>MINUTE(D427)</f>
        <v>3</v>
      </c>
      <c r="F427">
        <f>SECOND(D427)</f>
        <v>31</v>
      </c>
      <c r="G427">
        <f>ROUND(E427+F427/60,2)</f>
        <v>3.52</v>
      </c>
      <c r="H427">
        <f>60*E427+F427</f>
        <v>211</v>
      </c>
      <c r="I427" s="3">
        <f>5*(3600/H427)</f>
        <v>85.308056872037923</v>
      </c>
      <c r="J427" s="16">
        <f t="shared" si="6"/>
        <v>0</v>
      </c>
    </row>
    <row r="428" spans="1:10" x14ac:dyDescent="0.25">
      <c r="A428" s="4" t="s">
        <v>3</v>
      </c>
      <c r="B428" s="1">
        <v>9.0769000000000002E-2</v>
      </c>
      <c r="C428" s="1">
        <v>9.3213000000000004E-2</v>
      </c>
      <c r="D428" s="1">
        <f>IF(B428&gt;C428,B428-C428,C428-B428)</f>
        <v>2.4440000000000017E-3</v>
      </c>
      <c r="E428">
        <f>MINUTE(D428)</f>
        <v>3</v>
      </c>
      <c r="F428">
        <f>SECOND(D428)</f>
        <v>31</v>
      </c>
      <c r="G428">
        <f>ROUND(E428+F428/60,2)</f>
        <v>3.52</v>
      </c>
      <c r="H428">
        <f>60*E428+F428</f>
        <v>211</v>
      </c>
      <c r="I428" s="3">
        <f>5*(3600/H428)</f>
        <v>85.308056872037923</v>
      </c>
      <c r="J428" s="16">
        <f t="shared" si="6"/>
        <v>0</v>
      </c>
    </row>
    <row r="429" spans="1:10" x14ac:dyDescent="0.25">
      <c r="A429" s="4" t="s">
        <v>162</v>
      </c>
      <c r="B429" s="1">
        <v>0.245144</v>
      </c>
      <c r="C429" s="1">
        <v>0.242704</v>
      </c>
      <c r="D429" s="1">
        <f>IF(B429&gt;C429,B429-C429,C429-B429)</f>
        <v>2.4399999999999977E-3</v>
      </c>
      <c r="E429">
        <f>MINUTE(D429)</f>
        <v>3</v>
      </c>
      <c r="F429">
        <f>SECOND(D429)</f>
        <v>31</v>
      </c>
      <c r="G429">
        <f>ROUND(E429+F429/60,2)</f>
        <v>3.52</v>
      </c>
      <c r="H429">
        <f>60*E429+F429</f>
        <v>211</v>
      </c>
      <c r="I429" s="3">
        <f>5*(3600/H429)</f>
        <v>85.308056872037923</v>
      </c>
      <c r="J429" s="16">
        <f t="shared" si="6"/>
        <v>0</v>
      </c>
    </row>
    <row r="430" spans="1:10" x14ac:dyDescent="0.25">
      <c r="A430" s="4" t="s">
        <v>102</v>
      </c>
      <c r="B430" s="1">
        <v>0.66766999999999999</v>
      </c>
      <c r="C430" s="1">
        <v>0.67010999999999998</v>
      </c>
      <c r="D430" s="1">
        <f>IF(B430&gt;C430,B430-C430,C430-B430)</f>
        <v>2.4399999999999977E-3</v>
      </c>
      <c r="E430">
        <f>MINUTE(D430)</f>
        <v>3</v>
      </c>
      <c r="F430">
        <f>SECOND(D430)</f>
        <v>31</v>
      </c>
      <c r="G430">
        <f>ROUND(E430+F430/60,2)</f>
        <v>3.52</v>
      </c>
      <c r="H430">
        <f>60*E430+F430</f>
        <v>211</v>
      </c>
      <c r="I430" s="3">
        <f>5*(3600/H430)</f>
        <v>85.308056872037923</v>
      </c>
      <c r="J430" s="16">
        <f t="shared" si="6"/>
        <v>0</v>
      </c>
    </row>
    <row r="431" spans="1:10" x14ac:dyDescent="0.25">
      <c r="A431" s="4" t="s">
        <v>36</v>
      </c>
      <c r="B431" s="1">
        <v>0.89885000000000004</v>
      </c>
      <c r="C431" s="1">
        <v>0.90130200000000005</v>
      </c>
      <c r="D431" s="1">
        <f>IF(B431&gt;C431,B431-C431,C431-B431)</f>
        <v>2.4520000000000097E-3</v>
      </c>
      <c r="E431">
        <f>MINUTE(D431)</f>
        <v>3</v>
      </c>
      <c r="F431">
        <f>SECOND(D431)</f>
        <v>32</v>
      </c>
      <c r="G431">
        <f>ROUND(E431+F431/60,2)</f>
        <v>3.53</v>
      </c>
      <c r="H431">
        <f>60*E431+F431</f>
        <v>212</v>
      </c>
      <c r="I431" s="3">
        <f>5*(3600/H431)</f>
        <v>84.905660377358487</v>
      </c>
      <c r="J431" s="16">
        <f t="shared" si="6"/>
        <v>0</v>
      </c>
    </row>
    <row r="432" spans="1:10" x14ac:dyDescent="0.25">
      <c r="A432" s="4" t="s">
        <v>51</v>
      </c>
      <c r="B432" s="1">
        <v>0.61894099999999996</v>
      </c>
      <c r="C432" s="1">
        <v>0.61649299999999996</v>
      </c>
      <c r="D432" s="1">
        <f>IF(B432&gt;C432,B432-C432,C432-B432)</f>
        <v>2.4480000000000057E-3</v>
      </c>
      <c r="E432">
        <f>MINUTE(D432)</f>
        <v>3</v>
      </c>
      <c r="F432">
        <f>SECOND(D432)</f>
        <v>32</v>
      </c>
      <c r="G432">
        <f>ROUND(E432+F432/60,2)</f>
        <v>3.53</v>
      </c>
      <c r="H432">
        <f>60*E432+F432</f>
        <v>212</v>
      </c>
      <c r="I432" s="3">
        <f>5*(3600/H432)</f>
        <v>84.905660377358487</v>
      </c>
      <c r="J432" s="16">
        <f t="shared" si="6"/>
        <v>0</v>
      </c>
    </row>
    <row r="433" spans="1:10" x14ac:dyDescent="0.25">
      <c r="A433" s="4" t="s">
        <v>57</v>
      </c>
      <c r="B433" s="1">
        <v>7.8621999999999997E-2</v>
      </c>
      <c r="C433" s="1">
        <v>7.6165999999999998E-2</v>
      </c>
      <c r="D433" s="1">
        <f>IF(B433&gt;C433,B433-C433,C433-B433)</f>
        <v>2.4559999999999998E-3</v>
      </c>
      <c r="E433">
        <f>MINUTE(D433)</f>
        <v>3</v>
      </c>
      <c r="F433">
        <f>SECOND(D433)</f>
        <v>32</v>
      </c>
      <c r="G433">
        <f>ROUND(E433+F433/60,2)</f>
        <v>3.53</v>
      </c>
      <c r="H433">
        <f>60*E433+F433</f>
        <v>212</v>
      </c>
      <c r="I433" s="3">
        <f>5*(3600/H433)</f>
        <v>84.905660377358487</v>
      </c>
      <c r="J433" s="16">
        <f t="shared" si="6"/>
        <v>0</v>
      </c>
    </row>
    <row r="434" spans="1:10" x14ac:dyDescent="0.25">
      <c r="A434" s="4" t="s">
        <v>75</v>
      </c>
      <c r="B434" s="1">
        <v>0.400312</v>
      </c>
      <c r="C434" s="1">
        <v>0.40276000000000001</v>
      </c>
      <c r="D434" s="1">
        <f>IF(B434&gt;C434,B434-C434,C434-B434)</f>
        <v>2.4480000000000057E-3</v>
      </c>
      <c r="E434">
        <f>MINUTE(D434)</f>
        <v>3</v>
      </c>
      <c r="F434">
        <f>SECOND(D434)</f>
        <v>32</v>
      </c>
      <c r="G434">
        <f>ROUND(E434+F434/60,2)</f>
        <v>3.53</v>
      </c>
      <c r="H434">
        <f>60*E434+F434</f>
        <v>212</v>
      </c>
      <c r="I434" s="3">
        <f>5*(3600/H434)</f>
        <v>84.905660377358487</v>
      </c>
      <c r="J434" s="16">
        <f t="shared" si="6"/>
        <v>0</v>
      </c>
    </row>
    <row r="435" spans="1:10" x14ac:dyDescent="0.25">
      <c r="A435" s="4" t="s">
        <v>99</v>
      </c>
      <c r="B435" s="1">
        <v>0.44529800000000003</v>
      </c>
      <c r="C435" s="1">
        <v>0.44776199999999999</v>
      </c>
      <c r="D435" s="1">
        <f>IF(B435&gt;C435,B435-C435,C435-B435)</f>
        <v>2.4639999999999662E-3</v>
      </c>
      <c r="E435">
        <f>MINUTE(D435)</f>
        <v>3</v>
      </c>
      <c r="F435">
        <f>SECOND(D435)</f>
        <v>33</v>
      </c>
      <c r="G435">
        <f>ROUND(E435+F435/60,2)</f>
        <v>3.55</v>
      </c>
      <c r="H435">
        <f>60*E435+F435</f>
        <v>213</v>
      </c>
      <c r="I435" s="3">
        <f>5*(3600/H435)</f>
        <v>84.507042253521121</v>
      </c>
      <c r="J435" s="16">
        <f t="shared" si="6"/>
        <v>0</v>
      </c>
    </row>
    <row r="436" spans="1:10" x14ac:dyDescent="0.25">
      <c r="A436" s="4" t="s">
        <v>117</v>
      </c>
      <c r="B436" s="1">
        <v>8.9881000000000003E-2</v>
      </c>
      <c r="C436" s="1">
        <v>9.2344999999999997E-2</v>
      </c>
      <c r="D436" s="1">
        <f>IF(B436&gt;C436,B436-C436,C436-B436)</f>
        <v>2.463999999999994E-3</v>
      </c>
      <c r="E436">
        <f>MINUTE(D436)</f>
        <v>3</v>
      </c>
      <c r="F436">
        <f>SECOND(D436)</f>
        <v>33</v>
      </c>
      <c r="G436">
        <f>ROUND(E436+F436/60,2)</f>
        <v>3.55</v>
      </c>
      <c r="H436">
        <f>60*E436+F436</f>
        <v>213</v>
      </c>
      <c r="I436" s="3">
        <f>5*(3600/H436)</f>
        <v>84.507042253521121</v>
      </c>
      <c r="J436" s="16">
        <f t="shared" si="6"/>
        <v>0</v>
      </c>
    </row>
    <row r="437" spans="1:10" x14ac:dyDescent="0.25">
      <c r="A437" s="4" t="s">
        <v>109</v>
      </c>
      <c r="B437" s="1">
        <v>0.74424900000000005</v>
      </c>
      <c r="C437" s="1">
        <v>0.74671699999999996</v>
      </c>
      <c r="D437" s="1">
        <f>IF(B437&gt;C437,B437-C437,C437-B437)</f>
        <v>2.4679999999999147E-3</v>
      </c>
      <c r="E437">
        <f>MINUTE(D437)</f>
        <v>3</v>
      </c>
      <c r="F437">
        <f>SECOND(D437)</f>
        <v>33</v>
      </c>
      <c r="G437">
        <f>ROUND(E437+F437/60,2)</f>
        <v>3.55</v>
      </c>
      <c r="H437">
        <f>60*E437+F437</f>
        <v>213</v>
      </c>
      <c r="I437" s="3">
        <f>5*(3600/H437)</f>
        <v>84.507042253521121</v>
      </c>
      <c r="J437" s="16">
        <f t="shared" si="6"/>
        <v>0</v>
      </c>
    </row>
    <row r="438" spans="1:10" x14ac:dyDescent="0.25">
      <c r="A438" s="4" t="s">
        <v>153</v>
      </c>
      <c r="B438" s="1">
        <v>0.36479400000000001</v>
      </c>
      <c r="C438" s="1">
        <v>0.36725799999999997</v>
      </c>
      <c r="D438" s="1">
        <f>IF(B438&gt;C438,B438-C438,C438-B438)</f>
        <v>2.4639999999999662E-3</v>
      </c>
      <c r="E438">
        <f>MINUTE(D438)</f>
        <v>3</v>
      </c>
      <c r="F438">
        <f>SECOND(D438)</f>
        <v>33</v>
      </c>
      <c r="G438">
        <f>ROUND(E438+F438/60,2)</f>
        <v>3.55</v>
      </c>
      <c r="H438">
        <f>60*E438+F438</f>
        <v>213</v>
      </c>
      <c r="I438" s="3">
        <f>5*(3600/H438)</f>
        <v>84.507042253521121</v>
      </c>
      <c r="J438" s="16">
        <f t="shared" si="6"/>
        <v>0</v>
      </c>
    </row>
    <row r="439" spans="1:10" x14ac:dyDescent="0.25">
      <c r="A439" s="4" t="s">
        <v>213</v>
      </c>
      <c r="B439" s="1">
        <v>0.88904300000000003</v>
      </c>
      <c r="C439" s="1">
        <v>0.88658300000000001</v>
      </c>
      <c r="D439" s="1">
        <f>IF(B439&gt;C439,B439-C439,C439-B439)</f>
        <v>2.4600000000000177E-3</v>
      </c>
      <c r="E439">
        <f>MINUTE(D439)</f>
        <v>3</v>
      </c>
      <c r="F439">
        <f>SECOND(D439)</f>
        <v>33</v>
      </c>
      <c r="G439">
        <f>ROUND(E439+F439/60,2)</f>
        <v>3.55</v>
      </c>
      <c r="H439">
        <f>60*E439+F439</f>
        <v>213</v>
      </c>
      <c r="I439" s="3">
        <f>5*(3600/H439)</f>
        <v>84.507042253521121</v>
      </c>
      <c r="J439" s="16">
        <f t="shared" si="6"/>
        <v>0</v>
      </c>
    </row>
    <row r="440" spans="1:10" x14ac:dyDescent="0.25">
      <c r="A440" s="4" t="s">
        <v>309</v>
      </c>
      <c r="B440" s="1">
        <v>5.6481999999999997E-2</v>
      </c>
      <c r="C440" s="1">
        <v>5.8942000000000001E-2</v>
      </c>
      <c r="D440" s="1">
        <f>IF(B440&gt;C440,B440-C440,C440-B440)</f>
        <v>2.4600000000000039E-3</v>
      </c>
      <c r="E440">
        <f>MINUTE(D440)</f>
        <v>3</v>
      </c>
      <c r="F440">
        <f>SECOND(D440)</f>
        <v>33</v>
      </c>
      <c r="G440">
        <f>ROUND(E440+F440/60,2)</f>
        <v>3.55</v>
      </c>
      <c r="H440">
        <f>60*E440+F440</f>
        <v>213</v>
      </c>
      <c r="I440" s="3">
        <f>5*(3600/H440)</f>
        <v>84.507042253521121</v>
      </c>
      <c r="J440" s="16">
        <f t="shared" si="6"/>
        <v>0</v>
      </c>
    </row>
    <row r="441" spans="1:10" x14ac:dyDescent="0.25">
      <c r="A441" s="4" t="s">
        <v>109</v>
      </c>
      <c r="B441" s="1">
        <v>0.73365199999999997</v>
      </c>
      <c r="C441" s="1">
        <v>0.73118000000000005</v>
      </c>
      <c r="D441" s="1">
        <f>IF(B441&gt;C441,B441-C441,C441-B441)</f>
        <v>2.4719999999999187E-3</v>
      </c>
      <c r="E441">
        <f>MINUTE(D441)</f>
        <v>3</v>
      </c>
      <c r="F441">
        <f>SECOND(D441)</f>
        <v>34</v>
      </c>
      <c r="G441">
        <f>ROUND(E441+F441/60,2)</f>
        <v>3.57</v>
      </c>
      <c r="H441">
        <f>60*E441+F441</f>
        <v>214</v>
      </c>
      <c r="I441" s="3">
        <f>5*(3600/H441)</f>
        <v>84.112149532710276</v>
      </c>
      <c r="J441" s="16">
        <f t="shared" si="6"/>
        <v>0</v>
      </c>
    </row>
    <row r="442" spans="1:10" x14ac:dyDescent="0.25">
      <c r="A442" s="4" t="s">
        <v>328</v>
      </c>
      <c r="B442" s="1">
        <v>0.49057000000000001</v>
      </c>
      <c r="C442" s="1">
        <v>0.49304599999999998</v>
      </c>
      <c r="D442" s="1">
        <f>IF(B442&gt;C442,B442-C442,C442-B442)</f>
        <v>2.4759999999999782E-3</v>
      </c>
      <c r="E442">
        <f>MINUTE(D442)</f>
        <v>3</v>
      </c>
      <c r="F442">
        <f>SECOND(D442)</f>
        <v>34</v>
      </c>
      <c r="G442">
        <f>ROUND(E442+F442/60,2)</f>
        <v>3.57</v>
      </c>
      <c r="H442">
        <f>60*E442+F442</f>
        <v>214</v>
      </c>
      <c r="I442" s="3">
        <f>5*(3600/H442)</f>
        <v>84.112149532710276</v>
      </c>
      <c r="J442" s="16">
        <f t="shared" si="6"/>
        <v>0</v>
      </c>
    </row>
    <row r="443" spans="1:10" x14ac:dyDescent="0.25">
      <c r="A443" s="4" t="s">
        <v>361</v>
      </c>
      <c r="B443" s="1">
        <v>0.45169599999999999</v>
      </c>
      <c r="C443" s="1">
        <v>0.45416800000000002</v>
      </c>
      <c r="D443" s="1">
        <f>IF(B443&gt;C443,B443-C443,C443-B443)</f>
        <v>2.4720000000000297E-3</v>
      </c>
      <c r="E443">
        <f>MINUTE(D443)</f>
        <v>3</v>
      </c>
      <c r="F443">
        <f>SECOND(D443)</f>
        <v>34</v>
      </c>
      <c r="G443">
        <f>ROUND(E443+F443/60,2)</f>
        <v>3.57</v>
      </c>
      <c r="H443">
        <f>60*E443+F443</f>
        <v>214</v>
      </c>
      <c r="I443" s="3">
        <f>5*(3600/H443)</f>
        <v>84.112149532710276</v>
      </c>
      <c r="J443" s="16">
        <f t="shared" si="6"/>
        <v>0</v>
      </c>
    </row>
    <row r="444" spans="1:10" x14ac:dyDescent="0.25">
      <c r="A444" s="4" t="s">
        <v>391</v>
      </c>
      <c r="B444" s="1">
        <v>8.7454000000000004E-2</v>
      </c>
      <c r="C444" s="1">
        <v>8.9934E-2</v>
      </c>
      <c r="D444" s="1">
        <f>IF(B444&gt;C444,B444-C444,C444-B444)</f>
        <v>2.4799999999999961E-3</v>
      </c>
      <c r="E444">
        <f>MINUTE(D444)</f>
        <v>3</v>
      </c>
      <c r="F444">
        <f>SECOND(D444)</f>
        <v>34</v>
      </c>
      <c r="G444">
        <f>ROUND(E444+F444/60,2)</f>
        <v>3.57</v>
      </c>
      <c r="H444">
        <f>60*E444+F444</f>
        <v>214</v>
      </c>
      <c r="I444" s="3">
        <f>5*(3600/H444)</f>
        <v>84.112149532710276</v>
      </c>
      <c r="J444" s="16">
        <f t="shared" si="6"/>
        <v>0</v>
      </c>
    </row>
    <row r="445" spans="1:10" x14ac:dyDescent="0.25">
      <c r="A445" s="4" t="s">
        <v>92</v>
      </c>
      <c r="B445" s="1">
        <v>0.78457500000000002</v>
      </c>
      <c r="C445" s="1">
        <v>0.78705899999999995</v>
      </c>
      <c r="D445" s="1">
        <f>IF(B445&gt;C445,B445-C445,C445-B445)</f>
        <v>2.4839999999999307E-3</v>
      </c>
      <c r="E445">
        <f>MINUTE(D445)</f>
        <v>3</v>
      </c>
      <c r="F445">
        <f>SECOND(D445)</f>
        <v>35</v>
      </c>
      <c r="G445">
        <f>ROUND(E445+F445/60,2)</f>
        <v>3.58</v>
      </c>
      <c r="H445">
        <f>60*E445+F445</f>
        <v>215</v>
      </c>
      <c r="I445" s="3">
        <f>5*(3600/H445)</f>
        <v>83.720930232558146</v>
      </c>
      <c r="J445" s="16">
        <f t="shared" si="6"/>
        <v>0</v>
      </c>
    </row>
    <row r="446" spans="1:10" x14ac:dyDescent="0.25">
      <c r="A446" s="4" t="s">
        <v>393</v>
      </c>
      <c r="B446" s="1">
        <v>0.93926699999999996</v>
      </c>
      <c r="C446" s="1">
        <v>0.941751</v>
      </c>
      <c r="D446" s="1">
        <f>IF(B446&gt;C446,B446-C446,C446-B446)</f>
        <v>2.4840000000000417E-3</v>
      </c>
      <c r="E446">
        <f>MINUTE(D446)</f>
        <v>3</v>
      </c>
      <c r="F446">
        <f>SECOND(D446)</f>
        <v>35</v>
      </c>
      <c r="G446">
        <f>ROUND(E446+F446/60,2)</f>
        <v>3.58</v>
      </c>
      <c r="H446">
        <f>60*E446+F446</f>
        <v>215</v>
      </c>
      <c r="I446" s="3">
        <f>5*(3600/H446)</f>
        <v>83.720930232558146</v>
      </c>
      <c r="J446" s="16">
        <f t="shared" si="6"/>
        <v>0</v>
      </c>
    </row>
    <row r="447" spans="1:10" x14ac:dyDescent="0.25">
      <c r="A447" s="4" t="s">
        <v>37</v>
      </c>
      <c r="B447" s="1">
        <v>0.59133800000000003</v>
      </c>
      <c r="C447" s="1">
        <v>0.59383399999999997</v>
      </c>
      <c r="D447" s="1">
        <f>IF(B447&gt;C447,B447-C447,C447-B447)</f>
        <v>2.4959999999999427E-3</v>
      </c>
      <c r="E447">
        <f>MINUTE(D447)</f>
        <v>3</v>
      </c>
      <c r="F447">
        <f>SECOND(D447)</f>
        <v>36</v>
      </c>
      <c r="G447">
        <f>ROUND(E447+F447/60,2)</f>
        <v>3.6</v>
      </c>
      <c r="H447">
        <f>60*E447+F447</f>
        <v>216</v>
      </c>
      <c r="I447" s="3">
        <f>5*(3600/H447)</f>
        <v>83.333333333333343</v>
      </c>
      <c r="J447" s="16">
        <f t="shared" si="6"/>
        <v>0</v>
      </c>
    </row>
    <row r="448" spans="1:10" x14ac:dyDescent="0.25">
      <c r="A448" s="4" t="s">
        <v>110</v>
      </c>
      <c r="B448" s="1">
        <v>0.56430000000000002</v>
      </c>
      <c r="C448" s="1">
        <v>0.56179999999999997</v>
      </c>
      <c r="D448" s="1">
        <f>IF(B448&gt;C448,B448-C448,C448-B448)</f>
        <v>2.5000000000000577E-3</v>
      </c>
      <c r="E448">
        <f>MINUTE(D448)</f>
        <v>3</v>
      </c>
      <c r="F448">
        <f>SECOND(D448)</f>
        <v>36</v>
      </c>
      <c r="G448">
        <f>ROUND(E448+F448/60,2)</f>
        <v>3.6</v>
      </c>
      <c r="H448">
        <f>60*E448+F448</f>
        <v>216</v>
      </c>
      <c r="I448" s="3">
        <f>5*(3600/H448)</f>
        <v>83.333333333333343</v>
      </c>
      <c r="J448" s="16">
        <f t="shared" si="6"/>
        <v>0</v>
      </c>
    </row>
    <row r="449" spans="1:10" x14ac:dyDescent="0.25">
      <c r="A449" s="4" t="s">
        <v>149</v>
      </c>
      <c r="B449" s="1">
        <v>0.13003200000000001</v>
      </c>
      <c r="C449" s="1">
        <v>0.13252800000000001</v>
      </c>
      <c r="D449" s="1">
        <f>IF(B449&gt;C449,B449-C449,C449-B449)</f>
        <v>2.4959999999999982E-3</v>
      </c>
      <c r="E449">
        <f>MINUTE(D449)</f>
        <v>3</v>
      </c>
      <c r="F449">
        <f>SECOND(D449)</f>
        <v>36</v>
      </c>
      <c r="G449">
        <f>ROUND(E449+F449/60,2)</f>
        <v>3.6</v>
      </c>
      <c r="H449">
        <f>60*E449+F449</f>
        <v>216</v>
      </c>
      <c r="I449" s="3">
        <f>5*(3600/H449)</f>
        <v>83.333333333333343</v>
      </c>
      <c r="J449" s="16">
        <f t="shared" si="6"/>
        <v>0</v>
      </c>
    </row>
    <row r="450" spans="1:10" x14ac:dyDescent="0.25">
      <c r="A450" s="4" t="s">
        <v>109</v>
      </c>
      <c r="B450" s="1">
        <v>0.19941800000000001</v>
      </c>
      <c r="C450" s="1">
        <v>0.20191799999999999</v>
      </c>
      <c r="D450" s="1">
        <f>IF(B450&gt;C450,B450-C450,C450-B450)</f>
        <v>2.4999999999999745E-3</v>
      </c>
      <c r="E450">
        <f>MINUTE(D450)</f>
        <v>3</v>
      </c>
      <c r="F450">
        <f>SECOND(D450)</f>
        <v>36</v>
      </c>
      <c r="G450">
        <f>ROUND(E450+F450/60,2)</f>
        <v>3.6</v>
      </c>
      <c r="H450">
        <f>60*E450+F450</f>
        <v>216</v>
      </c>
      <c r="I450" s="3">
        <f>5*(3600/H450)</f>
        <v>83.333333333333343</v>
      </c>
      <c r="J450" s="16">
        <f t="shared" si="6"/>
        <v>0</v>
      </c>
    </row>
    <row r="451" spans="1:10" x14ac:dyDescent="0.25">
      <c r="A451" s="4" t="s">
        <v>112</v>
      </c>
      <c r="B451" s="1">
        <v>0.82941900000000002</v>
      </c>
      <c r="C451" s="1">
        <v>0.82691499999999996</v>
      </c>
      <c r="D451" s="1">
        <f>IF(B451&gt;C451,B451-C451,C451-B451)</f>
        <v>2.5040000000000617E-3</v>
      </c>
      <c r="E451">
        <f>MINUTE(D451)</f>
        <v>3</v>
      </c>
      <c r="F451">
        <f>SECOND(D451)</f>
        <v>36</v>
      </c>
      <c r="G451">
        <f>ROUND(E451+F451/60,2)</f>
        <v>3.6</v>
      </c>
      <c r="H451">
        <f>60*E451+F451</f>
        <v>216</v>
      </c>
      <c r="I451" s="3">
        <f>5*(3600/H451)</f>
        <v>83.333333333333343</v>
      </c>
      <c r="J451" s="16">
        <f t="shared" ref="J451:J514" si="7">IF(I451&gt;140,1,0)</f>
        <v>0</v>
      </c>
    </row>
    <row r="452" spans="1:10" x14ac:dyDescent="0.25">
      <c r="A452" s="4" t="s">
        <v>148</v>
      </c>
      <c r="B452" s="1">
        <v>0.84191199999999999</v>
      </c>
      <c r="C452" s="1">
        <v>0.84441600000000006</v>
      </c>
      <c r="D452" s="1">
        <f>IF(B452&gt;C452,B452-C452,C452-B452)</f>
        <v>2.5040000000000617E-3</v>
      </c>
      <c r="E452">
        <f>MINUTE(D452)</f>
        <v>3</v>
      </c>
      <c r="F452">
        <f>SECOND(D452)</f>
        <v>36</v>
      </c>
      <c r="G452">
        <f>ROUND(E452+F452/60,2)</f>
        <v>3.6</v>
      </c>
      <c r="H452">
        <f>60*E452+F452</f>
        <v>216</v>
      </c>
      <c r="I452" s="3">
        <f>5*(3600/H452)</f>
        <v>83.333333333333343</v>
      </c>
      <c r="J452" s="16">
        <f t="shared" si="7"/>
        <v>0</v>
      </c>
    </row>
    <row r="453" spans="1:10" x14ac:dyDescent="0.25">
      <c r="A453" s="4" t="s">
        <v>162</v>
      </c>
      <c r="B453" s="1">
        <v>0.576519</v>
      </c>
      <c r="C453" s="1">
        <v>0.57400300000000004</v>
      </c>
      <c r="D453" s="1">
        <f>IF(B453&gt;C453,B453-C453,C453-B453)</f>
        <v>2.5159999999999627E-3</v>
      </c>
      <c r="E453">
        <f>MINUTE(D453)</f>
        <v>3</v>
      </c>
      <c r="F453">
        <f>SECOND(D453)</f>
        <v>37</v>
      </c>
      <c r="G453">
        <f>ROUND(E453+F453/60,2)</f>
        <v>3.62</v>
      </c>
      <c r="H453">
        <f>60*E453+F453</f>
        <v>217</v>
      </c>
      <c r="I453" s="3">
        <f>5*(3600/H453)</f>
        <v>82.94930875576037</v>
      </c>
      <c r="J453" s="16">
        <f t="shared" si="7"/>
        <v>0</v>
      </c>
    </row>
    <row r="454" spans="1:10" x14ac:dyDescent="0.25">
      <c r="A454" s="4" t="s">
        <v>27</v>
      </c>
      <c r="B454" s="1">
        <v>0.45537100000000003</v>
      </c>
      <c r="C454" s="1">
        <v>0.45788699999999999</v>
      </c>
      <c r="D454" s="1">
        <f>IF(B454&gt;C454,B454-C454,C454-B454)</f>
        <v>2.5159999999999627E-3</v>
      </c>
      <c r="E454">
        <f>MINUTE(D454)</f>
        <v>3</v>
      </c>
      <c r="F454">
        <f>SECOND(D454)</f>
        <v>37</v>
      </c>
      <c r="G454">
        <f>ROUND(E454+F454/60,2)</f>
        <v>3.62</v>
      </c>
      <c r="H454">
        <f>60*E454+F454</f>
        <v>217</v>
      </c>
      <c r="I454" s="3">
        <f>5*(3600/H454)</f>
        <v>82.94930875576037</v>
      </c>
      <c r="J454" s="16">
        <f t="shared" si="7"/>
        <v>0</v>
      </c>
    </row>
    <row r="455" spans="1:10" x14ac:dyDescent="0.25">
      <c r="A455" s="4" t="s">
        <v>389</v>
      </c>
      <c r="B455" s="1">
        <v>0.62056900000000004</v>
      </c>
      <c r="C455" s="1">
        <v>0.623081</v>
      </c>
      <c r="D455" s="1">
        <f>IF(B455&gt;C455,B455-C455,C455-B455)</f>
        <v>2.5119999999999587E-3</v>
      </c>
      <c r="E455">
        <f>MINUTE(D455)</f>
        <v>3</v>
      </c>
      <c r="F455">
        <f>SECOND(D455)</f>
        <v>37</v>
      </c>
      <c r="G455">
        <f>ROUND(E455+F455/60,2)</f>
        <v>3.62</v>
      </c>
      <c r="H455">
        <f>60*E455+F455</f>
        <v>217</v>
      </c>
      <c r="I455" s="3">
        <f>5*(3600/H455)</f>
        <v>82.94930875576037</v>
      </c>
      <c r="J455" s="16">
        <f t="shared" si="7"/>
        <v>0</v>
      </c>
    </row>
    <row r="456" spans="1:10" x14ac:dyDescent="0.25">
      <c r="A456" s="4" t="s">
        <v>162</v>
      </c>
      <c r="B456" s="1">
        <v>0.14232400000000001</v>
      </c>
      <c r="C456" s="1">
        <v>0.144844</v>
      </c>
      <c r="D456" s="1">
        <f>IF(B456&gt;C456,B456-C456,C456-B456)</f>
        <v>2.5199999999999945E-3</v>
      </c>
      <c r="E456">
        <f>MINUTE(D456)</f>
        <v>3</v>
      </c>
      <c r="F456">
        <f>SECOND(D456)</f>
        <v>38</v>
      </c>
      <c r="G456">
        <f>ROUND(E456+F456/60,2)</f>
        <v>3.63</v>
      </c>
      <c r="H456">
        <f>60*E456+F456</f>
        <v>218</v>
      </c>
      <c r="I456" s="3">
        <f>5*(3600/H456)</f>
        <v>82.568807339449535</v>
      </c>
      <c r="J456" s="16">
        <f t="shared" si="7"/>
        <v>0</v>
      </c>
    </row>
    <row r="457" spans="1:10" x14ac:dyDescent="0.25">
      <c r="A457" s="4" t="s">
        <v>135</v>
      </c>
      <c r="B457" s="1">
        <v>0.55270699999999995</v>
      </c>
      <c r="C457" s="1">
        <v>0.55523100000000003</v>
      </c>
      <c r="D457" s="1">
        <f>IF(B457&gt;C457,B457-C457,C457-B457)</f>
        <v>2.5240000000000817E-3</v>
      </c>
      <c r="E457">
        <f>MINUTE(D457)</f>
        <v>3</v>
      </c>
      <c r="F457">
        <f>SECOND(D457)</f>
        <v>38</v>
      </c>
      <c r="G457">
        <f>ROUND(E457+F457/60,2)</f>
        <v>3.63</v>
      </c>
      <c r="H457">
        <f>60*E457+F457</f>
        <v>218</v>
      </c>
      <c r="I457" s="3">
        <f>5*(3600/H457)</f>
        <v>82.568807339449535</v>
      </c>
      <c r="J457" s="16">
        <f t="shared" si="7"/>
        <v>0</v>
      </c>
    </row>
    <row r="458" spans="1:10" x14ac:dyDescent="0.25">
      <c r="A458" s="4" t="s">
        <v>47</v>
      </c>
      <c r="B458" s="1">
        <v>0.138625</v>
      </c>
      <c r="C458" s="1">
        <v>0.14114499999999999</v>
      </c>
      <c r="D458" s="1">
        <f>IF(B458&gt;C458,B458-C458,C458-B458)</f>
        <v>2.5199999999999945E-3</v>
      </c>
      <c r="E458">
        <f>MINUTE(D458)</f>
        <v>3</v>
      </c>
      <c r="F458">
        <f>SECOND(D458)</f>
        <v>38</v>
      </c>
      <c r="G458">
        <f>ROUND(E458+F458/60,2)</f>
        <v>3.63</v>
      </c>
      <c r="H458">
        <f>60*E458+F458</f>
        <v>218</v>
      </c>
      <c r="I458" s="3">
        <f>5*(3600/H458)</f>
        <v>82.568807339449535</v>
      </c>
      <c r="J458" s="16">
        <f t="shared" si="7"/>
        <v>0</v>
      </c>
    </row>
    <row r="459" spans="1:10" x14ac:dyDescent="0.25">
      <c r="A459" s="4" t="s">
        <v>13</v>
      </c>
      <c r="B459" s="1">
        <v>0.188942</v>
      </c>
      <c r="C459" s="1">
        <v>0.186422</v>
      </c>
      <c r="D459" s="1">
        <f>IF(B459&gt;C459,B459-C459,C459-B459)</f>
        <v>2.5199999999999945E-3</v>
      </c>
      <c r="E459">
        <f>MINUTE(D459)</f>
        <v>3</v>
      </c>
      <c r="F459">
        <f>SECOND(D459)</f>
        <v>38</v>
      </c>
      <c r="G459">
        <f>ROUND(E459+F459/60,2)</f>
        <v>3.63</v>
      </c>
      <c r="H459">
        <f>60*E459+F459</f>
        <v>218</v>
      </c>
      <c r="I459" s="3">
        <f>5*(3600/H459)</f>
        <v>82.568807339449535</v>
      </c>
      <c r="J459" s="16">
        <f t="shared" si="7"/>
        <v>0</v>
      </c>
    </row>
    <row r="460" spans="1:10" x14ac:dyDescent="0.25">
      <c r="A460" s="4" t="s">
        <v>108</v>
      </c>
      <c r="B460" s="1">
        <v>9.1436000000000003E-2</v>
      </c>
      <c r="C460" s="1">
        <v>9.3964000000000006E-2</v>
      </c>
      <c r="D460" s="1">
        <f>IF(B460&gt;C460,B460-C460,C460-B460)</f>
        <v>2.5280000000000025E-3</v>
      </c>
      <c r="E460">
        <f>MINUTE(D460)</f>
        <v>3</v>
      </c>
      <c r="F460">
        <f>SECOND(D460)</f>
        <v>38</v>
      </c>
      <c r="G460">
        <f>ROUND(E460+F460/60,2)</f>
        <v>3.63</v>
      </c>
      <c r="H460">
        <f>60*E460+F460</f>
        <v>218</v>
      </c>
      <c r="I460" s="3">
        <f>5*(3600/H460)</f>
        <v>82.568807339449535</v>
      </c>
      <c r="J460" s="16">
        <f t="shared" si="7"/>
        <v>0</v>
      </c>
    </row>
    <row r="461" spans="1:10" x14ac:dyDescent="0.25">
      <c r="A461" s="4" t="s">
        <v>193</v>
      </c>
      <c r="B461" s="1">
        <v>0.122076</v>
      </c>
      <c r="C461" s="1">
        <v>0.12460400000000001</v>
      </c>
      <c r="D461" s="1">
        <f>IF(B461&gt;C461,B461-C461,C461-B461)</f>
        <v>2.5280000000000025E-3</v>
      </c>
      <c r="E461">
        <f>MINUTE(D461)</f>
        <v>3</v>
      </c>
      <c r="F461">
        <f>SECOND(D461)</f>
        <v>38</v>
      </c>
      <c r="G461">
        <f>ROUND(E461+F461/60,2)</f>
        <v>3.63</v>
      </c>
      <c r="H461">
        <f>60*E461+F461</f>
        <v>218</v>
      </c>
      <c r="I461" s="3">
        <f>5*(3600/H461)</f>
        <v>82.568807339449535</v>
      </c>
      <c r="J461" s="16">
        <f t="shared" si="7"/>
        <v>0</v>
      </c>
    </row>
    <row r="462" spans="1:10" x14ac:dyDescent="0.25">
      <c r="A462" s="4" t="s">
        <v>285</v>
      </c>
      <c r="B462" s="1">
        <v>0.58929100000000001</v>
      </c>
      <c r="C462" s="1">
        <v>0.59181099999999998</v>
      </c>
      <c r="D462" s="1">
        <f>IF(B462&gt;C462,B462-C462,C462-B462)</f>
        <v>2.5199999999999667E-3</v>
      </c>
      <c r="E462">
        <f>MINUTE(D462)</f>
        <v>3</v>
      </c>
      <c r="F462">
        <f>SECOND(D462)</f>
        <v>38</v>
      </c>
      <c r="G462">
        <f>ROUND(E462+F462/60,2)</f>
        <v>3.63</v>
      </c>
      <c r="H462">
        <f>60*E462+F462</f>
        <v>218</v>
      </c>
      <c r="I462" s="3">
        <f>5*(3600/H462)</f>
        <v>82.568807339449535</v>
      </c>
      <c r="J462" s="16">
        <f t="shared" si="7"/>
        <v>0</v>
      </c>
    </row>
    <row r="463" spans="1:10" x14ac:dyDescent="0.25">
      <c r="A463" s="4" t="s">
        <v>344</v>
      </c>
      <c r="B463" s="1">
        <v>0.35687200000000002</v>
      </c>
      <c r="C463" s="1">
        <v>0.3594</v>
      </c>
      <c r="D463" s="1">
        <f>IF(B463&gt;C463,B463-C463,C463-B463)</f>
        <v>2.5279999999999747E-3</v>
      </c>
      <c r="E463">
        <f>MINUTE(D463)</f>
        <v>3</v>
      </c>
      <c r="F463">
        <f>SECOND(D463)</f>
        <v>38</v>
      </c>
      <c r="G463">
        <f>ROUND(E463+F463/60,2)</f>
        <v>3.63</v>
      </c>
      <c r="H463">
        <f>60*E463+F463</f>
        <v>218</v>
      </c>
      <c r="I463" s="3">
        <f>5*(3600/H463)</f>
        <v>82.568807339449535</v>
      </c>
      <c r="J463" s="16">
        <f t="shared" si="7"/>
        <v>0</v>
      </c>
    </row>
    <row r="464" spans="1:10" x14ac:dyDescent="0.25">
      <c r="A464" s="4" t="s">
        <v>368</v>
      </c>
      <c r="B464" s="1">
        <v>3.1189999999999999E-2</v>
      </c>
      <c r="C464" s="1">
        <v>2.8662E-2</v>
      </c>
      <c r="D464" s="1">
        <f>IF(B464&gt;C464,B464-C464,C464-B464)</f>
        <v>2.527999999999999E-3</v>
      </c>
      <c r="E464">
        <f>MINUTE(D464)</f>
        <v>3</v>
      </c>
      <c r="F464">
        <f>SECOND(D464)</f>
        <v>38</v>
      </c>
      <c r="G464">
        <f>ROUND(E464+F464/60,2)</f>
        <v>3.63</v>
      </c>
      <c r="H464">
        <f>60*E464+F464</f>
        <v>218</v>
      </c>
      <c r="I464" s="3">
        <f>5*(3600/H464)</f>
        <v>82.568807339449535</v>
      </c>
      <c r="J464" s="16">
        <f t="shared" si="7"/>
        <v>0</v>
      </c>
    </row>
    <row r="465" spans="1:10" x14ac:dyDescent="0.25">
      <c r="A465" s="4" t="s">
        <v>405</v>
      </c>
      <c r="B465" s="1">
        <v>0.90301600000000004</v>
      </c>
      <c r="C465" s="1">
        <v>0.90554000000000001</v>
      </c>
      <c r="D465" s="1">
        <f>IF(B465&gt;C465,B465-C465,C465-B465)</f>
        <v>2.5239999999999707E-3</v>
      </c>
      <c r="E465">
        <f>MINUTE(D465)</f>
        <v>3</v>
      </c>
      <c r="F465">
        <f>SECOND(D465)</f>
        <v>38</v>
      </c>
      <c r="G465">
        <f>ROUND(E465+F465/60,2)</f>
        <v>3.63</v>
      </c>
      <c r="H465">
        <f>60*E465+F465</f>
        <v>218</v>
      </c>
      <c r="I465" s="3">
        <f>5*(3600/H465)</f>
        <v>82.568807339449535</v>
      </c>
      <c r="J465" s="16">
        <f t="shared" si="7"/>
        <v>0</v>
      </c>
    </row>
    <row r="466" spans="1:10" x14ac:dyDescent="0.25">
      <c r="A466" s="4" t="s">
        <v>413</v>
      </c>
      <c r="B466" s="1">
        <v>0.91312199999999999</v>
      </c>
      <c r="C466" s="1">
        <v>0.91059800000000002</v>
      </c>
      <c r="D466" s="1">
        <f>IF(B466&gt;C466,B466-C466,C466-B466)</f>
        <v>2.5239999999999707E-3</v>
      </c>
      <c r="E466">
        <f>MINUTE(D466)</f>
        <v>3</v>
      </c>
      <c r="F466">
        <f>SECOND(D466)</f>
        <v>38</v>
      </c>
      <c r="G466">
        <f>ROUND(E466+F466/60,2)</f>
        <v>3.63</v>
      </c>
      <c r="H466">
        <f>60*E466+F466</f>
        <v>218</v>
      </c>
      <c r="I466" s="3">
        <f>5*(3600/H466)</f>
        <v>82.568807339449535</v>
      </c>
      <c r="J466" s="16">
        <f t="shared" si="7"/>
        <v>0</v>
      </c>
    </row>
    <row r="467" spans="1:10" x14ac:dyDescent="0.25">
      <c r="A467" s="4" t="s">
        <v>72</v>
      </c>
      <c r="B467" s="1">
        <v>0.43932300000000002</v>
      </c>
      <c r="C467" s="1">
        <v>0.43679099999999998</v>
      </c>
      <c r="D467" s="1">
        <f>IF(B467&gt;C467,B467-C467,C467-B467)</f>
        <v>2.5320000000000342E-3</v>
      </c>
      <c r="E467">
        <f>MINUTE(D467)</f>
        <v>3</v>
      </c>
      <c r="F467">
        <f>SECOND(D467)</f>
        <v>39</v>
      </c>
      <c r="G467">
        <f>ROUND(E467+F467/60,2)</f>
        <v>3.65</v>
      </c>
      <c r="H467">
        <f>60*E467+F467</f>
        <v>219</v>
      </c>
      <c r="I467" s="3">
        <f>5*(3600/H467)</f>
        <v>82.191780821917817</v>
      </c>
      <c r="J467" s="16">
        <f t="shared" si="7"/>
        <v>0</v>
      </c>
    </row>
    <row r="468" spans="1:10" x14ac:dyDescent="0.25">
      <c r="A468" s="4" t="s">
        <v>85</v>
      </c>
      <c r="B468" s="1">
        <v>0.49402400000000002</v>
      </c>
      <c r="C468" s="1">
        <v>0.49656800000000001</v>
      </c>
      <c r="D468" s="1">
        <f>IF(B468&gt;C468,B468-C468,C468-B468)</f>
        <v>2.5439999999999907E-3</v>
      </c>
      <c r="E468">
        <f>MINUTE(D468)</f>
        <v>3</v>
      </c>
      <c r="F468">
        <f>SECOND(D468)</f>
        <v>40</v>
      </c>
      <c r="G468">
        <f>ROUND(E468+F468/60,2)</f>
        <v>3.67</v>
      </c>
      <c r="H468">
        <f>60*E468+F468</f>
        <v>220</v>
      </c>
      <c r="I468" s="3">
        <f>5*(3600/H468)</f>
        <v>81.818181818181813</v>
      </c>
      <c r="J468" s="16">
        <f t="shared" si="7"/>
        <v>0</v>
      </c>
    </row>
    <row r="469" spans="1:10" x14ac:dyDescent="0.25">
      <c r="A469" s="4" t="s">
        <v>74</v>
      </c>
      <c r="B469" s="1">
        <v>0.78240200000000004</v>
      </c>
      <c r="C469" s="1">
        <v>0.78495400000000004</v>
      </c>
      <c r="D469" s="1">
        <f>IF(B469&gt;C469,B469-C469,C469-B469)</f>
        <v>2.5519999999999987E-3</v>
      </c>
      <c r="E469">
        <f>MINUTE(D469)</f>
        <v>3</v>
      </c>
      <c r="F469">
        <f>SECOND(D469)</f>
        <v>40</v>
      </c>
      <c r="G469">
        <f>ROUND(E469+F469/60,2)</f>
        <v>3.67</v>
      </c>
      <c r="H469">
        <f>60*E469+F469</f>
        <v>220</v>
      </c>
      <c r="I469" s="3">
        <f>5*(3600/H469)</f>
        <v>81.818181818181813</v>
      </c>
      <c r="J469" s="16">
        <f t="shared" si="7"/>
        <v>0</v>
      </c>
    </row>
    <row r="470" spans="1:10" x14ac:dyDescent="0.25">
      <c r="A470" s="4" t="s">
        <v>12</v>
      </c>
      <c r="B470" s="1">
        <v>0.84136299999999997</v>
      </c>
      <c r="C470" s="1">
        <v>0.83881899999999998</v>
      </c>
      <c r="D470" s="1">
        <f>IF(B470&gt;C470,B470-C470,C470-B470)</f>
        <v>2.5439999999999907E-3</v>
      </c>
      <c r="E470">
        <f>MINUTE(D470)</f>
        <v>3</v>
      </c>
      <c r="F470">
        <f>SECOND(D470)</f>
        <v>40</v>
      </c>
      <c r="G470">
        <f>ROUND(E470+F470/60,2)</f>
        <v>3.67</v>
      </c>
      <c r="H470">
        <f>60*E470+F470</f>
        <v>220</v>
      </c>
      <c r="I470" s="3">
        <f>5*(3600/H470)</f>
        <v>81.818181818181813</v>
      </c>
      <c r="J470" s="16">
        <f t="shared" si="7"/>
        <v>0</v>
      </c>
    </row>
    <row r="471" spans="1:10" x14ac:dyDescent="0.25">
      <c r="A471" s="4" t="s">
        <v>54</v>
      </c>
      <c r="B471" s="1">
        <v>0.70056799999999997</v>
      </c>
      <c r="C471" s="1">
        <v>0.70311999999999997</v>
      </c>
      <c r="D471" s="1">
        <f>IF(B471&gt;C471,B471-C471,C471-B471)</f>
        <v>2.5519999999999987E-3</v>
      </c>
      <c r="E471">
        <f>MINUTE(D471)</f>
        <v>3</v>
      </c>
      <c r="F471">
        <f>SECOND(D471)</f>
        <v>40</v>
      </c>
      <c r="G471">
        <f>ROUND(E471+F471/60,2)</f>
        <v>3.67</v>
      </c>
      <c r="H471">
        <f>60*E471+F471</f>
        <v>220</v>
      </c>
      <c r="I471" s="3">
        <f>5*(3600/H471)</f>
        <v>81.818181818181813</v>
      </c>
      <c r="J471" s="16">
        <f t="shared" si="7"/>
        <v>0</v>
      </c>
    </row>
    <row r="472" spans="1:10" x14ac:dyDescent="0.25">
      <c r="A472" s="4" t="s">
        <v>71</v>
      </c>
      <c r="B472" s="1">
        <v>0.69348799999999999</v>
      </c>
      <c r="C472" s="1">
        <v>0.69093599999999999</v>
      </c>
      <c r="D472" s="1">
        <f>IF(B472&gt;C472,B472-C472,C472-B472)</f>
        <v>2.5519999999999987E-3</v>
      </c>
      <c r="E472">
        <f>MINUTE(D472)</f>
        <v>3</v>
      </c>
      <c r="F472">
        <f>SECOND(D472)</f>
        <v>40</v>
      </c>
      <c r="G472">
        <f>ROUND(E472+F472/60,2)</f>
        <v>3.67</v>
      </c>
      <c r="H472">
        <f>60*E472+F472</f>
        <v>220</v>
      </c>
      <c r="I472" s="3">
        <f>5*(3600/H472)</f>
        <v>81.818181818181813</v>
      </c>
      <c r="J472" s="16">
        <f t="shared" si="7"/>
        <v>0</v>
      </c>
    </row>
    <row r="473" spans="1:10" x14ac:dyDescent="0.25">
      <c r="A473" s="4" t="s">
        <v>206</v>
      </c>
      <c r="B473" s="1">
        <v>0.65591200000000005</v>
      </c>
      <c r="C473" s="1">
        <v>0.65336000000000005</v>
      </c>
      <c r="D473" s="1">
        <f>IF(B473&gt;C473,B473-C473,C473-B473)</f>
        <v>2.5519999999999987E-3</v>
      </c>
      <c r="E473">
        <f>MINUTE(D473)</f>
        <v>3</v>
      </c>
      <c r="F473">
        <f>SECOND(D473)</f>
        <v>40</v>
      </c>
      <c r="G473">
        <f>ROUND(E473+F473/60,2)</f>
        <v>3.67</v>
      </c>
      <c r="H473">
        <f>60*E473+F473</f>
        <v>220</v>
      </c>
      <c r="I473" s="3">
        <f>5*(3600/H473)</f>
        <v>81.818181818181813</v>
      </c>
      <c r="J473" s="16">
        <f t="shared" si="7"/>
        <v>0</v>
      </c>
    </row>
    <row r="474" spans="1:10" x14ac:dyDescent="0.25">
      <c r="A474" s="4" t="s">
        <v>95</v>
      </c>
      <c r="B474" s="1">
        <v>0.75181399999999998</v>
      </c>
      <c r="C474" s="1">
        <v>0.74925399999999998</v>
      </c>
      <c r="D474" s="1">
        <f>IF(B474&gt;C474,B474-C474,C474-B474)</f>
        <v>2.5600000000000067E-3</v>
      </c>
      <c r="E474">
        <f>MINUTE(D474)</f>
        <v>3</v>
      </c>
      <c r="F474">
        <f>SECOND(D474)</f>
        <v>41</v>
      </c>
      <c r="G474">
        <f>ROUND(E474+F474/60,2)</f>
        <v>3.68</v>
      </c>
      <c r="H474">
        <f>60*E474+F474</f>
        <v>221</v>
      </c>
      <c r="I474" s="3">
        <f>5*(3600/H474)</f>
        <v>81.447963800904972</v>
      </c>
      <c r="J474" s="16">
        <f t="shared" si="7"/>
        <v>0</v>
      </c>
    </row>
    <row r="475" spans="1:10" x14ac:dyDescent="0.25">
      <c r="A475" s="4" t="s">
        <v>75</v>
      </c>
      <c r="B475" s="1">
        <v>0.294576</v>
      </c>
      <c r="C475" s="1">
        <v>0.292016</v>
      </c>
      <c r="D475" s="1">
        <f>IF(B475&gt;C475,B475-C475,C475-B475)</f>
        <v>2.5600000000000067E-3</v>
      </c>
      <c r="E475">
        <f>MINUTE(D475)</f>
        <v>3</v>
      </c>
      <c r="F475">
        <f>SECOND(D475)</f>
        <v>41</v>
      </c>
      <c r="G475">
        <f>ROUND(E475+F475/60,2)</f>
        <v>3.68</v>
      </c>
      <c r="H475">
        <f>60*E475+F475</f>
        <v>221</v>
      </c>
      <c r="I475" s="3">
        <f>5*(3600/H475)</f>
        <v>81.447963800904972</v>
      </c>
      <c r="J475" s="16">
        <f t="shared" si="7"/>
        <v>0</v>
      </c>
    </row>
    <row r="476" spans="1:10" x14ac:dyDescent="0.25">
      <c r="A476" s="4" t="s">
        <v>41</v>
      </c>
      <c r="B476" s="1">
        <v>0.186281</v>
      </c>
      <c r="C476" s="1">
        <v>0.18371299999999999</v>
      </c>
      <c r="D476" s="1">
        <f>IF(B476&gt;C476,B476-C476,C476-B476)</f>
        <v>2.5680000000000147E-3</v>
      </c>
      <c r="E476">
        <f>MINUTE(D476)</f>
        <v>3</v>
      </c>
      <c r="F476">
        <f>SECOND(D476)</f>
        <v>42</v>
      </c>
      <c r="G476">
        <f>ROUND(E476+F476/60,2)</f>
        <v>3.7</v>
      </c>
      <c r="H476">
        <f>60*E476+F476</f>
        <v>222</v>
      </c>
      <c r="I476" s="3">
        <f>5*(3600/H476)</f>
        <v>81.081081081081095</v>
      </c>
      <c r="J476" s="16">
        <f t="shared" si="7"/>
        <v>0</v>
      </c>
    </row>
    <row r="477" spans="1:10" x14ac:dyDescent="0.25">
      <c r="A477" s="4" t="s">
        <v>131</v>
      </c>
      <c r="B477" s="1">
        <v>5.3295000000000002E-2</v>
      </c>
      <c r="C477" s="1">
        <v>5.0727000000000001E-2</v>
      </c>
      <c r="D477" s="1">
        <f>IF(B477&gt;C477,B477-C477,C477-B477)</f>
        <v>2.5680000000000008E-3</v>
      </c>
      <c r="E477">
        <f>MINUTE(D477)</f>
        <v>3</v>
      </c>
      <c r="F477">
        <f>SECOND(D477)</f>
        <v>42</v>
      </c>
      <c r="G477">
        <f>ROUND(E477+F477/60,2)</f>
        <v>3.7</v>
      </c>
      <c r="H477">
        <f>60*E477+F477</f>
        <v>222</v>
      </c>
      <c r="I477" s="3">
        <f>5*(3600/H477)</f>
        <v>81.081081081081095</v>
      </c>
      <c r="J477" s="16">
        <f t="shared" si="7"/>
        <v>0</v>
      </c>
    </row>
    <row r="478" spans="1:10" x14ac:dyDescent="0.25">
      <c r="A478" s="4" t="s">
        <v>38</v>
      </c>
      <c r="B478" s="1">
        <v>0.72344799999999998</v>
      </c>
      <c r="C478" s="1">
        <v>0.72086399999999995</v>
      </c>
      <c r="D478" s="1">
        <f>IF(B478&gt;C478,B478-C478,C478-B478)</f>
        <v>2.5840000000000307E-3</v>
      </c>
      <c r="E478">
        <f>MINUTE(D478)</f>
        <v>3</v>
      </c>
      <c r="F478">
        <f>SECOND(D478)</f>
        <v>43</v>
      </c>
      <c r="G478">
        <f>ROUND(E478+F478/60,2)</f>
        <v>3.72</v>
      </c>
      <c r="H478">
        <f>60*E478+F478</f>
        <v>223</v>
      </c>
      <c r="I478" s="3">
        <f>5*(3600/H478)</f>
        <v>80.717488789237677</v>
      </c>
      <c r="J478" s="16">
        <f t="shared" si="7"/>
        <v>0</v>
      </c>
    </row>
    <row r="479" spans="1:10" x14ac:dyDescent="0.25">
      <c r="A479" s="4" t="s">
        <v>13</v>
      </c>
      <c r="B479" s="1">
        <v>0.20627400000000001</v>
      </c>
      <c r="C479" s="1">
        <v>0.20369799999999999</v>
      </c>
      <c r="D479" s="1">
        <f>IF(B479&gt;C479,B479-C479,C479-B479)</f>
        <v>2.5760000000000227E-3</v>
      </c>
      <c r="E479">
        <f>MINUTE(D479)</f>
        <v>3</v>
      </c>
      <c r="F479">
        <f>SECOND(D479)</f>
        <v>43</v>
      </c>
      <c r="G479">
        <f>ROUND(E479+F479/60,2)</f>
        <v>3.72</v>
      </c>
      <c r="H479">
        <f>60*E479+F479</f>
        <v>223</v>
      </c>
      <c r="I479" s="3">
        <f>5*(3600/H479)</f>
        <v>80.717488789237677</v>
      </c>
      <c r="J479" s="16">
        <f t="shared" si="7"/>
        <v>0</v>
      </c>
    </row>
    <row r="480" spans="1:10" x14ac:dyDescent="0.25">
      <c r="A480" s="4" t="s">
        <v>27</v>
      </c>
      <c r="B480" s="1">
        <v>0.15427399999999999</v>
      </c>
      <c r="C480" s="1">
        <v>0.151698</v>
      </c>
      <c r="D480" s="1">
        <f>IF(B480&gt;C480,B480-C480,C480-B480)</f>
        <v>2.575999999999995E-3</v>
      </c>
      <c r="E480">
        <f>MINUTE(D480)</f>
        <v>3</v>
      </c>
      <c r="F480">
        <f>SECOND(D480)</f>
        <v>43</v>
      </c>
      <c r="G480">
        <f>ROUND(E480+F480/60,2)</f>
        <v>3.72</v>
      </c>
      <c r="H480">
        <f>60*E480+F480</f>
        <v>223</v>
      </c>
      <c r="I480" s="3">
        <f>5*(3600/H480)</f>
        <v>80.717488789237677</v>
      </c>
      <c r="J480" s="16">
        <f t="shared" si="7"/>
        <v>0</v>
      </c>
    </row>
    <row r="481" spans="1:10" x14ac:dyDescent="0.25">
      <c r="A481" s="4" t="s">
        <v>261</v>
      </c>
      <c r="B481" s="1">
        <v>0.34346399999999999</v>
      </c>
      <c r="C481" s="1">
        <v>0.34604400000000002</v>
      </c>
      <c r="D481" s="1">
        <f>IF(B481&gt;C481,B481-C481,C481-B481)</f>
        <v>2.5800000000000267E-3</v>
      </c>
      <c r="E481">
        <f>MINUTE(D481)</f>
        <v>3</v>
      </c>
      <c r="F481">
        <f>SECOND(D481)</f>
        <v>43</v>
      </c>
      <c r="G481">
        <f>ROUND(E481+F481/60,2)</f>
        <v>3.72</v>
      </c>
      <c r="H481">
        <f>60*E481+F481</f>
        <v>223</v>
      </c>
      <c r="I481" s="3">
        <f>5*(3600/H481)</f>
        <v>80.717488789237677</v>
      </c>
      <c r="J481" s="16">
        <f t="shared" si="7"/>
        <v>0</v>
      </c>
    </row>
    <row r="482" spans="1:10" x14ac:dyDescent="0.25">
      <c r="A482" s="4" t="s">
        <v>427</v>
      </c>
      <c r="B482" s="1">
        <v>2.5694999999999999E-2</v>
      </c>
      <c r="C482" s="1">
        <v>2.3115E-2</v>
      </c>
      <c r="D482" s="1">
        <f>IF(B482&gt;C482,B482-C482,C482-B482)</f>
        <v>2.579999999999999E-3</v>
      </c>
      <c r="E482">
        <f>MINUTE(D482)</f>
        <v>3</v>
      </c>
      <c r="F482">
        <f>SECOND(D482)</f>
        <v>43</v>
      </c>
      <c r="G482">
        <f>ROUND(E482+F482/60,2)</f>
        <v>3.72</v>
      </c>
      <c r="H482">
        <f>60*E482+F482</f>
        <v>223</v>
      </c>
      <c r="I482" s="3">
        <f>5*(3600/H482)</f>
        <v>80.717488789237677</v>
      </c>
      <c r="J482" s="16">
        <f t="shared" si="7"/>
        <v>0</v>
      </c>
    </row>
    <row r="483" spans="1:10" x14ac:dyDescent="0.25">
      <c r="A483" s="4" t="s">
        <v>71</v>
      </c>
      <c r="B483" s="1">
        <v>0.61365199999999998</v>
      </c>
      <c r="C483" s="1">
        <v>0.61106000000000005</v>
      </c>
      <c r="D483" s="1">
        <f>IF(B483&gt;C483,B483-C483,C483-B483)</f>
        <v>2.5919999999999277E-3</v>
      </c>
      <c r="E483">
        <f>MINUTE(D483)</f>
        <v>3</v>
      </c>
      <c r="F483">
        <f>SECOND(D483)</f>
        <v>44</v>
      </c>
      <c r="G483">
        <f>ROUND(E483+F483/60,2)</f>
        <v>3.73</v>
      </c>
      <c r="H483">
        <f>60*E483+F483</f>
        <v>224</v>
      </c>
      <c r="I483" s="3">
        <f>5*(3600/H483)</f>
        <v>80.357142857142861</v>
      </c>
      <c r="J483" s="16">
        <f t="shared" si="7"/>
        <v>0</v>
      </c>
    </row>
    <row r="484" spans="1:10" x14ac:dyDescent="0.25">
      <c r="A484" s="4" t="s">
        <v>127</v>
      </c>
      <c r="B484" s="1">
        <v>0.74746999999999997</v>
      </c>
      <c r="C484" s="1">
        <v>0.74487400000000004</v>
      </c>
      <c r="D484" s="1">
        <f>IF(B484&gt;C484,B484-C484,C484-B484)</f>
        <v>2.5959999999999317E-3</v>
      </c>
      <c r="E484">
        <f>MINUTE(D484)</f>
        <v>3</v>
      </c>
      <c r="F484">
        <f>SECOND(D484)</f>
        <v>44</v>
      </c>
      <c r="G484">
        <f>ROUND(E484+F484/60,2)</f>
        <v>3.73</v>
      </c>
      <c r="H484">
        <f>60*E484+F484</f>
        <v>224</v>
      </c>
      <c r="I484" s="3">
        <f>5*(3600/H484)</f>
        <v>80.357142857142861</v>
      </c>
      <c r="J484" s="16">
        <f t="shared" si="7"/>
        <v>0</v>
      </c>
    </row>
    <row r="485" spans="1:10" x14ac:dyDescent="0.25">
      <c r="A485" s="4" t="s">
        <v>148</v>
      </c>
      <c r="B485" s="1">
        <v>0.924647</v>
      </c>
      <c r="C485" s="1">
        <v>0.92724300000000004</v>
      </c>
      <c r="D485" s="1">
        <f>IF(B485&gt;C485,B485-C485,C485-B485)</f>
        <v>2.5960000000000427E-3</v>
      </c>
      <c r="E485">
        <f>MINUTE(D485)</f>
        <v>3</v>
      </c>
      <c r="F485">
        <f>SECOND(D485)</f>
        <v>44</v>
      </c>
      <c r="G485">
        <f>ROUND(E485+F485/60,2)</f>
        <v>3.73</v>
      </c>
      <c r="H485">
        <f>60*E485+F485</f>
        <v>224</v>
      </c>
      <c r="I485" s="3">
        <f>5*(3600/H485)</f>
        <v>80.357142857142861</v>
      </c>
      <c r="J485" s="16">
        <f t="shared" si="7"/>
        <v>0</v>
      </c>
    </row>
    <row r="486" spans="1:10" x14ac:dyDescent="0.25">
      <c r="A486" s="4" t="s">
        <v>162</v>
      </c>
      <c r="B486" s="1">
        <v>0.72762800000000005</v>
      </c>
      <c r="C486" s="1">
        <v>0.73021999999999998</v>
      </c>
      <c r="D486" s="1">
        <f>IF(B486&gt;C486,B486-C486,C486-B486)</f>
        <v>2.5919999999999277E-3</v>
      </c>
      <c r="E486">
        <f>MINUTE(D486)</f>
        <v>3</v>
      </c>
      <c r="F486">
        <f>SECOND(D486)</f>
        <v>44</v>
      </c>
      <c r="G486">
        <f>ROUND(E486+F486/60,2)</f>
        <v>3.73</v>
      </c>
      <c r="H486">
        <f>60*E486+F486</f>
        <v>224</v>
      </c>
      <c r="I486" s="3">
        <f>5*(3600/H486)</f>
        <v>80.357142857142861</v>
      </c>
      <c r="J486" s="16">
        <f t="shared" si="7"/>
        <v>0</v>
      </c>
    </row>
    <row r="487" spans="1:10" x14ac:dyDescent="0.25">
      <c r="A487" s="4" t="s">
        <v>160</v>
      </c>
      <c r="B487" s="1">
        <v>1.9332999999999999E-2</v>
      </c>
      <c r="C487" s="1">
        <v>1.6733000000000001E-2</v>
      </c>
      <c r="D487" s="1">
        <f>IF(B487&gt;C487,B487-C487,C487-B487)</f>
        <v>2.5999999999999981E-3</v>
      </c>
      <c r="E487">
        <f>MINUTE(D487)</f>
        <v>3</v>
      </c>
      <c r="F487">
        <f>SECOND(D487)</f>
        <v>45</v>
      </c>
      <c r="G487">
        <f>ROUND(E487+F487/60,2)</f>
        <v>3.75</v>
      </c>
      <c r="H487">
        <f>60*E487+F487</f>
        <v>225</v>
      </c>
      <c r="I487" s="3">
        <f>5*(3600/H487)</f>
        <v>80</v>
      </c>
      <c r="J487" s="16">
        <f t="shared" si="7"/>
        <v>0</v>
      </c>
    </row>
    <row r="488" spans="1:10" x14ac:dyDescent="0.25">
      <c r="A488" s="4" t="s">
        <v>60</v>
      </c>
      <c r="B488" s="1">
        <v>0.97160000000000002</v>
      </c>
      <c r="C488" s="1">
        <v>0.96899999999999997</v>
      </c>
      <c r="D488" s="1">
        <f>IF(B488&gt;C488,B488-C488,C488-B488)</f>
        <v>2.6000000000000467E-3</v>
      </c>
      <c r="E488">
        <f>MINUTE(D488)</f>
        <v>3</v>
      </c>
      <c r="F488">
        <f>SECOND(D488)</f>
        <v>45</v>
      </c>
      <c r="G488">
        <f>ROUND(E488+F488/60,2)</f>
        <v>3.75</v>
      </c>
      <c r="H488">
        <f>60*E488+F488</f>
        <v>225</v>
      </c>
      <c r="I488" s="3">
        <f>5*(3600/H488)</f>
        <v>80</v>
      </c>
      <c r="J488" s="16">
        <f t="shared" si="7"/>
        <v>0</v>
      </c>
    </row>
    <row r="489" spans="1:10" x14ac:dyDescent="0.25">
      <c r="A489" s="4" t="s">
        <v>81</v>
      </c>
      <c r="B489" s="1">
        <v>0.83649600000000002</v>
      </c>
      <c r="C489" s="1">
        <v>0.83909599999999995</v>
      </c>
      <c r="D489" s="1">
        <f>IF(B489&gt;C489,B489-C489,C489-B489)</f>
        <v>2.5999999999999357E-3</v>
      </c>
      <c r="E489">
        <f>MINUTE(D489)</f>
        <v>3</v>
      </c>
      <c r="F489">
        <f>SECOND(D489)</f>
        <v>45</v>
      </c>
      <c r="G489">
        <f>ROUND(E489+F489/60,2)</f>
        <v>3.75</v>
      </c>
      <c r="H489">
        <f>60*E489+F489</f>
        <v>225</v>
      </c>
      <c r="I489" s="3">
        <f>5*(3600/H489)</f>
        <v>80</v>
      </c>
      <c r="J489" s="16">
        <f t="shared" si="7"/>
        <v>0</v>
      </c>
    </row>
    <row r="490" spans="1:10" x14ac:dyDescent="0.25">
      <c r="A490" s="4" t="s">
        <v>121</v>
      </c>
      <c r="B490" s="1">
        <v>0.49061199999999999</v>
      </c>
      <c r="C490" s="1">
        <v>0.48800399999999999</v>
      </c>
      <c r="D490" s="1">
        <f>IF(B490&gt;C490,B490-C490,C490-B490)</f>
        <v>2.6079999999999992E-3</v>
      </c>
      <c r="E490">
        <f>MINUTE(D490)</f>
        <v>3</v>
      </c>
      <c r="F490">
        <f>SECOND(D490)</f>
        <v>45</v>
      </c>
      <c r="G490">
        <f>ROUND(E490+F490/60,2)</f>
        <v>3.75</v>
      </c>
      <c r="H490">
        <f>60*E490+F490</f>
        <v>225</v>
      </c>
      <c r="I490" s="3">
        <f>5*(3600/H490)</f>
        <v>80</v>
      </c>
      <c r="J490" s="16">
        <f t="shared" si="7"/>
        <v>0</v>
      </c>
    </row>
    <row r="491" spans="1:10" x14ac:dyDescent="0.25">
      <c r="A491" s="4" t="s">
        <v>72</v>
      </c>
      <c r="B491" s="1">
        <v>0.40520400000000001</v>
      </c>
      <c r="C491" s="1">
        <v>0.40260400000000002</v>
      </c>
      <c r="D491" s="1">
        <f>IF(B491&gt;C491,B491-C491,C491-B491)</f>
        <v>2.5999999999999912E-3</v>
      </c>
      <c r="E491">
        <f>MINUTE(D491)</f>
        <v>3</v>
      </c>
      <c r="F491">
        <f>SECOND(D491)</f>
        <v>45</v>
      </c>
      <c r="G491">
        <f>ROUND(E491+F491/60,2)</f>
        <v>3.75</v>
      </c>
      <c r="H491">
        <f>60*E491+F491</f>
        <v>225</v>
      </c>
      <c r="I491" s="3">
        <f>5*(3600/H491)</f>
        <v>80</v>
      </c>
      <c r="J491" s="16">
        <f t="shared" si="7"/>
        <v>0</v>
      </c>
    </row>
    <row r="492" spans="1:10" x14ac:dyDescent="0.25">
      <c r="A492" s="4" t="s">
        <v>428</v>
      </c>
      <c r="B492" s="1">
        <v>0.66373000000000004</v>
      </c>
      <c r="C492" s="1">
        <v>0.66111399999999998</v>
      </c>
      <c r="D492" s="1">
        <f>IF(B492&gt;C492,B492-C492,C492-B492)</f>
        <v>2.6160000000000627E-3</v>
      </c>
      <c r="E492">
        <f>MINUTE(D492)</f>
        <v>3</v>
      </c>
      <c r="F492">
        <f>SECOND(D492)</f>
        <v>46</v>
      </c>
      <c r="G492">
        <f>ROUND(E492+F492/60,2)</f>
        <v>3.77</v>
      </c>
      <c r="H492">
        <f>60*E492+F492</f>
        <v>226</v>
      </c>
      <c r="I492" s="3">
        <f>5*(3600/H492)</f>
        <v>79.646017699115049</v>
      </c>
      <c r="J492" s="16">
        <f t="shared" si="7"/>
        <v>0</v>
      </c>
    </row>
    <row r="493" spans="1:10" x14ac:dyDescent="0.25">
      <c r="A493" s="4" t="s">
        <v>122</v>
      </c>
      <c r="B493" s="1">
        <v>0.22853000000000001</v>
      </c>
      <c r="C493" s="1">
        <v>0.23114999999999999</v>
      </c>
      <c r="D493" s="1">
        <f>IF(B493&gt;C493,B493-C493,C493-B493)</f>
        <v>2.6199999999999835E-3</v>
      </c>
      <c r="E493">
        <f>MINUTE(D493)</f>
        <v>3</v>
      </c>
      <c r="F493">
        <f>SECOND(D493)</f>
        <v>46</v>
      </c>
      <c r="G493">
        <f>ROUND(E493+F493/60,2)</f>
        <v>3.77</v>
      </c>
      <c r="H493">
        <f>60*E493+F493</f>
        <v>226</v>
      </c>
      <c r="I493" s="3">
        <f>5*(3600/H493)</f>
        <v>79.646017699115049</v>
      </c>
      <c r="J493" s="16">
        <f t="shared" si="7"/>
        <v>0</v>
      </c>
    </row>
    <row r="494" spans="1:10" x14ac:dyDescent="0.25">
      <c r="A494" s="4" t="s">
        <v>235</v>
      </c>
      <c r="B494" s="1">
        <v>0.24182600000000001</v>
      </c>
      <c r="C494" s="1">
        <v>0.23921000000000001</v>
      </c>
      <c r="D494" s="1">
        <f>IF(B494&gt;C494,B494-C494,C494-B494)</f>
        <v>2.6160000000000072E-3</v>
      </c>
      <c r="E494">
        <f>MINUTE(D494)</f>
        <v>3</v>
      </c>
      <c r="F494">
        <f>SECOND(D494)</f>
        <v>46</v>
      </c>
      <c r="G494">
        <f>ROUND(E494+F494/60,2)</f>
        <v>3.77</v>
      </c>
      <c r="H494">
        <f>60*E494+F494</f>
        <v>226</v>
      </c>
      <c r="I494" s="3">
        <f>5*(3600/H494)</f>
        <v>79.646017699115049</v>
      </c>
      <c r="J494" s="16">
        <f t="shared" si="7"/>
        <v>0</v>
      </c>
    </row>
    <row r="495" spans="1:10" x14ac:dyDescent="0.25">
      <c r="A495" s="4" t="s">
        <v>356</v>
      </c>
      <c r="B495" s="1">
        <v>0.14568999999999999</v>
      </c>
      <c r="C495" s="1">
        <v>0.14307400000000001</v>
      </c>
      <c r="D495" s="1">
        <f>IF(B495&gt;C495,B495-C495,C495-B495)</f>
        <v>2.6159999999999795E-3</v>
      </c>
      <c r="E495">
        <f>MINUTE(D495)</f>
        <v>3</v>
      </c>
      <c r="F495">
        <f>SECOND(D495)</f>
        <v>46</v>
      </c>
      <c r="G495">
        <f>ROUND(E495+F495/60,2)</f>
        <v>3.77</v>
      </c>
      <c r="H495">
        <f>60*E495+F495</f>
        <v>226</v>
      </c>
      <c r="I495" s="3">
        <f>5*(3600/H495)</f>
        <v>79.646017699115049</v>
      </c>
      <c r="J495" s="16">
        <f t="shared" si="7"/>
        <v>0</v>
      </c>
    </row>
    <row r="496" spans="1:10" x14ac:dyDescent="0.25">
      <c r="A496" s="4" t="s">
        <v>366</v>
      </c>
      <c r="B496" s="1">
        <v>0.64231899999999997</v>
      </c>
      <c r="C496" s="1">
        <v>0.64493900000000004</v>
      </c>
      <c r="D496" s="1">
        <f>IF(B496&gt;C496,B496-C496,C496-B496)</f>
        <v>2.6200000000000667E-3</v>
      </c>
      <c r="E496">
        <f>MINUTE(D496)</f>
        <v>3</v>
      </c>
      <c r="F496">
        <f>SECOND(D496)</f>
        <v>46</v>
      </c>
      <c r="G496">
        <f>ROUND(E496+F496/60,2)</f>
        <v>3.77</v>
      </c>
      <c r="H496">
        <f>60*E496+F496</f>
        <v>226</v>
      </c>
      <c r="I496" s="3">
        <f>5*(3600/H496)</f>
        <v>79.646017699115049</v>
      </c>
      <c r="J496" s="16">
        <f t="shared" si="7"/>
        <v>0</v>
      </c>
    </row>
    <row r="497" spans="1:10" x14ac:dyDescent="0.25">
      <c r="A497" s="4" t="s">
        <v>376</v>
      </c>
      <c r="B497" s="1">
        <v>0.74587599999999998</v>
      </c>
      <c r="C497" s="1">
        <v>0.74849200000000005</v>
      </c>
      <c r="D497" s="1">
        <f>IF(B497&gt;C497,B497-C497,C497-B497)</f>
        <v>2.6160000000000627E-3</v>
      </c>
      <c r="E497">
        <f>MINUTE(D497)</f>
        <v>3</v>
      </c>
      <c r="F497">
        <f>SECOND(D497)</f>
        <v>46</v>
      </c>
      <c r="G497">
        <f>ROUND(E497+F497/60,2)</f>
        <v>3.77</v>
      </c>
      <c r="H497">
        <f>60*E497+F497</f>
        <v>226</v>
      </c>
      <c r="I497" s="3">
        <f>5*(3600/H497)</f>
        <v>79.646017699115049</v>
      </c>
      <c r="J497" s="16">
        <f t="shared" si="7"/>
        <v>0</v>
      </c>
    </row>
    <row r="498" spans="1:10" x14ac:dyDescent="0.25">
      <c r="A498" s="4" t="s">
        <v>147</v>
      </c>
      <c r="B498" s="1">
        <v>0.96590299999999996</v>
      </c>
      <c r="C498" s="1">
        <v>0.96327499999999999</v>
      </c>
      <c r="D498" s="1">
        <f>IF(B498&gt;C498,B498-C498,C498-B498)</f>
        <v>2.6279999999999637E-3</v>
      </c>
      <c r="E498">
        <f>MINUTE(D498)</f>
        <v>3</v>
      </c>
      <c r="F498">
        <f>SECOND(D498)</f>
        <v>47</v>
      </c>
      <c r="G498">
        <f>ROUND(E498+F498/60,2)</f>
        <v>3.78</v>
      </c>
      <c r="H498">
        <f>60*E498+F498</f>
        <v>227</v>
      </c>
      <c r="I498" s="3">
        <f>5*(3600/H498)</f>
        <v>79.295154185022028</v>
      </c>
      <c r="J498" s="16">
        <f t="shared" si="7"/>
        <v>0</v>
      </c>
    </row>
    <row r="499" spans="1:10" x14ac:dyDescent="0.25">
      <c r="A499" s="4" t="s">
        <v>166</v>
      </c>
      <c r="B499" s="1">
        <v>0.30390899999999998</v>
      </c>
      <c r="C499" s="1">
        <v>0.30128100000000002</v>
      </c>
      <c r="D499" s="1">
        <f>IF(B499&gt;C499,B499-C499,C499-B499)</f>
        <v>2.6279999999999637E-3</v>
      </c>
      <c r="E499">
        <f>MINUTE(D499)</f>
        <v>3</v>
      </c>
      <c r="F499">
        <f>SECOND(D499)</f>
        <v>47</v>
      </c>
      <c r="G499">
        <f>ROUND(E499+F499/60,2)</f>
        <v>3.78</v>
      </c>
      <c r="H499">
        <f>60*E499+F499</f>
        <v>227</v>
      </c>
      <c r="I499" s="3">
        <f>5*(3600/H499)</f>
        <v>79.295154185022028</v>
      </c>
      <c r="J499" s="16">
        <f t="shared" si="7"/>
        <v>0</v>
      </c>
    </row>
    <row r="500" spans="1:10" x14ac:dyDescent="0.25">
      <c r="A500" s="4" t="s">
        <v>255</v>
      </c>
      <c r="B500" s="1">
        <v>0.25523400000000002</v>
      </c>
      <c r="C500" s="1">
        <v>0.25786199999999998</v>
      </c>
      <c r="D500" s="1">
        <f>IF(B500&gt;C500,B500-C500,C500-B500)</f>
        <v>2.6279999999999637E-3</v>
      </c>
      <c r="E500">
        <f>MINUTE(D500)</f>
        <v>3</v>
      </c>
      <c r="F500">
        <f>SECOND(D500)</f>
        <v>47</v>
      </c>
      <c r="G500">
        <f>ROUND(E500+F500/60,2)</f>
        <v>3.78</v>
      </c>
      <c r="H500">
        <f>60*E500+F500</f>
        <v>227</v>
      </c>
      <c r="I500" s="3">
        <f>5*(3600/H500)</f>
        <v>79.295154185022028</v>
      </c>
      <c r="J500" s="16">
        <f t="shared" si="7"/>
        <v>0</v>
      </c>
    </row>
    <row r="501" spans="1:10" x14ac:dyDescent="0.25">
      <c r="A501" s="4" t="s">
        <v>403</v>
      </c>
      <c r="B501" s="1">
        <v>0.53043799999999997</v>
      </c>
      <c r="C501" s="1">
        <v>0.53306600000000004</v>
      </c>
      <c r="D501" s="1">
        <f>IF(B501&gt;C501,B501-C501,C501-B501)</f>
        <v>2.6280000000000747E-3</v>
      </c>
      <c r="E501">
        <f>MINUTE(D501)</f>
        <v>3</v>
      </c>
      <c r="F501">
        <f>SECOND(D501)</f>
        <v>47</v>
      </c>
      <c r="G501">
        <f>ROUND(E501+F501/60,2)</f>
        <v>3.78</v>
      </c>
      <c r="H501">
        <f>60*E501+F501</f>
        <v>227</v>
      </c>
      <c r="I501" s="3">
        <f>5*(3600/H501)</f>
        <v>79.295154185022028</v>
      </c>
      <c r="J501" s="16">
        <f t="shared" si="7"/>
        <v>0</v>
      </c>
    </row>
    <row r="502" spans="1:10" x14ac:dyDescent="0.25">
      <c r="A502" s="4" t="s">
        <v>113</v>
      </c>
      <c r="B502" s="1">
        <v>0.81435400000000002</v>
      </c>
      <c r="C502" s="1">
        <v>0.81171800000000005</v>
      </c>
      <c r="D502" s="1">
        <f>IF(B502&gt;C502,B502-C502,C502-B502)</f>
        <v>2.6359999999999717E-3</v>
      </c>
      <c r="E502">
        <f>MINUTE(D502)</f>
        <v>3</v>
      </c>
      <c r="F502">
        <f>SECOND(D502)</f>
        <v>48</v>
      </c>
      <c r="G502">
        <f>ROUND(E502+F502/60,2)</f>
        <v>3.8</v>
      </c>
      <c r="H502">
        <f>60*E502+F502</f>
        <v>228</v>
      </c>
      <c r="I502" s="3">
        <f>5*(3600/H502)</f>
        <v>78.94736842105263</v>
      </c>
      <c r="J502" s="16">
        <f t="shared" si="7"/>
        <v>0</v>
      </c>
    </row>
    <row r="503" spans="1:10" x14ac:dyDescent="0.25">
      <c r="A503" s="4" t="s">
        <v>83</v>
      </c>
      <c r="B503" s="1">
        <v>0.67313500000000004</v>
      </c>
      <c r="C503" s="1">
        <v>0.67577900000000002</v>
      </c>
      <c r="D503" s="1">
        <f>IF(B503&gt;C503,B503-C503,C503-B503)</f>
        <v>2.6439999999999797E-3</v>
      </c>
      <c r="E503">
        <f>MINUTE(D503)</f>
        <v>3</v>
      </c>
      <c r="F503">
        <f>SECOND(D503)</f>
        <v>48</v>
      </c>
      <c r="G503">
        <f>ROUND(E503+F503/60,2)</f>
        <v>3.8</v>
      </c>
      <c r="H503">
        <f>60*E503+F503</f>
        <v>228</v>
      </c>
      <c r="I503" s="3">
        <f>5*(3600/H503)</f>
        <v>78.94736842105263</v>
      </c>
      <c r="J503" s="16">
        <f t="shared" si="7"/>
        <v>0</v>
      </c>
    </row>
    <row r="504" spans="1:10" x14ac:dyDescent="0.25">
      <c r="A504" s="4" t="s">
        <v>61</v>
      </c>
      <c r="B504" s="1">
        <v>0.44656000000000001</v>
      </c>
      <c r="C504" s="1">
        <v>0.449212</v>
      </c>
      <c r="D504" s="1">
        <f>IF(B504&gt;C504,B504-C504,C504-B504)</f>
        <v>2.6519999999999877E-3</v>
      </c>
      <c r="E504">
        <f>MINUTE(D504)</f>
        <v>3</v>
      </c>
      <c r="F504">
        <f>SECOND(D504)</f>
        <v>49</v>
      </c>
      <c r="G504">
        <f>ROUND(E504+F504/60,2)</f>
        <v>3.82</v>
      </c>
      <c r="H504">
        <f>60*E504+F504</f>
        <v>229</v>
      </c>
      <c r="I504" s="3">
        <f>5*(3600/H504)</f>
        <v>78.602620087336248</v>
      </c>
      <c r="J504" s="16">
        <f t="shared" si="7"/>
        <v>0</v>
      </c>
    </row>
    <row r="505" spans="1:10" x14ac:dyDescent="0.25">
      <c r="A505" s="8" t="s">
        <v>169</v>
      </c>
      <c r="B505" s="1">
        <v>0.60565199999999997</v>
      </c>
      <c r="C505" s="1">
        <v>0.60829999999999995</v>
      </c>
      <c r="D505" s="1">
        <f>IF(B505&gt;C505,B505-C505,C505-B505)</f>
        <v>2.6479999999999837E-3</v>
      </c>
      <c r="E505">
        <f>MINUTE(D505)</f>
        <v>3</v>
      </c>
      <c r="F505">
        <f>SECOND(D505)</f>
        <v>49</v>
      </c>
      <c r="G505">
        <f>ROUND(E505+F505/60,2)</f>
        <v>3.82</v>
      </c>
      <c r="H505">
        <f>60*E505+F505</f>
        <v>229</v>
      </c>
      <c r="I505" s="10">
        <f>5*(3600/H505)</f>
        <v>78.602620087336248</v>
      </c>
      <c r="J505" s="16">
        <f t="shared" si="7"/>
        <v>0</v>
      </c>
    </row>
    <row r="506" spans="1:10" x14ac:dyDescent="0.25">
      <c r="A506" s="4" t="s">
        <v>12</v>
      </c>
      <c r="B506" s="1">
        <v>0.74244399999999999</v>
      </c>
      <c r="C506" s="1">
        <v>0.73979200000000001</v>
      </c>
      <c r="D506" s="1">
        <f>IF(B506&gt;C506,B506-C506,C506-B506)</f>
        <v>2.6519999999999877E-3</v>
      </c>
      <c r="E506">
        <f>MINUTE(D506)</f>
        <v>3</v>
      </c>
      <c r="F506">
        <f>SECOND(D506)</f>
        <v>49</v>
      </c>
      <c r="G506">
        <f>ROUND(E506+F506/60,2)</f>
        <v>3.82</v>
      </c>
      <c r="H506">
        <f>60*E506+F506</f>
        <v>229</v>
      </c>
      <c r="I506" s="3">
        <f>5*(3600/H506)</f>
        <v>78.602620087336248</v>
      </c>
      <c r="J506" s="16">
        <f t="shared" si="7"/>
        <v>0</v>
      </c>
    </row>
    <row r="507" spans="1:10" x14ac:dyDescent="0.25">
      <c r="A507" s="4" t="s">
        <v>47</v>
      </c>
      <c r="B507" s="1">
        <v>0.33376899999999998</v>
      </c>
      <c r="C507" s="1">
        <v>0.33111299999999999</v>
      </c>
      <c r="D507" s="1">
        <f>IF(B507&gt;C507,B507-C507,C507-B507)</f>
        <v>2.6559999999999917E-3</v>
      </c>
      <c r="E507">
        <f>MINUTE(D507)</f>
        <v>3</v>
      </c>
      <c r="F507">
        <f>SECOND(D507)</f>
        <v>49</v>
      </c>
      <c r="G507">
        <f>ROUND(E507+F507/60,2)</f>
        <v>3.82</v>
      </c>
      <c r="H507">
        <f>60*E507+F507</f>
        <v>229</v>
      </c>
      <c r="I507" s="3">
        <f>5*(3600/H507)</f>
        <v>78.602620087336248</v>
      </c>
      <c r="J507" s="16">
        <f t="shared" si="7"/>
        <v>0</v>
      </c>
    </row>
    <row r="508" spans="1:10" x14ac:dyDescent="0.25">
      <c r="A508" s="4" t="s">
        <v>334</v>
      </c>
      <c r="B508" s="1">
        <v>0.14686399999999999</v>
      </c>
      <c r="C508" s="1">
        <v>0.14951200000000001</v>
      </c>
      <c r="D508" s="1">
        <f>IF(B508&gt;C508,B508-C508,C508-B508)</f>
        <v>2.6480000000000115E-3</v>
      </c>
      <c r="E508">
        <f>MINUTE(D508)</f>
        <v>3</v>
      </c>
      <c r="F508">
        <f>SECOND(D508)</f>
        <v>49</v>
      </c>
      <c r="G508">
        <f>ROUND(E508+F508/60,2)</f>
        <v>3.82</v>
      </c>
      <c r="H508">
        <f>60*E508+F508</f>
        <v>229</v>
      </c>
      <c r="I508" s="3">
        <f>5*(3600/H508)</f>
        <v>78.602620087336248</v>
      </c>
      <c r="J508" s="16">
        <f t="shared" si="7"/>
        <v>0</v>
      </c>
    </row>
    <row r="509" spans="1:10" x14ac:dyDescent="0.25">
      <c r="A509" s="4" t="s">
        <v>41</v>
      </c>
      <c r="B509" s="1">
        <v>0.79450500000000002</v>
      </c>
      <c r="C509" s="1">
        <v>0.79184500000000002</v>
      </c>
      <c r="D509" s="1">
        <f>IF(B509&gt;C509,B509-C509,C509-B509)</f>
        <v>2.6599999999999957E-3</v>
      </c>
      <c r="E509">
        <f>MINUTE(D509)</f>
        <v>3</v>
      </c>
      <c r="F509">
        <f>SECOND(D509)</f>
        <v>50</v>
      </c>
      <c r="G509">
        <f>ROUND(E509+F509/60,2)</f>
        <v>3.83</v>
      </c>
      <c r="H509">
        <f>60*E509+F509</f>
        <v>230</v>
      </c>
      <c r="I509" s="3">
        <f>5*(3600/H509)</f>
        <v>78.260869565217391</v>
      </c>
      <c r="J509" s="16">
        <f t="shared" si="7"/>
        <v>0</v>
      </c>
    </row>
    <row r="510" spans="1:10" x14ac:dyDescent="0.25">
      <c r="A510" s="4" t="s">
        <v>15</v>
      </c>
      <c r="B510" s="1">
        <v>0.66593500000000005</v>
      </c>
      <c r="C510" s="1">
        <v>0.66326300000000005</v>
      </c>
      <c r="D510" s="1">
        <f>IF(B510&gt;C510,B510-C510,C510-B510)</f>
        <v>2.6720000000000077E-3</v>
      </c>
      <c r="E510">
        <f>MINUTE(D510)</f>
        <v>3</v>
      </c>
      <c r="F510">
        <f>SECOND(D510)</f>
        <v>51</v>
      </c>
      <c r="G510">
        <f>ROUND(E510+F510/60,2)</f>
        <v>3.85</v>
      </c>
      <c r="H510">
        <f>60*E510+F510</f>
        <v>231</v>
      </c>
      <c r="I510" s="3">
        <f>5*(3600/H510)</f>
        <v>77.922077922077918</v>
      </c>
      <c r="J510" s="16">
        <f t="shared" si="7"/>
        <v>0</v>
      </c>
    </row>
    <row r="511" spans="1:10" x14ac:dyDescent="0.25">
      <c r="A511" s="4" t="s">
        <v>32</v>
      </c>
      <c r="B511" s="1">
        <v>0.959372</v>
      </c>
      <c r="C511" s="1">
        <v>0.956704</v>
      </c>
      <c r="D511" s="1">
        <f>IF(B511&gt;C511,B511-C511,C511-B511)</f>
        <v>2.6680000000000037E-3</v>
      </c>
      <c r="E511">
        <f>MINUTE(D511)</f>
        <v>3</v>
      </c>
      <c r="F511">
        <f>SECOND(D511)</f>
        <v>51</v>
      </c>
      <c r="G511">
        <f>ROUND(E511+F511/60,2)</f>
        <v>3.85</v>
      </c>
      <c r="H511">
        <f>60*E511+F511</f>
        <v>231</v>
      </c>
      <c r="I511" s="3">
        <f>5*(3600/H511)</f>
        <v>77.922077922077918</v>
      </c>
      <c r="J511" s="16">
        <f t="shared" si="7"/>
        <v>0</v>
      </c>
    </row>
    <row r="512" spans="1:10" x14ac:dyDescent="0.25">
      <c r="A512" s="4" t="s">
        <v>53</v>
      </c>
      <c r="B512" s="1">
        <v>0.83620700000000003</v>
      </c>
      <c r="C512" s="1">
        <v>0.83887500000000004</v>
      </c>
      <c r="D512" s="1">
        <f>IF(B512&gt;C512,B512-C512,C512-B512)</f>
        <v>2.6680000000000037E-3</v>
      </c>
      <c r="E512">
        <f>MINUTE(D512)</f>
        <v>3</v>
      </c>
      <c r="F512">
        <f>SECOND(D512)</f>
        <v>51</v>
      </c>
      <c r="G512">
        <f>ROUND(E512+F512/60,2)</f>
        <v>3.85</v>
      </c>
      <c r="H512">
        <f>60*E512+F512</f>
        <v>231</v>
      </c>
      <c r="I512" s="3">
        <f>5*(3600/H512)</f>
        <v>77.922077922077918</v>
      </c>
      <c r="J512" s="16">
        <f t="shared" si="7"/>
        <v>0</v>
      </c>
    </row>
    <row r="513" spans="1:10" x14ac:dyDescent="0.25">
      <c r="A513" s="4" t="s">
        <v>90</v>
      </c>
      <c r="B513" s="1">
        <v>2.0478E-2</v>
      </c>
      <c r="C513" s="1">
        <v>1.7805999999999999E-2</v>
      </c>
      <c r="D513" s="1">
        <f>IF(B513&gt;C513,B513-C513,C513-B513)</f>
        <v>2.6720000000000008E-3</v>
      </c>
      <c r="E513">
        <f>MINUTE(D513)</f>
        <v>3</v>
      </c>
      <c r="F513">
        <f>SECOND(D513)</f>
        <v>51</v>
      </c>
      <c r="G513">
        <f>ROUND(E513+F513/60,2)</f>
        <v>3.85</v>
      </c>
      <c r="H513">
        <f>60*E513+F513</f>
        <v>231</v>
      </c>
      <c r="I513" s="3">
        <f>5*(3600/H513)</f>
        <v>77.922077922077918</v>
      </c>
      <c r="J513" s="16">
        <f t="shared" si="7"/>
        <v>0</v>
      </c>
    </row>
    <row r="514" spans="1:10" x14ac:dyDescent="0.25">
      <c r="A514" s="4" t="s">
        <v>74</v>
      </c>
      <c r="B514" s="1">
        <v>0.170068</v>
      </c>
      <c r="C514" s="1">
        <v>0.16739599999999999</v>
      </c>
      <c r="D514" s="1">
        <f>IF(B514&gt;C514,B514-C514,C514-B514)</f>
        <v>2.6720000000000077E-3</v>
      </c>
      <c r="E514">
        <f>MINUTE(D514)</f>
        <v>3</v>
      </c>
      <c r="F514">
        <f>SECOND(D514)</f>
        <v>51</v>
      </c>
      <c r="G514">
        <f>ROUND(E514+F514/60,2)</f>
        <v>3.85</v>
      </c>
      <c r="H514">
        <f>60*E514+F514</f>
        <v>231</v>
      </c>
      <c r="I514" s="3">
        <f>5*(3600/H514)</f>
        <v>77.922077922077918</v>
      </c>
      <c r="J514" s="16">
        <f t="shared" si="7"/>
        <v>0</v>
      </c>
    </row>
    <row r="515" spans="1:10" x14ac:dyDescent="0.25">
      <c r="A515" s="4" t="s">
        <v>47</v>
      </c>
      <c r="B515" s="1">
        <v>0.95486300000000002</v>
      </c>
      <c r="C515" s="1">
        <v>0.95218700000000001</v>
      </c>
      <c r="D515" s="1">
        <f>IF(B515&gt;C515,B515-C515,C515-B515)</f>
        <v>2.6760000000000117E-3</v>
      </c>
      <c r="E515">
        <f>MINUTE(D515)</f>
        <v>3</v>
      </c>
      <c r="F515">
        <f>SECOND(D515)</f>
        <v>51</v>
      </c>
      <c r="G515">
        <f>ROUND(E515+F515/60,2)</f>
        <v>3.85</v>
      </c>
      <c r="H515">
        <f>60*E515+F515</f>
        <v>231</v>
      </c>
      <c r="I515" s="3">
        <f>5*(3600/H515)</f>
        <v>77.922077922077918</v>
      </c>
      <c r="J515" s="16">
        <f t="shared" ref="J515:J578" si="8">IF(I515&gt;140,1,0)</f>
        <v>0</v>
      </c>
    </row>
    <row r="516" spans="1:10" x14ac:dyDescent="0.25">
      <c r="A516" s="4" t="s">
        <v>216</v>
      </c>
      <c r="B516" s="1">
        <v>0.21799099999999999</v>
      </c>
      <c r="C516" s="1">
        <v>0.21532299999999999</v>
      </c>
      <c r="D516" s="1">
        <f>IF(B516&gt;C516,B516-C516,C516-B516)</f>
        <v>2.6680000000000037E-3</v>
      </c>
      <c r="E516">
        <f>MINUTE(D516)</f>
        <v>3</v>
      </c>
      <c r="F516">
        <f>SECOND(D516)</f>
        <v>51</v>
      </c>
      <c r="G516">
        <f>ROUND(E516+F516/60,2)</f>
        <v>3.85</v>
      </c>
      <c r="H516">
        <f>60*E516+F516</f>
        <v>231</v>
      </c>
      <c r="I516" s="3">
        <f>5*(3600/H516)</f>
        <v>77.922077922077918</v>
      </c>
      <c r="J516" s="16">
        <f t="shared" si="8"/>
        <v>0</v>
      </c>
    </row>
    <row r="517" spans="1:10" x14ac:dyDescent="0.25">
      <c r="A517" s="4" t="s">
        <v>248</v>
      </c>
      <c r="B517" s="1">
        <v>0.27788099999999999</v>
      </c>
      <c r="C517" s="1">
        <v>0.280553</v>
      </c>
      <c r="D517" s="1">
        <f>IF(B517&gt;C517,B517-C517,C517-B517)</f>
        <v>2.6720000000000077E-3</v>
      </c>
      <c r="E517">
        <f>MINUTE(D517)</f>
        <v>3</v>
      </c>
      <c r="F517">
        <f>SECOND(D517)</f>
        <v>51</v>
      </c>
      <c r="G517">
        <f>ROUND(E517+F517/60,2)</f>
        <v>3.85</v>
      </c>
      <c r="H517">
        <f>60*E517+F517</f>
        <v>231</v>
      </c>
      <c r="I517" s="3">
        <f>5*(3600/H517)</f>
        <v>77.922077922077918</v>
      </c>
      <c r="J517" s="16">
        <f t="shared" si="8"/>
        <v>0</v>
      </c>
    </row>
    <row r="518" spans="1:10" x14ac:dyDescent="0.25">
      <c r="A518" s="4" t="s">
        <v>83</v>
      </c>
      <c r="B518" s="1">
        <v>0.80414699999999995</v>
      </c>
      <c r="C518" s="1">
        <v>0.80682699999999996</v>
      </c>
      <c r="D518" s="1">
        <f>IF(B518&gt;C518,B518-C518,C518-B518)</f>
        <v>2.6800000000000157E-3</v>
      </c>
      <c r="E518">
        <f>MINUTE(D518)</f>
        <v>3</v>
      </c>
      <c r="F518">
        <f>SECOND(D518)</f>
        <v>52</v>
      </c>
      <c r="G518">
        <f>ROUND(E518+F518/60,2)</f>
        <v>3.87</v>
      </c>
      <c r="H518">
        <f>60*E518+F518</f>
        <v>232</v>
      </c>
      <c r="I518" s="3">
        <f>5*(3600/H518)</f>
        <v>77.58620689655173</v>
      </c>
      <c r="J518" s="16">
        <f t="shared" si="8"/>
        <v>0</v>
      </c>
    </row>
    <row r="519" spans="1:10" x14ac:dyDescent="0.25">
      <c r="A519" s="4" t="s">
        <v>64</v>
      </c>
      <c r="B519" s="1">
        <v>0.99943800000000005</v>
      </c>
      <c r="C519" s="1">
        <v>0.99675400000000003</v>
      </c>
      <c r="D519" s="1">
        <f>IF(B519&gt;C519,B519-C519,C519-B519)</f>
        <v>2.6840000000000197E-3</v>
      </c>
      <c r="E519">
        <f>MINUTE(D519)</f>
        <v>3</v>
      </c>
      <c r="F519">
        <f>SECOND(D519)</f>
        <v>52</v>
      </c>
      <c r="G519">
        <f>ROUND(E519+F519/60,2)</f>
        <v>3.87</v>
      </c>
      <c r="H519">
        <f>60*E519+F519</f>
        <v>232</v>
      </c>
      <c r="I519" s="3">
        <f>5*(3600/H519)</f>
        <v>77.58620689655173</v>
      </c>
      <c r="J519" s="16">
        <f t="shared" si="8"/>
        <v>0</v>
      </c>
    </row>
    <row r="520" spans="1:10" x14ac:dyDescent="0.25">
      <c r="A520" s="4" t="s">
        <v>47</v>
      </c>
      <c r="B520" s="1">
        <v>0.807975</v>
      </c>
      <c r="C520" s="1">
        <v>0.80529099999999998</v>
      </c>
      <c r="D520" s="1">
        <f>IF(B520&gt;C520,B520-C520,C520-B520)</f>
        <v>2.6840000000000197E-3</v>
      </c>
      <c r="E520">
        <f>MINUTE(D520)</f>
        <v>3</v>
      </c>
      <c r="F520">
        <f>SECOND(D520)</f>
        <v>52</v>
      </c>
      <c r="G520">
        <f>ROUND(E520+F520/60,2)</f>
        <v>3.87</v>
      </c>
      <c r="H520">
        <f>60*E520+F520</f>
        <v>232</v>
      </c>
      <c r="I520" s="3">
        <f>5*(3600/H520)</f>
        <v>77.58620689655173</v>
      </c>
      <c r="J520" s="16">
        <f t="shared" si="8"/>
        <v>0</v>
      </c>
    </row>
    <row r="521" spans="1:10" x14ac:dyDescent="0.25">
      <c r="A521" s="4" t="s">
        <v>104</v>
      </c>
      <c r="B521" s="1">
        <v>0.18839400000000001</v>
      </c>
      <c r="C521" s="1">
        <v>0.191078</v>
      </c>
      <c r="D521" s="1">
        <f>IF(B521&gt;C521,B521-C521,C521-B521)</f>
        <v>2.6839999999999919E-3</v>
      </c>
      <c r="E521">
        <f>MINUTE(D521)</f>
        <v>3</v>
      </c>
      <c r="F521">
        <f>SECOND(D521)</f>
        <v>52</v>
      </c>
      <c r="G521">
        <f>ROUND(E521+F521/60,2)</f>
        <v>3.87</v>
      </c>
      <c r="H521">
        <f>60*E521+F521</f>
        <v>232</v>
      </c>
      <c r="I521" s="3">
        <f>5*(3600/H521)</f>
        <v>77.58620689655173</v>
      </c>
      <c r="J521" s="16">
        <f t="shared" si="8"/>
        <v>0</v>
      </c>
    </row>
    <row r="522" spans="1:10" x14ac:dyDescent="0.25">
      <c r="A522" s="4" t="s">
        <v>87</v>
      </c>
      <c r="B522" s="1">
        <v>0.32229000000000002</v>
      </c>
      <c r="C522" s="1">
        <v>0.31961000000000001</v>
      </c>
      <c r="D522" s="1">
        <f>IF(B522&gt;C522,B522-C522,C522-B522)</f>
        <v>2.6800000000000157E-3</v>
      </c>
      <c r="E522">
        <f>MINUTE(D522)</f>
        <v>3</v>
      </c>
      <c r="F522">
        <f>SECOND(D522)</f>
        <v>52</v>
      </c>
      <c r="G522">
        <f>ROUND(E522+F522/60,2)</f>
        <v>3.87</v>
      </c>
      <c r="H522">
        <f>60*E522+F522</f>
        <v>232</v>
      </c>
      <c r="I522" s="3">
        <f>5*(3600/H522)</f>
        <v>77.58620689655173</v>
      </c>
      <c r="J522" s="16">
        <f t="shared" si="8"/>
        <v>0</v>
      </c>
    </row>
    <row r="523" spans="1:10" x14ac:dyDescent="0.25">
      <c r="A523" s="4" t="s">
        <v>290</v>
      </c>
      <c r="B523" s="1">
        <v>0.78090099999999996</v>
      </c>
      <c r="C523" s="1">
        <v>0.77821700000000005</v>
      </c>
      <c r="D523" s="1">
        <f>IF(B523&gt;C523,B523-C523,C523-B523)</f>
        <v>2.6839999999999087E-3</v>
      </c>
      <c r="E523">
        <f>MINUTE(D523)</f>
        <v>3</v>
      </c>
      <c r="F523">
        <f>SECOND(D523)</f>
        <v>52</v>
      </c>
      <c r="G523">
        <f>ROUND(E523+F523/60,2)</f>
        <v>3.87</v>
      </c>
      <c r="H523">
        <f>60*E523+F523</f>
        <v>232</v>
      </c>
      <c r="I523" s="3">
        <f>5*(3600/H523)</f>
        <v>77.58620689655173</v>
      </c>
      <c r="J523" s="16">
        <f t="shared" si="8"/>
        <v>0</v>
      </c>
    </row>
    <row r="524" spans="1:10" x14ac:dyDescent="0.25">
      <c r="A524" s="4" t="s">
        <v>105</v>
      </c>
      <c r="B524" s="1">
        <v>9.3122999999999997E-2</v>
      </c>
      <c r="C524" s="1">
        <v>9.0423000000000003E-2</v>
      </c>
      <c r="D524" s="1">
        <f>IF(B524&gt;C524,B524-C524,C524-B524)</f>
        <v>2.6999999999999941E-3</v>
      </c>
      <c r="E524">
        <f>MINUTE(D524)</f>
        <v>3</v>
      </c>
      <c r="F524">
        <f>SECOND(D524)</f>
        <v>53</v>
      </c>
      <c r="G524">
        <f>ROUND(E524+F524/60,2)</f>
        <v>3.88</v>
      </c>
      <c r="H524">
        <f>60*E524+F524</f>
        <v>233</v>
      </c>
      <c r="I524" s="3">
        <f>5*(3600/H524)</f>
        <v>77.253218884120173</v>
      </c>
      <c r="J524" s="16">
        <f t="shared" si="8"/>
        <v>0</v>
      </c>
    </row>
    <row r="525" spans="1:10" x14ac:dyDescent="0.25">
      <c r="A525" s="4" t="s">
        <v>38</v>
      </c>
      <c r="B525" s="1">
        <v>0.14195199999999999</v>
      </c>
      <c r="C525" s="1">
        <v>0.13925599999999999</v>
      </c>
      <c r="D525" s="1">
        <f>IF(B525&gt;C525,B525-C525,C525-B525)</f>
        <v>2.6960000000000039E-3</v>
      </c>
      <c r="E525">
        <f>MINUTE(D525)</f>
        <v>3</v>
      </c>
      <c r="F525">
        <f>SECOND(D525)</f>
        <v>53</v>
      </c>
      <c r="G525">
        <f>ROUND(E525+F525/60,2)</f>
        <v>3.88</v>
      </c>
      <c r="H525">
        <f>60*E525+F525</f>
        <v>233</v>
      </c>
      <c r="I525" s="3">
        <f>5*(3600/H525)</f>
        <v>77.253218884120173</v>
      </c>
      <c r="J525" s="16">
        <f t="shared" si="8"/>
        <v>0</v>
      </c>
    </row>
    <row r="526" spans="1:10" x14ac:dyDescent="0.25">
      <c r="A526" s="4" t="s">
        <v>331</v>
      </c>
      <c r="B526" s="1">
        <v>0.10241</v>
      </c>
      <c r="C526" s="1">
        <v>9.9713999999999997E-2</v>
      </c>
      <c r="D526" s="1">
        <f>IF(B526&gt;C526,B526-C526,C526-B526)</f>
        <v>2.6960000000000039E-3</v>
      </c>
      <c r="E526">
        <f>MINUTE(D526)</f>
        <v>3</v>
      </c>
      <c r="F526">
        <f>SECOND(D526)</f>
        <v>53</v>
      </c>
      <c r="G526">
        <f>ROUND(E526+F526/60,2)</f>
        <v>3.88</v>
      </c>
      <c r="H526">
        <f>60*E526+F526</f>
        <v>233</v>
      </c>
      <c r="I526" s="3">
        <f>5*(3600/H526)</f>
        <v>77.253218884120173</v>
      </c>
      <c r="J526" s="16">
        <f t="shared" si="8"/>
        <v>0</v>
      </c>
    </row>
    <row r="527" spans="1:10" x14ac:dyDescent="0.25">
      <c r="A527" s="4" t="s">
        <v>10</v>
      </c>
      <c r="B527" s="1">
        <v>0.53941499999999998</v>
      </c>
      <c r="C527" s="1">
        <v>0.53671100000000005</v>
      </c>
      <c r="D527" s="1">
        <f>IF(B527&gt;C527,B527-C527,C527-B527)</f>
        <v>2.7039999999999287E-3</v>
      </c>
      <c r="E527">
        <f>MINUTE(D527)</f>
        <v>3</v>
      </c>
      <c r="F527">
        <f>SECOND(D527)</f>
        <v>54</v>
      </c>
      <c r="G527">
        <f>ROUND(E527+F527/60,2)</f>
        <v>3.9</v>
      </c>
      <c r="H527">
        <f>60*E527+F527</f>
        <v>234</v>
      </c>
      <c r="I527" s="3">
        <f>5*(3600/H527)</f>
        <v>76.92307692307692</v>
      </c>
      <c r="J527" s="16">
        <f t="shared" si="8"/>
        <v>0</v>
      </c>
    </row>
    <row r="528" spans="1:10" x14ac:dyDescent="0.25">
      <c r="A528" s="4" t="s">
        <v>94</v>
      </c>
      <c r="B528" s="1">
        <v>0.44351000000000002</v>
      </c>
      <c r="C528" s="1">
        <v>0.44622200000000001</v>
      </c>
      <c r="D528" s="1">
        <f>IF(B528&gt;C528,B528-C528,C528-B528)</f>
        <v>2.7119999999999922E-3</v>
      </c>
      <c r="E528">
        <f>MINUTE(D528)</f>
        <v>3</v>
      </c>
      <c r="F528">
        <f>SECOND(D528)</f>
        <v>54</v>
      </c>
      <c r="G528">
        <f>ROUND(E528+F528/60,2)</f>
        <v>3.9</v>
      </c>
      <c r="H528">
        <f>60*E528+F528</f>
        <v>234</v>
      </c>
      <c r="I528" s="3">
        <f>5*(3600/H528)</f>
        <v>76.92307692307692</v>
      </c>
      <c r="J528" s="16">
        <f t="shared" si="8"/>
        <v>0</v>
      </c>
    </row>
    <row r="529" spans="1:10" x14ac:dyDescent="0.25">
      <c r="A529" s="4" t="s">
        <v>155</v>
      </c>
      <c r="B529" s="1">
        <v>0.247169</v>
      </c>
      <c r="C529" s="1">
        <v>0.24446100000000001</v>
      </c>
      <c r="D529" s="1">
        <f>IF(B529&gt;C529,B529-C529,C529-B529)</f>
        <v>2.7079999999999882E-3</v>
      </c>
      <c r="E529">
        <f>MINUTE(D529)</f>
        <v>3</v>
      </c>
      <c r="F529">
        <f>SECOND(D529)</f>
        <v>54</v>
      </c>
      <c r="G529">
        <f>ROUND(E529+F529/60,2)</f>
        <v>3.9</v>
      </c>
      <c r="H529">
        <f>60*E529+F529</f>
        <v>234</v>
      </c>
      <c r="I529" s="3">
        <f>5*(3600/H529)</f>
        <v>76.92307692307692</v>
      </c>
      <c r="J529" s="16">
        <f t="shared" si="8"/>
        <v>0</v>
      </c>
    </row>
    <row r="530" spans="1:10" x14ac:dyDescent="0.25">
      <c r="A530" s="4" t="s">
        <v>16</v>
      </c>
      <c r="B530" s="1">
        <v>0.82084800000000002</v>
      </c>
      <c r="C530" s="1">
        <v>0.81814399999999998</v>
      </c>
      <c r="D530" s="1">
        <f>IF(B530&gt;C530,B530-C530,C530-B530)</f>
        <v>2.7040000000000397E-3</v>
      </c>
      <c r="E530">
        <f>MINUTE(D530)</f>
        <v>3</v>
      </c>
      <c r="F530">
        <f>SECOND(D530)</f>
        <v>54</v>
      </c>
      <c r="G530">
        <f>ROUND(E530+F530/60,2)</f>
        <v>3.9</v>
      </c>
      <c r="H530">
        <f>60*E530+F530</f>
        <v>234</v>
      </c>
      <c r="I530" s="3">
        <f>5*(3600/H530)</f>
        <v>76.92307692307692</v>
      </c>
      <c r="J530" s="16">
        <f t="shared" si="8"/>
        <v>0</v>
      </c>
    </row>
    <row r="531" spans="1:10" x14ac:dyDescent="0.25">
      <c r="A531" s="4" t="s">
        <v>178</v>
      </c>
      <c r="B531" s="1">
        <v>0.52383800000000003</v>
      </c>
      <c r="C531" s="1">
        <v>0.52654999999999996</v>
      </c>
      <c r="D531" s="1">
        <f>IF(B531&gt;C531,B531-C531,C531-B531)</f>
        <v>2.7119999999999367E-3</v>
      </c>
      <c r="E531">
        <f>MINUTE(D531)</f>
        <v>3</v>
      </c>
      <c r="F531">
        <f>SECOND(D531)</f>
        <v>54</v>
      </c>
      <c r="G531">
        <f>ROUND(E531+F531/60,2)</f>
        <v>3.9</v>
      </c>
      <c r="H531">
        <f>60*E531+F531</f>
        <v>234</v>
      </c>
      <c r="I531" s="3">
        <f>5*(3600/H531)</f>
        <v>76.92307692307692</v>
      </c>
      <c r="J531" s="16">
        <f t="shared" si="8"/>
        <v>0</v>
      </c>
    </row>
    <row r="532" spans="1:10" x14ac:dyDescent="0.25">
      <c r="A532" s="4" t="s">
        <v>21</v>
      </c>
      <c r="B532" s="1">
        <v>0.54036300000000004</v>
      </c>
      <c r="C532" s="1">
        <v>0.54307099999999997</v>
      </c>
      <c r="D532" s="1">
        <f>IF(B532&gt;C532,B532-C532,C532-B532)</f>
        <v>2.7079999999999327E-3</v>
      </c>
      <c r="E532">
        <f>MINUTE(D532)</f>
        <v>3</v>
      </c>
      <c r="F532">
        <f>SECOND(D532)</f>
        <v>54</v>
      </c>
      <c r="G532">
        <f>ROUND(E532+F532/60,2)</f>
        <v>3.9</v>
      </c>
      <c r="H532">
        <f>60*E532+F532</f>
        <v>234</v>
      </c>
      <c r="I532" s="3">
        <f>5*(3600/H532)</f>
        <v>76.92307692307692</v>
      </c>
      <c r="J532" s="16">
        <f t="shared" si="8"/>
        <v>0</v>
      </c>
    </row>
    <row r="533" spans="1:10" x14ac:dyDescent="0.25">
      <c r="A533" s="4" t="s">
        <v>182</v>
      </c>
      <c r="B533" s="1">
        <v>0.83426</v>
      </c>
      <c r="C533" s="1">
        <v>0.83696800000000005</v>
      </c>
      <c r="D533" s="1">
        <f>IF(B533&gt;C533,B533-C533,C533-B533)</f>
        <v>2.7080000000000437E-3</v>
      </c>
      <c r="E533">
        <f>MINUTE(D533)</f>
        <v>3</v>
      </c>
      <c r="F533">
        <f>SECOND(D533)</f>
        <v>54</v>
      </c>
      <c r="G533">
        <f>ROUND(E533+F533/60,2)</f>
        <v>3.9</v>
      </c>
      <c r="H533">
        <f>60*E533+F533</f>
        <v>234</v>
      </c>
      <c r="I533" s="3">
        <f>5*(3600/H533)</f>
        <v>76.92307692307692</v>
      </c>
      <c r="J533" s="16">
        <f t="shared" si="8"/>
        <v>0</v>
      </c>
    </row>
    <row r="534" spans="1:10" x14ac:dyDescent="0.25">
      <c r="A534" s="4" t="s">
        <v>399</v>
      </c>
      <c r="B534" s="1">
        <v>0.86035300000000003</v>
      </c>
      <c r="C534" s="1">
        <v>0.86306099999999997</v>
      </c>
      <c r="D534" s="1">
        <f>IF(B534&gt;C534,B534-C534,C534-B534)</f>
        <v>2.7079999999999327E-3</v>
      </c>
      <c r="E534">
        <f>MINUTE(D534)</f>
        <v>3</v>
      </c>
      <c r="F534">
        <f>SECOND(D534)</f>
        <v>54</v>
      </c>
      <c r="G534">
        <f>ROUND(E534+F534/60,2)</f>
        <v>3.9</v>
      </c>
      <c r="H534">
        <f>60*E534+F534</f>
        <v>234</v>
      </c>
      <c r="I534" s="3">
        <f>5*(3600/H534)</f>
        <v>76.92307692307692</v>
      </c>
      <c r="J534" s="16">
        <f t="shared" si="8"/>
        <v>0</v>
      </c>
    </row>
    <row r="535" spans="1:10" x14ac:dyDescent="0.25">
      <c r="A535" s="4" t="s">
        <v>160</v>
      </c>
      <c r="B535" s="1">
        <v>0.46384300000000001</v>
      </c>
      <c r="C535" s="1">
        <v>0.46656300000000001</v>
      </c>
      <c r="D535" s="1">
        <f>IF(B535&gt;C535,B535-C535,C535-B535)</f>
        <v>2.7200000000000002E-3</v>
      </c>
      <c r="E535">
        <f>MINUTE(D535)</f>
        <v>3</v>
      </c>
      <c r="F535">
        <f>SECOND(D535)</f>
        <v>55</v>
      </c>
      <c r="G535">
        <f>ROUND(E535+F535/60,2)</f>
        <v>3.92</v>
      </c>
      <c r="H535">
        <f>60*E535+F535</f>
        <v>235</v>
      </c>
      <c r="I535" s="3">
        <f>5*(3600/H535)</f>
        <v>76.59574468085107</v>
      </c>
      <c r="J535" s="16">
        <f t="shared" si="8"/>
        <v>0</v>
      </c>
    </row>
    <row r="536" spans="1:10" x14ac:dyDescent="0.25">
      <c r="A536" s="4" t="s">
        <v>47</v>
      </c>
      <c r="B536" s="1">
        <v>0.85342399999999996</v>
      </c>
      <c r="C536" s="1">
        <v>0.85614800000000002</v>
      </c>
      <c r="D536" s="1">
        <f>IF(B536&gt;C536,B536-C536,C536-B536)</f>
        <v>2.7240000000000597E-3</v>
      </c>
      <c r="E536">
        <f>MINUTE(D536)</f>
        <v>3</v>
      </c>
      <c r="F536">
        <f>SECOND(D536)</f>
        <v>55</v>
      </c>
      <c r="G536">
        <f>ROUND(E536+F536/60,2)</f>
        <v>3.92</v>
      </c>
      <c r="H536">
        <f>60*E536+F536</f>
        <v>235</v>
      </c>
      <c r="I536" s="3">
        <f>5*(3600/H536)</f>
        <v>76.59574468085107</v>
      </c>
      <c r="J536" s="16">
        <f t="shared" si="8"/>
        <v>0</v>
      </c>
    </row>
    <row r="537" spans="1:10" x14ac:dyDescent="0.25">
      <c r="A537" s="4" t="s">
        <v>139</v>
      </c>
      <c r="B537" s="1">
        <v>0.89180499999999996</v>
      </c>
      <c r="C537" s="1">
        <v>0.89452100000000001</v>
      </c>
      <c r="D537" s="1">
        <f>IF(B537&gt;C537,B537-C537,C537-B537)</f>
        <v>2.7160000000000517E-3</v>
      </c>
      <c r="E537">
        <f>MINUTE(D537)</f>
        <v>3</v>
      </c>
      <c r="F537">
        <f>SECOND(D537)</f>
        <v>55</v>
      </c>
      <c r="G537">
        <f>ROUND(E537+F537/60,2)</f>
        <v>3.92</v>
      </c>
      <c r="H537">
        <f>60*E537+F537</f>
        <v>235</v>
      </c>
      <c r="I537" s="3">
        <f>5*(3600/H537)</f>
        <v>76.59574468085107</v>
      </c>
      <c r="J537" s="16">
        <f t="shared" si="8"/>
        <v>0</v>
      </c>
    </row>
    <row r="538" spans="1:10" x14ac:dyDescent="0.25">
      <c r="A538" s="4" t="s">
        <v>144</v>
      </c>
      <c r="B538" s="1">
        <v>3.9156999999999997E-2</v>
      </c>
      <c r="C538" s="1">
        <v>4.1876999999999998E-2</v>
      </c>
      <c r="D538" s="1">
        <f>IF(B538&gt;C538,B538-C538,C538-B538)</f>
        <v>2.7200000000000002E-3</v>
      </c>
      <c r="E538">
        <f>MINUTE(D538)</f>
        <v>3</v>
      </c>
      <c r="F538">
        <f>SECOND(D538)</f>
        <v>55</v>
      </c>
      <c r="G538">
        <f>ROUND(E538+F538/60,2)</f>
        <v>3.92</v>
      </c>
      <c r="H538">
        <f>60*E538+F538</f>
        <v>235</v>
      </c>
      <c r="I538" s="3">
        <f>5*(3600/H538)</f>
        <v>76.59574468085107</v>
      </c>
      <c r="J538" s="16">
        <f t="shared" si="8"/>
        <v>0</v>
      </c>
    </row>
    <row r="539" spans="1:10" x14ac:dyDescent="0.25">
      <c r="A539" s="4" t="s">
        <v>156</v>
      </c>
      <c r="B539" s="1">
        <v>0.77753799999999995</v>
      </c>
      <c r="C539" s="1">
        <v>0.774814</v>
      </c>
      <c r="D539" s="1">
        <f>IF(B539&gt;C539,B539-C539,C539-B539)</f>
        <v>2.7239999999999487E-3</v>
      </c>
      <c r="E539">
        <f>MINUTE(D539)</f>
        <v>3</v>
      </c>
      <c r="F539">
        <f>SECOND(D539)</f>
        <v>55</v>
      </c>
      <c r="G539">
        <f>ROUND(E539+F539/60,2)</f>
        <v>3.92</v>
      </c>
      <c r="H539">
        <f>60*E539+F539</f>
        <v>235</v>
      </c>
      <c r="I539" s="3">
        <f>5*(3600/H539)</f>
        <v>76.59574468085107</v>
      </c>
      <c r="J539" s="16">
        <f t="shared" si="8"/>
        <v>0</v>
      </c>
    </row>
    <row r="540" spans="1:10" x14ac:dyDescent="0.25">
      <c r="A540" s="4" t="s">
        <v>5</v>
      </c>
      <c r="B540" s="1">
        <v>0.98460700000000001</v>
      </c>
      <c r="C540" s="1">
        <v>0.98188699999999995</v>
      </c>
      <c r="D540" s="1">
        <f>IF(B540&gt;C540,B540-C540,C540-B540)</f>
        <v>2.7200000000000557E-3</v>
      </c>
      <c r="E540">
        <f>MINUTE(D540)</f>
        <v>3</v>
      </c>
      <c r="F540">
        <f>SECOND(D540)</f>
        <v>55</v>
      </c>
      <c r="G540">
        <f>ROUND(E540+F540/60,2)</f>
        <v>3.92</v>
      </c>
      <c r="H540">
        <f>60*E540+F540</f>
        <v>235</v>
      </c>
      <c r="I540" s="3">
        <f>5*(3600/H540)</f>
        <v>76.59574468085107</v>
      </c>
      <c r="J540" s="16">
        <f t="shared" si="8"/>
        <v>0</v>
      </c>
    </row>
    <row r="541" spans="1:10" x14ac:dyDescent="0.25">
      <c r="A541" s="4" t="s">
        <v>5</v>
      </c>
      <c r="B541" s="1">
        <v>0.85437099999999999</v>
      </c>
      <c r="C541" s="1">
        <v>0.85165500000000005</v>
      </c>
      <c r="D541" s="1">
        <f>IF(B541&gt;C541,B541-C541,C541-B541)</f>
        <v>2.7159999999999407E-3</v>
      </c>
      <c r="E541">
        <f>MINUTE(D541)</f>
        <v>3</v>
      </c>
      <c r="F541">
        <f>SECOND(D541)</f>
        <v>55</v>
      </c>
      <c r="G541">
        <f>ROUND(E541+F541/60,2)</f>
        <v>3.92</v>
      </c>
      <c r="H541">
        <f>60*E541+F541</f>
        <v>235</v>
      </c>
      <c r="I541" s="3">
        <f>5*(3600/H541)</f>
        <v>76.59574468085107</v>
      </c>
      <c r="J541" s="16">
        <f t="shared" si="8"/>
        <v>0</v>
      </c>
    </row>
    <row r="542" spans="1:10" x14ac:dyDescent="0.25">
      <c r="A542" s="4" t="s">
        <v>123</v>
      </c>
      <c r="B542" s="1">
        <v>0.38374799999999998</v>
      </c>
      <c r="C542" s="1">
        <v>0.38646399999999997</v>
      </c>
      <c r="D542" s="1">
        <f>IF(B542&gt;C542,B542-C542,C542-B542)</f>
        <v>2.7159999999999962E-3</v>
      </c>
      <c r="E542">
        <f>MINUTE(D542)</f>
        <v>3</v>
      </c>
      <c r="F542">
        <f>SECOND(D542)</f>
        <v>55</v>
      </c>
      <c r="G542">
        <f>ROUND(E542+F542/60,2)</f>
        <v>3.92</v>
      </c>
      <c r="H542">
        <f>60*E542+F542</f>
        <v>235</v>
      </c>
      <c r="I542" s="3">
        <f>5*(3600/H542)</f>
        <v>76.59574468085107</v>
      </c>
      <c r="J542" s="16">
        <f t="shared" si="8"/>
        <v>0</v>
      </c>
    </row>
    <row r="543" spans="1:10" x14ac:dyDescent="0.25">
      <c r="A543" s="4" t="s">
        <v>155</v>
      </c>
      <c r="B543" s="1">
        <v>0.58026999999999995</v>
      </c>
      <c r="C543" s="1">
        <v>0.58299400000000001</v>
      </c>
      <c r="D543" s="1">
        <f>IF(B543&gt;C543,B543-C543,C543-B543)</f>
        <v>2.7240000000000597E-3</v>
      </c>
      <c r="E543">
        <f>MINUTE(D543)</f>
        <v>3</v>
      </c>
      <c r="F543">
        <f>SECOND(D543)</f>
        <v>55</v>
      </c>
      <c r="G543">
        <f>ROUND(E543+F543/60,2)</f>
        <v>3.92</v>
      </c>
      <c r="H543">
        <f>60*E543+F543</f>
        <v>235</v>
      </c>
      <c r="I543" s="3">
        <f>5*(3600/H543)</f>
        <v>76.59574468085107</v>
      </c>
      <c r="J543" s="16">
        <f t="shared" si="8"/>
        <v>0</v>
      </c>
    </row>
    <row r="544" spans="1:10" x14ac:dyDescent="0.25">
      <c r="A544" s="4" t="s">
        <v>256</v>
      </c>
      <c r="B544" s="1">
        <v>0.72481799999999996</v>
      </c>
      <c r="C544" s="1">
        <v>0.72209800000000002</v>
      </c>
      <c r="D544" s="1">
        <f>IF(B544&gt;C544,B544-C544,C544-B544)</f>
        <v>2.7199999999999447E-3</v>
      </c>
      <c r="E544">
        <f>MINUTE(D544)</f>
        <v>3</v>
      </c>
      <c r="F544">
        <f>SECOND(D544)</f>
        <v>55</v>
      </c>
      <c r="G544">
        <f>ROUND(E544+F544/60,2)</f>
        <v>3.92</v>
      </c>
      <c r="H544">
        <f>60*E544+F544</f>
        <v>235</v>
      </c>
      <c r="I544" s="3">
        <f>5*(3600/H544)</f>
        <v>76.59574468085107</v>
      </c>
      <c r="J544" s="16">
        <f t="shared" si="8"/>
        <v>0</v>
      </c>
    </row>
    <row r="545" spans="1:10" x14ac:dyDescent="0.25">
      <c r="A545" s="4" t="s">
        <v>70</v>
      </c>
      <c r="B545" s="1">
        <v>0.83702100000000002</v>
      </c>
      <c r="C545" s="1">
        <v>0.83974899999999997</v>
      </c>
      <c r="D545" s="1">
        <f>IF(B545&gt;C545,B545-C545,C545-B545)</f>
        <v>2.7279999999999527E-3</v>
      </c>
      <c r="E545">
        <f>MINUTE(D545)</f>
        <v>3</v>
      </c>
      <c r="F545">
        <f>SECOND(D545)</f>
        <v>56</v>
      </c>
      <c r="G545">
        <f>ROUND(E545+F545/60,2)</f>
        <v>3.93</v>
      </c>
      <c r="H545">
        <f>60*E545+F545</f>
        <v>236</v>
      </c>
      <c r="I545" s="3">
        <f>5*(3600/H545)</f>
        <v>76.271186440677965</v>
      </c>
      <c r="J545" s="16">
        <f t="shared" si="8"/>
        <v>0</v>
      </c>
    </row>
    <row r="546" spans="1:10" x14ac:dyDescent="0.25">
      <c r="A546" s="4" t="s">
        <v>109</v>
      </c>
      <c r="B546" s="1">
        <v>0.116871</v>
      </c>
      <c r="C546" s="1">
        <v>0.114135</v>
      </c>
      <c r="D546" s="1">
        <f>IF(B546&gt;C546,B546-C546,C546-B546)</f>
        <v>2.7360000000000023E-3</v>
      </c>
      <c r="E546">
        <f>MINUTE(D546)</f>
        <v>3</v>
      </c>
      <c r="F546">
        <f>SECOND(D546)</f>
        <v>56</v>
      </c>
      <c r="G546">
        <f>ROUND(E546+F546/60,2)</f>
        <v>3.93</v>
      </c>
      <c r="H546">
        <f>60*E546+F546</f>
        <v>236</v>
      </c>
      <c r="I546" s="3">
        <f>5*(3600/H546)</f>
        <v>76.271186440677965</v>
      </c>
      <c r="J546" s="16">
        <f t="shared" si="8"/>
        <v>0</v>
      </c>
    </row>
    <row r="547" spans="1:10" x14ac:dyDescent="0.25">
      <c r="A547" s="4" t="s">
        <v>27</v>
      </c>
      <c r="B547" s="1">
        <v>0.888069</v>
      </c>
      <c r="C547" s="1">
        <v>0.88534100000000004</v>
      </c>
      <c r="D547" s="1">
        <f>IF(B547&gt;C547,B547-C547,C547-B547)</f>
        <v>2.7279999999999527E-3</v>
      </c>
      <c r="E547">
        <f>MINUTE(D547)</f>
        <v>3</v>
      </c>
      <c r="F547">
        <f>SECOND(D547)</f>
        <v>56</v>
      </c>
      <c r="G547">
        <f>ROUND(E547+F547/60,2)</f>
        <v>3.93</v>
      </c>
      <c r="H547">
        <f>60*E547+F547</f>
        <v>236</v>
      </c>
      <c r="I547" s="3">
        <f>5*(3600/H547)</f>
        <v>76.271186440677965</v>
      </c>
      <c r="J547" s="16">
        <f t="shared" si="8"/>
        <v>0</v>
      </c>
    </row>
    <row r="548" spans="1:10" x14ac:dyDescent="0.25">
      <c r="A548" s="4" t="s">
        <v>44</v>
      </c>
      <c r="B548" s="1">
        <v>0.35200999999999999</v>
      </c>
      <c r="C548" s="1">
        <v>0.354738</v>
      </c>
      <c r="D548" s="1">
        <f>IF(B548&gt;C548,B548-C548,C548-B548)</f>
        <v>2.7280000000000082E-3</v>
      </c>
      <c r="E548">
        <f>MINUTE(D548)</f>
        <v>3</v>
      </c>
      <c r="F548">
        <f>SECOND(D548)</f>
        <v>56</v>
      </c>
      <c r="G548">
        <f>ROUND(E548+F548/60,2)</f>
        <v>3.93</v>
      </c>
      <c r="H548">
        <f>60*E548+F548</f>
        <v>236</v>
      </c>
      <c r="I548" s="3">
        <f>5*(3600/H548)</f>
        <v>76.271186440677965</v>
      </c>
      <c r="J548" s="16">
        <f t="shared" si="8"/>
        <v>0</v>
      </c>
    </row>
    <row r="549" spans="1:10" x14ac:dyDescent="0.25">
      <c r="A549" s="4" t="s">
        <v>60</v>
      </c>
      <c r="B549" s="1">
        <v>0.56916199999999995</v>
      </c>
      <c r="C549" s="1">
        <v>0.56642999999999999</v>
      </c>
      <c r="D549" s="1">
        <f>IF(B549&gt;C549,B549-C549,C549-B549)</f>
        <v>2.7319999999999567E-3</v>
      </c>
      <c r="E549">
        <f>MINUTE(D549)</f>
        <v>3</v>
      </c>
      <c r="F549">
        <f>SECOND(D549)</f>
        <v>56</v>
      </c>
      <c r="G549">
        <f>ROUND(E549+F549/60,2)</f>
        <v>3.93</v>
      </c>
      <c r="H549">
        <f>60*E549+F549</f>
        <v>236</v>
      </c>
      <c r="I549" s="3">
        <f>5*(3600/H549)</f>
        <v>76.271186440677965</v>
      </c>
      <c r="J549" s="16">
        <f t="shared" si="8"/>
        <v>0</v>
      </c>
    </row>
    <row r="550" spans="1:10" x14ac:dyDescent="0.25">
      <c r="A550" s="4" t="s">
        <v>142</v>
      </c>
      <c r="B550" s="1">
        <v>0.12570400000000001</v>
      </c>
      <c r="C550" s="1">
        <v>0.122964</v>
      </c>
      <c r="D550" s="1">
        <f>IF(B550&gt;C550,B550-C550,C550-B550)</f>
        <v>2.7400000000000063E-3</v>
      </c>
      <c r="E550">
        <f>MINUTE(D550)</f>
        <v>3</v>
      </c>
      <c r="F550">
        <f>SECOND(D550)</f>
        <v>57</v>
      </c>
      <c r="G550">
        <f>ROUND(E550+F550/60,2)</f>
        <v>3.95</v>
      </c>
      <c r="H550">
        <f>60*E550+F550</f>
        <v>237</v>
      </c>
      <c r="I550" s="3">
        <f>5*(3600/H550)</f>
        <v>75.949367088607588</v>
      </c>
      <c r="J550" s="16">
        <f t="shared" si="8"/>
        <v>0</v>
      </c>
    </row>
    <row r="551" spans="1:10" x14ac:dyDescent="0.25">
      <c r="A551" s="4" t="s">
        <v>7</v>
      </c>
      <c r="B551" s="1">
        <v>0.54949499999999996</v>
      </c>
      <c r="C551" s="1">
        <v>0.54675499999999999</v>
      </c>
      <c r="D551" s="1">
        <f>IF(B551&gt;C551,B551-C551,C551-B551)</f>
        <v>2.7399999999999647E-3</v>
      </c>
      <c r="E551">
        <f>MINUTE(D551)</f>
        <v>3</v>
      </c>
      <c r="F551">
        <f>SECOND(D551)</f>
        <v>57</v>
      </c>
      <c r="G551">
        <f>ROUND(E551+F551/60,2)</f>
        <v>3.95</v>
      </c>
      <c r="H551">
        <f>60*E551+F551</f>
        <v>237</v>
      </c>
      <c r="I551" s="3">
        <f>5*(3600/H551)</f>
        <v>75.949367088607588</v>
      </c>
      <c r="J551" s="16">
        <f t="shared" si="8"/>
        <v>0</v>
      </c>
    </row>
    <row r="552" spans="1:10" x14ac:dyDescent="0.25">
      <c r="A552" s="4" t="s">
        <v>27</v>
      </c>
      <c r="B552" s="1">
        <v>0.19815199999999999</v>
      </c>
      <c r="C552" s="1">
        <v>0.20089599999999999</v>
      </c>
      <c r="D552" s="1">
        <f>IF(B552&gt;C552,B552-C552,C552-B552)</f>
        <v>2.7439999999999964E-3</v>
      </c>
      <c r="E552">
        <f>MINUTE(D552)</f>
        <v>3</v>
      </c>
      <c r="F552">
        <f>SECOND(D552)</f>
        <v>57</v>
      </c>
      <c r="G552">
        <f>ROUND(E552+F552/60,2)</f>
        <v>3.95</v>
      </c>
      <c r="H552">
        <f>60*E552+F552</f>
        <v>237</v>
      </c>
      <c r="I552" s="3">
        <f>5*(3600/H552)</f>
        <v>75.949367088607588</v>
      </c>
      <c r="J552" s="16">
        <f t="shared" si="8"/>
        <v>0</v>
      </c>
    </row>
    <row r="553" spans="1:10" x14ac:dyDescent="0.25">
      <c r="A553" s="4" t="s">
        <v>115</v>
      </c>
      <c r="B553" s="1">
        <v>0.492419</v>
      </c>
      <c r="C553" s="1">
        <v>0.49516300000000002</v>
      </c>
      <c r="D553" s="1">
        <f>IF(B553&gt;C553,B553-C553,C553-B553)</f>
        <v>2.7440000000000242E-3</v>
      </c>
      <c r="E553">
        <f>MINUTE(D553)</f>
        <v>3</v>
      </c>
      <c r="F553">
        <f>SECOND(D553)</f>
        <v>57</v>
      </c>
      <c r="G553">
        <f>ROUND(E553+F553/60,2)</f>
        <v>3.95</v>
      </c>
      <c r="H553">
        <f>60*E553+F553</f>
        <v>237</v>
      </c>
      <c r="I553" s="3">
        <f>5*(3600/H553)</f>
        <v>75.949367088607588</v>
      </c>
      <c r="J553" s="16">
        <f t="shared" si="8"/>
        <v>0</v>
      </c>
    </row>
    <row r="554" spans="1:10" x14ac:dyDescent="0.25">
      <c r="A554" s="4" t="s">
        <v>347</v>
      </c>
      <c r="B554" s="1">
        <v>0.24433299999999999</v>
      </c>
      <c r="C554" s="1">
        <v>0.24707699999999999</v>
      </c>
      <c r="D554" s="1">
        <f>IF(B554&gt;C554,B554-C554,C554-B554)</f>
        <v>2.7439999999999964E-3</v>
      </c>
      <c r="E554">
        <f>MINUTE(D554)</f>
        <v>3</v>
      </c>
      <c r="F554">
        <f>SECOND(D554)</f>
        <v>57</v>
      </c>
      <c r="G554">
        <f>ROUND(E554+F554/60,2)</f>
        <v>3.95</v>
      </c>
      <c r="H554">
        <f>60*E554+F554</f>
        <v>237</v>
      </c>
      <c r="I554" s="3">
        <f>5*(3600/H554)</f>
        <v>75.949367088607588</v>
      </c>
      <c r="J554" s="16">
        <f t="shared" si="8"/>
        <v>0</v>
      </c>
    </row>
    <row r="555" spans="1:10" x14ac:dyDescent="0.25">
      <c r="A555" s="4" t="s">
        <v>17</v>
      </c>
      <c r="B555" s="1">
        <v>0.136911</v>
      </c>
      <c r="C555" s="1">
        <v>0.134159</v>
      </c>
      <c r="D555" s="1">
        <f>IF(B555&gt;C555,B555-C555,C555-B555)</f>
        <v>2.7520000000000044E-3</v>
      </c>
      <c r="E555">
        <f>MINUTE(D555)</f>
        <v>3</v>
      </c>
      <c r="F555">
        <f>SECOND(D555)</f>
        <v>58</v>
      </c>
      <c r="G555">
        <f>ROUND(E555+F555/60,2)</f>
        <v>3.97</v>
      </c>
      <c r="H555">
        <f>60*E555+F555</f>
        <v>238</v>
      </c>
      <c r="I555" s="3">
        <f>5*(3600/H555)</f>
        <v>75.630252100840337</v>
      </c>
      <c r="J555" s="16">
        <f t="shared" si="8"/>
        <v>0</v>
      </c>
    </row>
    <row r="556" spans="1:10" x14ac:dyDescent="0.25">
      <c r="A556" s="4" t="s">
        <v>158</v>
      </c>
      <c r="B556" s="1">
        <v>0.58547800000000005</v>
      </c>
      <c r="C556" s="1">
        <v>0.58823000000000003</v>
      </c>
      <c r="D556" s="1">
        <f>IF(B556&gt;C556,B556-C556,C556-B556)</f>
        <v>2.7519999999999767E-3</v>
      </c>
      <c r="E556">
        <f>MINUTE(D556)</f>
        <v>3</v>
      </c>
      <c r="F556">
        <f>SECOND(D556)</f>
        <v>58</v>
      </c>
      <c r="G556">
        <f>ROUND(E556+F556/60,2)</f>
        <v>3.97</v>
      </c>
      <c r="H556">
        <f>60*E556+F556</f>
        <v>238</v>
      </c>
      <c r="I556" s="3">
        <f>5*(3600/H556)</f>
        <v>75.630252100840337</v>
      </c>
      <c r="J556" s="16">
        <f t="shared" si="8"/>
        <v>0</v>
      </c>
    </row>
    <row r="557" spans="1:10" x14ac:dyDescent="0.25">
      <c r="A557" s="4" t="s">
        <v>341</v>
      </c>
      <c r="B557" s="1">
        <v>0.70019799999999999</v>
      </c>
      <c r="C557" s="1">
        <v>0.70295399999999997</v>
      </c>
      <c r="D557" s="1">
        <f>IF(B557&gt;C557,B557-C557,C557-B557)</f>
        <v>2.7559999999999807E-3</v>
      </c>
      <c r="E557">
        <f>MINUTE(D557)</f>
        <v>3</v>
      </c>
      <c r="F557">
        <f>SECOND(D557)</f>
        <v>58</v>
      </c>
      <c r="G557">
        <f>ROUND(E557+F557/60,2)</f>
        <v>3.97</v>
      </c>
      <c r="H557">
        <f>60*E557+F557</f>
        <v>238</v>
      </c>
      <c r="I557" s="3">
        <f>5*(3600/H557)</f>
        <v>75.630252100840337</v>
      </c>
      <c r="J557" s="16">
        <f t="shared" si="8"/>
        <v>0</v>
      </c>
    </row>
    <row r="558" spans="1:10" x14ac:dyDescent="0.25">
      <c r="A558" s="4" t="s">
        <v>41</v>
      </c>
      <c r="B558" s="1">
        <v>0.61574300000000004</v>
      </c>
      <c r="C558" s="1">
        <v>0.61297900000000005</v>
      </c>
      <c r="D558" s="1">
        <f>IF(B558&gt;C558,B558-C558,C558-B558)</f>
        <v>2.7639999999999887E-3</v>
      </c>
      <c r="E558">
        <f>MINUTE(D558)</f>
        <v>3</v>
      </c>
      <c r="F558">
        <f>SECOND(D558)</f>
        <v>59</v>
      </c>
      <c r="G558">
        <f>ROUND(E558+F558/60,2)</f>
        <v>3.98</v>
      </c>
      <c r="H558">
        <f>60*E558+F558</f>
        <v>239</v>
      </c>
      <c r="I558" s="3">
        <f>5*(3600/H558)</f>
        <v>75.313807531380746</v>
      </c>
      <c r="J558" s="16">
        <f t="shared" si="8"/>
        <v>0</v>
      </c>
    </row>
    <row r="559" spans="1:10" x14ac:dyDescent="0.25">
      <c r="A559" s="4" t="s">
        <v>132</v>
      </c>
      <c r="B559" s="1">
        <v>6.6352999999999995E-2</v>
      </c>
      <c r="C559" s="1">
        <v>6.3589000000000007E-2</v>
      </c>
      <c r="D559" s="1">
        <f>IF(B559&gt;C559,B559-C559,C559-B559)</f>
        <v>2.7639999999999887E-3</v>
      </c>
      <c r="E559">
        <f>MINUTE(D559)</f>
        <v>3</v>
      </c>
      <c r="F559">
        <f>SECOND(D559)</f>
        <v>59</v>
      </c>
      <c r="G559">
        <f>ROUND(E559+F559/60,2)</f>
        <v>3.98</v>
      </c>
      <c r="H559">
        <f>60*E559+F559</f>
        <v>239</v>
      </c>
      <c r="I559" s="3">
        <f>5*(3600/H559)</f>
        <v>75.313807531380746</v>
      </c>
      <c r="J559" s="16">
        <f t="shared" si="8"/>
        <v>0</v>
      </c>
    </row>
    <row r="560" spans="1:10" x14ac:dyDescent="0.25">
      <c r="A560" s="4" t="s">
        <v>333</v>
      </c>
      <c r="B560" s="1">
        <v>0.288352</v>
      </c>
      <c r="C560" s="1">
        <v>0.29111999999999999</v>
      </c>
      <c r="D560" s="1">
        <f>IF(B560&gt;C560,B560-C560,C560-B560)</f>
        <v>2.7679999999999927E-3</v>
      </c>
      <c r="E560">
        <f>MINUTE(D560)</f>
        <v>3</v>
      </c>
      <c r="F560">
        <f>SECOND(D560)</f>
        <v>59</v>
      </c>
      <c r="G560">
        <f>ROUND(E560+F560/60,2)</f>
        <v>3.98</v>
      </c>
      <c r="H560">
        <f>60*E560+F560</f>
        <v>239</v>
      </c>
      <c r="I560" s="3">
        <f>5*(3600/H560)</f>
        <v>75.313807531380746</v>
      </c>
      <c r="J560" s="16">
        <f t="shared" si="8"/>
        <v>0</v>
      </c>
    </row>
    <row r="561" spans="1:10" x14ac:dyDescent="0.25">
      <c r="A561" s="8" t="s">
        <v>133</v>
      </c>
      <c r="B561" s="1">
        <v>0.86760800000000005</v>
      </c>
      <c r="C561" s="1">
        <v>0.87038800000000005</v>
      </c>
      <c r="D561" s="1">
        <f>IF(B561&gt;C561,B561-C561,C561-B561)</f>
        <v>2.7800000000000047E-3</v>
      </c>
      <c r="E561">
        <f>MINUTE(D561)</f>
        <v>4</v>
      </c>
      <c r="F561">
        <f>SECOND(D561)</f>
        <v>0</v>
      </c>
      <c r="G561">
        <f>ROUND(E561+F561/60,2)</f>
        <v>4</v>
      </c>
      <c r="H561">
        <f>60*E561+F561</f>
        <v>240</v>
      </c>
      <c r="I561" s="10">
        <f>5*(3600/H561)</f>
        <v>75</v>
      </c>
      <c r="J561" s="16">
        <f t="shared" si="8"/>
        <v>0</v>
      </c>
    </row>
    <row r="562" spans="1:10" x14ac:dyDescent="0.25">
      <c r="A562" s="4" t="s">
        <v>161</v>
      </c>
      <c r="B562" s="1">
        <v>0.75155000000000005</v>
      </c>
      <c r="C562" s="1">
        <v>0.75432600000000005</v>
      </c>
      <c r="D562" s="1">
        <f>IF(B562&gt;C562,B562-C562,C562-B562)</f>
        <v>2.7760000000000007E-3</v>
      </c>
      <c r="E562">
        <f>MINUTE(D562)</f>
        <v>4</v>
      </c>
      <c r="F562">
        <f>SECOND(D562)</f>
        <v>0</v>
      </c>
      <c r="G562">
        <f>ROUND(E562+F562/60,2)</f>
        <v>4</v>
      </c>
      <c r="H562">
        <f>60*E562+F562</f>
        <v>240</v>
      </c>
      <c r="I562" s="3">
        <f>5*(3600/H562)</f>
        <v>75</v>
      </c>
      <c r="J562" s="16">
        <f t="shared" si="8"/>
        <v>0</v>
      </c>
    </row>
    <row r="563" spans="1:10" x14ac:dyDescent="0.25">
      <c r="A563" s="4" t="s">
        <v>75</v>
      </c>
      <c r="B563" s="1">
        <v>0.75184499999999999</v>
      </c>
      <c r="C563" s="1">
        <v>0.75461699999999998</v>
      </c>
      <c r="D563" s="1">
        <f>IF(B563&gt;C563,B563-C563,C563-B563)</f>
        <v>2.7719999999999967E-3</v>
      </c>
      <c r="E563">
        <f>MINUTE(D563)</f>
        <v>4</v>
      </c>
      <c r="F563">
        <f>SECOND(D563)</f>
        <v>0</v>
      </c>
      <c r="G563">
        <f>ROUND(E563+F563/60,2)</f>
        <v>4</v>
      </c>
      <c r="H563">
        <f>60*E563+F563</f>
        <v>240</v>
      </c>
      <c r="I563" s="3">
        <f>5*(3600/H563)</f>
        <v>75</v>
      </c>
      <c r="J563" s="16">
        <f t="shared" si="8"/>
        <v>0</v>
      </c>
    </row>
    <row r="564" spans="1:10" x14ac:dyDescent="0.25">
      <c r="A564" s="4" t="s">
        <v>25</v>
      </c>
      <c r="B564" s="1">
        <v>0.93257800000000002</v>
      </c>
      <c r="C564" s="1">
        <v>0.92980200000000002</v>
      </c>
      <c r="D564" s="1">
        <f>IF(B564&gt;C564,B564-C564,C564-B564)</f>
        <v>2.7760000000000007E-3</v>
      </c>
      <c r="E564">
        <f>MINUTE(D564)</f>
        <v>4</v>
      </c>
      <c r="F564">
        <f>SECOND(D564)</f>
        <v>0</v>
      </c>
      <c r="G564">
        <f>ROUND(E564+F564/60,2)</f>
        <v>4</v>
      </c>
      <c r="H564">
        <f>60*E564+F564</f>
        <v>240</v>
      </c>
      <c r="I564" s="3">
        <f>5*(3600/H564)</f>
        <v>75</v>
      </c>
      <c r="J564" s="16">
        <f t="shared" si="8"/>
        <v>0</v>
      </c>
    </row>
    <row r="565" spans="1:10" x14ac:dyDescent="0.25">
      <c r="A565" s="4" t="s">
        <v>93</v>
      </c>
      <c r="B565" s="1">
        <v>2.2315999999999999E-2</v>
      </c>
      <c r="C565" s="1">
        <v>1.9543999999999999E-2</v>
      </c>
      <c r="D565" s="1">
        <f>IF(B565&gt;C565,B565-C565,C565-B565)</f>
        <v>2.7720000000000002E-3</v>
      </c>
      <c r="E565">
        <f>MINUTE(D565)</f>
        <v>4</v>
      </c>
      <c r="F565">
        <f>SECOND(D565)</f>
        <v>0</v>
      </c>
      <c r="G565">
        <f>ROUND(E565+F565/60,2)</f>
        <v>4</v>
      </c>
      <c r="H565">
        <f>60*E565+F565</f>
        <v>240</v>
      </c>
      <c r="I565" s="3">
        <f>5*(3600/H565)</f>
        <v>75</v>
      </c>
      <c r="J565" s="16">
        <f t="shared" si="8"/>
        <v>0</v>
      </c>
    </row>
    <row r="566" spans="1:10" x14ac:dyDescent="0.25">
      <c r="A566" s="4" t="s">
        <v>227</v>
      </c>
      <c r="B566" s="1">
        <v>0.529331</v>
      </c>
      <c r="C566" s="1">
        <v>0.532107</v>
      </c>
      <c r="D566" s="1">
        <f>IF(B566&gt;C566,B566-C566,C566-B566)</f>
        <v>2.7760000000000007E-3</v>
      </c>
      <c r="E566">
        <f>MINUTE(D566)</f>
        <v>4</v>
      </c>
      <c r="F566">
        <f>SECOND(D566)</f>
        <v>0</v>
      </c>
      <c r="G566">
        <f>ROUND(E566+F566/60,2)</f>
        <v>4</v>
      </c>
      <c r="H566">
        <f>60*E566+F566</f>
        <v>240</v>
      </c>
      <c r="I566" s="3">
        <f>5*(3600/H566)</f>
        <v>75</v>
      </c>
      <c r="J566" s="16">
        <f t="shared" si="8"/>
        <v>0</v>
      </c>
    </row>
    <row r="567" spans="1:10" x14ac:dyDescent="0.25">
      <c r="A567" s="4" t="s">
        <v>66</v>
      </c>
      <c r="B567" s="1">
        <v>6.5331E-2</v>
      </c>
      <c r="C567" s="1">
        <v>6.2547000000000005E-2</v>
      </c>
      <c r="D567" s="1">
        <f>IF(B567&gt;C567,B567-C567,C567-B567)</f>
        <v>2.7839999999999948E-3</v>
      </c>
      <c r="E567">
        <f>MINUTE(D567)</f>
        <v>4</v>
      </c>
      <c r="F567">
        <f>SECOND(D567)</f>
        <v>1</v>
      </c>
      <c r="G567">
        <f>ROUND(E567+F567/60,2)</f>
        <v>4.0199999999999996</v>
      </c>
      <c r="H567">
        <f>60*E567+F567</f>
        <v>241</v>
      </c>
      <c r="I567" s="3">
        <f>5*(3600/H567)</f>
        <v>74.68879668049793</v>
      </c>
      <c r="J567" s="16">
        <f t="shared" si="8"/>
        <v>0</v>
      </c>
    </row>
    <row r="568" spans="1:10" x14ac:dyDescent="0.25">
      <c r="A568" s="4" t="s">
        <v>91</v>
      </c>
      <c r="B568" s="1">
        <v>0.52953499999999998</v>
      </c>
      <c r="C568" s="1">
        <v>0.52674299999999996</v>
      </c>
      <c r="D568" s="1">
        <f>IF(B568&gt;C568,B568-C568,C568-B568)</f>
        <v>2.7920000000000167E-3</v>
      </c>
      <c r="E568">
        <f>MINUTE(D568)</f>
        <v>4</v>
      </c>
      <c r="F568">
        <f>SECOND(D568)</f>
        <v>1</v>
      </c>
      <c r="G568">
        <f>ROUND(E568+F568/60,2)</f>
        <v>4.0199999999999996</v>
      </c>
      <c r="H568">
        <f>60*E568+F568</f>
        <v>241</v>
      </c>
      <c r="I568" s="3">
        <f>5*(3600/H568)</f>
        <v>74.68879668049793</v>
      </c>
      <c r="J568" s="16">
        <f t="shared" si="8"/>
        <v>0</v>
      </c>
    </row>
    <row r="569" spans="1:10" x14ac:dyDescent="0.25">
      <c r="A569" s="4" t="s">
        <v>429</v>
      </c>
      <c r="B569" s="1">
        <v>0.85646699999999998</v>
      </c>
      <c r="C569" s="1">
        <v>0.85925499999999999</v>
      </c>
      <c r="D569" s="1">
        <f>IF(B569&gt;C569,B569-C569,C569-B569)</f>
        <v>2.7880000000000127E-3</v>
      </c>
      <c r="E569">
        <f>MINUTE(D569)</f>
        <v>4</v>
      </c>
      <c r="F569">
        <f>SECOND(D569)</f>
        <v>1</v>
      </c>
      <c r="G569">
        <f>ROUND(E569+F569/60,2)</f>
        <v>4.0199999999999996</v>
      </c>
      <c r="H569">
        <f>60*E569+F569</f>
        <v>241</v>
      </c>
      <c r="I569" s="3">
        <f>5*(3600/H569)</f>
        <v>74.68879668049793</v>
      </c>
      <c r="J569" s="16">
        <f t="shared" si="8"/>
        <v>0</v>
      </c>
    </row>
    <row r="570" spans="1:10" x14ac:dyDescent="0.25">
      <c r="A570" s="4" t="s">
        <v>162</v>
      </c>
      <c r="B570" s="1">
        <v>0.15484700000000001</v>
      </c>
      <c r="C570" s="1">
        <v>0.152063</v>
      </c>
      <c r="D570" s="1">
        <f>IF(B570&gt;C570,B570-C570,C570-B570)</f>
        <v>2.7840000000000087E-3</v>
      </c>
      <c r="E570">
        <f>MINUTE(D570)</f>
        <v>4</v>
      </c>
      <c r="F570">
        <f>SECOND(D570)</f>
        <v>1</v>
      </c>
      <c r="G570">
        <f>ROUND(E570+F570/60,2)</f>
        <v>4.0199999999999996</v>
      </c>
      <c r="H570">
        <f>60*E570+F570</f>
        <v>241</v>
      </c>
      <c r="I570" s="3">
        <f>5*(3600/H570)</f>
        <v>74.68879668049793</v>
      </c>
      <c r="J570" s="16">
        <f t="shared" si="8"/>
        <v>0</v>
      </c>
    </row>
    <row r="571" spans="1:10" x14ac:dyDescent="0.25">
      <c r="A571" s="4" t="s">
        <v>87</v>
      </c>
      <c r="B571" s="1">
        <v>0.44664599999999999</v>
      </c>
      <c r="C571" s="1">
        <v>0.44944200000000001</v>
      </c>
      <c r="D571" s="1">
        <f>IF(B571&gt;C571,B571-C571,C571-B571)</f>
        <v>2.7960000000000207E-3</v>
      </c>
      <c r="E571">
        <f>MINUTE(D571)</f>
        <v>4</v>
      </c>
      <c r="F571">
        <f>SECOND(D571)</f>
        <v>2</v>
      </c>
      <c r="G571">
        <f>ROUND(E571+F571/60,2)</f>
        <v>4.03</v>
      </c>
      <c r="H571">
        <f>60*E571+F571</f>
        <v>242</v>
      </c>
      <c r="I571" s="3">
        <f>5*(3600/H571)</f>
        <v>74.380165289256198</v>
      </c>
      <c r="J571" s="16">
        <f t="shared" si="8"/>
        <v>0</v>
      </c>
    </row>
    <row r="572" spans="1:10" x14ac:dyDescent="0.25">
      <c r="A572" s="4" t="s">
        <v>105</v>
      </c>
      <c r="B572" s="1">
        <v>0.70912799999999998</v>
      </c>
      <c r="C572" s="1">
        <v>0.70633199999999996</v>
      </c>
      <c r="D572" s="1">
        <f>IF(B572&gt;C572,B572-C572,C572-B572)</f>
        <v>2.7960000000000207E-3</v>
      </c>
      <c r="E572">
        <f>MINUTE(D572)</f>
        <v>4</v>
      </c>
      <c r="F572">
        <f>SECOND(D572)</f>
        <v>2</v>
      </c>
      <c r="G572">
        <f>ROUND(E572+F572/60,2)</f>
        <v>4.03</v>
      </c>
      <c r="H572">
        <f>60*E572+F572</f>
        <v>242</v>
      </c>
      <c r="I572" s="3">
        <f>5*(3600/H572)</f>
        <v>74.380165289256198</v>
      </c>
      <c r="J572" s="16">
        <f t="shared" si="8"/>
        <v>0</v>
      </c>
    </row>
    <row r="573" spans="1:10" x14ac:dyDescent="0.25">
      <c r="A573" s="4" t="s">
        <v>56</v>
      </c>
      <c r="B573" s="1">
        <v>0.76231800000000005</v>
      </c>
      <c r="C573" s="1">
        <v>0.75952200000000003</v>
      </c>
      <c r="D573" s="1">
        <f>IF(B573&gt;C573,B573-C573,C573-B573)</f>
        <v>2.7960000000000207E-3</v>
      </c>
      <c r="E573">
        <f>MINUTE(D573)</f>
        <v>4</v>
      </c>
      <c r="F573">
        <f>SECOND(D573)</f>
        <v>2</v>
      </c>
      <c r="G573">
        <f>ROUND(E573+F573/60,2)</f>
        <v>4.03</v>
      </c>
      <c r="H573">
        <f>60*E573+F573</f>
        <v>242</v>
      </c>
      <c r="I573" s="3">
        <f>5*(3600/H573)</f>
        <v>74.380165289256198</v>
      </c>
      <c r="J573" s="16">
        <f t="shared" si="8"/>
        <v>0</v>
      </c>
    </row>
    <row r="574" spans="1:10" x14ac:dyDescent="0.25">
      <c r="A574" s="4" t="s">
        <v>38</v>
      </c>
      <c r="B574" s="1">
        <v>0.333036</v>
      </c>
      <c r="C574" s="1">
        <v>0.33584799999999998</v>
      </c>
      <c r="D574" s="1">
        <f>IF(B574&gt;C574,B574-C574,C574-B574)</f>
        <v>2.8119999999999812E-3</v>
      </c>
      <c r="E574">
        <f>MINUTE(D574)</f>
        <v>4</v>
      </c>
      <c r="F574">
        <f>SECOND(D574)</f>
        <v>3</v>
      </c>
      <c r="G574">
        <f>ROUND(E574+F574/60,2)</f>
        <v>4.05</v>
      </c>
      <c r="H574">
        <f>60*E574+F574</f>
        <v>243</v>
      </c>
      <c r="I574" s="3">
        <f>5*(3600/H574)</f>
        <v>74.074074074074076</v>
      </c>
      <c r="J574" s="16">
        <f t="shared" si="8"/>
        <v>0</v>
      </c>
    </row>
    <row r="575" spans="1:10" x14ac:dyDescent="0.25">
      <c r="A575" s="4" t="s">
        <v>107</v>
      </c>
      <c r="B575" s="1">
        <v>0.27387699999999998</v>
      </c>
      <c r="C575" s="1">
        <v>0.271065</v>
      </c>
      <c r="D575" s="1">
        <f>IF(B575&gt;C575,B575-C575,C575-B575)</f>
        <v>2.8119999999999812E-3</v>
      </c>
      <c r="E575">
        <f>MINUTE(D575)</f>
        <v>4</v>
      </c>
      <c r="F575">
        <f>SECOND(D575)</f>
        <v>3</v>
      </c>
      <c r="G575">
        <f>ROUND(E575+F575/60,2)</f>
        <v>4.05</v>
      </c>
      <c r="H575">
        <f>60*E575+F575</f>
        <v>243</v>
      </c>
      <c r="I575" s="3">
        <f>5*(3600/H575)</f>
        <v>74.074074074074076</v>
      </c>
      <c r="J575" s="16">
        <f t="shared" si="8"/>
        <v>0</v>
      </c>
    </row>
    <row r="576" spans="1:10" x14ac:dyDescent="0.25">
      <c r="A576" s="4" t="s">
        <v>60</v>
      </c>
      <c r="B576" s="1">
        <v>0.22966</v>
      </c>
      <c r="C576" s="1">
        <v>0.23246800000000001</v>
      </c>
      <c r="D576" s="1">
        <f>IF(B576&gt;C576,B576-C576,C576-B576)</f>
        <v>2.8080000000000049E-3</v>
      </c>
      <c r="E576">
        <f>MINUTE(D576)</f>
        <v>4</v>
      </c>
      <c r="F576">
        <f>SECOND(D576)</f>
        <v>3</v>
      </c>
      <c r="G576">
        <f>ROUND(E576+F576/60,2)</f>
        <v>4.05</v>
      </c>
      <c r="H576">
        <f>60*E576+F576</f>
        <v>243</v>
      </c>
      <c r="I576" s="3">
        <f>5*(3600/H576)</f>
        <v>74.074074074074076</v>
      </c>
      <c r="J576" s="16">
        <f t="shared" si="8"/>
        <v>0</v>
      </c>
    </row>
    <row r="577" spans="1:10" x14ac:dyDescent="0.25">
      <c r="A577" s="4" t="s">
        <v>87</v>
      </c>
      <c r="B577" s="1">
        <v>0.75573800000000002</v>
      </c>
      <c r="C577" s="1">
        <v>0.75292599999999998</v>
      </c>
      <c r="D577" s="1">
        <f>IF(B577&gt;C577,B577-C577,C577-B577)</f>
        <v>2.8120000000000367E-3</v>
      </c>
      <c r="E577">
        <f>MINUTE(D577)</f>
        <v>4</v>
      </c>
      <c r="F577">
        <f>SECOND(D577)</f>
        <v>3</v>
      </c>
      <c r="G577">
        <f>ROUND(E577+F577/60,2)</f>
        <v>4.05</v>
      </c>
      <c r="H577">
        <f>60*E577+F577</f>
        <v>243</v>
      </c>
      <c r="I577" s="3">
        <f>5*(3600/H577)</f>
        <v>74.074074074074076</v>
      </c>
      <c r="J577" s="16">
        <f t="shared" si="8"/>
        <v>0</v>
      </c>
    </row>
    <row r="578" spans="1:10" x14ac:dyDescent="0.25">
      <c r="A578" s="4" t="s">
        <v>97</v>
      </c>
      <c r="B578" s="1">
        <v>0.51822299999999999</v>
      </c>
      <c r="C578" s="1">
        <v>0.52104300000000003</v>
      </c>
      <c r="D578" s="1">
        <f>IF(B578&gt;C578,B578-C578,C578-B578)</f>
        <v>2.8200000000000447E-3</v>
      </c>
      <c r="E578">
        <f>MINUTE(D578)</f>
        <v>4</v>
      </c>
      <c r="F578">
        <f>SECOND(D578)</f>
        <v>4</v>
      </c>
      <c r="G578">
        <f>ROUND(E578+F578/60,2)</f>
        <v>4.07</v>
      </c>
      <c r="H578">
        <f>60*E578+F578</f>
        <v>244</v>
      </c>
      <c r="I578" s="3">
        <f>5*(3600/H578)</f>
        <v>73.770491803278688</v>
      </c>
      <c r="J578" s="16">
        <f t="shared" si="8"/>
        <v>0</v>
      </c>
    </row>
    <row r="579" spans="1:10" x14ac:dyDescent="0.25">
      <c r="A579" s="4" t="s">
        <v>147</v>
      </c>
      <c r="B579" s="1">
        <v>0.75391399999999997</v>
      </c>
      <c r="C579" s="1">
        <v>0.75674200000000003</v>
      </c>
      <c r="D579" s="1">
        <f>IF(B579&gt;C579,B579-C579,C579-B579)</f>
        <v>2.8280000000000527E-3</v>
      </c>
      <c r="E579">
        <f>MINUTE(D579)</f>
        <v>4</v>
      </c>
      <c r="F579">
        <f>SECOND(D579)</f>
        <v>4</v>
      </c>
      <c r="G579">
        <f>ROUND(E579+F579/60,2)</f>
        <v>4.07</v>
      </c>
      <c r="H579">
        <f>60*E579+F579</f>
        <v>244</v>
      </c>
      <c r="I579" s="3">
        <f>5*(3600/H579)</f>
        <v>73.770491803278688</v>
      </c>
      <c r="J579" s="16">
        <f t="shared" ref="J579:J642" si="9">IF(I579&gt;140,1,0)</f>
        <v>0</v>
      </c>
    </row>
    <row r="580" spans="1:10" x14ac:dyDescent="0.25">
      <c r="A580" s="4" t="s">
        <v>5</v>
      </c>
      <c r="B580" s="1">
        <v>0.13649500000000001</v>
      </c>
      <c r="C580" s="1">
        <v>0.139319</v>
      </c>
      <c r="D580" s="1">
        <f>IF(B580&gt;C580,B580-C580,C580-B580)</f>
        <v>2.8239999999999932E-3</v>
      </c>
      <c r="E580">
        <f>MINUTE(D580)</f>
        <v>4</v>
      </c>
      <c r="F580">
        <f>SECOND(D580)</f>
        <v>4</v>
      </c>
      <c r="G580">
        <f>ROUND(E580+F580/60,2)</f>
        <v>4.07</v>
      </c>
      <c r="H580">
        <f>60*E580+F580</f>
        <v>244</v>
      </c>
      <c r="I580" s="3">
        <f>5*(3600/H580)</f>
        <v>73.770491803278688</v>
      </c>
      <c r="J580" s="16">
        <f t="shared" si="9"/>
        <v>0</v>
      </c>
    </row>
    <row r="581" spans="1:10" x14ac:dyDescent="0.25">
      <c r="A581" s="4" t="s">
        <v>17</v>
      </c>
      <c r="B581" s="1">
        <v>9.0898999999999994E-2</v>
      </c>
      <c r="C581" s="1">
        <v>9.3718999999999997E-2</v>
      </c>
      <c r="D581" s="1">
        <f>IF(B581&gt;C581,B581-C581,C581-B581)</f>
        <v>2.8200000000000031E-3</v>
      </c>
      <c r="E581">
        <f>MINUTE(D581)</f>
        <v>4</v>
      </c>
      <c r="F581">
        <f>SECOND(D581)</f>
        <v>4</v>
      </c>
      <c r="G581">
        <f>ROUND(E581+F581/60,2)</f>
        <v>4.07</v>
      </c>
      <c r="H581">
        <f>60*E581+F581</f>
        <v>244</v>
      </c>
      <c r="I581" s="3">
        <f>5*(3600/H581)</f>
        <v>73.770491803278688</v>
      </c>
      <c r="J581" s="16">
        <f t="shared" si="9"/>
        <v>0</v>
      </c>
    </row>
    <row r="582" spans="1:10" x14ac:dyDescent="0.25">
      <c r="A582" s="4" t="s">
        <v>162</v>
      </c>
      <c r="B582" s="1">
        <v>0.57133</v>
      </c>
      <c r="C582" s="1">
        <v>0.57415400000000005</v>
      </c>
      <c r="D582" s="1">
        <f>IF(B582&gt;C582,B582-C582,C582-B582)</f>
        <v>2.8240000000000487E-3</v>
      </c>
      <c r="E582">
        <f>MINUTE(D582)</f>
        <v>4</v>
      </c>
      <c r="F582">
        <f>SECOND(D582)</f>
        <v>4</v>
      </c>
      <c r="G582">
        <f>ROUND(E582+F582/60,2)</f>
        <v>4.07</v>
      </c>
      <c r="H582">
        <f>60*E582+F582</f>
        <v>244</v>
      </c>
      <c r="I582" s="3">
        <f>5*(3600/H582)</f>
        <v>73.770491803278688</v>
      </c>
      <c r="J582" s="16">
        <f t="shared" si="9"/>
        <v>0</v>
      </c>
    </row>
    <row r="583" spans="1:10" x14ac:dyDescent="0.25">
      <c r="A583" s="4" t="s">
        <v>47</v>
      </c>
      <c r="B583" s="1">
        <v>5.8332000000000002E-2</v>
      </c>
      <c r="C583" s="1">
        <v>5.5495999999999997E-2</v>
      </c>
      <c r="D583" s="1">
        <f>IF(B583&gt;C583,B583-C583,C583-B583)</f>
        <v>2.8360000000000052E-3</v>
      </c>
      <c r="E583">
        <f>MINUTE(D583)</f>
        <v>4</v>
      </c>
      <c r="F583">
        <f>SECOND(D583)</f>
        <v>5</v>
      </c>
      <c r="G583">
        <f>ROUND(E583+F583/60,2)</f>
        <v>4.08</v>
      </c>
      <c r="H583">
        <f>60*E583+F583</f>
        <v>245</v>
      </c>
      <c r="I583" s="3">
        <f>5*(3600/H583)</f>
        <v>73.469387755102048</v>
      </c>
      <c r="J583" s="16">
        <f t="shared" si="9"/>
        <v>0</v>
      </c>
    </row>
    <row r="584" spans="1:10" x14ac:dyDescent="0.25">
      <c r="A584" s="4" t="s">
        <v>50</v>
      </c>
      <c r="B584" s="1">
        <v>0.64752100000000001</v>
      </c>
      <c r="C584" s="1">
        <v>0.64468899999999996</v>
      </c>
      <c r="D584" s="1">
        <f>IF(B584&gt;C584,B584-C584,C584-B584)</f>
        <v>2.8320000000000567E-3</v>
      </c>
      <c r="E584">
        <f>MINUTE(D584)</f>
        <v>4</v>
      </c>
      <c r="F584">
        <f>SECOND(D584)</f>
        <v>5</v>
      </c>
      <c r="G584">
        <f>ROUND(E584+F584/60,2)</f>
        <v>4.08</v>
      </c>
      <c r="H584">
        <f>60*E584+F584</f>
        <v>245</v>
      </c>
      <c r="I584" s="3">
        <f>5*(3600/H584)</f>
        <v>73.469387755102048</v>
      </c>
      <c r="J584" s="16">
        <f t="shared" si="9"/>
        <v>0</v>
      </c>
    </row>
    <row r="585" spans="1:10" x14ac:dyDescent="0.25">
      <c r="A585" s="4" t="s">
        <v>16</v>
      </c>
      <c r="B585" s="1">
        <v>0.376137</v>
      </c>
      <c r="C585" s="1">
        <v>0.37329699999999999</v>
      </c>
      <c r="D585" s="1">
        <f>IF(B585&gt;C585,B585-C585,C585-B585)</f>
        <v>2.8400000000000092E-3</v>
      </c>
      <c r="E585">
        <f>MINUTE(D585)</f>
        <v>4</v>
      </c>
      <c r="F585">
        <f>SECOND(D585)</f>
        <v>5</v>
      </c>
      <c r="G585">
        <f>ROUND(E585+F585/60,2)</f>
        <v>4.08</v>
      </c>
      <c r="H585">
        <f>60*E585+F585</f>
        <v>245</v>
      </c>
      <c r="I585" s="3">
        <f>5*(3600/H585)</f>
        <v>73.469387755102048</v>
      </c>
      <c r="J585" s="16">
        <f t="shared" si="9"/>
        <v>0</v>
      </c>
    </row>
    <row r="586" spans="1:10" x14ac:dyDescent="0.25">
      <c r="A586" s="4" t="s">
        <v>363</v>
      </c>
      <c r="B586" s="1">
        <v>0.58136100000000002</v>
      </c>
      <c r="C586" s="1">
        <v>0.57852499999999996</v>
      </c>
      <c r="D586" s="1">
        <f>IF(B586&gt;C586,B586-C586,C586-B586)</f>
        <v>2.8360000000000607E-3</v>
      </c>
      <c r="E586">
        <f>MINUTE(D586)</f>
        <v>4</v>
      </c>
      <c r="F586">
        <f>SECOND(D586)</f>
        <v>5</v>
      </c>
      <c r="G586">
        <f>ROUND(E586+F586/60,2)</f>
        <v>4.08</v>
      </c>
      <c r="H586">
        <f>60*E586+F586</f>
        <v>245</v>
      </c>
      <c r="I586" s="3">
        <f>5*(3600/H586)</f>
        <v>73.469387755102048</v>
      </c>
      <c r="J586" s="16">
        <f t="shared" si="9"/>
        <v>0</v>
      </c>
    </row>
    <row r="587" spans="1:10" x14ac:dyDescent="0.25">
      <c r="A587" s="4" t="s">
        <v>144</v>
      </c>
      <c r="B587" s="1">
        <v>0.94697500000000001</v>
      </c>
      <c r="C587" s="1">
        <v>0.94982699999999998</v>
      </c>
      <c r="D587" s="1">
        <f>IF(B587&gt;C587,B587-C587,C587-B587)</f>
        <v>2.8519999999999657E-3</v>
      </c>
      <c r="E587">
        <f>MINUTE(D587)</f>
        <v>4</v>
      </c>
      <c r="F587">
        <f>SECOND(D587)</f>
        <v>6</v>
      </c>
      <c r="G587">
        <f>ROUND(E587+F587/60,2)</f>
        <v>4.0999999999999996</v>
      </c>
      <c r="H587">
        <f>60*E587+F587</f>
        <v>246</v>
      </c>
      <c r="I587" s="3">
        <f>5*(3600/H587)</f>
        <v>73.170731707317074</v>
      </c>
      <c r="J587" s="16">
        <f t="shared" si="9"/>
        <v>0</v>
      </c>
    </row>
    <row r="588" spans="1:10" x14ac:dyDescent="0.25">
      <c r="A588" s="4" t="s">
        <v>145</v>
      </c>
      <c r="B588" s="1">
        <v>0.86413600000000002</v>
      </c>
      <c r="C588" s="1">
        <v>0.86697999999999997</v>
      </c>
      <c r="D588" s="1">
        <f>IF(B588&gt;C588,B588-C588,C588-B588)</f>
        <v>2.8439999999999577E-3</v>
      </c>
      <c r="E588">
        <f>MINUTE(D588)</f>
        <v>4</v>
      </c>
      <c r="F588">
        <f>SECOND(D588)</f>
        <v>6</v>
      </c>
      <c r="G588">
        <f>ROUND(E588+F588/60,2)</f>
        <v>4.0999999999999996</v>
      </c>
      <c r="H588">
        <f>60*E588+F588</f>
        <v>246</v>
      </c>
      <c r="I588" s="3">
        <f>5*(3600/H588)</f>
        <v>73.170731707317074</v>
      </c>
      <c r="J588" s="16">
        <f t="shared" si="9"/>
        <v>0</v>
      </c>
    </row>
    <row r="589" spans="1:10" x14ac:dyDescent="0.25">
      <c r="A589" s="4" t="s">
        <v>80</v>
      </c>
      <c r="B589" s="1">
        <v>0.77809700000000004</v>
      </c>
      <c r="C589" s="1">
        <v>0.77524899999999997</v>
      </c>
      <c r="D589" s="1">
        <f>IF(B589&gt;C589,B589-C589,C589-B589)</f>
        <v>2.8480000000000727E-3</v>
      </c>
      <c r="E589">
        <f>MINUTE(D589)</f>
        <v>4</v>
      </c>
      <c r="F589">
        <f>SECOND(D589)</f>
        <v>6</v>
      </c>
      <c r="G589">
        <f>ROUND(E589+F589/60,2)</f>
        <v>4.0999999999999996</v>
      </c>
      <c r="H589">
        <f>60*E589+F589</f>
        <v>246</v>
      </c>
      <c r="I589" s="3">
        <f>5*(3600/H589)</f>
        <v>73.170731707317074</v>
      </c>
      <c r="J589" s="16">
        <f t="shared" si="9"/>
        <v>0</v>
      </c>
    </row>
    <row r="590" spans="1:10" x14ac:dyDescent="0.25">
      <c r="A590" s="4" t="s">
        <v>111</v>
      </c>
      <c r="B590" s="1">
        <v>0.51173299999999999</v>
      </c>
      <c r="C590" s="1">
        <v>0.51459699999999997</v>
      </c>
      <c r="D590" s="1">
        <f>IF(B590&gt;C590,B590-C590,C590-B590)</f>
        <v>2.8639999999999777E-3</v>
      </c>
      <c r="E590">
        <f>MINUTE(D590)</f>
        <v>4</v>
      </c>
      <c r="F590">
        <f>SECOND(D590)</f>
        <v>7</v>
      </c>
      <c r="G590">
        <f>ROUND(E590+F590/60,2)</f>
        <v>4.12</v>
      </c>
      <c r="H590">
        <f>60*E590+F590</f>
        <v>247</v>
      </c>
      <c r="I590" s="3">
        <f>5*(3600/H590)</f>
        <v>72.874493927125513</v>
      </c>
      <c r="J590" s="16">
        <f t="shared" si="9"/>
        <v>0</v>
      </c>
    </row>
    <row r="591" spans="1:10" x14ac:dyDescent="0.25">
      <c r="A591" s="4" t="s">
        <v>163</v>
      </c>
      <c r="B591" s="1">
        <v>6.4921000000000006E-2</v>
      </c>
      <c r="C591" s="1">
        <v>6.2060999999999998E-2</v>
      </c>
      <c r="D591" s="1">
        <f>IF(B591&gt;C591,B591-C591,C591-B591)</f>
        <v>2.8600000000000084E-3</v>
      </c>
      <c r="E591">
        <f>MINUTE(D591)</f>
        <v>4</v>
      </c>
      <c r="F591">
        <f>SECOND(D591)</f>
        <v>7</v>
      </c>
      <c r="G591">
        <f>ROUND(E591+F591/60,2)</f>
        <v>4.12</v>
      </c>
      <c r="H591">
        <f>60*E591+F591</f>
        <v>247</v>
      </c>
      <c r="I591" s="3">
        <f>5*(3600/H591)</f>
        <v>72.874493927125513</v>
      </c>
      <c r="J591" s="16">
        <f t="shared" si="9"/>
        <v>0</v>
      </c>
    </row>
    <row r="592" spans="1:10" x14ac:dyDescent="0.25">
      <c r="A592" s="4" t="s">
        <v>142</v>
      </c>
      <c r="B592" s="1">
        <v>0.924736</v>
      </c>
      <c r="C592" s="1">
        <v>0.92187600000000003</v>
      </c>
      <c r="D592" s="1">
        <f>IF(B592&gt;C592,B592-C592,C592-B592)</f>
        <v>2.8599999999999737E-3</v>
      </c>
      <c r="E592">
        <f>MINUTE(D592)</f>
        <v>4</v>
      </c>
      <c r="F592">
        <f>SECOND(D592)</f>
        <v>7</v>
      </c>
      <c r="G592">
        <f>ROUND(E592+F592/60,2)</f>
        <v>4.12</v>
      </c>
      <c r="H592">
        <f>60*E592+F592</f>
        <v>247</v>
      </c>
      <c r="I592" s="3">
        <f>5*(3600/H592)</f>
        <v>72.874493927125513</v>
      </c>
      <c r="J592" s="16">
        <f t="shared" si="9"/>
        <v>0</v>
      </c>
    </row>
    <row r="593" spans="1:10" x14ac:dyDescent="0.25">
      <c r="A593" s="4" t="s">
        <v>149</v>
      </c>
      <c r="B593" s="1">
        <v>0.84406099999999995</v>
      </c>
      <c r="C593" s="1">
        <v>0.84692100000000003</v>
      </c>
      <c r="D593" s="1">
        <f>IF(B593&gt;C593,B593-C593,C593-B593)</f>
        <v>2.8600000000000847E-3</v>
      </c>
      <c r="E593">
        <f>MINUTE(D593)</f>
        <v>4</v>
      </c>
      <c r="F593">
        <f>SECOND(D593)</f>
        <v>7</v>
      </c>
      <c r="G593">
        <f>ROUND(E593+F593/60,2)</f>
        <v>4.12</v>
      </c>
      <c r="H593">
        <f>60*E593+F593</f>
        <v>247</v>
      </c>
      <c r="I593" s="3">
        <f>5*(3600/H593)</f>
        <v>72.874493927125513</v>
      </c>
      <c r="J593" s="16">
        <f t="shared" si="9"/>
        <v>0</v>
      </c>
    </row>
    <row r="594" spans="1:10" x14ac:dyDescent="0.25">
      <c r="A594" s="4" t="s">
        <v>325</v>
      </c>
      <c r="B594" s="1">
        <v>0.46205000000000002</v>
      </c>
      <c r="C594" s="1">
        <v>0.45918999999999999</v>
      </c>
      <c r="D594" s="1">
        <f>IF(B594&gt;C594,B594-C594,C594-B594)</f>
        <v>2.8600000000000292E-3</v>
      </c>
      <c r="E594">
        <f>MINUTE(D594)</f>
        <v>4</v>
      </c>
      <c r="F594">
        <f>SECOND(D594)</f>
        <v>7</v>
      </c>
      <c r="G594">
        <f>ROUND(E594+F594/60,2)</f>
        <v>4.12</v>
      </c>
      <c r="H594">
        <f>60*E594+F594</f>
        <v>247</v>
      </c>
      <c r="I594" s="3">
        <f>5*(3600/H594)</f>
        <v>72.874493927125513</v>
      </c>
      <c r="J594" s="16">
        <f t="shared" si="9"/>
        <v>0</v>
      </c>
    </row>
    <row r="595" spans="1:10" x14ac:dyDescent="0.25">
      <c r="A595" s="4" t="s">
        <v>78</v>
      </c>
      <c r="B595" s="1">
        <v>0.93040699999999998</v>
      </c>
      <c r="C595" s="1">
        <v>0.93328299999999997</v>
      </c>
      <c r="D595" s="1">
        <f>IF(B595&gt;C595,B595-C595,C595-B595)</f>
        <v>2.8759999999999897E-3</v>
      </c>
      <c r="E595">
        <f>MINUTE(D595)</f>
        <v>4</v>
      </c>
      <c r="F595">
        <f>SECOND(D595)</f>
        <v>8</v>
      </c>
      <c r="G595">
        <f>ROUND(E595+F595/60,2)</f>
        <v>4.13</v>
      </c>
      <c r="H595">
        <f>60*E595+F595</f>
        <v>248</v>
      </c>
      <c r="I595" s="3">
        <f>5*(3600/H595)</f>
        <v>72.58064516129032</v>
      </c>
      <c r="J595" s="16">
        <f t="shared" si="9"/>
        <v>0</v>
      </c>
    </row>
    <row r="596" spans="1:10" x14ac:dyDescent="0.25">
      <c r="A596" s="4" t="s">
        <v>102</v>
      </c>
      <c r="B596" s="1">
        <v>0.69207300000000005</v>
      </c>
      <c r="C596" s="1">
        <v>0.68920499999999996</v>
      </c>
      <c r="D596" s="1">
        <f>IF(B596&gt;C596,B596-C596,C596-B596)</f>
        <v>2.8680000000000927E-3</v>
      </c>
      <c r="E596">
        <f>MINUTE(D596)</f>
        <v>4</v>
      </c>
      <c r="F596">
        <f>SECOND(D596)</f>
        <v>8</v>
      </c>
      <c r="G596">
        <f>ROUND(E596+F596/60,2)</f>
        <v>4.13</v>
      </c>
      <c r="H596">
        <f>60*E596+F596</f>
        <v>248</v>
      </c>
      <c r="I596" s="3">
        <f>5*(3600/H596)</f>
        <v>72.58064516129032</v>
      </c>
      <c r="J596" s="16">
        <f t="shared" si="9"/>
        <v>0</v>
      </c>
    </row>
    <row r="597" spans="1:10" x14ac:dyDescent="0.25">
      <c r="A597" s="4" t="s">
        <v>335</v>
      </c>
      <c r="B597" s="1">
        <v>0.42368600000000001</v>
      </c>
      <c r="C597" s="1">
        <v>0.42081000000000002</v>
      </c>
      <c r="D597" s="1">
        <f>IF(B597&gt;C597,B597-C597,C597-B597)</f>
        <v>2.8759999999999897E-3</v>
      </c>
      <c r="E597">
        <f>MINUTE(D597)</f>
        <v>4</v>
      </c>
      <c r="F597">
        <f>SECOND(D597)</f>
        <v>8</v>
      </c>
      <c r="G597">
        <f>ROUND(E597+F597/60,2)</f>
        <v>4.13</v>
      </c>
      <c r="H597">
        <f>60*E597+F597</f>
        <v>248</v>
      </c>
      <c r="I597" s="3">
        <f>5*(3600/H597)</f>
        <v>72.58064516129032</v>
      </c>
      <c r="J597" s="16">
        <f t="shared" si="9"/>
        <v>0</v>
      </c>
    </row>
    <row r="598" spans="1:10" x14ac:dyDescent="0.25">
      <c r="A598" s="4" t="s">
        <v>28</v>
      </c>
      <c r="B598" s="1">
        <v>0.38782699999999998</v>
      </c>
      <c r="C598" s="1">
        <v>0.38494699999999998</v>
      </c>
      <c r="D598" s="1">
        <f>IF(B598&gt;C598,B598-C598,C598-B598)</f>
        <v>2.8799999999999937E-3</v>
      </c>
      <c r="E598">
        <f>MINUTE(D598)</f>
        <v>4</v>
      </c>
      <c r="F598">
        <f>SECOND(D598)</f>
        <v>9</v>
      </c>
      <c r="G598">
        <f>ROUND(E598+F598/60,2)</f>
        <v>4.1500000000000004</v>
      </c>
      <c r="H598">
        <f>60*E598+F598</f>
        <v>249</v>
      </c>
      <c r="I598" s="3">
        <f>5*(3600/H598)</f>
        <v>72.289156626506028</v>
      </c>
      <c r="J598" s="16">
        <f t="shared" si="9"/>
        <v>0</v>
      </c>
    </row>
    <row r="599" spans="1:10" x14ac:dyDescent="0.25">
      <c r="A599" s="4" t="s">
        <v>36</v>
      </c>
      <c r="B599" s="1">
        <v>0.43002600000000002</v>
      </c>
      <c r="C599" s="1">
        <v>0.42713400000000001</v>
      </c>
      <c r="D599" s="1">
        <f>IF(B599&gt;C599,B599-C599,C599-B599)</f>
        <v>2.8920000000000057E-3</v>
      </c>
      <c r="E599">
        <f>MINUTE(D599)</f>
        <v>4</v>
      </c>
      <c r="F599">
        <f>SECOND(D599)</f>
        <v>10</v>
      </c>
      <c r="G599">
        <f>ROUND(E599+F599/60,2)</f>
        <v>4.17</v>
      </c>
      <c r="H599">
        <f>60*E599+F599</f>
        <v>250</v>
      </c>
      <c r="I599" s="3">
        <f>5*(3600/H599)</f>
        <v>72</v>
      </c>
      <c r="J599" s="16">
        <f t="shared" si="9"/>
        <v>0</v>
      </c>
    </row>
    <row r="600" spans="1:10" x14ac:dyDescent="0.25">
      <c r="A600" s="4" t="s">
        <v>41</v>
      </c>
      <c r="B600" s="1">
        <v>0.58307699999999996</v>
      </c>
      <c r="C600" s="1">
        <v>0.58018099999999995</v>
      </c>
      <c r="D600" s="1">
        <f>IF(B600&gt;C600,B600-C600,C600-B600)</f>
        <v>2.8960000000000097E-3</v>
      </c>
      <c r="E600">
        <f>MINUTE(D600)</f>
        <v>4</v>
      </c>
      <c r="F600">
        <f>SECOND(D600)</f>
        <v>10</v>
      </c>
      <c r="G600">
        <f>ROUND(E600+F600/60,2)</f>
        <v>4.17</v>
      </c>
      <c r="H600">
        <f>60*E600+F600</f>
        <v>250</v>
      </c>
      <c r="I600" s="3">
        <f>5*(3600/H600)</f>
        <v>72</v>
      </c>
      <c r="J600" s="16">
        <f t="shared" si="9"/>
        <v>0</v>
      </c>
    </row>
    <row r="601" spans="1:10" x14ac:dyDescent="0.25">
      <c r="A601" s="4" t="s">
        <v>135</v>
      </c>
      <c r="B601" s="1">
        <v>2.2994000000000001E-2</v>
      </c>
      <c r="C601" s="1">
        <v>2.5885999999999999E-2</v>
      </c>
      <c r="D601" s="1">
        <f>IF(B601&gt;C601,B601-C601,C601-B601)</f>
        <v>2.8919999999999987E-3</v>
      </c>
      <c r="E601">
        <f>MINUTE(D601)</f>
        <v>4</v>
      </c>
      <c r="F601">
        <f>SECOND(D601)</f>
        <v>10</v>
      </c>
      <c r="G601">
        <f>ROUND(E601+F601/60,2)</f>
        <v>4.17</v>
      </c>
      <c r="H601">
        <f>60*E601+F601</f>
        <v>250</v>
      </c>
      <c r="I601" s="3">
        <f>5*(3600/H601)</f>
        <v>72</v>
      </c>
      <c r="J601" s="16">
        <f t="shared" si="9"/>
        <v>0</v>
      </c>
    </row>
    <row r="602" spans="1:10" x14ac:dyDescent="0.25">
      <c r="A602" s="4" t="s">
        <v>85</v>
      </c>
      <c r="B602" s="1">
        <v>0.85538400000000003</v>
      </c>
      <c r="C602" s="1">
        <v>0.85827600000000004</v>
      </c>
      <c r="D602" s="1">
        <f>IF(B602&gt;C602,B602-C602,C602-B602)</f>
        <v>2.8920000000000057E-3</v>
      </c>
      <c r="E602">
        <f>MINUTE(D602)</f>
        <v>4</v>
      </c>
      <c r="F602">
        <f>SECOND(D602)</f>
        <v>10</v>
      </c>
      <c r="G602">
        <f>ROUND(E602+F602/60,2)</f>
        <v>4.17</v>
      </c>
      <c r="H602">
        <f>60*E602+F602</f>
        <v>250</v>
      </c>
      <c r="I602" s="3">
        <f>5*(3600/H602)</f>
        <v>72</v>
      </c>
      <c r="J602" s="16">
        <f t="shared" si="9"/>
        <v>0</v>
      </c>
    </row>
    <row r="603" spans="1:10" x14ac:dyDescent="0.25">
      <c r="A603" s="4" t="s">
        <v>230</v>
      </c>
      <c r="B603" s="1">
        <v>0.86723899999999998</v>
      </c>
      <c r="C603" s="1">
        <v>0.86434699999999998</v>
      </c>
      <c r="D603" s="1">
        <f>IF(B603&gt;C603,B603-C603,C603-B603)</f>
        <v>2.8920000000000057E-3</v>
      </c>
      <c r="E603">
        <f>MINUTE(D603)</f>
        <v>4</v>
      </c>
      <c r="F603">
        <f>SECOND(D603)</f>
        <v>10</v>
      </c>
      <c r="G603">
        <f>ROUND(E603+F603/60,2)</f>
        <v>4.17</v>
      </c>
      <c r="H603">
        <f>60*E603+F603</f>
        <v>250</v>
      </c>
      <c r="I603" s="3">
        <f>5*(3600/H603)</f>
        <v>72</v>
      </c>
      <c r="J603" s="16">
        <f t="shared" si="9"/>
        <v>0</v>
      </c>
    </row>
    <row r="604" spans="1:10" x14ac:dyDescent="0.25">
      <c r="A604" s="4" t="s">
        <v>289</v>
      </c>
      <c r="B604" s="1">
        <v>0.260156</v>
      </c>
      <c r="C604" s="1">
        <v>0.25726399999999999</v>
      </c>
      <c r="D604" s="1">
        <f>IF(B604&gt;C604,B604-C604,C604-B604)</f>
        <v>2.8920000000000057E-3</v>
      </c>
      <c r="E604">
        <f>MINUTE(D604)</f>
        <v>4</v>
      </c>
      <c r="F604">
        <f>SECOND(D604)</f>
        <v>10</v>
      </c>
      <c r="G604">
        <f>ROUND(E604+F604/60,2)</f>
        <v>4.17</v>
      </c>
      <c r="H604">
        <f>60*E604+F604</f>
        <v>250</v>
      </c>
      <c r="I604" s="3">
        <f>5*(3600/H604)</f>
        <v>72</v>
      </c>
      <c r="J604" s="16">
        <f t="shared" si="9"/>
        <v>0</v>
      </c>
    </row>
    <row r="605" spans="1:10" x14ac:dyDescent="0.25">
      <c r="A605" s="4" t="s">
        <v>359</v>
      </c>
      <c r="B605" s="1">
        <v>0.81716200000000005</v>
      </c>
      <c r="C605" s="1">
        <v>0.81427000000000005</v>
      </c>
      <c r="D605" s="1">
        <f>IF(B605&gt;C605,B605-C605,C605-B605)</f>
        <v>2.8920000000000057E-3</v>
      </c>
      <c r="E605">
        <f>MINUTE(D605)</f>
        <v>4</v>
      </c>
      <c r="F605">
        <f>SECOND(D605)</f>
        <v>10</v>
      </c>
      <c r="G605">
        <f>ROUND(E605+F605/60,2)</f>
        <v>4.17</v>
      </c>
      <c r="H605">
        <f>60*E605+F605</f>
        <v>250</v>
      </c>
      <c r="I605" s="3">
        <f>5*(3600/H605)</f>
        <v>72</v>
      </c>
      <c r="J605" s="16">
        <f t="shared" si="9"/>
        <v>0</v>
      </c>
    </row>
    <row r="606" spans="1:10" x14ac:dyDescent="0.25">
      <c r="A606" s="4" t="s">
        <v>92</v>
      </c>
      <c r="B606" s="1">
        <v>0.53350699999999995</v>
      </c>
      <c r="C606" s="1">
        <v>0.53640699999999997</v>
      </c>
      <c r="D606" s="1">
        <f>IF(B606&gt;C606,B606-C606,C606-B606)</f>
        <v>2.9000000000000137E-3</v>
      </c>
      <c r="E606">
        <f>MINUTE(D606)</f>
        <v>4</v>
      </c>
      <c r="F606">
        <f>SECOND(D606)</f>
        <v>11</v>
      </c>
      <c r="G606">
        <f>ROUND(E606+F606/60,2)</f>
        <v>4.18</v>
      </c>
      <c r="H606">
        <f>60*E606+F606</f>
        <v>251</v>
      </c>
      <c r="I606" s="3">
        <f>5*(3600/H606)</f>
        <v>71.713147410358559</v>
      </c>
      <c r="J606" s="16">
        <f t="shared" si="9"/>
        <v>0</v>
      </c>
    </row>
    <row r="607" spans="1:10" x14ac:dyDescent="0.25">
      <c r="A607" s="4" t="s">
        <v>26</v>
      </c>
      <c r="B607" s="1">
        <v>0.29010599999999998</v>
      </c>
      <c r="C607" s="1">
        <v>0.29300599999999999</v>
      </c>
      <c r="D607" s="1">
        <f>IF(B607&gt;C607,B607-C607,C607-B607)</f>
        <v>2.9000000000000137E-3</v>
      </c>
      <c r="E607">
        <f>MINUTE(D607)</f>
        <v>4</v>
      </c>
      <c r="F607">
        <f>SECOND(D607)</f>
        <v>11</v>
      </c>
      <c r="G607">
        <f>ROUND(E607+F607/60,2)</f>
        <v>4.18</v>
      </c>
      <c r="H607">
        <f>60*E607+F607</f>
        <v>251</v>
      </c>
      <c r="I607" s="3">
        <f>5*(3600/H607)</f>
        <v>71.713147410358559</v>
      </c>
      <c r="J607" s="16">
        <f t="shared" si="9"/>
        <v>0</v>
      </c>
    </row>
    <row r="608" spans="1:10" x14ac:dyDescent="0.25">
      <c r="A608" s="4" t="s">
        <v>138</v>
      </c>
      <c r="B608" s="1">
        <v>0.94605499999999998</v>
      </c>
      <c r="C608" s="1">
        <v>0.94314699999999996</v>
      </c>
      <c r="D608" s="1">
        <f>IF(B608&gt;C608,B608-C608,C608-B608)</f>
        <v>2.9080000000000217E-3</v>
      </c>
      <c r="E608">
        <f>MINUTE(D608)</f>
        <v>4</v>
      </c>
      <c r="F608">
        <f>SECOND(D608)</f>
        <v>11</v>
      </c>
      <c r="G608">
        <f>ROUND(E608+F608/60,2)</f>
        <v>4.18</v>
      </c>
      <c r="H608">
        <f>60*E608+F608</f>
        <v>251</v>
      </c>
      <c r="I608" s="3">
        <f>5*(3600/H608)</f>
        <v>71.713147410358559</v>
      </c>
      <c r="J608" s="16">
        <f t="shared" si="9"/>
        <v>0</v>
      </c>
    </row>
    <row r="609" spans="1:10" x14ac:dyDescent="0.25">
      <c r="A609" s="4" t="s">
        <v>146</v>
      </c>
      <c r="B609" s="1">
        <v>0.72777400000000003</v>
      </c>
      <c r="C609" s="1">
        <v>0.72487400000000002</v>
      </c>
      <c r="D609" s="1">
        <f>IF(B609&gt;C609,B609-C609,C609-B609)</f>
        <v>2.9000000000000137E-3</v>
      </c>
      <c r="E609">
        <f>MINUTE(D609)</f>
        <v>4</v>
      </c>
      <c r="F609">
        <f>SECOND(D609)</f>
        <v>11</v>
      </c>
      <c r="G609">
        <f>ROUND(E609+F609/60,2)</f>
        <v>4.18</v>
      </c>
      <c r="H609">
        <f>60*E609+F609</f>
        <v>251</v>
      </c>
      <c r="I609" s="3">
        <f>5*(3600/H609)</f>
        <v>71.713147410358559</v>
      </c>
      <c r="J609" s="16">
        <f t="shared" si="9"/>
        <v>0</v>
      </c>
    </row>
    <row r="610" spans="1:10" x14ac:dyDescent="0.25">
      <c r="A610" s="4" t="s">
        <v>74</v>
      </c>
      <c r="B610" s="1">
        <v>0.91838799999999998</v>
      </c>
      <c r="C610" s="1">
        <v>0.91548399999999996</v>
      </c>
      <c r="D610" s="1">
        <f>IF(B610&gt;C610,B610-C610,C610-B610)</f>
        <v>2.9040000000000177E-3</v>
      </c>
      <c r="E610">
        <f>MINUTE(D610)</f>
        <v>4</v>
      </c>
      <c r="F610">
        <f>SECOND(D610)</f>
        <v>11</v>
      </c>
      <c r="G610">
        <f>ROUND(E610+F610/60,2)</f>
        <v>4.18</v>
      </c>
      <c r="H610">
        <f>60*E610+F610</f>
        <v>251</v>
      </c>
      <c r="I610" s="3">
        <f>5*(3600/H610)</f>
        <v>71.713147410358559</v>
      </c>
      <c r="J610" s="16">
        <f t="shared" si="9"/>
        <v>0</v>
      </c>
    </row>
    <row r="611" spans="1:10" x14ac:dyDescent="0.25">
      <c r="A611" s="4" t="s">
        <v>18</v>
      </c>
      <c r="B611" s="1">
        <v>0.97761100000000001</v>
      </c>
      <c r="C611" s="1">
        <v>0.98051100000000002</v>
      </c>
      <c r="D611" s="1">
        <f>IF(B611&gt;C611,B611-C611,C611-B611)</f>
        <v>2.9000000000000137E-3</v>
      </c>
      <c r="E611">
        <f>MINUTE(D611)</f>
        <v>4</v>
      </c>
      <c r="F611">
        <f>SECOND(D611)</f>
        <v>11</v>
      </c>
      <c r="G611">
        <f>ROUND(E611+F611/60,2)</f>
        <v>4.18</v>
      </c>
      <c r="H611">
        <f>60*E611+F611</f>
        <v>251</v>
      </c>
      <c r="I611" s="3">
        <f>5*(3600/H611)</f>
        <v>71.713147410358559</v>
      </c>
      <c r="J611" s="16">
        <f t="shared" si="9"/>
        <v>0</v>
      </c>
    </row>
    <row r="612" spans="1:10" x14ac:dyDescent="0.25">
      <c r="A612" s="4" t="s">
        <v>384</v>
      </c>
      <c r="B612" s="1">
        <v>0.78184600000000004</v>
      </c>
      <c r="C612" s="1">
        <v>0.78475399999999995</v>
      </c>
      <c r="D612" s="1">
        <f>IF(B612&gt;C612,B612-C612,C612-B612)</f>
        <v>2.9079999999999107E-3</v>
      </c>
      <c r="E612">
        <f>MINUTE(D612)</f>
        <v>4</v>
      </c>
      <c r="F612">
        <f>SECOND(D612)</f>
        <v>11</v>
      </c>
      <c r="G612">
        <f>ROUND(E612+F612/60,2)</f>
        <v>4.18</v>
      </c>
      <c r="H612">
        <f>60*E612+F612</f>
        <v>251</v>
      </c>
      <c r="I612" s="3">
        <f>5*(3600/H612)</f>
        <v>71.713147410358559</v>
      </c>
      <c r="J612" s="16">
        <f t="shared" si="9"/>
        <v>0</v>
      </c>
    </row>
    <row r="613" spans="1:10" x14ac:dyDescent="0.25">
      <c r="A613" s="4" t="s">
        <v>87</v>
      </c>
      <c r="B613" s="1">
        <v>0.16008700000000001</v>
      </c>
      <c r="C613" s="1">
        <v>0.15717100000000001</v>
      </c>
      <c r="D613" s="1">
        <f>IF(B613&gt;C613,B613-C613,C613-B613)</f>
        <v>2.9160000000000019E-3</v>
      </c>
      <c r="E613">
        <f>MINUTE(D613)</f>
        <v>4</v>
      </c>
      <c r="F613">
        <f>SECOND(D613)</f>
        <v>12</v>
      </c>
      <c r="G613">
        <f>ROUND(E613+F613/60,2)</f>
        <v>4.2</v>
      </c>
      <c r="H613">
        <f>60*E613+F613</f>
        <v>252</v>
      </c>
      <c r="I613" s="3">
        <f>5*(3600/H613)</f>
        <v>71.428571428571431</v>
      </c>
      <c r="J613" s="16">
        <f t="shared" si="9"/>
        <v>0</v>
      </c>
    </row>
    <row r="614" spans="1:10" x14ac:dyDescent="0.25">
      <c r="A614" s="4" t="s">
        <v>140</v>
      </c>
      <c r="B614" s="1">
        <v>0.90234800000000004</v>
      </c>
      <c r="C614" s="1">
        <v>0.89943600000000001</v>
      </c>
      <c r="D614" s="1">
        <f>IF(B614&gt;C614,B614-C614,C614-B614)</f>
        <v>2.9120000000000257E-3</v>
      </c>
      <c r="E614">
        <f>MINUTE(D614)</f>
        <v>4</v>
      </c>
      <c r="F614">
        <f>SECOND(D614)</f>
        <v>12</v>
      </c>
      <c r="G614">
        <f>ROUND(E614+F614/60,2)</f>
        <v>4.2</v>
      </c>
      <c r="H614">
        <f>60*E614+F614</f>
        <v>252</v>
      </c>
      <c r="I614" s="3">
        <f>5*(3600/H614)</f>
        <v>71.428571428571431</v>
      </c>
      <c r="J614" s="16">
        <f t="shared" si="9"/>
        <v>0</v>
      </c>
    </row>
    <row r="615" spans="1:10" x14ac:dyDescent="0.25">
      <c r="A615" s="4" t="s">
        <v>41</v>
      </c>
      <c r="B615" s="1">
        <v>0.58149399999999996</v>
      </c>
      <c r="C615" s="1">
        <v>0.57857000000000003</v>
      </c>
      <c r="D615" s="1">
        <f>IF(B615&gt;C615,B615-C615,C615-B615)</f>
        <v>2.9239999999999267E-3</v>
      </c>
      <c r="E615">
        <f>MINUTE(D615)</f>
        <v>4</v>
      </c>
      <c r="F615">
        <f>SECOND(D615)</f>
        <v>13</v>
      </c>
      <c r="G615">
        <f>ROUND(E615+F615/60,2)</f>
        <v>4.22</v>
      </c>
      <c r="H615">
        <f>60*E615+F615</f>
        <v>253</v>
      </c>
      <c r="I615" s="3">
        <f>5*(3600/H615)</f>
        <v>71.146245059288532</v>
      </c>
      <c r="J615" s="16">
        <f t="shared" si="9"/>
        <v>0</v>
      </c>
    </row>
    <row r="616" spans="1:10" x14ac:dyDescent="0.25">
      <c r="A616" s="4" t="s">
        <v>87</v>
      </c>
      <c r="B616" s="1">
        <v>0.193798</v>
      </c>
      <c r="C616" s="1">
        <v>0.19087000000000001</v>
      </c>
      <c r="D616" s="1">
        <f>IF(B616&gt;C616,B616-C616,C616-B616)</f>
        <v>2.9279999999999862E-3</v>
      </c>
      <c r="E616">
        <f>MINUTE(D616)</f>
        <v>4</v>
      </c>
      <c r="F616">
        <f>SECOND(D616)</f>
        <v>13</v>
      </c>
      <c r="G616">
        <f>ROUND(E616+F616/60,2)</f>
        <v>4.22</v>
      </c>
      <c r="H616">
        <f>60*E616+F616</f>
        <v>253</v>
      </c>
      <c r="I616" s="3">
        <f>5*(3600/H616)</f>
        <v>71.146245059288532</v>
      </c>
      <c r="J616" s="16">
        <f t="shared" si="9"/>
        <v>0</v>
      </c>
    </row>
    <row r="617" spans="1:10" x14ac:dyDescent="0.25">
      <c r="A617" s="4" t="s">
        <v>222</v>
      </c>
      <c r="B617" s="1">
        <v>0.16234899999999999</v>
      </c>
      <c r="C617" s="1">
        <v>0.15942100000000001</v>
      </c>
      <c r="D617" s="1">
        <f>IF(B617&gt;C617,B617-C617,C617-B617)</f>
        <v>2.9279999999999862E-3</v>
      </c>
      <c r="E617">
        <f>MINUTE(D617)</f>
        <v>4</v>
      </c>
      <c r="F617">
        <f>SECOND(D617)</f>
        <v>13</v>
      </c>
      <c r="G617">
        <f>ROUND(E617+F617/60,2)</f>
        <v>4.22</v>
      </c>
      <c r="H617">
        <f>60*E617+F617</f>
        <v>253</v>
      </c>
      <c r="I617" s="3">
        <f>5*(3600/H617)</f>
        <v>71.146245059288532</v>
      </c>
      <c r="J617" s="16">
        <f t="shared" si="9"/>
        <v>0</v>
      </c>
    </row>
    <row r="618" spans="1:10" x14ac:dyDescent="0.25">
      <c r="A618" s="4" t="s">
        <v>398</v>
      </c>
      <c r="B618" s="1">
        <v>0.62443000000000004</v>
      </c>
      <c r="C618" s="1">
        <v>0.62149799999999999</v>
      </c>
      <c r="D618" s="1">
        <f>IF(B618&gt;C618,B618-C618,C618-B618)</f>
        <v>2.9320000000000457E-3</v>
      </c>
      <c r="E618">
        <f>MINUTE(D618)</f>
        <v>4</v>
      </c>
      <c r="F618">
        <f>SECOND(D618)</f>
        <v>13</v>
      </c>
      <c r="G618">
        <f>ROUND(E618+F618/60,2)</f>
        <v>4.22</v>
      </c>
      <c r="H618">
        <f>60*E618+F618</f>
        <v>253</v>
      </c>
      <c r="I618" s="3">
        <f>5*(3600/H618)</f>
        <v>71.146245059288532</v>
      </c>
      <c r="J618" s="16">
        <f t="shared" si="9"/>
        <v>0</v>
      </c>
    </row>
    <row r="619" spans="1:10" x14ac:dyDescent="0.25">
      <c r="A619" s="4" t="s">
        <v>75</v>
      </c>
      <c r="B619" s="1">
        <v>0.85006000000000004</v>
      </c>
      <c r="C619" s="1">
        <v>0.85299599999999998</v>
      </c>
      <c r="D619" s="1">
        <f>IF(B619&gt;C619,B619-C619,C619-B619)</f>
        <v>2.9359999999999387E-3</v>
      </c>
      <c r="E619">
        <f>MINUTE(D619)</f>
        <v>4</v>
      </c>
      <c r="F619">
        <f>SECOND(D619)</f>
        <v>14</v>
      </c>
      <c r="G619">
        <f>ROUND(E619+F619/60,2)</f>
        <v>4.2300000000000004</v>
      </c>
      <c r="H619">
        <f>60*E619+F619</f>
        <v>254</v>
      </c>
      <c r="I619" s="3">
        <f>5*(3600/H619)</f>
        <v>70.866141732283467</v>
      </c>
      <c r="J619" s="16">
        <f t="shared" si="9"/>
        <v>0</v>
      </c>
    </row>
    <row r="620" spans="1:10" x14ac:dyDescent="0.25">
      <c r="A620" s="4" t="s">
        <v>47</v>
      </c>
      <c r="B620" s="1">
        <v>0.78562500000000002</v>
      </c>
      <c r="C620" s="1">
        <v>0.78268499999999996</v>
      </c>
      <c r="D620" s="1">
        <f>IF(B620&gt;C620,B620-C620,C620-B620)</f>
        <v>2.9400000000000537E-3</v>
      </c>
      <c r="E620">
        <f>MINUTE(D620)</f>
        <v>4</v>
      </c>
      <c r="F620">
        <f>SECOND(D620)</f>
        <v>14</v>
      </c>
      <c r="G620">
        <f>ROUND(E620+F620/60,2)</f>
        <v>4.2300000000000004</v>
      </c>
      <c r="H620">
        <f>60*E620+F620</f>
        <v>254</v>
      </c>
      <c r="I620" s="3">
        <f>5*(3600/H620)</f>
        <v>70.866141732283467</v>
      </c>
      <c r="J620" s="16">
        <f t="shared" si="9"/>
        <v>0</v>
      </c>
    </row>
    <row r="621" spans="1:10" x14ac:dyDescent="0.25">
      <c r="A621" s="4" t="s">
        <v>160</v>
      </c>
      <c r="B621" s="1">
        <v>0.85336199999999995</v>
      </c>
      <c r="C621" s="1">
        <v>0.85630600000000001</v>
      </c>
      <c r="D621" s="1">
        <f>IF(B621&gt;C621,B621-C621,C621-B621)</f>
        <v>2.9440000000000577E-3</v>
      </c>
      <c r="E621">
        <f>MINUTE(D621)</f>
        <v>4</v>
      </c>
      <c r="F621">
        <f>SECOND(D621)</f>
        <v>14</v>
      </c>
      <c r="G621">
        <f>ROUND(E621+F621/60,2)</f>
        <v>4.2300000000000004</v>
      </c>
      <c r="H621">
        <f>60*E621+F621</f>
        <v>254</v>
      </c>
      <c r="I621" s="3">
        <f>5*(3600/H621)</f>
        <v>70.866141732283467</v>
      </c>
      <c r="J621" s="16">
        <f t="shared" si="9"/>
        <v>0</v>
      </c>
    </row>
    <row r="622" spans="1:10" x14ac:dyDescent="0.25">
      <c r="A622" s="4" t="s">
        <v>117</v>
      </c>
      <c r="B622" s="1">
        <v>0.184863</v>
      </c>
      <c r="C622" s="1">
        <v>0.181919</v>
      </c>
      <c r="D622" s="1">
        <f>IF(B622&gt;C622,B622-C622,C622-B622)</f>
        <v>2.9440000000000022E-3</v>
      </c>
      <c r="E622">
        <f>MINUTE(D622)</f>
        <v>4</v>
      </c>
      <c r="F622">
        <f>SECOND(D622)</f>
        <v>14</v>
      </c>
      <c r="G622">
        <f>ROUND(E622+F622/60,2)</f>
        <v>4.2300000000000004</v>
      </c>
      <c r="H622">
        <f>60*E622+F622</f>
        <v>254</v>
      </c>
      <c r="I622" s="3">
        <f>5*(3600/H622)</f>
        <v>70.866141732283467</v>
      </c>
      <c r="J622" s="16">
        <f t="shared" si="9"/>
        <v>0</v>
      </c>
    </row>
    <row r="623" spans="1:10" x14ac:dyDescent="0.25">
      <c r="A623" s="4" t="s">
        <v>5</v>
      </c>
      <c r="B623" s="1">
        <v>0.78616900000000001</v>
      </c>
      <c r="C623" s="1">
        <v>0.78911699999999996</v>
      </c>
      <c r="D623" s="1">
        <f>IF(B623&gt;C623,B623-C623,C623-B623)</f>
        <v>2.9479999999999507E-3</v>
      </c>
      <c r="E623">
        <f>MINUTE(D623)</f>
        <v>4</v>
      </c>
      <c r="F623">
        <f>SECOND(D623)</f>
        <v>15</v>
      </c>
      <c r="G623">
        <f>ROUND(E623+F623/60,2)</f>
        <v>4.25</v>
      </c>
      <c r="H623">
        <f>60*E623+F623</f>
        <v>255</v>
      </c>
      <c r="I623" s="3">
        <f>5*(3600/H623)</f>
        <v>70.588235294117652</v>
      </c>
      <c r="J623" s="16">
        <f t="shared" si="9"/>
        <v>0</v>
      </c>
    </row>
    <row r="624" spans="1:10" x14ac:dyDescent="0.25">
      <c r="A624" s="4" t="s">
        <v>85</v>
      </c>
      <c r="B624" s="1">
        <v>0.139958</v>
      </c>
      <c r="C624" s="1">
        <v>0.14291400000000001</v>
      </c>
      <c r="D624" s="1">
        <f>IF(B624&gt;C624,B624-C624,C624-B624)</f>
        <v>2.9560000000000142E-3</v>
      </c>
      <c r="E624">
        <f>MINUTE(D624)</f>
        <v>4</v>
      </c>
      <c r="F624">
        <f>SECOND(D624)</f>
        <v>15</v>
      </c>
      <c r="G624">
        <f>ROUND(E624+F624/60,2)</f>
        <v>4.25</v>
      </c>
      <c r="H624">
        <f>60*E624+F624</f>
        <v>255</v>
      </c>
      <c r="I624" s="3">
        <f>5*(3600/H624)</f>
        <v>70.588235294117652</v>
      </c>
      <c r="J624" s="16">
        <f t="shared" si="9"/>
        <v>0</v>
      </c>
    </row>
    <row r="625" spans="1:10" x14ac:dyDescent="0.25">
      <c r="A625" s="4" t="s">
        <v>26</v>
      </c>
      <c r="B625" s="1">
        <v>0.34465099999999999</v>
      </c>
      <c r="C625" s="1">
        <v>0.347607</v>
      </c>
      <c r="D625" s="1">
        <f>IF(B625&gt;C625,B625-C625,C625-B625)</f>
        <v>2.9560000000000142E-3</v>
      </c>
      <c r="E625">
        <f>MINUTE(D625)</f>
        <v>4</v>
      </c>
      <c r="F625">
        <f>SECOND(D625)</f>
        <v>15</v>
      </c>
      <c r="G625">
        <f>ROUND(E625+F625/60,2)</f>
        <v>4.25</v>
      </c>
      <c r="H625">
        <f>60*E625+F625</f>
        <v>255</v>
      </c>
      <c r="I625" s="3">
        <f>5*(3600/H625)</f>
        <v>70.588235294117652</v>
      </c>
      <c r="J625" s="16">
        <f t="shared" si="9"/>
        <v>0</v>
      </c>
    </row>
    <row r="626" spans="1:10" x14ac:dyDescent="0.25">
      <c r="A626" s="4" t="s">
        <v>308</v>
      </c>
      <c r="B626" s="1">
        <v>0.25362299999999999</v>
      </c>
      <c r="C626" s="1">
        <v>0.256579</v>
      </c>
      <c r="D626" s="1">
        <f>IF(B626&gt;C626,B626-C626,C626-B626)</f>
        <v>2.9560000000000142E-3</v>
      </c>
      <c r="E626">
        <f>MINUTE(D626)</f>
        <v>4</v>
      </c>
      <c r="F626">
        <f>SECOND(D626)</f>
        <v>15</v>
      </c>
      <c r="G626">
        <f>ROUND(E626+F626/60,2)</f>
        <v>4.25</v>
      </c>
      <c r="H626">
        <f>60*E626+F626</f>
        <v>255</v>
      </c>
      <c r="I626" s="3">
        <f>5*(3600/H626)</f>
        <v>70.588235294117652</v>
      </c>
      <c r="J626" s="16">
        <f t="shared" si="9"/>
        <v>0</v>
      </c>
    </row>
    <row r="627" spans="1:10" x14ac:dyDescent="0.25">
      <c r="A627" s="4" t="s">
        <v>75</v>
      </c>
      <c r="B627" s="1">
        <v>0.87064699999999995</v>
      </c>
      <c r="C627" s="1">
        <v>0.87361100000000003</v>
      </c>
      <c r="D627" s="1">
        <f>IF(B627&gt;C627,B627-C627,C627-B627)</f>
        <v>2.9640000000000777E-3</v>
      </c>
      <c r="E627">
        <f>MINUTE(D627)</f>
        <v>4</v>
      </c>
      <c r="F627">
        <f>SECOND(D627)</f>
        <v>16</v>
      </c>
      <c r="G627">
        <f>ROUND(E627+F627/60,2)</f>
        <v>4.2699999999999996</v>
      </c>
      <c r="H627">
        <f>60*E627+F627</f>
        <v>256</v>
      </c>
      <c r="I627" s="3">
        <f>5*(3600/H627)</f>
        <v>70.3125</v>
      </c>
      <c r="J627" s="16">
        <f t="shared" si="9"/>
        <v>0</v>
      </c>
    </row>
    <row r="628" spans="1:10" x14ac:dyDescent="0.25">
      <c r="A628" s="4" t="s">
        <v>68</v>
      </c>
      <c r="B628" s="1">
        <v>0.25546200000000002</v>
      </c>
      <c r="C628" s="1">
        <v>0.25842199999999999</v>
      </c>
      <c r="D628" s="1">
        <f>IF(B628&gt;C628,B628-C628,C628-B628)</f>
        <v>2.9599999999999627E-3</v>
      </c>
      <c r="E628">
        <f>MINUTE(D628)</f>
        <v>4</v>
      </c>
      <c r="F628">
        <f>SECOND(D628)</f>
        <v>16</v>
      </c>
      <c r="G628">
        <f>ROUND(E628+F628/60,2)</f>
        <v>4.2699999999999996</v>
      </c>
      <c r="H628">
        <f>60*E628+F628</f>
        <v>256</v>
      </c>
      <c r="I628" s="3">
        <f>5*(3600/H628)</f>
        <v>70.3125</v>
      </c>
      <c r="J628" s="16">
        <f t="shared" si="9"/>
        <v>0</v>
      </c>
    </row>
    <row r="629" spans="1:10" x14ac:dyDescent="0.25">
      <c r="A629" s="4" t="s">
        <v>112</v>
      </c>
      <c r="B629" s="1">
        <v>8.3103999999999997E-2</v>
      </c>
      <c r="C629" s="1">
        <v>8.0135999999999999E-2</v>
      </c>
      <c r="D629" s="1">
        <f>IF(B629&gt;C629,B629-C629,C629-B629)</f>
        <v>2.9679999999999984E-3</v>
      </c>
      <c r="E629">
        <f>MINUTE(D629)</f>
        <v>4</v>
      </c>
      <c r="F629">
        <f>SECOND(D629)</f>
        <v>16</v>
      </c>
      <c r="G629">
        <f>ROUND(E629+F629/60,2)</f>
        <v>4.2699999999999996</v>
      </c>
      <c r="H629">
        <f>60*E629+F629</f>
        <v>256</v>
      </c>
      <c r="I629" s="3">
        <f>5*(3600/H629)</f>
        <v>70.3125</v>
      </c>
      <c r="J629" s="16">
        <f t="shared" si="9"/>
        <v>0</v>
      </c>
    </row>
    <row r="630" spans="1:10" x14ac:dyDescent="0.25">
      <c r="A630" s="4" t="s">
        <v>226</v>
      </c>
      <c r="B630" s="1">
        <v>0.30818200000000001</v>
      </c>
      <c r="C630" s="1">
        <v>0.30521399999999999</v>
      </c>
      <c r="D630" s="1">
        <f>IF(B630&gt;C630,B630-C630,C630-B630)</f>
        <v>2.9680000000000262E-3</v>
      </c>
      <c r="E630">
        <f>MINUTE(D630)</f>
        <v>4</v>
      </c>
      <c r="F630">
        <f>SECOND(D630)</f>
        <v>16</v>
      </c>
      <c r="G630">
        <f>ROUND(E630+F630/60,2)</f>
        <v>4.2699999999999996</v>
      </c>
      <c r="H630">
        <f>60*E630+F630</f>
        <v>256</v>
      </c>
      <c r="I630" s="3">
        <f>5*(3600/H630)</f>
        <v>70.3125</v>
      </c>
      <c r="J630" s="16">
        <f t="shared" si="9"/>
        <v>0</v>
      </c>
    </row>
    <row r="631" spans="1:10" x14ac:dyDescent="0.25">
      <c r="A631" s="4" t="s">
        <v>303</v>
      </c>
      <c r="B631" s="1">
        <v>0.11633300000000001</v>
      </c>
      <c r="C631" s="1">
        <v>0.113373</v>
      </c>
      <c r="D631" s="1">
        <f>IF(B631&gt;C631,B631-C631,C631-B631)</f>
        <v>2.9600000000000043E-3</v>
      </c>
      <c r="E631">
        <f>MINUTE(D631)</f>
        <v>4</v>
      </c>
      <c r="F631">
        <f>SECOND(D631)</f>
        <v>16</v>
      </c>
      <c r="G631">
        <f>ROUND(E631+F631/60,2)</f>
        <v>4.2699999999999996</v>
      </c>
      <c r="H631">
        <f>60*E631+F631</f>
        <v>256</v>
      </c>
      <c r="I631" s="3">
        <f>5*(3600/H631)</f>
        <v>70.3125</v>
      </c>
      <c r="J631" s="16">
        <f t="shared" si="9"/>
        <v>0</v>
      </c>
    </row>
    <row r="632" spans="1:10" x14ac:dyDescent="0.25">
      <c r="A632" s="4" t="s">
        <v>7</v>
      </c>
      <c r="B632" s="1">
        <v>0.16389799999999999</v>
      </c>
      <c r="C632" s="1">
        <v>0.16686999999999999</v>
      </c>
      <c r="D632" s="1">
        <f>IF(B632&gt;C632,B632-C632,C632-B632)</f>
        <v>2.9720000000000024E-3</v>
      </c>
      <c r="E632">
        <f>MINUTE(D632)</f>
        <v>4</v>
      </c>
      <c r="F632">
        <f>SECOND(D632)</f>
        <v>17</v>
      </c>
      <c r="G632">
        <f>ROUND(E632+F632/60,2)</f>
        <v>4.28</v>
      </c>
      <c r="H632">
        <f>60*E632+F632</f>
        <v>257</v>
      </c>
      <c r="I632" s="3">
        <f>5*(3600/H632)</f>
        <v>70.038910505836583</v>
      </c>
      <c r="J632" s="16">
        <f t="shared" si="9"/>
        <v>0</v>
      </c>
    </row>
    <row r="633" spans="1:10" x14ac:dyDescent="0.25">
      <c r="A633" s="4" t="s">
        <v>35</v>
      </c>
      <c r="B633" s="1">
        <v>0.220334</v>
      </c>
      <c r="C633" s="1">
        <v>0.22331400000000001</v>
      </c>
      <c r="D633" s="1">
        <f>IF(B633&gt;C633,B633-C633,C633-B633)</f>
        <v>2.9800000000000104E-3</v>
      </c>
      <c r="E633">
        <f>MINUTE(D633)</f>
        <v>4</v>
      </c>
      <c r="F633">
        <f>SECOND(D633)</f>
        <v>17</v>
      </c>
      <c r="G633">
        <f>ROUND(E633+F633/60,2)</f>
        <v>4.28</v>
      </c>
      <c r="H633">
        <f>60*E633+F633</f>
        <v>257</v>
      </c>
      <c r="I633" s="3">
        <f>5*(3600/H633)</f>
        <v>70.038910505836583</v>
      </c>
      <c r="J633" s="16">
        <f t="shared" si="9"/>
        <v>0</v>
      </c>
    </row>
    <row r="634" spans="1:10" x14ac:dyDescent="0.25">
      <c r="A634" s="4" t="s">
        <v>132</v>
      </c>
      <c r="B634" s="1">
        <v>0.19933999999999999</v>
      </c>
      <c r="C634" s="1">
        <v>0.19636400000000001</v>
      </c>
      <c r="D634" s="1">
        <f>IF(B634&gt;C634,B634-C634,C634-B634)</f>
        <v>2.9759999999999787E-3</v>
      </c>
      <c r="E634">
        <f>MINUTE(D634)</f>
        <v>4</v>
      </c>
      <c r="F634">
        <f>SECOND(D634)</f>
        <v>17</v>
      </c>
      <c r="G634">
        <f>ROUND(E634+F634/60,2)</f>
        <v>4.28</v>
      </c>
      <c r="H634">
        <f>60*E634+F634</f>
        <v>257</v>
      </c>
      <c r="I634" s="3">
        <f>5*(3600/H634)</f>
        <v>70.038910505836583</v>
      </c>
      <c r="J634" s="16">
        <f t="shared" si="9"/>
        <v>0</v>
      </c>
    </row>
    <row r="635" spans="1:10" x14ac:dyDescent="0.25">
      <c r="A635" s="4" t="s">
        <v>429</v>
      </c>
      <c r="B635" s="1">
        <v>0.95077199999999995</v>
      </c>
      <c r="C635" s="1">
        <v>0.94779599999999997</v>
      </c>
      <c r="D635" s="1">
        <f>IF(B635&gt;C635,B635-C635,C635-B635)</f>
        <v>2.9759999999999787E-3</v>
      </c>
      <c r="E635">
        <f>MINUTE(D635)</f>
        <v>4</v>
      </c>
      <c r="F635">
        <f>SECOND(D635)</f>
        <v>17</v>
      </c>
      <c r="G635">
        <f>ROUND(E635+F635/60,2)</f>
        <v>4.28</v>
      </c>
      <c r="H635">
        <f>60*E635+F635</f>
        <v>257</v>
      </c>
      <c r="I635" s="3">
        <f>5*(3600/H635)</f>
        <v>70.038910505836583</v>
      </c>
      <c r="J635" s="16">
        <f t="shared" si="9"/>
        <v>0</v>
      </c>
    </row>
    <row r="636" spans="1:10" x14ac:dyDescent="0.25">
      <c r="A636" s="4" t="s">
        <v>69</v>
      </c>
      <c r="B636" s="1">
        <v>0.47924800000000001</v>
      </c>
      <c r="C636" s="1">
        <v>0.47626000000000002</v>
      </c>
      <c r="D636" s="1">
        <f>IF(B636&gt;C636,B636-C636,C636-B636)</f>
        <v>2.9879999999999907E-3</v>
      </c>
      <c r="E636">
        <f>MINUTE(D636)</f>
        <v>4</v>
      </c>
      <c r="F636">
        <f>SECOND(D636)</f>
        <v>18</v>
      </c>
      <c r="G636">
        <f>ROUND(E636+F636/60,2)</f>
        <v>4.3</v>
      </c>
      <c r="H636">
        <f>60*E636+F636</f>
        <v>258</v>
      </c>
      <c r="I636" s="3">
        <f>5*(3600/H636)</f>
        <v>69.767441860465112</v>
      </c>
      <c r="J636" s="16">
        <f t="shared" si="9"/>
        <v>0</v>
      </c>
    </row>
    <row r="637" spans="1:10" x14ac:dyDescent="0.25">
      <c r="A637" s="4" t="s">
        <v>392</v>
      </c>
      <c r="B637" s="1">
        <v>0.27104099999999998</v>
      </c>
      <c r="C637" s="1">
        <v>0.27402900000000002</v>
      </c>
      <c r="D637" s="1">
        <f>IF(B637&gt;C637,B637-C637,C637-B637)</f>
        <v>2.9880000000000462E-3</v>
      </c>
      <c r="E637">
        <f>MINUTE(D637)</f>
        <v>4</v>
      </c>
      <c r="F637">
        <f>SECOND(D637)</f>
        <v>18</v>
      </c>
      <c r="G637">
        <f>ROUND(E637+F637/60,2)</f>
        <v>4.3</v>
      </c>
      <c r="H637">
        <f>60*E637+F637</f>
        <v>258</v>
      </c>
      <c r="I637" s="3">
        <f>5*(3600/H637)</f>
        <v>69.767441860465112</v>
      </c>
      <c r="J637" s="16">
        <f t="shared" si="9"/>
        <v>0</v>
      </c>
    </row>
    <row r="638" spans="1:10" x14ac:dyDescent="0.25">
      <c r="A638" s="4" t="s">
        <v>123</v>
      </c>
      <c r="B638" s="1">
        <v>6.7060999999999996E-2</v>
      </c>
      <c r="C638" s="1">
        <v>7.0060999999999998E-2</v>
      </c>
      <c r="D638" s="1">
        <f>IF(B638&gt;C638,B638-C638,C638-B638)</f>
        <v>3.0000000000000027E-3</v>
      </c>
      <c r="E638">
        <f>MINUTE(D638)</f>
        <v>4</v>
      </c>
      <c r="F638">
        <f>SECOND(D638)</f>
        <v>19</v>
      </c>
      <c r="G638">
        <f>ROUND(E638+F638/60,2)</f>
        <v>4.32</v>
      </c>
      <c r="H638">
        <f>60*E638+F638</f>
        <v>259</v>
      </c>
      <c r="I638" s="3">
        <f>5*(3600/H638)</f>
        <v>69.498069498069498</v>
      </c>
      <c r="J638" s="16">
        <f t="shared" si="9"/>
        <v>0</v>
      </c>
    </row>
    <row r="639" spans="1:10" x14ac:dyDescent="0.25">
      <c r="A639" s="4" t="s">
        <v>142</v>
      </c>
      <c r="B639" s="1">
        <v>0.24293500000000001</v>
      </c>
      <c r="C639" s="1">
        <v>0.24593100000000001</v>
      </c>
      <c r="D639" s="1">
        <f>IF(B639&gt;C639,B639-C639,C639-B639)</f>
        <v>2.9959999999999987E-3</v>
      </c>
      <c r="E639">
        <f>MINUTE(D639)</f>
        <v>4</v>
      </c>
      <c r="F639">
        <f>SECOND(D639)</f>
        <v>19</v>
      </c>
      <c r="G639">
        <f>ROUND(E639+F639/60,2)</f>
        <v>4.32</v>
      </c>
      <c r="H639">
        <f>60*E639+F639</f>
        <v>259</v>
      </c>
      <c r="I639" s="3">
        <f>5*(3600/H639)</f>
        <v>69.498069498069498</v>
      </c>
      <c r="J639" s="16">
        <f t="shared" si="9"/>
        <v>0</v>
      </c>
    </row>
    <row r="640" spans="1:10" x14ac:dyDescent="0.25">
      <c r="A640" s="4" t="s">
        <v>29</v>
      </c>
      <c r="B640" s="1">
        <v>5.8074000000000001E-2</v>
      </c>
      <c r="C640" s="1">
        <v>5.5070000000000001E-2</v>
      </c>
      <c r="D640" s="1">
        <f>IF(B640&gt;C640,B640-C640,C640-B640)</f>
        <v>3.0039999999999997E-3</v>
      </c>
      <c r="E640">
        <f>MINUTE(D640)</f>
        <v>4</v>
      </c>
      <c r="F640">
        <f>SECOND(D640)</f>
        <v>20</v>
      </c>
      <c r="G640">
        <f>ROUND(E640+F640/60,2)</f>
        <v>4.33</v>
      </c>
      <c r="H640">
        <f>60*E640+F640</f>
        <v>260</v>
      </c>
      <c r="I640" s="3">
        <f>5*(3600/H640)</f>
        <v>69.230769230769226</v>
      </c>
      <c r="J640" s="16">
        <f t="shared" si="9"/>
        <v>0</v>
      </c>
    </row>
    <row r="641" spans="1:10" x14ac:dyDescent="0.25">
      <c r="A641" s="4" t="s">
        <v>72</v>
      </c>
      <c r="B641" s="1">
        <v>0.33413399999999999</v>
      </c>
      <c r="C641" s="1">
        <v>0.33112599999999998</v>
      </c>
      <c r="D641" s="1">
        <f>IF(B641&gt;C641,B641-C641,C641-B641)</f>
        <v>3.0080000000000107E-3</v>
      </c>
      <c r="E641">
        <f>MINUTE(D641)</f>
        <v>4</v>
      </c>
      <c r="F641">
        <f>SECOND(D641)</f>
        <v>20</v>
      </c>
      <c r="G641">
        <f>ROUND(E641+F641/60,2)</f>
        <v>4.33</v>
      </c>
      <c r="H641">
        <f>60*E641+F641</f>
        <v>260</v>
      </c>
      <c r="I641" s="3">
        <f>5*(3600/H641)</f>
        <v>69.230769230769226</v>
      </c>
      <c r="J641" s="16">
        <f t="shared" si="9"/>
        <v>0</v>
      </c>
    </row>
    <row r="642" spans="1:10" x14ac:dyDescent="0.25">
      <c r="A642" s="4" t="s">
        <v>162</v>
      </c>
      <c r="B642" s="1">
        <v>0.48971599999999998</v>
      </c>
      <c r="C642" s="1">
        <v>0.492728</v>
      </c>
      <c r="D642" s="1">
        <f>IF(B642&gt;C642,B642-C642,C642-B642)</f>
        <v>3.0120000000000147E-3</v>
      </c>
      <c r="E642">
        <f>MINUTE(D642)</f>
        <v>4</v>
      </c>
      <c r="F642">
        <f>SECOND(D642)</f>
        <v>20</v>
      </c>
      <c r="G642">
        <f>ROUND(E642+F642/60,2)</f>
        <v>4.33</v>
      </c>
      <c r="H642">
        <f>60*E642+F642</f>
        <v>260</v>
      </c>
      <c r="I642" s="3">
        <f>5*(3600/H642)</f>
        <v>69.230769230769226</v>
      </c>
      <c r="J642" s="16">
        <f t="shared" si="9"/>
        <v>0</v>
      </c>
    </row>
    <row r="643" spans="1:10" x14ac:dyDescent="0.25">
      <c r="A643" s="4" t="s">
        <v>75</v>
      </c>
      <c r="B643" s="1">
        <v>0.21182200000000001</v>
      </c>
      <c r="C643" s="1">
        <v>0.20880199999999999</v>
      </c>
      <c r="D643" s="1">
        <f>IF(B643&gt;C643,B643-C643,C643-B643)</f>
        <v>3.0200000000000227E-3</v>
      </c>
      <c r="E643">
        <f>MINUTE(D643)</f>
        <v>4</v>
      </c>
      <c r="F643">
        <f>SECOND(D643)</f>
        <v>21</v>
      </c>
      <c r="G643">
        <f>ROUND(E643+F643/60,2)</f>
        <v>4.3499999999999996</v>
      </c>
      <c r="H643">
        <f>60*E643+F643</f>
        <v>261</v>
      </c>
      <c r="I643" s="3">
        <f>5*(3600/H643)</f>
        <v>68.965517241379303</v>
      </c>
      <c r="J643" s="16">
        <f t="shared" ref="J643:J706" si="10">IF(I643&gt;140,1,0)</f>
        <v>0</v>
      </c>
    </row>
    <row r="644" spans="1:10" x14ac:dyDescent="0.25">
      <c r="A644" s="4" t="s">
        <v>3</v>
      </c>
      <c r="B644" s="1">
        <v>0.141675</v>
      </c>
      <c r="C644" s="1">
        <v>0.138651</v>
      </c>
      <c r="D644" s="1">
        <f>IF(B644&gt;C644,B644-C644,C644-B644)</f>
        <v>3.0239999999999989E-3</v>
      </c>
      <c r="E644">
        <f>MINUTE(D644)</f>
        <v>4</v>
      </c>
      <c r="F644">
        <f>SECOND(D644)</f>
        <v>21</v>
      </c>
      <c r="G644">
        <f>ROUND(E644+F644/60,2)</f>
        <v>4.3499999999999996</v>
      </c>
      <c r="H644">
        <f>60*E644+F644</f>
        <v>261</v>
      </c>
      <c r="I644" s="3">
        <f>5*(3600/H644)</f>
        <v>68.965517241379303</v>
      </c>
      <c r="J644" s="16">
        <f t="shared" si="10"/>
        <v>0</v>
      </c>
    </row>
    <row r="645" spans="1:10" x14ac:dyDescent="0.25">
      <c r="A645" s="4" t="s">
        <v>72</v>
      </c>
      <c r="B645" s="1">
        <v>0.145533</v>
      </c>
      <c r="C645" s="1">
        <v>0.14855299999999999</v>
      </c>
      <c r="D645" s="1">
        <f>IF(B645&gt;C645,B645-C645,C645-B645)</f>
        <v>3.0199999999999949E-3</v>
      </c>
      <c r="E645">
        <f>MINUTE(D645)</f>
        <v>4</v>
      </c>
      <c r="F645">
        <f>SECOND(D645)</f>
        <v>21</v>
      </c>
      <c r="G645">
        <f>ROUND(E645+F645/60,2)</f>
        <v>4.3499999999999996</v>
      </c>
      <c r="H645">
        <f>60*E645+F645</f>
        <v>261</v>
      </c>
      <c r="I645" s="3">
        <f>5*(3600/H645)</f>
        <v>68.965517241379303</v>
      </c>
      <c r="J645" s="16">
        <f t="shared" si="10"/>
        <v>0</v>
      </c>
    </row>
    <row r="646" spans="1:10" x14ac:dyDescent="0.25">
      <c r="A646" s="4" t="s">
        <v>83</v>
      </c>
      <c r="B646" s="1">
        <v>0.43880400000000003</v>
      </c>
      <c r="C646" s="1">
        <v>0.435784</v>
      </c>
      <c r="D646" s="1">
        <f>IF(B646&gt;C646,B646-C646,C646-B646)</f>
        <v>3.0200000000000227E-3</v>
      </c>
      <c r="E646">
        <f>MINUTE(D646)</f>
        <v>4</v>
      </c>
      <c r="F646">
        <f>SECOND(D646)</f>
        <v>21</v>
      </c>
      <c r="G646">
        <f>ROUND(E646+F646/60,2)</f>
        <v>4.3499999999999996</v>
      </c>
      <c r="H646">
        <f>60*E646+F646</f>
        <v>261</v>
      </c>
      <c r="I646" s="3">
        <f>5*(3600/H646)</f>
        <v>68.965517241379303</v>
      </c>
      <c r="J646" s="16">
        <f t="shared" si="10"/>
        <v>0</v>
      </c>
    </row>
    <row r="647" spans="1:10" x14ac:dyDescent="0.25">
      <c r="A647" s="4" t="s">
        <v>162</v>
      </c>
      <c r="B647" s="1">
        <v>0.42178399999999999</v>
      </c>
      <c r="C647" s="1">
        <v>0.42480400000000001</v>
      </c>
      <c r="D647" s="1">
        <f>IF(B647&gt;C647,B647-C647,C647-B647)</f>
        <v>3.0200000000000227E-3</v>
      </c>
      <c r="E647">
        <f>MINUTE(D647)</f>
        <v>4</v>
      </c>
      <c r="F647">
        <f>SECOND(D647)</f>
        <v>21</v>
      </c>
      <c r="G647">
        <f>ROUND(E647+F647/60,2)</f>
        <v>4.3499999999999996</v>
      </c>
      <c r="H647">
        <f>60*E647+F647</f>
        <v>261</v>
      </c>
      <c r="I647" s="3">
        <f>5*(3600/H647)</f>
        <v>68.965517241379303</v>
      </c>
      <c r="J647" s="16">
        <f t="shared" si="10"/>
        <v>0</v>
      </c>
    </row>
    <row r="648" spans="1:10" x14ac:dyDescent="0.25">
      <c r="A648" s="4" t="s">
        <v>295</v>
      </c>
      <c r="B648" s="1">
        <v>0.609267</v>
      </c>
      <c r="C648" s="1">
        <v>0.60625099999999998</v>
      </c>
      <c r="D648" s="1">
        <f>IF(B648&gt;C648,B648-C648,C648-B648)</f>
        <v>3.0160000000000187E-3</v>
      </c>
      <c r="E648">
        <f>MINUTE(D648)</f>
        <v>4</v>
      </c>
      <c r="F648">
        <f>SECOND(D648)</f>
        <v>21</v>
      </c>
      <c r="G648">
        <f>ROUND(E648+F648/60,2)</f>
        <v>4.3499999999999996</v>
      </c>
      <c r="H648">
        <f>60*E648+F648</f>
        <v>261</v>
      </c>
      <c r="I648" s="3">
        <f>5*(3600/H648)</f>
        <v>68.965517241379303</v>
      </c>
      <c r="J648" s="16">
        <f t="shared" si="10"/>
        <v>0</v>
      </c>
    </row>
    <row r="649" spans="1:10" x14ac:dyDescent="0.25">
      <c r="A649" s="4" t="s">
        <v>371</v>
      </c>
      <c r="B649" s="1">
        <v>0.99620900000000001</v>
      </c>
      <c r="C649" s="1">
        <v>0.99318499999999998</v>
      </c>
      <c r="D649" s="1">
        <f>IF(B649&gt;C649,B649-C649,C649-B649)</f>
        <v>3.0240000000000267E-3</v>
      </c>
      <c r="E649">
        <f>MINUTE(D649)</f>
        <v>4</v>
      </c>
      <c r="F649">
        <f>SECOND(D649)</f>
        <v>21</v>
      </c>
      <c r="G649">
        <f>ROUND(E649+F649/60,2)</f>
        <v>4.3499999999999996</v>
      </c>
      <c r="H649">
        <f>60*E649+F649</f>
        <v>261</v>
      </c>
      <c r="I649" s="3">
        <f>5*(3600/H649)</f>
        <v>68.965517241379303</v>
      </c>
      <c r="J649" s="16">
        <f t="shared" si="10"/>
        <v>0</v>
      </c>
    </row>
    <row r="650" spans="1:10" x14ac:dyDescent="0.25">
      <c r="A650" s="4" t="s">
        <v>109</v>
      </c>
      <c r="B650" s="1">
        <v>0.87870300000000001</v>
      </c>
      <c r="C650" s="1">
        <v>0.87566699999999997</v>
      </c>
      <c r="D650" s="1">
        <f>IF(B650&gt;C650,B650-C650,C650-B650)</f>
        <v>3.0360000000000387E-3</v>
      </c>
      <c r="E650">
        <f>MINUTE(D650)</f>
        <v>4</v>
      </c>
      <c r="F650">
        <f>SECOND(D650)</f>
        <v>22</v>
      </c>
      <c r="G650">
        <f>ROUND(E650+F650/60,2)</f>
        <v>4.37</v>
      </c>
      <c r="H650">
        <f>60*E650+F650</f>
        <v>262</v>
      </c>
      <c r="I650" s="3">
        <f>5*(3600/H650)</f>
        <v>68.702290076335885</v>
      </c>
      <c r="J650" s="16">
        <f t="shared" si="10"/>
        <v>0</v>
      </c>
    </row>
    <row r="651" spans="1:10" x14ac:dyDescent="0.25">
      <c r="A651" s="4" t="s">
        <v>204</v>
      </c>
      <c r="B651" s="1">
        <v>0.62856599999999996</v>
      </c>
      <c r="C651" s="1">
        <v>0.631602</v>
      </c>
      <c r="D651" s="1">
        <f>IF(B651&gt;C651,B651-C651,C651-B651)</f>
        <v>3.0360000000000387E-3</v>
      </c>
      <c r="E651">
        <f>MINUTE(D651)</f>
        <v>4</v>
      </c>
      <c r="F651">
        <f>SECOND(D651)</f>
        <v>22</v>
      </c>
      <c r="G651">
        <f>ROUND(E651+F651/60,2)</f>
        <v>4.37</v>
      </c>
      <c r="H651">
        <f>60*E651+F651</f>
        <v>262</v>
      </c>
      <c r="I651" s="3">
        <f>5*(3600/H651)</f>
        <v>68.702290076335885</v>
      </c>
      <c r="J651" s="16">
        <f t="shared" si="10"/>
        <v>0</v>
      </c>
    </row>
    <row r="652" spans="1:10" x14ac:dyDescent="0.25">
      <c r="A652" s="4" t="s">
        <v>68</v>
      </c>
      <c r="B652" s="1">
        <v>0.87950700000000004</v>
      </c>
      <c r="C652" s="1">
        <v>0.88255499999999998</v>
      </c>
      <c r="D652" s="1">
        <f>IF(B652&gt;C652,B652-C652,C652-B652)</f>
        <v>3.0479999999999396E-3</v>
      </c>
      <c r="E652">
        <f>MINUTE(D652)</f>
        <v>4</v>
      </c>
      <c r="F652">
        <f>SECOND(D652)</f>
        <v>23</v>
      </c>
      <c r="G652">
        <f>ROUND(E652+F652/60,2)</f>
        <v>4.38</v>
      </c>
      <c r="H652">
        <f>60*E652+F652</f>
        <v>263</v>
      </c>
      <c r="I652" s="3">
        <f>5*(3600/H652)</f>
        <v>68.441064638783274</v>
      </c>
      <c r="J652" s="16">
        <f t="shared" si="10"/>
        <v>0</v>
      </c>
    </row>
    <row r="653" spans="1:10" x14ac:dyDescent="0.25">
      <c r="A653" s="4" t="s">
        <v>67</v>
      </c>
      <c r="B653" s="1">
        <v>0.60153500000000004</v>
      </c>
      <c r="C653" s="1">
        <v>0.59848699999999999</v>
      </c>
      <c r="D653" s="1">
        <f>IF(B653&gt;C653,B653-C653,C653-B653)</f>
        <v>3.0480000000000507E-3</v>
      </c>
      <c r="E653">
        <f>MINUTE(D653)</f>
        <v>4</v>
      </c>
      <c r="F653">
        <f>SECOND(D653)</f>
        <v>23</v>
      </c>
      <c r="G653">
        <f>ROUND(E653+F653/60,2)</f>
        <v>4.38</v>
      </c>
      <c r="H653">
        <f>60*E653+F653</f>
        <v>263</v>
      </c>
      <c r="I653" s="3">
        <f>5*(3600/H653)</f>
        <v>68.441064638783274</v>
      </c>
      <c r="J653" s="16">
        <f t="shared" si="10"/>
        <v>0</v>
      </c>
    </row>
    <row r="654" spans="1:10" x14ac:dyDescent="0.25">
      <c r="A654" s="4" t="s">
        <v>265</v>
      </c>
      <c r="B654" s="1">
        <v>0.34791800000000001</v>
      </c>
      <c r="C654" s="1">
        <v>0.350962</v>
      </c>
      <c r="D654" s="1">
        <f>IF(B654&gt;C654,B654-C654,C654-B654)</f>
        <v>3.0439999999999912E-3</v>
      </c>
      <c r="E654">
        <f>MINUTE(D654)</f>
        <v>4</v>
      </c>
      <c r="F654">
        <f>SECOND(D654)</f>
        <v>23</v>
      </c>
      <c r="G654">
        <f>ROUND(E654+F654/60,2)</f>
        <v>4.38</v>
      </c>
      <c r="H654">
        <f>60*E654+F654</f>
        <v>263</v>
      </c>
      <c r="I654" s="3">
        <f>5*(3600/H654)</f>
        <v>68.441064638783274</v>
      </c>
      <c r="J654" s="16">
        <f t="shared" si="10"/>
        <v>0</v>
      </c>
    </row>
    <row r="655" spans="1:10" x14ac:dyDescent="0.25">
      <c r="A655" s="4" t="s">
        <v>299</v>
      </c>
      <c r="B655" s="1">
        <v>0.58881899999999998</v>
      </c>
      <c r="C655" s="1">
        <v>0.58577100000000004</v>
      </c>
      <c r="D655" s="1">
        <f>IF(B655&gt;C655,B655-C655,C655-B655)</f>
        <v>3.0479999999999396E-3</v>
      </c>
      <c r="E655">
        <f>MINUTE(D655)</f>
        <v>4</v>
      </c>
      <c r="F655">
        <f>SECOND(D655)</f>
        <v>23</v>
      </c>
      <c r="G655">
        <f>ROUND(E655+F655/60,2)</f>
        <v>4.38</v>
      </c>
      <c r="H655">
        <f>60*E655+F655</f>
        <v>263</v>
      </c>
      <c r="I655" s="3">
        <f>5*(3600/H655)</f>
        <v>68.441064638783274</v>
      </c>
      <c r="J655" s="16">
        <f t="shared" si="10"/>
        <v>0</v>
      </c>
    </row>
    <row r="656" spans="1:10" x14ac:dyDescent="0.25">
      <c r="A656" s="4" t="s">
        <v>75</v>
      </c>
      <c r="B656" s="1">
        <v>0.42321900000000001</v>
      </c>
      <c r="C656" s="1">
        <v>0.42627100000000001</v>
      </c>
      <c r="D656" s="1">
        <f>IF(B656&gt;C656,B656-C656,C656-B656)</f>
        <v>3.0519999999999992E-3</v>
      </c>
      <c r="E656">
        <f>MINUTE(D656)</f>
        <v>4</v>
      </c>
      <c r="F656">
        <f>SECOND(D656)</f>
        <v>24</v>
      </c>
      <c r="G656">
        <f>ROUND(E656+F656/60,2)</f>
        <v>4.4000000000000004</v>
      </c>
      <c r="H656">
        <f>60*E656+F656</f>
        <v>264</v>
      </c>
      <c r="I656" s="3">
        <f>5*(3600/H656)</f>
        <v>68.181818181818187</v>
      </c>
      <c r="J656" s="16">
        <f t="shared" si="10"/>
        <v>0</v>
      </c>
    </row>
    <row r="657" spans="1:10" x14ac:dyDescent="0.25">
      <c r="A657" s="4" t="s">
        <v>16</v>
      </c>
      <c r="B657" s="1">
        <v>0.464613</v>
      </c>
      <c r="C657" s="1">
        <v>0.46155299999999999</v>
      </c>
      <c r="D657" s="1">
        <f>IF(B657&gt;C657,B657-C657,C657-B657)</f>
        <v>3.0600000000000072E-3</v>
      </c>
      <c r="E657">
        <f>MINUTE(D657)</f>
        <v>4</v>
      </c>
      <c r="F657">
        <f>SECOND(D657)</f>
        <v>24</v>
      </c>
      <c r="G657">
        <f>ROUND(E657+F657/60,2)</f>
        <v>4.4000000000000004</v>
      </c>
      <c r="H657">
        <f>60*E657+F657</f>
        <v>264</v>
      </c>
      <c r="I657" s="3">
        <f>5*(3600/H657)</f>
        <v>68.181818181818187</v>
      </c>
      <c r="J657" s="16">
        <f t="shared" si="10"/>
        <v>0</v>
      </c>
    </row>
    <row r="658" spans="1:10" x14ac:dyDescent="0.25">
      <c r="A658" s="4" t="s">
        <v>58</v>
      </c>
      <c r="B658" s="1">
        <v>0.314112</v>
      </c>
      <c r="C658" s="1">
        <v>0.31717200000000001</v>
      </c>
      <c r="D658" s="1">
        <f>IF(B658&gt;C658,B658-C658,C658-B658)</f>
        <v>3.0600000000000072E-3</v>
      </c>
      <c r="E658">
        <f>MINUTE(D658)</f>
        <v>4</v>
      </c>
      <c r="F658">
        <f>SECOND(D658)</f>
        <v>24</v>
      </c>
      <c r="G658">
        <f>ROUND(E658+F658/60,2)</f>
        <v>4.4000000000000004</v>
      </c>
      <c r="H658">
        <f>60*E658+F658</f>
        <v>264</v>
      </c>
      <c r="I658" s="3">
        <f>5*(3600/H658)</f>
        <v>68.181818181818187</v>
      </c>
      <c r="J658" s="16">
        <f t="shared" si="10"/>
        <v>0</v>
      </c>
    </row>
    <row r="659" spans="1:10" x14ac:dyDescent="0.25">
      <c r="A659" s="4" t="s">
        <v>84</v>
      </c>
      <c r="B659" s="1">
        <v>0.51541800000000004</v>
      </c>
      <c r="C659" s="1">
        <v>0.51847399999999999</v>
      </c>
      <c r="D659" s="1">
        <f>IF(B659&gt;C659,B659-C659,C659-B659)</f>
        <v>3.0559999999999476E-3</v>
      </c>
      <c r="E659">
        <f>MINUTE(D659)</f>
        <v>4</v>
      </c>
      <c r="F659">
        <f>SECOND(D659)</f>
        <v>24</v>
      </c>
      <c r="G659">
        <f>ROUND(E659+F659/60,2)</f>
        <v>4.4000000000000004</v>
      </c>
      <c r="H659">
        <f>60*E659+F659</f>
        <v>264</v>
      </c>
      <c r="I659" s="3">
        <f>5*(3600/H659)</f>
        <v>68.181818181818187</v>
      </c>
      <c r="J659" s="16">
        <f t="shared" si="10"/>
        <v>0</v>
      </c>
    </row>
    <row r="660" spans="1:10" x14ac:dyDescent="0.25">
      <c r="A660" s="4" t="s">
        <v>316</v>
      </c>
      <c r="B660" s="1">
        <v>0.444025</v>
      </c>
      <c r="C660" s="1">
        <v>0.44708500000000001</v>
      </c>
      <c r="D660" s="1">
        <f>IF(B660&gt;C660,B660-C660,C660-B660)</f>
        <v>3.0600000000000072E-3</v>
      </c>
      <c r="E660">
        <f>MINUTE(D660)</f>
        <v>4</v>
      </c>
      <c r="F660">
        <f>SECOND(D660)</f>
        <v>24</v>
      </c>
      <c r="G660">
        <f>ROUND(E660+F660/60,2)</f>
        <v>4.4000000000000004</v>
      </c>
      <c r="H660">
        <f>60*E660+F660</f>
        <v>264</v>
      </c>
      <c r="I660" s="3">
        <f>5*(3600/H660)</f>
        <v>68.181818181818187</v>
      </c>
      <c r="J660" s="16">
        <f t="shared" si="10"/>
        <v>0</v>
      </c>
    </row>
    <row r="661" spans="1:10" x14ac:dyDescent="0.25">
      <c r="A661" s="4" t="s">
        <v>73</v>
      </c>
      <c r="B661" s="1">
        <v>0.39306200000000002</v>
      </c>
      <c r="C661" s="1">
        <v>0.39612599999999998</v>
      </c>
      <c r="D661" s="1">
        <f>IF(B661&gt;C661,B661-C661,C661-B661)</f>
        <v>3.0639999999999556E-3</v>
      </c>
      <c r="E661">
        <f>MINUTE(D661)</f>
        <v>4</v>
      </c>
      <c r="F661">
        <f>SECOND(D661)</f>
        <v>25</v>
      </c>
      <c r="G661">
        <f>ROUND(E661+F661/60,2)</f>
        <v>4.42</v>
      </c>
      <c r="H661">
        <f>60*E661+F661</f>
        <v>265</v>
      </c>
      <c r="I661" s="3">
        <f>5*(3600/H661)</f>
        <v>67.924528301886795</v>
      </c>
      <c r="J661" s="16">
        <f t="shared" si="10"/>
        <v>0</v>
      </c>
    </row>
    <row r="662" spans="1:10" x14ac:dyDescent="0.25">
      <c r="A662" s="4" t="s">
        <v>18</v>
      </c>
      <c r="B662" s="1">
        <v>0.214673</v>
      </c>
      <c r="C662" s="1">
        <v>0.21774499999999999</v>
      </c>
      <c r="D662" s="1">
        <f>IF(B662&gt;C662,B662-C662,C662-B662)</f>
        <v>3.0719999999999914E-3</v>
      </c>
      <c r="E662">
        <f>MINUTE(D662)</f>
        <v>4</v>
      </c>
      <c r="F662">
        <f>SECOND(D662)</f>
        <v>25</v>
      </c>
      <c r="G662">
        <f>ROUND(E662+F662/60,2)</f>
        <v>4.42</v>
      </c>
      <c r="H662">
        <f>60*E662+F662</f>
        <v>265</v>
      </c>
      <c r="I662" s="3">
        <f>5*(3600/H662)</f>
        <v>67.924528301886795</v>
      </c>
      <c r="J662" s="16">
        <f t="shared" si="10"/>
        <v>0</v>
      </c>
    </row>
    <row r="663" spans="1:10" x14ac:dyDescent="0.25">
      <c r="A663" s="4" t="s">
        <v>14</v>
      </c>
      <c r="B663" s="1">
        <v>0.53404300000000005</v>
      </c>
      <c r="C663" s="1">
        <v>0.53097899999999998</v>
      </c>
      <c r="D663" s="1">
        <f>IF(B663&gt;C663,B663-C663,C663-B663)</f>
        <v>3.0640000000000667E-3</v>
      </c>
      <c r="E663">
        <f>MINUTE(D663)</f>
        <v>4</v>
      </c>
      <c r="F663">
        <f>SECOND(D663)</f>
        <v>25</v>
      </c>
      <c r="G663">
        <f>ROUND(E663+F663/60,2)</f>
        <v>4.42</v>
      </c>
      <c r="H663">
        <f>60*E663+F663</f>
        <v>265</v>
      </c>
      <c r="I663" s="3">
        <f>5*(3600/H663)</f>
        <v>67.924528301886795</v>
      </c>
      <c r="J663" s="16">
        <f t="shared" si="10"/>
        <v>0</v>
      </c>
    </row>
    <row r="664" spans="1:10" x14ac:dyDescent="0.25">
      <c r="A664" s="4" t="s">
        <v>109</v>
      </c>
      <c r="B664" s="1">
        <v>0.73162199999999999</v>
      </c>
      <c r="C664" s="1">
        <v>0.73468599999999995</v>
      </c>
      <c r="D664" s="1">
        <f>IF(B664&gt;C664,B664-C664,C664-B664)</f>
        <v>3.0639999999999556E-3</v>
      </c>
      <c r="E664">
        <f>MINUTE(D664)</f>
        <v>4</v>
      </c>
      <c r="F664">
        <f>SECOND(D664)</f>
        <v>25</v>
      </c>
      <c r="G664">
        <f>ROUND(E664+F664/60,2)</f>
        <v>4.42</v>
      </c>
      <c r="H664">
        <f>60*E664+F664</f>
        <v>265</v>
      </c>
      <c r="I664" s="3">
        <f>5*(3600/H664)</f>
        <v>67.924528301886795</v>
      </c>
      <c r="J664" s="16">
        <f t="shared" si="10"/>
        <v>0</v>
      </c>
    </row>
    <row r="665" spans="1:10" x14ac:dyDescent="0.25">
      <c r="A665" s="4" t="s">
        <v>258</v>
      </c>
      <c r="B665" s="1">
        <v>0.75965099999999997</v>
      </c>
      <c r="C665" s="1">
        <v>0.76272300000000004</v>
      </c>
      <c r="D665" s="1">
        <f>IF(B665&gt;C665,B665-C665,C665-B665)</f>
        <v>3.0720000000000747E-3</v>
      </c>
      <c r="E665">
        <f>MINUTE(D665)</f>
        <v>4</v>
      </c>
      <c r="F665">
        <f>SECOND(D665)</f>
        <v>25</v>
      </c>
      <c r="G665">
        <f>ROUND(E665+F665/60,2)</f>
        <v>4.42</v>
      </c>
      <c r="H665">
        <f>60*E665+F665</f>
        <v>265</v>
      </c>
      <c r="I665" s="3">
        <f>5*(3600/H665)</f>
        <v>67.924528301886795</v>
      </c>
      <c r="J665" s="16">
        <f t="shared" si="10"/>
        <v>0</v>
      </c>
    </row>
    <row r="666" spans="1:10" x14ac:dyDescent="0.25">
      <c r="A666" s="4" t="s">
        <v>294</v>
      </c>
      <c r="B666" s="1">
        <v>0.956812</v>
      </c>
      <c r="C666" s="1">
        <v>0.95374800000000004</v>
      </c>
      <c r="D666" s="1">
        <f>IF(B666&gt;C666,B666-C666,C666-B666)</f>
        <v>3.0639999999999556E-3</v>
      </c>
      <c r="E666">
        <f>MINUTE(D666)</f>
        <v>4</v>
      </c>
      <c r="F666">
        <f>SECOND(D666)</f>
        <v>25</v>
      </c>
      <c r="G666">
        <f>ROUND(E666+F666/60,2)</f>
        <v>4.42</v>
      </c>
      <c r="H666">
        <f>60*E666+F666</f>
        <v>265</v>
      </c>
      <c r="I666" s="3">
        <f>5*(3600/H666)</f>
        <v>67.924528301886795</v>
      </c>
      <c r="J666" s="16">
        <f t="shared" si="10"/>
        <v>0</v>
      </c>
    </row>
    <row r="667" spans="1:10" x14ac:dyDescent="0.25">
      <c r="A667" s="4" t="s">
        <v>305</v>
      </c>
      <c r="B667" s="1">
        <v>0.71706700000000001</v>
      </c>
      <c r="C667" s="1">
        <v>0.71400300000000005</v>
      </c>
      <c r="D667" s="1">
        <f>IF(B667&gt;C667,B667-C667,C667-B667)</f>
        <v>3.0639999999999556E-3</v>
      </c>
      <c r="E667">
        <f>MINUTE(D667)</f>
        <v>4</v>
      </c>
      <c r="F667">
        <f>SECOND(D667)</f>
        <v>25</v>
      </c>
      <c r="G667">
        <f>ROUND(E667+F667/60,2)</f>
        <v>4.42</v>
      </c>
      <c r="H667">
        <f>60*E667+F667</f>
        <v>265</v>
      </c>
      <c r="I667" s="3">
        <f>5*(3600/H667)</f>
        <v>67.924528301886795</v>
      </c>
      <c r="J667" s="16">
        <f t="shared" si="10"/>
        <v>0</v>
      </c>
    </row>
    <row r="668" spans="1:10" x14ac:dyDescent="0.25">
      <c r="A668" s="4" t="s">
        <v>342</v>
      </c>
      <c r="B668" s="1">
        <v>0.52615599999999996</v>
      </c>
      <c r="C668" s="1">
        <v>0.52922000000000002</v>
      </c>
      <c r="D668" s="1">
        <f>IF(B668&gt;C668,B668-C668,C668-B668)</f>
        <v>3.0640000000000667E-3</v>
      </c>
      <c r="E668">
        <f>MINUTE(D668)</f>
        <v>4</v>
      </c>
      <c r="F668">
        <f>SECOND(D668)</f>
        <v>25</v>
      </c>
      <c r="G668">
        <f>ROUND(E668+F668/60,2)</f>
        <v>4.42</v>
      </c>
      <c r="H668">
        <f>60*E668+F668</f>
        <v>265</v>
      </c>
      <c r="I668" s="3">
        <f>5*(3600/H668)</f>
        <v>67.924528301886795</v>
      </c>
      <c r="J668" s="16">
        <f t="shared" si="10"/>
        <v>0</v>
      </c>
    </row>
    <row r="669" spans="1:10" x14ac:dyDescent="0.25">
      <c r="A669" s="4" t="s">
        <v>98</v>
      </c>
      <c r="B669" s="1">
        <v>0.56562500000000004</v>
      </c>
      <c r="C669" s="1">
        <v>0.56870900000000002</v>
      </c>
      <c r="D669" s="1">
        <f>IF(B669&gt;C669,B669-C669,C669-B669)</f>
        <v>3.0839999999999756E-3</v>
      </c>
      <c r="E669">
        <f>MINUTE(D669)</f>
        <v>4</v>
      </c>
      <c r="F669">
        <f>SECOND(D669)</f>
        <v>26</v>
      </c>
      <c r="G669">
        <f>ROUND(E669+F669/60,2)</f>
        <v>4.43</v>
      </c>
      <c r="H669">
        <f>60*E669+F669</f>
        <v>266</v>
      </c>
      <c r="I669" s="3">
        <f>5*(3600/H669)</f>
        <v>67.669172932330824</v>
      </c>
      <c r="J669" s="16">
        <f t="shared" si="10"/>
        <v>0</v>
      </c>
    </row>
    <row r="670" spans="1:10" x14ac:dyDescent="0.25">
      <c r="A670" s="4" t="s">
        <v>3</v>
      </c>
      <c r="B670" s="1">
        <v>0.83289800000000003</v>
      </c>
      <c r="C670" s="1">
        <v>0.82982199999999995</v>
      </c>
      <c r="D670" s="1">
        <f>IF(B670&gt;C670,B670-C670,C670-B670)</f>
        <v>3.0760000000000787E-3</v>
      </c>
      <c r="E670">
        <f>MINUTE(D670)</f>
        <v>4</v>
      </c>
      <c r="F670">
        <f>SECOND(D670)</f>
        <v>26</v>
      </c>
      <c r="G670">
        <f>ROUND(E670+F670/60,2)</f>
        <v>4.43</v>
      </c>
      <c r="H670">
        <f>60*E670+F670</f>
        <v>266</v>
      </c>
      <c r="I670" s="3">
        <f>5*(3600/H670)</f>
        <v>67.669172932330824</v>
      </c>
      <c r="J670" s="16">
        <f t="shared" si="10"/>
        <v>0</v>
      </c>
    </row>
    <row r="671" spans="1:10" x14ac:dyDescent="0.25">
      <c r="A671" s="4" t="s">
        <v>94</v>
      </c>
      <c r="B671" s="1">
        <v>0.65988999999999998</v>
      </c>
      <c r="C671" s="1">
        <v>0.65681</v>
      </c>
      <c r="D671" s="1">
        <f>IF(B671&gt;C671,B671-C671,C671-B671)</f>
        <v>3.0799999999999716E-3</v>
      </c>
      <c r="E671">
        <f>MINUTE(D671)</f>
        <v>4</v>
      </c>
      <c r="F671">
        <f>SECOND(D671)</f>
        <v>26</v>
      </c>
      <c r="G671">
        <f>ROUND(E671+F671/60,2)</f>
        <v>4.43</v>
      </c>
      <c r="H671">
        <f>60*E671+F671</f>
        <v>266</v>
      </c>
      <c r="I671" s="3">
        <f>5*(3600/H671)</f>
        <v>67.669172932330824</v>
      </c>
      <c r="J671" s="16">
        <f t="shared" si="10"/>
        <v>0</v>
      </c>
    </row>
    <row r="672" spans="1:10" x14ac:dyDescent="0.25">
      <c r="A672" s="4" t="s">
        <v>129</v>
      </c>
      <c r="B672" s="1">
        <v>0.30509900000000001</v>
      </c>
      <c r="C672" s="1">
        <v>0.308195</v>
      </c>
      <c r="D672" s="1">
        <f>IF(B672&gt;C672,B672-C672,C672-B672)</f>
        <v>3.0959999999999877E-3</v>
      </c>
      <c r="E672">
        <f>MINUTE(D672)</f>
        <v>4</v>
      </c>
      <c r="F672">
        <f>SECOND(D672)</f>
        <v>27</v>
      </c>
      <c r="G672">
        <f>ROUND(E672+F672/60,2)</f>
        <v>4.45</v>
      </c>
      <c r="H672">
        <f>60*E672+F672</f>
        <v>267</v>
      </c>
      <c r="I672" s="3">
        <f>5*(3600/H672)</f>
        <v>67.415730337078642</v>
      </c>
      <c r="J672" s="16">
        <f t="shared" si="10"/>
        <v>0</v>
      </c>
    </row>
    <row r="673" spans="1:10" x14ac:dyDescent="0.25">
      <c r="A673" s="4" t="s">
        <v>360</v>
      </c>
      <c r="B673" s="1">
        <v>0.85678500000000002</v>
      </c>
      <c r="C673" s="1">
        <v>0.85369300000000004</v>
      </c>
      <c r="D673" s="1">
        <f>IF(B673&gt;C673,B673-C673,C673-B673)</f>
        <v>3.0919999999999837E-3</v>
      </c>
      <c r="E673">
        <f>MINUTE(D673)</f>
        <v>4</v>
      </c>
      <c r="F673">
        <f>SECOND(D673)</f>
        <v>27</v>
      </c>
      <c r="G673">
        <f>ROUND(E673+F673/60,2)</f>
        <v>4.45</v>
      </c>
      <c r="H673">
        <f>60*E673+F673</f>
        <v>267</v>
      </c>
      <c r="I673" s="3">
        <f>5*(3600/H673)</f>
        <v>67.415730337078642</v>
      </c>
      <c r="J673" s="16">
        <f t="shared" si="10"/>
        <v>0</v>
      </c>
    </row>
    <row r="674" spans="1:10" x14ac:dyDescent="0.25">
      <c r="A674" s="4" t="s">
        <v>137</v>
      </c>
      <c r="B674" s="1">
        <v>0.24684700000000001</v>
      </c>
      <c r="C674" s="1">
        <v>0.24374699999999999</v>
      </c>
      <c r="D674" s="1">
        <f>IF(B674&gt;C674,B674-C674,C674-B674)</f>
        <v>3.1000000000000194E-3</v>
      </c>
      <c r="E674">
        <f>MINUTE(D674)</f>
        <v>4</v>
      </c>
      <c r="F674">
        <f>SECOND(D674)</f>
        <v>28</v>
      </c>
      <c r="G674">
        <f>ROUND(E674+F674/60,2)</f>
        <v>4.47</v>
      </c>
      <c r="H674">
        <f>60*E674+F674</f>
        <v>268</v>
      </c>
      <c r="I674" s="3">
        <f>5*(3600/H674)</f>
        <v>67.164179104477611</v>
      </c>
      <c r="J674" s="16">
        <f t="shared" si="10"/>
        <v>0</v>
      </c>
    </row>
    <row r="675" spans="1:10" x14ac:dyDescent="0.25">
      <c r="A675" s="4" t="s">
        <v>287</v>
      </c>
      <c r="B675" s="1">
        <v>0.81754599999999999</v>
      </c>
      <c r="C675" s="1">
        <v>0.814446</v>
      </c>
      <c r="D675" s="1">
        <f>IF(B675&gt;C675,B675-C675,C675-B675)</f>
        <v>3.0999999999999917E-3</v>
      </c>
      <c r="E675">
        <f>MINUTE(D675)</f>
        <v>4</v>
      </c>
      <c r="F675">
        <f>SECOND(D675)</f>
        <v>28</v>
      </c>
      <c r="G675">
        <f>ROUND(E675+F675/60,2)</f>
        <v>4.47</v>
      </c>
      <c r="H675">
        <f>60*E675+F675</f>
        <v>268</v>
      </c>
      <c r="I675" s="3">
        <f>5*(3600/H675)</f>
        <v>67.164179104477611</v>
      </c>
      <c r="J675" s="16">
        <f t="shared" si="10"/>
        <v>0</v>
      </c>
    </row>
    <row r="676" spans="1:10" x14ac:dyDescent="0.25">
      <c r="A676" s="4" t="s">
        <v>88</v>
      </c>
      <c r="B676" s="1">
        <v>0.54971199999999998</v>
      </c>
      <c r="C676" s="1">
        <v>0.54660399999999998</v>
      </c>
      <c r="D676" s="1">
        <f>IF(B676&gt;C676,B676-C676,C676-B676)</f>
        <v>3.1079999999999997E-3</v>
      </c>
      <c r="E676">
        <f>MINUTE(D676)</f>
        <v>4</v>
      </c>
      <c r="F676">
        <f>SECOND(D676)</f>
        <v>29</v>
      </c>
      <c r="G676">
        <f>ROUND(E676+F676/60,2)</f>
        <v>4.4800000000000004</v>
      </c>
      <c r="H676">
        <f>60*E676+F676</f>
        <v>269</v>
      </c>
      <c r="I676" s="3">
        <f>5*(3600/H676)</f>
        <v>66.914498141263948</v>
      </c>
      <c r="J676" s="16">
        <f t="shared" si="10"/>
        <v>0</v>
      </c>
    </row>
    <row r="677" spans="1:10" x14ac:dyDescent="0.25">
      <c r="A677" s="4" t="s">
        <v>75</v>
      </c>
      <c r="B677" s="1">
        <v>0.48200599999999999</v>
      </c>
      <c r="C677" s="1">
        <v>0.485122</v>
      </c>
      <c r="D677" s="1">
        <f>IF(B677&gt;C677,B677-C677,C677-B677)</f>
        <v>3.1160000000000077E-3</v>
      </c>
      <c r="E677">
        <f>MINUTE(D677)</f>
        <v>4</v>
      </c>
      <c r="F677">
        <f>SECOND(D677)</f>
        <v>29</v>
      </c>
      <c r="G677">
        <f>ROUND(E677+F677/60,2)</f>
        <v>4.4800000000000004</v>
      </c>
      <c r="H677">
        <f>60*E677+F677</f>
        <v>269</v>
      </c>
      <c r="I677" s="3">
        <f>5*(3600/H677)</f>
        <v>66.914498141263948</v>
      </c>
      <c r="J677" s="16">
        <f t="shared" si="10"/>
        <v>0</v>
      </c>
    </row>
    <row r="678" spans="1:10" x14ac:dyDescent="0.25">
      <c r="A678" s="4" t="s">
        <v>33</v>
      </c>
      <c r="B678" s="1">
        <v>0.915269</v>
      </c>
      <c r="C678" s="1">
        <v>0.91838500000000001</v>
      </c>
      <c r="D678" s="1">
        <f>IF(B678&gt;C678,B678-C678,C678-B678)</f>
        <v>3.1160000000000077E-3</v>
      </c>
      <c r="E678">
        <f>MINUTE(D678)</f>
        <v>4</v>
      </c>
      <c r="F678">
        <f>SECOND(D678)</f>
        <v>29</v>
      </c>
      <c r="G678">
        <f>ROUND(E678+F678/60,2)</f>
        <v>4.4800000000000004</v>
      </c>
      <c r="H678">
        <f>60*E678+F678</f>
        <v>269</v>
      </c>
      <c r="I678" s="3">
        <f>5*(3600/H678)</f>
        <v>66.914498141263948</v>
      </c>
      <c r="J678" s="16">
        <f t="shared" si="10"/>
        <v>0</v>
      </c>
    </row>
    <row r="679" spans="1:10" x14ac:dyDescent="0.25">
      <c r="A679" s="4" t="s">
        <v>327</v>
      </c>
      <c r="B679" s="1">
        <v>7.5789999999999998E-3</v>
      </c>
      <c r="C679" s="1">
        <v>1.0695E-2</v>
      </c>
      <c r="D679" s="1">
        <f>IF(B679&gt;C679,B679-C679,C679-B679)</f>
        <v>3.1159999999999998E-3</v>
      </c>
      <c r="E679">
        <f>MINUTE(D679)</f>
        <v>4</v>
      </c>
      <c r="F679">
        <f>SECOND(D679)</f>
        <v>29</v>
      </c>
      <c r="G679">
        <f>ROUND(E679+F679/60,2)</f>
        <v>4.4800000000000004</v>
      </c>
      <c r="H679">
        <f>60*E679+F679</f>
        <v>269</v>
      </c>
      <c r="I679" s="3">
        <f>5*(3600/H679)</f>
        <v>66.914498141263948</v>
      </c>
      <c r="J679" s="16">
        <f t="shared" si="10"/>
        <v>0</v>
      </c>
    </row>
    <row r="680" spans="1:10" x14ac:dyDescent="0.25">
      <c r="A680" s="4" t="s">
        <v>409</v>
      </c>
      <c r="B680" s="1">
        <v>0.92164199999999996</v>
      </c>
      <c r="C680" s="1">
        <v>0.92475799999999997</v>
      </c>
      <c r="D680" s="1">
        <f>IF(B680&gt;C680,B680-C680,C680-B680)</f>
        <v>3.1160000000000077E-3</v>
      </c>
      <c r="E680">
        <f>MINUTE(D680)</f>
        <v>4</v>
      </c>
      <c r="F680">
        <f>SECOND(D680)</f>
        <v>29</v>
      </c>
      <c r="G680">
        <f>ROUND(E680+F680/60,2)</f>
        <v>4.4800000000000004</v>
      </c>
      <c r="H680">
        <f>60*E680+F680</f>
        <v>269</v>
      </c>
      <c r="I680" s="3">
        <f>5*(3600/H680)</f>
        <v>66.914498141263948</v>
      </c>
      <c r="J680" s="16">
        <f t="shared" si="10"/>
        <v>0</v>
      </c>
    </row>
    <row r="681" spans="1:10" x14ac:dyDescent="0.25">
      <c r="A681" s="4" t="s">
        <v>49</v>
      </c>
      <c r="B681" s="1">
        <v>0.55866400000000005</v>
      </c>
      <c r="C681" s="1">
        <v>0.55554400000000004</v>
      </c>
      <c r="D681" s="1">
        <f>IF(B681&gt;C681,B681-C681,C681-B681)</f>
        <v>3.1200000000000117E-3</v>
      </c>
      <c r="E681">
        <f>MINUTE(D681)</f>
        <v>4</v>
      </c>
      <c r="F681">
        <f>SECOND(D681)</f>
        <v>30</v>
      </c>
      <c r="G681">
        <f>ROUND(E681+F681/60,2)</f>
        <v>4.5</v>
      </c>
      <c r="H681">
        <f>60*E681+F681</f>
        <v>270</v>
      </c>
      <c r="I681" s="3">
        <f>5*(3600/H681)</f>
        <v>66.666666666666671</v>
      </c>
      <c r="J681" s="16">
        <f t="shared" si="10"/>
        <v>0</v>
      </c>
    </row>
    <row r="682" spans="1:10" x14ac:dyDescent="0.25">
      <c r="A682" s="4" t="s">
        <v>89</v>
      </c>
      <c r="B682" s="1">
        <v>0.42967</v>
      </c>
      <c r="C682" s="1">
        <v>0.42654599999999998</v>
      </c>
      <c r="D682" s="1">
        <f>IF(B682&gt;C682,B682-C682,C682-B682)</f>
        <v>3.1240000000000157E-3</v>
      </c>
      <c r="E682">
        <f>MINUTE(D682)</f>
        <v>4</v>
      </c>
      <c r="F682">
        <f>SECOND(D682)</f>
        <v>30</v>
      </c>
      <c r="G682">
        <f>ROUND(E682+F682/60,2)</f>
        <v>4.5</v>
      </c>
      <c r="H682">
        <f>60*E682+F682</f>
        <v>270</v>
      </c>
      <c r="I682" s="3">
        <f>5*(3600/H682)</f>
        <v>66.666666666666671</v>
      </c>
      <c r="J682" s="16">
        <f t="shared" si="10"/>
        <v>0</v>
      </c>
    </row>
    <row r="683" spans="1:10" x14ac:dyDescent="0.25">
      <c r="A683" s="4" t="s">
        <v>98</v>
      </c>
      <c r="B683" s="1">
        <v>0.248913</v>
      </c>
      <c r="C683" s="1">
        <v>0.25204100000000002</v>
      </c>
      <c r="D683" s="1">
        <f>IF(B683&gt;C683,B683-C683,C683-B683)</f>
        <v>3.1280000000000197E-3</v>
      </c>
      <c r="E683">
        <f>MINUTE(D683)</f>
        <v>4</v>
      </c>
      <c r="F683">
        <f>SECOND(D683)</f>
        <v>30</v>
      </c>
      <c r="G683">
        <f>ROUND(E683+F683/60,2)</f>
        <v>4.5</v>
      </c>
      <c r="H683">
        <f>60*E683+F683</f>
        <v>270</v>
      </c>
      <c r="I683" s="3">
        <f>5*(3600/H683)</f>
        <v>66.666666666666671</v>
      </c>
      <c r="J683" s="16">
        <f t="shared" si="10"/>
        <v>0</v>
      </c>
    </row>
    <row r="684" spans="1:10" x14ac:dyDescent="0.25">
      <c r="A684" s="4" t="s">
        <v>3</v>
      </c>
      <c r="B684" s="1">
        <v>0.640208</v>
      </c>
      <c r="C684" s="1">
        <v>0.64333600000000002</v>
      </c>
      <c r="D684" s="1">
        <f>IF(B684&gt;C684,B684-C684,C684-B684)</f>
        <v>3.1280000000000197E-3</v>
      </c>
      <c r="E684">
        <f>MINUTE(D684)</f>
        <v>4</v>
      </c>
      <c r="F684">
        <f>SECOND(D684)</f>
        <v>30</v>
      </c>
      <c r="G684">
        <f>ROUND(E684+F684/60,2)</f>
        <v>4.5</v>
      </c>
      <c r="H684">
        <f>60*E684+F684</f>
        <v>270</v>
      </c>
      <c r="I684" s="3">
        <f>5*(3600/H684)</f>
        <v>66.666666666666671</v>
      </c>
      <c r="J684" s="16">
        <f t="shared" si="10"/>
        <v>0</v>
      </c>
    </row>
    <row r="685" spans="1:10" x14ac:dyDescent="0.25">
      <c r="A685" s="4" t="s">
        <v>401</v>
      </c>
      <c r="B685" s="1">
        <v>0.35245900000000002</v>
      </c>
      <c r="C685" s="1">
        <v>0.35557899999999998</v>
      </c>
      <c r="D685" s="1">
        <f>IF(B685&gt;C685,B685-C685,C685-B685)</f>
        <v>3.1199999999999561E-3</v>
      </c>
      <c r="E685">
        <f>MINUTE(D685)</f>
        <v>4</v>
      </c>
      <c r="F685">
        <f>SECOND(D685)</f>
        <v>30</v>
      </c>
      <c r="G685">
        <f>ROUND(E685+F685/60,2)</f>
        <v>4.5</v>
      </c>
      <c r="H685">
        <f>60*E685+F685</f>
        <v>270</v>
      </c>
      <c r="I685" s="3">
        <f>5*(3600/H685)</f>
        <v>66.666666666666671</v>
      </c>
      <c r="J685" s="16">
        <f t="shared" si="10"/>
        <v>0</v>
      </c>
    </row>
    <row r="686" spans="1:10" x14ac:dyDescent="0.25">
      <c r="A686" s="4" t="s">
        <v>127</v>
      </c>
      <c r="B686" s="1">
        <v>0.658308</v>
      </c>
      <c r="C686" s="1">
        <v>0.65516799999999997</v>
      </c>
      <c r="D686" s="1">
        <f>IF(B686&gt;C686,B686-C686,C686-B686)</f>
        <v>3.1400000000000317E-3</v>
      </c>
      <c r="E686">
        <f>MINUTE(D686)</f>
        <v>4</v>
      </c>
      <c r="F686">
        <f>SECOND(D686)</f>
        <v>31</v>
      </c>
      <c r="G686">
        <f>ROUND(E686+F686/60,2)</f>
        <v>4.5199999999999996</v>
      </c>
      <c r="H686">
        <f>60*E686+F686</f>
        <v>271</v>
      </c>
      <c r="I686" s="3">
        <f>5*(3600/H686)</f>
        <v>66.420664206642059</v>
      </c>
      <c r="J686" s="16">
        <f t="shared" si="10"/>
        <v>0</v>
      </c>
    </row>
    <row r="687" spans="1:10" x14ac:dyDescent="0.25">
      <c r="A687" s="4" t="s">
        <v>81</v>
      </c>
      <c r="B687" s="1">
        <v>0.553678</v>
      </c>
      <c r="C687" s="1">
        <v>0.55054599999999998</v>
      </c>
      <c r="D687" s="1">
        <f>IF(B687&gt;C687,B687-C687,C687-B687)</f>
        <v>3.1320000000000237E-3</v>
      </c>
      <c r="E687">
        <f>MINUTE(D687)</f>
        <v>4</v>
      </c>
      <c r="F687">
        <f>SECOND(D687)</f>
        <v>31</v>
      </c>
      <c r="G687">
        <f>ROUND(E687+F687/60,2)</f>
        <v>4.5199999999999996</v>
      </c>
      <c r="H687">
        <f>60*E687+F687</f>
        <v>271</v>
      </c>
      <c r="I687" s="3">
        <f>5*(3600/H687)</f>
        <v>66.420664206642059</v>
      </c>
      <c r="J687" s="16">
        <f t="shared" si="10"/>
        <v>0</v>
      </c>
    </row>
    <row r="688" spans="1:10" x14ac:dyDescent="0.25">
      <c r="A688" s="4" t="s">
        <v>189</v>
      </c>
      <c r="B688" s="1">
        <v>0.99743400000000004</v>
      </c>
      <c r="C688" s="1">
        <v>0.99429400000000001</v>
      </c>
      <c r="D688" s="1">
        <f>IF(B688&gt;C688,B688-C688,C688-B688)</f>
        <v>3.1400000000000317E-3</v>
      </c>
      <c r="E688">
        <f>MINUTE(D688)</f>
        <v>4</v>
      </c>
      <c r="F688">
        <f>SECOND(D688)</f>
        <v>31</v>
      </c>
      <c r="G688">
        <f>ROUND(E688+F688/60,2)</f>
        <v>4.5199999999999996</v>
      </c>
      <c r="H688">
        <f>60*E688+F688</f>
        <v>271</v>
      </c>
      <c r="I688" s="3">
        <f>5*(3600/H688)</f>
        <v>66.420664206642059</v>
      </c>
      <c r="J688" s="16">
        <f t="shared" si="10"/>
        <v>0</v>
      </c>
    </row>
    <row r="689" spans="1:10" x14ac:dyDescent="0.25">
      <c r="A689" s="4" t="s">
        <v>130</v>
      </c>
      <c r="B689" s="1">
        <v>0.27076499999999998</v>
      </c>
      <c r="C689" s="1">
        <v>0.267621</v>
      </c>
      <c r="D689" s="1">
        <f>IF(B689&gt;C689,B689-C689,C689-B689)</f>
        <v>3.1439999999999801E-3</v>
      </c>
      <c r="E689">
        <f>MINUTE(D689)</f>
        <v>4</v>
      </c>
      <c r="F689">
        <f>SECOND(D689)</f>
        <v>32</v>
      </c>
      <c r="G689">
        <f>ROUND(E689+F689/60,2)</f>
        <v>4.53</v>
      </c>
      <c r="H689">
        <f>60*E689+F689</f>
        <v>272</v>
      </c>
      <c r="I689" s="3">
        <f>5*(3600/H689)</f>
        <v>66.17647058823529</v>
      </c>
      <c r="J689" s="16">
        <f t="shared" si="10"/>
        <v>0</v>
      </c>
    </row>
    <row r="690" spans="1:10" x14ac:dyDescent="0.25">
      <c r="A690" s="4" t="s">
        <v>14</v>
      </c>
      <c r="B690" s="1">
        <v>0.63127299999999997</v>
      </c>
      <c r="C690" s="1">
        <v>0.63441700000000001</v>
      </c>
      <c r="D690" s="1">
        <f>IF(B690&gt;C690,B690-C690,C690-B690)</f>
        <v>3.1440000000000357E-3</v>
      </c>
      <c r="E690">
        <f>MINUTE(D690)</f>
        <v>4</v>
      </c>
      <c r="F690">
        <f>SECOND(D690)</f>
        <v>32</v>
      </c>
      <c r="G690">
        <f>ROUND(E690+F690/60,2)</f>
        <v>4.53</v>
      </c>
      <c r="H690">
        <f>60*E690+F690</f>
        <v>272</v>
      </c>
      <c r="I690" s="3">
        <f>5*(3600/H690)</f>
        <v>66.17647058823529</v>
      </c>
      <c r="J690" s="16">
        <f t="shared" si="10"/>
        <v>0</v>
      </c>
    </row>
    <row r="691" spans="1:10" x14ac:dyDescent="0.25">
      <c r="A691" s="4" t="s">
        <v>47</v>
      </c>
      <c r="B691" s="1">
        <v>4.8843999999999999E-2</v>
      </c>
      <c r="C691" s="1">
        <v>5.1991999999999997E-2</v>
      </c>
      <c r="D691" s="1">
        <f>IF(B691&gt;C691,B691-C691,C691-B691)</f>
        <v>3.147999999999998E-3</v>
      </c>
      <c r="E691">
        <f>MINUTE(D691)</f>
        <v>4</v>
      </c>
      <c r="F691">
        <f>SECOND(D691)</f>
        <v>32</v>
      </c>
      <c r="G691">
        <f>ROUND(E691+F691/60,2)</f>
        <v>4.53</v>
      </c>
      <c r="H691">
        <f>60*E691+F691</f>
        <v>272</v>
      </c>
      <c r="I691" s="3">
        <f>5*(3600/H691)</f>
        <v>66.17647058823529</v>
      </c>
      <c r="J691" s="16">
        <f t="shared" si="10"/>
        <v>0</v>
      </c>
    </row>
    <row r="692" spans="1:10" x14ac:dyDescent="0.25">
      <c r="A692" s="4" t="s">
        <v>43</v>
      </c>
      <c r="B692" s="1">
        <v>0.90426899999999999</v>
      </c>
      <c r="C692" s="1">
        <v>0.90110500000000004</v>
      </c>
      <c r="D692" s="1">
        <f>IF(B692&gt;C692,B692-C692,C692-B692)</f>
        <v>3.1639999999999446E-3</v>
      </c>
      <c r="E692">
        <f>MINUTE(D692)</f>
        <v>4</v>
      </c>
      <c r="F692">
        <f>SECOND(D692)</f>
        <v>33</v>
      </c>
      <c r="G692">
        <f>ROUND(E692+F692/60,2)</f>
        <v>4.55</v>
      </c>
      <c r="H692">
        <f>60*E692+F692</f>
        <v>273</v>
      </c>
      <c r="I692" s="3">
        <f>5*(3600/H692)</f>
        <v>65.934065934065927</v>
      </c>
      <c r="J692" s="16">
        <f t="shared" si="10"/>
        <v>0</v>
      </c>
    </row>
    <row r="693" spans="1:10" x14ac:dyDescent="0.25">
      <c r="A693" s="4" t="s">
        <v>70</v>
      </c>
      <c r="B693" s="1">
        <v>0.51831700000000003</v>
      </c>
      <c r="C693" s="1">
        <v>0.52147299999999996</v>
      </c>
      <c r="D693" s="1">
        <f>IF(B693&gt;C693,B693-C693,C693-B693)</f>
        <v>3.1559999999999366E-3</v>
      </c>
      <c r="E693">
        <f>MINUTE(D693)</f>
        <v>4</v>
      </c>
      <c r="F693">
        <f>SECOND(D693)</f>
        <v>33</v>
      </c>
      <c r="G693">
        <f>ROUND(E693+F693/60,2)</f>
        <v>4.55</v>
      </c>
      <c r="H693">
        <f>60*E693+F693</f>
        <v>273</v>
      </c>
      <c r="I693" s="3">
        <f>5*(3600/H693)</f>
        <v>65.934065934065927</v>
      </c>
      <c r="J693" s="16">
        <f t="shared" si="10"/>
        <v>0</v>
      </c>
    </row>
    <row r="694" spans="1:10" x14ac:dyDescent="0.25">
      <c r="A694" s="4" t="s">
        <v>155</v>
      </c>
      <c r="B694" s="1">
        <v>0.55934799999999996</v>
      </c>
      <c r="C694" s="1">
        <v>0.55619200000000002</v>
      </c>
      <c r="D694" s="1">
        <f>IF(B694&gt;C694,B694-C694,C694-B694)</f>
        <v>3.1559999999999366E-3</v>
      </c>
      <c r="E694">
        <f>MINUTE(D694)</f>
        <v>4</v>
      </c>
      <c r="F694">
        <f>SECOND(D694)</f>
        <v>33</v>
      </c>
      <c r="G694">
        <f>ROUND(E694+F694/60,2)</f>
        <v>4.55</v>
      </c>
      <c r="H694">
        <f>60*E694+F694</f>
        <v>273</v>
      </c>
      <c r="I694" s="3">
        <f>5*(3600/H694)</f>
        <v>65.934065934065927</v>
      </c>
      <c r="J694" s="16">
        <f t="shared" si="10"/>
        <v>0</v>
      </c>
    </row>
    <row r="695" spans="1:10" x14ac:dyDescent="0.25">
      <c r="A695" s="4" t="s">
        <v>273</v>
      </c>
      <c r="B695" s="1">
        <v>0.62061200000000005</v>
      </c>
      <c r="C695" s="1">
        <v>0.62377199999999999</v>
      </c>
      <c r="D695" s="1">
        <f>IF(B695&gt;C695,B695-C695,C695-B695)</f>
        <v>3.1599999999999406E-3</v>
      </c>
      <c r="E695">
        <f>MINUTE(D695)</f>
        <v>4</v>
      </c>
      <c r="F695">
        <f>SECOND(D695)</f>
        <v>33</v>
      </c>
      <c r="G695">
        <f>ROUND(E695+F695/60,2)</f>
        <v>4.55</v>
      </c>
      <c r="H695">
        <f>60*E695+F695</f>
        <v>273</v>
      </c>
      <c r="I695" s="3">
        <f>5*(3600/H695)</f>
        <v>65.934065934065927</v>
      </c>
      <c r="J695" s="16">
        <f t="shared" si="10"/>
        <v>0</v>
      </c>
    </row>
    <row r="696" spans="1:10" x14ac:dyDescent="0.25">
      <c r="A696" s="4" t="s">
        <v>390</v>
      </c>
      <c r="B696" s="1">
        <v>0.30533100000000002</v>
      </c>
      <c r="C696" s="1">
        <v>0.30848700000000001</v>
      </c>
      <c r="D696" s="1">
        <f>IF(B696&gt;C696,B696-C696,C696-B696)</f>
        <v>3.1559999999999921E-3</v>
      </c>
      <c r="E696">
        <f>MINUTE(D696)</f>
        <v>4</v>
      </c>
      <c r="F696">
        <f>SECOND(D696)</f>
        <v>33</v>
      </c>
      <c r="G696">
        <f>ROUND(E696+F696/60,2)</f>
        <v>4.55</v>
      </c>
      <c r="H696">
        <f>60*E696+F696</f>
        <v>273</v>
      </c>
      <c r="I696" s="3">
        <f>5*(3600/H696)</f>
        <v>65.934065934065927</v>
      </c>
      <c r="J696" s="16">
        <f t="shared" si="10"/>
        <v>0</v>
      </c>
    </row>
    <row r="697" spans="1:10" x14ac:dyDescent="0.25">
      <c r="A697" s="4" t="s">
        <v>19</v>
      </c>
      <c r="B697" s="1">
        <v>0.324683</v>
      </c>
      <c r="C697" s="1">
        <v>0.32151099999999999</v>
      </c>
      <c r="D697" s="1">
        <f>IF(B697&gt;C697,B697-C697,C697-B697)</f>
        <v>3.1720000000000081E-3</v>
      </c>
      <c r="E697">
        <f>MINUTE(D697)</f>
        <v>4</v>
      </c>
      <c r="F697">
        <f>SECOND(D697)</f>
        <v>34</v>
      </c>
      <c r="G697">
        <f>ROUND(E697+F697/60,2)</f>
        <v>4.57</v>
      </c>
      <c r="H697">
        <f>60*E697+F697</f>
        <v>274</v>
      </c>
      <c r="I697" s="3">
        <f>5*(3600/H697)</f>
        <v>65.693430656934311</v>
      </c>
      <c r="J697" s="16">
        <f t="shared" si="10"/>
        <v>0</v>
      </c>
    </row>
    <row r="698" spans="1:10" x14ac:dyDescent="0.25">
      <c r="A698" s="4" t="s">
        <v>215</v>
      </c>
      <c r="B698" s="1">
        <v>0.92084600000000005</v>
      </c>
      <c r="C698" s="1">
        <v>0.924014</v>
      </c>
      <c r="D698" s="1">
        <f>IF(B698&gt;C698,B698-C698,C698-B698)</f>
        <v>3.1679999999999486E-3</v>
      </c>
      <c r="E698">
        <f>MINUTE(D698)</f>
        <v>4</v>
      </c>
      <c r="F698">
        <f>SECOND(D698)</f>
        <v>34</v>
      </c>
      <c r="G698">
        <f>ROUND(E698+F698/60,2)</f>
        <v>4.57</v>
      </c>
      <c r="H698">
        <f>60*E698+F698</f>
        <v>274</v>
      </c>
      <c r="I698" s="3">
        <f>5*(3600/H698)</f>
        <v>65.693430656934311</v>
      </c>
      <c r="J698" s="16">
        <f t="shared" si="10"/>
        <v>0</v>
      </c>
    </row>
    <row r="699" spans="1:10" x14ac:dyDescent="0.25">
      <c r="A699" s="4" t="s">
        <v>87</v>
      </c>
      <c r="B699" s="1">
        <v>0.48994100000000002</v>
      </c>
      <c r="C699" s="1">
        <v>0.49311300000000002</v>
      </c>
      <c r="D699" s="1">
        <f>IF(B699&gt;C699,B699-C699,C699-B699)</f>
        <v>3.1720000000000081E-3</v>
      </c>
      <c r="E699">
        <f>MINUTE(D699)</f>
        <v>4</v>
      </c>
      <c r="F699">
        <f>SECOND(D699)</f>
        <v>34</v>
      </c>
      <c r="G699">
        <f>ROUND(E699+F699/60,2)</f>
        <v>4.57</v>
      </c>
      <c r="H699">
        <f>60*E699+F699</f>
        <v>274</v>
      </c>
      <c r="I699" s="3">
        <f>5*(3600/H699)</f>
        <v>65.693430656934311</v>
      </c>
      <c r="J699" s="16">
        <f t="shared" si="10"/>
        <v>0</v>
      </c>
    </row>
    <row r="700" spans="1:10" x14ac:dyDescent="0.25">
      <c r="A700" s="4" t="s">
        <v>74</v>
      </c>
      <c r="B700" s="1">
        <v>0.57475200000000004</v>
      </c>
      <c r="C700" s="1">
        <v>0.57793600000000001</v>
      </c>
      <c r="D700" s="1">
        <f>IF(B700&gt;C700,B700-C700,C700-B700)</f>
        <v>3.1839999999999646E-3</v>
      </c>
      <c r="E700">
        <f>MINUTE(D700)</f>
        <v>4</v>
      </c>
      <c r="F700">
        <f>SECOND(D700)</f>
        <v>35</v>
      </c>
      <c r="G700">
        <f>ROUND(E700+F700/60,2)</f>
        <v>4.58</v>
      </c>
      <c r="H700">
        <f>60*E700+F700</f>
        <v>275</v>
      </c>
      <c r="I700" s="3">
        <f>5*(3600/H700)</f>
        <v>65.454545454545453</v>
      </c>
      <c r="J700" s="16">
        <f t="shared" si="10"/>
        <v>0</v>
      </c>
    </row>
    <row r="701" spans="1:10" x14ac:dyDescent="0.25">
      <c r="A701" s="4" t="s">
        <v>57</v>
      </c>
      <c r="B701" s="1">
        <v>0.99172199999999999</v>
      </c>
      <c r="C701" s="1">
        <v>0.99490199999999995</v>
      </c>
      <c r="D701" s="1">
        <f>IF(B701&gt;C701,B701-C701,C701-B701)</f>
        <v>3.1799999999999606E-3</v>
      </c>
      <c r="E701">
        <f>MINUTE(D701)</f>
        <v>4</v>
      </c>
      <c r="F701">
        <f>SECOND(D701)</f>
        <v>35</v>
      </c>
      <c r="G701">
        <f>ROUND(E701+F701/60,2)</f>
        <v>4.58</v>
      </c>
      <c r="H701">
        <f>60*E701+F701</f>
        <v>275</v>
      </c>
      <c r="I701" s="3">
        <f>5*(3600/H701)</f>
        <v>65.454545454545453</v>
      </c>
      <c r="J701" s="16">
        <f t="shared" si="10"/>
        <v>0</v>
      </c>
    </row>
    <row r="702" spans="1:10" x14ac:dyDescent="0.25">
      <c r="A702" s="4" t="s">
        <v>114</v>
      </c>
      <c r="B702" s="1">
        <v>0.46311099999999999</v>
      </c>
      <c r="C702" s="1">
        <v>0.45991500000000002</v>
      </c>
      <c r="D702" s="1">
        <f>IF(B702&gt;C702,B702-C702,C702-B702)</f>
        <v>3.1959999999999766E-3</v>
      </c>
      <c r="E702">
        <f>MINUTE(D702)</f>
        <v>4</v>
      </c>
      <c r="F702">
        <f>SECOND(D702)</f>
        <v>36</v>
      </c>
      <c r="G702">
        <f>ROUND(E702+F702/60,2)</f>
        <v>4.5999999999999996</v>
      </c>
      <c r="H702">
        <f>60*E702+F702</f>
        <v>276</v>
      </c>
      <c r="I702" s="3">
        <f>5*(3600/H702)</f>
        <v>65.217391304347828</v>
      </c>
      <c r="J702" s="16">
        <f t="shared" si="10"/>
        <v>0</v>
      </c>
    </row>
    <row r="703" spans="1:10" x14ac:dyDescent="0.25">
      <c r="A703" s="4" t="s">
        <v>90</v>
      </c>
      <c r="B703" s="1">
        <v>0.271982</v>
      </c>
      <c r="C703" s="1">
        <v>0.26878999999999997</v>
      </c>
      <c r="D703" s="1">
        <f>IF(B703&gt;C703,B703-C703,C703-B703)</f>
        <v>3.1920000000000281E-3</v>
      </c>
      <c r="E703">
        <f>MINUTE(D703)</f>
        <v>4</v>
      </c>
      <c r="F703">
        <f>SECOND(D703)</f>
        <v>36</v>
      </c>
      <c r="G703">
        <f>ROUND(E703+F703/60,2)</f>
        <v>4.5999999999999996</v>
      </c>
      <c r="H703">
        <f>60*E703+F703</f>
        <v>276</v>
      </c>
      <c r="I703" s="3">
        <f>5*(3600/H703)</f>
        <v>65.217391304347828</v>
      </c>
      <c r="J703" s="16">
        <f t="shared" si="10"/>
        <v>0</v>
      </c>
    </row>
    <row r="704" spans="1:10" x14ac:dyDescent="0.25">
      <c r="A704" s="4" t="s">
        <v>106</v>
      </c>
      <c r="B704" s="1">
        <v>0.25471199999999999</v>
      </c>
      <c r="C704" s="1">
        <v>0.25790400000000002</v>
      </c>
      <c r="D704" s="1">
        <f>IF(B704&gt;C704,B704-C704,C704-B704)</f>
        <v>3.1920000000000281E-3</v>
      </c>
      <c r="E704">
        <f>MINUTE(D704)</f>
        <v>4</v>
      </c>
      <c r="F704">
        <f>SECOND(D704)</f>
        <v>36</v>
      </c>
      <c r="G704">
        <f>ROUND(E704+F704/60,2)</f>
        <v>4.5999999999999996</v>
      </c>
      <c r="H704">
        <f>60*E704+F704</f>
        <v>276</v>
      </c>
      <c r="I704" s="3">
        <f>5*(3600/H704)</f>
        <v>65.217391304347828</v>
      </c>
      <c r="J704" s="16">
        <f t="shared" si="10"/>
        <v>0</v>
      </c>
    </row>
    <row r="705" spans="1:10" x14ac:dyDescent="0.25">
      <c r="A705" s="4" t="s">
        <v>68</v>
      </c>
      <c r="B705" s="1">
        <v>0.71384899999999996</v>
      </c>
      <c r="C705" s="1">
        <v>0.71065299999999998</v>
      </c>
      <c r="D705" s="1">
        <f>IF(B705&gt;C705,B705-C705,C705-B705)</f>
        <v>3.1959999999999766E-3</v>
      </c>
      <c r="E705">
        <f>MINUTE(D705)</f>
        <v>4</v>
      </c>
      <c r="F705">
        <f>SECOND(D705)</f>
        <v>36</v>
      </c>
      <c r="G705">
        <f>ROUND(E705+F705/60,2)</f>
        <v>4.5999999999999996</v>
      </c>
      <c r="H705">
        <f>60*E705+F705</f>
        <v>276</v>
      </c>
      <c r="I705" s="3">
        <f>5*(3600/H705)</f>
        <v>65.217391304347828</v>
      </c>
      <c r="J705" s="16">
        <f t="shared" si="10"/>
        <v>0</v>
      </c>
    </row>
    <row r="706" spans="1:10" x14ac:dyDescent="0.25">
      <c r="A706" s="4" t="s">
        <v>108</v>
      </c>
      <c r="B706" s="1">
        <v>2.9668E-2</v>
      </c>
      <c r="C706" s="1">
        <v>3.2876000000000002E-2</v>
      </c>
      <c r="D706" s="1">
        <f>IF(B706&gt;C706,B706-C706,C706-B706)</f>
        <v>3.2080000000000025E-3</v>
      </c>
      <c r="E706">
        <f>MINUTE(D706)</f>
        <v>4</v>
      </c>
      <c r="F706">
        <f>SECOND(D706)</f>
        <v>37</v>
      </c>
      <c r="G706">
        <f>ROUND(E706+F706/60,2)</f>
        <v>4.62</v>
      </c>
      <c r="H706">
        <f>60*E706+F706</f>
        <v>277</v>
      </c>
      <c r="I706" s="3">
        <f>5*(3600/H706)</f>
        <v>64.981949458483754</v>
      </c>
      <c r="J706" s="16">
        <f t="shared" si="10"/>
        <v>0</v>
      </c>
    </row>
    <row r="707" spans="1:10" x14ac:dyDescent="0.25">
      <c r="A707" s="4" t="s">
        <v>118</v>
      </c>
      <c r="B707" s="1">
        <v>0.57245400000000002</v>
      </c>
      <c r="C707" s="1">
        <v>0.57566200000000001</v>
      </c>
      <c r="D707" s="1">
        <f>IF(B707&gt;C707,B707-C707,C707-B707)</f>
        <v>3.2079999999999886E-3</v>
      </c>
      <c r="E707">
        <f>MINUTE(D707)</f>
        <v>4</v>
      </c>
      <c r="F707">
        <f>SECOND(D707)</f>
        <v>37</v>
      </c>
      <c r="G707">
        <f>ROUND(E707+F707/60,2)</f>
        <v>4.62</v>
      </c>
      <c r="H707">
        <f>60*E707+F707</f>
        <v>277</v>
      </c>
      <c r="I707" s="3">
        <f>5*(3600/H707)</f>
        <v>64.981949458483754</v>
      </c>
      <c r="J707" s="16">
        <f t="shared" ref="J707:J770" si="11">IF(I707&gt;140,1,0)</f>
        <v>0</v>
      </c>
    </row>
    <row r="708" spans="1:10" x14ac:dyDescent="0.25">
      <c r="A708" s="4" t="s">
        <v>75</v>
      </c>
      <c r="B708" s="1">
        <v>0.66879599999999995</v>
      </c>
      <c r="C708" s="1">
        <v>0.67200400000000005</v>
      </c>
      <c r="D708" s="1">
        <f>IF(B708&gt;C708,B708-C708,C708-B708)</f>
        <v>3.2080000000000997E-3</v>
      </c>
      <c r="E708">
        <f>MINUTE(D708)</f>
        <v>4</v>
      </c>
      <c r="F708">
        <f>SECOND(D708)</f>
        <v>37</v>
      </c>
      <c r="G708">
        <f>ROUND(E708+F708/60,2)</f>
        <v>4.62</v>
      </c>
      <c r="H708">
        <f>60*E708+F708</f>
        <v>277</v>
      </c>
      <c r="I708" s="3">
        <f>5*(3600/H708)</f>
        <v>64.981949458483754</v>
      </c>
      <c r="J708" s="16">
        <f t="shared" si="11"/>
        <v>0</v>
      </c>
    </row>
    <row r="709" spans="1:10" x14ac:dyDescent="0.25">
      <c r="A709" s="4" t="s">
        <v>170</v>
      </c>
      <c r="B709" s="1">
        <v>0.46080500000000002</v>
      </c>
      <c r="C709" s="1">
        <v>0.46401300000000001</v>
      </c>
      <c r="D709" s="1">
        <f>IF(B709&gt;C709,B709-C709,C709-B709)</f>
        <v>3.2079999999999886E-3</v>
      </c>
      <c r="E709">
        <f>MINUTE(D709)</f>
        <v>4</v>
      </c>
      <c r="F709">
        <f>SECOND(D709)</f>
        <v>37</v>
      </c>
      <c r="G709">
        <f>ROUND(E709+F709/60,2)</f>
        <v>4.62</v>
      </c>
      <c r="H709">
        <f>60*E709+F709</f>
        <v>277</v>
      </c>
      <c r="I709" s="3">
        <f>5*(3600/H709)</f>
        <v>64.981949458483754</v>
      </c>
      <c r="J709" s="16">
        <f t="shared" si="11"/>
        <v>0</v>
      </c>
    </row>
    <row r="710" spans="1:10" x14ac:dyDescent="0.25">
      <c r="A710" s="4" t="s">
        <v>224</v>
      </c>
      <c r="B710" s="1">
        <v>0.88523799999999997</v>
      </c>
      <c r="C710" s="1">
        <v>0.88202999999999998</v>
      </c>
      <c r="D710" s="1">
        <f>IF(B710&gt;C710,B710-C710,C710-B710)</f>
        <v>3.2079999999999886E-3</v>
      </c>
      <c r="E710">
        <f>MINUTE(D710)</f>
        <v>4</v>
      </c>
      <c r="F710">
        <f>SECOND(D710)</f>
        <v>37</v>
      </c>
      <c r="G710">
        <f>ROUND(E710+F710/60,2)</f>
        <v>4.62</v>
      </c>
      <c r="H710">
        <f>60*E710+F710</f>
        <v>277</v>
      </c>
      <c r="I710" s="3">
        <f>5*(3600/H710)</f>
        <v>64.981949458483754</v>
      </c>
      <c r="J710" s="16">
        <f t="shared" si="11"/>
        <v>0</v>
      </c>
    </row>
    <row r="711" spans="1:10" x14ac:dyDescent="0.25">
      <c r="A711" s="4" t="s">
        <v>126</v>
      </c>
      <c r="B711" s="1">
        <v>0.89384600000000003</v>
      </c>
      <c r="C711" s="1">
        <v>0.89706600000000003</v>
      </c>
      <c r="D711" s="1">
        <f>IF(B711&gt;C711,B711-C711,C711-B711)</f>
        <v>3.2200000000000006E-3</v>
      </c>
      <c r="E711">
        <f>MINUTE(D711)</f>
        <v>4</v>
      </c>
      <c r="F711">
        <f>SECOND(D711)</f>
        <v>38</v>
      </c>
      <c r="G711">
        <f>ROUND(E711+F711/60,2)</f>
        <v>4.63</v>
      </c>
      <c r="H711">
        <f>60*E711+F711</f>
        <v>278</v>
      </c>
      <c r="I711" s="3">
        <f>5*(3600/H711)</f>
        <v>64.748201438848923</v>
      </c>
      <c r="J711" s="16">
        <f t="shared" si="11"/>
        <v>0</v>
      </c>
    </row>
    <row r="712" spans="1:10" x14ac:dyDescent="0.25">
      <c r="A712" s="4" t="s">
        <v>5</v>
      </c>
      <c r="B712" s="1">
        <v>0.95478200000000002</v>
      </c>
      <c r="C712" s="1">
        <v>0.95157000000000003</v>
      </c>
      <c r="D712" s="1">
        <f>IF(B712&gt;C712,B712-C712,C712-B712)</f>
        <v>3.2119999999999926E-3</v>
      </c>
      <c r="E712">
        <f>MINUTE(D712)</f>
        <v>4</v>
      </c>
      <c r="F712">
        <f>SECOND(D712)</f>
        <v>38</v>
      </c>
      <c r="G712">
        <f>ROUND(E712+F712/60,2)</f>
        <v>4.63</v>
      </c>
      <c r="H712">
        <f>60*E712+F712</f>
        <v>278</v>
      </c>
      <c r="I712" s="3">
        <f>5*(3600/H712)</f>
        <v>64.748201438848923</v>
      </c>
      <c r="J712" s="16">
        <f t="shared" si="11"/>
        <v>0</v>
      </c>
    </row>
    <row r="713" spans="1:10" x14ac:dyDescent="0.25">
      <c r="A713" s="4" t="s">
        <v>117</v>
      </c>
      <c r="B713" s="1">
        <v>0.73974700000000004</v>
      </c>
      <c r="C713" s="1">
        <v>0.74296300000000004</v>
      </c>
      <c r="D713" s="1">
        <f>IF(B713&gt;C713,B713-C713,C713-B713)</f>
        <v>3.2159999999999966E-3</v>
      </c>
      <c r="E713">
        <f>MINUTE(D713)</f>
        <v>4</v>
      </c>
      <c r="F713">
        <f>SECOND(D713)</f>
        <v>38</v>
      </c>
      <c r="G713">
        <f>ROUND(E713+F713/60,2)</f>
        <v>4.63</v>
      </c>
      <c r="H713">
        <f>60*E713+F713</f>
        <v>278</v>
      </c>
      <c r="I713" s="3">
        <f>5*(3600/H713)</f>
        <v>64.748201438848923</v>
      </c>
      <c r="J713" s="16">
        <f t="shared" si="11"/>
        <v>0</v>
      </c>
    </row>
    <row r="714" spans="1:10" x14ac:dyDescent="0.25">
      <c r="A714" s="4" t="s">
        <v>365</v>
      </c>
      <c r="B714" s="1">
        <v>0.429481</v>
      </c>
      <c r="C714" s="1">
        <v>0.426261</v>
      </c>
      <c r="D714" s="1">
        <f>IF(B714&gt;C714,B714-C714,C714-B714)</f>
        <v>3.2200000000000006E-3</v>
      </c>
      <c r="E714">
        <f>MINUTE(D714)</f>
        <v>4</v>
      </c>
      <c r="F714">
        <f>SECOND(D714)</f>
        <v>38</v>
      </c>
      <c r="G714">
        <f>ROUND(E714+F714/60,2)</f>
        <v>4.63</v>
      </c>
      <c r="H714">
        <f>60*E714+F714</f>
        <v>278</v>
      </c>
      <c r="I714" s="3">
        <f>5*(3600/H714)</f>
        <v>64.748201438848923</v>
      </c>
      <c r="J714" s="16">
        <f t="shared" si="11"/>
        <v>0</v>
      </c>
    </row>
    <row r="715" spans="1:10" x14ac:dyDescent="0.25">
      <c r="A715" s="4" t="s">
        <v>124</v>
      </c>
      <c r="B715" s="1">
        <v>0.25201899999999999</v>
      </c>
      <c r="C715" s="1">
        <v>0.255247</v>
      </c>
      <c r="D715" s="1">
        <f>IF(B715&gt;C715,B715-C715,C715-B715)</f>
        <v>3.2280000000000086E-3</v>
      </c>
      <c r="E715">
        <f>MINUTE(D715)</f>
        <v>4</v>
      </c>
      <c r="F715">
        <f>SECOND(D715)</f>
        <v>39</v>
      </c>
      <c r="G715">
        <f>ROUND(E715+F715/60,2)</f>
        <v>4.6500000000000004</v>
      </c>
      <c r="H715">
        <f>60*E715+F715</f>
        <v>279</v>
      </c>
      <c r="I715" s="3">
        <f>5*(3600/H715)</f>
        <v>64.516129032258064</v>
      </c>
      <c r="J715" s="16">
        <f t="shared" si="11"/>
        <v>0</v>
      </c>
    </row>
    <row r="716" spans="1:10" x14ac:dyDescent="0.25">
      <c r="A716" s="4" t="s">
        <v>47</v>
      </c>
      <c r="B716" s="1">
        <v>0.44847399999999998</v>
      </c>
      <c r="C716" s="1">
        <v>0.45169799999999999</v>
      </c>
      <c r="D716" s="1">
        <f>IF(B716&gt;C716,B716-C716,C716-B716)</f>
        <v>3.2240000000000046E-3</v>
      </c>
      <c r="E716">
        <f>MINUTE(D716)</f>
        <v>4</v>
      </c>
      <c r="F716">
        <f>SECOND(D716)</f>
        <v>39</v>
      </c>
      <c r="G716">
        <f>ROUND(E716+F716/60,2)</f>
        <v>4.6500000000000004</v>
      </c>
      <c r="H716">
        <f>60*E716+F716</f>
        <v>279</v>
      </c>
      <c r="I716" s="3">
        <f>5*(3600/H716)</f>
        <v>64.516129032258064</v>
      </c>
      <c r="J716" s="16">
        <f t="shared" si="11"/>
        <v>0</v>
      </c>
    </row>
    <row r="717" spans="1:10" x14ac:dyDescent="0.25">
      <c r="A717" s="4" t="s">
        <v>162</v>
      </c>
      <c r="B717" s="1">
        <v>0.29753600000000002</v>
      </c>
      <c r="C717" s="1">
        <v>0.30076399999999998</v>
      </c>
      <c r="D717" s="1">
        <f>IF(B717&gt;C717,B717-C717,C717-B717)</f>
        <v>3.2279999999999531E-3</v>
      </c>
      <c r="E717">
        <f>MINUTE(D717)</f>
        <v>4</v>
      </c>
      <c r="F717">
        <f>SECOND(D717)</f>
        <v>39</v>
      </c>
      <c r="G717">
        <f>ROUND(E717+F717/60,2)</f>
        <v>4.6500000000000004</v>
      </c>
      <c r="H717">
        <f>60*E717+F717</f>
        <v>279</v>
      </c>
      <c r="I717" s="3">
        <f>5*(3600/H717)</f>
        <v>64.516129032258064</v>
      </c>
      <c r="J717" s="16">
        <f t="shared" si="11"/>
        <v>0</v>
      </c>
    </row>
    <row r="718" spans="1:10" x14ac:dyDescent="0.25">
      <c r="A718" s="4" t="s">
        <v>64</v>
      </c>
      <c r="B718" s="1">
        <v>0.82595300000000005</v>
      </c>
      <c r="C718" s="1">
        <v>0.82917700000000005</v>
      </c>
      <c r="D718" s="1">
        <f>IF(B718&gt;C718,B718-C718,C718-B718)</f>
        <v>3.2240000000000046E-3</v>
      </c>
      <c r="E718">
        <f>MINUTE(D718)</f>
        <v>4</v>
      </c>
      <c r="F718">
        <f>SECOND(D718)</f>
        <v>39</v>
      </c>
      <c r="G718">
        <f>ROUND(E718+F718/60,2)</f>
        <v>4.6500000000000004</v>
      </c>
      <c r="H718">
        <f>60*E718+F718</f>
        <v>279</v>
      </c>
      <c r="I718" s="3">
        <f>5*(3600/H718)</f>
        <v>64.516129032258064</v>
      </c>
      <c r="J718" s="16">
        <f t="shared" si="11"/>
        <v>0</v>
      </c>
    </row>
    <row r="719" spans="1:10" x14ac:dyDescent="0.25">
      <c r="A719" s="4" t="s">
        <v>229</v>
      </c>
      <c r="B719" s="1">
        <v>0.119934</v>
      </c>
      <c r="C719" s="1">
        <v>0.11670999999999999</v>
      </c>
      <c r="D719" s="1">
        <f>IF(B719&gt;C719,B719-C719,C719-B719)</f>
        <v>3.2240000000000046E-3</v>
      </c>
      <c r="E719">
        <f>MINUTE(D719)</f>
        <v>4</v>
      </c>
      <c r="F719">
        <f>SECOND(D719)</f>
        <v>39</v>
      </c>
      <c r="G719">
        <f>ROUND(E719+F719/60,2)</f>
        <v>4.6500000000000004</v>
      </c>
      <c r="H719">
        <f>60*E719+F719</f>
        <v>279</v>
      </c>
      <c r="I719" s="3">
        <f>5*(3600/H719)</f>
        <v>64.516129032258064</v>
      </c>
      <c r="J719" s="16">
        <f t="shared" si="11"/>
        <v>0</v>
      </c>
    </row>
    <row r="720" spans="1:10" x14ac:dyDescent="0.25">
      <c r="A720" s="4" t="s">
        <v>106</v>
      </c>
      <c r="B720" s="1">
        <v>9.7731999999999999E-2</v>
      </c>
      <c r="C720" s="1">
        <v>9.4488000000000003E-2</v>
      </c>
      <c r="D720" s="1">
        <f>IF(B720&gt;C720,B720-C720,C720-B720)</f>
        <v>3.2439999999999969E-3</v>
      </c>
      <c r="E720">
        <f>MINUTE(D720)</f>
        <v>4</v>
      </c>
      <c r="F720">
        <f>SECOND(D720)</f>
        <v>40</v>
      </c>
      <c r="G720">
        <f>ROUND(E720+F720/60,2)</f>
        <v>4.67</v>
      </c>
      <c r="H720">
        <f>60*E720+F720</f>
        <v>280</v>
      </c>
      <c r="I720" s="3">
        <f>5*(3600/H720)</f>
        <v>64.285714285714292</v>
      </c>
      <c r="J720" s="16">
        <f t="shared" si="11"/>
        <v>0</v>
      </c>
    </row>
    <row r="721" spans="1:10" x14ac:dyDescent="0.25">
      <c r="A721" s="4" t="s">
        <v>117</v>
      </c>
      <c r="B721" s="1">
        <v>0.94641600000000004</v>
      </c>
      <c r="C721" s="1">
        <v>0.94965200000000005</v>
      </c>
      <c r="D721" s="1">
        <f>IF(B721&gt;C721,B721-C721,C721-B721)</f>
        <v>3.2360000000000166E-3</v>
      </c>
      <c r="E721">
        <f>MINUTE(D721)</f>
        <v>4</v>
      </c>
      <c r="F721">
        <f>SECOND(D721)</f>
        <v>40</v>
      </c>
      <c r="G721">
        <f>ROUND(E721+F721/60,2)</f>
        <v>4.67</v>
      </c>
      <c r="H721">
        <f>60*E721+F721</f>
        <v>280</v>
      </c>
      <c r="I721" s="3">
        <f>5*(3600/H721)</f>
        <v>64.285714285714292</v>
      </c>
      <c r="J721" s="16">
        <f t="shared" si="11"/>
        <v>0</v>
      </c>
    </row>
    <row r="722" spans="1:10" x14ac:dyDescent="0.25">
      <c r="A722" s="4" t="s">
        <v>52</v>
      </c>
      <c r="B722" s="1">
        <v>0.80732599999999999</v>
      </c>
      <c r="C722" s="1">
        <v>0.80408199999999996</v>
      </c>
      <c r="D722" s="1">
        <f>IF(B722&gt;C722,B722-C722,C722-B722)</f>
        <v>3.2440000000000246E-3</v>
      </c>
      <c r="E722">
        <f>MINUTE(D722)</f>
        <v>4</v>
      </c>
      <c r="F722">
        <f>SECOND(D722)</f>
        <v>40</v>
      </c>
      <c r="G722">
        <f>ROUND(E722+F722/60,2)</f>
        <v>4.67</v>
      </c>
      <c r="H722">
        <f>60*E722+F722</f>
        <v>280</v>
      </c>
      <c r="I722" s="3">
        <f>5*(3600/H722)</f>
        <v>64.285714285714292</v>
      </c>
      <c r="J722" s="16">
        <f t="shared" si="11"/>
        <v>0</v>
      </c>
    </row>
    <row r="723" spans="1:10" x14ac:dyDescent="0.25">
      <c r="A723" s="4" t="s">
        <v>429</v>
      </c>
      <c r="B723" s="1">
        <v>0.192581</v>
      </c>
      <c r="C723" s="1">
        <v>0.18934500000000001</v>
      </c>
      <c r="D723" s="1">
        <f>IF(B723&gt;C723,B723-C723,C723-B723)</f>
        <v>3.2359999999999889E-3</v>
      </c>
      <c r="E723">
        <f>MINUTE(D723)</f>
        <v>4</v>
      </c>
      <c r="F723">
        <f>SECOND(D723)</f>
        <v>40</v>
      </c>
      <c r="G723">
        <f>ROUND(E723+F723/60,2)</f>
        <v>4.67</v>
      </c>
      <c r="H723">
        <f>60*E723+F723</f>
        <v>280</v>
      </c>
      <c r="I723" s="3">
        <f>5*(3600/H723)</f>
        <v>64.285714285714292</v>
      </c>
      <c r="J723" s="16">
        <f t="shared" si="11"/>
        <v>0</v>
      </c>
    </row>
    <row r="724" spans="1:10" x14ac:dyDescent="0.25">
      <c r="A724" s="4" t="s">
        <v>57</v>
      </c>
      <c r="B724" s="1">
        <v>0.885293</v>
      </c>
      <c r="C724" s="1">
        <v>0.88205699999999998</v>
      </c>
      <c r="D724" s="1">
        <f>IF(B724&gt;C724,B724-C724,C724-B724)</f>
        <v>3.2360000000000166E-3</v>
      </c>
      <c r="E724">
        <f>MINUTE(D724)</f>
        <v>4</v>
      </c>
      <c r="F724">
        <f>SECOND(D724)</f>
        <v>40</v>
      </c>
      <c r="G724">
        <f>ROUND(E724+F724/60,2)</f>
        <v>4.67</v>
      </c>
      <c r="H724">
        <f>60*E724+F724</f>
        <v>280</v>
      </c>
      <c r="I724" s="3">
        <f>5*(3600/H724)</f>
        <v>64.285714285714292</v>
      </c>
      <c r="J724" s="16">
        <f t="shared" si="11"/>
        <v>0</v>
      </c>
    </row>
    <row r="725" spans="1:10" x14ac:dyDescent="0.25">
      <c r="A725" s="4" t="s">
        <v>46</v>
      </c>
      <c r="B725" s="1">
        <v>0.23264499999999999</v>
      </c>
      <c r="C725" s="1">
        <v>0.235897</v>
      </c>
      <c r="D725" s="1">
        <f>IF(B725&gt;C725,B725-C725,C725-B725)</f>
        <v>3.2520000000000049E-3</v>
      </c>
      <c r="E725">
        <f>MINUTE(D725)</f>
        <v>4</v>
      </c>
      <c r="F725">
        <f>SECOND(D725)</f>
        <v>41</v>
      </c>
      <c r="G725">
        <f>ROUND(E725+F725/60,2)</f>
        <v>4.68</v>
      </c>
      <c r="H725">
        <f>60*E725+F725</f>
        <v>281</v>
      </c>
      <c r="I725" s="3">
        <f>5*(3600/H725)</f>
        <v>64.056939501779354</v>
      </c>
      <c r="J725" s="16">
        <f t="shared" si="11"/>
        <v>0</v>
      </c>
    </row>
    <row r="726" spans="1:10" x14ac:dyDescent="0.25">
      <c r="A726" s="4" t="s">
        <v>16</v>
      </c>
      <c r="B726" s="1">
        <v>0.129272</v>
      </c>
      <c r="C726" s="1">
        <v>0.12600800000000001</v>
      </c>
      <c r="D726" s="1">
        <f>IF(B726&gt;C726,B726-C726,C726-B726)</f>
        <v>3.2639999999999891E-3</v>
      </c>
      <c r="E726">
        <f>MINUTE(D726)</f>
        <v>4</v>
      </c>
      <c r="F726">
        <f>SECOND(D726)</f>
        <v>42</v>
      </c>
      <c r="G726">
        <f>ROUND(E726+F726/60,2)</f>
        <v>4.7</v>
      </c>
      <c r="H726">
        <f>60*E726+F726</f>
        <v>282</v>
      </c>
      <c r="I726" s="3">
        <f>5*(3600/H726)</f>
        <v>63.829787234042556</v>
      </c>
      <c r="J726" s="16">
        <f t="shared" si="11"/>
        <v>0</v>
      </c>
    </row>
    <row r="727" spans="1:10" x14ac:dyDescent="0.25">
      <c r="A727" s="4" t="s">
        <v>23</v>
      </c>
      <c r="B727" s="1">
        <v>0.50349999999999995</v>
      </c>
      <c r="C727" s="1">
        <v>0.50675999999999999</v>
      </c>
      <c r="D727" s="1">
        <f>IF(B727&gt;C727,B727-C727,C727-B727)</f>
        <v>3.2600000000000406E-3</v>
      </c>
      <c r="E727">
        <f>MINUTE(D727)</f>
        <v>4</v>
      </c>
      <c r="F727">
        <f>SECOND(D727)</f>
        <v>42</v>
      </c>
      <c r="G727">
        <f>ROUND(E727+F727/60,2)</f>
        <v>4.7</v>
      </c>
      <c r="H727">
        <f>60*E727+F727</f>
        <v>282</v>
      </c>
      <c r="I727" s="3">
        <f>5*(3600/H727)</f>
        <v>63.829787234042556</v>
      </c>
      <c r="J727" s="16">
        <f t="shared" si="11"/>
        <v>0</v>
      </c>
    </row>
    <row r="728" spans="1:10" x14ac:dyDescent="0.25">
      <c r="A728" s="4" t="s">
        <v>91</v>
      </c>
      <c r="B728" s="1">
        <v>0.29477999999999999</v>
      </c>
      <c r="C728" s="1">
        <v>0.29804799999999998</v>
      </c>
      <c r="D728" s="1">
        <f>IF(B728&gt;C728,B728-C728,C728-B728)</f>
        <v>3.2679999999999931E-3</v>
      </c>
      <c r="E728">
        <f>MINUTE(D728)</f>
        <v>4</v>
      </c>
      <c r="F728">
        <f>SECOND(D728)</f>
        <v>42</v>
      </c>
      <c r="G728">
        <f>ROUND(E728+F728/60,2)</f>
        <v>4.7</v>
      </c>
      <c r="H728">
        <f>60*E728+F728</f>
        <v>282</v>
      </c>
      <c r="I728" s="3">
        <f>5*(3600/H728)</f>
        <v>63.829787234042556</v>
      </c>
      <c r="J728" s="16">
        <f t="shared" si="11"/>
        <v>0</v>
      </c>
    </row>
    <row r="729" spans="1:10" x14ac:dyDescent="0.25">
      <c r="A729" s="4" t="s">
        <v>109</v>
      </c>
      <c r="B729" s="1">
        <v>0.44507799999999997</v>
      </c>
      <c r="C729" s="1">
        <v>0.44834600000000002</v>
      </c>
      <c r="D729" s="1">
        <f>IF(B729&gt;C729,B729-C729,C729-B729)</f>
        <v>3.2680000000000486E-3</v>
      </c>
      <c r="E729">
        <f>MINUTE(D729)</f>
        <v>4</v>
      </c>
      <c r="F729">
        <f>SECOND(D729)</f>
        <v>42</v>
      </c>
      <c r="G729">
        <f>ROUND(E729+F729/60,2)</f>
        <v>4.7</v>
      </c>
      <c r="H729">
        <f>60*E729+F729</f>
        <v>282</v>
      </c>
      <c r="I729" s="3">
        <f>5*(3600/H729)</f>
        <v>63.829787234042556</v>
      </c>
      <c r="J729" s="16">
        <f t="shared" si="11"/>
        <v>0</v>
      </c>
    </row>
    <row r="730" spans="1:10" x14ac:dyDescent="0.25">
      <c r="A730" s="4" t="s">
        <v>244</v>
      </c>
      <c r="B730" s="1">
        <v>0.71818000000000004</v>
      </c>
      <c r="C730" s="1">
        <v>0.714916</v>
      </c>
      <c r="D730" s="1">
        <f>IF(B730&gt;C730,B730-C730,C730-B730)</f>
        <v>3.2640000000000446E-3</v>
      </c>
      <c r="E730">
        <f>MINUTE(D730)</f>
        <v>4</v>
      </c>
      <c r="F730">
        <f>SECOND(D730)</f>
        <v>42</v>
      </c>
      <c r="G730">
        <f>ROUND(E730+F730/60,2)</f>
        <v>4.7</v>
      </c>
      <c r="H730">
        <f>60*E730+F730</f>
        <v>282</v>
      </c>
      <c r="I730" s="3">
        <f>5*(3600/H730)</f>
        <v>63.829787234042556</v>
      </c>
      <c r="J730" s="16">
        <f t="shared" si="11"/>
        <v>0</v>
      </c>
    </row>
    <row r="731" spans="1:10" x14ac:dyDescent="0.25">
      <c r="A731" s="4" t="s">
        <v>8</v>
      </c>
      <c r="B731" s="1">
        <v>6.8551000000000001E-2</v>
      </c>
      <c r="C731" s="1">
        <v>6.5270999999999996E-2</v>
      </c>
      <c r="D731" s="1">
        <f>IF(B731&gt;C731,B731-C731,C731-B731)</f>
        <v>3.2800000000000051E-3</v>
      </c>
      <c r="E731">
        <f>MINUTE(D731)</f>
        <v>4</v>
      </c>
      <c r="F731">
        <f>SECOND(D731)</f>
        <v>43</v>
      </c>
      <c r="G731">
        <f>ROUND(E731+F731/60,2)</f>
        <v>4.72</v>
      </c>
      <c r="H731">
        <f>60*E731+F731</f>
        <v>283</v>
      </c>
      <c r="I731" s="3">
        <f>5*(3600/H731)</f>
        <v>63.60424028268551</v>
      </c>
      <c r="J731" s="16">
        <f t="shared" si="11"/>
        <v>0</v>
      </c>
    </row>
    <row r="732" spans="1:10" x14ac:dyDescent="0.25">
      <c r="A732" s="4" t="s">
        <v>115</v>
      </c>
      <c r="B732" s="1">
        <v>0.98607599999999995</v>
      </c>
      <c r="C732" s="1">
        <v>0.98280400000000001</v>
      </c>
      <c r="D732" s="1">
        <f>IF(B732&gt;C732,B732-C732,C732-B732)</f>
        <v>3.2719999999999416E-3</v>
      </c>
      <c r="E732">
        <f>MINUTE(D732)</f>
        <v>4</v>
      </c>
      <c r="F732">
        <f>SECOND(D732)</f>
        <v>43</v>
      </c>
      <c r="G732">
        <f>ROUND(E732+F732/60,2)</f>
        <v>4.72</v>
      </c>
      <c r="H732">
        <f>60*E732+F732</f>
        <v>283</v>
      </c>
      <c r="I732" s="3">
        <f>5*(3600/H732)</f>
        <v>63.60424028268551</v>
      </c>
      <c r="J732" s="16">
        <f t="shared" si="11"/>
        <v>0</v>
      </c>
    </row>
    <row r="733" spans="1:10" x14ac:dyDescent="0.25">
      <c r="A733" s="4" t="s">
        <v>5</v>
      </c>
      <c r="B733" s="1">
        <v>0.42173100000000002</v>
      </c>
      <c r="C733" s="1">
        <v>0.42501100000000003</v>
      </c>
      <c r="D733" s="1">
        <f>IF(B733&gt;C733,B733-C733,C733-B733)</f>
        <v>3.2800000000000051E-3</v>
      </c>
      <c r="E733">
        <f>MINUTE(D733)</f>
        <v>4</v>
      </c>
      <c r="F733">
        <f>SECOND(D733)</f>
        <v>43</v>
      </c>
      <c r="G733">
        <f>ROUND(E733+F733/60,2)</f>
        <v>4.72</v>
      </c>
      <c r="H733">
        <f>60*E733+F733</f>
        <v>283</v>
      </c>
      <c r="I733" s="3">
        <f>5*(3600/H733)</f>
        <v>63.60424028268551</v>
      </c>
      <c r="J733" s="16">
        <f t="shared" si="11"/>
        <v>0</v>
      </c>
    </row>
    <row r="734" spans="1:10" x14ac:dyDescent="0.25">
      <c r="A734" s="4" t="s">
        <v>336</v>
      </c>
      <c r="B734" s="1">
        <v>0.96765500000000004</v>
      </c>
      <c r="C734" s="1">
        <v>0.96437899999999999</v>
      </c>
      <c r="D734" s="1">
        <f>IF(B734&gt;C734,B734-C734,C734-B734)</f>
        <v>3.2760000000000566E-3</v>
      </c>
      <c r="E734">
        <f>MINUTE(D734)</f>
        <v>4</v>
      </c>
      <c r="F734">
        <f>SECOND(D734)</f>
        <v>43</v>
      </c>
      <c r="G734">
        <f>ROUND(E734+F734/60,2)</f>
        <v>4.72</v>
      </c>
      <c r="H734">
        <f>60*E734+F734</f>
        <v>283</v>
      </c>
      <c r="I734" s="3">
        <f>5*(3600/H734)</f>
        <v>63.60424028268551</v>
      </c>
      <c r="J734" s="16">
        <f t="shared" si="11"/>
        <v>0</v>
      </c>
    </row>
    <row r="735" spans="1:10" x14ac:dyDescent="0.25">
      <c r="A735" s="4" t="s">
        <v>55</v>
      </c>
      <c r="B735" s="1">
        <v>0.62158000000000002</v>
      </c>
      <c r="C735" s="1">
        <v>0.61829199999999995</v>
      </c>
      <c r="D735" s="1">
        <f>IF(B735&gt;C735,B735-C735,C735-B735)</f>
        <v>3.2880000000000686E-3</v>
      </c>
      <c r="E735">
        <f>MINUTE(D735)</f>
        <v>4</v>
      </c>
      <c r="F735">
        <f>SECOND(D735)</f>
        <v>44</v>
      </c>
      <c r="G735">
        <f>ROUND(E735+F735/60,2)</f>
        <v>4.7300000000000004</v>
      </c>
      <c r="H735">
        <f>60*E735+F735</f>
        <v>284</v>
      </c>
      <c r="I735" s="3">
        <f>5*(3600/H735)</f>
        <v>63.380281690140848</v>
      </c>
      <c r="J735" s="16">
        <f t="shared" si="11"/>
        <v>0</v>
      </c>
    </row>
    <row r="736" spans="1:10" x14ac:dyDescent="0.25">
      <c r="A736" s="4" t="s">
        <v>138</v>
      </c>
      <c r="B736" s="1">
        <v>0.92752500000000004</v>
      </c>
      <c r="C736" s="1">
        <v>0.92424099999999998</v>
      </c>
      <c r="D736" s="1">
        <f>IF(B736&gt;C736,B736-C736,C736-B736)</f>
        <v>3.2840000000000646E-3</v>
      </c>
      <c r="E736">
        <f>MINUTE(D736)</f>
        <v>4</v>
      </c>
      <c r="F736">
        <f>SECOND(D736)</f>
        <v>44</v>
      </c>
      <c r="G736">
        <f>ROUND(E736+F736/60,2)</f>
        <v>4.7300000000000004</v>
      </c>
      <c r="H736">
        <f>60*E736+F736</f>
        <v>284</v>
      </c>
      <c r="I736" s="3">
        <f>5*(3600/H736)</f>
        <v>63.380281690140848</v>
      </c>
      <c r="J736" s="16">
        <f t="shared" si="11"/>
        <v>0</v>
      </c>
    </row>
    <row r="737" spans="1:10" x14ac:dyDescent="0.25">
      <c r="A737" s="4" t="s">
        <v>31</v>
      </c>
      <c r="B737" s="1">
        <v>0.108847</v>
      </c>
      <c r="C737" s="1">
        <v>0.105555</v>
      </c>
      <c r="D737" s="1">
        <f>IF(B737&gt;C737,B737-C737,C737-B737)</f>
        <v>3.2920000000000033E-3</v>
      </c>
      <c r="E737">
        <f>MINUTE(D737)</f>
        <v>4</v>
      </c>
      <c r="F737">
        <f>SECOND(D737)</f>
        <v>44</v>
      </c>
      <c r="G737">
        <f>ROUND(E737+F737/60,2)</f>
        <v>4.7300000000000004</v>
      </c>
      <c r="H737">
        <f>60*E737+F737</f>
        <v>284</v>
      </c>
      <c r="I737" s="3">
        <f>5*(3600/H737)</f>
        <v>63.380281690140848</v>
      </c>
      <c r="J737" s="16">
        <f t="shared" si="11"/>
        <v>0</v>
      </c>
    </row>
    <row r="738" spans="1:10" x14ac:dyDescent="0.25">
      <c r="A738" s="4" t="s">
        <v>60</v>
      </c>
      <c r="B738" s="1">
        <v>0.71294500000000005</v>
      </c>
      <c r="C738" s="1">
        <v>0.716229</v>
      </c>
      <c r="D738" s="1">
        <f>IF(B738&gt;C738,B738-C738,C738-B738)</f>
        <v>3.2839999999999536E-3</v>
      </c>
      <c r="E738">
        <f>MINUTE(D738)</f>
        <v>4</v>
      </c>
      <c r="F738">
        <f>SECOND(D738)</f>
        <v>44</v>
      </c>
      <c r="G738">
        <f>ROUND(E738+F738/60,2)</f>
        <v>4.7300000000000004</v>
      </c>
      <c r="H738">
        <f>60*E738+F738</f>
        <v>284</v>
      </c>
      <c r="I738" s="3">
        <f>5*(3600/H738)</f>
        <v>63.380281690140848</v>
      </c>
      <c r="J738" s="16">
        <f t="shared" si="11"/>
        <v>0</v>
      </c>
    </row>
    <row r="739" spans="1:10" x14ac:dyDescent="0.25">
      <c r="A739" s="4" t="s">
        <v>117</v>
      </c>
      <c r="B739" s="1">
        <v>0.56385600000000002</v>
      </c>
      <c r="C739" s="1">
        <v>0.56057199999999996</v>
      </c>
      <c r="D739" s="1">
        <f>IF(B739&gt;C739,B739-C739,C739-B739)</f>
        <v>3.2840000000000646E-3</v>
      </c>
      <c r="E739">
        <f>MINUTE(D739)</f>
        <v>4</v>
      </c>
      <c r="F739">
        <f>SECOND(D739)</f>
        <v>44</v>
      </c>
      <c r="G739">
        <f>ROUND(E739+F739/60,2)</f>
        <v>4.7300000000000004</v>
      </c>
      <c r="H739">
        <f>60*E739+F739</f>
        <v>284</v>
      </c>
      <c r="I739" s="3">
        <f>5*(3600/H739)</f>
        <v>63.380281690140848</v>
      </c>
      <c r="J739" s="16">
        <f t="shared" si="11"/>
        <v>0</v>
      </c>
    </row>
    <row r="740" spans="1:10" x14ac:dyDescent="0.25">
      <c r="A740" s="4" t="s">
        <v>276</v>
      </c>
      <c r="B740" s="1">
        <v>0.90642999999999996</v>
      </c>
      <c r="C740" s="1">
        <v>0.90972200000000003</v>
      </c>
      <c r="D740" s="1">
        <f>IF(B740&gt;C740,B740-C740,C740-B740)</f>
        <v>3.2920000000000726E-3</v>
      </c>
      <c r="E740">
        <f>MINUTE(D740)</f>
        <v>4</v>
      </c>
      <c r="F740">
        <f>SECOND(D740)</f>
        <v>44</v>
      </c>
      <c r="G740">
        <f>ROUND(E740+F740/60,2)</f>
        <v>4.7300000000000004</v>
      </c>
      <c r="H740">
        <f>60*E740+F740</f>
        <v>284</v>
      </c>
      <c r="I740" s="3">
        <f>5*(3600/H740)</f>
        <v>63.380281690140848</v>
      </c>
      <c r="J740" s="16">
        <f t="shared" si="11"/>
        <v>0</v>
      </c>
    </row>
    <row r="741" spans="1:10" x14ac:dyDescent="0.25">
      <c r="A741" s="4" t="s">
        <v>340</v>
      </c>
      <c r="B741" s="1">
        <v>0.91144700000000001</v>
      </c>
      <c r="C741" s="1">
        <v>0.91473099999999996</v>
      </c>
      <c r="D741" s="1">
        <f>IF(B741&gt;C741,B741-C741,C741-B741)</f>
        <v>3.2839999999999536E-3</v>
      </c>
      <c r="E741">
        <f>MINUTE(D741)</f>
        <v>4</v>
      </c>
      <c r="F741">
        <f>SECOND(D741)</f>
        <v>44</v>
      </c>
      <c r="G741">
        <f>ROUND(E741+F741/60,2)</f>
        <v>4.7300000000000004</v>
      </c>
      <c r="H741">
        <f>60*E741+F741</f>
        <v>284</v>
      </c>
      <c r="I741" s="3">
        <f>5*(3600/H741)</f>
        <v>63.380281690140848</v>
      </c>
      <c r="J741" s="16">
        <f t="shared" si="11"/>
        <v>0</v>
      </c>
    </row>
    <row r="742" spans="1:10" x14ac:dyDescent="0.25">
      <c r="A742" s="4" t="s">
        <v>104</v>
      </c>
      <c r="B742" s="1">
        <v>0.59223499999999996</v>
      </c>
      <c r="C742" s="1">
        <v>0.59553500000000004</v>
      </c>
      <c r="D742" s="1">
        <f>IF(B742&gt;C742,B742-C742,C742-B742)</f>
        <v>3.3000000000000806E-3</v>
      </c>
      <c r="E742">
        <f>MINUTE(D742)</f>
        <v>4</v>
      </c>
      <c r="F742">
        <f>SECOND(D742)</f>
        <v>45</v>
      </c>
      <c r="G742">
        <f>ROUND(E742+F742/60,2)</f>
        <v>4.75</v>
      </c>
      <c r="H742">
        <f>60*E742+F742</f>
        <v>285</v>
      </c>
      <c r="I742" s="3">
        <f>5*(3600/H742)</f>
        <v>63.15789473684211</v>
      </c>
      <c r="J742" s="16">
        <f t="shared" si="11"/>
        <v>0</v>
      </c>
    </row>
    <row r="743" spans="1:10" x14ac:dyDescent="0.25">
      <c r="A743" s="4" t="s">
        <v>41</v>
      </c>
      <c r="B743" s="1">
        <v>0.52646300000000001</v>
      </c>
      <c r="C743" s="1">
        <v>0.52316700000000005</v>
      </c>
      <c r="D743" s="1">
        <f>IF(B743&gt;C743,B743-C743,C743-B743)</f>
        <v>3.2959999999999656E-3</v>
      </c>
      <c r="E743">
        <f>MINUTE(D743)</f>
        <v>4</v>
      </c>
      <c r="F743">
        <f>SECOND(D743)</f>
        <v>45</v>
      </c>
      <c r="G743">
        <f>ROUND(E743+F743/60,2)</f>
        <v>4.75</v>
      </c>
      <c r="H743">
        <f>60*E743+F743</f>
        <v>285</v>
      </c>
      <c r="I743" s="3">
        <f>5*(3600/H743)</f>
        <v>63.15789473684211</v>
      </c>
      <c r="J743" s="16">
        <f t="shared" si="11"/>
        <v>0</v>
      </c>
    </row>
    <row r="744" spans="1:10" x14ac:dyDescent="0.25">
      <c r="A744" s="4" t="s">
        <v>416</v>
      </c>
      <c r="B744" s="1">
        <v>0.84869399999999995</v>
      </c>
      <c r="C744" s="1">
        <v>0.85199800000000003</v>
      </c>
      <c r="D744" s="1">
        <f>IF(B744&gt;C744,B744-C744,C744-B744)</f>
        <v>3.3040000000000846E-3</v>
      </c>
      <c r="E744">
        <f>MINUTE(D744)</f>
        <v>4</v>
      </c>
      <c r="F744">
        <f>SECOND(D744)</f>
        <v>45</v>
      </c>
      <c r="G744">
        <f>ROUND(E744+F744/60,2)</f>
        <v>4.75</v>
      </c>
      <c r="H744">
        <f>60*E744+F744</f>
        <v>285</v>
      </c>
      <c r="I744" s="3">
        <f>5*(3600/H744)</f>
        <v>63.15789473684211</v>
      </c>
      <c r="J744" s="16">
        <f t="shared" si="11"/>
        <v>0</v>
      </c>
    </row>
    <row r="745" spans="1:10" x14ac:dyDescent="0.25">
      <c r="A745" s="4" t="s">
        <v>95</v>
      </c>
      <c r="B745" s="1">
        <v>2.5318E-2</v>
      </c>
      <c r="C745" s="1">
        <v>2.8625999999999999E-2</v>
      </c>
      <c r="D745" s="1">
        <f>IF(B745&gt;C745,B745-C745,C745-B745)</f>
        <v>3.3079999999999984E-3</v>
      </c>
      <c r="E745">
        <f>MINUTE(D745)</f>
        <v>4</v>
      </c>
      <c r="F745">
        <f>SECOND(D745)</f>
        <v>46</v>
      </c>
      <c r="G745">
        <f>ROUND(E745+F745/60,2)</f>
        <v>4.7699999999999996</v>
      </c>
      <c r="H745">
        <f>60*E745+F745</f>
        <v>286</v>
      </c>
      <c r="I745" s="3">
        <f>5*(3600/H745)</f>
        <v>62.937062937062933</v>
      </c>
      <c r="J745" s="16">
        <f t="shared" si="11"/>
        <v>0</v>
      </c>
    </row>
    <row r="746" spans="1:10" x14ac:dyDescent="0.25">
      <c r="A746" s="4" t="s">
        <v>87</v>
      </c>
      <c r="B746" s="1">
        <v>0.25899800000000001</v>
      </c>
      <c r="C746" s="1">
        <v>0.26230599999999998</v>
      </c>
      <c r="D746" s="1">
        <f>IF(B746&gt;C746,B746-C746,C746-B746)</f>
        <v>3.3079999999999776E-3</v>
      </c>
      <c r="E746">
        <f>MINUTE(D746)</f>
        <v>4</v>
      </c>
      <c r="F746">
        <f>SECOND(D746)</f>
        <v>46</v>
      </c>
      <c r="G746">
        <f>ROUND(E746+F746/60,2)</f>
        <v>4.7699999999999996</v>
      </c>
      <c r="H746">
        <f>60*E746+F746</f>
        <v>286</v>
      </c>
      <c r="I746" s="3">
        <f>5*(3600/H746)</f>
        <v>62.937062937062933</v>
      </c>
      <c r="J746" s="16">
        <f t="shared" si="11"/>
        <v>0</v>
      </c>
    </row>
    <row r="747" spans="1:10" x14ac:dyDescent="0.25">
      <c r="A747" s="4" t="s">
        <v>47</v>
      </c>
      <c r="B747" s="1">
        <v>0.36631000000000002</v>
      </c>
      <c r="C747" s="1">
        <v>0.36299799999999999</v>
      </c>
      <c r="D747" s="1">
        <f>IF(B747&gt;C747,B747-C747,C747-B747)</f>
        <v>3.3120000000000371E-3</v>
      </c>
      <c r="E747">
        <f>MINUTE(D747)</f>
        <v>4</v>
      </c>
      <c r="F747">
        <f>SECOND(D747)</f>
        <v>46</v>
      </c>
      <c r="G747">
        <f>ROUND(E747+F747/60,2)</f>
        <v>4.7699999999999996</v>
      </c>
      <c r="H747">
        <f>60*E747+F747</f>
        <v>286</v>
      </c>
      <c r="I747" s="3">
        <f>5*(3600/H747)</f>
        <v>62.937062937062933</v>
      </c>
      <c r="J747" s="16">
        <f t="shared" si="11"/>
        <v>0</v>
      </c>
    </row>
    <row r="748" spans="1:10" x14ac:dyDescent="0.25">
      <c r="A748" s="4" t="s">
        <v>16</v>
      </c>
      <c r="B748" s="1">
        <v>0.22825400000000001</v>
      </c>
      <c r="C748" s="1">
        <v>0.22492999999999999</v>
      </c>
      <c r="D748" s="1">
        <f>IF(B748&gt;C748,B748-C748,C748-B748)</f>
        <v>3.3240000000000214E-3</v>
      </c>
      <c r="E748">
        <f>MINUTE(D748)</f>
        <v>4</v>
      </c>
      <c r="F748">
        <f>SECOND(D748)</f>
        <v>47</v>
      </c>
      <c r="G748">
        <f>ROUND(E748+F748/60,2)</f>
        <v>4.78</v>
      </c>
      <c r="H748">
        <f>60*E748+F748</f>
        <v>287</v>
      </c>
      <c r="I748" s="3">
        <f>5*(3600/H748)</f>
        <v>62.717770034843205</v>
      </c>
      <c r="J748" s="16">
        <f t="shared" si="11"/>
        <v>0</v>
      </c>
    </row>
    <row r="749" spans="1:10" x14ac:dyDescent="0.25">
      <c r="A749" s="4" t="s">
        <v>18</v>
      </c>
      <c r="B749" s="1">
        <v>5.8460999999999999E-2</v>
      </c>
      <c r="C749" s="1">
        <v>6.1785E-2</v>
      </c>
      <c r="D749" s="1">
        <f>IF(B749&gt;C749,B749-C749,C749-B749)</f>
        <v>3.3240000000000006E-3</v>
      </c>
      <c r="E749">
        <f>MINUTE(D749)</f>
        <v>4</v>
      </c>
      <c r="F749">
        <f>SECOND(D749)</f>
        <v>47</v>
      </c>
      <c r="G749">
        <f>ROUND(E749+F749/60,2)</f>
        <v>4.78</v>
      </c>
      <c r="H749">
        <f>60*E749+F749</f>
        <v>287</v>
      </c>
      <c r="I749" s="3">
        <f>5*(3600/H749)</f>
        <v>62.717770034843205</v>
      </c>
      <c r="J749" s="16">
        <f t="shared" si="11"/>
        <v>0</v>
      </c>
    </row>
    <row r="750" spans="1:10" x14ac:dyDescent="0.25">
      <c r="A750" s="4" t="s">
        <v>22</v>
      </c>
      <c r="B750" s="1">
        <v>7.6165999999999998E-2</v>
      </c>
      <c r="C750" s="1">
        <v>7.9481999999999997E-2</v>
      </c>
      <c r="D750" s="1">
        <f>IF(B750&gt;C750,B750-C750,C750-B750)</f>
        <v>3.3159999999999995E-3</v>
      </c>
      <c r="E750">
        <f>MINUTE(D750)</f>
        <v>4</v>
      </c>
      <c r="F750">
        <f>SECOND(D750)</f>
        <v>47</v>
      </c>
      <c r="G750">
        <f>ROUND(E750+F750/60,2)</f>
        <v>4.78</v>
      </c>
      <c r="H750">
        <f>60*E750+F750</f>
        <v>287</v>
      </c>
      <c r="I750" s="3">
        <f>5*(3600/H750)</f>
        <v>62.717770034843205</v>
      </c>
      <c r="J750" s="16">
        <f t="shared" si="11"/>
        <v>0</v>
      </c>
    </row>
    <row r="751" spans="1:10" x14ac:dyDescent="0.25">
      <c r="A751" s="4" t="s">
        <v>81</v>
      </c>
      <c r="B751" s="1">
        <v>0.60814999999999997</v>
      </c>
      <c r="C751" s="1">
        <v>0.61146599999999995</v>
      </c>
      <c r="D751" s="1">
        <f>IF(B751&gt;C751,B751-C751,C751-B751)</f>
        <v>3.3159999999999856E-3</v>
      </c>
      <c r="E751">
        <f>MINUTE(D751)</f>
        <v>4</v>
      </c>
      <c r="F751">
        <f>SECOND(D751)</f>
        <v>47</v>
      </c>
      <c r="G751">
        <f>ROUND(E751+F751/60,2)</f>
        <v>4.78</v>
      </c>
      <c r="H751">
        <f>60*E751+F751</f>
        <v>287</v>
      </c>
      <c r="I751" s="3">
        <f>5*(3600/H751)</f>
        <v>62.717770034843205</v>
      </c>
      <c r="J751" s="16">
        <f t="shared" si="11"/>
        <v>0</v>
      </c>
    </row>
    <row r="752" spans="1:10" x14ac:dyDescent="0.25">
      <c r="A752" s="4" t="s">
        <v>8</v>
      </c>
      <c r="B752" s="1">
        <v>0.89442100000000002</v>
      </c>
      <c r="C752" s="1">
        <v>0.89109700000000003</v>
      </c>
      <c r="D752" s="1">
        <f>IF(B752&gt;C752,B752-C752,C752-B752)</f>
        <v>3.3239999999999936E-3</v>
      </c>
      <c r="E752">
        <f>MINUTE(D752)</f>
        <v>4</v>
      </c>
      <c r="F752">
        <f>SECOND(D752)</f>
        <v>47</v>
      </c>
      <c r="G752">
        <f>ROUND(E752+F752/60,2)</f>
        <v>4.78</v>
      </c>
      <c r="H752">
        <f>60*E752+F752</f>
        <v>287</v>
      </c>
      <c r="I752" s="3">
        <f>5*(3600/H752)</f>
        <v>62.717770034843205</v>
      </c>
      <c r="J752" s="16">
        <f t="shared" si="11"/>
        <v>0</v>
      </c>
    </row>
    <row r="753" spans="1:10" x14ac:dyDescent="0.25">
      <c r="A753" s="4" t="s">
        <v>109</v>
      </c>
      <c r="B753" s="1">
        <v>0.404277</v>
      </c>
      <c r="C753" s="1">
        <v>0.40759299999999998</v>
      </c>
      <c r="D753" s="1">
        <f>IF(B753&gt;C753,B753-C753,C753-B753)</f>
        <v>3.3159999999999856E-3</v>
      </c>
      <c r="E753">
        <f>MINUTE(D753)</f>
        <v>4</v>
      </c>
      <c r="F753">
        <f>SECOND(D753)</f>
        <v>47</v>
      </c>
      <c r="G753">
        <f>ROUND(E753+F753/60,2)</f>
        <v>4.78</v>
      </c>
      <c r="H753">
        <f>60*E753+F753</f>
        <v>287</v>
      </c>
      <c r="I753" s="3">
        <f>5*(3600/H753)</f>
        <v>62.717770034843205</v>
      </c>
      <c r="J753" s="16">
        <f t="shared" si="11"/>
        <v>0</v>
      </c>
    </row>
    <row r="754" spans="1:10" x14ac:dyDescent="0.25">
      <c r="A754" s="4" t="s">
        <v>41</v>
      </c>
      <c r="B754" s="1">
        <v>0.70953299999999997</v>
      </c>
      <c r="C754" s="1">
        <v>0.71285699999999996</v>
      </c>
      <c r="D754" s="1">
        <f>IF(B754&gt;C754,B754-C754,C754-B754)</f>
        <v>3.3239999999999936E-3</v>
      </c>
      <c r="E754">
        <f>MINUTE(D754)</f>
        <v>4</v>
      </c>
      <c r="F754">
        <f>SECOND(D754)</f>
        <v>47</v>
      </c>
      <c r="G754">
        <f>ROUND(E754+F754/60,2)</f>
        <v>4.78</v>
      </c>
      <c r="H754">
        <f>60*E754+F754</f>
        <v>287</v>
      </c>
      <c r="I754" s="3">
        <f>5*(3600/H754)</f>
        <v>62.717770034843205</v>
      </c>
      <c r="J754" s="16">
        <f t="shared" si="11"/>
        <v>0</v>
      </c>
    </row>
    <row r="755" spans="1:10" x14ac:dyDescent="0.25">
      <c r="A755" s="4" t="s">
        <v>326</v>
      </c>
      <c r="B755" s="1">
        <v>0.76355799999999996</v>
      </c>
      <c r="C755" s="1">
        <v>0.76023399999999997</v>
      </c>
      <c r="D755" s="1">
        <f>IF(B755&gt;C755,B755-C755,C755-B755)</f>
        <v>3.3239999999999936E-3</v>
      </c>
      <c r="E755">
        <f>MINUTE(D755)</f>
        <v>4</v>
      </c>
      <c r="F755">
        <f>SECOND(D755)</f>
        <v>47</v>
      </c>
      <c r="G755">
        <f>ROUND(E755+F755/60,2)</f>
        <v>4.78</v>
      </c>
      <c r="H755">
        <f>60*E755+F755</f>
        <v>287</v>
      </c>
      <c r="I755" s="3">
        <f>5*(3600/H755)</f>
        <v>62.717770034843205</v>
      </c>
      <c r="J755" s="16">
        <f t="shared" si="11"/>
        <v>0</v>
      </c>
    </row>
    <row r="756" spans="1:10" x14ac:dyDescent="0.25">
      <c r="A756" s="4" t="s">
        <v>61</v>
      </c>
      <c r="B756" s="1">
        <v>0.95039600000000002</v>
      </c>
      <c r="C756" s="1">
        <v>0.95372400000000002</v>
      </c>
      <c r="D756" s="1">
        <f>IF(B756&gt;C756,B756-C756,C756-B756)</f>
        <v>3.3279999999999976E-3</v>
      </c>
      <c r="E756">
        <f>MINUTE(D756)</f>
        <v>4</v>
      </c>
      <c r="F756">
        <f>SECOND(D756)</f>
        <v>48</v>
      </c>
      <c r="G756">
        <f>ROUND(E756+F756/60,2)</f>
        <v>4.8</v>
      </c>
      <c r="H756">
        <f>60*E756+F756</f>
        <v>288</v>
      </c>
      <c r="I756" s="3">
        <f>5*(3600/H756)</f>
        <v>62.5</v>
      </c>
      <c r="J756" s="16">
        <f t="shared" si="11"/>
        <v>0</v>
      </c>
    </row>
    <row r="757" spans="1:10" x14ac:dyDescent="0.25">
      <c r="A757" s="4" t="s">
        <v>109</v>
      </c>
      <c r="B757" s="1">
        <v>0.23408499999999999</v>
      </c>
      <c r="C757" s="1">
        <v>0.23075300000000001</v>
      </c>
      <c r="D757" s="1">
        <f>IF(B757&gt;C757,B757-C757,C757-B757)</f>
        <v>3.3319999999999739E-3</v>
      </c>
      <c r="E757">
        <f>MINUTE(D757)</f>
        <v>4</v>
      </c>
      <c r="F757">
        <f>SECOND(D757)</f>
        <v>48</v>
      </c>
      <c r="G757">
        <f>ROUND(E757+F757/60,2)</f>
        <v>4.8</v>
      </c>
      <c r="H757">
        <f>60*E757+F757</f>
        <v>288</v>
      </c>
      <c r="I757" s="3">
        <f>5*(3600/H757)</f>
        <v>62.5</v>
      </c>
      <c r="J757" s="16">
        <f t="shared" si="11"/>
        <v>0</v>
      </c>
    </row>
    <row r="758" spans="1:10" x14ac:dyDescent="0.25">
      <c r="A758" s="4" t="s">
        <v>415</v>
      </c>
      <c r="B758" s="1">
        <v>0.80934099999999998</v>
      </c>
      <c r="C758" s="1">
        <v>0.81267299999999998</v>
      </c>
      <c r="D758" s="1">
        <f>IF(B758&gt;C758,B758-C758,C758-B758)</f>
        <v>3.3320000000000016E-3</v>
      </c>
      <c r="E758">
        <f>MINUTE(D758)</f>
        <v>4</v>
      </c>
      <c r="F758">
        <f>SECOND(D758)</f>
        <v>48</v>
      </c>
      <c r="G758">
        <f>ROUND(E758+F758/60,2)</f>
        <v>4.8</v>
      </c>
      <c r="H758">
        <f>60*E758+F758</f>
        <v>288</v>
      </c>
      <c r="I758" s="3">
        <f>5*(3600/H758)</f>
        <v>62.5</v>
      </c>
      <c r="J758" s="16">
        <f t="shared" si="11"/>
        <v>0</v>
      </c>
    </row>
    <row r="759" spans="1:10" x14ac:dyDescent="0.25">
      <c r="A759" s="4" t="s">
        <v>107</v>
      </c>
      <c r="B759" s="1">
        <v>0.66037100000000004</v>
      </c>
      <c r="C759" s="1">
        <v>0.65702700000000003</v>
      </c>
      <c r="D759" s="1">
        <f>IF(B759&gt;C759,B759-C759,C759-B759)</f>
        <v>3.3440000000000136E-3</v>
      </c>
      <c r="E759">
        <f>MINUTE(D759)</f>
        <v>4</v>
      </c>
      <c r="F759">
        <f>SECOND(D759)</f>
        <v>49</v>
      </c>
      <c r="G759">
        <f>ROUND(E759+F759/60,2)</f>
        <v>4.82</v>
      </c>
      <c r="H759">
        <f>60*E759+F759</f>
        <v>289</v>
      </c>
      <c r="I759" s="3">
        <f>5*(3600/H759)</f>
        <v>62.283737024221459</v>
      </c>
      <c r="J759" s="16">
        <f t="shared" si="11"/>
        <v>0</v>
      </c>
    </row>
    <row r="760" spans="1:10" x14ac:dyDescent="0.25">
      <c r="A760" s="4" t="s">
        <v>162</v>
      </c>
      <c r="B760" s="1">
        <v>0.74316700000000002</v>
      </c>
      <c r="C760" s="1">
        <v>0.74651500000000004</v>
      </c>
      <c r="D760" s="1">
        <f>IF(B760&gt;C760,B760-C760,C760-B760)</f>
        <v>3.3480000000000176E-3</v>
      </c>
      <c r="E760">
        <f>MINUTE(D760)</f>
        <v>4</v>
      </c>
      <c r="F760">
        <f>SECOND(D760)</f>
        <v>49</v>
      </c>
      <c r="G760">
        <f>ROUND(E760+F760/60,2)</f>
        <v>4.82</v>
      </c>
      <c r="H760">
        <f>60*E760+F760</f>
        <v>289</v>
      </c>
      <c r="I760" s="3">
        <f>5*(3600/H760)</f>
        <v>62.283737024221459</v>
      </c>
      <c r="J760" s="16">
        <f t="shared" si="11"/>
        <v>0</v>
      </c>
    </row>
    <row r="761" spans="1:10" x14ac:dyDescent="0.25">
      <c r="A761" s="4" t="s">
        <v>154</v>
      </c>
      <c r="B761" s="1">
        <v>0.53641000000000005</v>
      </c>
      <c r="C761" s="1">
        <v>0.53306200000000004</v>
      </c>
      <c r="D761" s="1">
        <f>IF(B761&gt;C761,B761-C761,C761-B761)</f>
        <v>3.3480000000000176E-3</v>
      </c>
      <c r="E761">
        <f>MINUTE(D761)</f>
        <v>4</v>
      </c>
      <c r="F761">
        <f>SECOND(D761)</f>
        <v>49</v>
      </c>
      <c r="G761">
        <f>ROUND(E761+F761/60,2)</f>
        <v>4.82</v>
      </c>
      <c r="H761">
        <f>60*E761+F761</f>
        <v>289</v>
      </c>
      <c r="I761" s="3">
        <f>5*(3600/H761)</f>
        <v>62.283737024221459</v>
      </c>
      <c r="J761" s="16">
        <f t="shared" si="11"/>
        <v>0</v>
      </c>
    </row>
    <row r="762" spans="1:10" x14ac:dyDescent="0.25">
      <c r="A762" s="4" t="s">
        <v>184</v>
      </c>
      <c r="B762" s="1">
        <v>0.58142000000000005</v>
      </c>
      <c r="C762" s="1">
        <v>0.58476799999999995</v>
      </c>
      <c r="D762" s="1">
        <f>IF(B762&gt;C762,B762-C762,C762-B762)</f>
        <v>3.3479999999999066E-3</v>
      </c>
      <c r="E762">
        <f>MINUTE(D762)</f>
        <v>4</v>
      </c>
      <c r="F762">
        <f>SECOND(D762)</f>
        <v>49</v>
      </c>
      <c r="G762">
        <f>ROUND(E762+F762/60,2)</f>
        <v>4.82</v>
      </c>
      <c r="H762">
        <f>60*E762+F762</f>
        <v>289</v>
      </c>
      <c r="I762" s="3">
        <f>5*(3600/H762)</f>
        <v>62.283737024221459</v>
      </c>
      <c r="J762" s="16">
        <f t="shared" si="11"/>
        <v>0</v>
      </c>
    </row>
    <row r="763" spans="1:10" x14ac:dyDescent="0.25">
      <c r="A763" s="4" t="s">
        <v>267</v>
      </c>
      <c r="B763" s="1">
        <v>0.25780399999999998</v>
      </c>
      <c r="C763" s="1">
        <v>0.25446000000000002</v>
      </c>
      <c r="D763" s="1">
        <f>IF(B763&gt;C763,B763-C763,C763-B763)</f>
        <v>3.3439999999999581E-3</v>
      </c>
      <c r="E763">
        <f>MINUTE(D763)</f>
        <v>4</v>
      </c>
      <c r="F763">
        <f>SECOND(D763)</f>
        <v>49</v>
      </c>
      <c r="G763">
        <f>ROUND(E763+F763/60,2)</f>
        <v>4.82</v>
      </c>
      <c r="H763">
        <f>60*E763+F763</f>
        <v>289</v>
      </c>
      <c r="I763" s="3">
        <f>5*(3600/H763)</f>
        <v>62.283737024221459</v>
      </c>
      <c r="J763" s="16">
        <f t="shared" si="11"/>
        <v>0</v>
      </c>
    </row>
    <row r="764" spans="1:10" x14ac:dyDescent="0.25">
      <c r="A764" s="4" t="s">
        <v>370</v>
      </c>
      <c r="B764" s="1">
        <v>0.77186999999999995</v>
      </c>
      <c r="C764" s="1">
        <v>0.76852600000000004</v>
      </c>
      <c r="D764" s="1">
        <f>IF(B764&gt;C764,B764-C764,C764-B764)</f>
        <v>3.3439999999999026E-3</v>
      </c>
      <c r="E764">
        <f>MINUTE(D764)</f>
        <v>4</v>
      </c>
      <c r="F764">
        <f>SECOND(D764)</f>
        <v>49</v>
      </c>
      <c r="G764">
        <f>ROUND(E764+F764/60,2)</f>
        <v>4.82</v>
      </c>
      <c r="H764">
        <f>60*E764+F764</f>
        <v>289</v>
      </c>
      <c r="I764" s="3">
        <f>5*(3600/H764)</f>
        <v>62.283737024221459</v>
      </c>
      <c r="J764" s="16">
        <f t="shared" si="11"/>
        <v>0</v>
      </c>
    </row>
    <row r="765" spans="1:10" x14ac:dyDescent="0.25">
      <c r="A765" s="4" t="s">
        <v>140</v>
      </c>
      <c r="B765" s="1">
        <v>0.16140399999999999</v>
      </c>
      <c r="C765" s="1">
        <v>0.158052</v>
      </c>
      <c r="D765" s="1">
        <f>IF(B765&gt;C765,B765-C765,C765-B765)</f>
        <v>3.3519999999999939E-3</v>
      </c>
      <c r="E765">
        <f>MINUTE(D765)</f>
        <v>4</v>
      </c>
      <c r="F765">
        <f>SECOND(D765)</f>
        <v>50</v>
      </c>
      <c r="G765">
        <f>ROUND(E765+F765/60,2)</f>
        <v>4.83</v>
      </c>
      <c r="H765">
        <f>60*E765+F765</f>
        <v>290</v>
      </c>
      <c r="I765" s="3">
        <f>5*(3600/H765)</f>
        <v>62.068965517241381</v>
      </c>
      <c r="J765" s="16">
        <f t="shared" si="11"/>
        <v>0</v>
      </c>
    </row>
    <row r="766" spans="1:10" x14ac:dyDescent="0.25">
      <c r="A766" s="4" t="s">
        <v>162</v>
      </c>
      <c r="B766" s="1">
        <v>0.89708699999999997</v>
      </c>
      <c r="C766" s="1">
        <v>0.89373499999999995</v>
      </c>
      <c r="D766" s="1">
        <f>IF(B766&gt;C766,B766-C766,C766-B766)</f>
        <v>3.3520000000000216E-3</v>
      </c>
      <c r="E766">
        <f>MINUTE(D766)</f>
        <v>4</v>
      </c>
      <c r="F766">
        <f>SECOND(D766)</f>
        <v>50</v>
      </c>
      <c r="G766">
        <f>ROUND(E766+F766/60,2)</f>
        <v>4.83</v>
      </c>
      <c r="H766">
        <f>60*E766+F766</f>
        <v>290</v>
      </c>
      <c r="I766" s="3">
        <f>5*(3600/H766)</f>
        <v>62.068965517241381</v>
      </c>
      <c r="J766" s="16">
        <f t="shared" si="11"/>
        <v>0</v>
      </c>
    </row>
    <row r="767" spans="1:10" x14ac:dyDescent="0.25">
      <c r="A767" s="4" t="s">
        <v>29</v>
      </c>
      <c r="B767" s="1">
        <v>0.53885000000000005</v>
      </c>
      <c r="C767" s="1">
        <v>0.53549000000000002</v>
      </c>
      <c r="D767" s="1">
        <f>IF(B767&gt;C767,B767-C767,C767-B767)</f>
        <v>3.3600000000000296E-3</v>
      </c>
      <c r="E767">
        <f>MINUTE(D767)</f>
        <v>4</v>
      </c>
      <c r="F767">
        <f>SECOND(D767)</f>
        <v>50</v>
      </c>
      <c r="G767">
        <f>ROUND(E767+F767/60,2)</f>
        <v>4.83</v>
      </c>
      <c r="H767">
        <f>60*E767+F767</f>
        <v>290</v>
      </c>
      <c r="I767" s="3">
        <f>5*(3600/H767)</f>
        <v>62.068965517241381</v>
      </c>
      <c r="J767" s="16">
        <f t="shared" si="11"/>
        <v>0</v>
      </c>
    </row>
    <row r="768" spans="1:10" x14ac:dyDescent="0.25">
      <c r="A768" s="4" t="s">
        <v>45</v>
      </c>
      <c r="B768" s="1">
        <v>0.39247599999999999</v>
      </c>
      <c r="C768" s="1">
        <v>0.39583600000000002</v>
      </c>
      <c r="D768" s="1">
        <f>IF(B768&gt;C768,B768-C768,C768-B768)</f>
        <v>3.3600000000000296E-3</v>
      </c>
      <c r="E768">
        <f>MINUTE(D768)</f>
        <v>4</v>
      </c>
      <c r="F768">
        <f>SECOND(D768)</f>
        <v>50</v>
      </c>
      <c r="G768">
        <f>ROUND(E768+F768/60,2)</f>
        <v>4.83</v>
      </c>
      <c r="H768">
        <f>60*E768+F768</f>
        <v>290</v>
      </c>
      <c r="I768" s="3">
        <f>5*(3600/H768)</f>
        <v>62.068965517241381</v>
      </c>
      <c r="J768" s="16">
        <f t="shared" si="11"/>
        <v>0</v>
      </c>
    </row>
    <row r="769" spans="1:10" x14ac:dyDescent="0.25">
      <c r="A769" s="4" t="s">
        <v>162</v>
      </c>
      <c r="B769" s="1">
        <v>2.3812E-2</v>
      </c>
      <c r="C769" s="1">
        <v>2.0455999999999998E-2</v>
      </c>
      <c r="D769" s="1">
        <f>IF(B769&gt;C769,B769-C769,C769-B769)</f>
        <v>3.3560000000000013E-3</v>
      </c>
      <c r="E769">
        <f>MINUTE(D769)</f>
        <v>4</v>
      </c>
      <c r="F769">
        <f>SECOND(D769)</f>
        <v>50</v>
      </c>
      <c r="G769">
        <f>ROUND(E769+F769/60,2)</f>
        <v>4.83</v>
      </c>
      <c r="H769">
        <f>60*E769+F769</f>
        <v>290</v>
      </c>
      <c r="I769" s="3">
        <f>5*(3600/H769)</f>
        <v>62.068965517241381</v>
      </c>
      <c r="J769" s="16">
        <f t="shared" si="11"/>
        <v>0</v>
      </c>
    </row>
    <row r="770" spans="1:10" x14ac:dyDescent="0.25">
      <c r="A770" s="4" t="s">
        <v>87</v>
      </c>
      <c r="B770" s="1">
        <v>0.74911300000000003</v>
      </c>
      <c r="C770" s="1">
        <v>0.745757</v>
      </c>
      <c r="D770" s="1">
        <f>IF(B770&gt;C770,B770-C770,C770-B770)</f>
        <v>3.3560000000000256E-3</v>
      </c>
      <c r="E770">
        <f>MINUTE(D770)</f>
        <v>4</v>
      </c>
      <c r="F770">
        <f>SECOND(D770)</f>
        <v>50</v>
      </c>
      <c r="G770">
        <f>ROUND(E770+F770/60,2)</f>
        <v>4.83</v>
      </c>
      <c r="H770">
        <f>60*E770+F770</f>
        <v>290</v>
      </c>
      <c r="I770" s="3">
        <f>5*(3600/H770)</f>
        <v>62.068965517241381</v>
      </c>
      <c r="J770" s="16">
        <f t="shared" si="11"/>
        <v>0</v>
      </c>
    </row>
    <row r="771" spans="1:10" x14ac:dyDescent="0.25">
      <c r="A771" s="4" t="s">
        <v>87</v>
      </c>
      <c r="B771" s="1">
        <v>0.121395</v>
      </c>
      <c r="C771" s="1">
        <v>0.124755</v>
      </c>
      <c r="D771" s="1">
        <f>IF(B771&gt;C771,B771-C771,C771-B771)</f>
        <v>3.3600000000000019E-3</v>
      </c>
      <c r="E771">
        <f>MINUTE(D771)</f>
        <v>4</v>
      </c>
      <c r="F771">
        <f>SECOND(D771)</f>
        <v>50</v>
      </c>
      <c r="G771">
        <f>ROUND(E771+F771/60,2)</f>
        <v>4.83</v>
      </c>
      <c r="H771">
        <f>60*E771+F771</f>
        <v>290</v>
      </c>
      <c r="I771" s="3">
        <f>5*(3600/H771)</f>
        <v>62.068965517241381</v>
      </c>
      <c r="J771" s="16">
        <f t="shared" ref="J771:J834" si="12">IF(I771&gt;140,1,0)</f>
        <v>0</v>
      </c>
    </row>
    <row r="772" spans="1:10" x14ac:dyDescent="0.25">
      <c r="A772" s="4" t="s">
        <v>114</v>
      </c>
      <c r="B772" s="1">
        <v>0.21842300000000001</v>
      </c>
      <c r="C772" s="1">
        <v>0.21506700000000001</v>
      </c>
      <c r="D772" s="1">
        <f>IF(B772&gt;C772,B772-C772,C772-B772)</f>
        <v>3.3559999999999979E-3</v>
      </c>
      <c r="E772">
        <f>MINUTE(D772)</f>
        <v>4</v>
      </c>
      <c r="F772">
        <f>SECOND(D772)</f>
        <v>50</v>
      </c>
      <c r="G772">
        <f>ROUND(E772+F772/60,2)</f>
        <v>4.83</v>
      </c>
      <c r="H772">
        <f>60*E772+F772</f>
        <v>290</v>
      </c>
      <c r="I772" s="3">
        <f>5*(3600/H772)</f>
        <v>62.068965517241381</v>
      </c>
      <c r="J772" s="16">
        <f t="shared" si="12"/>
        <v>0</v>
      </c>
    </row>
    <row r="773" spans="1:10" x14ac:dyDescent="0.25">
      <c r="A773" s="4" t="s">
        <v>163</v>
      </c>
      <c r="B773" s="1">
        <v>0.71701300000000001</v>
      </c>
      <c r="C773" s="1">
        <v>0.71365299999999998</v>
      </c>
      <c r="D773" s="1">
        <f>IF(B773&gt;C773,B773-C773,C773-B773)</f>
        <v>3.3600000000000296E-3</v>
      </c>
      <c r="E773">
        <f>MINUTE(D773)</f>
        <v>4</v>
      </c>
      <c r="F773">
        <f>SECOND(D773)</f>
        <v>50</v>
      </c>
      <c r="G773">
        <f>ROUND(E773+F773/60,2)</f>
        <v>4.83</v>
      </c>
      <c r="H773">
        <f>60*E773+F773</f>
        <v>290</v>
      </c>
      <c r="I773" s="3">
        <f>5*(3600/H773)</f>
        <v>62.068965517241381</v>
      </c>
      <c r="J773" s="16">
        <f t="shared" si="12"/>
        <v>0</v>
      </c>
    </row>
    <row r="774" spans="1:10" x14ac:dyDescent="0.25">
      <c r="A774" s="4" t="s">
        <v>352</v>
      </c>
      <c r="B774" s="1">
        <v>0.13768</v>
      </c>
      <c r="C774" s="1">
        <v>0.134328</v>
      </c>
      <c r="D774" s="1">
        <f>IF(B774&gt;C774,B774-C774,C774-B774)</f>
        <v>3.3519999999999939E-3</v>
      </c>
      <c r="E774">
        <f>MINUTE(D774)</f>
        <v>4</v>
      </c>
      <c r="F774">
        <f>SECOND(D774)</f>
        <v>50</v>
      </c>
      <c r="G774">
        <f>ROUND(E774+F774/60,2)</f>
        <v>4.83</v>
      </c>
      <c r="H774">
        <f>60*E774+F774</f>
        <v>290</v>
      </c>
      <c r="I774" s="3">
        <f>5*(3600/H774)</f>
        <v>62.068965517241381</v>
      </c>
      <c r="J774" s="16">
        <f t="shared" si="12"/>
        <v>0</v>
      </c>
    </row>
    <row r="775" spans="1:10" x14ac:dyDescent="0.25">
      <c r="A775" s="4" t="s">
        <v>87</v>
      </c>
      <c r="B775" s="1">
        <v>0.98247899999999999</v>
      </c>
      <c r="C775" s="1">
        <v>0.98585100000000003</v>
      </c>
      <c r="D775" s="1">
        <f>IF(B775&gt;C775,B775-C775,C775-B775)</f>
        <v>3.3720000000000416E-3</v>
      </c>
      <c r="E775">
        <f>MINUTE(D775)</f>
        <v>4</v>
      </c>
      <c r="F775">
        <f>SECOND(D775)</f>
        <v>51</v>
      </c>
      <c r="G775">
        <f>ROUND(E775+F775/60,2)</f>
        <v>4.8499999999999996</v>
      </c>
      <c r="H775">
        <f>60*E775+F775</f>
        <v>291</v>
      </c>
      <c r="I775" s="3">
        <f>5*(3600/H775)</f>
        <v>61.855670103092784</v>
      </c>
      <c r="J775" s="16">
        <f t="shared" si="12"/>
        <v>0</v>
      </c>
    </row>
    <row r="776" spans="1:10" x14ac:dyDescent="0.25">
      <c r="A776" s="4" t="s">
        <v>48</v>
      </c>
      <c r="B776" s="1">
        <v>0.79716600000000004</v>
      </c>
      <c r="C776" s="1">
        <v>0.80053399999999997</v>
      </c>
      <c r="D776" s="1">
        <f>IF(B776&gt;C776,B776-C776,C776-B776)</f>
        <v>3.3679999999999266E-3</v>
      </c>
      <c r="E776">
        <f>MINUTE(D776)</f>
        <v>4</v>
      </c>
      <c r="F776">
        <f>SECOND(D776)</f>
        <v>51</v>
      </c>
      <c r="G776">
        <f>ROUND(E776+F776/60,2)</f>
        <v>4.8499999999999996</v>
      </c>
      <c r="H776">
        <f>60*E776+F776</f>
        <v>291</v>
      </c>
      <c r="I776" s="3">
        <f>5*(3600/H776)</f>
        <v>61.855670103092784</v>
      </c>
      <c r="J776" s="16">
        <f t="shared" si="12"/>
        <v>0</v>
      </c>
    </row>
    <row r="777" spans="1:10" x14ac:dyDescent="0.25">
      <c r="A777" s="4" t="s">
        <v>159</v>
      </c>
      <c r="B777" s="1">
        <v>0.39568500000000001</v>
      </c>
      <c r="C777" s="1">
        <v>0.39231700000000003</v>
      </c>
      <c r="D777" s="1">
        <f>IF(B777&gt;C777,B777-C777,C777-B777)</f>
        <v>3.3679999999999821E-3</v>
      </c>
      <c r="E777">
        <f>MINUTE(D777)</f>
        <v>4</v>
      </c>
      <c r="F777">
        <f>SECOND(D777)</f>
        <v>51</v>
      </c>
      <c r="G777">
        <f>ROUND(E777+F777/60,2)</f>
        <v>4.8499999999999996</v>
      </c>
      <c r="H777">
        <f>60*E777+F777</f>
        <v>291</v>
      </c>
      <c r="I777" s="3">
        <f>5*(3600/H777)</f>
        <v>61.855670103092784</v>
      </c>
      <c r="J777" s="16">
        <f t="shared" si="12"/>
        <v>0</v>
      </c>
    </row>
    <row r="778" spans="1:10" x14ac:dyDescent="0.25">
      <c r="A778" s="4" t="s">
        <v>29</v>
      </c>
      <c r="B778" s="1">
        <v>0.39477299999999999</v>
      </c>
      <c r="C778" s="1">
        <v>0.39140900000000001</v>
      </c>
      <c r="D778" s="1">
        <f>IF(B778&gt;C778,B778-C778,C778-B778)</f>
        <v>3.3639999999999781E-3</v>
      </c>
      <c r="E778">
        <f>MINUTE(D778)</f>
        <v>4</v>
      </c>
      <c r="F778">
        <f>SECOND(D778)</f>
        <v>51</v>
      </c>
      <c r="G778">
        <f>ROUND(E778+F778/60,2)</f>
        <v>4.8499999999999996</v>
      </c>
      <c r="H778">
        <f>60*E778+F778</f>
        <v>291</v>
      </c>
      <c r="I778" s="3">
        <f>5*(3600/H778)</f>
        <v>61.855670103092784</v>
      </c>
      <c r="J778" s="16">
        <f t="shared" si="12"/>
        <v>0</v>
      </c>
    </row>
    <row r="779" spans="1:10" x14ac:dyDescent="0.25">
      <c r="A779" s="4" t="s">
        <v>5</v>
      </c>
      <c r="B779" s="1">
        <v>0.82136500000000001</v>
      </c>
      <c r="C779" s="1">
        <v>0.82473700000000005</v>
      </c>
      <c r="D779" s="1">
        <f>IF(B779&gt;C779,B779-C779,C779-B779)</f>
        <v>3.3720000000000416E-3</v>
      </c>
      <c r="E779">
        <f>MINUTE(D779)</f>
        <v>4</v>
      </c>
      <c r="F779">
        <f>SECOND(D779)</f>
        <v>51</v>
      </c>
      <c r="G779">
        <f>ROUND(E779+F779/60,2)</f>
        <v>4.8499999999999996</v>
      </c>
      <c r="H779">
        <f>60*E779+F779</f>
        <v>291</v>
      </c>
      <c r="I779" s="3">
        <f>5*(3600/H779)</f>
        <v>61.855670103092784</v>
      </c>
      <c r="J779" s="16">
        <f t="shared" si="12"/>
        <v>0</v>
      </c>
    </row>
    <row r="780" spans="1:10" x14ac:dyDescent="0.25">
      <c r="A780" s="4" t="s">
        <v>237</v>
      </c>
      <c r="B780" s="1">
        <v>0.83006999999999997</v>
      </c>
      <c r="C780" s="1">
        <v>0.82670600000000005</v>
      </c>
      <c r="D780" s="1">
        <f>IF(B780&gt;C780,B780-C780,C780-B780)</f>
        <v>3.3639999999999226E-3</v>
      </c>
      <c r="E780">
        <f>MINUTE(D780)</f>
        <v>4</v>
      </c>
      <c r="F780">
        <f>SECOND(D780)</f>
        <v>51</v>
      </c>
      <c r="G780">
        <f>ROUND(E780+F780/60,2)</f>
        <v>4.8499999999999996</v>
      </c>
      <c r="H780">
        <f>60*E780+F780</f>
        <v>291</v>
      </c>
      <c r="I780" s="3">
        <f>5*(3600/H780)</f>
        <v>61.855670103092784</v>
      </c>
      <c r="J780" s="16">
        <f t="shared" si="12"/>
        <v>0</v>
      </c>
    </row>
    <row r="781" spans="1:10" x14ac:dyDescent="0.25">
      <c r="A781" s="4" t="s">
        <v>239</v>
      </c>
      <c r="B781" s="1">
        <v>0.346945</v>
      </c>
      <c r="C781" s="1">
        <v>0.35031299999999999</v>
      </c>
      <c r="D781" s="1">
        <f>IF(B781&gt;C781,B781-C781,C781-B781)</f>
        <v>3.3679999999999821E-3</v>
      </c>
      <c r="E781">
        <f>MINUTE(D781)</f>
        <v>4</v>
      </c>
      <c r="F781">
        <f>SECOND(D781)</f>
        <v>51</v>
      </c>
      <c r="G781">
        <f>ROUND(E781+F781/60,2)</f>
        <v>4.8499999999999996</v>
      </c>
      <c r="H781">
        <f>60*E781+F781</f>
        <v>291</v>
      </c>
      <c r="I781" s="3">
        <f>5*(3600/H781)</f>
        <v>61.855670103092784</v>
      </c>
      <c r="J781" s="16">
        <f t="shared" si="12"/>
        <v>0</v>
      </c>
    </row>
    <row r="782" spans="1:10" x14ac:dyDescent="0.25">
      <c r="A782" s="4" t="s">
        <v>154</v>
      </c>
      <c r="B782" s="1">
        <v>6.1955999999999997E-2</v>
      </c>
      <c r="C782" s="1">
        <v>5.8571999999999999E-2</v>
      </c>
      <c r="D782" s="1">
        <f>IF(B782&gt;C782,B782-C782,C782-B782)</f>
        <v>3.3839999999999981E-3</v>
      </c>
      <c r="E782">
        <f>MINUTE(D782)</f>
        <v>4</v>
      </c>
      <c r="F782">
        <f>SECOND(D782)</f>
        <v>52</v>
      </c>
      <c r="G782">
        <f>ROUND(E782+F782/60,2)</f>
        <v>4.87</v>
      </c>
      <c r="H782">
        <f>60*E782+F782</f>
        <v>292</v>
      </c>
      <c r="I782" s="3">
        <f>5*(3600/H782)</f>
        <v>61.643835616438352</v>
      </c>
      <c r="J782" s="16">
        <f t="shared" si="12"/>
        <v>0</v>
      </c>
    </row>
    <row r="783" spans="1:10" x14ac:dyDescent="0.25">
      <c r="A783" s="4" t="s">
        <v>101</v>
      </c>
      <c r="B783" s="1">
        <v>0.37134800000000001</v>
      </c>
      <c r="C783" s="1">
        <v>0.374724</v>
      </c>
      <c r="D783" s="1">
        <f>IF(B783&gt;C783,B783-C783,C783-B783)</f>
        <v>3.3759999999999901E-3</v>
      </c>
      <c r="E783">
        <f>MINUTE(D783)</f>
        <v>4</v>
      </c>
      <c r="F783">
        <f>SECOND(D783)</f>
        <v>52</v>
      </c>
      <c r="G783">
        <f>ROUND(E783+F783/60,2)</f>
        <v>4.87</v>
      </c>
      <c r="H783">
        <f>60*E783+F783</f>
        <v>292</v>
      </c>
      <c r="I783" s="3">
        <f>5*(3600/H783)</f>
        <v>61.643835616438352</v>
      </c>
      <c r="J783" s="16">
        <f t="shared" si="12"/>
        <v>0</v>
      </c>
    </row>
    <row r="784" spans="1:10" x14ac:dyDescent="0.25">
      <c r="A784" s="4" t="s">
        <v>161</v>
      </c>
      <c r="B784" s="1">
        <v>0.87226400000000004</v>
      </c>
      <c r="C784" s="1">
        <v>0.86888399999999999</v>
      </c>
      <c r="D784" s="1">
        <f>IF(B784&gt;C784,B784-C784,C784-B784)</f>
        <v>3.3800000000000496E-3</v>
      </c>
      <c r="E784">
        <f>MINUTE(D784)</f>
        <v>4</v>
      </c>
      <c r="F784">
        <f>SECOND(D784)</f>
        <v>52</v>
      </c>
      <c r="G784">
        <f>ROUND(E784+F784/60,2)</f>
        <v>4.87</v>
      </c>
      <c r="H784">
        <f>60*E784+F784</f>
        <v>292</v>
      </c>
      <c r="I784" s="3">
        <f>5*(3600/H784)</f>
        <v>61.643835616438352</v>
      </c>
      <c r="J784" s="16">
        <f t="shared" si="12"/>
        <v>0</v>
      </c>
    </row>
    <row r="785" spans="1:10" x14ac:dyDescent="0.25">
      <c r="A785" s="4" t="s">
        <v>350</v>
      </c>
      <c r="B785" s="1">
        <v>0.93858200000000003</v>
      </c>
      <c r="C785" s="1">
        <v>0.94195799999999996</v>
      </c>
      <c r="D785" s="1">
        <f>IF(B785&gt;C785,B785-C785,C785-B785)</f>
        <v>3.3759999999999346E-3</v>
      </c>
      <c r="E785">
        <f>MINUTE(D785)</f>
        <v>4</v>
      </c>
      <c r="F785">
        <f>SECOND(D785)</f>
        <v>52</v>
      </c>
      <c r="G785">
        <f>ROUND(E785+F785/60,2)</f>
        <v>4.87</v>
      </c>
      <c r="H785">
        <f>60*E785+F785</f>
        <v>292</v>
      </c>
      <c r="I785" s="3">
        <f>5*(3600/H785)</f>
        <v>61.643835616438352</v>
      </c>
      <c r="J785" s="16">
        <f t="shared" si="12"/>
        <v>0</v>
      </c>
    </row>
    <row r="786" spans="1:10" x14ac:dyDescent="0.25">
      <c r="A786" s="4" t="s">
        <v>5</v>
      </c>
      <c r="B786" s="1">
        <v>0.50733099999999998</v>
      </c>
      <c r="C786" s="1">
        <v>0.51071900000000003</v>
      </c>
      <c r="D786" s="1">
        <f>IF(B786&gt;C786,B786-C786,C786-B786)</f>
        <v>3.3880000000000576E-3</v>
      </c>
      <c r="E786">
        <f>MINUTE(D786)</f>
        <v>4</v>
      </c>
      <c r="F786">
        <f>SECOND(D786)</f>
        <v>53</v>
      </c>
      <c r="G786">
        <f>ROUND(E786+F786/60,2)</f>
        <v>4.88</v>
      </c>
      <c r="H786">
        <f>60*E786+F786</f>
        <v>293</v>
      </c>
      <c r="I786" s="3">
        <f>5*(3600/H786)</f>
        <v>61.43344709897611</v>
      </c>
      <c r="J786" s="16">
        <f t="shared" si="12"/>
        <v>0</v>
      </c>
    </row>
    <row r="787" spans="1:10" x14ac:dyDescent="0.25">
      <c r="A787" s="4" t="s">
        <v>76</v>
      </c>
      <c r="B787" s="1">
        <v>6.5492999999999996E-2</v>
      </c>
      <c r="C787" s="1">
        <v>6.8885000000000002E-2</v>
      </c>
      <c r="D787" s="1">
        <f>IF(B787&gt;C787,B787-C787,C787-B787)</f>
        <v>3.3920000000000061E-3</v>
      </c>
      <c r="E787">
        <f>MINUTE(D787)</f>
        <v>4</v>
      </c>
      <c r="F787">
        <f>SECOND(D787)</f>
        <v>53</v>
      </c>
      <c r="G787">
        <f>ROUND(E787+F787/60,2)</f>
        <v>4.88</v>
      </c>
      <c r="H787">
        <f>60*E787+F787</f>
        <v>293</v>
      </c>
      <c r="I787" s="3">
        <f>5*(3600/H787)</f>
        <v>61.43344709897611</v>
      </c>
      <c r="J787" s="16">
        <f t="shared" si="12"/>
        <v>0</v>
      </c>
    </row>
    <row r="788" spans="1:10" x14ac:dyDescent="0.25">
      <c r="A788" s="4" t="s">
        <v>47</v>
      </c>
      <c r="B788" s="1">
        <v>6.2723000000000001E-2</v>
      </c>
      <c r="C788" s="1">
        <v>6.6118999999999997E-2</v>
      </c>
      <c r="D788" s="1">
        <f>IF(B788&gt;C788,B788-C788,C788-B788)</f>
        <v>3.3959999999999962E-3</v>
      </c>
      <c r="E788">
        <f>MINUTE(D788)</f>
        <v>4</v>
      </c>
      <c r="F788">
        <f>SECOND(D788)</f>
        <v>53</v>
      </c>
      <c r="G788">
        <f>ROUND(E788+F788/60,2)</f>
        <v>4.88</v>
      </c>
      <c r="H788">
        <f>60*E788+F788</f>
        <v>293</v>
      </c>
      <c r="I788" s="3">
        <f>5*(3600/H788)</f>
        <v>61.43344709897611</v>
      </c>
      <c r="J788" s="16">
        <f t="shared" si="12"/>
        <v>0</v>
      </c>
    </row>
    <row r="789" spans="1:10" x14ac:dyDescent="0.25">
      <c r="A789" s="4" t="s">
        <v>109</v>
      </c>
      <c r="B789" s="1">
        <v>0.59859799999999996</v>
      </c>
      <c r="C789" s="1">
        <v>0.59520600000000001</v>
      </c>
      <c r="D789" s="1">
        <f>IF(B789&gt;C789,B789-C789,C789-B789)</f>
        <v>3.3919999999999506E-3</v>
      </c>
      <c r="E789">
        <f>MINUTE(D789)</f>
        <v>4</v>
      </c>
      <c r="F789">
        <f>SECOND(D789)</f>
        <v>53</v>
      </c>
      <c r="G789">
        <f>ROUND(E789+F789/60,2)</f>
        <v>4.88</v>
      </c>
      <c r="H789">
        <f>60*E789+F789</f>
        <v>293</v>
      </c>
      <c r="I789" s="3">
        <f>5*(3600/H789)</f>
        <v>61.43344709897611</v>
      </c>
      <c r="J789" s="16">
        <f t="shared" si="12"/>
        <v>0</v>
      </c>
    </row>
    <row r="790" spans="1:10" x14ac:dyDescent="0.25">
      <c r="A790" s="4" t="s">
        <v>176</v>
      </c>
      <c r="B790" s="1">
        <v>0.71115899999999999</v>
      </c>
      <c r="C790" s="1">
        <v>0.70776300000000003</v>
      </c>
      <c r="D790" s="1">
        <f>IF(B790&gt;C790,B790-C790,C790-B790)</f>
        <v>3.3959999999999546E-3</v>
      </c>
      <c r="E790">
        <f>MINUTE(D790)</f>
        <v>4</v>
      </c>
      <c r="F790">
        <f>SECOND(D790)</f>
        <v>53</v>
      </c>
      <c r="G790">
        <f>ROUND(E790+F790/60,2)</f>
        <v>4.88</v>
      </c>
      <c r="H790">
        <f>60*E790+F790</f>
        <v>293</v>
      </c>
      <c r="I790" s="3">
        <f>5*(3600/H790)</f>
        <v>61.43344709897611</v>
      </c>
      <c r="J790" s="16">
        <f t="shared" si="12"/>
        <v>0</v>
      </c>
    </row>
    <row r="791" spans="1:10" x14ac:dyDescent="0.25">
      <c r="A791" s="4" t="s">
        <v>124</v>
      </c>
      <c r="B791" s="1">
        <v>5.1858000000000001E-2</v>
      </c>
      <c r="C791" s="1">
        <v>5.5253999999999998E-2</v>
      </c>
      <c r="D791" s="1">
        <f>IF(B791&gt;C791,B791-C791,C791-B791)</f>
        <v>3.3959999999999962E-3</v>
      </c>
      <c r="E791">
        <f>MINUTE(D791)</f>
        <v>4</v>
      </c>
      <c r="F791">
        <f>SECOND(D791)</f>
        <v>53</v>
      </c>
      <c r="G791">
        <f>ROUND(E791+F791/60,2)</f>
        <v>4.88</v>
      </c>
      <c r="H791">
        <f>60*E791+F791</f>
        <v>293</v>
      </c>
      <c r="I791" s="3">
        <f>5*(3600/H791)</f>
        <v>61.43344709897611</v>
      </c>
      <c r="J791" s="16">
        <f t="shared" si="12"/>
        <v>0</v>
      </c>
    </row>
    <row r="792" spans="1:10" x14ac:dyDescent="0.25">
      <c r="A792" s="4" t="s">
        <v>82</v>
      </c>
      <c r="B792" s="1">
        <v>0.78575300000000003</v>
      </c>
      <c r="C792" s="1">
        <v>0.789157</v>
      </c>
      <c r="D792" s="1">
        <f>IF(B792&gt;C792,B792-C792,C792-B792)</f>
        <v>3.4039999999999626E-3</v>
      </c>
      <c r="E792">
        <f>MINUTE(D792)</f>
        <v>4</v>
      </c>
      <c r="F792">
        <f>SECOND(D792)</f>
        <v>54</v>
      </c>
      <c r="G792">
        <f>ROUND(E792+F792/60,2)</f>
        <v>4.9000000000000004</v>
      </c>
      <c r="H792">
        <f>60*E792+F792</f>
        <v>294</v>
      </c>
      <c r="I792" s="3">
        <f>5*(3600/H792)</f>
        <v>61.224489795918366</v>
      </c>
      <c r="J792" s="16">
        <f t="shared" si="12"/>
        <v>0</v>
      </c>
    </row>
    <row r="793" spans="1:10" x14ac:dyDescent="0.25">
      <c r="A793" s="4" t="s">
        <v>148</v>
      </c>
      <c r="B793" s="1">
        <v>0.359732</v>
      </c>
      <c r="C793" s="1">
        <v>0.35632799999999998</v>
      </c>
      <c r="D793" s="1">
        <f>IF(B793&gt;C793,B793-C793,C793-B793)</f>
        <v>3.4040000000000181E-3</v>
      </c>
      <c r="E793">
        <f>MINUTE(D793)</f>
        <v>4</v>
      </c>
      <c r="F793">
        <f>SECOND(D793)</f>
        <v>54</v>
      </c>
      <c r="G793">
        <f>ROUND(E793+F793/60,2)</f>
        <v>4.9000000000000004</v>
      </c>
      <c r="H793">
        <f>60*E793+F793</f>
        <v>294</v>
      </c>
      <c r="I793" s="3">
        <f>5*(3600/H793)</f>
        <v>61.224489795918366</v>
      </c>
      <c r="J793" s="16">
        <f t="shared" si="12"/>
        <v>0</v>
      </c>
    </row>
    <row r="794" spans="1:10" x14ac:dyDescent="0.25">
      <c r="A794" s="4" t="s">
        <v>89</v>
      </c>
      <c r="B794" s="1">
        <v>0.79559199999999997</v>
      </c>
      <c r="C794" s="1">
        <v>0.792188</v>
      </c>
      <c r="D794" s="1">
        <f>IF(B794&gt;C794,B794-C794,C794-B794)</f>
        <v>3.4039999999999626E-3</v>
      </c>
      <c r="E794">
        <f>MINUTE(D794)</f>
        <v>4</v>
      </c>
      <c r="F794">
        <f>SECOND(D794)</f>
        <v>54</v>
      </c>
      <c r="G794">
        <f>ROUND(E794+F794/60,2)</f>
        <v>4.9000000000000004</v>
      </c>
      <c r="H794">
        <f>60*E794+F794</f>
        <v>294</v>
      </c>
      <c r="I794" s="3">
        <f>5*(3600/H794)</f>
        <v>61.224489795918366</v>
      </c>
      <c r="J794" s="16">
        <f t="shared" si="12"/>
        <v>0</v>
      </c>
    </row>
    <row r="795" spans="1:10" x14ac:dyDescent="0.25">
      <c r="A795" s="4" t="s">
        <v>75</v>
      </c>
      <c r="B795" s="1">
        <v>0.55288199999999998</v>
      </c>
      <c r="C795" s="1">
        <v>0.55628200000000005</v>
      </c>
      <c r="D795" s="1">
        <f>IF(B795&gt;C795,B795-C795,C795-B795)</f>
        <v>3.4000000000000696E-3</v>
      </c>
      <c r="E795">
        <f>MINUTE(D795)</f>
        <v>4</v>
      </c>
      <c r="F795">
        <f>SECOND(D795)</f>
        <v>54</v>
      </c>
      <c r="G795">
        <f>ROUND(E795+F795/60,2)</f>
        <v>4.9000000000000004</v>
      </c>
      <c r="H795">
        <f>60*E795+F795</f>
        <v>294</v>
      </c>
      <c r="I795" s="3">
        <f>5*(3600/H795)</f>
        <v>61.224489795918366</v>
      </c>
      <c r="J795" s="16">
        <f t="shared" si="12"/>
        <v>0</v>
      </c>
    </row>
    <row r="796" spans="1:10" x14ac:dyDescent="0.25">
      <c r="A796" s="4" t="s">
        <v>240</v>
      </c>
      <c r="B796" s="1">
        <v>0.76658499999999996</v>
      </c>
      <c r="C796" s="1">
        <v>0.763181</v>
      </c>
      <c r="D796" s="1">
        <f>IF(B796&gt;C796,B796-C796,C796-B796)</f>
        <v>3.4039999999999626E-3</v>
      </c>
      <c r="E796">
        <f>MINUTE(D796)</f>
        <v>4</v>
      </c>
      <c r="F796">
        <f>SECOND(D796)</f>
        <v>54</v>
      </c>
      <c r="G796">
        <f>ROUND(E796+F796/60,2)</f>
        <v>4.9000000000000004</v>
      </c>
      <c r="H796">
        <f>60*E796+F796</f>
        <v>294</v>
      </c>
      <c r="I796" s="3">
        <f>5*(3600/H796)</f>
        <v>61.224489795918366</v>
      </c>
      <c r="J796" s="16">
        <f t="shared" si="12"/>
        <v>0</v>
      </c>
    </row>
    <row r="797" spans="1:10" x14ac:dyDescent="0.25">
      <c r="A797" s="4" t="s">
        <v>65</v>
      </c>
      <c r="B797" s="1">
        <v>0.79385700000000003</v>
      </c>
      <c r="C797" s="1">
        <v>0.79043699999999995</v>
      </c>
      <c r="D797" s="1">
        <f>IF(B797&gt;C797,B797-C797,C797-B797)</f>
        <v>3.4200000000000896E-3</v>
      </c>
      <c r="E797">
        <f>MINUTE(D797)</f>
        <v>4</v>
      </c>
      <c r="F797">
        <f>SECOND(D797)</f>
        <v>55</v>
      </c>
      <c r="G797">
        <f>ROUND(E797+F797/60,2)</f>
        <v>4.92</v>
      </c>
      <c r="H797">
        <f>60*E797+F797</f>
        <v>295</v>
      </c>
      <c r="I797" s="3">
        <f>5*(3600/H797)</f>
        <v>61.016949152542367</v>
      </c>
      <c r="J797" s="16">
        <f t="shared" si="12"/>
        <v>0</v>
      </c>
    </row>
    <row r="798" spans="1:10" x14ac:dyDescent="0.25">
      <c r="A798" s="4" t="s">
        <v>56</v>
      </c>
      <c r="B798" s="1">
        <v>0.74378100000000003</v>
      </c>
      <c r="C798" s="1">
        <v>0.747197</v>
      </c>
      <c r="D798" s="1">
        <f>IF(B798&gt;C798,B798-C798,C798-B798)</f>
        <v>3.4159999999999746E-3</v>
      </c>
      <c r="E798">
        <f>MINUTE(D798)</f>
        <v>4</v>
      </c>
      <c r="F798">
        <f>SECOND(D798)</f>
        <v>55</v>
      </c>
      <c r="G798">
        <f>ROUND(E798+F798/60,2)</f>
        <v>4.92</v>
      </c>
      <c r="H798">
        <f>60*E798+F798</f>
        <v>295</v>
      </c>
      <c r="I798" s="3">
        <f>5*(3600/H798)</f>
        <v>61.016949152542367</v>
      </c>
      <c r="J798" s="16">
        <f t="shared" si="12"/>
        <v>0</v>
      </c>
    </row>
    <row r="799" spans="1:10" x14ac:dyDescent="0.25">
      <c r="A799" s="4" t="s">
        <v>145</v>
      </c>
      <c r="B799" s="1">
        <v>0.47162799999999999</v>
      </c>
      <c r="C799" s="1">
        <v>0.46820800000000001</v>
      </c>
      <c r="D799" s="1">
        <f>IF(B799&gt;C799,B799-C799,C799-B799)</f>
        <v>3.4199999999999786E-3</v>
      </c>
      <c r="E799">
        <f>MINUTE(D799)</f>
        <v>4</v>
      </c>
      <c r="F799">
        <f>SECOND(D799)</f>
        <v>55</v>
      </c>
      <c r="G799">
        <f>ROUND(E799+F799/60,2)</f>
        <v>4.92</v>
      </c>
      <c r="H799">
        <f>60*E799+F799</f>
        <v>295</v>
      </c>
      <c r="I799" s="3">
        <f>5*(3600/H799)</f>
        <v>61.016949152542367</v>
      </c>
      <c r="J799" s="16">
        <f t="shared" si="12"/>
        <v>0</v>
      </c>
    </row>
    <row r="800" spans="1:10" x14ac:dyDescent="0.25">
      <c r="A800" s="4" t="s">
        <v>109</v>
      </c>
      <c r="B800" s="1">
        <v>0.51990700000000001</v>
      </c>
      <c r="C800" s="1">
        <v>0.52331899999999998</v>
      </c>
      <c r="D800" s="1">
        <f>IF(B800&gt;C800,B800-C800,C800-B800)</f>
        <v>3.4119999999999706E-3</v>
      </c>
      <c r="E800">
        <f>MINUTE(D800)</f>
        <v>4</v>
      </c>
      <c r="F800">
        <f>SECOND(D800)</f>
        <v>55</v>
      </c>
      <c r="G800">
        <f>ROUND(E800+F800/60,2)</f>
        <v>4.92</v>
      </c>
      <c r="H800">
        <f>60*E800+F800</f>
        <v>295</v>
      </c>
      <c r="I800" s="3">
        <f>5*(3600/H800)</f>
        <v>61.016949152542367</v>
      </c>
      <c r="J800" s="16">
        <f t="shared" si="12"/>
        <v>0</v>
      </c>
    </row>
    <row r="801" spans="1:10" x14ac:dyDescent="0.25">
      <c r="A801" s="4" t="s">
        <v>268</v>
      </c>
      <c r="B801" s="1">
        <v>0.926319</v>
      </c>
      <c r="C801" s="1">
        <v>0.92290700000000003</v>
      </c>
      <c r="D801" s="1">
        <f>IF(B801&gt;C801,B801-C801,C801-B801)</f>
        <v>3.4119999999999706E-3</v>
      </c>
      <c r="E801">
        <f>MINUTE(D801)</f>
        <v>4</v>
      </c>
      <c r="F801">
        <f>SECOND(D801)</f>
        <v>55</v>
      </c>
      <c r="G801">
        <f>ROUND(E801+F801/60,2)</f>
        <v>4.92</v>
      </c>
      <c r="H801">
        <f>60*E801+F801</f>
        <v>295</v>
      </c>
      <c r="I801" s="3">
        <f>5*(3600/H801)</f>
        <v>61.016949152542367</v>
      </c>
      <c r="J801" s="16">
        <f t="shared" si="12"/>
        <v>0</v>
      </c>
    </row>
    <row r="802" spans="1:10" x14ac:dyDescent="0.25">
      <c r="A802" s="4" t="s">
        <v>68</v>
      </c>
      <c r="B802" s="1">
        <v>0.67446200000000001</v>
      </c>
      <c r="C802" s="1">
        <v>0.67788999999999999</v>
      </c>
      <c r="D802" s="1">
        <f>IF(B802&gt;C802,B802-C802,C802-B802)</f>
        <v>3.4279999999999866E-3</v>
      </c>
      <c r="E802">
        <f>MINUTE(D802)</f>
        <v>4</v>
      </c>
      <c r="F802">
        <f>SECOND(D802)</f>
        <v>56</v>
      </c>
      <c r="G802">
        <f>ROUND(E802+F802/60,2)</f>
        <v>4.93</v>
      </c>
      <c r="H802">
        <f>60*E802+F802</f>
        <v>296</v>
      </c>
      <c r="I802" s="3">
        <f>5*(3600/H802)</f>
        <v>60.810810810810807</v>
      </c>
      <c r="J802" s="16">
        <f t="shared" si="12"/>
        <v>0</v>
      </c>
    </row>
    <row r="803" spans="1:10" x14ac:dyDescent="0.25">
      <c r="A803" s="4" t="s">
        <v>116</v>
      </c>
      <c r="B803" s="1">
        <v>0.73995699999999998</v>
      </c>
      <c r="C803" s="1">
        <v>0.74338499999999996</v>
      </c>
      <c r="D803" s="1">
        <f>IF(B803&gt;C803,B803-C803,C803-B803)</f>
        <v>3.4279999999999866E-3</v>
      </c>
      <c r="E803">
        <f>MINUTE(D803)</f>
        <v>4</v>
      </c>
      <c r="F803">
        <f>SECOND(D803)</f>
        <v>56</v>
      </c>
      <c r="G803">
        <f>ROUND(E803+F803/60,2)</f>
        <v>4.93</v>
      </c>
      <c r="H803">
        <f>60*E803+F803</f>
        <v>296</v>
      </c>
      <c r="I803" s="3">
        <f>5*(3600/H803)</f>
        <v>60.810810810810807</v>
      </c>
      <c r="J803" s="16">
        <f t="shared" si="12"/>
        <v>0</v>
      </c>
    </row>
    <row r="804" spans="1:10" x14ac:dyDescent="0.25">
      <c r="A804" s="4" t="s">
        <v>128</v>
      </c>
      <c r="B804" s="1">
        <v>6.3480999999999996E-2</v>
      </c>
      <c r="C804" s="1">
        <v>6.6905000000000006E-2</v>
      </c>
      <c r="D804" s="1">
        <f>IF(B804&gt;C804,B804-C804,C804-B804)</f>
        <v>3.4240000000000104E-3</v>
      </c>
      <c r="E804">
        <f>MINUTE(D804)</f>
        <v>4</v>
      </c>
      <c r="F804">
        <f>SECOND(D804)</f>
        <v>56</v>
      </c>
      <c r="G804">
        <f>ROUND(E804+F804/60,2)</f>
        <v>4.93</v>
      </c>
      <c r="H804">
        <f>60*E804+F804</f>
        <v>296</v>
      </c>
      <c r="I804" s="3">
        <f>5*(3600/H804)</f>
        <v>60.810810810810807</v>
      </c>
      <c r="J804" s="16">
        <f t="shared" si="12"/>
        <v>0</v>
      </c>
    </row>
    <row r="805" spans="1:10" x14ac:dyDescent="0.25">
      <c r="A805" s="4" t="s">
        <v>150</v>
      </c>
      <c r="B805" s="1">
        <v>0.71468200000000004</v>
      </c>
      <c r="C805" s="1">
        <v>0.71811000000000003</v>
      </c>
      <c r="D805" s="1">
        <f>IF(B805&gt;C805,B805-C805,C805-B805)</f>
        <v>3.4279999999999866E-3</v>
      </c>
      <c r="E805">
        <f>MINUTE(D805)</f>
        <v>4</v>
      </c>
      <c r="F805">
        <f>SECOND(D805)</f>
        <v>56</v>
      </c>
      <c r="G805">
        <f>ROUND(E805+F805/60,2)</f>
        <v>4.93</v>
      </c>
      <c r="H805">
        <f>60*E805+F805</f>
        <v>296</v>
      </c>
      <c r="I805" s="3">
        <f>5*(3600/H805)</f>
        <v>60.810810810810807</v>
      </c>
      <c r="J805" s="16">
        <f t="shared" si="12"/>
        <v>0</v>
      </c>
    </row>
    <row r="806" spans="1:10" x14ac:dyDescent="0.25">
      <c r="A806" s="4" t="s">
        <v>253</v>
      </c>
      <c r="B806" s="1">
        <v>0.56004299999999996</v>
      </c>
      <c r="C806" s="1">
        <v>0.55661499999999997</v>
      </c>
      <c r="D806" s="1">
        <f>IF(B806&gt;C806,B806-C806,C806-B806)</f>
        <v>3.4279999999999866E-3</v>
      </c>
      <c r="E806">
        <f>MINUTE(D806)</f>
        <v>4</v>
      </c>
      <c r="F806">
        <f>SECOND(D806)</f>
        <v>56</v>
      </c>
      <c r="G806">
        <f>ROUND(E806+F806/60,2)</f>
        <v>4.93</v>
      </c>
      <c r="H806">
        <f>60*E806+F806</f>
        <v>296</v>
      </c>
      <c r="I806" s="3">
        <f>5*(3600/H806)</f>
        <v>60.810810810810807</v>
      </c>
      <c r="J806" s="16">
        <f t="shared" si="12"/>
        <v>0</v>
      </c>
    </row>
    <row r="807" spans="1:10" x14ac:dyDescent="0.25">
      <c r="A807" s="4" t="s">
        <v>332</v>
      </c>
      <c r="B807" s="1">
        <v>0.71081099999999997</v>
      </c>
      <c r="C807" s="1">
        <v>0.70738299999999998</v>
      </c>
      <c r="D807" s="1">
        <f>IF(B807&gt;C807,B807-C807,C807-B807)</f>
        <v>3.4279999999999866E-3</v>
      </c>
      <c r="E807">
        <f>MINUTE(D807)</f>
        <v>4</v>
      </c>
      <c r="F807">
        <f>SECOND(D807)</f>
        <v>56</v>
      </c>
      <c r="G807">
        <f>ROUND(E807+F807/60,2)</f>
        <v>4.93</v>
      </c>
      <c r="H807">
        <f>60*E807+F807</f>
        <v>296</v>
      </c>
      <c r="I807" s="3">
        <f>5*(3600/H807)</f>
        <v>60.810810810810807</v>
      </c>
      <c r="J807" s="16">
        <f t="shared" si="12"/>
        <v>0</v>
      </c>
    </row>
    <row r="808" spans="1:10" x14ac:dyDescent="0.25">
      <c r="A808" s="4" t="s">
        <v>8</v>
      </c>
      <c r="B808" s="1">
        <v>0.25012200000000001</v>
      </c>
      <c r="C808" s="1">
        <v>0.24668599999999999</v>
      </c>
      <c r="D808" s="1">
        <f>IF(B808&gt;C808,B808-C808,C808-B808)</f>
        <v>3.4360000000000224E-3</v>
      </c>
      <c r="E808">
        <f>MINUTE(D808)</f>
        <v>4</v>
      </c>
      <c r="F808">
        <f>SECOND(D808)</f>
        <v>57</v>
      </c>
      <c r="G808">
        <f>ROUND(E808+F808/60,2)</f>
        <v>4.95</v>
      </c>
      <c r="H808">
        <f>60*E808+F808</f>
        <v>297</v>
      </c>
      <c r="I808" s="3">
        <f>5*(3600/H808)</f>
        <v>60.606060606060609</v>
      </c>
      <c r="J808" s="16">
        <f t="shared" si="12"/>
        <v>0</v>
      </c>
    </row>
    <row r="809" spans="1:10" x14ac:dyDescent="0.25">
      <c r="A809" s="4" t="s">
        <v>83</v>
      </c>
      <c r="B809" s="1">
        <v>0.48969400000000002</v>
      </c>
      <c r="C809" s="1">
        <v>0.48625800000000002</v>
      </c>
      <c r="D809" s="1">
        <f>IF(B809&gt;C809,B809-C809,C809-B809)</f>
        <v>3.4359999999999946E-3</v>
      </c>
      <c r="E809">
        <f>MINUTE(D809)</f>
        <v>4</v>
      </c>
      <c r="F809">
        <f>SECOND(D809)</f>
        <v>57</v>
      </c>
      <c r="G809">
        <f>ROUND(E809+F809/60,2)</f>
        <v>4.95</v>
      </c>
      <c r="H809">
        <f>60*E809+F809</f>
        <v>297</v>
      </c>
      <c r="I809" s="3">
        <f>5*(3600/H809)</f>
        <v>60.606060606060609</v>
      </c>
      <c r="J809" s="16">
        <f t="shared" si="12"/>
        <v>0</v>
      </c>
    </row>
    <row r="810" spans="1:10" x14ac:dyDescent="0.25">
      <c r="A810" s="4" t="s">
        <v>431</v>
      </c>
      <c r="B810" s="1">
        <v>0.38372699999999998</v>
      </c>
      <c r="C810" s="1">
        <v>0.38029099999999999</v>
      </c>
      <c r="D810" s="1">
        <f>IF(B810&gt;C810,B810-C810,C810-B810)</f>
        <v>3.4359999999999946E-3</v>
      </c>
      <c r="E810">
        <f>MINUTE(D810)</f>
        <v>4</v>
      </c>
      <c r="F810">
        <f>SECOND(D810)</f>
        <v>57</v>
      </c>
      <c r="G810">
        <f>ROUND(E810+F810/60,2)</f>
        <v>4.95</v>
      </c>
      <c r="H810">
        <f>60*E810+F810</f>
        <v>297</v>
      </c>
      <c r="I810" s="3">
        <f>5*(3600/H810)</f>
        <v>60.606060606060609</v>
      </c>
      <c r="J810" s="16">
        <f t="shared" si="12"/>
        <v>0</v>
      </c>
    </row>
    <row r="811" spans="1:10" x14ac:dyDescent="0.25">
      <c r="A811" s="4" t="s">
        <v>374</v>
      </c>
      <c r="B811" s="1">
        <v>0.92735400000000001</v>
      </c>
      <c r="C811" s="1">
        <v>0.93079400000000001</v>
      </c>
      <c r="D811" s="1">
        <f>IF(B811&gt;C811,B811-C811,C811-B811)</f>
        <v>3.4399999999999986E-3</v>
      </c>
      <c r="E811">
        <f>MINUTE(D811)</f>
        <v>4</v>
      </c>
      <c r="F811">
        <f>SECOND(D811)</f>
        <v>57</v>
      </c>
      <c r="G811">
        <f>ROUND(E811+F811/60,2)</f>
        <v>4.95</v>
      </c>
      <c r="H811">
        <f>60*E811+F811</f>
        <v>297</v>
      </c>
      <c r="I811" s="3">
        <f>5*(3600/H811)</f>
        <v>60.606060606060609</v>
      </c>
      <c r="J811" s="16">
        <f t="shared" si="12"/>
        <v>0</v>
      </c>
    </row>
    <row r="812" spans="1:10" x14ac:dyDescent="0.25">
      <c r="A812" s="4" t="s">
        <v>109</v>
      </c>
      <c r="B812" s="1">
        <v>0.20138</v>
      </c>
      <c r="C812" s="1">
        <v>0.197932</v>
      </c>
      <c r="D812" s="1">
        <f>IF(B812&gt;C812,B812-C812,C812-B812)</f>
        <v>3.4480000000000066E-3</v>
      </c>
      <c r="E812">
        <f>MINUTE(D812)</f>
        <v>4</v>
      </c>
      <c r="F812">
        <f>SECOND(D812)</f>
        <v>58</v>
      </c>
      <c r="G812">
        <f>ROUND(E812+F812/60,2)</f>
        <v>4.97</v>
      </c>
      <c r="H812">
        <f>60*E812+F812</f>
        <v>298</v>
      </c>
      <c r="I812" s="3">
        <f>5*(3600/H812)</f>
        <v>60.402684563758385</v>
      </c>
      <c r="J812" s="16">
        <f t="shared" si="12"/>
        <v>0</v>
      </c>
    </row>
    <row r="813" spans="1:10" x14ac:dyDescent="0.25">
      <c r="A813" s="4" t="s">
        <v>60</v>
      </c>
      <c r="B813" s="1">
        <v>5.7468999999999999E-2</v>
      </c>
      <c r="C813" s="1">
        <v>5.4021E-2</v>
      </c>
      <c r="D813" s="1">
        <f>IF(B813&gt;C813,B813-C813,C813-B813)</f>
        <v>3.4479999999999997E-3</v>
      </c>
      <c r="E813">
        <f>MINUTE(D813)</f>
        <v>4</v>
      </c>
      <c r="F813">
        <f>SECOND(D813)</f>
        <v>58</v>
      </c>
      <c r="G813">
        <f>ROUND(E813+F813/60,2)</f>
        <v>4.97</v>
      </c>
      <c r="H813">
        <f>60*E813+F813</f>
        <v>298</v>
      </c>
      <c r="I813" s="3">
        <f>5*(3600/H813)</f>
        <v>60.402684563758385</v>
      </c>
      <c r="J813" s="16">
        <f t="shared" si="12"/>
        <v>0</v>
      </c>
    </row>
    <row r="814" spans="1:10" x14ac:dyDescent="0.25">
      <c r="A814" s="4" t="s">
        <v>382</v>
      </c>
      <c r="B814" s="1">
        <v>0.59115099999999998</v>
      </c>
      <c r="C814" s="1">
        <v>0.58769899999999997</v>
      </c>
      <c r="D814" s="1">
        <f>IF(B814&gt;C814,B814-C814,C814-B814)</f>
        <v>3.4520000000000106E-3</v>
      </c>
      <c r="E814">
        <f>MINUTE(D814)</f>
        <v>4</v>
      </c>
      <c r="F814">
        <f>SECOND(D814)</f>
        <v>58</v>
      </c>
      <c r="G814">
        <f>ROUND(E814+F814/60,2)</f>
        <v>4.97</v>
      </c>
      <c r="H814">
        <f>60*E814+F814</f>
        <v>298</v>
      </c>
      <c r="I814" s="3">
        <f>5*(3600/H814)</f>
        <v>60.402684563758385</v>
      </c>
      <c r="J814" s="16">
        <f t="shared" si="12"/>
        <v>0</v>
      </c>
    </row>
    <row r="815" spans="1:10" x14ac:dyDescent="0.25">
      <c r="A815" s="4" t="s">
        <v>12</v>
      </c>
      <c r="B815" s="1">
        <v>0.65463899999999997</v>
      </c>
      <c r="C815" s="1">
        <v>0.65809899999999999</v>
      </c>
      <c r="D815" s="1">
        <f>IF(B815&gt;C815,B815-C815,C815-B815)</f>
        <v>3.4600000000000186E-3</v>
      </c>
      <c r="E815">
        <f>MINUTE(D815)</f>
        <v>4</v>
      </c>
      <c r="F815">
        <f>SECOND(D815)</f>
        <v>59</v>
      </c>
      <c r="G815">
        <f>ROUND(E815+F815/60,2)</f>
        <v>4.9800000000000004</v>
      </c>
      <c r="H815">
        <f>60*E815+F815</f>
        <v>299</v>
      </c>
      <c r="I815" s="3">
        <f>5*(3600/H815)</f>
        <v>60.200668896321076</v>
      </c>
      <c r="J815" s="16">
        <f t="shared" si="12"/>
        <v>0</v>
      </c>
    </row>
    <row r="816" spans="1:10" x14ac:dyDescent="0.25">
      <c r="A816" s="4" t="s">
        <v>5</v>
      </c>
      <c r="B816" s="1">
        <v>0.74470000000000003</v>
      </c>
      <c r="C816" s="1">
        <v>0.74815600000000004</v>
      </c>
      <c r="D816" s="1">
        <f>IF(B816&gt;C816,B816-C816,C816-B816)</f>
        <v>3.4560000000000146E-3</v>
      </c>
      <c r="E816">
        <f>MINUTE(D816)</f>
        <v>4</v>
      </c>
      <c r="F816">
        <f>SECOND(D816)</f>
        <v>59</v>
      </c>
      <c r="G816">
        <f>ROUND(E816+F816/60,2)</f>
        <v>4.9800000000000004</v>
      </c>
      <c r="H816">
        <f>60*E816+F816</f>
        <v>299</v>
      </c>
      <c r="I816" s="3">
        <f>5*(3600/H816)</f>
        <v>60.200668896321076</v>
      </c>
      <c r="J816" s="16">
        <f t="shared" si="12"/>
        <v>0</v>
      </c>
    </row>
    <row r="817" spans="1:10" x14ac:dyDescent="0.25">
      <c r="A817" s="4" t="s">
        <v>162</v>
      </c>
      <c r="B817" s="1">
        <v>8.4322999999999995E-2</v>
      </c>
      <c r="C817" s="1">
        <v>8.0866999999999994E-2</v>
      </c>
      <c r="D817" s="1">
        <f>IF(B817&gt;C817,B817-C817,C817-B817)</f>
        <v>3.4560000000000007E-3</v>
      </c>
      <c r="E817">
        <f>MINUTE(D817)</f>
        <v>4</v>
      </c>
      <c r="F817">
        <f>SECOND(D817)</f>
        <v>59</v>
      </c>
      <c r="G817">
        <f>ROUND(E817+F817/60,2)</f>
        <v>4.9800000000000004</v>
      </c>
      <c r="H817">
        <f>60*E817+F817</f>
        <v>299</v>
      </c>
      <c r="I817" s="3">
        <f>5*(3600/H817)</f>
        <v>60.200668896321076</v>
      </c>
      <c r="J817" s="16">
        <f t="shared" si="12"/>
        <v>0</v>
      </c>
    </row>
    <row r="818" spans="1:10" x14ac:dyDescent="0.25">
      <c r="A818" s="4" t="s">
        <v>162</v>
      </c>
      <c r="B818" s="1">
        <v>0.459476</v>
      </c>
      <c r="C818" s="1">
        <v>0.45600000000000002</v>
      </c>
      <c r="D818" s="1">
        <f>IF(B818&gt;C818,B818-C818,C818-B818)</f>
        <v>3.4759999999999791E-3</v>
      </c>
      <c r="E818">
        <f>MINUTE(D818)</f>
        <v>5</v>
      </c>
      <c r="F818">
        <f>SECOND(D818)</f>
        <v>0</v>
      </c>
      <c r="G818">
        <f>ROUND(E818+F818/60,2)</f>
        <v>5</v>
      </c>
      <c r="H818">
        <f>60*E818+F818</f>
        <v>300</v>
      </c>
      <c r="I818" s="3">
        <f>5*(3600/H818)</f>
        <v>60</v>
      </c>
      <c r="J818" s="16">
        <f t="shared" si="12"/>
        <v>0</v>
      </c>
    </row>
    <row r="819" spans="1:10" x14ac:dyDescent="0.25">
      <c r="A819" s="4" t="s">
        <v>22</v>
      </c>
      <c r="B819" s="1">
        <v>0.96188399999999996</v>
      </c>
      <c r="C819" s="1">
        <v>0.95841200000000004</v>
      </c>
      <c r="D819" s="1">
        <f>IF(B819&gt;C819,B819-C819,C819-B819)</f>
        <v>3.4719999999999196E-3</v>
      </c>
      <c r="E819">
        <f>MINUTE(D819)</f>
        <v>5</v>
      </c>
      <c r="F819">
        <f>SECOND(D819)</f>
        <v>0</v>
      </c>
      <c r="G819">
        <f>ROUND(E819+F819/60,2)</f>
        <v>5</v>
      </c>
      <c r="H819">
        <f>60*E819+F819</f>
        <v>300</v>
      </c>
      <c r="I819" s="3">
        <f>5*(3600/H819)</f>
        <v>60</v>
      </c>
      <c r="J819" s="16">
        <f t="shared" si="12"/>
        <v>0</v>
      </c>
    </row>
    <row r="820" spans="1:10" x14ac:dyDescent="0.25">
      <c r="A820" s="4" t="s">
        <v>168</v>
      </c>
      <c r="B820" s="1">
        <v>0.80745199999999995</v>
      </c>
      <c r="C820" s="1">
        <v>0.80398400000000003</v>
      </c>
      <c r="D820" s="1">
        <f>IF(B820&gt;C820,B820-C820,C820-B820)</f>
        <v>3.4679999999999156E-3</v>
      </c>
      <c r="E820">
        <f>MINUTE(D820)</f>
        <v>5</v>
      </c>
      <c r="F820">
        <f>SECOND(D820)</f>
        <v>0</v>
      </c>
      <c r="G820">
        <f>ROUND(E820+F820/60,2)</f>
        <v>5</v>
      </c>
      <c r="H820">
        <f>60*E820+F820</f>
        <v>300</v>
      </c>
      <c r="I820" s="3">
        <f>5*(3600/H820)</f>
        <v>60</v>
      </c>
      <c r="J820" s="16">
        <f t="shared" si="12"/>
        <v>0</v>
      </c>
    </row>
    <row r="821" spans="1:10" x14ac:dyDescent="0.25">
      <c r="A821" s="4" t="s">
        <v>145</v>
      </c>
      <c r="B821" s="1">
        <v>0.70873299999999995</v>
      </c>
      <c r="C821" s="1">
        <v>0.71220499999999998</v>
      </c>
      <c r="D821" s="1">
        <f>IF(B821&gt;C821,B821-C821,C821-B821)</f>
        <v>3.4720000000000306E-3</v>
      </c>
      <c r="E821">
        <f>MINUTE(D821)</f>
        <v>5</v>
      </c>
      <c r="F821">
        <f>SECOND(D821)</f>
        <v>0</v>
      </c>
      <c r="G821">
        <f>ROUND(E821+F821/60,2)</f>
        <v>5</v>
      </c>
      <c r="H821">
        <f>60*E821+F821</f>
        <v>300</v>
      </c>
      <c r="I821" s="3">
        <f>5*(3600/H821)</f>
        <v>60</v>
      </c>
      <c r="J821" s="16">
        <f t="shared" si="12"/>
        <v>0</v>
      </c>
    </row>
    <row r="822" spans="1:10" x14ac:dyDescent="0.25">
      <c r="A822" s="4" t="s">
        <v>25</v>
      </c>
      <c r="B822" s="1">
        <v>0.54693899999999995</v>
      </c>
      <c r="C822" s="1">
        <v>0.550423</v>
      </c>
      <c r="D822" s="1">
        <f>IF(B822&gt;C822,B822-C822,C822-B822)</f>
        <v>3.4840000000000426E-3</v>
      </c>
      <c r="E822">
        <f>MINUTE(D822)</f>
        <v>5</v>
      </c>
      <c r="F822">
        <f>SECOND(D822)</f>
        <v>1</v>
      </c>
      <c r="G822">
        <f>ROUND(E822+F822/60,2)</f>
        <v>5.0199999999999996</v>
      </c>
      <c r="H822">
        <f>60*E822+F822</f>
        <v>301</v>
      </c>
      <c r="I822" s="3">
        <f>5*(3600/H822)</f>
        <v>59.800664451827245</v>
      </c>
      <c r="J822" s="16">
        <f t="shared" si="12"/>
        <v>0</v>
      </c>
    </row>
    <row r="823" spans="1:10" x14ac:dyDescent="0.25">
      <c r="A823" s="4" t="s">
        <v>101</v>
      </c>
      <c r="B823" s="1">
        <v>0.84344600000000003</v>
      </c>
      <c r="C823" s="1">
        <v>0.84693399999999996</v>
      </c>
      <c r="D823" s="1">
        <f>IF(B823&gt;C823,B823-C823,C823-B823)</f>
        <v>3.4879999999999356E-3</v>
      </c>
      <c r="E823">
        <f>MINUTE(D823)</f>
        <v>5</v>
      </c>
      <c r="F823">
        <f>SECOND(D823)</f>
        <v>1</v>
      </c>
      <c r="G823">
        <f>ROUND(E823+F823/60,2)</f>
        <v>5.0199999999999996</v>
      </c>
      <c r="H823">
        <f>60*E823+F823</f>
        <v>301</v>
      </c>
      <c r="I823" s="3">
        <f>5*(3600/H823)</f>
        <v>59.800664451827245</v>
      </c>
      <c r="J823" s="16">
        <f t="shared" si="12"/>
        <v>0</v>
      </c>
    </row>
    <row r="824" spans="1:10" x14ac:dyDescent="0.25">
      <c r="A824" s="4" t="s">
        <v>127</v>
      </c>
      <c r="B824" s="1">
        <v>0.82420800000000005</v>
      </c>
      <c r="C824" s="1">
        <v>0.82768799999999998</v>
      </c>
      <c r="D824" s="1">
        <f>IF(B824&gt;C824,B824-C824,C824-B824)</f>
        <v>3.4799999999999276E-3</v>
      </c>
      <c r="E824">
        <f>MINUTE(D824)</f>
        <v>5</v>
      </c>
      <c r="F824">
        <f>SECOND(D824)</f>
        <v>1</v>
      </c>
      <c r="G824">
        <f>ROUND(E824+F824/60,2)</f>
        <v>5.0199999999999996</v>
      </c>
      <c r="H824">
        <f>60*E824+F824</f>
        <v>301</v>
      </c>
      <c r="I824" s="3">
        <f>5*(3600/H824)</f>
        <v>59.800664451827245</v>
      </c>
      <c r="J824" s="16">
        <f t="shared" si="12"/>
        <v>0</v>
      </c>
    </row>
    <row r="825" spans="1:10" x14ac:dyDescent="0.25">
      <c r="A825" s="4" t="s">
        <v>12</v>
      </c>
      <c r="B825" s="1">
        <v>0.55209399999999997</v>
      </c>
      <c r="C825" s="1">
        <v>0.54861000000000004</v>
      </c>
      <c r="D825" s="1">
        <f>IF(B825&gt;C825,B825-C825,C825-B825)</f>
        <v>3.4839999999999316E-3</v>
      </c>
      <c r="E825">
        <f>MINUTE(D825)</f>
        <v>5</v>
      </c>
      <c r="F825">
        <f>SECOND(D825)</f>
        <v>1</v>
      </c>
      <c r="G825">
        <f>ROUND(E825+F825/60,2)</f>
        <v>5.0199999999999996</v>
      </c>
      <c r="H825">
        <f>60*E825+F825</f>
        <v>301</v>
      </c>
      <c r="I825" s="3">
        <f>5*(3600/H825)</f>
        <v>59.800664451827245</v>
      </c>
      <c r="J825" s="16">
        <f t="shared" si="12"/>
        <v>0</v>
      </c>
    </row>
    <row r="826" spans="1:10" x14ac:dyDescent="0.25">
      <c r="A826" s="4" t="s">
        <v>322</v>
      </c>
      <c r="B826" s="1">
        <v>0.91881100000000004</v>
      </c>
      <c r="C826" s="1">
        <v>0.915323</v>
      </c>
      <c r="D826" s="1">
        <f>IF(B826&gt;C826,B826-C826,C826-B826)</f>
        <v>3.4880000000000466E-3</v>
      </c>
      <c r="E826">
        <f>MINUTE(D826)</f>
        <v>5</v>
      </c>
      <c r="F826">
        <f>SECOND(D826)</f>
        <v>1</v>
      </c>
      <c r="G826">
        <f>ROUND(E826+F826/60,2)</f>
        <v>5.0199999999999996</v>
      </c>
      <c r="H826">
        <f>60*E826+F826</f>
        <v>301</v>
      </c>
      <c r="I826" s="3">
        <f>5*(3600/H826)</f>
        <v>59.800664451827245</v>
      </c>
      <c r="J826" s="16">
        <f t="shared" si="12"/>
        <v>0</v>
      </c>
    </row>
    <row r="827" spans="1:10" x14ac:dyDescent="0.25">
      <c r="A827" s="4" t="s">
        <v>9</v>
      </c>
      <c r="B827" s="1">
        <v>3.9071000000000002E-2</v>
      </c>
      <c r="C827" s="1">
        <v>4.2567000000000001E-2</v>
      </c>
      <c r="D827" s="1">
        <f>IF(B827&gt;C827,B827-C827,C827-B827)</f>
        <v>3.4959999999999991E-3</v>
      </c>
      <c r="E827">
        <f>MINUTE(D827)</f>
        <v>5</v>
      </c>
      <c r="F827">
        <f>SECOND(D827)</f>
        <v>2</v>
      </c>
      <c r="G827">
        <f>ROUND(E827+F827/60,2)</f>
        <v>5.03</v>
      </c>
      <c r="H827">
        <f>60*E827+F827</f>
        <v>302</v>
      </c>
      <c r="I827" s="3">
        <f>5*(3600/H827)</f>
        <v>59.602649006622521</v>
      </c>
      <c r="J827" s="16">
        <f t="shared" si="12"/>
        <v>0</v>
      </c>
    </row>
    <row r="828" spans="1:10" x14ac:dyDescent="0.25">
      <c r="A828" s="4" t="s">
        <v>286</v>
      </c>
      <c r="B828" s="1">
        <v>4.9029000000000003E-2</v>
      </c>
      <c r="C828" s="1">
        <v>5.2520999999999998E-2</v>
      </c>
      <c r="D828" s="1">
        <f>IF(B828&gt;C828,B828-C828,C828-B828)</f>
        <v>3.4919999999999951E-3</v>
      </c>
      <c r="E828">
        <f>MINUTE(D828)</f>
        <v>5</v>
      </c>
      <c r="F828">
        <f>SECOND(D828)</f>
        <v>2</v>
      </c>
      <c r="G828">
        <f>ROUND(E828+F828/60,2)</f>
        <v>5.03</v>
      </c>
      <c r="H828">
        <f>60*E828+F828</f>
        <v>302</v>
      </c>
      <c r="I828" s="3">
        <f>5*(3600/H828)</f>
        <v>59.602649006622521</v>
      </c>
      <c r="J828" s="16">
        <f t="shared" si="12"/>
        <v>0</v>
      </c>
    </row>
    <row r="829" spans="1:10" x14ac:dyDescent="0.25">
      <c r="A829" s="4" t="s">
        <v>378</v>
      </c>
      <c r="B829" s="1">
        <v>0.62776399999999999</v>
      </c>
      <c r="C829" s="1">
        <v>0.62426800000000005</v>
      </c>
      <c r="D829" s="1">
        <f>IF(B829&gt;C829,B829-C829,C829-B829)</f>
        <v>3.4959999999999436E-3</v>
      </c>
      <c r="E829">
        <f>MINUTE(D829)</f>
        <v>5</v>
      </c>
      <c r="F829">
        <f>SECOND(D829)</f>
        <v>2</v>
      </c>
      <c r="G829">
        <f>ROUND(E829+F829/60,2)</f>
        <v>5.03</v>
      </c>
      <c r="H829">
        <f>60*E829+F829</f>
        <v>302</v>
      </c>
      <c r="I829" s="3">
        <f>5*(3600/H829)</f>
        <v>59.602649006622521</v>
      </c>
      <c r="J829" s="16">
        <f t="shared" si="12"/>
        <v>0</v>
      </c>
    </row>
    <row r="830" spans="1:10" x14ac:dyDescent="0.25">
      <c r="A830" s="4" t="s">
        <v>410</v>
      </c>
      <c r="B830" s="1">
        <v>0.94211</v>
      </c>
      <c r="C830" s="1">
        <v>0.94560599999999995</v>
      </c>
      <c r="D830" s="1">
        <f>IF(B830&gt;C830,B830-C830,C830-B830)</f>
        <v>3.4959999999999436E-3</v>
      </c>
      <c r="E830">
        <f>MINUTE(D830)</f>
        <v>5</v>
      </c>
      <c r="F830">
        <f>SECOND(D830)</f>
        <v>2</v>
      </c>
      <c r="G830">
        <f>ROUND(E830+F830/60,2)</f>
        <v>5.03</v>
      </c>
      <c r="H830">
        <f>60*E830+F830</f>
        <v>302</v>
      </c>
      <c r="I830" s="3">
        <f>5*(3600/H830)</f>
        <v>59.602649006622521</v>
      </c>
      <c r="J830" s="16">
        <f t="shared" si="12"/>
        <v>0</v>
      </c>
    </row>
    <row r="831" spans="1:10" x14ac:dyDescent="0.25">
      <c r="A831" s="4" t="s">
        <v>89</v>
      </c>
      <c r="B831" s="1">
        <v>0.90169999999999995</v>
      </c>
      <c r="C831" s="1">
        <v>0.90521200000000002</v>
      </c>
      <c r="D831" s="1">
        <f>IF(B831&gt;C831,B831-C831,C831-B831)</f>
        <v>3.5120000000000706E-3</v>
      </c>
      <c r="E831">
        <f>MINUTE(D831)</f>
        <v>5</v>
      </c>
      <c r="F831">
        <f>SECOND(D831)</f>
        <v>3</v>
      </c>
      <c r="G831">
        <f>ROUND(E831+F831/60,2)</f>
        <v>5.05</v>
      </c>
      <c r="H831">
        <f>60*E831+F831</f>
        <v>303</v>
      </c>
      <c r="I831" s="3">
        <f>5*(3600/H831)</f>
        <v>59.405940594059402</v>
      </c>
      <c r="J831" s="16">
        <f t="shared" si="12"/>
        <v>0</v>
      </c>
    </row>
    <row r="832" spans="1:10" x14ac:dyDescent="0.25">
      <c r="A832" s="4" t="s">
        <v>155</v>
      </c>
      <c r="B832" s="1">
        <v>0.57598300000000002</v>
      </c>
      <c r="C832" s="1">
        <v>0.57948699999999997</v>
      </c>
      <c r="D832" s="1">
        <f>IF(B832&gt;C832,B832-C832,C832-B832)</f>
        <v>3.5039999999999516E-3</v>
      </c>
      <c r="E832">
        <f>MINUTE(D832)</f>
        <v>5</v>
      </c>
      <c r="F832">
        <f>SECOND(D832)</f>
        <v>3</v>
      </c>
      <c r="G832">
        <f>ROUND(E832+F832/60,2)</f>
        <v>5.05</v>
      </c>
      <c r="H832">
        <f>60*E832+F832</f>
        <v>303</v>
      </c>
      <c r="I832" s="3">
        <f>5*(3600/H832)</f>
        <v>59.405940594059402</v>
      </c>
      <c r="J832" s="16">
        <f t="shared" si="12"/>
        <v>0</v>
      </c>
    </row>
    <row r="833" spans="1:10" x14ac:dyDescent="0.25">
      <c r="A833" s="4" t="s">
        <v>41</v>
      </c>
      <c r="B833" s="1">
        <v>0.25088199999999999</v>
      </c>
      <c r="C833" s="1">
        <v>0.24737799999999999</v>
      </c>
      <c r="D833" s="1">
        <f>IF(B833&gt;C833,B833-C833,C833-B833)</f>
        <v>3.5040000000000071E-3</v>
      </c>
      <c r="E833">
        <f>MINUTE(D833)</f>
        <v>5</v>
      </c>
      <c r="F833">
        <f>SECOND(D833)</f>
        <v>3</v>
      </c>
      <c r="G833">
        <f>ROUND(E833+F833/60,2)</f>
        <v>5.05</v>
      </c>
      <c r="H833">
        <f>60*E833+F833</f>
        <v>303</v>
      </c>
      <c r="I833" s="3">
        <f>5*(3600/H833)</f>
        <v>59.405940594059402</v>
      </c>
      <c r="J833" s="16">
        <f t="shared" si="12"/>
        <v>0</v>
      </c>
    </row>
    <row r="834" spans="1:10" x14ac:dyDescent="0.25">
      <c r="A834" s="8" t="s">
        <v>177</v>
      </c>
      <c r="B834" s="1">
        <v>0.96728700000000001</v>
      </c>
      <c r="C834" s="1">
        <v>0.97079099999999996</v>
      </c>
      <c r="D834" s="1">
        <f>IF(B834&gt;C834,B834-C834,C834-B834)</f>
        <v>3.5039999999999516E-3</v>
      </c>
      <c r="E834">
        <f>MINUTE(D834)</f>
        <v>5</v>
      </c>
      <c r="F834">
        <f>SECOND(D834)</f>
        <v>3</v>
      </c>
      <c r="G834">
        <f>ROUND(E834+F834/60,2)</f>
        <v>5.05</v>
      </c>
      <c r="H834">
        <f>60*E834+F834</f>
        <v>303</v>
      </c>
      <c r="I834" s="10">
        <f>5*(3600/H834)</f>
        <v>59.405940594059402</v>
      </c>
      <c r="J834" s="16">
        <f t="shared" si="12"/>
        <v>0</v>
      </c>
    </row>
    <row r="835" spans="1:10" x14ac:dyDescent="0.25">
      <c r="A835" s="4" t="s">
        <v>49</v>
      </c>
      <c r="B835" s="1">
        <v>0.558307</v>
      </c>
      <c r="C835" s="1">
        <v>0.55478700000000003</v>
      </c>
      <c r="D835" s="1">
        <f>IF(B835&gt;C835,B835-C835,C835-B835)</f>
        <v>3.5199999999999676E-3</v>
      </c>
      <c r="E835">
        <f>MINUTE(D835)</f>
        <v>5</v>
      </c>
      <c r="F835">
        <f>SECOND(D835)</f>
        <v>4</v>
      </c>
      <c r="G835">
        <f>ROUND(E835+F835/60,2)</f>
        <v>5.07</v>
      </c>
      <c r="H835">
        <f>60*E835+F835</f>
        <v>304</v>
      </c>
      <c r="I835" s="3">
        <f>5*(3600/H835)</f>
        <v>59.21052631578948</v>
      </c>
      <c r="J835" s="16">
        <f t="shared" ref="J835:J898" si="13">IF(I835&gt;140,1,0)</f>
        <v>0</v>
      </c>
    </row>
    <row r="836" spans="1:10" x14ac:dyDescent="0.25">
      <c r="A836" s="4" t="s">
        <v>281</v>
      </c>
      <c r="B836" s="1">
        <v>0.66776400000000002</v>
      </c>
      <c r="C836" s="1">
        <v>0.66424799999999995</v>
      </c>
      <c r="D836" s="1">
        <f>IF(B836&gt;C836,B836-C836,C836-B836)</f>
        <v>3.5160000000000746E-3</v>
      </c>
      <c r="E836">
        <f>MINUTE(D836)</f>
        <v>5</v>
      </c>
      <c r="F836">
        <f>SECOND(D836)</f>
        <v>4</v>
      </c>
      <c r="G836">
        <f>ROUND(E836+F836/60,2)</f>
        <v>5.07</v>
      </c>
      <c r="H836">
        <f>60*E836+F836</f>
        <v>304</v>
      </c>
      <c r="I836" s="3">
        <f>5*(3600/H836)</f>
        <v>59.21052631578948</v>
      </c>
      <c r="J836" s="16">
        <f t="shared" si="13"/>
        <v>0</v>
      </c>
    </row>
    <row r="837" spans="1:10" x14ac:dyDescent="0.25">
      <c r="A837" s="4" t="s">
        <v>55</v>
      </c>
      <c r="B837" s="1">
        <v>0.72411499999999995</v>
      </c>
      <c r="C837" s="1">
        <v>0.72764300000000004</v>
      </c>
      <c r="D837" s="1">
        <f>IF(B837&gt;C837,B837-C837,C837-B837)</f>
        <v>3.5280000000000866E-3</v>
      </c>
      <c r="E837">
        <f>MINUTE(D837)</f>
        <v>5</v>
      </c>
      <c r="F837">
        <f>SECOND(D837)</f>
        <v>5</v>
      </c>
      <c r="G837">
        <f>ROUND(E837+F837/60,2)</f>
        <v>5.08</v>
      </c>
      <c r="H837">
        <f>60*E837+F837</f>
        <v>305</v>
      </c>
      <c r="I837" s="3">
        <f>5*(3600/H837)</f>
        <v>59.016393442622956</v>
      </c>
      <c r="J837" s="16">
        <f t="shared" si="13"/>
        <v>0</v>
      </c>
    </row>
    <row r="838" spans="1:10" x14ac:dyDescent="0.25">
      <c r="A838" s="4" t="s">
        <v>143</v>
      </c>
      <c r="B838" s="1">
        <v>0.80431299999999994</v>
      </c>
      <c r="C838" s="1">
        <v>0.80078099999999997</v>
      </c>
      <c r="D838" s="1">
        <f>IF(B838&gt;C838,B838-C838,C838-B838)</f>
        <v>3.5319999999999796E-3</v>
      </c>
      <c r="E838">
        <f>MINUTE(D838)</f>
        <v>5</v>
      </c>
      <c r="F838">
        <f>SECOND(D838)</f>
        <v>5</v>
      </c>
      <c r="G838">
        <f>ROUND(E838+F838/60,2)</f>
        <v>5.08</v>
      </c>
      <c r="H838">
        <f>60*E838+F838</f>
        <v>305</v>
      </c>
      <c r="I838" s="3">
        <f>5*(3600/H838)</f>
        <v>59.016393442622956</v>
      </c>
      <c r="J838" s="16">
        <f t="shared" si="13"/>
        <v>0</v>
      </c>
    </row>
    <row r="839" spans="1:10" x14ac:dyDescent="0.25">
      <c r="A839" s="4" t="s">
        <v>42</v>
      </c>
      <c r="B839" s="1">
        <v>2.5205000000000002E-2</v>
      </c>
      <c r="C839" s="1">
        <v>2.8740999999999999E-2</v>
      </c>
      <c r="D839" s="1">
        <f>IF(B839&gt;C839,B839-C839,C839-B839)</f>
        <v>3.5359999999999975E-3</v>
      </c>
      <c r="E839">
        <f>MINUTE(D839)</f>
        <v>5</v>
      </c>
      <c r="F839">
        <f>SECOND(D839)</f>
        <v>6</v>
      </c>
      <c r="G839">
        <f>ROUND(E839+F839/60,2)</f>
        <v>5.0999999999999996</v>
      </c>
      <c r="H839">
        <f>60*E839+F839</f>
        <v>306</v>
      </c>
      <c r="I839" s="3">
        <f>5*(3600/H839)</f>
        <v>58.82352941176471</v>
      </c>
      <c r="J839" s="16">
        <f t="shared" si="13"/>
        <v>0</v>
      </c>
    </row>
    <row r="840" spans="1:10" x14ac:dyDescent="0.25">
      <c r="A840" s="4" t="s">
        <v>121</v>
      </c>
      <c r="B840" s="1">
        <v>0.62824999999999998</v>
      </c>
      <c r="C840" s="1">
        <v>0.62470999999999999</v>
      </c>
      <c r="D840" s="1">
        <f>IF(B840&gt;C840,B840-C840,C840-B840)</f>
        <v>3.5399999999999876E-3</v>
      </c>
      <c r="E840">
        <f>MINUTE(D840)</f>
        <v>5</v>
      </c>
      <c r="F840">
        <f>SECOND(D840)</f>
        <v>6</v>
      </c>
      <c r="G840">
        <f>ROUND(E840+F840/60,2)</f>
        <v>5.0999999999999996</v>
      </c>
      <c r="H840">
        <f>60*E840+F840</f>
        <v>306</v>
      </c>
      <c r="I840" s="3">
        <f>5*(3600/H840)</f>
        <v>58.82352941176471</v>
      </c>
      <c r="J840" s="16">
        <f t="shared" si="13"/>
        <v>0</v>
      </c>
    </row>
    <row r="841" spans="1:10" x14ac:dyDescent="0.25">
      <c r="A841" s="4" t="s">
        <v>117</v>
      </c>
      <c r="B841" s="1">
        <v>0.803373</v>
      </c>
      <c r="C841" s="1">
        <v>0.79982900000000001</v>
      </c>
      <c r="D841" s="1">
        <f>IF(B841&gt;C841,B841-C841,C841-B841)</f>
        <v>3.5439999999999916E-3</v>
      </c>
      <c r="E841">
        <f>MINUTE(D841)</f>
        <v>5</v>
      </c>
      <c r="F841">
        <f>SECOND(D841)</f>
        <v>6</v>
      </c>
      <c r="G841">
        <f>ROUND(E841+F841/60,2)</f>
        <v>5.0999999999999996</v>
      </c>
      <c r="H841">
        <f>60*E841+F841</f>
        <v>306</v>
      </c>
      <c r="I841" s="3">
        <f>5*(3600/H841)</f>
        <v>58.82352941176471</v>
      </c>
      <c r="J841" s="16">
        <f t="shared" si="13"/>
        <v>0</v>
      </c>
    </row>
    <row r="842" spans="1:10" x14ac:dyDescent="0.25">
      <c r="A842" s="4" t="s">
        <v>188</v>
      </c>
      <c r="B842" s="1">
        <v>0.28119699999999997</v>
      </c>
      <c r="C842" s="1">
        <v>0.27765699999999999</v>
      </c>
      <c r="D842" s="1">
        <f>IF(B842&gt;C842,B842-C842,C842-B842)</f>
        <v>3.5399999999999876E-3</v>
      </c>
      <c r="E842">
        <f>MINUTE(D842)</f>
        <v>5</v>
      </c>
      <c r="F842">
        <f>SECOND(D842)</f>
        <v>6</v>
      </c>
      <c r="G842">
        <f>ROUND(E842+F842/60,2)</f>
        <v>5.0999999999999996</v>
      </c>
      <c r="H842">
        <f>60*E842+F842</f>
        <v>306</v>
      </c>
      <c r="I842" s="3">
        <f>5*(3600/H842)</f>
        <v>58.82352941176471</v>
      </c>
      <c r="J842" s="16">
        <f t="shared" si="13"/>
        <v>0</v>
      </c>
    </row>
    <row r="843" spans="1:10" x14ac:dyDescent="0.25">
      <c r="A843" s="4" t="s">
        <v>146</v>
      </c>
      <c r="B843" s="1">
        <v>6.4591999999999997E-2</v>
      </c>
      <c r="C843" s="1">
        <v>6.1039999999999997E-2</v>
      </c>
      <c r="D843" s="1">
        <f>IF(B843&gt;C843,B843-C843,C843-B843)</f>
        <v>3.5519999999999996E-3</v>
      </c>
      <c r="E843">
        <f>MINUTE(D843)</f>
        <v>5</v>
      </c>
      <c r="F843">
        <f>SECOND(D843)</f>
        <v>7</v>
      </c>
      <c r="G843">
        <f>ROUND(E843+F843/60,2)</f>
        <v>5.12</v>
      </c>
      <c r="H843">
        <f>60*E843+F843</f>
        <v>307</v>
      </c>
      <c r="I843" s="3">
        <f>5*(3600/H843)</f>
        <v>58.631921824104232</v>
      </c>
      <c r="J843" s="16">
        <f t="shared" si="13"/>
        <v>0</v>
      </c>
    </row>
    <row r="844" spans="1:10" x14ac:dyDescent="0.25">
      <c r="A844" s="4" t="s">
        <v>5</v>
      </c>
      <c r="B844" s="1">
        <v>0.59608099999999997</v>
      </c>
      <c r="C844" s="1">
        <v>0.59963299999999997</v>
      </c>
      <c r="D844" s="1">
        <f>IF(B844&gt;C844,B844-C844,C844-B844)</f>
        <v>3.5519999999999996E-3</v>
      </c>
      <c r="E844">
        <f>MINUTE(D844)</f>
        <v>5</v>
      </c>
      <c r="F844">
        <f>SECOND(D844)</f>
        <v>7</v>
      </c>
      <c r="G844">
        <f>ROUND(E844+F844/60,2)</f>
        <v>5.12</v>
      </c>
      <c r="H844">
        <f>60*E844+F844</f>
        <v>307</v>
      </c>
      <c r="I844" s="3">
        <f>5*(3600/H844)</f>
        <v>58.631921824104232</v>
      </c>
      <c r="J844" s="16">
        <f t="shared" si="13"/>
        <v>0</v>
      </c>
    </row>
    <row r="845" spans="1:10" x14ac:dyDescent="0.25">
      <c r="A845" s="4" t="s">
        <v>79</v>
      </c>
      <c r="B845" s="1">
        <v>0.22035199999999999</v>
      </c>
      <c r="C845" s="1">
        <v>0.21679999999999999</v>
      </c>
      <c r="D845" s="1">
        <f>IF(B845&gt;C845,B845-C845,C845-B845)</f>
        <v>3.5519999999999996E-3</v>
      </c>
      <c r="E845">
        <f>MINUTE(D845)</f>
        <v>5</v>
      </c>
      <c r="F845">
        <f>SECOND(D845)</f>
        <v>7</v>
      </c>
      <c r="G845">
        <f>ROUND(E845+F845/60,2)</f>
        <v>5.12</v>
      </c>
      <c r="H845">
        <f>60*E845+F845</f>
        <v>307</v>
      </c>
      <c r="I845" s="3">
        <f>5*(3600/H845)</f>
        <v>58.631921824104232</v>
      </c>
      <c r="J845" s="16">
        <f t="shared" si="13"/>
        <v>0</v>
      </c>
    </row>
    <row r="846" spans="1:10" x14ac:dyDescent="0.25">
      <c r="A846" s="4" t="s">
        <v>200</v>
      </c>
      <c r="B846" s="1">
        <v>0.64594499999999999</v>
      </c>
      <c r="C846" s="1">
        <v>0.649501</v>
      </c>
      <c r="D846" s="1">
        <f>IF(B846&gt;C846,B846-C846,C846-B846)</f>
        <v>3.5560000000000036E-3</v>
      </c>
      <c r="E846">
        <f>MINUTE(D846)</f>
        <v>5</v>
      </c>
      <c r="F846">
        <f>SECOND(D846)</f>
        <v>7</v>
      </c>
      <c r="G846">
        <f>ROUND(E846+F846/60,2)</f>
        <v>5.12</v>
      </c>
      <c r="H846">
        <f>60*E846+F846</f>
        <v>307</v>
      </c>
      <c r="I846" s="3">
        <f>5*(3600/H846)</f>
        <v>58.631921824104232</v>
      </c>
      <c r="J846" s="16">
        <f t="shared" si="13"/>
        <v>0</v>
      </c>
    </row>
    <row r="847" spans="1:10" x14ac:dyDescent="0.25">
      <c r="A847" s="4" t="s">
        <v>6</v>
      </c>
      <c r="B847" s="1">
        <v>0.33882099999999998</v>
      </c>
      <c r="C847" s="1">
        <v>0.342389</v>
      </c>
      <c r="D847" s="1">
        <f>IF(B847&gt;C847,B847-C847,C847-B847)</f>
        <v>3.5680000000000156E-3</v>
      </c>
      <c r="E847">
        <f>MINUTE(D847)</f>
        <v>5</v>
      </c>
      <c r="F847">
        <f>SECOND(D847)</f>
        <v>8</v>
      </c>
      <c r="G847">
        <f>ROUND(E847+F847/60,2)</f>
        <v>5.13</v>
      </c>
      <c r="H847">
        <f>60*E847+F847</f>
        <v>308</v>
      </c>
      <c r="I847" s="3">
        <f>5*(3600/H847)</f>
        <v>58.441558441558442</v>
      </c>
      <c r="J847" s="16">
        <f t="shared" si="13"/>
        <v>0</v>
      </c>
    </row>
    <row r="848" spans="1:10" x14ac:dyDescent="0.25">
      <c r="A848" s="4" t="s">
        <v>109</v>
      </c>
      <c r="B848" s="1">
        <v>0.12549399999999999</v>
      </c>
      <c r="C848" s="1">
        <v>0.121934</v>
      </c>
      <c r="D848" s="1">
        <f>IF(B848&gt;C848,B848-C848,C848-B848)</f>
        <v>3.5599999999999937E-3</v>
      </c>
      <c r="E848">
        <f>MINUTE(D848)</f>
        <v>5</v>
      </c>
      <c r="F848">
        <f>SECOND(D848)</f>
        <v>8</v>
      </c>
      <c r="G848">
        <f>ROUND(E848+F848/60,2)</f>
        <v>5.13</v>
      </c>
      <c r="H848">
        <f>60*E848+F848</f>
        <v>308</v>
      </c>
      <c r="I848" s="3">
        <f>5*(3600/H848)</f>
        <v>58.441558441558442</v>
      </c>
      <c r="J848" s="16">
        <f t="shared" si="13"/>
        <v>0</v>
      </c>
    </row>
    <row r="849" spans="1:10" x14ac:dyDescent="0.25">
      <c r="A849" s="4" t="s">
        <v>40</v>
      </c>
      <c r="B849" s="1">
        <v>4.8376000000000002E-2</v>
      </c>
      <c r="C849" s="1">
        <v>4.4811999999999998E-2</v>
      </c>
      <c r="D849" s="1">
        <f>IF(B849&gt;C849,B849-C849,C849-B849)</f>
        <v>3.5640000000000047E-3</v>
      </c>
      <c r="E849">
        <f>MINUTE(D849)</f>
        <v>5</v>
      </c>
      <c r="F849">
        <f>SECOND(D849)</f>
        <v>8</v>
      </c>
      <c r="G849">
        <f>ROUND(E849+F849/60,2)</f>
        <v>5.13</v>
      </c>
      <c r="H849">
        <f>60*E849+F849</f>
        <v>308</v>
      </c>
      <c r="I849" s="3">
        <f>5*(3600/H849)</f>
        <v>58.441558441558442</v>
      </c>
      <c r="J849" s="16">
        <f t="shared" si="13"/>
        <v>0</v>
      </c>
    </row>
    <row r="850" spans="1:10" x14ac:dyDescent="0.25">
      <c r="A850" s="4" t="s">
        <v>186</v>
      </c>
      <c r="B850" s="1">
        <v>0.53231499999999998</v>
      </c>
      <c r="C850" s="1">
        <v>0.52875499999999998</v>
      </c>
      <c r="D850" s="1">
        <f>IF(B850&gt;C850,B850-C850,C850-B850)</f>
        <v>3.5600000000000076E-3</v>
      </c>
      <c r="E850">
        <f>MINUTE(D850)</f>
        <v>5</v>
      </c>
      <c r="F850">
        <f>SECOND(D850)</f>
        <v>8</v>
      </c>
      <c r="G850">
        <f>ROUND(E850+F850/60,2)</f>
        <v>5.13</v>
      </c>
      <c r="H850">
        <f>60*E850+F850</f>
        <v>308</v>
      </c>
      <c r="I850" s="3">
        <f>5*(3600/H850)</f>
        <v>58.441558441558442</v>
      </c>
      <c r="J850" s="16">
        <f t="shared" si="13"/>
        <v>0</v>
      </c>
    </row>
    <row r="851" spans="1:10" x14ac:dyDescent="0.25">
      <c r="A851" s="4" t="s">
        <v>225</v>
      </c>
      <c r="B851" s="1">
        <v>0.13014400000000001</v>
      </c>
      <c r="C851" s="1">
        <v>0.133712</v>
      </c>
      <c r="D851" s="1">
        <f>IF(B851&gt;C851,B851-C851,C851-B851)</f>
        <v>3.5679999999999878E-3</v>
      </c>
      <c r="E851">
        <f>MINUTE(D851)</f>
        <v>5</v>
      </c>
      <c r="F851">
        <f>SECOND(D851)</f>
        <v>8</v>
      </c>
      <c r="G851">
        <f>ROUND(E851+F851/60,2)</f>
        <v>5.13</v>
      </c>
      <c r="H851">
        <f>60*E851+F851</f>
        <v>308</v>
      </c>
      <c r="I851" s="3">
        <f>5*(3600/H851)</f>
        <v>58.441558441558442</v>
      </c>
      <c r="J851" s="16">
        <f t="shared" si="13"/>
        <v>0</v>
      </c>
    </row>
    <row r="852" spans="1:10" x14ac:dyDescent="0.25">
      <c r="A852" s="4" t="s">
        <v>68</v>
      </c>
      <c r="B852" s="1">
        <v>0.52852399999999999</v>
      </c>
      <c r="C852" s="1">
        <v>0.52494399999999997</v>
      </c>
      <c r="D852" s="1">
        <f>IF(B852&gt;C852,B852-C852,C852-B852)</f>
        <v>3.5800000000000276E-3</v>
      </c>
      <c r="E852">
        <f>MINUTE(D852)</f>
        <v>5</v>
      </c>
      <c r="F852">
        <f>SECOND(D852)</f>
        <v>9</v>
      </c>
      <c r="G852">
        <f>ROUND(E852+F852/60,2)</f>
        <v>5.15</v>
      </c>
      <c r="H852">
        <f>60*E852+F852</f>
        <v>309</v>
      </c>
      <c r="I852" s="3">
        <f>5*(3600/H852)</f>
        <v>58.252427184466022</v>
      </c>
      <c r="J852" s="16">
        <f t="shared" si="13"/>
        <v>0</v>
      </c>
    </row>
    <row r="853" spans="1:10" x14ac:dyDescent="0.25">
      <c r="A853" s="4" t="s">
        <v>69</v>
      </c>
      <c r="B853" s="1">
        <v>0.52150200000000002</v>
      </c>
      <c r="C853" s="1">
        <v>0.517926</v>
      </c>
      <c r="D853" s="1">
        <f>IF(B853&gt;C853,B853-C853,C853-B853)</f>
        <v>3.5760000000000236E-3</v>
      </c>
      <c r="E853">
        <f>MINUTE(D853)</f>
        <v>5</v>
      </c>
      <c r="F853">
        <f>SECOND(D853)</f>
        <v>9</v>
      </c>
      <c r="G853">
        <f>ROUND(E853+F853/60,2)</f>
        <v>5.15</v>
      </c>
      <c r="H853">
        <f>60*E853+F853</f>
        <v>309</v>
      </c>
      <c r="I853" s="3">
        <f>5*(3600/H853)</f>
        <v>58.252427184466022</v>
      </c>
      <c r="J853" s="16">
        <f t="shared" si="13"/>
        <v>0</v>
      </c>
    </row>
    <row r="854" spans="1:10" x14ac:dyDescent="0.25">
      <c r="A854" s="4" t="s">
        <v>5</v>
      </c>
      <c r="B854" s="1">
        <v>0.13581199999999999</v>
      </c>
      <c r="C854" s="1">
        <v>0.13939199999999999</v>
      </c>
      <c r="D854" s="1">
        <f>IF(B854&gt;C854,B854-C854,C854-B854)</f>
        <v>3.5799999999999998E-3</v>
      </c>
      <c r="E854">
        <f>MINUTE(D854)</f>
        <v>5</v>
      </c>
      <c r="F854">
        <f>SECOND(D854)</f>
        <v>9</v>
      </c>
      <c r="G854">
        <f>ROUND(E854+F854/60,2)</f>
        <v>5.15</v>
      </c>
      <c r="H854">
        <f>60*E854+F854</f>
        <v>309</v>
      </c>
      <c r="I854" s="3">
        <f>5*(3600/H854)</f>
        <v>58.252427184466022</v>
      </c>
      <c r="J854" s="16">
        <f t="shared" si="13"/>
        <v>0</v>
      </c>
    </row>
    <row r="855" spans="1:10" x14ac:dyDescent="0.25">
      <c r="A855" s="4" t="s">
        <v>136</v>
      </c>
      <c r="B855" s="1">
        <v>0.68890700000000005</v>
      </c>
      <c r="C855" s="1">
        <v>0.69249099999999997</v>
      </c>
      <c r="D855" s="1">
        <f>IF(B855&gt;C855,B855-C855,C855-B855)</f>
        <v>3.5839999999999206E-3</v>
      </c>
      <c r="E855">
        <f>MINUTE(D855)</f>
        <v>5</v>
      </c>
      <c r="F855">
        <f>SECOND(D855)</f>
        <v>10</v>
      </c>
      <c r="G855">
        <f>ROUND(E855+F855/60,2)</f>
        <v>5.17</v>
      </c>
      <c r="H855">
        <f>60*E855+F855</f>
        <v>310</v>
      </c>
      <c r="I855" s="3">
        <f>5*(3600/H855)</f>
        <v>58.064516129032256</v>
      </c>
      <c r="J855" s="16">
        <f t="shared" si="13"/>
        <v>0</v>
      </c>
    </row>
    <row r="856" spans="1:10" x14ac:dyDescent="0.25">
      <c r="A856" s="4" t="s">
        <v>60</v>
      </c>
      <c r="B856" s="1">
        <v>0.715557</v>
      </c>
      <c r="C856" s="1">
        <v>0.71916100000000005</v>
      </c>
      <c r="D856" s="1">
        <f>IF(B856&gt;C856,B856-C856,C856-B856)</f>
        <v>3.6040000000000516E-3</v>
      </c>
      <c r="E856">
        <f>MINUTE(D856)</f>
        <v>5</v>
      </c>
      <c r="F856">
        <f>SECOND(D856)</f>
        <v>11</v>
      </c>
      <c r="G856">
        <f>ROUND(E856+F856/60,2)</f>
        <v>5.18</v>
      </c>
      <c r="H856">
        <f>60*E856+F856</f>
        <v>311</v>
      </c>
      <c r="I856" s="3">
        <f>5*(3600/H856)</f>
        <v>57.877813504823152</v>
      </c>
      <c r="J856" s="16">
        <f t="shared" si="13"/>
        <v>0</v>
      </c>
    </row>
    <row r="857" spans="1:10" x14ac:dyDescent="0.25">
      <c r="A857" s="4" t="s">
        <v>18</v>
      </c>
      <c r="B857" s="1">
        <v>0.62996300000000005</v>
      </c>
      <c r="C857" s="1">
        <v>0.62636700000000001</v>
      </c>
      <c r="D857" s="1">
        <f>IF(B857&gt;C857,B857-C857,C857-B857)</f>
        <v>3.5960000000000436E-3</v>
      </c>
      <c r="E857">
        <f>MINUTE(D857)</f>
        <v>5</v>
      </c>
      <c r="F857">
        <f>SECOND(D857)</f>
        <v>11</v>
      </c>
      <c r="G857">
        <f>ROUND(E857+F857/60,2)</f>
        <v>5.18</v>
      </c>
      <c r="H857">
        <f>60*E857+F857</f>
        <v>311</v>
      </c>
      <c r="I857" s="3">
        <f>5*(3600/H857)</f>
        <v>57.877813504823152</v>
      </c>
      <c r="J857" s="16">
        <f t="shared" si="13"/>
        <v>0</v>
      </c>
    </row>
    <row r="858" spans="1:10" x14ac:dyDescent="0.25">
      <c r="A858" s="4" t="s">
        <v>113</v>
      </c>
      <c r="B858" s="1">
        <v>0.93603599999999998</v>
      </c>
      <c r="C858" s="1">
        <v>0.93963600000000003</v>
      </c>
      <c r="D858" s="1">
        <f>IF(B858&gt;C858,B858-C858,C858-B858)</f>
        <v>3.6000000000000476E-3</v>
      </c>
      <c r="E858">
        <f>MINUTE(D858)</f>
        <v>5</v>
      </c>
      <c r="F858">
        <f>SECOND(D858)</f>
        <v>11</v>
      </c>
      <c r="G858">
        <f>ROUND(E858+F858/60,2)</f>
        <v>5.18</v>
      </c>
      <c r="H858">
        <f>60*E858+F858</f>
        <v>311</v>
      </c>
      <c r="I858" s="3">
        <f>5*(3600/H858)</f>
        <v>57.877813504823152</v>
      </c>
      <c r="J858" s="16">
        <f t="shared" si="13"/>
        <v>0</v>
      </c>
    </row>
    <row r="859" spans="1:10" x14ac:dyDescent="0.25">
      <c r="A859" s="4" t="s">
        <v>219</v>
      </c>
      <c r="B859" s="1">
        <v>0.51214999999999999</v>
      </c>
      <c r="C859" s="1">
        <v>0.50854600000000005</v>
      </c>
      <c r="D859" s="1">
        <f>IF(B859&gt;C859,B859-C859,C859-B859)</f>
        <v>3.6039999999999406E-3</v>
      </c>
      <c r="E859">
        <f>MINUTE(D859)</f>
        <v>5</v>
      </c>
      <c r="F859">
        <f>SECOND(D859)</f>
        <v>11</v>
      </c>
      <c r="G859">
        <f>ROUND(E859+F859/60,2)</f>
        <v>5.18</v>
      </c>
      <c r="H859">
        <f>60*E859+F859</f>
        <v>311</v>
      </c>
      <c r="I859" s="3">
        <f>5*(3600/H859)</f>
        <v>57.877813504823152</v>
      </c>
      <c r="J859" s="16">
        <f t="shared" si="13"/>
        <v>0</v>
      </c>
    </row>
    <row r="860" spans="1:10" x14ac:dyDescent="0.25">
      <c r="A860" s="4" t="s">
        <v>14</v>
      </c>
      <c r="B860" s="1">
        <v>0.24673800000000001</v>
      </c>
      <c r="C860" s="1">
        <v>0.24312600000000001</v>
      </c>
      <c r="D860" s="1">
        <f>IF(B860&gt;C860,B860-C860,C860-B860)</f>
        <v>3.6120000000000041E-3</v>
      </c>
      <c r="E860">
        <f>MINUTE(D860)</f>
        <v>5</v>
      </c>
      <c r="F860">
        <f>SECOND(D860)</f>
        <v>12</v>
      </c>
      <c r="G860">
        <f>ROUND(E860+F860/60,2)</f>
        <v>5.2</v>
      </c>
      <c r="H860">
        <f>60*E860+F860</f>
        <v>312</v>
      </c>
      <c r="I860" s="3">
        <f>5*(3600/H860)</f>
        <v>57.692307692307693</v>
      </c>
      <c r="J860" s="16">
        <f t="shared" si="13"/>
        <v>0</v>
      </c>
    </row>
    <row r="861" spans="1:10" x14ac:dyDescent="0.25">
      <c r="A861" s="4" t="s">
        <v>98</v>
      </c>
      <c r="B861" s="1">
        <v>0.456841</v>
      </c>
      <c r="C861" s="1">
        <v>0.45322499999999999</v>
      </c>
      <c r="D861" s="1">
        <f>IF(B861&gt;C861,B861-C861,C861-B861)</f>
        <v>3.6160000000000081E-3</v>
      </c>
      <c r="E861">
        <f>MINUTE(D861)</f>
        <v>5</v>
      </c>
      <c r="F861">
        <f>SECOND(D861)</f>
        <v>12</v>
      </c>
      <c r="G861">
        <f>ROUND(E861+F861/60,2)</f>
        <v>5.2</v>
      </c>
      <c r="H861">
        <f>60*E861+F861</f>
        <v>312</v>
      </c>
      <c r="I861" s="3">
        <f>5*(3600/H861)</f>
        <v>57.692307692307693</v>
      </c>
      <c r="J861" s="16">
        <f t="shared" si="13"/>
        <v>0</v>
      </c>
    </row>
    <row r="862" spans="1:10" x14ac:dyDescent="0.25">
      <c r="A862" s="4" t="s">
        <v>364</v>
      </c>
      <c r="B862" s="1">
        <v>0.96552199999999999</v>
      </c>
      <c r="C862" s="1">
        <v>0.96191400000000005</v>
      </c>
      <c r="D862" s="1">
        <f>IF(B862&gt;C862,B862-C862,C862-B862)</f>
        <v>3.6079999999999446E-3</v>
      </c>
      <c r="E862">
        <f>MINUTE(D862)</f>
        <v>5</v>
      </c>
      <c r="F862">
        <f>SECOND(D862)</f>
        <v>12</v>
      </c>
      <c r="G862">
        <f>ROUND(E862+F862/60,2)</f>
        <v>5.2</v>
      </c>
      <c r="H862">
        <f>60*E862+F862</f>
        <v>312</v>
      </c>
      <c r="I862" s="3">
        <f>5*(3600/H862)</f>
        <v>57.692307692307693</v>
      </c>
      <c r="J862" s="16">
        <f t="shared" si="13"/>
        <v>0</v>
      </c>
    </row>
    <row r="863" spans="1:10" x14ac:dyDescent="0.25">
      <c r="A863" s="4" t="s">
        <v>123</v>
      </c>
      <c r="B863" s="1">
        <v>0.97869200000000001</v>
      </c>
      <c r="C863" s="1">
        <v>0.97506400000000004</v>
      </c>
      <c r="D863" s="1">
        <f>IF(B863&gt;C863,B863-C863,C863-B863)</f>
        <v>3.6279999999999646E-3</v>
      </c>
      <c r="E863">
        <f>MINUTE(D863)</f>
        <v>5</v>
      </c>
      <c r="F863">
        <f>SECOND(D863)</f>
        <v>13</v>
      </c>
      <c r="G863">
        <f>ROUND(E863+F863/60,2)</f>
        <v>5.22</v>
      </c>
      <c r="H863">
        <f>60*E863+F863</f>
        <v>313</v>
      </c>
      <c r="I863" s="3">
        <f>5*(3600/H863)</f>
        <v>57.507987220447284</v>
      </c>
      <c r="J863" s="16">
        <f t="shared" si="13"/>
        <v>0</v>
      </c>
    </row>
    <row r="864" spans="1:10" x14ac:dyDescent="0.25">
      <c r="A864" s="4" t="s">
        <v>155</v>
      </c>
      <c r="B864" s="1">
        <v>0.113997</v>
      </c>
      <c r="C864" s="1">
        <v>0.117621</v>
      </c>
      <c r="D864" s="1">
        <f>IF(B864&gt;C864,B864-C864,C864-B864)</f>
        <v>3.6240000000000022E-3</v>
      </c>
      <c r="E864">
        <f>MINUTE(D864)</f>
        <v>5</v>
      </c>
      <c r="F864">
        <f>SECOND(D864)</f>
        <v>13</v>
      </c>
      <c r="G864">
        <f>ROUND(E864+F864/60,2)</f>
        <v>5.22</v>
      </c>
      <c r="H864">
        <f>60*E864+F864</f>
        <v>313</v>
      </c>
      <c r="I864" s="3">
        <f>5*(3600/H864)</f>
        <v>57.507987220447284</v>
      </c>
      <c r="J864" s="16">
        <f t="shared" si="13"/>
        <v>0</v>
      </c>
    </row>
    <row r="865" spans="1:10" x14ac:dyDescent="0.25">
      <c r="A865" s="4" t="s">
        <v>18</v>
      </c>
      <c r="B865" s="1">
        <v>1.0023960000000001</v>
      </c>
      <c r="C865" s="1">
        <v>0.99877199999999999</v>
      </c>
      <c r="D865" s="1">
        <f>IF(B865&gt;C865,B865-C865,C865-B865)</f>
        <v>3.6240000000000716E-3</v>
      </c>
      <c r="E865">
        <f>MINUTE(D865)</f>
        <v>5</v>
      </c>
      <c r="F865">
        <f>SECOND(D865)</f>
        <v>13</v>
      </c>
      <c r="G865">
        <f>ROUND(E865+F865/60,2)</f>
        <v>5.22</v>
      </c>
      <c r="H865">
        <f>60*E865+F865</f>
        <v>313</v>
      </c>
      <c r="I865" s="3">
        <f>5*(3600/H865)</f>
        <v>57.507987220447284</v>
      </c>
      <c r="J865" s="16">
        <f t="shared" si="13"/>
        <v>0</v>
      </c>
    </row>
    <row r="866" spans="1:10" x14ac:dyDescent="0.25">
      <c r="A866" s="4" t="s">
        <v>99</v>
      </c>
      <c r="B866" s="1">
        <v>9.5533999999999994E-2</v>
      </c>
      <c r="C866" s="1">
        <v>9.1910000000000006E-2</v>
      </c>
      <c r="D866" s="1">
        <f>IF(B866&gt;C866,B866-C866,C866-B866)</f>
        <v>3.6239999999999883E-3</v>
      </c>
      <c r="E866">
        <f>MINUTE(D866)</f>
        <v>5</v>
      </c>
      <c r="F866">
        <f>SECOND(D866)</f>
        <v>13</v>
      </c>
      <c r="G866">
        <f>ROUND(E866+F866/60,2)</f>
        <v>5.22</v>
      </c>
      <c r="H866">
        <f>60*E866+F866</f>
        <v>313</v>
      </c>
      <c r="I866" s="3">
        <f>5*(3600/H866)</f>
        <v>57.507987220447284</v>
      </c>
      <c r="J866" s="16">
        <f t="shared" si="13"/>
        <v>0</v>
      </c>
    </row>
    <row r="867" spans="1:10" x14ac:dyDescent="0.25">
      <c r="A867" s="4" t="s">
        <v>113</v>
      </c>
      <c r="B867" s="1">
        <v>0.16992399999999999</v>
      </c>
      <c r="C867" s="1">
        <v>0.166296</v>
      </c>
      <c r="D867" s="1">
        <f>IF(B867&gt;C867,B867-C867,C867-B867)</f>
        <v>3.6279999999999923E-3</v>
      </c>
      <c r="E867">
        <f>MINUTE(D867)</f>
        <v>5</v>
      </c>
      <c r="F867">
        <f>SECOND(D867)</f>
        <v>13</v>
      </c>
      <c r="G867">
        <f>ROUND(E867+F867/60,2)</f>
        <v>5.22</v>
      </c>
      <c r="H867">
        <f>60*E867+F867</f>
        <v>313</v>
      </c>
      <c r="I867" s="3">
        <f>5*(3600/H867)</f>
        <v>57.507987220447284</v>
      </c>
      <c r="J867" s="16">
        <f t="shared" si="13"/>
        <v>0</v>
      </c>
    </row>
    <row r="868" spans="1:10" x14ac:dyDescent="0.25">
      <c r="A868" s="8" t="s">
        <v>180</v>
      </c>
      <c r="B868" s="1">
        <v>0.14814099999999999</v>
      </c>
      <c r="C868" s="1">
        <v>0.14450499999999999</v>
      </c>
      <c r="D868" s="1">
        <f>IF(B868&gt;C868,B868-C868,C868-B868)</f>
        <v>3.6360000000000003E-3</v>
      </c>
      <c r="E868">
        <f>MINUTE(D868)</f>
        <v>5</v>
      </c>
      <c r="F868">
        <f>SECOND(D868)</f>
        <v>14</v>
      </c>
      <c r="G868">
        <f>ROUND(E868+F868/60,2)</f>
        <v>5.23</v>
      </c>
      <c r="H868">
        <f>60*E868+F868</f>
        <v>314</v>
      </c>
      <c r="I868" s="10">
        <f>5*(3600/H868)</f>
        <v>57.324840764331206</v>
      </c>
      <c r="J868" s="16">
        <f t="shared" si="13"/>
        <v>0</v>
      </c>
    </row>
    <row r="869" spans="1:10" x14ac:dyDescent="0.25">
      <c r="A869" s="4" t="s">
        <v>387</v>
      </c>
      <c r="B869" s="1">
        <v>0.59238800000000003</v>
      </c>
      <c r="C869" s="1">
        <v>0.58874800000000005</v>
      </c>
      <c r="D869" s="1">
        <f>IF(B869&gt;C869,B869-C869,C869-B869)</f>
        <v>3.6399999999999766E-3</v>
      </c>
      <c r="E869">
        <f>MINUTE(D869)</f>
        <v>5</v>
      </c>
      <c r="F869">
        <f>SECOND(D869)</f>
        <v>14</v>
      </c>
      <c r="G869">
        <f>ROUND(E869+F869/60,2)</f>
        <v>5.23</v>
      </c>
      <c r="H869">
        <f>60*E869+F869</f>
        <v>314</v>
      </c>
      <c r="I869" s="3">
        <f>5*(3600/H869)</f>
        <v>57.324840764331206</v>
      </c>
      <c r="J869" s="16">
        <f t="shared" si="13"/>
        <v>0</v>
      </c>
    </row>
    <row r="870" spans="1:10" x14ac:dyDescent="0.25">
      <c r="A870" s="4" t="s">
        <v>84</v>
      </c>
      <c r="B870" s="1">
        <v>0.23138</v>
      </c>
      <c r="C870" s="1">
        <v>0.23502799999999999</v>
      </c>
      <c r="D870" s="1">
        <f>IF(B870&gt;C870,B870-C870,C870-B870)</f>
        <v>3.6479999999999846E-3</v>
      </c>
      <c r="E870">
        <f>MINUTE(D870)</f>
        <v>5</v>
      </c>
      <c r="F870">
        <f>SECOND(D870)</f>
        <v>15</v>
      </c>
      <c r="G870">
        <f>ROUND(E870+F870/60,2)</f>
        <v>5.25</v>
      </c>
      <c r="H870">
        <f>60*E870+F870</f>
        <v>315</v>
      </c>
      <c r="I870" s="3">
        <f>5*(3600/H870)</f>
        <v>57.142857142857146</v>
      </c>
      <c r="J870" s="16">
        <f t="shared" si="13"/>
        <v>0</v>
      </c>
    </row>
    <row r="871" spans="1:10" x14ac:dyDescent="0.25">
      <c r="A871" s="4" t="s">
        <v>49</v>
      </c>
      <c r="B871" s="1">
        <v>0.52166900000000005</v>
      </c>
      <c r="C871" s="1">
        <v>0.52531700000000003</v>
      </c>
      <c r="D871" s="1">
        <f>IF(B871&gt;C871,B871-C871,C871-B871)</f>
        <v>3.6479999999999846E-3</v>
      </c>
      <c r="E871">
        <f>MINUTE(D871)</f>
        <v>5</v>
      </c>
      <c r="F871">
        <f>SECOND(D871)</f>
        <v>15</v>
      </c>
      <c r="G871">
        <f>ROUND(E871+F871/60,2)</f>
        <v>5.25</v>
      </c>
      <c r="H871">
        <f>60*E871+F871</f>
        <v>315</v>
      </c>
      <c r="I871" s="3">
        <f>5*(3600/H871)</f>
        <v>57.142857142857146</v>
      </c>
      <c r="J871" s="16">
        <f t="shared" si="13"/>
        <v>0</v>
      </c>
    </row>
    <row r="872" spans="1:10" x14ac:dyDescent="0.25">
      <c r="A872" s="4" t="s">
        <v>41</v>
      </c>
      <c r="B872" s="1">
        <v>0.33540799999999998</v>
      </c>
      <c r="C872" s="1">
        <v>0.33905200000000002</v>
      </c>
      <c r="D872" s="1">
        <f>IF(B872&gt;C872,B872-C872,C872-B872)</f>
        <v>3.6440000000000361E-3</v>
      </c>
      <c r="E872">
        <f>MINUTE(D872)</f>
        <v>5</v>
      </c>
      <c r="F872">
        <f>SECOND(D872)</f>
        <v>15</v>
      </c>
      <c r="G872">
        <f>ROUND(E872+F872/60,2)</f>
        <v>5.25</v>
      </c>
      <c r="H872">
        <f>60*E872+F872</f>
        <v>315</v>
      </c>
      <c r="I872" s="3">
        <f>5*(3600/H872)</f>
        <v>57.142857142857146</v>
      </c>
      <c r="J872" s="16">
        <f t="shared" si="13"/>
        <v>0</v>
      </c>
    </row>
    <row r="873" spans="1:10" x14ac:dyDescent="0.25">
      <c r="A873" s="4" t="s">
        <v>117</v>
      </c>
      <c r="B873" s="1">
        <v>0.54806999999999995</v>
      </c>
      <c r="C873" s="1">
        <v>0.54442199999999996</v>
      </c>
      <c r="D873" s="1">
        <f>IF(B873&gt;C873,B873-C873,C873-B873)</f>
        <v>3.6479999999999846E-3</v>
      </c>
      <c r="E873">
        <f>MINUTE(D873)</f>
        <v>5</v>
      </c>
      <c r="F873">
        <f>SECOND(D873)</f>
        <v>15</v>
      </c>
      <c r="G873">
        <f>ROUND(E873+F873/60,2)</f>
        <v>5.25</v>
      </c>
      <c r="H873">
        <f>60*E873+F873</f>
        <v>315</v>
      </c>
      <c r="I873" s="3">
        <f>5*(3600/H873)</f>
        <v>57.142857142857146</v>
      </c>
      <c r="J873" s="16">
        <f t="shared" si="13"/>
        <v>0</v>
      </c>
    </row>
    <row r="874" spans="1:10" x14ac:dyDescent="0.25">
      <c r="A874" s="4" t="s">
        <v>46</v>
      </c>
      <c r="B874" s="1">
        <v>0.193527</v>
      </c>
      <c r="C874" s="1">
        <v>0.18987100000000001</v>
      </c>
      <c r="D874" s="1">
        <f>IF(B874&gt;C874,B874-C874,C874-B874)</f>
        <v>3.6559999999999926E-3</v>
      </c>
      <c r="E874">
        <f>MINUTE(D874)</f>
        <v>5</v>
      </c>
      <c r="F874">
        <f>SECOND(D874)</f>
        <v>16</v>
      </c>
      <c r="G874">
        <f>ROUND(E874+F874/60,2)</f>
        <v>5.27</v>
      </c>
      <c r="H874">
        <f>60*E874+F874</f>
        <v>316</v>
      </c>
      <c r="I874" s="3">
        <f>5*(3600/H874)</f>
        <v>56.962025316455694</v>
      </c>
      <c r="J874" s="16">
        <f t="shared" si="13"/>
        <v>0</v>
      </c>
    </row>
    <row r="875" spans="1:10" x14ac:dyDescent="0.25">
      <c r="A875" s="4" t="s">
        <v>109</v>
      </c>
      <c r="B875" s="1">
        <v>0.68685200000000002</v>
      </c>
      <c r="C875" s="1">
        <v>0.69050400000000001</v>
      </c>
      <c r="D875" s="1">
        <f>IF(B875&gt;C875,B875-C875,C875-B875)</f>
        <v>3.6519999999999886E-3</v>
      </c>
      <c r="E875">
        <f>MINUTE(D875)</f>
        <v>5</v>
      </c>
      <c r="F875">
        <f>SECOND(D875)</f>
        <v>16</v>
      </c>
      <c r="G875">
        <f>ROUND(E875+F875/60,2)</f>
        <v>5.27</v>
      </c>
      <c r="H875">
        <f>60*E875+F875</f>
        <v>316</v>
      </c>
      <c r="I875" s="3">
        <f>5*(3600/H875)</f>
        <v>56.962025316455694</v>
      </c>
      <c r="J875" s="16">
        <f t="shared" si="13"/>
        <v>0</v>
      </c>
    </row>
    <row r="876" spans="1:10" x14ac:dyDescent="0.25">
      <c r="A876" s="4" t="s">
        <v>41</v>
      </c>
      <c r="B876" s="1">
        <v>0.86237600000000003</v>
      </c>
      <c r="C876" s="1">
        <v>0.86603200000000002</v>
      </c>
      <c r="D876" s="1">
        <f>IF(B876&gt;C876,B876-C876,C876-B876)</f>
        <v>3.6559999999999926E-3</v>
      </c>
      <c r="E876">
        <f>MINUTE(D876)</f>
        <v>5</v>
      </c>
      <c r="F876">
        <f>SECOND(D876)</f>
        <v>16</v>
      </c>
      <c r="G876">
        <f>ROUND(E876+F876/60,2)</f>
        <v>5.27</v>
      </c>
      <c r="H876">
        <f>60*E876+F876</f>
        <v>316</v>
      </c>
      <c r="I876" s="3">
        <f>5*(3600/H876)</f>
        <v>56.962025316455694</v>
      </c>
      <c r="J876" s="16">
        <f t="shared" si="13"/>
        <v>0</v>
      </c>
    </row>
    <row r="877" spans="1:10" x14ac:dyDescent="0.25">
      <c r="A877" s="4" t="s">
        <v>24</v>
      </c>
      <c r="B877" s="1">
        <v>0.355049</v>
      </c>
      <c r="C877" s="1">
        <v>0.358705</v>
      </c>
      <c r="D877" s="1">
        <f>IF(B877&gt;C877,B877-C877,C877-B877)</f>
        <v>3.6559999999999926E-3</v>
      </c>
      <c r="E877">
        <f>MINUTE(D877)</f>
        <v>5</v>
      </c>
      <c r="F877">
        <f>SECOND(D877)</f>
        <v>16</v>
      </c>
      <c r="G877">
        <f>ROUND(E877+F877/60,2)</f>
        <v>5.27</v>
      </c>
      <c r="H877">
        <f>60*E877+F877</f>
        <v>316</v>
      </c>
      <c r="I877" s="3">
        <f>5*(3600/H877)</f>
        <v>56.962025316455694</v>
      </c>
      <c r="J877" s="16">
        <f t="shared" si="13"/>
        <v>0</v>
      </c>
    </row>
    <row r="878" spans="1:10" x14ac:dyDescent="0.25">
      <c r="A878" s="4" t="s">
        <v>45</v>
      </c>
      <c r="B878" s="1">
        <v>0.26977200000000001</v>
      </c>
      <c r="C878" s="1">
        <v>0.2661</v>
      </c>
      <c r="D878" s="1">
        <f>IF(B878&gt;C878,B878-C878,C878-B878)</f>
        <v>3.6720000000000086E-3</v>
      </c>
      <c r="E878">
        <f>MINUTE(D878)</f>
        <v>5</v>
      </c>
      <c r="F878">
        <f>SECOND(D878)</f>
        <v>17</v>
      </c>
      <c r="G878">
        <f>ROUND(E878+F878/60,2)</f>
        <v>5.28</v>
      </c>
      <c r="H878">
        <f>60*E878+F878</f>
        <v>317</v>
      </c>
      <c r="I878" s="3">
        <f>5*(3600/H878)</f>
        <v>56.782334384858046</v>
      </c>
      <c r="J878" s="16">
        <f t="shared" si="13"/>
        <v>0</v>
      </c>
    </row>
    <row r="879" spans="1:10" x14ac:dyDescent="0.25">
      <c r="A879" s="4" t="s">
        <v>12</v>
      </c>
      <c r="B879" s="1">
        <v>0.17019400000000001</v>
      </c>
      <c r="C879" s="1">
        <v>0.17386599999999999</v>
      </c>
      <c r="D879" s="1">
        <f>IF(B879&gt;C879,B879-C879,C879-B879)</f>
        <v>3.6719999999999808E-3</v>
      </c>
      <c r="E879">
        <f>MINUTE(D879)</f>
        <v>5</v>
      </c>
      <c r="F879">
        <f>SECOND(D879)</f>
        <v>17</v>
      </c>
      <c r="G879">
        <f>ROUND(E879+F879/60,2)</f>
        <v>5.28</v>
      </c>
      <c r="H879">
        <f>60*E879+F879</f>
        <v>317</v>
      </c>
      <c r="I879" s="3">
        <f>5*(3600/H879)</f>
        <v>56.782334384858046</v>
      </c>
      <c r="J879" s="16">
        <f t="shared" si="13"/>
        <v>0</v>
      </c>
    </row>
    <row r="880" spans="1:10" x14ac:dyDescent="0.25">
      <c r="A880" s="4" t="s">
        <v>91</v>
      </c>
      <c r="B880" s="1">
        <v>0.97138999999999998</v>
      </c>
      <c r="C880" s="1">
        <v>0.97505799999999998</v>
      </c>
      <c r="D880" s="1">
        <f>IF(B880&gt;C880,B880-C880,C880-B880)</f>
        <v>3.6680000000000046E-3</v>
      </c>
      <c r="E880">
        <f>MINUTE(D880)</f>
        <v>5</v>
      </c>
      <c r="F880">
        <f>SECOND(D880)</f>
        <v>17</v>
      </c>
      <c r="G880">
        <f>ROUND(E880+F880/60,2)</f>
        <v>5.28</v>
      </c>
      <c r="H880">
        <f>60*E880+F880</f>
        <v>317</v>
      </c>
      <c r="I880" s="3">
        <f>5*(3600/H880)</f>
        <v>56.782334384858046</v>
      </c>
      <c r="J880" s="16">
        <f t="shared" si="13"/>
        <v>0</v>
      </c>
    </row>
    <row r="881" spans="1:10" x14ac:dyDescent="0.25">
      <c r="A881" s="4" t="s">
        <v>249</v>
      </c>
      <c r="B881" s="1">
        <v>0.261075</v>
      </c>
      <c r="C881" s="1">
        <v>0.257411</v>
      </c>
      <c r="D881" s="1">
        <f>IF(B881&gt;C881,B881-C881,C881-B881)</f>
        <v>3.6640000000000006E-3</v>
      </c>
      <c r="E881">
        <f>MINUTE(D881)</f>
        <v>5</v>
      </c>
      <c r="F881">
        <f>SECOND(D881)</f>
        <v>17</v>
      </c>
      <c r="G881">
        <f>ROUND(E881+F881/60,2)</f>
        <v>5.28</v>
      </c>
      <c r="H881">
        <f>60*E881+F881</f>
        <v>317</v>
      </c>
      <c r="I881" s="3">
        <f>5*(3600/H881)</f>
        <v>56.782334384858046</v>
      </c>
      <c r="J881" s="16">
        <f t="shared" si="13"/>
        <v>0</v>
      </c>
    </row>
    <row r="882" spans="1:10" x14ac:dyDescent="0.25">
      <c r="A882" s="4" t="s">
        <v>279</v>
      </c>
      <c r="B882" s="1">
        <v>0.20541999999999999</v>
      </c>
      <c r="C882" s="1">
        <v>0.20174800000000001</v>
      </c>
      <c r="D882" s="1">
        <f>IF(B882&gt;C882,B882-C882,C882-B882)</f>
        <v>3.6719999999999808E-3</v>
      </c>
      <c r="E882">
        <f>MINUTE(D882)</f>
        <v>5</v>
      </c>
      <c r="F882">
        <f>SECOND(D882)</f>
        <v>17</v>
      </c>
      <c r="G882">
        <f>ROUND(E882+F882/60,2)</f>
        <v>5.28</v>
      </c>
      <c r="H882">
        <f>60*E882+F882</f>
        <v>317</v>
      </c>
      <c r="I882" s="3">
        <f>5*(3600/H882)</f>
        <v>56.782334384858046</v>
      </c>
      <c r="J882" s="16">
        <f t="shared" si="13"/>
        <v>0</v>
      </c>
    </row>
    <row r="883" spans="1:10" x14ac:dyDescent="0.25">
      <c r="A883" s="4" t="s">
        <v>284</v>
      </c>
      <c r="B883" s="1">
        <v>0.466858</v>
      </c>
      <c r="C883" s="1">
        <v>0.47053</v>
      </c>
      <c r="D883" s="1">
        <f>IF(B883&gt;C883,B883-C883,C883-B883)</f>
        <v>3.6720000000000086E-3</v>
      </c>
      <c r="E883">
        <f>MINUTE(D883)</f>
        <v>5</v>
      </c>
      <c r="F883">
        <f>SECOND(D883)</f>
        <v>17</v>
      </c>
      <c r="G883">
        <f>ROUND(E883+F883/60,2)</f>
        <v>5.28</v>
      </c>
      <c r="H883">
        <f>60*E883+F883</f>
        <v>317</v>
      </c>
      <c r="I883" s="3">
        <f>5*(3600/H883)</f>
        <v>56.782334384858046</v>
      </c>
      <c r="J883" s="16">
        <f t="shared" si="13"/>
        <v>0</v>
      </c>
    </row>
    <row r="884" spans="1:10" x14ac:dyDescent="0.25">
      <c r="A884" s="4" t="s">
        <v>117</v>
      </c>
      <c r="B884" s="1">
        <v>0.91855399999999998</v>
      </c>
      <c r="C884" s="1">
        <v>0.92222999999999999</v>
      </c>
      <c r="D884" s="1">
        <f>IF(B884&gt;C884,B884-C884,C884-B884)</f>
        <v>3.6760000000000126E-3</v>
      </c>
      <c r="E884">
        <f>MINUTE(D884)</f>
        <v>5</v>
      </c>
      <c r="F884">
        <f>SECOND(D884)</f>
        <v>18</v>
      </c>
      <c r="G884">
        <f>ROUND(E884+F884/60,2)</f>
        <v>5.3</v>
      </c>
      <c r="H884">
        <f>60*E884+F884</f>
        <v>318</v>
      </c>
      <c r="I884" s="3">
        <f>5*(3600/H884)</f>
        <v>56.603773584905653</v>
      </c>
      <c r="J884" s="16">
        <f t="shared" si="13"/>
        <v>0</v>
      </c>
    </row>
    <row r="885" spans="1:10" x14ac:dyDescent="0.25">
      <c r="A885" s="4" t="s">
        <v>397</v>
      </c>
      <c r="B885" s="1">
        <v>0.62391700000000005</v>
      </c>
      <c r="C885" s="1">
        <v>0.62759699999999996</v>
      </c>
      <c r="D885" s="1">
        <f>IF(B885&gt;C885,B885-C885,C885-B885)</f>
        <v>3.6799999999999056E-3</v>
      </c>
      <c r="E885">
        <f>MINUTE(D885)</f>
        <v>5</v>
      </c>
      <c r="F885">
        <f>SECOND(D885)</f>
        <v>18</v>
      </c>
      <c r="G885">
        <f>ROUND(E885+F885/60,2)</f>
        <v>5.3</v>
      </c>
      <c r="H885">
        <f>60*E885+F885</f>
        <v>318</v>
      </c>
      <c r="I885" s="3">
        <f>5*(3600/H885)</f>
        <v>56.603773584905653</v>
      </c>
      <c r="J885" s="16">
        <f t="shared" si="13"/>
        <v>0</v>
      </c>
    </row>
    <row r="886" spans="1:10" x14ac:dyDescent="0.25">
      <c r="A886" s="4" t="s">
        <v>64</v>
      </c>
      <c r="B886" s="1">
        <v>0.184341</v>
      </c>
      <c r="C886" s="1">
        <v>0.18803700000000001</v>
      </c>
      <c r="D886" s="1">
        <f>IF(B886&gt;C886,B886-C886,C886-B886)</f>
        <v>3.6960000000000048E-3</v>
      </c>
      <c r="E886">
        <f>MINUTE(D886)</f>
        <v>5</v>
      </c>
      <c r="F886">
        <f>SECOND(D886)</f>
        <v>19</v>
      </c>
      <c r="G886">
        <f>ROUND(E886+F886/60,2)</f>
        <v>5.32</v>
      </c>
      <c r="H886">
        <f>60*E886+F886</f>
        <v>319</v>
      </c>
      <c r="I886" s="3">
        <f>5*(3600/H886)</f>
        <v>56.426332288401255</v>
      </c>
      <c r="J886" s="16">
        <f t="shared" si="13"/>
        <v>0</v>
      </c>
    </row>
    <row r="887" spans="1:10" x14ac:dyDescent="0.25">
      <c r="A887" s="4" t="s">
        <v>41</v>
      </c>
      <c r="B887" s="1">
        <v>0.57073399999999996</v>
      </c>
      <c r="C887" s="1">
        <v>0.56704200000000005</v>
      </c>
      <c r="D887" s="1">
        <f>IF(B887&gt;C887,B887-C887,C887-B887)</f>
        <v>3.6919999999999176E-3</v>
      </c>
      <c r="E887">
        <f>MINUTE(D887)</f>
        <v>5</v>
      </c>
      <c r="F887">
        <f>SECOND(D887)</f>
        <v>19</v>
      </c>
      <c r="G887">
        <f>ROUND(E887+F887/60,2)</f>
        <v>5.32</v>
      </c>
      <c r="H887">
        <f>60*E887+F887</f>
        <v>319</v>
      </c>
      <c r="I887" s="3">
        <f>5*(3600/H887)</f>
        <v>56.426332288401255</v>
      </c>
      <c r="J887" s="16">
        <f t="shared" si="13"/>
        <v>0</v>
      </c>
    </row>
    <row r="888" spans="1:10" x14ac:dyDescent="0.25">
      <c r="A888" s="4" t="s">
        <v>162</v>
      </c>
      <c r="B888" s="1">
        <v>0.81777500000000003</v>
      </c>
      <c r="C888" s="1">
        <v>0.81406699999999999</v>
      </c>
      <c r="D888" s="1">
        <f>IF(B888&gt;C888,B888-C888,C888-B888)</f>
        <v>3.7080000000000446E-3</v>
      </c>
      <c r="E888">
        <f>MINUTE(D888)</f>
        <v>5</v>
      </c>
      <c r="F888">
        <f>SECOND(D888)</f>
        <v>20</v>
      </c>
      <c r="G888">
        <f>ROUND(E888+F888/60,2)</f>
        <v>5.33</v>
      </c>
      <c r="H888">
        <f>60*E888+F888</f>
        <v>320</v>
      </c>
      <c r="I888" s="3">
        <f>5*(3600/H888)</f>
        <v>56.25</v>
      </c>
      <c r="J888" s="16">
        <f t="shared" si="13"/>
        <v>0</v>
      </c>
    </row>
    <row r="889" spans="1:10" x14ac:dyDescent="0.25">
      <c r="A889" s="4" t="s">
        <v>109</v>
      </c>
      <c r="B889" s="1">
        <v>0.60236199999999995</v>
      </c>
      <c r="C889" s="1">
        <v>0.60606199999999999</v>
      </c>
      <c r="D889" s="1">
        <f>IF(B889&gt;C889,B889-C889,C889-B889)</f>
        <v>3.7000000000000366E-3</v>
      </c>
      <c r="E889">
        <f>MINUTE(D889)</f>
        <v>5</v>
      </c>
      <c r="F889">
        <f>SECOND(D889)</f>
        <v>20</v>
      </c>
      <c r="G889">
        <f>ROUND(E889+F889/60,2)</f>
        <v>5.33</v>
      </c>
      <c r="H889">
        <f>60*E889+F889</f>
        <v>320</v>
      </c>
      <c r="I889" s="3">
        <f>5*(3600/H889)</f>
        <v>56.25</v>
      </c>
      <c r="J889" s="16">
        <f t="shared" si="13"/>
        <v>0</v>
      </c>
    </row>
    <row r="890" spans="1:10" x14ac:dyDescent="0.25">
      <c r="A890" s="4" t="s">
        <v>44</v>
      </c>
      <c r="B890" s="1">
        <v>0.40304299999999998</v>
      </c>
      <c r="C890" s="1">
        <v>0.399339</v>
      </c>
      <c r="D890" s="1">
        <f>IF(B890&gt;C890,B890-C890,C890-B890)</f>
        <v>3.7039999999999851E-3</v>
      </c>
      <c r="E890">
        <f>MINUTE(D890)</f>
        <v>5</v>
      </c>
      <c r="F890">
        <f>SECOND(D890)</f>
        <v>20</v>
      </c>
      <c r="G890">
        <f>ROUND(E890+F890/60,2)</f>
        <v>5.33</v>
      </c>
      <c r="H890">
        <f>60*E890+F890</f>
        <v>320</v>
      </c>
      <c r="I890" s="3">
        <f>5*(3600/H890)</f>
        <v>56.25</v>
      </c>
      <c r="J890" s="16">
        <f t="shared" si="13"/>
        <v>0</v>
      </c>
    </row>
    <row r="891" spans="1:10" x14ac:dyDescent="0.25">
      <c r="A891" s="4" t="s">
        <v>312</v>
      </c>
      <c r="B891" s="1">
        <v>5.4336000000000002E-2</v>
      </c>
      <c r="C891" s="1">
        <v>5.8035999999999997E-2</v>
      </c>
      <c r="D891" s="1">
        <f>IF(B891&gt;C891,B891-C891,C891-B891)</f>
        <v>3.699999999999995E-3</v>
      </c>
      <c r="E891">
        <f>MINUTE(D891)</f>
        <v>5</v>
      </c>
      <c r="F891">
        <f>SECOND(D891)</f>
        <v>20</v>
      </c>
      <c r="G891">
        <f>ROUND(E891+F891/60,2)</f>
        <v>5.33</v>
      </c>
      <c r="H891">
        <f>60*E891+F891</f>
        <v>320</v>
      </c>
      <c r="I891" s="3">
        <f>5*(3600/H891)</f>
        <v>56.25</v>
      </c>
      <c r="J891" s="16">
        <f t="shared" si="13"/>
        <v>0</v>
      </c>
    </row>
    <row r="892" spans="1:10" x14ac:dyDescent="0.25">
      <c r="A892" s="4" t="s">
        <v>69</v>
      </c>
      <c r="B892" s="1">
        <v>0.51825500000000002</v>
      </c>
      <c r="C892" s="1">
        <v>0.51454299999999997</v>
      </c>
      <c r="D892" s="1">
        <f>IF(B892&gt;C892,B892-C892,C892-B892)</f>
        <v>3.7120000000000486E-3</v>
      </c>
      <c r="E892">
        <f>MINUTE(D892)</f>
        <v>5</v>
      </c>
      <c r="F892">
        <f>SECOND(D892)</f>
        <v>21</v>
      </c>
      <c r="G892">
        <f>ROUND(E892+F892/60,2)</f>
        <v>5.35</v>
      </c>
      <c r="H892">
        <f>60*E892+F892</f>
        <v>321</v>
      </c>
      <c r="I892" s="3">
        <f>5*(3600/H892)</f>
        <v>56.074766355140184</v>
      </c>
      <c r="J892" s="16">
        <f t="shared" si="13"/>
        <v>0</v>
      </c>
    </row>
    <row r="893" spans="1:10" x14ac:dyDescent="0.25">
      <c r="A893" s="4" t="s">
        <v>130</v>
      </c>
      <c r="B893" s="1">
        <v>0.23073199999999999</v>
      </c>
      <c r="C893" s="1">
        <v>0.22701199999999999</v>
      </c>
      <c r="D893" s="1">
        <f>IF(B893&gt;C893,B893-C893,C893-B893)</f>
        <v>3.7200000000000011E-3</v>
      </c>
      <c r="E893">
        <f>MINUTE(D893)</f>
        <v>5</v>
      </c>
      <c r="F893">
        <f>SECOND(D893)</f>
        <v>21</v>
      </c>
      <c r="G893">
        <f>ROUND(E893+F893/60,2)</f>
        <v>5.35</v>
      </c>
      <c r="H893">
        <f>60*E893+F893</f>
        <v>321</v>
      </c>
      <c r="I893" s="3">
        <f>5*(3600/H893)</f>
        <v>56.074766355140184</v>
      </c>
      <c r="J893" s="16">
        <f t="shared" si="13"/>
        <v>0</v>
      </c>
    </row>
    <row r="894" spans="1:10" x14ac:dyDescent="0.25">
      <c r="A894" s="4" t="s">
        <v>34</v>
      </c>
      <c r="B894" s="1">
        <v>0.23633899999999999</v>
      </c>
      <c r="C894" s="1">
        <v>0.23261499999999999</v>
      </c>
      <c r="D894" s="1">
        <f>IF(B894&gt;C894,B894-C894,C894-B894)</f>
        <v>3.7240000000000051E-3</v>
      </c>
      <c r="E894">
        <f>MINUTE(D894)</f>
        <v>5</v>
      </c>
      <c r="F894">
        <f>SECOND(D894)</f>
        <v>22</v>
      </c>
      <c r="G894">
        <f>ROUND(E894+F894/60,2)</f>
        <v>5.37</v>
      </c>
      <c r="H894">
        <f>60*E894+F894</f>
        <v>322</v>
      </c>
      <c r="I894" s="3">
        <f>5*(3600/H894)</f>
        <v>55.900621118012424</v>
      </c>
      <c r="J894" s="16">
        <f t="shared" si="13"/>
        <v>0</v>
      </c>
    </row>
    <row r="895" spans="1:10" x14ac:dyDescent="0.25">
      <c r="A895" s="4" t="s">
        <v>117</v>
      </c>
      <c r="B895" s="1">
        <v>0.28364</v>
      </c>
      <c r="C895" s="1">
        <v>0.27990799999999999</v>
      </c>
      <c r="D895" s="1">
        <f>IF(B895&gt;C895,B895-C895,C895-B895)</f>
        <v>3.7320000000000131E-3</v>
      </c>
      <c r="E895">
        <f>MINUTE(D895)</f>
        <v>5</v>
      </c>
      <c r="F895">
        <f>SECOND(D895)</f>
        <v>22</v>
      </c>
      <c r="G895">
        <f>ROUND(E895+F895/60,2)</f>
        <v>5.37</v>
      </c>
      <c r="H895">
        <f>60*E895+F895</f>
        <v>322</v>
      </c>
      <c r="I895" s="3">
        <f>5*(3600/H895)</f>
        <v>55.900621118012424</v>
      </c>
      <c r="J895" s="16">
        <f t="shared" si="13"/>
        <v>0</v>
      </c>
    </row>
    <row r="896" spans="1:10" x14ac:dyDescent="0.25">
      <c r="A896" s="4" t="s">
        <v>72</v>
      </c>
      <c r="B896" s="1">
        <v>0.35344900000000001</v>
      </c>
      <c r="C896" s="1">
        <v>0.35718100000000003</v>
      </c>
      <c r="D896" s="1">
        <f>IF(B896&gt;C896,B896-C896,C896-B896)</f>
        <v>3.7320000000000131E-3</v>
      </c>
      <c r="E896">
        <f>MINUTE(D896)</f>
        <v>5</v>
      </c>
      <c r="F896">
        <f>SECOND(D896)</f>
        <v>22</v>
      </c>
      <c r="G896">
        <f>ROUND(E896+F896/60,2)</f>
        <v>5.37</v>
      </c>
      <c r="H896">
        <f>60*E896+F896</f>
        <v>322</v>
      </c>
      <c r="I896" s="3">
        <f>5*(3600/H896)</f>
        <v>55.900621118012424</v>
      </c>
      <c r="J896" s="16">
        <f t="shared" si="13"/>
        <v>0</v>
      </c>
    </row>
    <row r="897" spans="1:10" x14ac:dyDescent="0.25">
      <c r="A897" s="4" t="s">
        <v>77</v>
      </c>
      <c r="B897" s="1">
        <v>0.32361200000000001</v>
      </c>
      <c r="C897" s="1">
        <v>0.31988800000000001</v>
      </c>
      <c r="D897" s="1">
        <f>IF(B897&gt;C897,B897-C897,C897-B897)</f>
        <v>3.7240000000000051E-3</v>
      </c>
      <c r="E897">
        <f>MINUTE(D897)</f>
        <v>5</v>
      </c>
      <c r="F897">
        <f>SECOND(D897)</f>
        <v>22</v>
      </c>
      <c r="G897">
        <f>ROUND(E897+F897/60,2)</f>
        <v>5.37</v>
      </c>
      <c r="H897">
        <f>60*E897+F897</f>
        <v>322</v>
      </c>
      <c r="I897" s="3">
        <f>5*(3600/H897)</f>
        <v>55.900621118012424</v>
      </c>
      <c r="J897" s="16">
        <f t="shared" si="13"/>
        <v>0</v>
      </c>
    </row>
    <row r="898" spans="1:10" x14ac:dyDescent="0.25">
      <c r="A898" s="4" t="s">
        <v>162</v>
      </c>
      <c r="B898" s="1">
        <v>0.44693699999999997</v>
      </c>
      <c r="C898" s="1">
        <v>0.44320900000000002</v>
      </c>
      <c r="D898" s="1">
        <f>IF(B898&gt;C898,B898-C898,C898-B898)</f>
        <v>3.7279999999999536E-3</v>
      </c>
      <c r="E898">
        <f>MINUTE(D898)</f>
        <v>5</v>
      </c>
      <c r="F898">
        <f>SECOND(D898)</f>
        <v>22</v>
      </c>
      <c r="G898">
        <f>ROUND(E898+F898/60,2)</f>
        <v>5.37</v>
      </c>
      <c r="H898">
        <f>60*E898+F898</f>
        <v>322</v>
      </c>
      <c r="I898" s="3">
        <f>5*(3600/H898)</f>
        <v>55.900621118012424</v>
      </c>
      <c r="J898" s="16">
        <f t="shared" si="13"/>
        <v>0</v>
      </c>
    </row>
    <row r="899" spans="1:10" x14ac:dyDescent="0.25">
      <c r="A899" s="4" t="s">
        <v>43</v>
      </c>
      <c r="B899" s="1">
        <v>0.71188700000000005</v>
      </c>
      <c r="C899" s="1">
        <v>0.715611</v>
      </c>
      <c r="D899" s="1">
        <f>IF(B899&gt;C899,B899-C899,C899-B899)</f>
        <v>3.7239999999999496E-3</v>
      </c>
      <c r="E899">
        <f>MINUTE(D899)</f>
        <v>5</v>
      </c>
      <c r="F899">
        <f>SECOND(D899)</f>
        <v>22</v>
      </c>
      <c r="G899">
        <f>ROUND(E899+F899/60,2)</f>
        <v>5.37</v>
      </c>
      <c r="H899">
        <f>60*E899+F899</f>
        <v>322</v>
      </c>
      <c r="I899" s="3">
        <f>5*(3600/H899)</f>
        <v>55.900621118012424</v>
      </c>
      <c r="J899" s="16">
        <f t="shared" ref="J899:J962" si="14">IF(I899&gt;140,1,0)</f>
        <v>0</v>
      </c>
    </row>
    <row r="900" spans="1:10" x14ac:dyDescent="0.25">
      <c r="A900" s="4" t="s">
        <v>278</v>
      </c>
      <c r="B900" s="1">
        <v>0.29603000000000002</v>
      </c>
      <c r="C900" s="1">
        <v>0.29230200000000001</v>
      </c>
      <c r="D900" s="1">
        <f>IF(B900&gt;C900,B900-C900,C900-B900)</f>
        <v>3.7280000000000091E-3</v>
      </c>
      <c r="E900">
        <f>MINUTE(D900)</f>
        <v>5</v>
      </c>
      <c r="F900">
        <f>SECOND(D900)</f>
        <v>22</v>
      </c>
      <c r="G900">
        <f>ROUND(E900+F900/60,2)</f>
        <v>5.37</v>
      </c>
      <c r="H900">
        <f>60*E900+F900</f>
        <v>322</v>
      </c>
      <c r="I900" s="3">
        <f>5*(3600/H900)</f>
        <v>55.900621118012424</v>
      </c>
      <c r="J900" s="16">
        <f t="shared" si="14"/>
        <v>0</v>
      </c>
    </row>
    <row r="901" spans="1:10" x14ac:dyDescent="0.25">
      <c r="A901" s="4" t="s">
        <v>10</v>
      </c>
      <c r="B901" s="1">
        <v>0.85223800000000005</v>
      </c>
      <c r="C901" s="1">
        <v>0.84849799999999997</v>
      </c>
      <c r="D901" s="1">
        <f>IF(B901&gt;C901,B901-C901,C901-B901)</f>
        <v>3.7400000000000766E-3</v>
      </c>
      <c r="E901">
        <f>MINUTE(D901)</f>
        <v>5</v>
      </c>
      <c r="F901">
        <f>SECOND(D901)</f>
        <v>23</v>
      </c>
      <c r="G901">
        <f>ROUND(E901+F901/60,2)</f>
        <v>5.38</v>
      </c>
      <c r="H901">
        <f>60*E901+F901</f>
        <v>323</v>
      </c>
      <c r="I901" s="3">
        <f>5*(3600/H901)</f>
        <v>55.727554179566567</v>
      </c>
      <c r="J901" s="16">
        <f t="shared" si="14"/>
        <v>0</v>
      </c>
    </row>
    <row r="902" spans="1:10" x14ac:dyDescent="0.25">
      <c r="A902" s="4" t="s">
        <v>161</v>
      </c>
      <c r="B902" s="1">
        <v>0.37874799999999997</v>
      </c>
      <c r="C902" s="1">
        <v>0.382492</v>
      </c>
      <c r="D902" s="1">
        <f>IF(B902&gt;C902,B902-C902,C902-B902)</f>
        <v>3.7440000000000251E-3</v>
      </c>
      <c r="E902">
        <f>MINUTE(D902)</f>
        <v>5</v>
      </c>
      <c r="F902">
        <f>SECOND(D902)</f>
        <v>23</v>
      </c>
      <c r="G902">
        <f>ROUND(E902+F902/60,2)</f>
        <v>5.38</v>
      </c>
      <c r="H902">
        <f>60*E902+F902</f>
        <v>323</v>
      </c>
      <c r="I902" s="3">
        <f>5*(3600/H902)</f>
        <v>55.727554179566567</v>
      </c>
      <c r="J902" s="16">
        <f t="shared" si="14"/>
        <v>0</v>
      </c>
    </row>
    <row r="903" spans="1:10" x14ac:dyDescent="0.25">
      <c r="A903" s="4" t="s">
        <v>21</v>
      </c>
      <c r="B903" s="1">
        <v>0.36847200000000002</v>
      </c>
      <c r="C903" s="1">
        <v>0.364732</v>
      </c>
      <c r="D903" s="1">
        <f>IF(B903&gt;C903,B903-C903,C903-B903)</f>
        <v>3.7400000000000211E-3</v>
      </c>
      <c r="E903">
        <f>MINUTE(D903)</f>
        <v>5</v>
      </c>
      <c r="F903">
        <f>SECOND(D903)</f>
        <v>23</v>
      </c>
      <c r="G903">
        <f>ROUND(E903+F903/60,2)</f>
        <v>5.38</v>
      </c>
      <c r="H903">
        <f>60*E903+F903</f>
        <v>323</v>
      </c>
      <c r="I903" s="3">
        <f>5*(3600/H903)</f>
        <v>55.727554179566567</v>
      </c>
      <c r="J903" s="16">
        <f t="shared" si="14"/>
        <v>0</v>
      </c>
    </row>
    <row r="904" spans="1:10" x14ac:dyDescent="0.25">
      <c r="A904" s="4" t="s">
        <v>41</v>
      </c>
      <c r="B904" s="1">
        <v>0.811751</v>
      </c>
      <c r="C904" s="1">
        <v>0.81549499999999997</v>
      </c>
      <c r="D904" s="1">
        <f>IF(B904&gt;C904,B904-C904,C904-B904)</f>
        <v>3.7439999999999696E-3</v>
      </c>
      <c r="E904">
        <f>MINUTE(D904)</f>
        <v>5</v>
      </c>
      <c r="F904">
        <f>SECOND(D904)</f>
        <v>23</v>
      </c>
      <c r="G904">
        <f>ROUND(E904+F904/60,2)</f>
        <v>5.38</v>
      </c>
      <c r="H904">
        <f>60*E904+F904</f>
        <v>323</v>
      </c>
      <c r="I904" s="3">
        <f>5*(3600/H904)</f>
        <v>55.727554179566567</v>
      </c>
      <c r="J904" s="16">
        <f t="shared" si="14"/>
        <v>0</v>
      </c>
    </row>
    <row r="905" spans="1:10" x14ac:dyDescent="0.25">
      <c r="A905" s="4" t="s">
        <v>5</v>
      </c>
      <c r="B905" s="1">
        <v>0.14322299999999999</v>
      </c>
      <c r="C905" s="1">
        <v>0.14696300000000001</v>
      </c>
      <c r="D905" s="1">
        <f>IF(B905&gt;C905,B905-C905,C905-B905)</f>
        <v>3.7400000000000211E-3</v>
      </c>
      <c r="E905">
        <f>MINUTE(D905)</f>
        <v>5</v>
      </c>
      <c r="F905">
        <f>SECOND(D905)</f>
        <v>23</v>
      </c>
      <c r="G905">
        <f>ROUND(E905+F905/60,2)</f>
        <v>5.38</v>
      </c>
      <c r="H905">
        <f>60*E905+F905</f>
        <v>323</v>
      </c>
      <c r="I905" s="3">
        <f>5*(3600/H905)</f>
        <v>55.727554179566567</v>
      </c>
      <c r="J905" s="16">
        <f t="shared" si="14"/>
        <v>0</v>
      </c>
    </row>
    <row r="906" spans="1:10" x14ac:dyDescent="0.25">
      <c r="A906" s="8" t="s">
        <v>179</v>
      </c>
      <c r="B906" s="1">
        <v>0.92008900000000005</v>
      </c>
      <c r="C906" s="1">
        <v>0.92382900000000001</v>
      </c>
      <c r="D906" s="1">
        <f>IF(B906&gt;C906,B906-C906,C906-B906)</f>
        <v>3.7399999999999656E-3</v>
      </c>
      <c r="E906">
        <f>MINUTE(D906)</f>
        <v>5</v>
      </c>
      <c r="F906">
        <f>SECOND(D906)</f>
        <v>23</v>
      </c>
      <c r="G906">
        <f>ROUND(E906+F906/60,2)</f>
        <v>5.38</v>
      </c>
      <c r="H906">
        <f>60*E906+F906</f>
        <v>323</v>
      </c>
      <c r="I906" s="10">
        <f>5*(3600/H906)</f>
        <v>55.727554179566567</v>
      </c>
      <c r="J906" s="16">
        <f t="shared" si="14"/>
        <v>0</v>
      </c>
    </row>
    <row r="907" spans="1:10" x14ac:dyDescent="0.25">
      <c r="A907" s="4" t="s">
        <v>30</v>
      </c>
      <c r="B907" s="1">
        <v>0.46298299999999998</v>
      </c>
      <c r="C907" s="1">
        <v>0.459231</v>
      </c>
      <c r="D907" s="1">
        <f>IF(B907&gt;C907,B907-C907,C907-B907)</f>
        <v>3.7519999999999776E-3</v>
      </c>
      <c r="E907">
        <f>MINUTE(D907)</f>
        <v>5</v>
      </c>
      <c r="F907">
        <f>SECOND(D907)</f>
        <v>24</v>
      </c>
      <c r="G907">
        <f>ROUND(E907+F907/60,2)</f>
        <v>5.4</v>
      </c>
      <c r="H907">
        <f>60*E907+F907</f>
        <v>324</v>
      </c>
      <c r="I907" s="3">
        <f>5*(3600/H907)</f>
        <v>55.555555555555557</v>
      </c>
      <c r="J907" s="16">
        <f t="shared" si="14"/>
        <v>0</v>
      </c>
    </row>
    <row r="908" spans="1:10" x14ac:dyDescent="0.25">
      <c r="A908" s="4" t="s">
        <v>31</v>
      </c>
      <c r="B908" s="1">
        <v>7.6189999999999999E-3</v>
      </c>
      <c r="C908" s="1">
        <v>3.8670000000000002E-3</v>
      </c>
      <c r="D908" s="1">
        <f>IF(B908&gt;C908,B908-C908,C908-B908)</f>
        <v>3.7519999999999997E-3</v>
      </c>
      <c r="E908">
        <f>MINUTE(D908)</f>
        <v>5</v>
      </c>
      <c r="F908">
        <f>SECOND(D908)</f>
        <v>24</v>
      </c>
      <c r="G908">
        <f>ROUND(E908+F908/60,2)</f>
        <v>5.4</v>
      </c>
      <c r="H908">
        <f>60*E908+F908</f>
        <v>324</v>
      </c>
      <c r="I908" s="3">
        <f>5*(3600/H908)</f>
        <v>55.555555555555557</v>
      </c>
      <c r="J908" s="16">
        <f t="shared" si="14"/>
        <v>0</v>
      </c>
    </row>
    <row r="909" spans="1:10" x14ac:dyDescent="0.25">
      <c r="A909" s="4" t="s">
        <v>33</v>
      </c>
      <c r="B909" s="1">
        <v>0.506386</v>
      </c>
      <c r="C909" s="1">
        <v>0.50263400000000003</v>
      </c>
      <c r="D909" s="1">
        <f>IF(B909&gt;C909,B909-C909,C909-B909)</f>
        <v>3.7519999999999776E-3</v>
      </c>
      <c r="E909">
        <f>MINUTE(D909)</f>
        <v>5</v>
      </c>
      <c r="F909">
        <f>SECOND(D909)</f>
        <v>24</v>
      </c>
      <c r="G909">
        <f>ROUND(E909+F909/60,2)</f>
        <v>5.4</v>
      </c>
      <c r="H909">
        <f>60*E909+F909</f>
        <v>324</v>
      </c>
      <c r="I909" s="3">
        <f>5*(3600/H909)</f>
        <v>55.555555555555557</v>
      </c>
      <c r="J909" s="16">
        <f t="shared" si="14"/>
        <v>0</v>
      </c>
    </row>
    <row r="910" spans="1:10" x14ac:dyDescent="0.25">
      <c r="A910" s="4" t="s">
        <v>80</v>
      </c>
      <c r="B910" s="1">
        <v>0.58458699999999997</v>
      </c>
      <c r="C910" s="1">
        <v>0.58833899999999995</v>
      </c>
      <c r="D910" s="1">
        <f>IF(B910&gt;C910,B910-C910,C910-B910)</f>
        <v>3.7519999999999776E-3</v>
      </c>
      <c r="E910">
        <f>MINUTE(D910)</f>
        <v>5</v>
      </c>
      <c r="F910">
        <f>SECOND(D910)</f>
        <v>24</v>
      </c>
      <c r="G910">
        <f>ROUND(E910+F910/60,2)</f>
        <v>5.4</v>
      </c>
      <c r="H910">
        <f>60*E910+F910</f>
        <v>324</v>
      </c>
      <c r="I910" s="3">
        <f>5*(3600/H910)</f>
        <v>55.555555555555557</v>
      </c>
      <c r="J910" s="16">
        <f t="shared" si="14"/>
        <v>0</v>
      </c>
    </row>
    <row r="911" spans="1:10" x14ac:dyDescent="0.25">
      <c r="A911" s="4" t="s">
        <v>228</v>
      </c>
      <c r="B911" s="1">
        <v>3.1982999999999998E-2</v>
      </c>
      <c r="C911" s="1">
        <v>3.5730999999999999E-2</v>
      </c>
      <c r="D911" s="1">
        <f>IF(B911&gt;C911,B911-C911,C911-B911)</f>
        <v>3.7480000000000013E-3</v>
      </c>
      <c r="E911">
        <f>MINUTE(D911)</f>
        <v>5</v>
      </c>
      <c r="F911">
        <f>SECOND(D911)</f>
        <v>24</v>
      </c>
      <c r="G911">
        <f>ROUND(E911+F911/60,2)</f>
        <v>5.4</v>
      </c>
      <c r="H911">
        <f>60*E911+F911</f>
        <v>324</v>
      </c>
      <c r="I911" s="3">
        <f>5*(3600/H911)</f>
        <v>55.555555555555557</v>
      </c>
      <c r="J911" s="16">
        <f t="shared" si="14"/>
        <v>0</v>
      </c>
    </row>
    <row r="912" spans="1:10" x14ac:dyDescent="0.25">
      <c r="A912" s="4" t="s">
        <v>270</v>
      </c>
      <c r="B912" s="1">
        <v>0.88112500000000005</v>
      </c>
      <c r="C912" s="1">
        <v>0.87737299999999996</v>
      </c>
      <c r="D912" s="1">
        <f>IF(B912&gt;C912,B912-C912,C912-B912)</f>
        <v>3.7520000000000886E-3</v>
      </c>
      <c r="E912">
        <f>MINUTE(D912)</f>
        <v>5</v>
      </c>
      <c r="F912">
        <f>SECOND(D912)</f>
        <v>24</v>
      </c>
      <c r="G912">
        <f>ROUND(E912+F912/60,2)</f>
        <v>5.4</v>
      </c>
      <c r="H912">
        <f>60*E912+F912</f>
        <v>324</v>
      </c>
      <c r="I912" s="3">
        <f>5*(3600/H912)</f>
        <v>55.555555555555557</v>
      </c>
      <c r="J912" s="16">
        <f t="shared" si="14"/>
        <v>0</v>
      </c>
    </row>
    <row r="913" spans="1:10" x14ac:dyDescent="0.25">
      <c r="A913" s="4" t="s">
        <v>202</v>
      </c>
      <c r="B913" s="1">
        <v>0.817774</v>
      </c>
      <c r="C913" s="1">
        <v>0.82153799999999999</v>
      </c>
      <c r="D913" s="1">
        <f>IF(B913&gt;C913,B913-C913,C913-B913)</f>
        <v>3.7639999999999896E-3</v>
      </c>
      <c r="E913">
        <f>MINUTE(D913)</f>
        <v>5</v>
      </c>
      <c r="F913">
        <f>SECOND(D913)</f>
        <v>25</v>
      </c>
      <c r="G913">
        <f>ROUND(E913+F913/60,2)</f>
        <v>5.42</v>
      </c>
      <c r="H913">
        <f>60*E913+F913</f>
        <v>325</v>
      </c>
      <c r="I913" s="3">
        <f>5*(3600/H913)</f>
        <v>55.384615384615387</v>
      </c>
      <c r="J913" s="16">
        <f t="shared" si="14"/>
        <v>0</v>
      </c>
    </row>
    <row r="914" spans="1:10" x14ac:dyDescent="0.25">
      <c r="A914" s="4" t="s">
        <v>223</v>
      </c>
      <c r="B914" s="1">
        <v>0.66965399999999997</v>
      </c>
      <c r="C914" s="1">
        <v>0.66589399999999999</v>
      </c>
      <c r="D914" s="1">
        <f>IF(B914&gt;C914,B914-C914,C914-B914)</f>
        <v>3.7599999999999856E-3</v>
      </c>
      <c r="E914">
        <f>MINUTE(D914)</f>
        <v>5</v>
      </c>
      <c r="F914">
        <f>SECOND(D914)</f>
        <v>25</v>
      </c>
      <c r="G914">
        <f>ROUND(E914+F914/60,2)</f>
        <v>5.42</v>
      </c>
      <c r="H914">
        <f>60*E914+F914</f>
        <v>325</v>
      </c>
      <c r="I914" s="3">
        <f>5*(3600/H914)</f>
        <v>55.384615384615387</v>
      </c>
      <c r="J914" s="16">
        <f t="shared" si="14"/>
        <v>0</v>
      </c>
    </row>
    <row r="915" spans="1:10" x14ac:dyDescent="0.25">
      <c r="A915" s="4" t="s">
        <v>47</v>
      </c>
      <c r="B915" s="1">
        <v>0.73745799999999995</v>
      </c>
      <c r="C915" s="1">
        <v>0.73368199999999995</v>
      </c>
      <c r="D915" s="1">
        <f>IF(B915&gt;C915,B915-C915,C915-B915)</f>
        <v>3.7760000000000016E-3</v>
      </c>
      <c r="E915">
        <f>MINUTE(D915)</f>
        <v>5</v>
      </c>
      <c r="F915">
        <f>SECOND(D915)</f>
        <v>26</v>
      </c>
      <c r="G915">
        <f>ROUND(E915+F915/60,2)</f>
        <v>5.43</v>
      </c>
      <c r="H915">
        <f>60*E915+F915</f>
        <v>326</v>
      </c>
      <c r="I915" s="3">
        <f>5*(3600/H915)</f>
        <v>55.214723926380373</v>
      </c>
      <c r="J915" s="16">
        <f t="shared" si="14"/>
        <v>0</v>
      </c>
    </row>
    <row r="916" spans="1:10" x14ac:dyDescent="0.25">
      <c r="A916" s="4" t="s">
        <v>109</v>
      </c>
      <c r="B916" s="1">
        <v>0.86325399999999997</v>
      </c>
      <c r="C916" s="1">
        <v>0.86702199999999996</v>
      </c>
      <c r="D916" s="1">
        <f>IF(B916&gt;C916,B916-C916,C916-B916)</f>
        <v>3.7679999999999936E-3</v>
      </c>
      <c r="E916">
        <f>MINUTE(D916)</f>
        <v>5</v>
      </c>
      <c r="F916">
        <f>SECOND(D916)</f>
        <v>26</v>
      </c>
      <c r="G916">
        <f>ROUND(E916+F916/60,2)</f>
        <v>5.43</v>
      </c>
      <c r="H916">
        <f>60*E916+F916</f>
        <v>326</v>
      </c>
      <c r="I916" s="3">
        <f>5*(3600/H916)</f>
        <v>55.214723926380373</v>
      </c>
      <c r="J916" s="16">
        <f t="shared" si="14"/>
        <v>0</v>
      </c>
    </row>
    <row r="917" spans="1:10" x14ac:dyDescent="0.25">
      <c r="A917" s="4" t="s">
        <v>337</v>
      </c>
      <c r="B917" s="1">
        <v>5.2663000000000001E-2</v>
      </c>
      <c r="C917" s="1">
        <v>4.8890999999999997E-2</v>
      </c>
      <c r="D917" s="1">
        <f>IF(B917&gt;C917,B917-C917,C917-B917)</f>
        <v>3.7720000000000045E-3</v>
      </c>
      <c r="E917">
        <f>MINUTE(D917)</f>
        <v>5</v>
      </c>
      <c r="F917">
        <f>SECOND(D917)</f>
        <v>26</v>
      </c>
      <c r="G917">
        <f>ROUND(E917+F917/60,2)</f>
        <v>5.43</v>
      </c>
      <c r="H917">
        <f>60*E917+F917</f>
        <v>326</v>
      </c>
      <c r="I917" s="3">
        <f>5*(3600/H917)</f>
        <v>55.214723926380373</v>
      </c>
      <c r="J917" s="16">
        <f t="shared" si="14"/>
        <v>0</v>
      </c>
    </row>
    <row r="918" spans="1:10" x14ac:dyDescent="0.25">
      <c r="A918" s="4" t="s">
        <v>358</v>
      </c>
      <c r="B918" s="1">
        <v>0.76871599999999995</v>
      </c>
      <c r="C918" s="1">
        <v>0.77248799999999995</v>
      </c>
      <c r="D918" s="1">
        <f>IF(B918&gt;C918,B918-C918,C918-B918)</f>
        <v>3.7719999999999976E-3</v>
      </c>
      <c r="E918">
        <f>MINUTE(D918)</f>
        <v>5</v>
      </c>
      <c r="F918">
        <f>SECOND(D918)</f>
        <v>26</v>
      </c>
      <c r="G918">
        <f>ROUND(E918+F918/60,2)</f>
        <v>5.43</v>
      </c>
      <c r="H918">
        <f>60*E918+F918</f>
        <v>326</v>
      </c>
      <c r="I918" s="3">
        <f>5*(3600/H918)</f>
        <v>55.214723926380373</v>
      </c>
      <c r="J918" s="16">
        <f t="shared" si="14"/>
        <v>0</v>
      </c>
    </row>
    <row r="919" spans="1:10" x14ac:dyDescent="0.25">
      <c r="A919" s="4" t="s">
        <v>5</v>
      </c>
      <c r="B919" s="1">
        <v>0.31651800000000002</v>
      </c>
      <c r="C919" s="1">
        <v>0.31273800000000002</v>
      </c>
      <c r="D919" s="1">
        <f>IF(B919&gt;C919,B919-C919,C919-B919)</f>
        <v>3.7800000000000056E-3</v>
      </c>
      <c r="E919">
        <f>MINUTE(D919)</f>
        <v>5</v>
      </c>
      <c r="F919">
        <f>SECOND(D919)</f>
        <v>27</v>
      </c>
      <c r="G919">
        <f>ROUND(E919+F919/60,2)</f>
        <v>5.45</v>
      </c>
      <c r="H919">
        <f>60*E919+F919</f>
        <v>327</v>
      </c>
      <c r="I919" s="3">
        <f>5*(3600/H919)</f>
        <v>55.045871559633028</v>
      </c>
      <c r="J919" s="16">
        <f t="shared" si="14"/>
        <v>0</v>
      </c>
    </row>
    <row r="920" spans="1:10" x14ac:dyDescent="0.25">
      <c r="A920" s="4" t="s">
        <v>87</v>
      </c>
      <c r="B920" s="1">
        <v>0.29541000000000001</v>
      </c>
      <c r="C920" s="1">
        <v>0.29919800000000002</v>
      </c>
      <c r="D920" s="1">
        <f>IF(B920&gt;C920,B920-C920,C920-B920)</f>
        <v>3.7880000000000136E-3</v>
      </c>
      <c r="E920">
        <f>MINUTE(D920)</f>
        <v>5</v>
      </c>
      <c r="F920">
        <f>SECOND(D920)</f>
        <v>27</v>
      </c>
      <c r="G920">
        <f>ROUND(E920+F920/60,2)</f>
        <v>5.45</v>
      </c>
      <c r="H920">
        <f>60*E920+F920</f>
        <v>327</v>
      </c>
      <c r="I920" s="3">
        <f>5*(3600/H920)</f>
        <v>55.045871559633028</v>
      </c>
      <c r="J920" s="16">
        <f t="shared" si="14"/>
        <v>0</v>
      </c>
    </row>
    <row r="921" spans="1:10" x14ac:dyDescent="0.25">
      <c r="A921" s="4" t="s">
        <v>56</v>
      </c>
      <c r="B921" s="1">
        <v>0.45928099999999999</v>
      </c>
      <c r="C921" s="1">
        <v>0.45549299999999998</v>
      </c>
      <c r="D921" s="1">
        <f>IF(B921&gt;C921,B921-C921,C921-B921)</f>
        <v>3.7880000000000136E-3</v>
      </c>
      <c r="E921">
        <f>MINUTE(D921)</f>
        <v>5</v>
      </c>
      <c r="F921">
        <f>SECOND(D921)</f>
        <v>27</v>
      </c>
      <c r="G921">
        <f>ROUND(E921+F921/60,2)</f>
        <v>5.45</v>
      </c>
      <c r="H921">
        <f>60*E921+F921</f>
        <v>327</v>
      </c>
      <c r="I921" s="3">
        <f>5*(3600/H921)</f>
        <v>55.045871559633028</v>
      </c>
      <c r="J921" s="16">
        <f t="shared" si="14"/>
        <v>0</v>
      </c>
    </row>
    <row r="922" spans="1:10" x14ac:dyDescent="0.25">
      <c r="A922" s="4" t="s">
        <v>187</v>
      </c>
      <c r="B922" s="1">
        <v>0.688388</v>
      </c>
      <c r="C922" s="1">
        <v>0.69217200000000001</v>
      </c>
      <c r="D922" s="1">
        <f>IF(B922&gt;C922,B922-C922,C922-B922)</f>
        <v>3.7840000000000096E-3</v>
      </c>
      <c r="E922">
        <f>MINUTE(D922)</f>
        <v>5</v>
      </c>
      <c r="F922">
        <f>SECOND(D922)</f>
        <v>27</v>
      </c>
      <c r="G922">
        <f>ROUND(E922+F922/60,2)</f>
        <v>5.45</v>
      </c>
      <c r="H922">
        <f>60*E922+F922</f>
        <v>327</v>
      </c>
      <c r="I922" s="3">
        <f>5*(3600/H922)</f>
        <v>55.045871559633028</v>
      </c>
      <c r="J922" s="16">
        <f t="shared" si="14"/>
        <v>0</v>
      </c>
    </row>
    <row r="923" spans="1:10" x14ac:dyDescent="0.25">
      <c r="A923" s="4" t="s">
        <v>395</v>
      </c>
      <c r="B923" s="1">
        <v>0.42941800000000002</v>
      </c>
      <c r="C923" s="1">
        <v>0.42563400000000001</v>
      </c>
      <c r="D923" s="1">
        <f>IF(B923&gt;C923,B923-C923,C923-B923)</f>
        <v>3.7840000000000096E-3</v>
      </c>
      <c r="E923">
        <f>MINUTE(D923)</f>
        <v>5</v>
      </c>
      <c r="F923">
        <f>SECOND(D923)</f>
        <v>27</v>
      </c>
      <c r="G923">
        <f>ROUND(E923+F923/60,2)</f>
        <v>5.45</v>
      </c>
      <c r="H923">
        <f>60*E923+F923</f>
        <v>327</v>
      </c>
      <c r="I923" s="3">
        <f>5*(3600/H923)</f>
        <v>55.045871559633028</v>
      </c>
      <c r="J923" s="16">
        <f t="shared" si="14"/>
        <v>0</v>
      </c>
    </row>
    <row r="924" spans="1:10" x14ac:dyDescent="0.25">
      <c r="A924" s="4" t="s">
        <v>150</v>
      </c>
      <c r="B924" s="1">
        <v>0.92992200000000003</v>
      </c>
      <c r="C924" s="1">
        <v>0.926122</v>
      </c>
      <c r="D924" s="1">
        <f>IF(B924&gt;C924,B924-C924,C924-B924)</f>
        <v>3.8000000000000256E-3</v>
      </c>
      <c r="E924">
        <f>MINUTE(D924)</f>
        <v>5</v>
      </c>
      <c r="F924">
        <f>SECOND(D924)</f>
        <v>28</v>
      </c>
      <c r="G924">
        <f>ROUND(E924+F924/60,2)</f>
        <v>5.47</v>
      </c>
      <c r="H924">
        <f>60*E924+F924</f>
        <v>328</v>
      </c>
      <c r="I924" s="3">
        <f>5*(3600/H924)</f>
        <v>54.878048780487809</v>
      </c>
      <c r="J924" s="16">
        <f t="shared" si="14"/>
        <v>0</v>
      </c>
    </row>
    <row r="925" spans="1:10" x14ac:dyDescent="0.25">
      <c r="A925" s="4" t="s">
        <v>109</v>
      </c>
      <c r="B925" s="1">
        <v>0.30027799999999999</v>
      </c>
      <c r="C925" s="1">
        <v>0.30407800000000001</v>
      </c>
      <c r="D925" s="1">
        <f>IF(B925&gt;C925,B925-C925,C925-B925)</f>
        <v>3.8000000000000256E-3</v>
      </c>
      <c r="E925">
        <f>MINUTE(D925)</f>
        <v>5</v>
      </c>
      <c r="F925">
        <f>SECOND(D925)</f>
        <v>28</v>
      </c>
      <c r="G925">
        <f>ROUND(E925+F925/60,2)</f>
        <v>5.47</v>
      </c>
      <c r="H925">
        <f>60*E925+F925</f>
        <v>328</v>
      </c>
      <c r="I925" s="3">
        <f>5*(3600/H925)</f>
        <v>54.878048780487809</v>
      </c>
      <c r="J925" s="16">
        <f t="shared" si="14"/>
        <v>0</v>
      </c>
    </row>
    <row r="926" spans="1:10" x14ac:dyDescent="0.25">
      <c r="A926" s="4" t="s">
        <v>162</v>
      </c>
      <c r="B926" s="1">
        <v>0.33263599999999999</v>
      </c>
      <c r="C926" s="1">
        <v>0.32883600000000002</v>
      </c>
      <c r="D926" s="1">
        <f>IF(B926&gt;C926,B926-C926,C926-B926)</f>
        <v>3.7999999999999701E-3</v>
      </c>
      <c r="E926">
        <f>MINUTE(D926)</f>
        <v>5</v>
      </c>
      <c r="F926">
        <f>SECOND(D926)</f>
        <v>28</v>
      </c>
      <c r="G926">
        <f>ROUND(E926+F926/60,2)</f>
        <v>5.47</v>
      </c>
      <c r="H926">
        <f>60*E926+F926</f>
        <v>328</v>
      </c>
      <c r="I926" s="3">
        <f>5*(3600/H926)</f>
        <v>54.878048780487809</v>
      </c>
      <c r="J926" s="16">
        <f t="shared" si="14"/>
        <v>0</v>
      </c>
    </row>
    <row r="927" spans="1:10" x14ac:dyDescent="0.25">
      <c r="A927" s="4" t="s">
        <v>71</v>
      </c>
      <c r="B927" s="1">
        <v>0.53334199999999998</v>
      </c>
      <c r="C927" s="1">
        <v>0.52953799999999995</v>
      </c>
      <c r="D927" s="1">
        <f>IF(B927&gt;C927,B927-C927,C927-B927)</f>
        <v>3.8040000000000296E-3</v>
      </c>
      <c r="E927">
        <f>MINUTE(D927)</f>
        <v>5</v>
      </c>
      <c r="F927">
        <f>SECOND(D927)</f>
        <v>29</v>
      </c>
      <c r="G927">
        <f>ROUND(E927+F927/60,2)</f>
        <v>5.48</v>
      </c>
      <c r="H927">
        <f>60*E927+F927</f>
        <v>329</v>
      </c>
      <c r="I927" s="3">
        <f>5*(3600/H927)</f>
        <v>54.711246200607903</v>
      </c>
      <c r="J927" s="16">
        <f t="shared" si="14"/>
        <v>0</v>
      </c>
    </row>
    <row r="928" spans="1:10" x14ac:dyDescent="0.25">
      <c r="A928" s="4" t="s">
        <v>64</v>
      </c>
      <c r="B928" s="1">
        <v>0.75966599999999995</v>
      </c>
      <c r="C928" s="1">
        <v>0.75585800000000003</v>
      </c>
      <c r="D928" s="1">
        <f>IF(B928&gt;C928,B928-C928,C928-B928)</f>
        <v>3.8079999999999226E-3</v>
      </c>
      <c r="E928">
        <f>MINUTE(D928)</f>
        <v>5</v>
      </c>
      <c r="F928">
        <f>SECOND(D928)</f>
        <v>29</v>
      </c>
      <c r="G928">
        <f>ROUND(E928+F928/60,2)</f>
        <v>5.48</v>
      </c>
      <c r="H928">
        <f>60*E928+F928</f>
        <v>329</v>
      </c>
      <c r="I928" s="3">
        <f>5*(3600/H928)</f>
        <v>54.711246200607903</v>
      </c>
      <c r="J928" s="16">
        <f t="shared" si="14"/>
        <v>0</v>
      </c>
    </row>
    <row r="929" spans="1:10" x14ac:dyDescent="0.25">
      <c r="A929" s="4" t="s">
        <v>109</v>
      </c>
      <c r="B929" s="1">
        <v>0.87171399999999999</v>
      </c>
      <c r="C929" s="1">
        <v>0.87551800000000002</v>
      </c>
      <c r="D929" s="1">
        <f>IF(B929&gt;C929,B929-C929,C929-B929)</f>
        <v>3.8040000000000296E-3</v>
      </c>
      <c r="E929">
        <f>MINUTE(D929)</f>
        <v>5</v>
      </c>
      <c r="F929">
        <f>SECOND(D929)</f>
        <v>29</v>
      </c>
      <c r="G929">
        <f>ROUND(E929+F929/60,2)</f>
        <v>5.48</v>
      </c>
      <c r="H929">
        <f>60*E929+F929</f>
        <v>329</v>
      </c>
      <c r="I929" s="3">
        <f>5*(3600/H929)</f>
        <v>54.711246200607903</v>
      </c>
      <c r="J929" s="16">
        <f t="shared" si="14"/>
        <v>0</v>
      </c>
    </row>
    <row r="930" spans="1:10" x14ac:dyDescent="0.25">
      <c r="A930" s="4" t="s">
        <v>5</v>
      </c>
      <c r="B930" s="1">
        <v>7.6984999999999998E-2</v>
      </c>
      <c r="C930" s="1">
        <v>7.3173000000000002E-2</v>
      </c>
      <c r="D930" s="1">
        <f>IF(B930&gt;C930,B930-C930,C930-B930)</f>
        <v>3.8119999999999959E-3</v>
      </c>
      <c r="E930">
        <f>MINUTE(D930)</f>
        <v>5</v>
      </c>
      <c r="F930">
        <f>SECOND(D930)</f>
        <v>29</v>
      </c>
      <c r="G930">
        <f>ROUND(E930+F930/60,2)</f>
        <v>5.48</v>
      </c>
      <c r="H930">
        <f>60*E930+F930</f>
        <v>329</v>
      </c>
      <c r="I930" s="3">
        <f>5*(3600/H930)</f>
        <v>54.711246200607903</v>
      </c>
      <c r="J930" s="16">
        <f t="shared" si="14"/>
        <v>0</v>
      </c>
    </row>
    <row r="931" spans="1:10" x14ac:dyDescent="0.25">
      <c r="A931" s="4" t="s">
        <v>158</v>
      </c>
      <c r="B931" s="1">
        <v>0.20841899999999999</v>
      </c>
      <c r="C931" s="1">
        <v>0.212231</v>
      </c>
      <c r="D931" s="1">
        <f>IF(B931&gt;C931,B931-C931,C931-B931)</f>
        <v>3.8120000000000098E-3</v>
      </c>
      <c r="E931">
        <f>MINUTE(D931)</f>
        <v>5</v>
      </c>
      <c r="F931">
        <f>SECOND(D931)</f>
        <v>29</v>
      </c>
      <c r="G931">
        <f>ROUND(E931+F931/60,2)</f>
        <v>5.48</v>
      </c>
      <c r="H931">
        <f>60*E931+F931</f>
        <v>329</v>
      </c>
      <c r="I931" s="3">
        <f>5*(3600/H931)</f>
        <v>54.711246200607903</v>
      </c>
      <c r="J931" s="16">
        <f t="shared" si="14"/>
        <v>0</v>
      </c>
    </row>
    <row r="932" spans="1:10" x14ac:dyDescent="0.25">
      <c r="A932" s="4" t="s">
        <v>107</v>
      </c>
      <c r="B932" s="1">
        <v>2.9825000000000001E-2</v>
      </c>
      <c r="C932" s="1">
        <v>3.3637E-2</v>
      </c>
      <c r="D932" s="1">
        <f>IF(B932&gt;C932,B932-C932,C932-B932)</f>
        <v>3.8119999999999994E-3</v>
      </c>
      <c r="E932">
        <f>MINUTE(D932)</f>
        <v>5</v>
      </c>
      <c r="F932">
        <f>SECOND(D932)</f>
        <v>29</v>
      </c>
      <c r="G932">
        <f>ROUND(E932+F932/60,2)</f>
        <v>5.48</v>
      </c>
      <c r="H932">
        <f>60*E932+F932</f>
        <v>329</v>
      </c>
      <c r="I932" s="3">
        <f>5*(3600/H932)</f>
        <v>54.711246200607903</v>
      </c>
      <c r="J932" s="16">
        <f t="shared" si="14"/>
        <v>0</v>
      </c>
    </row>
    <row r="933" spans="1:10" x14ac:dyDescent="0.25">
      <c r="A933" s="4" t="s">
        <v>406</v>
      </c>
      <c r="B933" s="1">
        <v>0.23919599999999999</v>
      </c>
      <c r="C933" s="1">
        <v>0.24299999999999999</v>
      </c>
      <c r="D933" s="1">
        <f>IF(B933&gt;C933,B933-C933,C933-B933)</f>
        <v>3.8040000000000018E-3</v>
      </c>
      <c r="E933">
        <f>MINUTE(D933)</f>
        <v>5</v>
      </c>
      <c r="F933">
        <f>SECOND(D933)</f>
        <v>29</v>
      </c>
      <c r="G933">
        <f>ROUND(E933+F933/60,2)</f>
        <v>5.48</v>
      </c>
      <c r="H933">
        <f>60*E933+F933</f>
        <v>329</v>
      </c>
      <c r="I933" s="3">
        <f>5*(3600/H933)</f>
        <v>54.711246200607903</v>
      </c>
      <c r="J933" s="16">
        <f t="shared" si="14"/>
        <v>0</v>
      </c>
    </row>
    <row r="934" spans="1:10" x14ac:dyDescent="0.25">
      <c r="A934" s="4" t="s">
        <v>11</v>
      </c>
      <c r="B934" s="1">
        <v>0.44774900000000001</v>
      </c>
      <c r="C934" s="1">
        <v>0.451573</v>
      </c>
      <c r="D934" s="1">
        <f>IF(B934&gt;C934,B934-C934,C934-B934)</f>
        <v>3.8239999999999941E-3</v>
      </c>
      <c r="E934">
        <f>MINUTE(D934)</f>
        <v>5</v>
      </c>
      <c r="F934">
        <f>SECOND(D934)</f>
        <v>30</v>
      </c>
      <c r="G934">
        <f>ROUND(E934+F934/60,2)</f>
        <v>5.5</v>
      </c>
      <c r="H934">
        <f>60*E934+F934</f>
        <v>330</v>
      </c>
      <c r="I934" s="3">
        <f>5*(3600/H934)</f>
        <v>54.54545454545454</v>
      </c>
      <c r="J934" s="16">
        <f t="shared" si="14"/>
        <v>0</v>
      </c>
    </row>
    <row r="935" spans="1:10" x14ac:dyDescent="0.25">
      <c r="A935" s="4" t="s">
        <v>27</v>
      </c>
      <c r="B935" s="1">
        <v>7.0146E-2</v>
      </c>
      <c r="C935" s="1">
        <v>6.633E-2</v>
      </c>
      <c r="D935" s="1">
        <f>IF(B935&gt;C935,B935-C935,C935-B935)</f>
        <v>3.8159999999999999E-3</v>
      </c>
      <c r="E935">
        <f>MINUTE(D935)</f>
        <v>5</v>
      </c>
      <c r="F935">
        <f>SECOND(D935)</f>
        <v>30</v>
      </c>
      <c r="G935">
        <f>ROUND(E935+F935/60,2)</f>
        <v>5.5</v>
      </c>
      <c r="H935">
        <f>60*E935+F935</f>
        <v>330</v>
      </c>
      <c r="I935" s="3">
        <f>5*(3600/H935)</f>
        <v>54.54545454545454</v>
      </c>
      <c r="J935" s="16">
        <f t="shared" si="14"/>
        <v>0</v>
      </c>
    </row>
    <row r="936" spans="1:10" x14ac:dyDescent="0.25">
      <c r="A936" s="4" t="s">
        <v>260</v>
      </c>
      <c r="B936" s="1">
        <v>0.38089400000000001</v>
      </c>
      <c r="C936" s="1">
        <v>0.37707400000000002</v>
      </c>
      <c r="D936" s="1">
        <f>IF(B936&gt;C936,B936-C936,C936-B936)</f>
        <v>3.8199999999999901E-3</v>
      </c>
      <c r="E936">
        <f>MINUTE(D936)</f>
        <v>5</v>
      </c>
      <c r="F936">
        <f>SECOND(D936)</f>
        <v>30</v>
      </c>
      <c r="G936">
        <f>ROUND(E936+F936/60,2)</f>
        <v>5.5</v>
      </c>
      <c r="H936">
        <f>60*E936+F936</f>
        <v>330</v>
      </c>
      <c r="I936" s="3">
        <f>5*(3600/H936)</f>
        <v>54.54545454545454</v>
      </c>
      <c r="J936" s="16">
        <f t="shared" si="14"/>
        <v>0</v>
      </c>
    </row>
    <row r="937" spans="1:10" x14ac:dyDescent="0.25">
      <c r="A937" s="4" t="s">
        <v>20</v>
      </c>
      <c r="B937" s="1">
        <v>0.65905100000000005</v>
      </c>
      <c r="C937" s="1">
        <v>0.662879</v>
      </c>
      <c r="D937" s="1">
        <f>IF(B937&gt;C937,B937-C937,C937-B937)</f>
        <v>3.8279999999999426E-3</v>
      </c>
      <c r="E937">
        <f>MINUTE(D937)</f>
        <v>5</v>
      </c>
      <c r="F937">
        <f>SECOND(D937)</f>
        <v>31</v>
      </c>
      <c r="G937">
        <f>ROUND(E937+F937/60,2)</f>
        <v>5.52</v>
      </c>
      <c r="H937">
        <f>60*E937+F937</f>
        <v>331</v>
      </c>
      <c r="I937" s="3">
        <f>5*(3600/H937)</f>
        <v>54.380664652567972</v>
      </c>
      <c r="J937" s="16">
        <f t="shared" si="14"/>
        <v>0</v>
      </c>
    </row>
    <row r="938" spans="1:10" x14ac:dyDescent="0.25">
      <c r="A938" s="4" t="s">
        <v>274</v>
      </c>
      <c r="B938" s="1">
        <v>0.47454200000000002</v>
      </c>
      <c r="C938" s="1">
        <v>0.47071400000000002</v>
      </c>
      <c r="D938" s="1">
        <f>IF(B938&gt;C938,B938-C938,C938-B938)</f>
        <v>3.8279999999999981E-3</v>
      </c>
      <c r="E938">
        <f>MINUTE(D938)</f>
        <v>5</v>
      </c>
      <c r="F938">
        <f>SECOND(D938)</f>
        <v>31</v>
      </c>
      <c r="G938">
        <f>ROUND(E938+F938/60,2)</f>
        <v>5.52</v>
      </c>
      <c r="H938">
        <f>60*E938+F938</f>
        <v>331</v>
      </c>
      <c r="I938" s="3">
        <f>5*(3600/H938)</f>
        <v>54.380664652567972</v>
      </c>
      <c r="J938" s="16">
        <f t="shared" si="14"/>
        <v>0</v>
      </c>
    </row>
    <row r="939" spans="1:10" x14ac:dyDescent="0.25">
      <c r="A939" s="4" t="s">
        <v>404</v>
      </c>
      <c r="B939" s="1">
        <v>0.56015199999999998</v>
      </c>
      <c r="C939" s="1">
        <v>0.55632400000000004</v>
      </c>
      <c r="D939" s="1">
        <f>IF(B939&gt;C939,B939-C939,C939-B939)</f>
        <v>3.8279999999999426E-3</v>
      </c>
      <c r="E939">
        <f>MINUTE(D939)</f>
        <v>5</v>
      </c>
      <c r="F939">
        <f>SECOND(D939)</f>
        <v>31</v>
      </c>
      <c r="G939">
        <f>ROUND(E939+F939/60,2)</f>
        <v>5.52</v>
      </c>
      <c r="H939">
        <f>60*E939+F939</f>
        <v>331</v>
      </c>
      <c r="I939" s="3">
        <f>5*(3600/H939)</f>
        <v>54.380664652567972</v>
      </c>
      <c r="J939" s="16">
        <f t="shared" si="14"/>
        <v>0</v>
      </c>
    </row>
    <row r="940" spans="1:10" x14ac:dyDescent="0.25">
      <c r="A940" s="4" t="s">
        <v>75</v>
      </c>
      <c r="B940" s="1">
        <v>0.59153599999999995</v>
      </c>
      <c r="C940" s="1">
        <v>0.58769199999999999</v>
      </c>
      <c r="D940" s="1">
        <f>IF(B940&gt;C940,B940-C940,C940-B940)</f>
        <v>3.8439999999999586E-3</v>
      </c>
      <c r="E940">
        <f>MINUTE(D940)</f>
        <v>5</v>
      </c>
      <c r="F940">
        <f>SECOND(D940)</f>
        <v>32</v>
      </c>
      <c r="G940">
        <f>ROUND(E940+F940/60,2)</f>
        <v>5.53</v>
      </c>
      <c r="H940">
        <f>60*E940+F940</f>
        <v>332</v>
      </c>
      <c r="I940" s="3">
        <f>5*(3600/H940)</f>
        <v>54.216867469879517</v>
      </c>
      <c r="J940" s="16">
        <f t="shared" si="14"/>
        <v>0</v>
      </c>
    </row>
    <row r="941" spans="1:10" x14ac:dyDescent="0.25">
      <c r="A941" s="4" t="s">
        <v>51</v>
      </c>
      <c r="B941" s="1">
        <v>0.231432</v>
      </c>
      <c r="C941" s="1">
        <v>0.22759199999999999</v>
      </c>
      <c r="D941" s="1">
        <f>IF(B941&gt;C941,B941-C941,C941-B941)</f>
        <v>3.8400000000000101E-3</v>
      </c>
      <c r="E941">
        <f>MINUTE(D941)</f>
        <v>5</v>
      </c>
      <c r="F941">
        <f>SECOND(D941)</f>
        <v>32</v>
      </c>
      <c r="G941">
        <f>ROUND(E941+F941/60,2)</f>
        <v>5.53</v>
      </c>
      <c r="H941">
        <f>60*E941+F941</f>
        <v>332</v>
      </c>
      <c r="I941" s="3">
        <f>5*(3600/H941)</f>
        <v>54.216867469879517</v>
      </c>
      <c r="J941" s="16">
        <f t="shared" si="14"/>
        <v>0</v>
      </c>
    </row>
    <row r="942" spans="1:10" x14ac:dyDescent="0.25">
      <c r="A942" s="4" t="s">
        <v>90</v>
      </c>
      <c r="B942" s="1">
        <v>0.63536800000000004</v>
      </c>
      <c r="C942" s="1">
        <v>0.639208</v>
      </c>
      <c r="D942" s="1">
        <f>IF(B942&gt;C942,B942-C942,C942-B942)</f>
        <v>3.8399999999999546E-3</v>
      </c>
      <c r="E942">
        <f>MINUTE(D942)</f>
        <v>5</v>
      </c>
      <c r="F942">
        <f>SECOND(D942)</f>
        <v>32</v>
      </c>
      <c r="G942">
        <f>ROUND(E942+F942/60,2)</f>
        <v>5.53</v>
      </c>
      <c r="H942">
        <f>60*E942+F942</f>
        <v>332</v>
      </c>
      <c r="I942" s="3">
        <f>5*(3600/H942)</f>
        <v>54.216867469879517</v>
      </c>
      <c r="J942" s="16">
        <f t="shared" si="14"/>
        <v>0</v>
      </c>
    </row>
    <row r="943" spans="1:10" x14ac:dyDescent="0.25">
      <c r="A943" s="4" t="s">
        <v>39</v>
      </c>
      <c r="B943" s="1">
        <v>8.9300000000000004E-2</v>
      </c>
      <c r="C943" s="1">
        <v>9.3151999999999999E-2</v>
      </c>
      <c r="D943" s="1">
        <f>IF(B943&gt;C943,B943-C943,C943-B943)</f>
        <v>3.8519999999999943E-3</v>
      </c>
      <c r="E943">
        <f>MINUTE(D943)</f>
        <v>5</v>
      </c>
      <c r="F943">
        <f>SECOND(D943)</f>
        <v>33</v>
      </c>
      <c r="G943">
        <f>ROUND(E943+F943/60,2)</f>
        <v>5.55</v>
      </c>
      <c r="H943">
        <f>60*E943+F943</f>
        <v>333</v>
      </c>
      <c r="I943" s="3">
        <f>5*(3600/H943)</f>
        <v>54.054054054054049</v>
      </c>
      <c r="J943" s="16">
        <f t="shared" si="14"/>
        <v>0</v>
      </c>
    </row>
    <row r="944" spans="1:10" x14ac:dyDescent="0.25">
      <c r="A944" s="4" t="s">
        <v>19</v>
      </c>
      <c r="B944" s="1">
        <v>0.76597700000000002</v>
      </c>
      <c r="C944" s="1">
        <v>0.76212500000000005</v>
      </c>
      <c r="D944" s="1">
        <f>IF(B944&gt;C944,B944-C944,C944-B944)</f>
        <v>3.8519999999999666E-3</v>
      </c>
      <c r="E944">
        <f>MINUTE(D944)</f>
        <v>5</v>
      </c>
      <c r="F944">
        <f>SECOND(D944)</f>
        <v>33</v>
      </c>
      <c r="G944">
        <f>ROUND(E944+F944/60,2)</f>
        <v>5.55</v>
      </c>
      <c r="H944">
        <f>60*E944+F944</f>
        <v>333</v>
      </c>
      <c r="I944" s="3">
        <f>5*(3600/H944)</f>
        <v>54.054054054054049</v>
      </c>
      <c r="J944" s="16">
        <f t="shared" si="14"/>
        <v>0</v>
      </c>
    </row>
    <row r="945" spans="1:10" x14ac:dyDescent="0.25">
      <c r="A945" s="4" t="s">
        <v>209</v>
      </c>
      <c r="B945" s="1">
        <v>0.40768100000000002</v>
      </c>
      <c r="C945" s="1">
        <v>0.40382499999999999</v>
      </c>
      <c r="D945" s="1">
        <f>IF(B945&gt;C945,B945-C945,C945-B945)</f>
        <v>3.8560000000000261E-3</v>
      </c>
      <c r="E945">
        <f>MINUTE(D945)</f>
        <v>5</v>
      </c>
      <c r="F945">
        <f>SECOND(D945)</f>
        <v>33</v>
      </c>
      <c r="G945">
        <f>ROUND(E945+F945/60,2)</f>
        <v>5.55</v>
      </c>
      <c r="H945">
        <f>60*E945+F945</f>
        <v>333</v>
      </c>
      <c r="I945" s="3">
        <f>5*(3600/H945)</f>
        <v>54.054054054054049</v>
      </c>
      <c r="J945" s="16">
        <f t="shared" si="14"/>
        <v>0</v>
      </c>
    </row>
    <row r="946" spans="1:10" x14ac:dyDescent="0.25">
      <c r="A946" s="4" t="s">
        <v>87</v>
      </c>
      <c r="B946" s="1">
        <v>0.14188400000000001</v>
      </c>
      <c r="C946" s="1">
        <v>0.14574799999999999</v>
      </c>
      <c r="D946" s="1">
        <f>IF(B946&gt;C946,B946-C946,C946-B946)</f>
        <v>3.8639999999999786E-3</v>
      </c>
      <c r="E946">
        <f>MINUTE(D946)</f>
        <v>5</v>
      </c>
      <c r="F946">
        <f>SECOND(D946)</f>
        <v>34</v>
      </c>
      <c r="G946">
        <f>ROUND(E946+F946/60,2)</f>
        <v>5.57</v>
      </c>
      <c r="H946">
        <f>60*E946+F946</f>
        <v>334</v>
      </c>
      <c r="I946" s="3">
        <f>5*(3600/H946)</f>
        <v>53.892215568862277</v>
      </c>
      <c r="J946" s="16">
        <f t="shared" si="14"/>
        <v>0</v>
      </c>
    </row>
    <row r="947" spans="1:10" x14ac:dyDescent="0.25">
      <c r="A947" s="4" t="s">
        <v>103</v>
      </c>
      <c r="B947" s="1">
        <v>0.65021700000000004</v>
      </c>
      <c r="C947" s="1">
        <v>0.64635299999999996</v>
      </c>
      <c r="D947" s="1">
        <f>IF(B947&gt;C947,B947-C947,C947-B947)</f>
        <v>3.8640000000000896E-3</v>
      </c>
      <c r="E947">
        <f>MINUTE(D947)</f>
        <v>5</v>
      </c>
      <c r="F947">
        <f>SECOND(D947)</f>
        <v>34</v>
      </c>
      <c r="G947">
        <f>ROUND(E947+F947/60,2)</f>
        <v>5.57</v>
      </c>
      <c r="H947">
        <f>60*E947+F947</f>
        <v>334</v>
      </c>
      <c r="I947" s="3">
        <f>5*(3600/H947)</f>
        <v>53.892215568862277</v>
      </c>
      <c r="J947" s="16">
        <f t="shared" si="14"/>
        <v>0</v>
      </c>
    </row>
    <row r="948" spans="1:10" x14ac:dyDescent="0.25">
      <c r="A948" s="4" t="s">
        <v>41</v>
      </c>
      <c r="B948" s="1">
        <v>0.93147599999999997</v>
      </c>
      <c r="C948" s="1">
        <v>0.93533999999999995</v>
      </c>
      <c r="D948" s="1">
        <f>IF(B948&gt;C948,B948-C948,C948-B948)</f>
        <v>3.8639999999999786E-3</v>
      </c>
      <c r="E948">
        <f>MINUTE(D948)</f>
        <v>5</v>
      </c>
      <c r="F948">
        <f>SECOND(D948)</f>
        <v>34</v>
      </c>
      <c r="G948">
        <f>ROUND(E948+F948/60,2)</f>
        <v>5.57</v>
      </c>
      <c r="H948">
        <f>60*E948+F948</f>
        <v>334</v>
      </c>
      <c r="I948" s="3">
        <f>5*(3600/H948)</f>
        <v>53.892215568862277</v>
      </c>
      <c r="J948" s="16">
        <f t="shared" si="14"/>
        <v>0</v>
      </c>
    </row>
    <row r="949" spans="1:10" x14ac:dyDescent="0.25">
      <c r="A949" s="4" t="s">
        <v>64</v>
      </c>
      <c r="B949" s="1">
        <v>0.31358399999999997</v>
      </c>
      <c r="C949" s="1">
        <v>0.317444</v>
      </c>
      <c r="D949" s="1">
        <f>IF(B949&gt;C949,B949-C949,C949-B949)</f>
        <v>3.8600000000000301E-3</v>
      </c>
      <c r="E949">
        <f>MINUTE(D949)</f>
        <v>5</v>
      </c>
      <c r="F949">
        <f>SECOND(D949)</f>
        <v>34</v>
      </c>
      <c r="G949">
        <f>ROUND(E949+F949/60,2)</f>
        <v>5.57</v>
      </c>
      <c r="H949">
        <f>60*E949+F949</f>
        <v>334</v>
      </c>
      <c r="I949" s="3">
        <f>5*(3600/H949)</f>
        <v>53.892215568862277</v>
      </c>
      <c r="J949" s="16">
        <f t="shared" si="14"/>
        <v>0</v>
      </c>
    </row>
    <row r="950" spans="1:10" x14ac:dyDescent="0.25">
      <c r="A950" s="4" t="s">
        <v>231</v>
      </c>
      <c r="B950" s="1">
        <v>1.7892000000000002E-2</v>
      </c>
      <c r="C950" s="1">
        <v>1.4028000000000001E-2</v>
      </c>
      <c r="D950" s="1">
        <f>IF(B950&gt;C950,B950-C950,C950-B950)</f>
        <v>3.8640000000000011E-3</v>
      </c>
      <c r="E950">
        <f>MINUTE(D950)</f>
        <v>5</v>
      </c>
      <c r="F950">
        <f>SECOND(D950)</f>
        <v>34</v>
      </c>
      <c r="G950">
        <f>ROUND(E950+F950/60,2)</f>
        <v>5.57</v>
      </c>
      <c r="H950">
        <f>60*E950+F950</f>
        <v>334</v>
      </c>
      <c r="I950" s="3">
        <f>5*(3600/H950)</f>
        <v>53.892215568862277</v>
      </c>
      <c r="J950" s="16">
        <f t="shared" si="14"/>
        <v>0</v>
      </c>
    </row>
    <row r="951" spans="1:10" x14ac:dyDescent="0.25">
      <c r="A951" s="4" t="s">
        <v>32</v>
      </c>
      <c r="B951" s="1">
        <v>0.83624799999999999</v>
      </c>
      <c r="C951" s="1">
        <v>0.832376</v>
      </c>
      <c r="D951" s="1">
        <f>IF(B951&gt;C951,B951-C951,C951-B951)</f>
        <v>3.8719999999999866E-3</v>
      </c>
      <c r="E951">
        <f>MINUTE(D951)</f>
        <v>5</v>
      </c>
      <c r="F951">
        <f>SECOND(D951)</f>
        <v>35</v>
      </c>
      <c r="G951">
        <f>ROUND(E951+F951/60,2)</f>
        <v>5.58</v>
      </c>
      <c r="H951">
        <f>60*E951+F951</f>
        <v>335</v>
      </c>
      <c r="I951" s="3">
        <f>5*(3600/H951)</f>
        <v>53.731343283582092</v>
      </c>
      <c r="J951" s="16">
        <f t="shared" si="14"/>
        <v>0</v>
      </c>
    </row>
    <row r="952" spans="1:10" x14ac:dyDescent="0.25">
      <c r="A952" s="4" t="s">
        <v>46</v>
      </c>
      <c r="B952" s="1">
        <v>0.42665900000000001</v>
      </c>
      <c r="C952" s="1">
        <v>0.42278300000000002</v>
      </c>
      <c r="D952" s="1">
        <f>IF(B952&gt;C952,B952-C952,C952-B952)</f>
        <v>3.8759999999999906E-3</v>
      </c>
      <c r="E952">
        <f>MINUTE(D952)</f>
        <v>5</v>
      </c>
      <c r="F952">
        <f>SECOND(D952)</f>
        <v>35</v>
      </c>
      <c r="G952">
        <f>ROUND(E952+F952/60,2)</f>
        <v>5.58</v>
      </c>
      <c r="H952">
        <f>60*E952+F952</f>
        <v>335</v>
      </c>
      <c r="I952" s="3">
        <f>5*(3600/H952)</f>
        <v>53.731343283582092</v>
      </c>
      <c r="J952" s="16">
        <f t="shared" si="14"/>
        <v>0</v>
      </c>
    </row>
    <row r="953" spans="1:10" x14ac:dyDescent="0.25">
      <c r="A953" s="4" t="s">
        <v>58</v>
      </c>
      <c r="B953" s="1">
        <v>0.90173300000000001</v>
      </c>
      <c r="C953" s="1">
        <v>0.905613</v>
      </c>
      <c r="D953" s="1">
        <f>IF(B953&gt;C953,B953-C953,C953-B953)</f>
        <v>3.8799999999999946E-3</v>
      </c>
      <c r="E953">
        <f>MINUTE(D953)</f>
        <v>5</v>
      </c>
      <c r="F953">
        <f>SECOND(D953)</f>
        <v>35</v>
      </c>
      <c r="G953">
        <f>ROUND(E953+F953/60,2)</f>
        <v>5.58</v>
      </c>
      <c r="H953">
        <f>60*E953+F953</f>
        <v>335</v>
      </c>
      <c r="I953" s="3">
        <f>5*(3600/H953)</f>
        <v>53.731343283582092</v>
      </c>
      <c r="J953" s="16">
        <f t="shared" si="14"/>
        <v>0</v>
      </c>
    </row>
    <row r="954" spans="1:10" x14ac:dyDescent="0.25">
      <c r="A954" s="4" t="s">
        <v>82</v>
      </c>
      <c r="B954" s="1">
        <v>0.63863800000000004</v>
      </c>
      <c r="C954" s="1">
        <v>0.64251000000000003</v>
      </c>
      <c r="D954" s="1">
        <f>IF(B954&gt;C954,B954-C954,C954-B954)</f>
        <v>3.8719999999999866E-3</v>
      </c>
      <c r="E954">
        <f>MINUTE(D954)</f>
        <v>5</v>
      </c>
      <c r="F954">
        <f>SECOND(D954)</f>
        <v>35</v>
      </c>
      <c r="G954">
        <f>ROUND(E954+F954/60,2)</f>
        <v>5.58</v>
      </c>
      <c r="H954">
        <f>60*E954+F954</f>
        <v>335</v>
      </c>
      <c r="I954" s="3">
        <f>5*(3600/H954)</f>
        <v>53.731343283582092</v>
      </c>
      <c r="J954" s="16">
        <f t="shared" si="14"/>
        <v>0</v>
      </c>
    </row>
    <row r="955" spans="1:10" x14ac:dyDescent="0.25">
      <c r="A955" s="4" t="s">
        <v>3</v>
      </c>
      <c r="B955" s="1">
        <v>0.121036</v>
      </c>
      <c r="C955" s="1">
        <v>0.12492</v>
      </c>
      <c r="D955" s="1">
        <f>IF(B955&gt;C955,B955-C955,C955-B955)</f>
        <v>3.8839999999999986E-3</v>
      </c>
      <c r="E955">
        <f>MINUTE(D955)</f>
        <v>5</v>
      </c>
      <c r="F955">
        <f>SECOND(D955)</f>
        <v>36</v>
      </c>
      <c r="G955">
        <f>ROUND(E955+F955/60,2)</f>
        <v>5.6</v>
      </c>
      <c r="H955">
        <f>60*E955+F955</f>
        <v>336</v>
      </c>
      <c r="I955" s="3">
        <f>5*(3600/H955)</f>
        <v>53.571428571428569</v>
      </c>
      <c r="J955" s="16">
        <f t="shared" si="14"/>
        <v>0</v>
      </c>
    </row>
    <row r="956" spans="1:10" x14ac:dyDescent="0.25">
      <c r="A956" s="4" t="s">
        <v>41</v>
      </c>
      <c r="B956" s="1">
        <v>0.17504700000000001</v>
      </c>
      <c r="C956" s="1">
        <v>0.17893500000000001</v>
      </c>
      <c r="D956" s="1">
        <f>IF(B956&gt;C956,B956-C956,C956-B956)</f>
        <v>3.8880000000000026E-3</v>
      </c>
      <c r="E956">
        <f>MINUTE(D956)</f>
        <v>5</v>
      </c>
      <c r="F956">
        <f>SECOND(D956)</f>
        <v>36</v>
      </c>
      <c r="G956">
        <f>ROUND(E956+F956/60,2)</f>
        <v>5.6</v>
      </c>
      <c r="H956">
        <f>60*E956+F956</f>
        <v>336</v>
      </c>
      <c r="I956" s="3">
        <f>5*(3600/H956)</f>
        <v>53.571428571428569</v>
      </c>
      <c r="J956" s="16">
        <f t="shared" si="14"/>
        <v>0</v>
      </c>
    </row>
    <row r="957" spans="1:10" x14ac:dyDescent="0.25">
      <c r="A957" s="4" t="s">
        <v>66</v>
      </c>
      <c r="B957" s="1">
        <v>0.336086</v>
      </c>
      <c r="C957" s="1">
        <v>0.33219799999999999</v>
      </c>
      <c r="D957" s="1">
        <f>IF(B957&gt;C957,B957-C957,C957-B957)</f>
        <v>3.8880000000000026E-3</v>
      </c>
      <c r="E957">
        <f>MINUTE(D957)</f>
        <v>5</v>
      </c>
      <c r="F957">
        <f>SECOND(D957)</f>
        <v>36</v>
      </c>
      <c r="G957">
        <f>ROUND(E957+F957/60,2)</f>
        <v>5.6</v>
      </c>
      <c r="H957">
        <f>60*E957+F957</f>
        <v>336</v>
      </c>
      <c r="I957" s="3">
        <f>5*(3600/H957)</f>
        <v>53.571428571428569</v>
      </c>
      <c r="J957" s="16">
        <f t="shared" si="14"/>
        <v>0</v>
      </c>
    </row>
    <row r="958" spans="1:10" x14ac:dyDescent="0.25">
      <c r="A958" s="4" t="s">
        <v>54</v>
      </c>
      <c r="B958" s="1">
        <v>0.10882</v>
      </c>
      <c r="C958" s="1">
        <v>0.104932</v>
      </c>
      <c r="D958" s="1">
        <f>IF(B958&gt;C958,B958-C958,C958-B958)</f>
        <v>3.8880000000000026E-3</v>
      </c>
      <c r="E958">
        <f>MINUTE(D958)</f>
        <v>5</v>
      </c>
      <c r="F958">
        <f>SECOND(D958)</f>
        <v>36</v>
      </c>
      <c r="G958">
        <f>ROUND(E958+F958/60,2)</f>
        <v>5.6</v>
      </c>
      <c r="H958">
        <f>60*E958+F958</f>
        <v>336</v>
      </c>
      <c r="I958" s="3">
        <f>5*(3600/H958)</f>
        <v>53.571428571428569</v>
      </c>
      <c r="J958" s="16">
        <f t="shared" si="14"/>
        <v>0</v>
      </c>
    </row>
    <row r="959" spans="1:10" x14ac:dyDescent="0.25">
      <c r="A959" s="4" t="s">
        <v>64</v>
      </c>
      <c r="B959" s="1">
        <v>0.122706</v>
      </c>
      <c r="C959" s="1">
        <v>0.118814</v>
      </c>
      <c r="D959" s="1">
        <f>IF(B959&gt;C959,B959-C959,C959-B959)</f>
        <v>3.8919999999999927E-3</v>
      </c>
      <c r="E959">
        <f>MINUTE(D959)</f>
        <v>5</v>
      </c>
      <c r="F959">
        <f>SECOND(D959)</f>
        <v>36</v>
      </c>
      <c r="G959">
        <f>ROUND(E959+F959/60,2)</f>
        <v>5.6</v>
      </c>
      <c r="H959">
        <f>60*E959+F959</f>
        <v>336</v>
      </c>
      <c r="I959" s="3">
        <f>5*(3600/H959)</f>
        <v>53.571428571428569</v>
      </c>
      <c r="J959" s="16">
        <f t="shared" si="14"/>
        <v>0</v>
      </c>
    </row>
    <row r="960" spans="1:10" x14ac:dyDescent="0.25">
      <c r="A960" s="4" t="s">
        <v>47</v>
      </c>
      <c r="B960" s="1">
        <v>0.56683799999999995</v>
      </c>
      <c r="C960" s="1">
        <v>0.56295399999999995</v>
      </c>
      <c r="D960" s="1">
        <f>IF(B960&gt;C960,B960-C960,C960-B960)</f>
        <v>3.8839999999999986E-3</v>
      </c>
      <c r="E960">
        <f>MINUTE(D960)</f>
        <v>5</v>
      </c>
      <c r="F960">
        <f>SECOND(D960)</f>
        <v>36</v>
      </c>
      <c r="G960">
        <f>ROUND(E960+F960/60,2)</f>
        <v>5.6</v>
      </c>
      <c r="H960">
        <f>60*E960+F960</f>
        <v>336</v>
      </c>
      <c r="I960" s="3">
        <f>5*(3600/H960)</f>
        <v>53.571428571428569</v>
      </c>
      <c r="J960" s="16">
        <f t="shared" si="14"/>
        <v>0</v>
      </c>
    </row>
    <row r="961" spans="1:10" x14ac:dyDescent="0.25">
      <c r="A961" s="4" t="s">
        <v>28</v>
      </c>
      <c r="B961" s="1">
        <v>0.29008400000000001</v>
      </c>
      <c r="C961" s="1">
        <v>0.29398800000000003</v>
      </c>
      <c r="D961" s="1">
        <f>IF(B961&gt;C961,B961-C961,C961-B961)</f>
        <v>3.9040000000000186E-3</v>
      </c>
      <c r="E961">
        <f>MINUTE(D961)</f>
        <v>5</v>
      </c>
      <c r="F961">
        <f>SECOND(D961)</f>
        <v>37</v>
      </c>
      <c r="G961">
        <f>ROUND(E961+F961/60,2)</f>
        <v>5.62</v>
      </c>
      <c r="H961">
        <f>60*E961+F961</f>
        <v>337</v>
      </c>
      <c r="I961" s="3">
        <f>5*(3600/H961)</f>
        <v>53.412462908011868</v>
      </c>
      <c r="J961" s="16">
        <f t="shared" si="14"/>
        <v>0</v>
      </c>
    </row>
    <row r="962" spans="1:10" x14ac:dyDescent="0.25">
      <c r="A962" s="4" t="s">
        <v>112</v>
      </c>
      <c r="B962" s="1">
        <v>0.85606400000000005</v>
      </c>
      <c r="C962" s="1">
        <v>0.85216400000000003</v>
      </c>
      <c r="D962" s="1">
        <f>IF(B962&gt;C962,B962-C962,C962-B962)</f>
        <v>3.9000000000000146E-3</v>
      </c>
      <c r="E962">
        <f>MINUTE(D962)</f>
        <v>5</v>
      </c>
      <c r="F962">
        <f>SECOND(D962)</f>
        <v>37</v>
      </c>
      <c r="G962">
        <f>ROUND(E962+F962/60,2)</f>
        <v>5.62</v>
      </c>
      <c r="H962">
        <f>60*E962+F962</f>
        <v>337</v>
      </c>
      <c r="I962" s="3">
        <f>5*(3600/H962)</f>
        <v>53.412462908011868</v>
      </c>
      <c r="J962" s="16">
        <f t="shared" si="14"/>
        <v>0</v>
      </c>
    </row>
    <row r="963" spans="1:10" x14ac:dyDescent="0.25">
      <c r="A963" s="4" t="s">
        <v>117</v>
      </c>
      <c r="B963" s="1">
        <v>0.17993500000000001</v>
      </c>
      <c r="C963" s="1">
        <v>0.17603099999999999</v>
      </c>
      <c r="D963" s="1">
        <f>IF(B963&gt;C963,B963-C963,C963-B963)</f>
        <v>3.9040000000000186E-3</v>
      </c>
      <c r="E963">
        <f>MINUTE(D963)</f>
        <v>5</v>
      </c>
      <c r="F963">
        <f>SECOND(D963)</f>
        <v>37</v>
      </c>
      <c r="G963">
        <f>ROUND(E963+F963/60,2)</f>
        <v>5.62</v>
      </c>
      <c r="H963">
        <f>60*E963+F963</f>
        <v>337</v>
      </c>
      <c r="I963" s="3">
        <f>5*(3600/H963)</f>
        <v>53.412462908011868</v>
      </c>
      <c r="J963" s="16">
        <f t="shared" ref="J963:J1001" si="15">IF(I963&gt;140,1,0)</f>
        <v>0</v>
      </c>
    </row>
    <row r="964" spans="1:10" x14ac:dyDescent="0.25">
      <c r="A964" s="4" t="s">
        <v>96</v>
      </c>
      <c r="B964" s="1">
        <v>0.69461200000000001</v>
      </c>
      <c r="C964" s="1">
        <v>0.69851200000000002</v>
      </c>
      <c r="D964" s="1">
        <f>IF(B964&gt;C964,B964-C964,C964-B964)</f>
        <v>3.9000000000000146E-3</v>
      </c>
      <c r="E964">
        <f>MINUTE(D964)</f>
        <v>5</v>
      </c>
      <c r="F964">
        <f>SECOND(D964)</f>
        <v>37</v>
      </c>
      <c r="G964">
        <f>ROUND(E964+F964/60,2)</f>
        <v>5.62</v>
      </c>
      <c r="H964">
        <f>60*E964+F964</f>
        <v>337</v>
      </c>
      <c r="I964" s="3">
        <f>5*(3600/H964)</f>
        <v>53.412462908011868</v>
      </c>
      <c r="J964" s="16">
        <f t="shared" si="15"/>
        <v>0</v>
      </c>
    </row>
    <row r="965" spans="1:10" x14ac:dyDescent="0.25">
      <c r="A965" s="4" t="s">
        <v>134</v>
      </c>
      <c r="B965" s="1">
        <v>0.16026199999999999</v>
      </c>
      <c r="C965" s="1">
        <v>0.16416600000000001</v>
      </c>
      <c r="D965" s="1">
        <f>IF(B965&gt;C965,B965-C965,C965-B965)</f>
        <v>3.9040000000000186E-3</v>
      </c>
      <c r="E965">
        <f>MINUTE(D965)</f>
        <v>5</v>
      </c>
      <c r="F965">
        <f>SECOND(D965)</f>
        <v>37</v>
      </c>
      <c r="G965">
        <f>ROUND(E965+F965/60,2)</f>
        <v>5.62</v>
      </c>
      <c r="H965">
        <f>60*E965+F965</f>
        <v>337</v>
      </c>
      <c r="I965" s="3">
        <f>5*(3600/H965)</f>
        <v>53.412462908011868</v>
      </c>
      <c r="J965" s="16">
        <f t="shared" si="15"/>
        <v>0</v>
      </c>
    </row>
    <row r="966" spans="1:10" x14ac:dyDescent="0.25">
      <c r="A966" s="4" t="s">
        <v>218</v>
      </c>
      <c r="B966" s="1">
        <v>4.9180000000000001E-2</v>
      </c>
      <c r="C966" s="1">
        <v>4.5275999999999997E-2</v>
      </c>
      <c r="D966" s="1">
        <f>IF(B966&gt;C966,B966-C966,C966-B966)</f>
        <v>3.9040000000000047E-3</v>
      </c>
      <c r="E966">
        <f>MINUTE(D966)</f>
        <v>5</v>
      </c>
      <c r="F966">
        <f>SECOND(D966)</f>
        <v>37</v>
      </c>
      <c r="G966">
        <f>ROUND(E966+F966/60,2)</f>
        <v>5.62</v>
      </c>
      <c r="H966">
        <f>60*E966+F966</f>
        <v>337</v>
      </c>
      <c r="I966" s="3">
        <f>5*(3600/H966)</f>
        <v>53.412462908011868</v>
      </c>
      <c r="J966" s="16">
        <f t="shared" si="15"/>
        <v>0</v>
      </c>
    </row>
    <row r="967" spans="1:10" x14ac:dyDescent="0.25">
      <c r="A967" s="4" t="s">
        <v>373</v>
      </c>
      <c r="B967" s="1">
        <v>0.79386299999999999</v>
      </c>
      <c r="C967" s="1">
        <v>0.797763</v>
      </c>
      <c r="D967" s="1">
        <f>IF(B967&gt;C967,B967-C967,C967-B967)</f>
        <v>3.9000000000000146E-3</v>
      </c>
      <c r="E967">
        <f>MINUTE(D967)</f>
        <v>5</v>
      </c>
      <c r="F967">
        <f>SECOND(D967)</f>
        <v>37</v>
      </c>
      <c r="G967">
        <f>ROUND(E967+F967/60,2)</f>
        <v>5.62</v>
      </c>
      <c r="H967">
        <f>60*E967+F967</f>
        <v>337</v>
      </c>
      <c r="I967" s="3">
        <f>5*(3600/H967)</f>
        <v>53.412462908011868</v>
      </c>
      <c r="J967" s="16">
        <f t="shared" si="15"/>
        <v>0</v>
      </c>
    </row>
    <row r="968" spans="1:10" x14ac:dyDescent="0.25">
      <c r="A968" s="4" t="s">
        <v>377</v>
      </c>
      <c r="B968" s="1">
        <v>0.65303999999999995</v>
      </c>
      <c r="C968" s="1">
        <v>0.64914400000000005</v>
      </c>
      <c r="D968" s="1">
        <f>IF(B968&gt;C968,B968-C968,C968-B968)</f>
        <v>3.8959999999998995E-3</v>
      </c>
      <c r="E968">
        <f>MINUTE(D968)</f>
        <v>5</v>
      </c>
      <c r="F968">
        <f>SECOND(D968)</f>
        <v>37</v>
      </c>
      <c r="G968">
        <f>ROUND(E968+F968/60,2)</f>
        <v>5.62</v>
      </c>
      <c r="H968">
        <f>60*E968+F968</f>
        <v>337</v>
      </c>
      <c r="I968" s="3">
        <f>5*(3600/H968)</f>
        <v>53.412462908011868</v>
      </c>
      <c r="J968" s="16">
        <f t="shared" si="15"/>
        <v>0</v>
      </c>
    </row>
    <row r="969" spans="1:10" x14ac:dyDescent="0.25">
      <c r="A969" s="4" t="s">
        <v>41</v>
      </c>
      <c r="B969" s="1">
        <v>0.54968600000000001</v>
      </c>
      <c r="C969" s="1">
        <v>0.55359800000000003</v>
      </c>
      <c r="D969" s="1">
        <f>IF(B969&gt;C969,B969-C969,C969-B969)</f>
        <v>3.9120000000000266E-3</v>
      </c>
      <c r="E969">
        <f>MINUTE(D969)</f>
        <v>5</v>
      </c>
      <c r="F969">
        <f>SECOND(D969)</f>
        <v>38</v>
      </c>
      <c r="G969">
        <f>ROUND(E969+F969/60,2)</f>
        <v>5.63</v>
      </c>
      <c r="H969">
        <f>60*E969+F969</f>
        <v>338</v>
      </c>
      <c r="I969" s="3">
        <f>5*(3600/H969)</f>
        <v>53.254437869822482</v>
      </c>
      <c r="J969" s="16">
        <f t="shared" si="15"/>
        <v>0</v>
      </c>
    </row>
    <row r="970" spans="1:10" x14ac:dyDescent="0.25">
      <c r="A970" s="4" t="s">
        <v>50</v>
      </c>
      <c r="B970" s="1">
        <v>0.46306999999999998</v>
      </c>
      <c r="C970" s="1">
        <v>0.466978</v>
      </c>
      <c r="D970" s="1">
        <f>IF(B970&gt;C970,B970-C970,C970-B970)</f>
        <v>3.9080000000000226E-3</v>
      </c>
      <c r="E970">
        <f>MINUTE(D970)</f>
        <v>5</v>
      </c>
      <c r="F970">
        <f>SECOND(D970)</f>
        <v>38</v>
      </c>
      <c r="G970">
        <f>ROUND(E970+F970/60,2)</f>
        <v>5.63</v>
      </c>
      <c r="H970">
        <f>60*E970+F970</f>
        <v>338</v>
      </c>
      <c r="I970" s="3">
        <f>5*(3600/H970)</f>
        <v>53.254437869822482</v>
      </c>
      <c r="J970" s="16">
        <f t="shared" si="15"/>
        <v>0</v>
      </c>
    </row>
    <row r="971" spans="1:10" x14ac:dyDescent="0.25">
      <c r="A971" s="4" t="s">
        <v>5</v>
      </c>
      <c r="B971" s="1">
        <v>0.12634100000000001</v>
      </c>
      <c r="C971" s="1">
        <v>0.122433</v>
      </c>
      <c r="D971" s="1">
        <f>IF(B971&gt;C971,B971-C971,C971-B971)</f>
        <v>3.9080000000000087E-3</v>
      </c>
      <c r="E971">
        <f>MINUTE(D971)</f>
        <v>5</v>
      </c>
      <c r="F971">
        <f>SECOND(D971)</f>
        <v>38</v>
      </c>
      <c r="G971">
        <f>ROUND(E971+F971/60,2)</f>
        <v>5.63</v>
      </c>
      <c r="H971">
        <f>60*E971+F971</f>
        <v>338</v>
      </c>
      <c r="I971" s="3">
        <f>5*(3600/H971)</f>
        <v>53.254437869822482</v>
      </c>
      <c r="J971" s="16">
        <f t="shared" si="15"/>
        <v>0</v>
      </c>
    </row>
    <row r="972" spans="1:10" x14ac:dyDescent="0.25">
      <c r="A972" s="4" t="s">
        <v>311</v>
      </c>
      <c r="B972" s="1">
        <v>0.959534</v>
      </c>
      <c r="C972" s="1">
        <v>0.96345000000000003</v>
      </c>
      <c r="D972" s="1">
        <f>IF(B972&gt;C972,B972-C972,C972-B972)</f>
        <v>3.9160000000000306E-3</v>
      </c>
      <c r="E972">
        <f>MINUTE(D972)</f>
        <v>5</v>
      </c>
      <c r="F972">
        <f>SECOND(D972)</f>
        <v>38</v>
      </c>
      <c r="G972">
        <f>ROUND(E972+F972/60,2)</f>
        <v>5.63</v>
      </c>
      <c r="H972">
        <f>60*E972+F972</f>
        <v>338</v>
      </c>
      <c r="I972" s="3">
        <f>5*(3600/H972)</f>
        <v>53.254437869822482</v>
      </c>
      <c r="J972" s="16">
        <f t="shared" si="15"/>
        <v>0</v>
      </c>
    </row>
    <row r="973" spans="1:10" x14ac:dyDescent="0.25">
      <c r="A973" s="4" t="s">
        <v>65</v>
      </c>
      <c r="B973" s="1">
        <v>0.55854400000000004</v>
      </c>
      <c r="C973" s="1">
        <v>0.55462400000000001</v>
      </c>
      <c r="D973" s="1">
        <f>IF(B973&gt;C973,B973-C973,C973-B973)</f>
        <v>3.9200000000000346E-3</v>
      </c>
      <c r="E973">
        <f>MINUTE(D973)</f>
        <v>5</v>
      </c>
      <c r="F973">
        <f>SECOND(D973)</f>
        <v>39</v>
      </c>
      <c r="G973">
        <f>ROUND(E973+F973/60,2)</f>
        <v>5.65</v>
      </c>
      <c r="H973">
        <f>60*E973+F973</f>
        <v>339</v>
      </c>
      <c r="I973" s="3">
        <f>5*(3600/H973)</f>
        <v>53.097345132743364</v>
      </c>
      <c r="J973" s="16">
        <f t="shared" si="15"/>
        <v>0</v>
      </c>
    </row>
    <row r="974" spans="1:10" x14ac:dyDescent="0.25">
      <c r="A974" s="4" t="s">
        <v>212</v>
      </c>
      <c r="B974" s="1">
        <v>0.15565499999999999</v>
      </c>
      <c r="C974" s="1">
        <v>0.151727</v>
      </c>
      <c r="D974" s="1">
        <f>IF(B974&gt;C974,B974-C974,C974-B974)</f>
        <v>3.9279999999999871E-3</v>
      </c>
      <c r="E974">
        <f>MINUTE(D974)</f>
        <v>5</v>
      </c>
      <c r="F974">
        <f>SECOND(D974)</f>
        <v>39</v>
      </c>
      <c r="G974">
        <f>ROUND(E974+F974/60,2)</f>
        <v>5.65</v>
      </c>
      <c r="H974">
        <f>60*E974+F974</f>
        <v>339</v>
      </c>
      <c r="I974" s="3">
        <f>5*(3600/H974)</f>
        <v>53.097345132743364</v>
      </c>
      <c r="J974" s="16">
        <f t="shared" si="15"/>
        <v>0</v>
      </c>
    </row>
    <row r="975" spans="1:10" x14ac:dyDescent="0.25">
      <c r="A975" s="4" t="s">
        <v>353</v>
      </c>
      <c r="B975" s="1">
        <v>0.74910699999999997</v>
      </c>
      <c r="C975" s="1">
        <v>0.753027</v>
      </c>
      <c r="D975" s="1">
        <f>IF(B975&gt;C975,B975-C975,C975-B975)</f>
        <v>3.9200000000000346E-3</v>
      </c>
      <c r="E975">
        <f>MINUTE(D975)</f>
        <v>5</v>
      </c>
      <c r="F975">
        <f>SECOND(D975)</f>
        <v>39</v>
      </c>
      <c r="G975">
        <f>ROUND(E975+F975/60,2)</f>
        <v>5.65</v>
      </c>
      <c r="H975">
        <f>60*E975+F975</f>
        <v>339</v>
      </c>
      <c r="I975" s="3">
        <f>5*(3600/H975)</f>
        <v>53.097345132743364</v>
      </c>
      <c r="J975" s="16">
        <f t="shared" si="15"/>
        <v>0</v>
      </c>
    </row>
    <row r="976" spans="1:10" x14ac:dyDescent="0.25">
      <c r="A976" s="4" t="s">
        <v>207</v>
      </c>
      <c r="B976" s="1">
        <v>0.68479000000000001</v>
      </c>
      <c r="C976" s="1">
        <v>0.68872999999999995</v>
      </c>
      <c r="D976" s="1">
        <f>IF(B976&gt;C976,B976-C976,C976-B976)</f>
        <v>3.9399999999999435E-3</v>
      </c>
      <c r="E976">
        <f>MINUTE(D976)</f>
        <v>5</v>
      </c>
      <c r="F976">
        <f>SECOND(D976)</f>
        <v>40</v>
      </c>
      <c r="G976">
        <f>ROUND(E976+F976/60,2)</f>
        <v>5.67</v>
      </c>
      <c r="H976">
        <f>60*E976+F976</f>
        <v>340</v>
      </c>
      <c r="I976" s="3">
        <f>5*(3600/H976)</f>
        <v>52.941176470588232</v>
      </c>
      <c r="J976" s="16">
        <f t="shared" si="15"/>
        <v>0</v>
      </c>
    </row>
    <row r="977" spans="1:10" x14ac:dyDescent="0.25">
      <c r="A977" s="4" t="s">
        <v>233</v>
      </c>
      <c r="B977" s="1">
        <v>0.423147</v>
      </c>
      <c r="C977" s="1">
        <v>0.419211</v>
      </c>
      <c r="D977" s="1">
        <f>IF(B977&gt;C977,B977-C977,C977-B977)</f>
        <v>3.9359999999999951E-3</v>
      </c>
      <c r="E977">
        <f>MINUTE(D977)</f>
        <v>5</v>
      </c>
      <c r="F977">
        <f>SECOND(D977)</f>
        <v>40</v>
      </c>
      <c r="G977">
        <f>ROUND(E977+F977/60,2)</f>
        <v>5.67</v>
      </c>
      <c r="H977">
        <f>60*E977+F977</f>
        <v>340</v>
      </c>
      <c r="I977" s="3">
        <f>5*(3600/H977)</f>
        <v>52.941176470588232</v>
      </c>
      <c r="J977" s="16">
        <f t="shared" si="15"/>
        <v>0</v>
      </c>
    </row>
    <row r="978" spans="1:10" x14ac:dyDescent="0.25">
      <c r="A978" s="4" t="s">
        <v>307</v>
      </c>
      <c r="B978" s="1">
        <v>0.67436099999999999</v>
      </c>
      <c r="C978" s="1">
        <v>0.67042500000000005</v>
      </c>
      <c r="D978" s="1">
        <f>IF(B978&gt;C978,B978-C978,C978-B978)</f>
        <v>3.9359999999999395E-3</v>
      </c>
      <c r="E978">
        <f>MINUTE(D978)</f>
        <v>5</v>
      </c>
      <c r="F978">
        <f>SECOND(D978)</f>
        <v>40</v>
      </c>
      <c r="G978">
        <f>ROUND(E978+F978/60,2)</f>
        <v>5.67</v>
      </c>
      <c r="H978">
        <f>60*E978+F978</f>
        <v>340</v>
      </c>
      <c r="I978" s="3">
        <f>5*(3600/H978)</f>
        <v>52.941176470588232</v>
      </c>
      <c r="J978" s="16">
        <f t="shared" si="15"/>
        <v>0</v>
      </c>
    </row>
    <row r="979" spans="1:10" x14ac:dyDescent="0.25">
      <c r="A979" s="4" t="s">
        <v>380</v>
      </c>
      <c r="B979" s="1">
        <v>0.64335699999999996</v>
      </c>
      <c r="C979" s="1">
        <v>0.63941700000000001</v>
      </c>
      <c r="D979" s="1">
        <f>IF(B979&gt;C979,B979-C979,C979-B979)</f>
        <v>3.9399999999999435E-3</v>
      </c>
      <c r="E979">
        <f>MINUTE(D979)</f>
        <v>5</v>
      </c>
      <c r="F979">
        <f>SECOND(D979)</f>
        <v>40</v>
      </c>
      <c r="G979">
        <f>ROUND(E979+F979/60,2)</f>
        <v>5.67</v>
      </c>
      <c r="H979">
        <f>60*E979+F979</f>
        <v>340</v>
      </c>
      <c r="I979" s="3">
        <f>5*(3600/H979)</f>
        <v>52.941176470588232</v>
      </c>
      <c r="J979" s="16">
        <f t="shared" si="15"/>
        <v>0</v>
      </c>
    </row>
    <row r="980" spans="1:10" x14ac:dyDescent="0.25">
      <c r="A980" s="4" t="s">
        <v>152</v>
      </c>
      <c r="B980" s="1">
        <v>0.86309499999999995</v>
      </c>
      <c r="C980" s="1">
        <v>0.85914699999999999</v>
      </c>
      <c r="D980" s="1">
        <f>IF(B980&gt;C980,B980-C980,C980-B980)</f>
        <v>3.9479999999999515E-3</v>
      </c>
      <c r="E980">
        <f>MINUTE(D980)</f>
        <v>5</v>
      </c>
      <c r="F980">
        <f>SECOND(D980)</f>
        <v>41</v>
      </c>
      <c r="G980">
        <f>ROUND(E980+F980/60,2)</f>
        <v>5.68</v>
      </c>
      <c r="H980">
        <f>60*E980+F980</f>
        <v>341</v>
      </c>
      <c r="I980" s="3">
        <f>5*(3600/H980)</f>
        <v>52.785923753665685</v>
      </c>
      <c r="J980" s="16">
        <f t="shared" si="15"/>
        <v>0</v>
      </c>
    </row>
    <row r="981" spans="1:10" x14ac:dyDescent="0.25">
      <c r="A981" s="4" t="s">
        <v>428</v>
      </c>
      <c r="B981" s="1">
        <v>0.93484299999999998</v>
      </c>
      <c r="C981" s="1">
        <v>0.93879100000000004</v>
      </c>
      <c r="D981" s="1">
        <f>IF(B981&gt;C981,B981-C981,C981-B981)</f>
        <v>3.9480000000000626E-3</v>
      </c>
      <c r="E981">
        <f>MINUTE(D981)</f>
        <v>5</v>
      </c>
      <c r="F981">
        <f>SECOND(D981)</f>
        <v>41</v>
      </c>
      <c r="G981">
        <f>ROUND(E981+F981/60,2)</f>
        <v>5.68</v>
      </c>
      <c r="H981">
        <f>60*E981+F981</f>
        <v>341</v>
      </c>
      <c r="I981" s="3">
        <f>5*(3600/H981)</f>
        <v>52.785923753665685</v>
      </c>
      <c r="J981" s="16">
        <f t="shared" si="15"/>
        <v>0</v>
      </c>
    </row>
    <row r="982" spans="1:10" x14ac:dyDescent="0.25">
      <c r="A982" s="4" t="s">
        <v>106</v>
      </c>
      <c r="B982" s="1">
        <v>0.97974099999999997</v>
      </c>
      <c r="C982" s="1">
        <v>0.98368500000000003</v>
      </c>
      <c r="D982" s="1">
        <f>IF(B982&gt;C982,B982-C982,C982-B982)</f>
        <v>3.9440000000000586E-3</v>
      </c>
      <c r="E982">
        <f>MINUTE(D982)</f>
        <v>5</v>
      </c>
      <c r="F982">
        <f>SECOND(D982)</f>
        <v>41</v>
      </c>
      <c r="G982">
        <f>ROUND(E982+F982/60,2)</f>
        <v>5.68</v>
      </c>
      <c r="H982">
        <f>60*E982+F982</f>
        <v>341</v>
      </c>
      <c r="I982" s="3">
        <f>5*(3600/H982)</f>
        <v>52.785923753665685</v>
      </c>
      <c r="J982" s="16">
        <f t="shared" si="15"/>
        <v>0</v>
      </c>
    </row>
    <row r="983" spans="1:10" x14ac:dyDescent="0.25">
      <c r="A983" s="4" t="s">
        <v>109</v>
      </c>
      <c r="B983" s="1">
        <v>0.61124299999999998</v>
      </c>
      <c r="C983" s="1">
        <v>0.61519100000000004</v>
      </c>
      <c r="D983" s="1">
        <f>IF(B983&gt;C983,B983-C983,C983-B983)</f>
        <v>3.9480000000000626E-3</v>
      </c>
      <c r="E983">
        <f>MINUTE(D983)</f>
        <v>5</v>
      </c>
      <c r="F983">
        <f>SECOND(D983)</f>
        <v>41</v>
      </c>
      <c r="G983">
        <f>ROUND(E983+F983/60,2)</f>
        <v>5.68</v>
      </c>
      <c r="H983">
        <f>60*E983+F983</f>
        <v>341</v>
      </c>
      <c r="I983" s="3">
        <f>5*(3600/H983)</f>
        <v>52.785923753665685</v>
      </c>
      <c r="J983" s="16">
        <f t="shared" si="15"/>
        <v>0</v>
      </c>
    </row>
    <row r="984" spans="1:10" x14ac:dyDescent="0.25">
      <c r="A984" s="4" t="s">
        <v>109</v>
      </c>
      <c r="B984" s="1">
        <v>0.67701</v>
      </c>
      <c r="C984" s="1">
        <v>0.67305400000000004</v>
      </c>
      <c r="D984" s="1">
        <f>IF(B984&gt;C984,B984-C984,C984-B984)</f>
        <v>3.9559999999999595E-3</v>
      </c>
      <c r="E984">
        <f>MINUTE(D984)</f>
        <v>5</v>
      </c>
      <c r="F984">
        <f>SECOND(D984)</f>
        <v>42</v>
      </c>
      <c r="G984">
        <f>ROUND(E984+F984/60,2)</f>
        <v>5.7</v>
      </c>
      <c r="H984">
        <f>60*E984+F984</f>
        <v>342</v>
      </c>
      <c r="I984" s="3">
        <f>5*(3600/H984)</f>
        <v>52.631578947368425</v>
      </c>
      <c r="J984" s="16">
        <f t="shared" si="15"/>
        <v>0</v>
      </c>
    </row>
    <row r="985" spans="1:10" x14ac:dyDescent="0.25">
      <c r="A985" s="4" t="s">
        <v>55</v>
      </c>
      <c r="B985" s="1">
        <v>0.62152399999999997</v>
      </c>
      <c r="C985" s="1">
        <v>0.61756</v>
      </c>
      <c r="D985" s="1">
        <f>IF(B985&gt;C985,B985-C985,C985-B985)</f>
        <v>3.9639999999999675E-3</v>
      </c>
      <c r="E985">
        <f>MINUTE(D985)</f>
        <v>5</v>
      </c>
      <c r="F985">
        <f>SECOND(D985)</f>
        <v>42</v>
      </c>
      <c r="G985">
        <f>ROUND(E985+F985/60,2)</f>
        <v>5.7</v>
      </c>
      <c r="H985">
        <f>60*E985+F985</f>
        <v>342</v>
      </c>
      <c r="I985" s="3">
        <f>5*(3600/H985)</f>
        <v>52.631578947368425</v>
      </c>
      <c r="J985" s="16">
        <f t="shared" si="15"/>
        <v>0</v>
      </c>
    </row>
    <row r="986" spans="1:10" x14ac:dyDescent="0.25">
      <c r="A986" s="4" t="s">
        <v>108</v>
      </c>
      <c r="B986" s="1">
        <v>0.39525900000000003</v>
      </c>
      <c r="C986" s="1">
        <v>0.39127499999999998</v>
      </c>
      <c r="D986" s="1">
        <f>IF(B986&gt;C986,B986-C986,C986-B986)</f>
        <v>3.9840000000000431E-3</v>
      </c>
      <c r="E986">
        <f>MINUTE(D986)</f>
        <v>5</v>
      </c>
      <c r="F986">
        <f>SECOND(D986)</f>
        <v>44</v>
      </c>
      <c r="G986">
        <f>ROUND(E986+F986/60,2)</f>
        <v>5.73</v>
      </c>
      <c r="H986">
        <f>60*E986+F986</f>
        <v>344</v>
      </c>
      <c r="I986" s="3">
        <f>5*(3600/H986)</f>
        <v>52.325581395348841</v>
      </c>
      <c r="J986" s="16">
        <f t="shared" si="15"/>
        <v>0</v>
      </c>
    </row>
    <row r="987" spans="1:10" x14ac:dyDescent="0.25">
      <c r="A987" s="4" t="s">
        <v>126</v>
      </c>
      <c r="B987" s="1">
        <v>0.63802199999999998</v>
      </c>
      <c r="C987" s="1">
        <v>0.64200199999999996</v>
      </c>
      <c r="D987" s="1">
        <f>IF(B987&gt;C987,B987-C987,C987-B987)</f>
        <v>3.9799999999999836E-3</v>
      </c>
      <c r="E987">
        <f>MINUTE(D987)</f>
        <v>5</v>
      </c>
      <c r="F987">
        <f>SECOND(D987)</f>
        <v>44</v>
      </c>
      <c r="G987">
        <f>ROUND(E987+F987/60,2)</f>
        <v>5.73</v>
      </c>
      <c r="H987">
        <f>60*E987+F987</f>
        <v>344</v>
      </c>
      <c r="I987" s="3">
        <f>5*(3600/H987)</f>
        <v>52.325581395348841</v>
      </c>
      <c r="J987" s="16">
        <f t="shared" si="15"/>
        <v>0</v>
      </c>
    </row>
    <row r="988" spans="1:10" x14ac:dyDescent="0.25">
      <c r="A988" s="4" t="s">
        <v>152</v>
      </c>
      <c r="B988" s="1">
        <v>1.2241E-2</v>
      </c>
      <c r="C988" s="1">
        <v>1.6216999999999999E-2</v>
      </c>
      <c r="D988" s="1">
        <f>IF(B988&gt;C988,B988-C988,C988-B988)</f>
        <v>3.9759999999999986E-3</v>
      </c>
      <c r="E988">
        <f>MINUTE(D988)</f>
        <v>5</v>
      </c>
      <c r="F988">
        <f>SECOND(D988)</f>
        <v>44</v>
      </c>
      <c r="G988">
        <f>ROUND(E988+F988/60,2)</f>
        <v>5.73</v>
      </c>
      <c r="H988">
        <f>60*E988+F988</f>
        <v>344</v>
      </c>
      <c r="I988" s="3">
        <f>5*(3600/H988)</f>
        <v>52.325581395348841</v>
      </c>
      <c r="J988" s="16">
        <f t="shared" si="15"/>
        <v>0</v>
      </c>
    </row>
    <row r="989" spans="1:10" x14ac:dyDescent="0.25">
      <c r="A989" s="4" t="s">
        <v>75</v>
      </c>
      <c r="B989" s="1">
        <v>0.33326600000000001</v>
      </c>
      <c r="C989" s="1">
        <v>0.32928600000000002</v>
      </c>
      <c r="D989" s="1">
        <f>IF(B989&gt;C989,B989-C989,C989-B989)</f>
        <v>3.9799999999999836E-3</v>
      </c>
      <c r="E989">
        <f>MINUTE(D989)</f>
        <v>5</v>
      </c>
      <c r="F989">
        <f>SECOND(D989)</f>
        <v>44</v>
      </c>
      <c r="G989">
        <f>ROUND(E989+F989/60,2)</f>
        <v>5.73</v>
      </c>
      <c r="H989">
        <f>60*E989+F989</f>
        <v>344</v>
      </c>
      <c r="I989" s="3">
        <f>5*(3600/H989)</f>
        <v>52.325581395348841</v>
      </c>
      <c r="J989" s="16">
        <f t="shared" si="15"/>
        <v>0</v>
      </c>
    </row>
    <row r="990" spans="1:10" x14ac:dyDescent="0.25">
      <c r="A990" s="4" t="s">
        <v>5</v>
      </c>
      <c r="B990" s="1">
        <v>0.33269399999999999</v>
      </c>
      <c r="C990" s="1">
        <v>0.33667799999999998</v>
      </c>
      <c r="D990" s="1">
        <f>IF(B990&gt;C990,B990-C990,C990-B990)</f>
        <v>3.9839999999999876E-3</v>
      </c>
      <c r="E990">
        <f>MINUTE(D990)</f>
        <v>5</v>
      </c>
      <c r="F990">
        <f>SECOND(D990)</f>
        <v>44</v>
      </c>
      <c r="G990">
        <f>ROUND(E990+F990/60,2)</f>
        <v>5.73</v>
      </c>
      <c r="H990">
        <f>60*E990+F990</f>
        <v>344</v>
      </c>
      <c r="I990" s="3">
        <f>5*(3600/H990)</f>
        <v>52.325581395348841</v>
      </c>
      <c r="J990" s="16">
        <f t="shared" si="15"/>
        <v>0</v>
      </c>
    </row>
    <row r="991" spans="1:10" x14ac:dyDescent="0.25">
      <c r="A991" s="4" t="s">
        <v>102</v>
      </c>
      <c r="B991" s="1">
        <v>0.31938899999999998</v>
      </c>
      <c r="C991" s="1">
        <v>0.31539299999999998</v>
      </c>
      <c r="D991" s="1">
        <f>IF(B991&gt;C991,B991-C991,C991-B991)</f>
        <v>3.9959999999999996E-3</v>
      </c>
      <c r="E991">
        <f>MINUTE(D991)</f>
        <v>5</v>
      </c>
      <c r="F991">
        <f>SECOND(D991)</f>
        <v>45</v>
      </c>
      <c r="G991">
        <f>ROUND(E991+F991/60,2)</f>
        <v>5.75</v>
      </c>
      <c r="H991">
        <f>60*E991+F991</f>
        <v>345</v>
      </c>
      <c r="I991" s="3">
        <f>5*(3600/H991)</f>
        <v>52.173913043478265</v>
      </c>
      <c r="J991" s="16">
        <f t="shared" si="15"/>
        <v>0</v>
      </c>
    </row>
    <row r="992" spans="1:10" x14ac:dyDescent="0.25">
      <c r="A992" s="4" t="s">
        <v>56</v>
      </c>
      <c r="B992" s="1">
        <v>5.7780000000000001E-3</v>
      </c>
      <c r="C992" s="1">
        <v>1.7899999999999999E-3</v>
      </c>
      <c r="D992" s="1">
        <f>IF(B992&gt;C992,B992-C992,C992-B992)</f>
        <v>3.9880000000000002E-3</v>
      </c>
      <c r="E992">
        <f>MINUTE(D992)</f>
        <v>5</v>
      </c>
      <c r="F992">
        <f>SECOND(D992)</f>
        <v>45</v>
      </c>
      <c r="G992">
        <f>ROUND(E992+F992/60,2)</f>
        <v>5.75</v>
      </c>
      <c r="H992">
        <f>60*E992+F992</f>
        <v>345</v>
      </c>
      <c r="I992" s="3">
        <f>5*(3600/H992)</f>
        <v>52.173913043478265</v>
      </c>
      <c r="J992" s="16">
        <f t="shared" si="15"/>
        <v>0</v>
      </c>
    </row>
    <row r="993" spans="1:10" x14ac:dyDescent="0.25">
      <c r="A993" s="4" t="s">
        <v>117</v>
      </c>
      <c r="B993" s="1">
        <v>0.67266300000000001</v>
      </c>
      <c r="C993" s="1">
        <v>0.676651</v>
      </c>
      <c r="D993" s="1">
        <f>IF(B993&gt;C993,B993-C993,C993-B993)</f>
        <v>3.9879999999999916E-3</v>
      </c>
      <c r="E993">
        <f>MINUTE(D993)</f>
        <v>5</v>
      </c>
      <c r="F993">
        <f>SECOND(D993)</f>
        <v>45</v>
      </c>
      <c r="G993">
        <f>ROUND(E993+F993/60,2)</f>
        <v>5.75</v>
      </c>
      <c r="H993">
        <f>60*E993+F993</f>
        <v>345</v>
      </c>
      <c r="I993" s="3">
        <f>5*(3600/H993)</f>
        <v>52.173913043478265</v>
      </c>
      <c r="J993" s="16">
        <f t="shared" si="15"/>
        <v>0</v>
      </c>
    </row>
    <row r="994" spans="1:10" x14ac:dyDescent="0.25">
      <c r="A994" s="4" t="s">
        <v>47</v>
      </c>
      <c r="B994" s="1">
        <v>0.30973099999999998</v>
      </c>
      <c r="C994" s="1">
        <v>0.31371900000000003</v>
      </c>
      <c r="D994" s="1">
        <f>IF(B994&gt;C994,B994-C994,C994-B994)</f>
        <v>3.9880000000000471E-3</v>
      </c>
      <c r="E994">
        <f>MINUTE(D994)</f>
        <v>5</v>
      </c>
      <c r="F994">
        <f>SECOND(D994)</f>
        <v>45</v>
      </c>
      <c r="G994">
        <f>ROUND(E994+F994/60,2)</f>
        <v>5.75</v>
      </c>
      <c r="H994">
        <f>60*E994+F994</f>
        <v>345</v>
      </c>
      <c r="I994" s="3">
        <f>5*(3600/H994)</f>
        <v>52.173913043478265</v>
      </c>
      <c r="J994" s="16">
        <f t="shared" si="15"/>
        <v>0</v>
      </c>
    </row>
    <row r="995" spans="1:10" x14ac:dyDescent="0.25">
      <c r="A995" s="4" t="s">
        <v>30</v>
      </c>
      <c r="B995" s="1">
        <v>0.13069600000000001</v>
      </c>
      <c r="C995" s="1">
        <v>0.134684</v>
      </c>
      <c r="D995" s="1">
        <f>IF(B995&gt;C995,B995-C995,C995-B995)</f>
        <v>3.9879999999999916E-3</v>
      </c>
      <c r="E995">
        <f>MINUTE(D995)</f>
        <v>5</v>
      </c>
      <c r="F995">
        <f>SECOND(D995)</f>
        <v>45</v>
      </c>
      <c r="G995">
        <f>ROUND(E995+F995/60,2)</f>
        <v>5.75</v>
      </c>
      <c r="H995">
        <f>60*E995+F995</f>
        <v>345</v>
      </c>
      <c r="I995" s="3">
        <f>5*(3600/H995)</f>
        <v>52.173913043478265</v>
      </c>
      <c r="J995" s="16">
        <f t="shared" si="15"/>
        <v>0</v>
      </c>
    </row>
    <row r="996" spans="1:10" x14ac:dyDescent="0.25">
      <c r="A996" s="4" t="s">
        <v>85</v>
      </c>
      <c r="B996" s="1">
        <v>0.88788900000000004</v>
      </c>
      <c r="C996" s="1">
        <v>0.88389300000000004</v>
      </c>
      <c r="D996" s="1">
        <f>IF(B996&gt;C996,B996-C996,C996-B996)</f>
        <v>3.9959999999999996E-3</v>
      </c>
      <c r="E996">
        <f>MINUTE(D996)</f>
        <v>5</v>
      </c>
      <c r="F996">
        <f>SECOND(D996)</f>
        <v>45</v>
      </c>
      <c r="G996">
        <f>ROUND(E996+F996/60,2)</f>
        <v>5.75</v>
      </c>
      <c r="H996">
        <f>60*E996+F996</f>
        <v>345</v>
      </c>
      <c r="I996" s="3">
        <f>5*(3600/H996)</f>
        <v>52.173913043478265</v>
      </c>
      <c r="J996" s="16">
        <f t="shared" si="15"/>
        <v>0</v>
      </c>
    </row>
    <row r="997" spans="1:10" x14ac:dyDescent="0.25">
      <c r="A997" s="4" t="s">
        <v>130</v>
      </c>
      <c r="B997" s="1">
        <v>0.54161700000000002</v>
      </c>
      <c r="C997" s="1">
        <v>0.53762900000000002</v>
      </c>
      <c r="D997" s="1">
        <f>IF(B997&gt;C997,B997-C997,C997-B997)</f>
        <v>3.9879999999999916E-3</v>
      </c>
      <c r="E997">
        <f>MINUTE(D997)</f>
        <v>5</v>
      </c>
      <c r="F997">
        <f>SECOND(D997)</f>
        <v>45</v>
      </c>
      <c r="G997">
        <f>ROUND(E997+F997/60,2)</f>
        <v>5.75</v>
      </c>
      <c r="H997">
        <f>60*E997+F997</f>
        <v>345</v>
      </c>
      <c r="I997" s="3">
        <f>5*(3600/H997)</f>
        <v>52.173913043478265</v>
      </c>
      <c r="J997" s="16">
        <f t="shared" si="15"/>
        <v>0</v>
      </c>
    </row>
    <row r="998" spans="1:10" x14ac:dyDescent="0.25">
      <c r="A998" s="4" t="s">
        <v>152</v>
      </c>
      <c r="B998" s="1">
        <v>0.76902999999999999</v>
      </c>
      <c r="C998" s="1">
        <v>0.76503399999999999</v>
      </c>
      <c r="D998" s="1">
        <f>IF(B998&gt;C998,B998-C998,C998-B998)</f>
        <v>3.9959999999999996E-3</v>
      </c>
      <c r="E998">
        <f>MINUTE(D998)</f>
        <v>5</v>
      </c>
      <c r="F998">
        <f>SECOND(D998)</f>
        <v>45</v>
      </c>
      <c r="G998">
        <f>ROUND(E998+F998/60,2)</f>
        <v>5.75</v>
      </c>
      <c r="H998">
        <f>60*E998+F998</f>
        <v>345</v>
      </c>
      <c r="I998" s="3">
        <f>5*(3600/H998)</f>
        <v>52.173913043478265</v>
      </c>
      <c r="J998" s="16">
        <f t="shared" si="15"/>
        <v>0</v>
      </c>
    </row>
    <row r="999" spans="1:10" x14ac:dyDescent="0.25">
      <c r="A999" s="4" t="s">
        <v>156</v>
      </c>
      <c r="B999" s="1">
        <v>0.47500999999999999</v>
      </c>
      <c r="C999" s="1">
        <v>0.47900199999999998</v>
      </c>
      <c r="D999" s="1">
        <f>IF(B999&gt;C999,B999-C999,C999-B999)</f>
        <v>3.9919999999999956E-3</v>
      </c>
      <c r="E999">
        <f>MINUTE(D999)</f>
        <v>5</v>
      </c>
      <c r="F999">
        <f>SECOND(D999)</f>
        <v>45</v>
      </c>
      <c r="G999">
        <f>ROUND(E999+F999/60,2)</f>
        <v>5.75</v>
      </c>
      <c r="H999">
        <f>60*E999+F999</f>
        <v>345</v>
      </c>
      <c r="I999" s="3">
        <f>5*(3600/H999)</f>
        <v>52.173913043478265</v>
      </c>
      <c r="J999" s="16">
        <f t="shared" si="15"/>
        <v>0</v>
      </c>
    </row>
    <row r="1000" spans="1:10" x14ac:dyDescent="0.25">
      <c r="A1000" s="4" t="s">
        <v>319</v>
      </c>
      <c r="B1000" s="1">
        <v>0.126361</v>
      </c>
      <c r="C1000" s="1">
        <v>0.130357</v>
      </c>
      <c r="D1000" s="1">
        <f>IF(B1000&gt;C1000,B1000-C1000,C1000-B1000)</f>
        <v>3.9959999999999996E-3</v>
      </c>
      <c r="E1000">
        <f>MINUTE(D1000)</f>
        <v>5</v>
      </c>
      <c r="F1000">
        <f>SECOND(D1000)</f>
        <v>45</v>
      </c>
      <c r="G1000">
        <f>ROUND(E1000+F1000/60,2)</f>
        <v>5.75</v>
      </c>
      <c r="H1000">
        <f>60*E1000+F1000</f>
        <v>345</v>
      </c>
      <c r="I1000" s="3">
        <f>5*(3600/H1000)</f>
        <v>52.173913043478265</v>
      </c>
      <c r="J1000" s="16">
        <f t="shared" si="15"/>
        <v>0</v>
      </c>
    </row>
    <row r="1001" spans="1:10" x14ac:dyDescent="0.25">
      <c r="A1001" s="4" t="s">
        <v>132</v>
      </c>
      <c r="B1001" s="1">
        <v>2.7099000000000002E-2</v>
      </c>
      <c r="C1001" s="1">
        <v>2.2926999999999999E-2</v>
      </c>
      <c r="D1001" s="1">
        <f>IF(B1001&gt;C1001,B1001-C1001,C1001-B1001)</f>
        <v>4.1720000000000021E-3</v>
      </c>
      <c r="E1001">
        <f>MINUTE(D1001)</f>
        <v>6</v>
      </c>
      <c r="F1001">
        <f>SECOND(D1001)</f>
        <v>0</v>
      </c>
      <c r="G1001">
        <f>ROUND(E1001+F1001/60,2)</f>
        <v>6</v>
      </c>
      <c r="H1001">
        <f>60*E1001+F1001</f>
        <v>360</v>
      </c>
      <c r="I1001" s="3">
        <f>5*(3600/H1001)</f>
        <v>50</v>
      </c>
      <c r="J1001" s="16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I1048576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6.5703125" bestFit="1" customWidth="1"/>
    <col min="9" max="9" width="11.5703125" bestFit="1" customWidth="1"/>
    <col min="10" max="10" width="19.28515625" bestFit="1" customWidth="1"/>
    <col min="11" max="11" width="13.140625" bestFit="1" customWidth="1"/>
  </cols>
  <sheetData>
    <row r="1" spans="1:11" x14ac:dyDescent="0.25">
      <c r="A1" s="8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1" t="s">
        <v>423</v>
      </c>
      <c r="H1" s="1" t="s">
        <v>424</v>
      </c>
      <c r="I1" s="9" t="s">
        <v>425</v>
      </c>
      <c r="J1" s="5" t="s">
        <v>438</v>
      </c>
      <c r="K1" s="1"/>
    </row>
    <row r="2" spans="1:11" x14ac:dyDescent="0.25">
      <c r="A2" s="8" t="s">
        <v>41</v>
      </c>
      <c r="B2" s="1">
        <v>0.55237700000000001</v>
      </c>
      <c r="C2" s="1">
        <v>0.55376899999999996</v>
      </c>
      <c r="D2" s="1">
        <f>IF(B2&gt;C2,B2-C2,C2-B2)</f>
        <v>1.3919999999999488E-3</v>
      </c>
      <c r="E2">
        <f>MINUTE(D2)</f>
        <v>2</v>
      </c>
      <c r="F2">
        <f>SECOND(D2)</f>
        <v>0</v>
      </c>
      <c r="G2">
        <f>ROUND(E2+F2/60,2)</f>
        <v>2</v>
      </c>
      <c r="H2">
        <f>60*E2+F2</f>
        <v>120</v>
      </c>
      <c r="I2" s="10">
        <f>5*(3600/H2)</f>
        <v>150</v>
      </c>
      <c r="J2" s="2">
        <f>COUNTIF(I2:I1001,"&gt;100")</f>
        <v>277</v>
      </c>
      <c r="K2" s="3"/>
    </row>
    <row r="3" spans="1:11" x14ac:dyDescent="0.25">
      <c r="A3" s="8" t="s">
        <v>369</v>
      </c>
      <c r="B3" s="1">
        <v>0.78395599999999999</v>
      </c>
      <c r="C3" s="1">
        <v>0.78256400000000004</v>
      </c>
      <c r="D3" s="1">
        <f>IF(B3&gt;C3,B3-C3,C3-B3)</f>
        <v>1.3919999999999488E-3</v>
      </c>
      <c r="E3">
        <f>MINUTE(D3)</f>
        <v>2</v>
      </c>
      <c r="F3">
        <f>SECOND(D3)</f>
        <v>0</v>
      </c>
      <c r="G3">
        <f>ROUND(E3+F3/60,2)</f>
        <v>2</v>
      </c>
      <c r="H3">
        <f>60*E3+F3</f>
        <v>120</v>
      </c>
      <c r="I3" s="10">
        <f>5*(3600/H3)</f>
        <v>150</v>
      </c>
    </row>
    <row r="4" spans="1:11" x14ac:dyDescent="0.25">
      <c r="A4" s="4" t="s">
        <v>157</v>
      </c>
      <c r="B4" s="1">
        <v>0.37124299999999999</v>
      </c>
      <c r="C4" s="1">
        <v>0.36984699999999998</v>
      </c>
      <c r="D4" s="1">
        <f>IF(B4&gt;C4,B4-C4,C4-B4)</f>
        <v>1.3960000000000083E-3</v>
      </c>
      <c r="E4">
        <f>MINUTE(D4)</f>
        <v>2</v>
      </c>
      <c r="F4">
        <f>SECOND(D4)</f>
        <v>1</v>
      </c>
      <c r="G4">
        <f>ROUND(E4+F4/60,2)</f>
        <v>2.02</v>
      </c>
      <c r="H4">
        <f>60*E4+F4</f>
        <v>121</v>
      </c>
      <c r="I4" s="3">
        <f>5*(3600/H4)</f>
        <v>148.7603305785124</v>
      </c>
    </row>
    <row r="5" spans="1:11" x14ac:dyDescent="0.25">
      <c r="A5" s="4" t="s">
        <v>76</v>
      </c>
      <c r="B5" s="1">
        <v>0.51857500000000001</v>
      </c>
      <c r="C5" s="1">
        <v>0.51999099999999998</v>
      </c>
      <c r="D5" s="1">
        <f>IF(B5&gt;C5,B5-C5,C5-B5)</f>
        <v>1.4159999999999728E-3</v>
      </c>
      <c r="E5">
        <f>MINUTE(D5)</f>
        <v>2</v>
      </c>
      <c r="F5">
        <f>SECOND(D5)</f>
        <v>2</v>
      </c>
      <c r="G5">
        <f>ROUND(E5+F5/60,2)</f>
        <v>2.0299999999999998</v>
      </c>
      <c r="H5">
        <f>60*E5+F5</f>
        <v>122</v>
      </c>
      <c r="I5" s="3">
        <f>5*(3600/H5)</f>
        <v>147.54098360655738</v>
      </c>
    </row>
    <row r="6" spans="1:11" x14ac:dyDescent="0.25">
      <c r="A6" s="4" t="s">
        <v>75</v>
      </c>
      <c r="B6" s="1">
        <v>0.43252099999999999</v>
      </c>
      <c r="C6" s="1">
        <v>0.43110500000000002</v>
      </c>
      <c r="D6" s="1">
        <f>IF(B6&gt;C6,B6-C6,C6-B6)</f>
        <v>1.4159999999999728E-3</v>
      </c>
      <c r="E6">
        <f>MINUTE(D6)</f>
        <v>2</v>
      </c>
      <c r="F6">
        <f>SECOND(D6)</f>
        <v>2</v>
      </c>
      <c r="G6">
        <f>ROUND(E6+F6/60,2)</f>
        <v>2.0299999999999998</v>
      </c>
      <c r="H6">
        <f>60*E6+F6</f>
        <v>122</v>
      </c>
      <c r="I6" s="3">
        <f>5*(3600/H6)</f>
        <v>147.54098360655738</v>
      </c>
    </row>
    <row r="7" spans="1:11" x14ac:dyDescent="0.25">
      <c r="A7" s="4" t="s">
        <v>6</v>
      </c>
      <c r="B7" s="1">
        <v>0.89605199999999996</v>
      </c>
      <c r="C7" s="1">
        <v>0.89464399999999999</v>
      </c>
      <c r="D7" s="1">
        <f>IF(B7&gt;C7,B7-C7,C7-B7)</f>
        <v>1.4079999999999648E-3</v>
      </c>
      <c r="E7">
        <f>MINUTE(D7)</f>
        <v>2</v>
      </c>
      <c r="F7">
        <f>SECOND(D7)</f>
        <v>2</v>
      </c>
      <c r="G7">
        <f>ROUND(E7+F7/60,2)</f>
        <v>2.0299999999999998</v>
      </c>
      <c r="H7">
        <f>60*E7+F7</f>
        <v>122</v>
      </c>
      <c r="I7" s="3">
        <f>5*(3600/H7)</f>
        <v>147.54098360655738</v>
      </c>
    </row>
    <row r="8" spans="1:11" x14ac:dyDescent="0.25">
      <c r="A8" s="4" t="s">
        <v>73</v>
      </c>
      <c r="B8" s="1">
        <v>0.31540200000000002</v>
      </c>
      <c r="C8" s="1">
        <v>0.31398599999999999</v>
      </c>
      <c r="D8" s="1">
        <f>IF(B8&gt;C8,B8-C8,C8-B8)</f>
        <v>1.4160000000000283E-3</v>
      </c>
      <c r="E8">
        <f>MINUTE(D8)</f>
        <v>2</v>
      </c>
      <c r="F8">
        <f>SECOND(D8)</f>
        <v>2</v>
      </c>
      <c r="G8">
        <f>ROUND(E8+F8/60,2)</f>
        <v>2.0299999999999998</v>
      </c>
      <c r="H8">
        <f>60*E8+F8</f>
        <v>122</v>
      </c>
      <c r="I8" s="3">
        <f>5*(3600/H8)</f>
        <v>147.54098360655738</v>
      </c>
    </row>
    <row r="9" spans="1:11" x14ac:dyDescent="0.25">
      <c r="A9" s="4" t="s">
        <v>428</v>
      </c>
      <c r="B9" s="1">
        <v>0.67204299999999995</v>
      </c>
      <c r="C9" s="1">
        <v>0.67345100000000002</v>
      </c>
      <c r="D9" s="1">
        <f>IF(B9&gt;C9,B9-C9,C9-B9)</f>
        <v>1.4080000000000759E-3</v>
      </c>
      <c r="E9">
        <f>MINUTE(D9)</f>
        <v>2</v>
      </c>
      <c r="F9">
        <f>SECOND(D9)</f>
        <v>2</v>
      </c>
      <c r="G9">
        <f>ROUND(E9+F9/60,2)</f>
        <v>2.0299999999999998</v>
      </c>
      <c r="H9">
        <f>60*E9+F9</f>
        <v>122</v>
      </c>
      <c r="I9" s="3">
        <f>5*(3600/H9)</f>
        <v>147.54098360655738</v>
      </c>
    </row>
    <row r="10" spans="1:11" x14ac:dyDescent="0.25">
      <c r="A10" s="4" t="s">
        <v>21</v>
      </c>
      <c r="B10" s="1">
        <v>0.25031599999999998</v>
      </c>
      <c r="C10" s="1">
        <v>0.24890399999999999</v>
      </c>
      <c r="D10" s="1">
        <f>IF(B10&gt;C10,B10-C10,C10-B10)</f>
        <v>1.4119999999999966E-3</v>
      </c>
      <c r="E10">
        <f>MINUTE(D10)</f>
        <v>2</v>
      </c>
      <c r="F10">
        <f>SECOND(D10)</f>
        <v>2</v>
      </c>
      <c r="G10">
        <f>ROUND(E10+F10/60,2)</f>
        <v>2.0299999999999998</v>
      </c>
      <c r="H10">
        <f>60*E10+F10</f>
        <v>122</v>
      </c>
      <c r="I10" s="3">
        <f>5*(3600/H10)</f>
        <v>147.54098360655738</v>
      </c>
    </row>
    <row r="11" spans="1:11" x14ac:dyDescent="0.25">
      <c r="A11" s="4" t="s">
        <v>321</v>
      </c>
      <c r="B11" s="1">
        <v>0.92649000000000004</v>
      </c>
      <c r="C11" s="1">
        <v>0.92508199999999996</v>
      </c>
      <c r="D11" s="1">
        <f>IF(B11&gt;C11,B11-C11,C11-B11)</f>
        <v>1.4080000000000759E-3</v>
      </c>
      <c r="E11">
        <f>MINUTE(D11)</f>
        <v>2</v>
      </c>
      <c r="F11">
        <f>SECOND(D11)</f>
        <v>2</v>
      </c>
      <c r="G11">
        <f>ROUND(E11+F11/60,2)</f>
        <v>2.0299999999999998</v>
      </c>
      <c r="H11">
        <f>60*E11+F11</f>
        <v>122</v>
      </c>
      <c r="I11" s="3">
        <f>5*(3600/H11)</f>
        <v>147.54098360655738</v>
      </c>
    </row>
    <row r="12" spans="1:11" x14ac:dyDescent="0.25">
      <c r="A12" s="4" t="s">
        <v>324</v>
      </c>
      <c r="B12" s="1">
        <v>0.49864799999999998</v>
      </c>
      <c r="C12" s="1">
        <v>0.49723600000000001</v>
      </c>
      <c r="D12" s="1">
        <f>IF(B12&gt;C12,B12-C12,C12-B12)</f>
        <v>1.4119999999999688E-3</v>
      </c>
      <c r="E12">
        <f>MINUTE(D12)</f>
        <v>2</v>
      </c>
      <c r="F12">
        <f>SECOND(D12)</f>
        <v>2</v>
      </c>
      <c r="G12">
        <f>ROUND(E12+F12/60,2)</f>
        <v>2.0299999999999998</v>
      </c>
      <c r="H12">
        <f>60*E12+F12</f>
        <v>122</v>
      </c>
      <c r="I12" s="3">
        <f>5*(3600/H12)</f>
        <v>147.54098360655738</v>
      </c>
    </row>
    <row r="13" spans="1:11" x14ac:dyDescent="0.25">
      <c r="A13" s="4" t="s">
        <v>388</v>
      </c>
      <c r="B13" s="1">
        <v>0.68928500000000004</v>
      </c>
      <c r="C13" s="1">
        <v>0.68787699999999996</v>
      </c>
      <c r="D13" s="1">
        <f>IF(B13&gt;C13,B13-C13,C13-B13)</f>
        <v>1.4080000000000759E-3</v>
      </c>
      <c r="E13">
        <f>MINUTE(D13)</f>
        <v>2</v>
      </c>
      <c r="F13">
        <f>SECOND(D13)</f>
        <v>2</v>
      </c>
      <c r="G13">
        <f>ROUND(E13+F13/60,2)</f>
        <v>2.0299999999999998</v>
      </c>
      <c r="H13">
        <f>60*E13+F13</f>
        <v>122</v>
      </c>
      <c r="I13" s="3">
        <f>5*(3600/H13)</f>
        <v>147.54098360655738</v>
      </c>
    </row>
    <row r="14" spans="1:11" x14ac:dyDescent="0.25">
      <c r="A14" s="4" t="s">
        <v>412</v>
      </c>
      <c r="B14" s="1">
        <v>0.16583700000000001</v>
      </c>
      <c r="C14" s="1">
        <v>0.16724900000000001</v>
      </c>
      <c r="D14" s="1">
        <f>IF(B14&gt;C14,B14-C14,C14-B14)</f>
        <v>1.4119999999999966E-3</v>
      </c>
      <c r="E14">
        <f>MINUTE(D14)</f>
        <v>2</v>
      </c>
      <c r="F14">
        <f>SECOND(D14)</f>
        <v>2</v>
      </c>
      <c r="G14">
        <f>ROUND(E14+F14/60,2)</f>
        <v>2.0299999999999998</v>
      </c>
      <c r="H14">
        <f>60*E14+F14</f>
        <v>122</v>
      </c>
      <c r="I14" s="3">
        <f>5*(3600/H14)</f>
        <v>147.54098360655738</v>
      </c>
    </row>
    <row r="15" spans="1:11" x14ac:dyDescent="0.25">
      <c r="A15" s="4" t="s">
        <v>24</v>
      </c>
      <c r="B15" s="1">
        <v>0.72382100000000005</v>
      </c>
      <c r="C15" s="1">
        <v>0.72524900000000003</v>
      </c>
      <c r="D15" s="1">
        <f>IF(B15&gt;C15,B15-C15,C15-B15)</f>
        <v>1.4279999999999848E-3</v>
      </c>
      <c r="E15">
        <f>MINUTE(D15)</f>
        <v>2</v>
      </c>
      <c r="F15">
        <f>SECOND(D15)</f>
        <v>3</v>
      </c>
      <c r="G15">
        <f>ROUND(E15+F15/60,2)</f>
        <v>2.0499999999999998</v>
      </c>
      <c r="H15">
        <f>60*E15+F15</f>
        <v>123</v>
      </c>
      <c r="I15" s="3">
        <f>5*(3600/H15)</f>
        <v>146.34146341463415</v>
      </c>
    </row>
    <row r="16" spans="1:11" x14ac:dyDescent="0.25">
      <c r="A16" s="4" t="s">
        <v>27</v>
      </c>
      <c r="B16" s="1">
        <v>0.51301399999999997</v>
      </c>
      <c r="C16" s="1">
        <v>0.51158599999999999</v>
      </c>
      <c r="D16" s="1">
        <f>IF(B16&gt;C16,B16-C16,C16-B16)</f>
        <v>1.4279999999999848E-3</v>
      </c>
      <c r="E16">
        <f>MINUTE(D16)</f>
        <v>2</v>
      </c>
      <c r="F16">
        <f>SECOND(D16)</f>
        <v>3</v>
      </c>
      <c r="G16">
        <f>ROUND(E16+F16/60,2)</f>
        <v>2.0499999999999998</v>
      </c>
      <c r="H16">
        <f>60*E16+F16</f>
        <v>123</v>
      </c>
      <c r="I16" s="3">
        <f>5*(3600/H16)</f>
        <v>146.34146341463415</v>
      </c>
    </row>
    <row r="17" spans="1:9" x14ac:dyDescent="0.25">
      <c r="A17" s="4" t="s">
        <v>103</v>
      </c>
      <c r="B17" s="1">
        <v>0.69916400000000001</v>
      </c>
      <c r="C17" s="1">
        <v>0.70058399999999998</v>
      </c>
      <c r="D17" s="1">
        <f>IF(B17&gt;C17,B17-C17,C17-B17)</f>
        <v>1.4199999999999768E-3</v>
      </c>
      <c r="E17">
        <f>MINUTE(D17)</f>
        <v>2</v>
      </c>
      <c r="F17">
        <f>SECOND(D17)</f>
        <v>3</v>
      </c>
      <c r="G17">
        <f>ROUND(E17+F17/60,2)</f>
        <v>2.0499999999999998</v>
      </c>
      <c r="H17">
        <f>60*E17+F17</f>
        <v>123</v>
      </c>
      <c r="I17" s="3">
        <f>5*(3600/H17)</f>
        <v>146.34146341463415</v>
      </c>
    </row>
    <row r="18" spans="1:9" x14ac:dyDescent="0.25">
      <c r="A18" s="4" t="s">
        <v>120</v>
      </c>
      <c r="B18" s="1">
        <v>2.4251999999999999E-2</v>
      </c>
      <c r="C18" s="1">
        <v>2.2828000000000001E-2</v>
      </c>
      <c r="D18" s="1">
        <f>IF(B18&gt;C18,B18-C18,C18-B18)</f>
        <v>1.4239999999999982E-3</v>
      </c>
      <c r="E18">
        <f>MINUTE(D18)</f>
        <v>2</v>
      </c>
      <c r="F18">
        <f>SECOND(D18)</f>
        <v>3</v>
      </c>
      <c r="G18">
        <f>ROUND(E18+F18/60,2)</f>
        <v>2.0499999999999998</v>
      </c>
      <c r="H18">
        <f>60*E18+F18</f>
        <v>123</v>
      </c>
      <c r="I18" s="3">
        <f>5*(3600/H18)</f>
        <v>146.34146341463415</v>
      </c>
    </row>
    <row r="19" spans="1:9" x14ac:dyDescent="0.25">
      <c r="A19" s="4" t="s">
        <v>87</v>
      </c>
      <c r="B19" s="1">
        <v>0.44867299999999999</v>
      </c>
      <c r="C19" s="1">
        <v>0.45009300000000002</v>
      </c>
      <c r="D19" s="1">
        <f>IF(B19&gt;C19,B19-C19,C19-B19)</f>
        <v>1.4200000000000323E-3</v>
      </c>
      <c r="E19">
        <f>MINUTE(D19)</f>
        <v>2</v>
      </c>
      <c r="F19">
        <f>SECOND(D19)</f>
        <v>3</v>
      </c>
      <c r="G19">
        <f>ROUND(E19+F19/60,2)</f>
        <v>2.0499999999999998</v>
      </c>
      <c r="H19">
        <f>60*E19+F19</f>
        <v>123</v>
      </c>
      <c r="I19" s="3">
        <f>5*(3600/H19)</f>
        <v>146.34146341463415</v>
      </c>
    </row>
    <row r="20" spans="1:9" x14ac:dyDescent="0.25">
      <c r="A20" s="4" t="s">
        <v>136</v>
      </c>
      <c r="B20" s="1">
        <v>0.67697099999999999</v>
      </c>
      <c r="C20" s="1">
        <v>0.67554700000000001</v>
      </c>
      <c r="D20" s="1">
        <f>IF(B20&gt;C20,B20-C20,C20-B20)</f>
        <v>1.4239999999999808E-3</v>
      </c>
      <c r="E20">
        <f>MINUTE(D20)</f>
        <v>2</v>
      </c>
      <c r="F20">
        <f>SECOND(D20)</f>
        <v>3</v>
      </c>
      <c r="G20">
        <f>ROUND(E20+F20/60,2)</f>
        <v>2.0499999999999998</v>
      </c>
      <c r="H20">
        <f>60*E20+F20</f>
        <v>123</v>
      </c>
      <c r="I20" s="3">
        <f>5*(3600/H20)</f>
        <v>146.34146341463415</v>
      </c>
    </row>
    <row r="21" spans="1:9" x14ac:dyDescent="0.25">
      <c r="A21" s="4" t="s">
        <v>75</v>
      </c>
      <c r="B21" s="1">
        <v>0.75790400000000002</v>
      </c>
      <c r="C21" s="1">
        <v>0.75648000000000004</v>
      </c>
      <c r="D21" s="1">
        <f>IF(B21&gt;C21,B21-C21,C21-B21)</f>
        <v>1.4239999999999808E-3</v>
      </c>
      <c r="E21">
        <f>MINUTE(D21)</f>
        <v>2</v>
      </c>
      <c r="F21">
        <f>SECOND(D21)</f>
        <v>3</v>
      </c>
      <c r="G21">
        <f>ROUND(E21+F21/60,2)</f>
        <v>2.0499999999999998</v>
      </c>
      <c r="H21">
        <f>60*E21+F21</f>
        <v>123</v>
      </c>
      <c r="I21" s="3">
        <f>5*(3600/H21)</f>
        <v>146.34146341463415</v>
      </c>
    </row>
    <row r="22" spans="1:9" x14ac:dyDescent="0.25">
      <c r="A22" s="4" t="s">
        <v>13</v>
      </c>
      <c r="B22" s="1">
        <v>0.23710300000000001</v>
      </c>
      <c r="C22" s="1">
        <v>0.23566300000000001</v>
      </c>
      <c r="D22" s="1">
        <f>IF(B22&gt;C22,B22-C22,C22-B22)</f>
        <v>1.4399999999999968E-3</v>
      </c>
      <c r="E22">
        <f>MINUTE(D22)</f>
        <v>2</v>
      </c>
      <c r="F22">
        <f>SECOND(D22)</f>
        <v>4</v>
      </c>
      <c r="G22">
        <f>ROUND(E22+F22/60,2)</f>
        <v>2.0699999999999998</v>
      </c>
      <c r="H22">
        <f>60*E22+F22</f>
        <v>124</v>
      </c>
      <c r="I22" s="3">
        <f>5*(3600/H22)</f>
        <v>145.16129032258064</v>
      </c>
    </row>
    <row r="23" spans="1:9" x14ac:dyDescent="0.25">
      <c r="A23" s="4" t="s">
        <v>139</v>
      </c>
      <c r="B23" s="1">
        <v>0.84553900000000004</v>
      </c>
      <c r="C23" s="1">
        <v>0.84697100000000003</v>
      </c>
      <c r="D23" s="1">
        <f>IF(B23&gt;C23,B23-C23,C23-B23)</f>
        <v>1.4319999999999888E-3</v>
      </c>
      <c r="E23">
        <f>MINUTE(D23)</f>
        <v>2</v>
      </c>
      <c r="F23">
        <f>SECOND(D23)</f>
        <v>4</v>
      </c>
      <c r="G23">
        <f>ROUND(E23+F23/60,2)</f>
        <v>2.0699999999999998</v>
      </c>
      <c r="H23">
        <f>60*E23+F23</f>
        <v>124</v>
      </c>
      <c r="I23" s="3">
        <f>5*(3600/H23)</f>
        <v>145.16129032258064</v>
      </c>
    </row>
    <row r="24" spans="1:9" x14ac:dyDescent="0.25">
      <c r="A24" s="4" t="s">
        <v>132</v>
      </c>
      <c r="B24" s="1">
        <v>0.51571999999999996</v>
      </c>
      <c r="C24" s="1">
        <v>0.51715999999999995</v>
      </c>
      <c r="D24" s="1">
        <f>IF(B24&gt;C24,B24-C24,C24-B24)</f>
        <v>1.4399999999999968E-3</v>
      </c>
      <c r="E24">
        <f>MINUTE(D24)</f>
        <v>2</v>
      </c>
      <c r="F24">
        <f>SECOND(D24)</f>
        <v>4</v>
      </c>
      <c r="G24">
        <f>ROUND(E24+F24/60,2)</f>
        <v>2.0699999999999998</v>
      </c>
      <c r="H24">
        <f>60*E24+F24</f>
        <v>124</v>
      </c>
      <c r="I24" s="3">
        <f>5*(3600/H24)</f>
        <v>145.16129032258064</v>
      </c>
    </row>
    <row r="25" spans="1:9" x14ac:dyDescent="0.25">
      <c r="A25" s="4" t="s">
        <v>400</v>
      </c>
      <c r="B25" s="1">
        <v>0.50423899999999999</v>
      </c>
      <c r="C25" s="1">
        <v>0.502799</v>
      </c>
      <c r="D25" s="1">
        <f>IF(B25&gt;C25,B25-C25,C25-B25)</f>
        <v>1.4399999999999968E-3</v>
      </c>
      <c r="E25">
        <f>MINUTE(D25)</f>
        <v>2</v>
      </c>
      <c r="F25">
        <f>SECOND(D25)</f>
        <v>4</v>
      </c>
      <c r="G25">
        <f>ROUND(E25+F25/60,2)</f>
        <v>2.0699999999999998</v>
      </c>
      <c r="H25">
        <f>60*E25+F25</f>
        <v>124</v>
      </c>
      <c r="I25" s="3">
        <f>5*(3600/H25)</f>
        <v>145.16129032258064</v>
      </c>
    </row>
    <row r="26" spans="1:9" x14ac:dyDescent="0.25">
      <c r="A26" s="4" t="s">
        <v>80</v>
      </c>
      <c r="B26" s="1">
        <v>0.73143899999999995</v>
      </c>
      <c r="C26" s="1">
        <v>0.73288699999999996</v>
      </c>
      <c r="D26" s="1">
        <f>IF(B26&gt;C26,B26-C26,C26-B26)</f>
        <v>1.4480000000000048E-3</v>
      </c>
      <c r="E26">
        <f>MINUTE(D26)</f>
        <v>2</v>
      </c>
      <c r="F26">
        <f>SECOND(D26)</f>
        <v>5</v>
      </c>
      <c r="G26">
        <f>ROUND(E26+F26/60,2)</f>
        <v>2.08</v>
      </c>
      <c r="H26">
        <f>60*E26+F26</f>
        <v>125</v>
      </c>
      <c r="I26" s="3">
        <f>5*(3600/H26)</f>
        <v>144</v>
      </c>
    </row>
    <row r="27" spans="1:9" x14ac:dyDescent="0.25">
      <c r="A27" s="4" t="s">
        <v>47</v>
      </c>
      <c r="B27" s="1">
        <v>7.4501999999999999E-2</v>
      </c>
      <c r="C27" s="1">
        <v>7.3053999999999994E-2</v>
      </c>
      <c r="D27" s="1">
        <f>IF(B27&gt;C27,B27-C27,C27-B27)</f>
        <v>1.4480000000000048E-3</v>
      </c>
      <c r="E27">
        <f>MINUTE(D27)</f>
        <v>2</v>
      </c>
      <c r="F27">
        <f>SECOND(D27)</f>
        <v>5</v>
      </c>
      <c r="G27">
        <f>ROUND(E27+F27/60,2)</f>
        <v>2.08</v>
      </c>
      <c r="H27">
        <f>60*E27+F27</f>
        <v>125</v>
      </c>
      <c r="I27" s="3">
        <f>5*(3600/H27)</f>
        <v>144</v>
      </c>
    </row>
    <row r="28" spans="1:9" x14ac:dyDescent="0.25">
      <c r="A28" s="4" t="s">
        <v>48</v>
      </c>
      <c r="B28" s="1">
        <v>0.53415599999999996</v>
      </c>
      <c r="C28" s="1">
        <v>0.53560399999999997</v>
      </c>
      <c r="D28" s="1">
        <f>IF(B28&gt;C28,B28-C28,C28-B28)</f>
        <v>1.4480000000000048E-3</v>
      </c>
      <c r="E28">
        <f>MINUTE(D28)</f>
        <v>2</v>
      </c>
      <c r="F28">
        <f>SECOND(D28)</f>
        <v>5</v>
      </c>
      <c r="G28">
        <f>ROUND(E28+F28/60,2)</f>
        <v>2.08</v>
      </c>
      <c r="H28">
        <f>60*E28+F28</f>
        <v>125</v>
      </c>
      <c r="I28" s="3">
        <f>5*(3600/H28)</f>
        <v>144</v>
      </c>
    </row>
    <row r="29" spans="1:9" x14ac:dyDescent="0.25">
      <c r="A29" s="4" t="s">
        <v>52</v>
      </c>
      <c r="B29" s="1">
        <v>0.86371399999999998</v>
      </c>
      <c r="C29" s="1">
        <v>0.86516999999999999</v>
      </c>
      <c r="D29" s="1">
        <f>IF(B29&gt;C29,B29-C29,C29-B29)</f>
        <v>1.4560000000000128E-3</v>
      </c>
      <c r="E29">
        <f>MINUTE(D29)</f>
        <v>2</v>
      </c>
      <c r="F29">
        <f>SECOND(D29)</f>
        <v>6</v>
      </c>
      <c r="G29">
        <f>ROUND(E29+F29/60,2)</f>
        <v>2.1</v>
      </c>
      <c r="H29">
        <f>60*E29+F29</f>
        <v>126</v>
      </c>
      <c r="I29" s="3">
        <f>5*(3600/H29)</f>
        <v>142.85714285714286</v>
      </c>
    </row>
    <row r="30" spans="1:9" x14ac:dyDescent="0.25">
      <c r="A30" s="4" t="s">
        <v>49</v>
      </c>
      <c r="B30" s="1">
        <v>0.84440099999999996</v>
      </c>
      <c r="C30" s="1">
        <v>0.84294100000000005</v>
      </c>
      <c r="D30" s="1">
        <f>IF(B30&gt;C30,B30-C30,C30-B30)</f>
        <v>1.4599999999999058E-3</v>
      </c>
      <c r="E30">
        <f>MINUTE(D30)</f>
        <v>2</v>
      </c>
      <c r="F30">
        <f>SECOND(D30)</f>
        <v>6</v>
      </c>
      <c r="G30">
        <f>ROUND(E30+F30/60,2)</f>
        <v>2.1</v>
      </c>
      <c r="H30">
        <f>60*E30+F30</f>
        <v>126</v>
      </c>
      <c r="I30" s="3">
        <f>5*(3600/H30)</f>
        <v>142.85714285714286</v>
      </c>
    </row>
    <row r="31" spans="1:9" x14ac:dyDescent="0.25">
      <c r="A31" s="4" t="s">
        <v>99</v>
      </c>
      <c r="B31" s="1">
        <v>0.51575599999999999</v>
      </c>
      <c r="C31" s="1">
        <v>0.51722000000000001</v>
      </c>
      <c r="D31" s="1">
        <f>IF(B31&gt;C31,B31-C31,C31-B31)</f>
        <v>1.4640000000000208E-3</v>
      </c>
      <c r="E31">
        <f>MINUTE(D31)</f>
        <v>2</v>
      </c>
      <c r="F31">
        <f>SECOND(D31)</f>
        <v>6</v>
      </c>
      <c r="G31">
        <f>ROUND(E31+F31/60,2)</f>
        <v>2.1</v>
      </c>
      <c r="H31">
        <f>60*E31+F31</f>
        <v>126</v>
      </c>
      <c r="I31" s="3">
        <f>5*(3600/H31)</f>
        <v>142.85714285714286</v>
      </c>
    </row>
    <row r="32" spans="1:9" x14ac:dyDescent="0.25">
      <c r="A32" s="4" t="s">
        <v>63</v>
      </c>
      <c r="B32" s="1">
        <v>0.35100700000000001</v>
      </c>
      <c r="C32" s="1">
        <v>0.35246300000000003</v>
      </c>
      <c r="D32" s="1">
        <f>IF(B32&gt;C32,B32-C32,C32-B32)</f>
        <v>1.4560000000000128E-3</v>
      </c>
      <c r="E32">
        <f>MINUTE(D32)</f>
        <v>2</v>
      </c>
      <c r="F32">
        <f>SECOND(D32)</f>
        <v>6</v>
      </c>
      <c r="G32">
        <f>ROUND(E32+F32/60,2)</f>
        <v>2.1</v>
      </c>
      <c r="H32">
        <f>60*E32+F32</f>
        <v>126</v>
      </c>
      <c r="I32" s="3">
        <f>5*(3600/H32)</f>
        <v>142.85714285714286</v>
      </c>
    </row>
    <row r="33" spans="1:9" x14ac:dyDescent="0.25">
      <c r="A33" s="4" t="s">
        <v>199</v>
      </c>
      <c r="B33" s="1">
        <v>5.1676E-2</v>
      </c>
      <c r="C33" s="1">
        <v>5.3148000000000001E-2</v>
      </c>
      <c r="D33" s="1">
        <f>IF(B33&gt;C33,B33-C33,C33-B33)</f>
        <v>1.4720000000000011E-3</v>
      </c>
      <c r="E33">
        <f>MINUTE(D33)</f>
        <v>2</v>
      </c>
      <c r="F33">
        <f>SECOND(D33)</f>
        <v>7</v>
      </c>
      <c r="G33">
        <f>ROUND(E33+F33/60,2)</f>
        <v>2.12</v>
      </c>
      <c r="H33">
        <f>60*E33+F33</f>
        <v>127</v>
      </c>
      <c r="I33" s="3">
        <f>5*(3600/H33)</f>
        <v>141.73228346456693</v>
      </c>
    </row>
    <row r="34" spans="1:9" x14ac:dyDescent="0.25">
      <c r="A34" s="4" t="s">
        <v>246</v>
      </c>
      <c r="B34" s="1">
        <v>0.55222700000000002</v>
      </c>
      <c r="C34" s="1">
        <v>0.550759</v>
      </c>
      <c r="D34" s="1">
        <f>IF(B34&gt;C34,B34-C34,C34-B34)</f>
        <v>1.4680000000000248E-3</v>
      </c>
      <c r="E34">
        <f>MINUTE(D34)</f>
        <v>2</v>
      </c>
      <c r="F34">
        <f>SECOND(D34)</f>
        <v>7</v>
      </c>
      <c r="G34">
        <f>ROUND(E34+F34/60,2)</f>
        <v>2.12</v>
      </c>
      <c r="H34">
        <f>60*E34+F34</f>
        <v>127</v>
      </c>
      <c r="I34" s="3">
        <f>5*(3600/H34)</f>
        <v>141.73228346456693</v>
      </c>
    </row>
    <row r="35" spans="1:9" x14ac:dyDescent="0.25">
      <c r="A35" s="4" t="s">
        <v>291</v>
      </c>
      <c r="B35" s="1">
        <v>0.72183600000000003</v>
      </c>
      <c r="C35" s="1">
        <v>0.72330399999999995</v>
      </c>
      <c r="D35" s="1">
        <f>IF(B35&gt;C35,B35-C35,C35-B35)</f>
        <v>1.4679999999999138E-3</v>
      </c>
      <c r="E35">
        <f>MINUTE(D35)</f>
        <v>2</v>
      </c>
      <c r="F35">
        <f>SECOND(D35)</f>
        <v>7</v>
      </c>
      <c r="G35">
        <f>ROUND(E35+F35/60,2)</f>
        <v>2.12</v>
      </c>
      <c r="H35">
        <f>60*E35+F35</f>
        <v>127</v>
      </c>
      <c r="I35" s="3">
        <f>5*(3600/H35)</f>
        <v>141.73228346456693</v>
      </c>
    </row>
    <row r="36" spans="1:9" x14ac:dyDescent="0.25">
      <c r="A36" s="4" t="s">
        <v>144</v>
      </c>
      <c r="B36" s="1">
        <v>0.73835600000000001</v>
      </c>
      <c r="C36" s="1">
        <v>0.73983200000000005</v>
      </c>
      <c r="D36" s="1">
        <f>IF(B36&gt;C36,B36-C36,C36-B36)</f>
        <v>1.4760000000000328E-3</v>
      </c>
      <c r="E36">
        <f>MINUTE(D36)</f>
        <v>2</v>
      </c>
      <c r="F36">
        <f>SECOND(D36)</f>
        <v>8</v>
      </c>
      <c r="G36">
        <f>ROUND(E36+F36/60,2)</f>
        <v>2.13</v>
      </c>
      <c r="H36">
        <f>60*E36+F36</f>
        <v>128</v>
      </c>
      <c r="I36" s="3">
        <f>5*(3600/H36)</f>
        <v>140.625</v>
      </c>
    </row>
    <row r="37" spans="1:9" x14ac:dyDescent="0.25">
      <c r="A37" s="4" t="s">
        <v>283</v>
      </c>
      <c r="B37" s="1">
        <v>0.16709599999999999</v>
      </c>
      <c r="C37" s="1">
        <v>0.16858000000000001</v>
      </c>
      <c r="D37" s="1">
        <f>IF(B37&gt;C37,B37-C37,C37-B37)</f>
        <v>1.4840000000000131E-3</v>
      </c>
      <c r="E37">
        <f>MINUTE(D37)</f>
        <v>2</v>
      </c>
      <c r="F37">
        <f>SECOND(D37)</f>
        <v>8</v>
      </c>
      <c r="G37">
        <f>ROUND(E37+F37/60,2)</f>
        <v>2.13</v>
      </c>
      <c r="H37">
        <f>60*E37+F37</f>
        <v>128</v>
      </c>
      <c r="I37" s="3">
        <f>5*(3600/H37)</f>
        <v>140.625</v>
      </c>
    </row>
    <row r="38" spans="1:9" x14ac:dyDescent="0.25">
      <c r="A38" s="4" t="s">
        <v>5</v>
      </c>
      <c r="B38" s="1">
        <v>0.53817999999999999</v>
      </c>
      <c r="C38" s="1">
        <v>0.53967600000000004</v>
      </c>
      <c r="D38" s="1">
        <f>IF(B38&gt;C38,B38-C38,C38-B38)</f>
        <v>1.4960000000000528E-3</v>
      </c>
      <c r="E38">
        <f>MINUTE(D38)</f>
        <v>2</v>
      </c>
      <c r="F38">
        <f>SECOND(D38)</f>
        <v>9</v>
      </c>
      <c r="G38">
        <f>ROUND(E38+F38/60,2)</f>
        <v>2.15</v>
      </c>
      <c r="H38">
        <f>60*E38+F38</f>
        <v>129</v>
      </c>
      <c r="I38" s="3">
        <f>5*(3600/H38)</f>
        <v>139.53488372093022</v>
      </c>
    </row>
    <row r="39" spans="1:9" x14ac:dyDescent="0.25">
      <c r="A39" s="4" t="s">
        <v>197</v>
      </c>
      <c r="B39" s="1">
        <v>0.35936200000000001</v>
      </c>
      <c r="C39" s="1">
        <v>0.35786600000000002</v>
      </c>
      <c r="D39" s="1">
        <f>IF(B39&gt;C39,B39-C39,C39-B39)</f>
        <v>1.4959999999999973E-3</v>
      </c>
      <c r="E39">
        <f>MINUTE(D39)</f>
        <v>2</v>
      </c>
      <c r="F39">
        <f>SECOND(D39)</f>
        <v>9</v>
      </c>
      <c r="G39">
        <f>ROUND(E39+F39/60,2)</f>
        <v>2.15</v>
      </c>
      <c r="H39">
        <f>60*E39+F39</f>
        <v>129</v>
      </c>
      <c r="I39" s="3">
        <f>5*(3600/H39)</f>
        <v>139.53488372093022</v>
      </c>
    </row>
    <row r="40" spans="1:9" x14ac:dyDescent="0.25">
      <c r="A40" s="4" t="s">
        <v>383</v>
      </c>
      <c r="B40" s="1">
        <v>5.2143000000000002E-2</v>
      </c>
      <c r="C40" s="1">
        <v>5.0654999999999999E-2</v>
      </c>
      <c r="D40" s="1">
        <f>IF(B40&gt;C40,B40-C40,C40-B40)</f>
        <v>1.4880000000000032E-3</v>
      </c>
      <c r="E40">
        <f>MINUTE(D40)</f>
        <v>2</v>
      </c>
      <c r="F40">
        <f>SECOND(D40)</f>
        <v>9</v>
      </c>
      <c r="G40">
        <f>ROUND(E40+F40/60,2)</f>
        <v>2.15</v>
      </c>
      <c r="H40">
        <f>60*E40+F40</f>
        <v>129</v>
      </c>
      <c r="I40" s="3">
        <f>5*(3600/H40)</f>
        <v>139.53488372093022</v>
      </c>
    </row>
    <row r="41" spans="1:9" x14ac:dyDescent="0.25">
      <c r="A41" s="4" t="s">
        <v>23</v>
      </c>
      <c r="B41" s="1">
        <v>0.41572100000000001</v>
      </c>
      <c r="C41" s="1">
        <v>0.414217</v>
      </c>
      <c r="D41" s="1">
        <f>IF(B41&gt;C41,B41-C41,C41-B41)</f>
        <v>1.5040000000000053E-3</v>
      </c>
      <c r="E41">
        <f>MINUTE(D41)</f>
        <v>2</v>
      </c>
      <c r="F41">
        <f>SECOND(D41)</f>
        <v>10</v>
      </c>
      <c r="G41">
        <f>ROUND(E41+F41/60,2)</f>
        <v>2.17</v>
      </c>
      <c r="H41">
        <f>60*E41+F41</f>
        <v>130</v>
      </c>
      <c r="I41" s="3">
        <f>5*(3600/H41)</f>
        <v>138.46153846153845</v>
      </c>
    </row>
    <row r="42" spans="1:9" x14ac:dyDescent="0.25">
      <c r="A42" s="4" t="s">
        <v>141</v>
      </c>
      <c r="B42" s="1">
        <v>0.138354</v>
      </c>
      <c r="C42" s="1">
        <v>0.13685</v>
      </c>
      <c r="D42" s="1">
        <f>IF(B42&gt;C42,B42-C42,C42-B42)</f>
        <v>1.5040000000000053E-3</v>
      </c>
      <c r="E42">
        <f>MINUTE(D42)</f>
        <v>2</v>
      </c>
      <c r="F42">
        <f>SECOND(D42)</f>
        <v>10</v>
      </c>
      <c r="G42">
        <f>ROUND(E42+F42/60,2)</f>
        <v>2.17</v>
      </c>
      <c r="H42">
        <f>60*E42+F42</f>
        <v>130</v>
      </c>
      <c r="I42" s="3">
        <f>5*(3600/H42)</f>
        <v>138.46153846153845</v>
      </c>
    </row>
    <row r="43" spans="1:9" x14ac:dyDescent="0.25">
      <c r="A43" s="4" t="s">
        <v>95</v>
      </c>
      <c r="B43" s="1">
        <v>0.18242900000000001</v>
      </c>
      <c r="C43" s="1">
        <v>0.18092900000000001</v>
      </c>
      <c r="D43" s="1">
        <f>IF(B43&gt;C43,B43-C43,C43-B43)</f>
        <v>1.5000000000000013E-3</v>
      </c>
      <c r="E43">
        <f>MINUTE(D43)</f>
        <v>2</v>
      </c>
      <c r="F43">
        <f>SECOND(D43)</f>
        <v>10</v>
      </c>
      <c r="G43">
        <f>ROUND(E43+F43/60,2)</f>
        <v>2.17</v>
      </c>
      <c r="H43">
        <f>60*E43+F43</f>
        <v>130</v>
      </c>
      <c r="I43" s="3">
        <f>5*(3600/H43)</f>
        <v>138.46153846153845</v>
      </c>
    </row>
    <row r="44" spans="1:9" x14ac:dyDescent="0.25">
      <c r="A44" s="4" t="s">
        <v>74</v>
      </c>
      <c r="B44" s="1">
        <v>0.27588800000000002</v>
      </c>
      <c r="C44" s="1">
        <v>0.27738800000000002</v>
      </c>
      <c r="D44" s="1">
        <f>IF(B44&gt;C44,B44-C44,C44-B44)</f>
        <v>1.5000000000000013E-3</v>
      </c>
      <c r="E44">
        <f>MINUTE(D44)</f>
        <v>2</v>
      </c>
      <c r="F44">
        <f>SECOND(D44)</f>
        <v>10</v>
      </c>
      <c r="G44">
        <f>ROUND(E44+F44/60,2)</f>
        <v>2.17</v>
      </c>
      <c r="H44">
        <f>60*E44+F44</f>
        <v>130</v>
      </c>
      <c r="I44" s="3">
        <f>5*(3600/H44)</f>
        <v>138.46153846153845</v>
      </c>
    </row>
    <row r="45" spans="1:9" x14ac:dyDescent="0.25">
      <c r="A45" s="4" t="s">
        <v>72</v>
      </c>
      <c r="B45" s="1">
        <v>0.22588900000000001</v>
      </c>
      <c r="C45" s="1">
        <v>0.224385</v>
      </c>
      <c r="D45" s="1">
        <f>IF(B45&gt;C45,B45-C45,C45-B45)</f>
        <v>1.5040000000000053E-3</v>
      </c>
      <c r="E45">
        <f>MINUTE(D45)</f>
        <v>2</v>
      </c>
      <c r="F45">
        <f>SECOND(D45)</f>
        <v>10</v>
      </c>
      <c r="G45">
        <f>ROUND(E45+F45/60,2)</f>
        <v>2.17</v>
      </c>
      <c r="H45">
        <f>60*E45+F45</f>
        <v>130</v>
      </c>
      <c r="I45" s="3">
        <f>5*(3600/H45)</f>
        <v>138.46153846153845</v>
      </c>
    </row>
    <row r="46" spans="1:9" x14ac:dyDescent="0.25">
      <c r="A46" s="4" t="s">
        <v>18</v>
      </c>
      <c r="B46" s="1">
        <v>0.77679200000000004</v>
      </c>
      <c r="C46" s="1">
        <v>0.77528799999999998</v>
      </c>
      <c r="D46" s="1">
        <f>IF(B46&gt;C46,B46-C46,C46-B46)</f>
        <v>1.5040000000000608E-3</v>
      </c>
      <c r="E46">
        <f>MINUTE(D46)</f>
        <v>2</v>
      </c>
      <c r="F46">
        <f>SECOND(D46)</f>
        <v>10</v>
      </c>
      <c r="G46">
        <f>ROUND(E46+F46/60,2)</f>
        <v>2.17</v>
      </c>
      <c r="H46">
        <f>60*E46+F46</f>
        <v>130</v>
      </c>
      <c r="I46" s="3">
        <f>5*(3600/H46)</f>
        <v>138.46153846153845</v>
      </c>
    </row>
    <row r="47" spans="1:9" x14ac:dyDescent="0.25">
      <c r="A47" s="4" t="s">
        <v>104</v>
      </c>
      <c r="B47" s="1">
        <v>0.50448999999999999</v>
      </c>
      <c r="C47" s="1">
        <v>0.50298200000000004</v>
      </c>
      <c r="D47" s="1">
        <f>IF(B47&gt;C47,B47-C47,C47-B47)</f>
        <v>1.5079999999999538E-3</v>
      </c>
      <c r="E47">
        <f>MINUTE(D47)</f>
        <v>2</v>
      </c>
      <c r="F47">
        <f>SECOND(D47)</f>
        <v>10</v>
      </c>
      <c r="G47">
        <f>ROUND(E47+F47/60,2)</f>
        <v>2.17</v>
      </c>
      <c r="H47">
        <f>60*E47+F47</f>
        <v>130</v>
      </c>
      <c r="I47" s="3">
        <f>5*(3600/H47)</f>
        <v>138.46153846153845</v>
      </c>
    </row>
    <row r="48" spans="1:9" x14ac:dyDescent="0.25">
      <c r="A48" s="4" t="s">
        <v>118</v>
      </c>
      <c r="B48" s="1">
        <v>0.83749799999999996</v>
      </c>
      <c r="C48" s="1">
        <v>0.83599400000000001</v>
      </c>
      <c r="D48" s="1">
        <f>IF(B48&gt;C48,B48-C48,C48-B48)</f>
        <v>1.5039999999999498E-3</v>
      </c>
      <c r="E48">
        <f>MINUTE(D48)</f>
        <v>2</v>
      </c>
      <c r="F48">
        <f>SECOND(D48)</f>
        <v>10</v>
      </c>
      <c r="G48">
        <f>ROUND(E48+F48/60,2)</f>
        <v>2.17</v>
      </c>
      <c r="H48">
        <f>60*E48+F48</f>
        <v>130</v>
      </c>
      <c r="I48" s="3">
        <f>5*(3600/H48)</f>
        <v>138.46153846153845</v>
      </c>
    </row>
    <row r="49" spans="1:9" x14ac:dyDescent="0.25">
      <c r="A49" s="4" t="s">
        <v>87</v>
      </c>
      <c r="B49" s="1">
        <v>0.52210599999999996</v>
      </c>
      <c r="C49" s="1">
        <v>0.52360600000000002</v>
      </c>
      <c r="D49" s="1">
        <f>IF(B49&gt;C49,B49-C49,C49-B49)</f>
        <v>1.5000000000000568E-3</v>
      </c>
      <c r="E49">
        <f>MINUTE(D49)</f>
        <v>2</v>
      </c>
      <c r="F49">
        <f>SECOND(D49)</f>
        <v>10</v>
      </c>
      <c r="G49">
        <f>ROUND(E49+F49/60,2)</f>
        <v>2.17</v>
      </c>
      <c r="H49">
        <f>60*E49+F49</f>
        <v>130</v>
      </c>
      <c r="I49" s="3">
        <f>5*(3600/H49)</f>
        <v>138.46153846153845</v>
      </c>
    </row>
    <row r="50" spans="1:9" x14ac:dyDescent="0.25">
      <c r="A50" s="4" t="s">
        <v>234</v>
      </c>
      <c r="B50" s="1">
        <v>0.53744899999999995</v>
      </c>
      <c r="C50" s="1">
        <v>0.53895300000000002</v>
      </c>
      <c r="D50" s="1">
        <f>IF(B50&gt;C50,B50-C50,C50-B50)</f>
        <v>1.5040000000000608E-3</v>
      </c>
      <c r="E50">
        <f>MINUTE(D50)</f>
        <v>2</v>
      </c>
      <c r="F50">
        <f>SECOND(D50)</f>
        <v>10</v>
      </c>
      <c r="G50">
        <f>ROUND(E50+F50/60,2)</f>
        <v>2.17</v>
      </c>
      <c r="H50">
        <f>60*E50+F50</f>
        <v>130</v>
      </c>
      <c r="I50" s="3">
        <f>5*(3600/H50)</f>
        <v>138.46153846153845</v>
      </c>
    </row>
    <row r="51" spans="1:9" x14ac:dyDescent="0.25">
      <c r="A51" s="4" t="s">
        <v>134</v>
      </c>
      <c r="B51" s="1">
        <v>0.86431400000000003</v>
      </c>
      <c r="C51" s="1">
        <v>0.86280199999999996</v>
      </c>
      <c r="D51" s="1">
        <f>IF(B51&gt;C51,B51-C51,C51-B51)</f>
        <v>1.5120000000000688E-3</v>
      </c>
      <c r="E51">
        <f>MINUTE(D51)</f>
        <v>2</v>
      </c>
      <c r="F51">
        <f>SECOND(D51)</f>
        <v>11</v>
      </c>
      <c r="G51">
        <f>ROUND(E51+F51/60,2)</f>
        <v>2.1800000000000002</v>
      </c>
      <c r="H51">
        <f>60*E51+F51</f>
        <v>131</v>
      </c>
      <c r="I51" s="3">
        <f>5*(3600/H51)</f>
        <v>137.40458015267177</v>
      </c>
    </row>
    <row r="52" spans="1:9" x14ac:dyDescent="0.25">
      <c r="A52" s="4" t="s">
        <v>16</v>
      </c>
      <c r="B52" s="1">
        <v>0.26755400000000001</v>
      </c>
      <c r="C52" s="1">
        <v>0.266042</v>
      </c>
      <c r="D52" s="1">
        <f>IF(B52&gt;C52,B52-C52,C52-B52)</f>
        <v>1.5120000000000133E-3</v>
      </c>
      <c r="E52">
        <f>MINUTE(D52)</f>
        <v>2</v>
      </c>
      <c r="F52">
        <f>SECOND(D52)</f>
        <v>11</v>
      </c>
      <c r="G52">
        <f>ROUND(E52+F52/60,2)</f>
        <v>2.1800000000000002</v>
      </c>
      <c r="H52">
        <f>60*E52+F52</f>
        <v>131</v>
      </c>
      <c r="I52" s="3">
        <f>5*(3600/H52)</f>
        <v>137.40458015267177</v>
      </c>
    </row>
    <row r="53" spans="1:9" x14ac:dyDescent="0.25">
      <c r="A53" s="4" t="s">
        <v>181</v>
      </c>
      <c r="B53" s="1">
        <v>0.89040600000000003</v>
      </c>
      <c r="C53" s="1">
        <v>0.88888599999999995</v>
      </c>
      <c r="D53" s="1">
        <f>IF(B53&gt;C53,B53-C53,C53-B53)</f>
        <v>1.5200000000000768E-3</v>
      </c>
      <c r="E53">
        <f>MINUTE(D53)</f>
        <v>2</v>
      </c>
      <c r="F53">
        <f>SECOND(D53)</f>
        <v>11</v>
      </c>
      <c r="G53">
        <f>ROUND(E53+F53/60,2)</f>
        <v>2.1800000000000002</v>
      </c>
      <c r="H53">
        <f>60*E53+F53</f>
        <v>131</v>
      </c>
      <c r="I53" s="3">
        <f>5*(3600/H53)</f>
        <v>137.40458015267177</v>
      </c>
    </row>
    <row r="54" spans="1:9" x14ac:dyDescent="0.25">
      <c r="A54" s="4" t="s">
        <v>339</v>
      </c>
      <c r="B54" s="1">
        <v>0.55148399999999997</v>
      </c>
      <c r="C54" s="1">
        <v>0.55299600000000004</v>
      </c>
      <c r="D54" s="1">
        <f>IF(B54&gt;C54,B54-C54,C54-B54)</f>
        <v>1.5120000000000688E-3</v>
      </c>
      <c r="E54">
        <f>MINUTE(D54)</f>
        <v>2</v>
      </c>
      <c r="F54">
        <f>SECOND(D54)</f>
        <v>11</v>
      </c>
      <c r="G54">
        <f>ROUND(E54+F54/60,2)</f>
        <v>2.1800000000000002</v>
      </c>
      <c r="H54">
        <f>60*E54+F54</f>
        <v>131</v>
      </c>
      <c r="I54" s="3">
        <f>5*(3600/H54)</f>
        <v>137.40458015267177</v>
      </c>
    </row>
    <row r="55" spans="1:9" x14ac:dyDescent="0.25">
      <c r="A55" s="4" t="s">
        <v>120</v>
      </c>
      <c r="B55" s="1">
        <v>0.67288400000000004</v>
      </c>
      <c r="C55" s="1">
        <v>0.67135999999999996</v>
      </c>
      <c r="D55" s="1">
        <f>IF(B55&gt;C55,B55-C55,C55-B55)</f>
        <v>1.5240000000000808E-3</v>
      </c>
      <c r="E55">
        <f>MINUTE(D55)</f>
        <v>2</v>
      </c>
      <c r="F55">
        <f>SECOND(D55)</f>
        <v>12</v>
      </c>
      <c r="G55">
        <f>ROUND(E55+F55/60,2)</f>
        <v>2.2000000000000002</v>
      </c>
      <c r="H55">
        <f>60*E55+F55</f>
        <v>132</v>
      </c>
      <c r="I55" s="3">
        <f>5*(3600/H55)</f>
        <v>136.36363636363637</v>
      </c>
    </row>
    <row r="56" spans="1:9" x14ac:dyDescent="0.25">
      <c r="A56" s="4" t="s">
        <v>153</v>
      </c>
      <c r="B56" s="1">
        <v>0.13258500000000001</v>
      </c>
      <c r="C56" s="1">
        <v>0.13410900000000001</v>
      </c>
      <c r="D56" s="1">
        <f>IF(B56&gt;C56,B56-C56,C56-B56)</f>
        <v>1.5239999999999976E-3</v>
      </c>
      <c r="E56">
        <f>MINUTE(D56)</f>
        <v>2</v>
      </c>
      <c r="F56">
        <f>SECOND(D56)</f>
        <v>12</v>
      </c>
      <c r="G56">
        <f>ROUND(E56+F56/60,2)</f>
        <v>2.2000000000000002</v>
      </c>
      <c r="H56">
        <f>60*E56+F56</f>
        <v>132</v>
      </c>
      <c r="I56" s="3">
        <f>5*(3600/H56)</f>
        <v>136.36363636363637</v>
      </c>
    </row>
    <row r="57" spans="1:9" x14ac:dyDescent="0.25">
      <c r="A57" s="4" t="s">
        <v>47</v>
      </c>
      <c r="B57" s="1">
        <v>0.23163800000000001</v>
      </c>
      <c r="C57" s="1">
        <v>0.23316999999999999</v>
      </c>
      <c r="D57" s="1">
        <f>IF(B57&gt;C57,B57-C57,C57-B57)</f>
        <v>1.5319999999999778E-3</v>
      </c>
      <c r="E57">
        <f>MINUTE(D57)</f>
        <v>2</v>
      </c>
      <c r="F57">
        <f>SECOND(D57)</f>
        <v>12</v>
      </c>
      <c r="G57">
        <f>ROUND(E57+F57/60,2)</f>
        <v>2.2000000000000002</v>
      </c>
      <c r="H57">
        <f>60*E57+F57</f>
        <v>132</v>
      </c>
      <c r="I57" s="3">
        <f>5*(3600/H57)</f>
        <v>136.36363636363637</v>
      </c>
    </row>
    <row r="58" spans="1:9" x14ac:dyDescent="0.25">
      <c r="A58" s="4" t="s">
        <v>60</v>
      </c>
      <c r="B58" s="1">
        <v>0.42548900000000001</v>
      </c>
      <c r="C58" s="1">
        <v>0.42702099999999998</v>
      </c>
      <c r="D58" s="1">
        <f>IF(B58&gt;C58,B58-C58,C58-B58)</f>
        <v>1.5319999999999778E-3</v>
      </c>
      <c r="E58">
        <f>MINUTE(D58)</f>
        <v>2</v>
      </c>
      <c r="F58">
        <f>SECOND(D58)</f>
        <v>12</v>
      </c>
      <c r="G58">
        <f>ROUND(E58+F58/60,2)</f>
        <v>2.2000000000000002</v>
      </c>
      <c r="H58">
        <f>60*E58+F58</f>
        <v>132</v>
      </c>
      <c r="I58" s="3">
        <f>5*(3600/H58)</f>
        <v>136.36363636363637</v>
      </c>
    </row>
    <row r="59" spans="1:9" x14ac:dyDescent="0.25">
      <c r="A59" s="4" t="s">
        <v>280</v>
      </c>
      <c r="B59" s="1">
        <v>8.2901000000000002E-2</v>
      </c>
      <c r="C59" s="1">
        <v>8.4425E-2</v>
      </c>
      <c r="D59" s="1">
        <f>IF(B59&gt;C59,B59-C59,C59-B59)</f>
        <v>1.5239999999999976E-3</v>
      </c>
      <c r="E59">
        <f>MINUTE(D59)</f>
        <v>2</v>
      </c>
      <c r="F59">
        <f>SECOND(D59)</f>
        <v>12</v>
      </c>
      <c r="G59">
        <f>ROUND(E59+F59/60,2)</f>
        <v>2.2000000000000002</v>
      </c>
      <c r="H59">
        <f>60*E59+F59</f>
        <v>132</v>
      </c>
      <c r="I59" s="3">
        <f>5*(3600/H59)</f>
        <v>136.36363636363637</v>
      </c>
    </row>
    <row r="60" spans="1:9" x14ac:dyDescent="0.25">
      <c r="A60" s="4" t="s">
        <v>74</v>
      </c>
      <c r="B60" s="1">
        <v>0.20558899999999999</v>
      </c>
      <c r="C60" s="1">
        <v>0.20712900000000001</v>
      </c>
      <c r="D60" s="1">
        <f>IF(B60&gt;C60,B60-C60,C60-B60)</f>
        <v>1.5400000000000136E-3</v>
      </c>
      <c r="E60">
        <f>MINUTE(D60)</f>
        <v>2</v>
      </c>
      <c r="F60">
        <f>SECOND(D60)</f>
        <v>13</v>
      </c>
      <c r="G60">
        <f>ROUND(E60+F60/60,2)</f>
        <v>2.2200000000000002</v>
      </c>
      <c r="H60">
        <f>60*E60+F60</f>
        <v>133</v>
      </c>
      <c r="I60" s="3">
        <f>5*(3600/H60)</f>
        <v>135.33834586466165</v>
      </c>
    </row>
    <row r="61" spans="1:9" x14ac:dyDescent="0.25">
      <c r="A61" s="4" t="s">
        <v>93</v>
      </c>
      <c r="B61" s="1">
        <v>0.24371599999999999</v>
      </c>
      <c r="C61" s="1">
        <v>0.24526400000000001</v>
      </c>
      <c r="D61" s="1">
        <f>IF(B61&gt;C61,B61-C61,C61-B61)</f>
        <v>1.5480000000000216E-3</v>
      </c>
      <c r="E61">
        <f>MINUTE(D61)</f>
        <v>2</v>
      </c>
      <c r="F61">
        <f>SECOND(D61)</f>
        <v>14</v>
      </c>
      <c r="G61">
        <f>ROUND(E61+F61/60,2)</f>
        <v>2.23</v>
      </c>
      <c r="H61">
        <f>60*E61+F61</f>
        <v>134</v>
      </c>
      <c r="I61" s="3">
        <f>5*(3600/H61)</f>
        <v>134.32835820895522</v>
      </c>
    </row>
    <row r="62" spans="1:9" x14ac:dyDescent="0.25">
      <c r="A62" s="4" t="s">
        <v>68</v>
      </c>
      <c r="B62" s="1">
        <v>0.398974</v>
      </c>
      <c r="C62" s="1">
        <v>0.40052599999999999</v>
      </c>
      <c r="D62" s="1">
        <f>IF(B62&gt;C62,B62-C62,C62-B62)</f>
        <v>1.5519999999999978E-3</v>
      </c>
      <c r="E62">
        <f>MINUTE(D62)</f>
        <v>2</v>
      </c>
      <c r="F62">
        <f>SECOND(D62)</f>
        <v>14</v>
      </c>
      <c r="G62">
        <f>ROUND(E62+F62/60,2)</f>
        <v>2.23</v>
      </c>
      <c r="H62">
        <f>60*E62+F62</f>
        <v>134</v>
      </c>
      <c r="I62" s="3">
        <f>5*(3600/H62)</f>
        <v>134.32835820895522</v>
      </c>
    </row>
    <row r="63" spans="1:9" x14ac:dyDescent="0.25">
      <c r="A63" s="4" t="s">
        <v>57</v>
      </c>
      <c r="B63" s="1">
        <v>0.174453</v>
      </c>
      <c r="C63" s="1">
        <v>0.176009</v>
      </c>
      <c r="D63" s="1">
        <f>IF(B63&gt;C63,B63-C63,C63-B63)</f>
        <v>1.5560000000000018E-3</v>
      </c>
      <c r="E63">
        <f>MINUTE(D63)</f>
        <v>2</v>
      </c>
      <c r="F63">
        <f>SECOND(D63)</f>
        <v>14</v>
      </c>
      <c r="G63">
        <f>ROUND(E63+F63/60,2)</f>
        <v>2.23</v>
      </c>
      <c r="H63">
        <f>60*E63+F63</f>
        <v>134</v>
      </c>
      <c r="I63" s="3">
        <f>5*(3600/H63)</f>
        <v>134.32835820895522</v>
      </c>
    </row>
    <row r="64" spans="1:9" x14ac:dyDescent="0.25">
      <c r="A64" s="4" t="s">
        <v>93</v>
      </c>
      <c r="B64" s="1">
        <v>0.64764299999999997</v>
      </c>
      <c r="C64" s="1">
        <v>0.64919099999999996</v>
      </c>
      <c r="D64" s="1">
        <f>IF(B64&gt;C64,B64-C64,C64-B64)</f>
        <v>1.5479999999999938E-3</v>
      </c>
      <c r="E64">
        <f>MINUTE(D64)</f>
        <v>2</v>
      </c>
      <c r="F64">
        <f>SECOND(D64)</f>
        <v>14</v>
      </c>
      <c r="G64">
        <f>ROUND(E64+F64/60,2)</f>
        <v>2.23</v>
      </c>
      <c r="H64">
        <f>60*E64+F64</f>
        <v>134</v>
      </c>
      <c r="I64" s="3">
        <f>5*(3600/H64)</f>
        <v>134.32835820895522</v>
      </c>
    </row>
    <row r="65" spans="1:9" x14ac:dyDescent="0.25">
      <c r="A65" s="4" t="s">
        <v>117</v>
      </c>
      <c r="B65" s="1">
        <v>3.3759999999999998E-2</v>
      </c>
      <c r="C65" s="1">
        <v>3.5316E-2</v>
      </c>
      <c r="D65" s="1">
        <f>IF(B65&gt;C65,B65-C65,C65-B65)</f>
        <v>1.5560000000000018E-3</v>
      </c>
      <c r="E65">
        <f>MINUTE(D65)</f>
        <v>2</v>
      </c>
      <c r="F65">
        <f>SECOND(D65)</f>
        <v>14</v>
      </c>
      <c r="G65">
        <f>ROUND(E65+F65/60,2)</f>
        <v>2.23</v>
      </c>
      <c r="H65">
        <f>60*E65+F65</f>
        <v>134</v>
      </c>
      <c r="I65" s="3">
        <f>5*(3600/H65)</f>
        <v>134.32835820895522</v>
      </c>
    </row>
    <row r="66" spans="1:9" x14ac:dyDescent="0.25">
      <c r="A66" s="4" t="s">
        <v>109</v>
      </c>
      <c r="B66" s="1">
        <v>0.38767800000000002</v>
      </c>
      <c r="C66" s="1">
        <v>0.38923000000000002</v>
      </c>
      <c r="D66" s="1">
        <f>IF(B66&gt;C66,B66-C66,C66-B66)</f>
        <v>1.5519999999999978E-3</v>
      </c>
      <c r="E66">
        <f>MINUTE(D66)</f>
        <v>2</v>
      </c>
      <c r="F66">
        <f>SECOND(D66)</f>
        <v>14</v>
      </c>
      <c r="G66">
        <f>ROUND(E66+F66/60,2)</f>
        <v>2.23</v>
      </c>
      <c r="H66">
        <f>60*E66+F66</f>
        <v>134</v>
      </c>
      <c r="I66" s="3">
        <f>5*(3600/H66)</f>
        <v>134.32835820895522</v>
      </c>
    </row>
    <row r="67" spans="1:9" x14ac:dyDescent="0.25">
      <c r="A67" s="4" t="s">
        <v>203</v>
      </c>
      <c r="B67" s="1">
        <v>0.49404599999999999</v>
      </c>
      <c r="C67" s="1">
        <v>0.49249399999999999</v>
      </c>
      <c r="D67" s="1">
        <f>IF(B67&gt;C67,B67-C67,C67-B67)</f>
        <v>1.5519999999999978E-3</v>
      </c>
      <c r="E67">
        <f>MINUTE(D67)</f>
        <v>2</v>
      </c>
      <c r="F67">
        <f>SECOND(D67)</f>
        <v>14</v>
      </c>
      <c r="G67">
        <f>ROUND(E67+F67/60,2)</f>
        <v>2.23</v>
      </c>
      <c r="H67">
        <f>60*E67+F67</f>
        <v>134</v>
      </c>
      <c r="I67" s="3">
        <f>5*(3600/H67)</f>
        <v>134.32835820895522</v>
      </c>
    </row>
    <row r="68" spans="1:9" x14ac:dyDescent="0.25">
      <c r="A68" s="4" t="s">
        <v>131</v>
      </c>
      <c r="B68" s="1">
        <v>0.380658</v>
      </c>
      <c r="C68" s="1">
        <v>0.37909399999999999</v>
      </c>
      <c r="D68" s="1">
        <f>IF(B68&gt;C68,B68-C68,C68-B68)</f>
        <v>1.5640000000000098E-3</v>
      </c>
      <c r="E68">
        <f>MINUTE(D68)</f>
        <v>2</v>
      </c>
      <c r="F68">
        <f>SECOND(D68)</f>
        <v>15</v>
      </c>
      <c r="G68">
        <f>ROUND(E68+F68/60,2)</f>
        <v>2.25</v>
      </c>
      <c r="H68">
        <f>60*E68+F68</f>
        <v>135</v>
      </c>
      <c r="I68" s="3">
        <f>5*(3600/H68)</f>
        <v>133.33333333333334</v>
      </c>
    </row>
    <row r="69" spans="1:9" x14ac:dyDescent="0.25">
      <c r="A69" s="4" t="s">
        <v>82</v>
      </c>
      <c r="B69" s="1">
        <v>0.34303299999999998</v>
      </c>
      <c r="C69" s="1">
        <v>0.34460099999999999</v>
      </c>
      <c r="D69" s="1">
        <f>IF(B69&gt;C69,B69-C69,C69-B69)</f>
        <v>1.5680000000000138E-3</v>
      </c>
      <c r="E69">
        <f>MINUTE(D69)</f>
        <v>2</v>
      </c>
      <c r="F69">
        <f>SECOND(D69)</f>
        <v>15</v>
      </c>
      <c r="G69">
        <f>ROUND(E69+F69/60,2)</f>
        <v>2.25</v>
      </c>
      <c r="H69">
        <f>60*E69+F69</f>
        <v>135</v>
      </c>
      <c r="I69" s="3">
        <f>5*(3600/H69)</f>
        <v>133.33333333333334</v>
      </c>
    </row>
    <row r="70" spans="1:9" x14ac:dyDescent="0.25">
      <c r="A70" s="4" t="s">
        <v>20</v>
      </c>
      <c r="B70" s="1">
        <v>0.262909</v>
      </c>
      <c r="C70" s="1">
        <v>0.26447300000000001</v>
      </c>
      <c r="D70" s="1">
        <f>IF(B70&gt;C70,B70-C70,C70-B70)</f>
        <v>1.5640000000000098E-3</v>
      </c>
      <c r="E70">
        <f>MINUTE(D70)</f>
        <v>2</v>
      </c>
      <c r="F70">
        <f>SECOND(D70)</f>
        <v>15</v>
      </c>
      <c r="G70">
        <f>ROUND(E70+F70/60,2)</f>
        <v>2.25</v>
      </c>
      <c r="H70">
        <f>60*E70+F70</f>
        <v>135</v>
      </c>
      <c r="I70" s="3">
        <f>5*(3600/H70)</f>
        <v>133.33333333333334</v>
      </c>
    </row>
    <row r="71" spans="1:9" x14ac:dyDescent="0.25">
      <c r="A71" s="4" t="s">
        <v>297</v>
      </c>
      <c r="B71" s="1">
        <v>0.63311200000000001</v>
      </c>
      <c r="C71" s="1">
        <v>0.63467600000000002</v>
      </c>
      <c r="D71" s="1">
        <f>IF(B71&gt;C71,B71-C71,C71-B71)</f>
        <v>1.5640000000000098E-3</v>
      </c>
      <c r="E71">
        <f>MINUTE(D71)</f>
        <v>2</v>
      </c>
      <c r="F71">
        <f>SECOND(D71)</f>
        <v>15</v>
      </c>
      <c r="G71">
        <f>ROUND(E71+F71/60,2)</f>
        <v>2.25</v>
      </c>
      <c r="H71">
        <f>60*E71+F71</f>
        <v>135</v>
      </c>
      <c r="I71" s="3">
        <f>5*(3600/H71)</f>
        <v>133.33333333333334</v>
      </c>
    </row>
    <row r="72" spans="1:9" x14ac:dyDescent="0.25">
      <c r="A72" s="4" t="s">
        <v>3</v>
      </c>
      <c r="B72" s="1">
        <v>0.140041</v>
      </c>
      <c r="C72" s="1">
        <v>0.14161699999999999</v>
      </c>
      <c r="D72" s="1">
        <f>IF(B72&gt;C72,B72-C72,C72-B72)</f>
        <v>1.5759999999999941E-3</v>
      </c>
      <c r="E72">
        <f>MINUTE(D72)</f>
        <v>2</v>
      </c>
      <c r="F72">
        <f>SECOND(D72)</f>
        <v>16</v>
      </c>
      <c r="G72">
        <f>ROUND(E72+F72/60,2)</f>
        <v>2.27</v>
      </c>
      <c r="H72">
        <f>60*E72+F72</f>
        <v>136</v>
      </c>
      <c r="I72" s="3">
        <f>5*(3600/H72)</f>
        <v>132.35294117647058</v>
      </c>
    </row>
    <row r="73" spans="1:9" x14ac:dyDescent="0.25">
      <c r="A73" s="4" t="s">
        <v>83</v>
      </c>
      <c r="B73" s="1">
        <v>0.72719900000000004</v>
      </c>
      <c r="C73" s="1">
        <v>0.72877099999999995</v>
      </c>
      <c r="D73" s="1">
        <f>IF(B73&gt;C73,B73-C73,C73-B73)</f>
        <v>1.5719999999999068E-3</v>
      </c>
      <c r="E73">
        <f>MINUTE(D73)</f>
        <v>2</v>
      </c>
      <c r="F73">
        <f>SECOND(D73)</f>
        <v>16</v>
      </c>
      <c r="G73">
        <f>ROUND(E73+F73/60,2)</f>
        <v>2.27</v>
      </c>
      <c r="H73">
        <f>60*E73+F73</f>
        <v>136</v>
      </c>
      <c r="I73" s="3">
        <f>5*(3600/H73)</f>
        <v>132.35294117647058</v>
      </c>
    </row>
    <row r="74" spans="1:9" x14ac:dyDescent="0.25">
      <c r="A74" s="4" t="s">
        <v>62</v>
      </c>
      <c r="B74" s="1">
        <v>8.6955000000000005E-2</v>
      </c>
      <c r="C74" s="1">
        <v>8.5378999999999997E-2</v>
      </c>
      <c r="D74" s="1">
        <f>IF(B74&gt;C74,B74-C74,C74-B74)</f>
        <v>1.576000000000008E-3</v>
      </c>
      <c r="E74">
        <f>MINUTE(D74)</f>
        <v>2</v>
      </c>
      <c r="F74">
        <f>SECOND(D74)</f>
        <v>16</v>
      </c>
      <c r="G74">
        <f>ROUND(E74+F74/60,2)</f>
        <v>2.27</v>
      </c>
      <c r="H74">
        <f>60*E74+F74</f>
        <v>136</v>
      </c>
      <c r="I74" s="3">
        <f>5*(3600/H74)</f>
        <v>132.35294117647058</v>
      </c>
    </row>
    <row r="75" spans="1:9" x14ac:dyDescent="0.25">
      <c r="A75" s="4" t="s">
        <v>252</v>
      </c>
      <c r="B75" s="1">
        <v>0.40370400000000001</v>
      </c>
      <c r="C75" s="1">
        <v>0.40213199999999999</v>
      </c>
      <c r="D75" s="1">
        <f>IF(B75&gt;C75,B75-C75,C75-B75)</f>
        <v>1.5720000000000178E-3</v>
      </c>
      <c r="E75">
        <f>MINUTE(D75)</f>
        <v>2</v>
      </c>
      <c r="F75">
        <f>SECOND(D75)</f>
        <v>16</v>
      </c>
      <c r="G75">
        <f>ROUND(E75+F75/60,2)</f>
        <v>2.27</v>
      </c>
      <c r="H75">
        <f>60*E75+F75</f>
        <v>136</v>
      </c>
      <c r="I75" s="3">
        <f>5*(3600/H75)</f>
        <v>132.35294117647058</v>
      </c>
    </row>
    <row r="76" spans="1:9" x14ac:dyDescent="0.25">
      <c r="A76" s="4" t="s">
        <v>125</v>
      </c>
      <c r="B76" s="1">
        <v>0.93394999999999995</v>
      </c>
      <c r="C76" s="1">
        <v>0.93237000000000003</v>
      </c>
      <c r="D76" s="1">
        <f>IF(B76&gt;C76,B76-C76,C76-B76)</f>
        <v>1.5799999999999148E-3</v>
      </c>
      <c r="E76">
        <f>MINUTE(D76)</f>
        <v>2</v>
      </c>
      <c r="F76">
        <f>SECOND(D76)</f>
        <v>17</v>
      </c>
      <c r="G76">
        <f>ROUND(E76+F76/60,2)</f>
        <v>2.2799999999999998</v>
      </c>
      <c r="H76">
        <f>60*E76+F76</f>
        <v>137</v>
      </c>
      <c r="I76" s="3">
        <f>5*(3600/H76)</f>
        <v>131.38686131386862</v>
      </c>
    </row>
    <row r="77" spans="1:9" x14ac:dyDescent="0.25">
      <c r="A77" s="4" t="s">
        <v>354</v>
      </c>
      <c r="B77" s="1">
        <v>0.58568299999999995</v>
      </c>
      <c r="C77" s="1">
        <v>0.58726699999999998</v>
      </c>
      <c r="D77" s="1">
        <f>IF(B77&gt;C77,B77-C77,C77-B77)</f>
        <v>1.5840000000000298E-3</v>
      </c>
      <c r="E77">
        <f>MINUTE(D77)</f>
        <v>2</v>
      </c>
      <c r="F77">
        <f>SECOND(D77)</f>
        <v>17</v>
      </c>
      <c r="G77">
        <f>ROUND(E77+F77/60,2)</f>
        <v>2.2799999999999998</v>
      </c>
      <c r="H77">
        <f>60*E77+F77</f>
        <v>137</v>
      </c>
      <c r="I77" s="3">
        <f>5*(3600/H77)</f>
        <v>131.38686131386862</v>
      </c>
    </row>
    <row r="78" spans="1:9" x14ac:dyDescent="0.25">
      <c r="A78" s="4" t="s">
        <v>21</v>
      </c>
      <c r="B78" s="1">
        <v>0.99788299999999996</v>
      </c>
      <c r="C78" s="1">
        <v>0.99948300000000001</v>
      </c>
      <c r="D78" s="1">
        <f>IF(B78&gt;C78,B78-C78,C78-B78)</f>
        <v>1.6000000000000458E-3</v>
      </c>
      <c r="E78">
        <f>MINUTE(D78)</f>
        <v>2</v>
      </c>
      <c r="F78">
        <f>SECOND(D78)</f>
        <v>18</v>
      </c>
      <c r="G78">
        <f>ROUND(E78+F78/60,2)</f>
        <v>2.2999999999999998</v>
      </c>
      <c r="H78">
        <f>60*E78+F78</f>
        <v>138</v>
      </c>
      <c r="I78" s="3">
        <f>5*(3600/H78)</f>
        <v>130.43478260869566</v>
      </c>
    </row>
    <row r="79" spans="1:9" x14ac:dyDescent="0.25">
      <c r="A79" s="4" t="s">
        <v>5</v>
      </c>
      <c r="B79" s="1">
        <v>0.19459099999999999</v>
      </c>
      <c r="C79" s="1">
        <v>0.196183</v>
      </c>
      <c r="D79" s="1">
        <f>IF(B79&gt;C79,B79-C79,C79-B79)</f>
        <v>1.5920000000000101E-3</v>
      </c>
      <c r="E79">
        <f>MINUTE(D79)</f>
        <v>2</v>
      </c>
      <c r="F79">
        <f>SECOND(D79)</f>
        <v>18</v>
      </c>
      <c r="G79">
        <f>ROUND(E79+F79/60,2)</f>
        <v>2.2999999999999998</v>
      </c>
      <c r="H79">
        <f>60*E79+F79</f>
        <v>138</v>
      </c>
      <c r="I79" s="3">
        <f>5*(3600/H79)</f>
        <v>130.43478260869566</v>
      </c>
    </row>
    <row r="80" spans="1:9" x14ac:dyDescent="0.25">
      <c r="A80" s="4" t="s">
        <v>386</v>
      </c>
      <c r="B80" s="1">
        <v>0.71810700000000005</v>
      </c>
      <c r="C80" s="1">
        <v>0.71969899999999998</v>
      </c>
      <c r="D80" s="1">
        <f>IF(B80&gt;C80,B80-C80,C80-B80)</f>
        <v>1.5919999999999268E-3</v>
      </c>
      <c r="E80">
        <f>MINUTE(D80)</f>
        <v>2</v>
      </c>
      <c r="F80">
        <f>SECOND(D80)</f>
        <v>18</v>
      </c>
      <c r="G80">
        <f>ROUND(E80+F80/60,2)</f>
        <v>2.2999999999999998</v>
      </c>
      <c r="H80">
        <f>60*E80+F80</f>
        <v>138</v>
      </c>
      <c r="I80" s="3">
        <f>5*(3600/H80)</f>
        <v>130.43478260869566</v>
      </c>
    </row>
    <row r="81" spans="1:9" x14ac:dyDescent="0.25">
      <c r="A81" s="4" t="s">
        <v>162</v>
      </c>
      <c r="B81" s="1">
        <v>0.97303899999999999</v>
      </c>
      <c r="C81" s="1">
        <v>0.97464700000000004</v>
      </c>
      <c r="D81" s="1">
        <f>IF(B81&gt;C81,B81-C81,C81-B81)</f>
        <v>1.6080000000000538E-3</v>
      </c>
      <c r="E81">
        <f>MINUTE(D81)</f>
        <v>2</v>
      </c>
      <c r="F81">
        <f>SECOND(D81)</f>
        <v>19</v>
      </c>
      <c r="G81">
        <f>ROUND(E81+F81/60,2)</f>
        <v>2.3199999999999998</v>
      </c>
      <c r="H81">
        <f>60*E81+F81</f>
        <v>139</v>
      </c>
      <c r="I81" s="3">
        <f>5*(3600/H81)</f>
        <v>129.49640287769785</v>
      </c>
    </row>
    <row r="82" spans="1:9" x14ac:dyDescent="0.25">
      <c r="A82" s="4" t="s">
        <v>85</v>
      </c>
      <c r="B82" s="1">
        <v>9.6156000000000005E-2</v>
      </c>
      <c r="C82" s="1">
        <v>9.7767999999999994E-2</v>
      </c>
      <c r="D82" s="1">
        <f>IF(B82&gt;C82,B82-C82,C82-B82)</f>
        <v>1.6119999999999884E-3</v>
      </c>
      <c r="E82">
        <f>MINUTE(D82)</f>
        <v>2</v>
      </c>
      <c r="F82">
        <f>SECOND(D82)</f>
        <v>19</v>
      </c>
      <c r="G82">
        <f>ROUND(E82+F82/60,2)</f>
        <v>2.3199999999999998</v>
      </c>
      <c r="H82">
        <f>60*E82+F82</f>
        <v>139</v>
      </c>
      <c r="I82" s="3">
        <f>5*(3600/H82)</f>
        <v>129.49640287769785</v>
      </c>
    </row>
    <row r="83" spans="1:9" x14ac:dyDescent="0.25">
      <c r="A83" s="4" t="s">
        <v>129</v>
      </c>
      <c r="B83" s="1">
        <v>0.89078199999999996</v>
      </c>
      <c r="C83" s="1">
        <v>0.89239400000000002</v>
      </c>
      <c r="D83" s="1">
        <f>IF(B83&gt;C83,B83-C83,C83-B83)</f>
        <v>1.6120000000000578E-3</v>
      </c>
      <c r="E83">
        <f>MINUTE(D83)</f>
        <v>2</v>
      </c>
      <c r="F83">
        <f>SECOND(D83)</f>
        <v>19</v>
      </c>
      <c r="G83">
        <f>ROUND(E83+F83/60,2)</f>
        <v>2.3199999999999998</v>
      </c>
      <c r="H83">
        <f>60*E83+F83</f>
        <v>139</v>
      </c>
      <c r="I83" s="3">
        <f>5*(3600/H83)</f>
        <v>129.49640287769785</v>
      </c>
    </row>
    <row r="84" spans="1:9" x14ac:dyDescent="0.25">
      <c r="A84" s="4" t="s">
        <v>254</v>
      </c>
      <c r="B84" s="1">
        <v>0.20783799999999999</v>
      </c>
      <c r="C84" s="1">
        <v>0.20622599999999999</v>
      </c>
      <c r="D84" s="1">
        <f>IF(B84&gt;C84,B84-C84,C84-B84)</f>
        <v>1.6120000000000023E-3</v>
      </c>
      <c r="E84">
        <f>MINUTE(D84)</f>
        <v>2</v>
      </c>
      <c r="F84">
        <f>SECOND(D84)</f>
        <v>19</v>
      </c>
      <c r="G84">
        <f>ROUND(E84+F84/60,2)</f>
        <v>2.3199999999999998</v>
      </c>
      <c r="H84">
        <f>60*E84+F84</f>
        <v>139</v>
      </c>
      <c r="I84" s="3">
        <f>5*(3600/H84)</f>
        <v>129.49640287769785</v>
      </c>
    </row>
    <row r="85" spans="1:9" x14ac:dyDescent="0.25">
      <c r="A85" s="4" t="s">
        <v>362</v>
      </c>
      <c r="B85" s="1">
        <v>0.61457899999999999</v>
      </c>
      <c r="C85" s="1">
        <v>0.61297100000000004</v>
      </c>
      <c r="D85" s="1">
        <f>IF(B85&gt;C85,B85-C85,C85-B85)</f>
        <v>1.6079999999999428E-3</v>
      </c>
      <c r="E85">
        <f>MINUTE(D85)</f>
        <v>2</v>
      </c>
      <c r="F85">
        <f>SECOND(D85)</f>
        <v>19</v>
      </c>
      <c r="G85">
        <f>ROUND(E85+F85/60,2)</f>
        <v>2.3199999999999998</v>
      </c>
      <c r="H85">
        <f>60*E85+F85</f>
        <v>139</v>
      </c>
      <c r="I85" s="3">
        <f>5*(3600/H85)</f>
        <v>129.49640287769785</v>
      </c>
    </row>
    <row r="86" spans="1:9" x14ac:dyDescent="0.25">
      <c r="A86" s="4" t="s">
        <v>48</v>
      </c>
      <c r="B86" s="1">
        <v>0.29613200000000001</v>
      </c>
      <c r="C86" s="1">
        <v>0.29450799999999999</v>
      </c>
      <c r="D86" s="1">
        <f>IF(B86&gt;C86,B86-C86,C86-B86)</f>
        <v>1.6240000000000143E-3</v>
      </c>
      <c r="E86">
        <f>MINUTE(D86)</f>
        <v>2</v>
      </c>
      <c r="F86">
        <f>SECOND(D86)</f>
        <v>20</v>
      </c>
      <c r="G86">
        <f>ROUND(E86+F86/60,2)</f>
        <v>2.33</v>
      </c>
      <c r="H86">
        <f>60*E86+F86</f>
        <v>140</v>
      </c>
      <c r="I86" s="3">
        <f>5*(3600/H86)</f>
        <v>128.57142857142858</v>
      </c>
    </row>
    <row r="87" spans="1:9" x14ac:dyDescent="0.25">
      <c r="A87" s="4" t="s">
        <v>117</v>
      </c>
      <c r="B87" s="1">
        <v>0.42769200000000002</v>
      </c>
      <c r="C87" s="1">
        <v>0.42931599999999998</v>
      </c>
      <c r="D87" s="1">
        <f>IF(B87&gt;C87,B87-C87,C87-B87)</f>
        <v>1.6239999999999588E-3</v>
      </c>
      <c r="E87">
        <f>MINUTE(D87)</f>
        <v>2</v>
      </c>
      <c r="F87">
        <f>SECOND(D87)</f>
        <v>20</v>
      </c>
      <c r="G87">
        <f>ROUND(E87+F87/60,2)</f>
        <v>2.33</v>
      </c>
      <c r="H87">
        <f>60*E87+F87</f>
        <v>140</v>
      </c>
      <c r="I87" s="3">
        <f>5*(3600/H87)</f>
        <v>128.57142857142858</v>
      </c>
    </row>
    <row r="88" spans="1:9" x14ac:dyDescent="0.25">
      <c r="A88" s="4" t="s">
        <v>41</v>
      </c>
      <c r="B88" s="1">
        <v>0.90852699999999997</v>
      </c>
      <c r="C88" s="1">
        <v>0.90690300000000001</v>
      </c>
      <c r="D88" s="1">
        <f>IF(B88&gt;C88,B88-C88,C88-B88)</f>
        <v>1.6239999999999588E-3</v>
      </c>
      <c r="E88">
        <f>MINUTE(D88)</f>
        <v>2</v>
      </c>
      <c r="F88">
        <f>SECOND(D88)</f>
        <v>20</v>
      </c>
      <c r="G88">
        <f>ROUND(E88+F88/60,2)</f>
        <v>2.33</v>
      </c>
      <c r="H88">
        <f>60*E88+F88</f>
        <v>140</v>
      </c>
      <c r="I88" s="3">
        <f>5*(3600/H88)</f>
        <v>128.57142857142858</v>
      </c>
    </row>
    <row r="89" spans="1:9" x14ac:dyDescent="0.25">
      <c r="A89" s="4" t="s">
        <v>56</v>
      </c>
      <c r="B89" s="1">
        <v>0.34593800000000002</v>
      </c>
      <c r="C89" s="1">
        <v>0.34431400000000001</v>
      </c>
      <c r="D89" s="1">
        <f>IF(B89&gt;C89,B89-C89,C89-B89)</f>
        <v>1.6240000000000143E-3</v>
      </c>
      <c r="E89">
        <f>MINUTE(D89)</f>
        <v>2</v>
      </c>
      <c r="F89">
        <f>SECOND(D89)</f>
        <v>20</v>
      </c>
      <c r="G89">
        <f>ROUND(E89+F89/60,2)</f>
        <v>2.33</v>
      </c>
      <c r="H89">
        <f>60*E89+F89</f>
        <v>140</v>
      </c>
      <c r="I89" s="3">
        <f>5*(3600/H89)</f>
        <v>128.57142857142858</v>
      </c>
    </row>
    <row r="90" spans="1:9" x14ac:dyDescent="0.25">
      <c r="A90" s="4" t="s">
        <v>111</v>
      </c>
      <c r="B90" s="1">
        <v>0.37411299999999997</v>
      </c>
      <c r="C90" s="1">
        <v>0.37249300000000002</v>
      </c>
      <c r="D90" s="1">
        <f>IF(B90&gt;C90,B90-C90,C90-B90)</f>
        <v>1.6199999999999548E-3</v>
      </c>
      <c r="E90">
        <f>MINUTE(D90)</f>
        <v>2</v>
      </c>
      <c r="F90">
        <f>SECOND(D90)</f>
        <v>20</v>
      </c>
      <c r="G90">
        <f>ROUND(E90+F90/60,2)</f>
        <v>2.33</v>
      </c>
      <c r="H90">
        <f>60*E90+F90</f>
        <v>140</v>
      </c>
      <c r="I90" s="3">
        <f>5*(3600/H90)</f>
        <v>128.57142857142858</v>
      </c>
    </row>
    <row r="91" spans="1:9" x14ac:dyDescent="0.25">
      <c r="A91" s="4" t="s">
        <v>159</v>
      </c>
      <c r="B91" s="1">
        <v>0.37415799999999999</v>
      </c>
      <c r="C91" s="1">
        <v>0.375778</v>
      </c>
      <c r="D91" s="1">
        <f>IF(B91&gt;C91,B91-C91,C91-B91)</f>
        <v>1.6200000000000103E-3</v>
      </c>
      <c r="E91">
        <f>MINUTE(D91)</f>
        <v>2</v>
      </c>
      <c r="F91">
        <f>SECOND(D91)</f>
        <v>20</v>
      </c>
      <c r="G91">
        <f>ROUND(E91+F91/60,2)</f>
        <v>2.33</v>
      </c>
      <c r="H91">
        <f>60*E91+F91</f>
        <v>140</v>
      </c>
      <c r="I91" s="3">
        <f>5*(3600/H91)</f>
        <v>128.57142857142858</v>
      </c>
    </row>
    <row r="92" spans="1:9" x14ac:dyDescent="0.25">
      <c r="A92" s="4" t="s">
        <v>275</v>
      </c>
      <c r="B92" s="1">
        <v>0.94390099999999999</v>
      </c>
      <c r="C92" s="1">
        <v>0.94228100000000004</v>
      </c>
      <c r="D92" s="1">
        <f>IF(B92&gt;C92,B92-C92,C92-B92)</f>
        <v>1.6199999999999548E-3</v>
      </c>
      <c r="E92">
        <f>MINUTE(D92)</f>
        <v>2</v>
      </c>
      <c r="F92">
        <f>SECOND(D92)</f>
        <v>20</v>
      </c>
      <c r="G92">
        <f>ROUND(E92+F92/60,2)</f>
        <v>2.33</v>
      </c>
      <c r="H92">
        <f>60*E92+F92</f>
        <v>140</v>
      </c>
      <c r="I92" s="3">
        <f>5*(3600/H92)</f>
        <v>128.57142857142858</v>
      </c>
    </row>
    <row r="93" spans="1:9" x14ac:dyDescent="0.25">
      <c r="A93" s="4" t="s">
        <v>349</v>
      </c>
      <c r="B93" s="1">
        <v>0.62740099999999999</v>
      </c>
      <c r="C93" s="1">
        <v>0.62578100000000003</v>
      </c>
      <c r="D93" s="1">
        <f>IF(B93&gt;C93,B93-C93,C93-B93)</f>
        <v>1.6199999999999548E-3</v>
      </c>
      <c r="E93">
        <f>MINUTE(D93)</f>
        <v>2</v>
      </c>
      <c r="F93">
        <f>SECOND(D93)</f>
        <v>20</v>
      </c>
      <c r="G93">
        <f>ROUND(E93+F93/60,2)</f>
        <v>2.33</v>
      </c>
      <c r="H93">
        <f>60*E93+F93</f>
        <v>140</v>
      </c>
      <c r="I93" s="3">
        <f>5*(3600/H93)</f>
        <v>128.57142857142858</v>
      </c>
    </row>
    <row r="94" spans="1:9" x14ac:dyDescent="0.25">
      <c r="A94" s="4" t="s">
        <v>100</v>
      </c>
      <c r="B94" s="1">
        <v>0.76018399999999997</v>
      </c>
      <c r="C94" s="1">
        <v>0.75855600000000001</v>
      </c>
      <c r="D94" s="1">
        <f>IF(B94&gt;C94,B94-C94,C94-B94)</f>
        <v>1.6279999999999628E-3</v>
      </c>
      <c r="E94">
        <f>MINUTE(D94)</f>
        <v>2</v>
      </c>
      <c r="F94">
        <f>SECOND(D94)</f>
        <v>21</v>
      </c>
      <c r="G94">
        <f>ROUND(E94+F94/60,2)</f>
        <v>2.35</v>
      </c>
      <c r="H94">
        <f>60*E94+F94</f>
        <v>141</v>
      </c>
      <c r="I94" s="3">
        <f>5*(3600/H94)</f>
        <v>127.65957446808511</v>
      </c>
    </row>
    <row r="95" spans="1:9" x14ac:dyDescent="0.25">
      <c r="A95" s="4" t="s">
        <v>110</v>
      </c>
      <c r="B95" s="1">
        <v>0.167017</v>
      </c>
      <c r="C95" s="1">
        <v>0.16538900000000001</v>
      </c>
      <c r="D95" s="1">
        <f>IF(B95&gt;C95,B95-C95,C95-B95)</f>
        <v>1.6279999999999906E-3</v>
      </c>
      <c r="E95">
        <f>MINUTE(D95)</f>
        <v>2</v>
      </c>
      <c r="F95">
        <f>SECOND(D95)</f>
        <v>21</v>
      </c>
      <c r="G95">
        <f>ROUND(E95+F95/60,2)</f>
        <v>2.35</v>
      </c>
      <c r="H95">
        <f>60*E95+F95</f>
        <v>141</v>
      </c>
      <c r="I95" s="3">
        <f>5*(3600/H95)</f>
        <v>127.65957446808511</v>
      </c>
    </row>
    <row r="96" spans="1:9" x14ac:dyDescent="0.25">
      <c r="A96" s="4" t="s">
        <v>125</v>
      </c>
      <c r="B96" s="1">
        <v>0.37008999999999997</v>
      </c>
      <c r="C96" s="1">
        <v>0.368454</v>
      </c>
      <c r="D96" s="1">
        <f>IF(B96&gt;C96,B96-C96,C96-B96)</f>
        <v>1.6359999999999708E-3</v>
      </c>
      <c r="E96">
        <f>MINUTE(D96)</f>
        <v>2</v>
      </c>
      <c r="F96">
        <f>SECOND(D96)</f>
        <v>21</v>
      </c>
      <c r="G96">
        <f>ROUND(E96+F96/60,2)</f>
        <v>2.35</v>
      </c>
      <c r="H96">
        <f>60*E96+F96</f>
        <v>141</v>
      </c>
      <c r="I96" s="3">
        <f>5*(3600/H96)</f>
        <v>127.65957446808511</v>
      </c>
    </row>
    <row r="97" spans="1:9" x14ac:dyDescent="0.25">
      <c r="A97" s="4" t="s">
        <v>153</v>
      </c>
      <c r="B97" s="1">
        <v>0.53429599999999999</v>
      </c>
      <c r="C97" s="1">
        <v>0.53593199999999996</v>
      </c>
      <c r="D97" s="1">
        <f>IF(B97&gt;C97,B97-C97,C97-B97)</f>
        <v>1.6359999999999708E-3</v>
      </c>
      <c r="E97">
        <f>MINUTE(D97)</f>
        <v>2</v>
      </c>
      <c r="F97">
        <f>SECOND(D97)</f>
        <v>21</v>
      </c>
      <c r="G97">
        <f>ROUND(E97+F97/60,2)</f>
        <v>2.35</v>
      </c>
      <c r="H97">
        <f>60*E97+F97</f>
        <v>141</v>
      </c>
      <c r="I97" s="3">
        <f>5*(3600/H97)</f>
        <v>127.65957446808511</v>
      </c>
    </row>
    <row r="98" spans="1:9" x14ac:dyDescent="0.25">
      <c r="A98" s="4" t="s">
        <v>372</v>
      </c>
      <c r="B98" s="1">
        <v>0.26910400000000001</v>
      </c>
      <c r="C98" s="1">
        <v>0.27073199999999997</v>
      </c>
      <c r="D98" s="1">
        <f>IF(B98&gt;C98,B98-C98,C98-B98)</f>
        <v>1.6279999999999628E-3</v>
      </c>
      <c r="E98">
        <f>MINUTE(D98)</f>
        <v>2</v>
      </c>
      <c r="F98">
        <f>SECOND(D98)</f>
        <v>21</v>
      </c>
      <c r="G98">
        <f>ROUND(E98+F98/60,2)</f>
        <v>2.35</v>
      </c>
      <c r="H98">
        <f>60*E98+F98</f>
        <v>141</v>
      </c>
      <c r="I98" s="3">
        <f>5*(3600/H98)</f>
        <v>127.65957446808511</v>
      </c>
    </row>
    <row r="99" spans="1:9" x14ac:dyDescent="0.25">
      <c r="A99" s="4" t="s">
        <v>83</v>
      </c>
      <c r="B99" s="1">
        <v>0.99456699999999998</v>
      </c>
      <c r="C99" s="1">
        <v>0.99620699999999995</v>
      </c>
      <c r="D99" s="1">
        <f>IF(B99&gt;C99,B99-C99,C99-B99)</f>
        <v>1.6399999999999748E-3</v>
      </c>
      <c r="E99">
        <f>MINUTE(D99)</f>
        <v>2</v>
      </c>
      <c r="F99">
        <f>SECOND(D99)</f>
        <v>22</v>
      </c>
      <c r="G99">
        <f>ROUND(E99+F99/60,2)</f>
        <v>2.37</v>
      </c>
      <c r="H99">
        <f>60*E99+F99</f>
        <v>142</v>
      </c>
      <c r="I99" s="3">
        <f>5*(3600/H99)</f>
        <v>126.7605633802817</v>
      </c>
    </row>
    <row r="100" spans="1:9" x14ac:dyDescent="0.25">
      <c r="A100" s="4" t="s">
        <v>103</v>
      </c>
      <c r="B100" s="1">
        <v>0.28323100000000001</v>
      </c>
      <c r="C100" s="1">
        <v>0.28487099999999999</v>
      </c>
      <c r="D100" s="1">
        <f>IF(B100&gt;C100,B100-C100,C100-B100)</f>
        <v>1.6399999999999748E-3</v>
      </c>
      <c r="E100">
        <f>MINUTE(D100)</f>
        <v>2</v>
      </c>
      <c r="F100">
        <f>SECOND(D100)</f>
        <v>22</v>
      </c>
      <c r="G100">
        <f>ROUND(E100+F100/60,2)</f>
        <v>2.37</v>
      </c>
      <c r="H100">
        <f>60*E100+F100</f>
        <v>142</v>
      </c>
      <c r="I100" s="3">
        <f>5*(3600/H100)</f>
        <v>126.7605633802817</v>
      </c>
    </row>
    <row r="101" spans="1:9" x14ac:dyDescent="0.25">
      <c r="A101" s="4" t="s">
        <v>137</v>
      </c>
      <c r="B101" s="1">
        <v>0.15091399999999999</v>
      </c>
      <c r="C101" s="1">
        <v>0.14927399999999999</v>
      </c>
      <c r="D101" s="1">
        <f>IF(B101&gt;C101,B101-C101,C101-B101)</f>
        <v>1.6400000000000026E-3</v>
      </c>
      <c r="E101">
        <f>MINUTE(D101)</f>
        <v>2</v>
      </c>
      <c r="F101">
        <f>SECOND(D101)</f>
        <v>22</v>
      </c>
      <c r="G101">
        <f>ROUND(E101+F101/60,2)</f>
        <v>2.37</v>
      </c>
      <c r="H101">
        <f>60*E101+F101</f>
        <v>142</v>
      </c>
      <c r="I101" s="3">
        <f>5*(3600/H101)</f>
        <v>126.7605633802817</v>
      </c>
    </row>
    <row r="102" spans="1:9" x14ac:dyDescent="0.25">
      <c r="A102" s="4" t="s">
        <v>57</v>
      </c>
      <c r="B102" s="1">
        <v>0.66941799999999996</v>
      </c>
      <c r="C102" s="1">
        <v>0.66777399999999998</v>
      </c>
      <c r="D102" s="1">
        <f>IF(B102&gt;C102,B102-C102,C102-B102)</f>
        <v>1.6439999999999788E-3</v>
      </c>
      <c r="E102">
        <f>MINUTE(D102)</f>
        <v>2</v>
      </c>
      <c r="F102">
        <f>SECOND(D102)</f>
        <v>22</v>
      </c>
      <c r="G102">
        <f>ROUND(E102+F102/60,2)</f>
        <v>2.37</v>
      </c>
      <c r="H102">
        <f>60*E102+F102</f>
        <v>142</v>
      </c>
      <c r="I102" s="3">
        <f>5*(3600/H102)</f>
        <v>126.7605633802817</v>
      </c>
    </row>
    <row r="103" spans="1:9" x14ac:dyDescent="0.25">
      <c r="A103" s="4" t="s">
        <v>175</v>
      </c>
      <c r="B103" s="1">
        <v>0.832403</v>
      </c>
      <c r="C103" s="1">
        <v>0.83075900000000003</v>
      </c>
      <c r="D103" s="1">
        <f>IF(B103&gt;C103,B103-C103,C103-B103)</f>
        <v>1.6439999999999788E-3</v>
      </c>
      <c r="E103">
        <f>MINUTE(D103)</f>
        <v>2</v>
      </c>
      <c r="F103">
        <f>SECOND(D103)</f>
        <v>22</v>
      </c>
      <c r="G103">
        <f>ROUND(E103+F103/60,2)</f>
        <v>2.37</v>
      </c>
      <c r="H103">
        <f>60*E103+F103</f>
        <v>142</v>
      </c>
      <c r="I103" s="3">
        <f>5*(3600/H103)</f>
        <v>126.7605633802817</v>
      </c>
    </row>
    <row r="104" spans="1:9" x14ac:dyDescent="0.25">
      <c r="A104" s="4" t="s">
        <v>5</v>
      </c>
      <c r="B104" s="1">
        <v>0.52575099999999997</v>
      </c>
      <c r="C104" s="1">
        <v>0.52411099999999999</v>
      </c>
      <c r="D104" s="1">
        <f>IF(B104&gt;C104,B104-C104,C104-B104)</f>
        <v>1.6399999999999748E-3</v>
      </c>
      <c r="E104">
        <f>MINUTE(D104)</f>
        <v>2</v>
      </c>
      <c r="F104">
        <f>SECOND(D104)</f>
        <v>22</v>
      </c>
      <c r="G104">
        <f>ROUND(E104+F104/60,2)</f>
        <v>2.37</v>
      </c>
      <c r="H104">
        <f>60*E104+F104</f>
        <v>142</v>
      </c>
      <c r="I104" s="3">
        <f>5*(3600/H104)</f>
        <v>126.7605633802817</v>
      </c>
    </row>
    <row r="105" spans="1:9" x14ac:dyDescent="0.25">
      <c r="A105" s="4" t="s">
        <v>357</v>
      </c>
      <c r="B105" s="1">
        <v>0.63840600000000003</v>
      </c>
      <c r="C105" s="1">
        <v>0.64005400000000001</v>
      </c>
      <c r="D105" s="1">
        <f>IF(B105&gt;C105,B105-C105,C105-B105)</f>
        <v>1.6479999999999828E-3</v>
      </c>
      <c r="E105">
        <f>MINUTE(D105)</f>
        <v>2</v>
      </c>
      <c r="F105">
        <f>SECOND(D105)</f>
        <v>22</v>
      </c>
      <c r="G105">
        <f>ROUND(E105+F105/60,2)</f>
        <v>2.37</v>
      </c>
      <c r="H105">
        <f>60*E105+F105</f>
        <v>142</v>
      </c>
      <c r="I105" s="3">
        <f>5*(3600/H105)</f>
        <v>126.7605633802817</v>
      </c>
    </row>
    <row r="106" spans="1:9" x14ac:dyDescent="0.25">
      <c r="A106" s="4" t="s">
        <v>63</v>
      </c>
      <c r="B106" s="1">
        <v>0.122056</v>
      </c>
      <c r="C106" s="1">
        <v>0.12371600000000001</v>
      </c>
      <c r="D106" s="1">
        <f>IF(B106&gt;C106,B106-C106,C106-B106)</f>
        <v>1.6600000000000087E-3</v>
      </c>
      <c r="E106">
        <f>MINUTE(D106)</f>
        <v>2</v>
      </c>
      <c r="F106">
        <f>SECOND(D106)</f>
        <v>23</v>
      </c>
      <c r="G106">
        <f>ROUND(E106+F106/60,2)</f>
        <v>2.38</v>
      </c>
      <c r="H106">
        <f>60*E106+F106</f>
        <v>143</v>
      </c>
      <c r="I106" s="3">
        <f>5*(3600/H106)</f>
        <v>125.87412587412587</v>
      </c>
    </row>
    <row r="107" spans="1:9" x14ac:dyDescent="0.25">
      <c r="A107" s="4" t="s">
        <v>3</v>
      </c>
      <c r="B107" s="1">
        <v>0.29002600000000001</v>
      </c>
      <c r="C107" s="1">
        <v>0.291682</v>
      </c>
      <c r="D107" s="1">
        <f>IF(B107&gt;C107,B107-C107,C107-B107)</f>
        <v>1.6559999999999908E-3</v>
      </c>
      <c r="E107">
        <f>MINUTE(D107)</f>
        <v>2</v>
      </c>
      <c r="F107">
        <f>SECOND(D107)</f>
        <v>23</v>
      </c>
      <c r="G107">
        <f>ROUND(E107+F107/60,2)</f>
        <v>2.38</v>
      </c>
      <c r="H107">
        <f>60*E107+F107</f>
        <v>143</v>
      </c>
      <c r="I107" s="3">
        <f>5*(3600/H107)</f>
        <v>125.87412587412587</v>
      </c>
    </row>
    <row r="108" spans="1:9" x14ac:dyDescent="0.25">
      <c r="A108" s="4" t="s">
        <v>24</v>
      </c>
      <c r="B108" s="1">
        <v>0.55516799999999999</v>
      </c>
      <c r="C108" s="1">
        <v>0.55682399999999999</v>
      </c>
      <c r="D108" s="1">
        <f>IF(B108&gt;C108,B108-C108,C108-B108)</f>
        <v>1.6559999999999908E-3</v>
      </c>
      <c r="E108">
        <f>MINUTE(D108)</f>
        <v>2</v>
      </c>
      <c r="F108">
        <f>SECOND(D108)</f>
        <v>23</v>
      </c>
      <c r="G108">
        <f>ROUND(E108+F108/60,2)</f>
        <v>2.38</v>
      </c>
      <c r="H108">
        <f>60*E108+F108</f>
        <v>143</v>
      </c>
      <c r="I108" s="3">
        <f>5*(3600/H108)</f>
        <v>125.87412587412587</v>
      </c>
    </row>
    <row r="109" spans="1:9" x14ac:dyDescent="0.25">
      <c r="A109" s="4" t="s">
        <v>137</v>
      </c>
      <c r="B109" s="1">
        <v>0.78898900000000005</v>
      </c>
      <c r="C109" s="1">
        <v>0.78733299999999995</v>
      </c>
      <c r="D109" s="1">
        <f>IF(B109&gt;C109,B109-C109,C109-B109)</f>
        <v>1.6560000000001018E-3</v>
      </c>
      <c r="E109">
        <f>MINUTE(D109)</f>
        <v>2</v>
      </c>
      <c r="F109">
        <f>SECOND(D109)</f>
        <v>23</v>
      </c>
      <c r="G109">
        <f>ROUND(E109+F109/60,2)</f>
        <v>2.38</v>
      </c>
      <c r="H109">
        <f>60*E109+F109</f>
        <v>143</v>
      </c>
      <c r="I109" s="3">
        <f>5*(3600/H109)</f>
        <v>125.87412587412587</v>
      </c>
    </row>
    <row r="110" spans="1:9" x14ac:dyDescent="0.25">
      <c r="A110" s="4" t="s">
        <v>74</v>
      </c>
      <c r="B110" s="1">
        <v>0.30348399999999998</v>
      </c>
      <c r="C110" s="1">
        <v>0.30182799999999999</v>
      </c>
      <c r="D110" s="1">
        <f>IF(B110&gt;C110,B110-C110,C110-B110)</f>
        <v>1.6559999999999908E-3</v>
      </c>
      <c r="E110">
        <f>MINUTE(D110)</f>
        <v>2</v>
      </c>
      <c r="F110">
        <f>SECOND(D110)</f>
        <v>23</v>
      </c>
      <c r="G110">
        <f>ROUND(E110+F110/60,2)</f>
        <v>2.38</v>
      </c>
      <c r="H110">
        <f>60*E110+F110</f>
        <v>143</v>
      </c>
      <c r="I110" s="3">
        <f>5*(3600/H110)</f>
        <v>125.87412587412587</v>
      </c>
    </row>
    <row r="111" spans="1:9" x14ac:dyDescent="0.25">
      <c r="A111" s="4" t="s">
        <v>266</v>
      </c>
      <c r="B111" s="1">
        <v>0.431591</v>
      </c>
      <c r="C111" s="1">
        <v>0.43324699999999999</v>
      </c>
      <c r="D111" s="1">
        <f>IF(B111&gt;C111,B111-C111,C111-B111)</f>
        <v>1.6559999999999908E-3</v>
      </c>
      <c r="E111">
        <f>MINUTE(D111)</f>
        <v>2</v>
      </c>
      <c r="F111">
        <f>SECOND(D111)</f>
        <v>23</v>
      </c>
      <c r="G111">
        <f>ROUND(E111+F111/60,2)</f>
        <v>2.38</v>
      </c>
      <c r="H111">
        <f>60*E111+F111</f>
        <v>143</v>
      </c>
      <c r="I111" s="3">
        <f>5*(3600/H111)</f>
        <v>125.87412587412587</v>
      </c>
    </row>
    <row r="112" spans="1:9" x14ac:dyDescent="0.25">
      <c r="A112" s="4" t="s">
        <v>59</v>
      </c>
      <c r="B112" s="1">
        <v>0.54649099999999995</v>
      </c>
      <c r="C112" s="1">
        <v>0.54815899999999995</v>
      </c>
      <c r="D112" s="1">
        <f>IF(B112&gt;C112,B112-C112,C112-B112)</f>
        <v>1.6680000000000028E-3</v>
      </c>
      <c r="E112">
        <f>MINUTE(D112)</f>
        <v>2</v>
      </c>
      <c r="F112">
        <f>SECOND(D112)</f>
        <v>24</v>
      </c>
      <c r="G112">
        <f>ROUND(E112+F112/60,2)</f>
        <v>2.4</v>
      </c>
      <c r="H112">
        <f>60*E112+F112</f>
        <v>144</v>
      </c>
      <c r="I112" s="3">
        <f>5*(3600/H112)</f>
        <v>125</v>
      </c>
    </row>
    <row r="113" spans="1:9" x14ac:dyDescent="0.25">
      <c r="A113" s="4" t="s">
        <v>162</v>
      </c>
      <c r="B113" s="1">
        <v>2.4351000000000001E-2</v>
      </c>
      <c r="C113" s="1">
        <v>2.6023000000000001E-2</v>
      </c>
      <c r="D113" s="1">
        <f>IF(B113&gt;C113,B113-C113,C113-B113)</f>
        <v>1.6719999999999999E-3</v>
      </c>
      <c r="E113">
        <f>MINUTE(D113)</f>
        <v>2</v>
      </c>
      <c r="F113">
        <f>SECOND(D113)</f>
        <v>24</v>
      </c>
      <c r="G113">
        <f>ROUND(E113+F113/60,2)</f>
        <v>2.4</v>
      </c>
      <c r="H113">
        <f>60*E113+F113</f>
        <v>144</v>
      </c>
      <c r="I113" s="3">
        <f>5*(3600/H113)</f>
        <v>125</v>
      </c>
    </row>
    <row r="114" spans="1:9" x14ac:dyDescent="0.25">
      <c r="A114" s="4" t="s">
        <v>49</v>
      </c>
      <c r="B114" s="1">
        <v>0.76098399999999999</v>
      </c>
      <c r="C114" s="1">
        <v>0.75931599999999999</v>
      </c>
      <c r="D114" s="1">
        <f>IF(B114&gt;C114,B114-C114,C114-B114)</f>
        <v>1.6680000000000028E-3</v>
      </c>
      <c r="E114">
        <f>MINUTE(D114)</f>
        <v>2</v>
      </c>
      <c r="F114">
        <f>SECOND(D114)</f>
        <v>24</v>
      </c>
      <c r="G114">
        <f>ROUND(E114+F114/60,2)</f>
        <v>2.4</v>
      </c>
      <c r="H114">
        <f>60*E114+F114</f>
        <v>144</v>
      </c>
      <c r="I114" s="3">
        <f>5*(3600/H114)</f>
        <v>125</v>
      </c>
    </row>
    <row r="115" spans="1:9" x14ac:dyDescent="0.25">
      <c r="A115" s="4" t="s">
        <v>96</v>
      </c>
      <c r="B115" s="1">
        <v>0.116232</v>
      </c>
      <c r="C115" s="1">
        <v>0.11791600000000001</v>
      </c>
      <c r="D115" s="1">
        <f>IF(B115&gt;C115,B115-C115,C115-B115)</f>
        <v>1.6840000000000049E-3</v>
      </c>
      <c r="E115">
        <f>MINUTE(D115)</f>
        <v>2</v>
      </c>
      <c r="F115">
        <f>SECOND(D115)</f>
        <v>25</v>
      </c>
      <c r="G115">
        <f>ROUND(E115+F115/60,2)</f>
        <v>2.42</v>
      </c>
      <c r="H115">
        <f>60*E115+F115</f>
        <v>145</v>
      </c>
      <c r="I115" s="3">
        <f>5*(3600/H115)</f>
        <v>124.13793103448276</v>
      </c>
    </row>
    <row r="116" spans="1:9" x14ac:dyDescent="0.25">
      <c r="A116" s="8" t="s">
        <v>171</v>
      </c>
      <c r="B116" s="1">
        <v>0.60342499999999999</v>
      </c>
      <c r="C116" s="1">
        <v>0.605105</v>
      </c>
      <c r="D116" s="1">
        <f>IF(B116&gt;C116,B116-C116,C116-B116)</f>
        <v>1.6800000000000148E-3</v>
      </c>
      <c r="E116">
        <f>MINUTE(D116)</f>
        <v>2</v>
      </c>
      <c r="F116">
        <f>SECOND(D116)</f>
        <v>25</v>
      </c>
      <c r="G116">
        <f>ROUND(E116+F116/60,2)</f>
        <v>2.42</v>
      </c>
      <c r="H116">
        <f>60*E116+F116</f>
        <v>145</v>
      </c>
      <c r="I116" s="10">
        <f>5*(3600/H116)</f>
        <v>124.13793103448276</v>
      </c>
    </row>
    <row r="117" spans="1:9" x14ac:dyDescent="0.25">
      <c r="A117" s="4" t="s">
        <v>132</v>
      </c>
      <c r="B117" s="1">
        <v>4.0057000000000002E-2</v>
      </c>
      <c r="C117" s="1">
        <v>4.1741E-2</v>
      </c>
      <c r="D117" s="1">
        <f>IF(B117&gt;C117,B117-C117,C117-B117)</f>
        <v>1.683999999999998E-3</v>
      </c>
      <c r="E117">
        <f>MINUTE(D117)</f>
        <v>2</v>
      </c>
      <c r="F117">
        <f>SECOND(D117)</f>
        <v>25</v>
      </c>
      <c r="G117">
        <f>ROUND(E117+F117/60,2)</f>
        <v>2.42</v>
      </c>
      <c r="H117">
        <f>60*E117+F117</f>
        <v>145</v>
      </c>
      <c r="I117" s="3">
        <f>5*(3600/H117)</f>
        <v>124.13793103448276</v>
      </c>
    </row>
    <row r="118" spans="1:9" x14ac:dyDescent="0.25">
      <c r="A118" s="4" t="s">
        <v>110</v>
      </c>
      <c r="B118" s="1">
        <v>0.11290600000000001</v>
      </c>
      <c r="C118" s="1">
        <v>0.11459</v>
      </c>
      <c r="D118" s="1">
        <f>IF(B118&gt;C118,B118-C118,C118-B118)</f>
        <v>1.6839999999999911E-3</v>
      </c>
      <c r="E118">
        <f>MINUTE(D118)</f>
        <v>2</v>
      </c>
      <c r="F118">
        <f>SECOND(D118)</f>
        <v>25</v>
      </c>
      <c r="G118">
        <f>ROUND(E118+F118/60,2)</f>
        <v>2.42</v>
      </c>
      <c r="H118">
        <f>60*E118+F118</f>
        <v>145</v>
      </c>
      <c r="I118" s="3">
        <f>5*(3600/H118)</f>
        <v>124.13793103448276</v>
      </c>
    </row>
    <row r="119" spans="1:9" x14ac:dyDescent="0.25">
      <c r="A119" s="4" t="s">
        <v>220</v>
      </c>
      <c r="B119" s="1">
        <v>0.56824699999999995</v>
      </c>
      <c r="C119" s="1">
        <v>0.56993099999999997</v>
      </c>
      <c r="D119" s="1">
        <f>IF(B119&gt;C119,B119-C119,C119-B119)</f>
        <v>1.6840000000000188E-3</v>
      </c>
      <c r="E119">
        <f>MINUTE(D119)</f>
        <v>2</v>
      </c>
      <c r="F119">
        <f>SECOND(D119)</f>
        <v>25</v>
      </c>
      <c r="G119">
        <f>ROUND(E119+F119/60,2)</f>
        <v>2.42</v>
      </c>
      <c r="H119">
        <f>60*E119+F119</f>
        <v>145</v>
      </c>
      <c r="I119" s="3">
        <f>5*(3600/H119)</f>
        <v>124.13793103448276</v>
      </c>
    </row>
    <row r="120" spans="1:9" x14ac:dyDescent="0.25">
      <c r="A120" s="4" t="s">
        <v>351</v>
      </c>
      <c r="B120" s="1">
        <v>0.69694299999999998</v>
      </c>
      <c r="C120" s="1">
        <v>0.698627</v>
      </c>
      <c r="D120" s="1">
        <f>IF(B120&gt;C120,B120-C120,C120-B120)</f>
        <v>1.6840000000000188E-3</v>
      </c>
      <c r="E120">
        <f>MINUTE(D120)</f>
        <v>2</v>
      </c>
      <c r="F120">
        <f>SECOND(D120)</f>
        <v>25</v>
      </c>
      <c r="G120">
        <f>ROUND(E120+F120/60,2)</f>
        <v>2.42</v>
      </c>
      <c r="H120">
        <f>60*E120+F120</f>
        <v>145</v>
      </c>
      <c r="I120" s="3">
        <f>5*(3600/H120)</f>
        <v>124.13793103448276</v>
      </c>
    </row>
    <row r="121" spans="1:9" x14ac:dyDescent="0.25">
      <c r="A121" s="4" t="s">
        <v>43</v>
      </c>
      <c r="B121" s="1">
        <v>0.74113899999999999</v>
      </c>
      <c r="C121" s="1">
        <v>0.74283100000000002</v>
      </c>
      <c r="D121" s="1">
        <f>IF(B121&gt;C121,B121-C121,C121-B121)</f>
        <v>1.6920000000000268E-3</v>
      </c>
      <c r="E121">
        <f>MINUTE(D121)</f>
        <v>2</v>
      </c>
      <c r="F121">
        <f>SECOND(D121)</f>
        <v>26</v>
      </c>
      <c r="G121">
        <f>ROUND(E121+F121/60,2)</f>
        <v>2.4300000000000002</v>
      </c>
      <c r="H121">
        <f>60*E121+F121</f>
        <v>146</v>
      </c>
      <c r="I121" s="3">
        <f>5*(3600/H121)</f>
        <v>123.2876712328767</v>
      </c>
    </row>
    <row r="122" spans="1:9" x14ac:dyDescent="0.25">
      <c r="A122" s="4" t="s">
        <v>120</v>
      </c>
      <c r="B122" s="1">
        <v>0.42249799999999998</v>
      </c>
      <c r="C122" s="1">
        <v>0.42418600000000001</v>
      </c>
      <c r="D122" s="1">
        <f>IF(B122&gt;C122,B122-C122,C122-B122)</f>
        <v>1.6880000000000228E-3</v>
      </c>
      <c r="E122">
        <f>MINUTE(D122)</f>
        <v>2</v>
      </c>
      <c r="F122">
        <f>SECOND(D122)</f>
        <v>26</v>
      </c>
      <c r="G122">
        <f>ROUND(E122+F122/60,2)</f>
        <v>2.4300000000000002</v>
      </c>
      <c r="H122">
        <f>60*E122+F122</f>
        <v>146</v>
      </c>
      <c r="I122" s="3">
        <f>5*(3600/H122)</f>
        <v>123.2876712328767</v>
      </c>
    </row>
    <row r="123" spans="1:9" x14ac:dyDescent="0.25">
      <c r="A123" s="4" t="s">
        <v>162</v>
      </c>
      <c r="B123" s="1">
        <v>0.90659900000000004</v>
      </c>
      <c r="C123" s="1">
        <v>0.90828699999999996</v>
      </c>
      <c r="D123" s="1">
        <f>IF(B123&gt;C123,B123-C123,C123-B123)</f>
        <v>1.6879999999999118E-3</v>
      </c>
      <c r="E123">
        <f>MINUTE(D123)</f>
        <v>2</v>
      </c>
      <c r="F123">
        <f>SECOND(D123)</f>
        <v>26</v>
      </c>
      <c r="G123">
        <f>ROUND(E123+F123/60,2)</f>
        <v>2.4300000000000002</v>
      </c>
      <c r="H123">
        <f>60*E123+F123</f>
        <v>146</v>
      </c>
      <c r="I123" s="3">
        <f>5*(3600/H123)</f>
        <v>123.2876712328767</v>
      </c>
    </row>
    <row r="124" spans="1:9" x14ac:dyDescent="0.25">
      <c r="A124" s="4" t="s">
        <v>79</v>
      </c>
      <c r="B124" s="1">
        <v>0.26555499999999999</v>
      </c>
      <c r="C124" s="1">
        <v>0.26725100000000002</v>
      </c>
      <c r="D124" s="1">
        <f>IF(B124&gt;C124,B124-C124,C124-B124)</f>
        <v>1.6960000000000308E-3</v>
      </c>
      <c r="E124">
        <f>MINUTE(D124)</f>
        <v>2</v>
      </c>
      <c r="F124">
        <f>SECOND(D124)</f>
        <v>27</v>
      </c>
      <c r="G124">
        <f>ROUND(E124+F124/60,2)</f>
        <v>2.4500000000000002</v>
      </c>
      <c r="H124">
        <f>60*E124+F124</f>
        <v>147</v>
      </c>
      <c r="I124" s="3">
        <f>5*(3600/H124)</f>
        <v>122.44897959183673</v>
      </c>
    </row>
    <row r="125" spans="1:9" x14ac:dyDescent="0.25">
      <c r="A125" s="4" t="s">
        <v>103</v>
      </c>
      <c r="B125" s="1">
        <v>0.95169999999999999</v>
      </c>
      <c r="C125" s="1">
        <v>0.95000399999999996</v>
      </c>
      <c r="D125" s="1">
        <f>IF(B125&gt;C125,B125-C125,C125-B125)</f>
        <v>1.6960000000000308E-3</v>
      </c>
      <c r="E125">
        <f>MINUTE(D125)</f>
        <v>2</v>
      </c>
      <c r="F125">
        <f>SECOND(D125)</f>
        <v>27</v>
      </c>
      <c r="G125">
        <f>ROUND(E125+F125/60,2)</f>
        <v>2.4500000000000002</v>
      </c>
      <c r="H125">
        <f>60*E125+F125</f>
        <v>147</v>
      </c>
      <c r="I125" s="3">
        <f>5*(3600/H125)</f>
        <v>122.44897959183673</v>
      </c>
    </row>
    <row r="126" spans="1:9" x14ac:dyDescent="0.25">
      <c r="A126" s="4" t="s">
        <v>140</v>
      </c>
      <c r="B126" s="1">
        <v>0.94930499999999995</v>
      </c>
      <c r="C126" s="1">
        <v>0.95100099999999999</v>
      </c>
      <c r="D126" s="1">
        <f>IF(B126&gt;C126,B126-C126,C126-B126)</f>
        <v>1.6960000000000308E-3</v>
      </c>
      <c r="E126">
        <f>MINUTE(D126)</f>
        <v>2</v>
      </c>
      <c r="F126">
        <f>SECOND(D126)</f>
        <v>27</v>
      </c>
      <c r="G126">
        <f>ROUND(E126+F126/60,2)</f>
        <v>2.4500000000000002</v>
      </c>
      <c r="H126">
        <f>60*E126+F126</f>
        <v>147</v>
      </c>
      <c r="I126" s="3">
        <f>5*(3600/H126)</f>
        <v>122.44897959183673</v>
      </c>
    </row>
    <row r="127" spans="1:9" x14ac:dyDescent="0.25">
      <c r="A127" s="4" t="s">
        <v>97</v>
      </c>
      <c r="B127" s="1">
        <v>0.217417</v>
      </c>
      <c r="C127" s="1">
        <v>0.215721</v>
      </c>
      <c r="D127" s="1">
        <f>IF(B127&gt;C127,B127-C127,C127-B127)</f>
        <v>1.6960000000000031E-3</v>
      </c>
      <c r="E127">
        <f>MINUTE(D127)</f>
        <v>2</v>
      </c>
      <c r="F127">
        <f>SECOND(D127)</f>
        <v>27</v>
      </c>
      <c r="G127">
        <f>ROUND(E127+F127/60,2)</f>
        <v>2.4500000000000002</v>
      </c>
      <c r="H127">
        <f>60*E127+F127</f>
        <v>147</v>
      </c>
      <c r="I127" s="3">
        <f>5*(3600/H127)</f>
        <v>122.44897959183673</v>
      </c>
    </row>
    <row r="128" spans="1:9" x14ac:dyDescent="0.25">
      <c r="A128" s="4" t="s">
        <v>41</v>
      </c>
      <c r="B128" s="1">
        <v>0.44640400000000002</v>
      </c>
      <c r="C128" s="1">
        <v>0.4481</v>
      </c>
      <c r="D128" s="1">
        <f>IF(B128&gt;C128,B128-C128,C128-B128)</f>
        <v>1.6959999999999753E-3</v>
      </c>
      <c r="E128">
        <f>MINUTE(D128)</f>
        <v>2</v>
      </c>
      <c r="F128">
        <f>SECOND(D128)</f>
        <v>27</v>
      </c>
      <c r="G128">
        <f>ROUND(E128+F128/60,2)</f>
        <v>2.4500000000000002</v>
      </c>
      <c r="H128">
        <f>60*E128+F128</f>
        <v>147</v>
      </c>
      <c r="I128" s="3">
        <f>5*(3600/H128)</f>
        <v>122.44897959183673</v>
      </c>
    </row>
    <row r="129" spans="1:9" x14ac:dyDescent="0.25">
      <c r="A129" s="4" t="s">
        <v>236</v>
      </c>
      <c r="B129" s="1">
        <v>0.74470800000000004</v>
      </c>
      <c r="C129" s="1">
        <v>0.74641199999999996</v>
      </c>
      <c r="D129" s="1">
        <f>IF(B129&gt;C129,B129-C129,C129-B129)</f>
        <v>1.7039999999999278E-3</v>
      </c>
      <c r="E129">
        <f>MINUTE(D129)</f>
        <v>2</v>
      </c>
      <c r="F129">
        <f>SECOND(D129)</f>
        <v>27</v>
      </c>
      <c r="G129">
        <f>ROUND(E129+F129/60,2)</f>
        <v>2.4500000000000002</v>
      </c>
      <c r="H129">
        <f>60*E129+F129</f>
        <v>147</v>
      </c>
      <c r="I129" s="3">
        <f>5*(3600/H129)</f>
        <v>122.44897959183673</v>
      </c>
    </row>
    <row r="130" spans="1:9" x14ac:dyDescent="0.25">
      <c r="A130" s="4" t="s">
        <v>128</v>
      </c>
      <c r="B130" s="1">
        <v>0.32555600000000001</v>
      </c>
      <c r="C130" s="1">
        <v>0.327264</v>
      </c>
      <c r="D130" s="1">
        <f>IF(B130&gt;C130,B130-C130,C130-B130)</f>
        <v>1.7079999999999873E-3</v>
      </c>
      <c r="E130">
        <f>MINUTE(D130)</f>
        <v>2</v>
      </c>
      <c r="F130">
        <f>SECOND(D130)</f>
        <v>28</v>
      </c>
      <c r="G130">
        <f>ROUND(E130+F130/60,2)</f>
        <v>2.4700000000000002</v>
      </c>
      <c r="H130">
        <f>60*E130+F130</f>
        <v>148</v>
      </c>
      <c r="I130" s="3">
        <f>5*(3600/H130)</f>
        <v>121.62162162162161</v>
      </c>
    </row>
    <row r="131" spans="1:9" x14ac:dyDescent="0.25">
      <c r="A131" s="4" t="s">
        <v>149</v>
      </c>
      <c r="B131" s="1">
        <v>0.68221900000000002</v>
      </c>
      <c r="C131" s="1">
        <v>0.68393499999999996</v>
      </c>
      <c r="D131" s="1">
        <f>IF(B131&gt;C131,B131-C131,C131-B131)</f>
        <v>1.7159999999999398E-3</v>
      </c>
      <c r="E131">
        <f>MINUTE(D131)</f>
        <v>2</v>
      </c>
      <c r="F131">
        <f>SECOND(D131)</f>
        <v>28</v>
      </c>
      <c r="G131">
        <f>ROUND(E131+F131/60,2)</f>
        <v>2.4700000000000002</v>
      </c>
      <c r="H131">
        <f>60*E131+F131</f>
        <v>148</v>
      </c>
      <c r="I131" s="3">
        <f>5*(3600/H131)</f>
        <v>121.62162162162161</v>
      </c>
    </row>
    <row r="132" spans="1:9" x14ac:dyDescent="0.25">
      <c r="A132" s="4" t="s">
        <v>109</v>
      </c>
      <c r="B132" s="1">
        <v>0.98943999999999999</v>
      </c>
      <c r="C132" s="1">
        <v>0.98772800000000005</v>
      </c>
      <c r="D132" s="1">
        <f>IF(B132&gt;C132,B132-C132,C132-B132)</f>
        <v>1.7119999999999358E-3</v>
      </c>
      <c r="E132">
        <f>MINUTE(D132)</f>
        <v>2</v>
      </c>
      <c r="F132">
        <f>SECOND(D132)</f>
        <v>28</v>
      </c>
      <c r="G132">
        <f>ROUND(E132+F132/60,2)</f>
        <v>2.4700000000000002</v>
      </c>
      <c r="H132">
        <f>60*E132+F132</f>
        <v>148</v>
      </c>
      <c r="I132" s="3">
        <f>5*(3600/H132)</f>
        <v>121.62162162162161</v>
      </c>
    </row>
    <row r="133" spans="1:9" x14ac:dyDescent="0.25">
      <c r="A133" s="4" t="s">
        <v>64</v>
      </c>
      <c r="B133" s="1">
        <v>0.352136</v>
      </c>
      <c r="C133" s="1">
        <v>0.35384399999999999</v>
      </c>
      <c r="D133" s="1">
        <f>IF(B133&gt;C133,B133-C133,C133-B133)</f>
        <v>1.7079999999999873E-3</v>
      </c>
      <c r="E133">
        <f>MINUTE(D133)</f>
        <v>2</v>
      </c>
      <c r="F133">
        <f>SECOND(D133)</f>
        <v>28</v>
      </c>
      <c r="G133">
        <f>ROUND(E133+F133/60,2)</f>
        <v>2.4700000000000002</v>
      </c>
      <c r="H133">
        <f>60*E133+F133</f>
        <v>148</v>
      </c>
      <c r="I133" s="3">
        <f>5*(3600/H133)</f>
        <v>121.62162162162161</v>
      </c>
    </row>
    <row r="134" spans="1:9" x14ac:dyDescent="0.25">
      <c r="A134" s="4" t="s">
        <v>157</v>
      </c>
      <c r="B134" s="1">
        <v>0.72528599999999999</v>
      </c>
      <c r="C134" s="1">
        <v>0.72699800000000003</v>
      </c>
      <c r="D134" s="1">
        <f>IF(B134&gt;C134,B134-C134,C134-B134)</f>
        <v>1.7120000000000468E-3</v>
      </c>
      <c r="E134">
        <f>MINUTE(D134)</f>
        <v>2</v>
      </c>
      <c r="F134">
        <f>SECOND(D134)</f>
        <v>28</v>
      </c>
      <c r="G134">
        <f>ROUND(E134+F134/60,2)</f>
        <v>2.4700000000000002</v>
      </c>
      <c r="H134">
        <f>60*E134+F134</f>
        <v>148</v>
      </c>
      <c r="I134" s="3">
        <f>5*(3600/H134)</f>
        <v>121.62162162162161</v>
      </c>
    </row>
    <row r="135" spans="1:9" x14ac:dyDescent="0.25">
      <c r="A135" s="4" t="s">
        <v>238</v>
      </c>
      <c r="B135" s="1">
        <v>3.8924E-2</v>
      </c>
      <c r="C135" s="1">
        <v>3.7212000000000002E-2</v>
      </c>
      <c r="D135" s="1">
        <f>IF(B135&gt;C135,B135-C135,C135-B135)</f>
        <v>1.7119999999999982E-3</v>
      </c>
      <c r="E135">
        <f>MINUTE(D135)</f>
        <v>2</v>
      </c>
      <c r="F135">
        <f>SECOND(D135)</f>
        <v>28</v>
      </c>
      <c r="G135">
        <f>ROUND(E135+F135/60,2)</f>
        <v>2.4700000000000002</v>
      </c>
      <c r="H135">
        <f>60*E135+F135</f>
        <v>148</v>
      </c>
      <c r="I135" s="3">
        <f>5*(3600/H135)</f>
        <v>121.62162162162161</v>
      </c>
    </row>
    <row r="136" spans="1:9" x14ac:dyDescent="0.25">
      <c r="A136" s="4" t="s">
        <v>346</v>
      </c>
      <c r="B136" s="1">
        <v>0.11723</v>
      </c>
      <c r="C136" s="1">
        <v>0.115522</v>
      </c>
      <c r="D136" s="1">
        <f>IF(B136&gt;C136,B136-C136,C136-B136)</f>
        <v>1.7080000000000012E-3</v>
      </c>
      <c r="E136">
        <f>MINUTE(D136)</f>
        <v>2</v>
      </c>
      <c r="F136">
        <f>SECOND(D136)</f>
        <v>28</v>
      </c>
      <c r="G136">
        <f>ROUND(E136+F136/60,2)</f>
        <v>2.4700000000000002</v>
      </c>
      <c r="H136">
        <f>60*E136+F136</f>
        <v>148</v>
      </c>
      <c r="I136" s="3">
        <f>5*(3600/H136)</f>
        <v>121.62162162162161</v>
      </c>
    </row>
    <row r="137" spans="1:9" x14ac:dyDescent="0.25">
      <c r="A137" s="4" t="s">
        <v>381</v>
      </c>
      <c r="B137" s="1">
        <v>0.89447600000000005</v>
      </c>
      <c r="C137" s="1">
        <v>0.89619199999999999</v>
      </c>
      <c r="D137" s="1">
        <f>IF(B137&gt;C137,B137-C137,C137-B137)</f>
        <v>1.7159999999999398E-3</v>
      </c>
      <c r="E137">
        <f>MINUTE(D137)</f>
        <v>2</v>
      </c>
      <c r="F137">
        <f>SECOND(D137)</f>
        <v>28</v>
      </c>
      <c r="G137">
        <f>ROUND(E137+F137/60,2)</f>
        <v>2.4700000000000002</v>
      </c>
      <c r="H137">
        <f>60*E137+F137</f>
        <v>148</v>
      </c>
      <c r="I137" s="3">
        <f>5*(3600/H137)</f>
        <v>121.62162162162161</v>
      </c>
    </row>
    <row r="138" spans="1:9" x14ac:dyDescent="0.25">
      <c r="A138" s="4" t="s">
        <v>107</v>
      </c>
      <c r="B138" s="1">
        <v>0.36874600000000002</v>
      </c>
      <c r="C138" s="1">
        <v>0.37047400000000003</v>
      </c>
      <c r="D138" s="1">
        <f>IF(B138&gt;C138,B138-C138,C138-B138)</f>
        <v>1.7280000000000073E-3</v>
      </c>
      <c r="E138">
        <f>MINUTE(D138)</f>
        <v>2</v>
      </c>
      <c r="F138">
        <f>SECOND(D138)</f>
        <v>29</v>
      </c>
      <c r="G138">
        <f>ROUND(E138+F138/60,2)</f>
        <v>2.48</v>
      </c>
      <c r="H138">
        <f>60*E138+F138</f>
        <v>149</v>
      </c>
      <c r="I138" s="3">
        <f>5*(3600/H138)</f>
        <v>120.80536912751677</v>
      </c>
    </row>
    <row r="139" spans="1:9" x14ac:dyDescent="0.25">
      <c r="A139" s="4" t="s">
        <v>16</v>
      </c>
      <c r="B139" s="1">
        <v>0.90525999999999995</v>
      </c>
      <c r="C139" s="1">
        <v>0.90354000000000001</v>
      </c>
      <c r="D139" s="1">
        <f>IF(B139&gt;C139,B139-C139,C139-B139)</f>
        <v>1.7199999999999438E-3</v>
      </c>
      <c r="E139">
        <f>MINUTE(D139)</f>
        <v>2</v>
      </c>
      <c r="F139">
        <f>SECOND(D139)</f>
        <v>29</v>
      </c>
      <c r="G139">
        <f>ROUND(E139+F139/60,2)</f>
        <v>2.48</v>
      </c>
      <c r="H139">
        <f>60*E139+F139</f>
        <v>149</v>
      </c>
      <c r="I139" s="3">
        <f>5*(3600/H139)</f>
        <v>120.80536912751677</v>
      </c>
    </row>
    <row r="140" spans="1:9" x14ac:dyDescent="0.25">
      <c r="A140" s="4" t="s">
        <v>72</v>
      </c>
      <c r="B140" s="1">
        <v>0.848275</v>
      </c>
      <c r="C140" s="1">
        <v>0.84999499999999995</v>
      </c>
      <c r="D140" s="1">
        <f>IF(B140&gt;C140,B140-C140,C140-B140)</f>
        <v>1.7199999999999438E-3</v>
      </c>
      <c r="E140">
        <f>MINUTE(D140)</f>
        <v>2</v>
      </c>
      <c r="F140">
        <f>SECOND(D140)</f>
        <v>29</v>
      </c>
      <c r="G140">
        <f>ROUND(E140+F140/60,2)</f>
        <v>2.48</v>
      </c>
      <c r="H140">
        <f>60*E140+F140</f>
        <v>149</v>
      </c>
      <c r="I140" s="3">
        <f>5*(3600/H140)</f>
        <v>120.80536912751677</v>
      </c>
    </row>
    <row r="141" spans="1:9" x14ac:dyDescent="0.25">
      <c r="A141" s="4" t="s">
        <v>157</v>
      </c>
      <c r="B141" s="1">
        <v>0.82582299999999997</v>
      </c>
      <c r="C141" s="1">
        <v>0.82754700000000003</v>
      </c>
      <c r="D141" s="1">
        <f>IF(B141&gt;C141,B141-C141,C141-B141)</f>
        <v>1.7240000000000588E-3</v>
      </c>
      <c r="E141">
        <f>MINUTE(D141)</f>
        <v>2</v>
      </c>
      <c r="F141">
        <f>SECOND(D141)</f>
        <v>29</v>
      </c>
      <c r="G141">
        <f>ROUND(E141+F141/60,2)</f>
        <v>2.48</v>
      </c>
      <c r="H141">
        <f>60*E141+F141</f>
        <v>149</v>
      </c>
      <c r="I141" s="3">
        <f>5*(3600/H141)</f>
        <v>120.80536912751677</v>
      </c>
    </row>
    <row r="142" spans="1:9" x14ac:dyDescent="0.25">
      <c r="A142" s="4" t="s">
        <v>411</v>
      </c>
      <c r="B142" s="1">
        <v>0.51790700000000001</v>
      </c>
      <c r="C142" s="1">
        <v>0.51618299999999995</v>
      </c>
      <c r="D142" s="1">
        <f>IF(B142&gt;C142,B142-C142,C142-B142)</f>
        <v>1.7240000000000588E-3</v>
      </c>
      <c r="E142">
        <f>MINUTE(D142)</f>
        <v>2</v>
      </c>
      <c r="F142">
        <f>SECOND(D142)</f>
        <v>29</v>
      </c>
      <c r="G142">
        <f>ROUND(E142+F142/60,2)</f>
        <v>2.48</v>
      </c>
      <c r="H142">
        <f>60*E142+F142</f>
        <v>149</v>
      </c>
      <c r="I142" s="3">
        <f>5*(3600/H142)</f>
        <v>120.80536912751677</v>
      </c>
    </row>
    <row r="143" spans="1:9" x14ac:dyDescent="0.25">
      <c r="A143" s="4" t="s">
        <v>132</v>
      </c>
      <c r="B143" s="1">
        <v>0.64908500000000002</v>
      </c>
      <c r="C143" s="1">
        <v>0.65082499999999999</v>
      </c>
      <c r="D143" s="1">
        <f>IF(B143&gt;C143,B143-C143,C143-B143)</f>
        <v>1.7399999999999638E-3</v>
      </c>
      <c r="E143">
        <f>MINUTE(D143)</f>
        <v>2</v>
      </c>
      <c r="F143">
        <f>SECOND(D143)</f>
        <v>30</v>
      </c>
      <c r="G143">
        <f>ROUND(E143+F143/60,2)</f>
        <v>2.5</v>
      </c>
      <c r="H143">
        <f>60*E143+F143</f>
        <v>150</v>
      </c>
      <c r="I143" s="3">
        <f>5*(3600/H143)</f>
        <v>120</v>
      </c>
    </row>
    <row r="144" spans="1:9" x14ac:dyDescent="0.25">
      <c r="A144" s="4" t="s">
        <v>155</v>
      </c>
      <c r="B144" s="1">
        <v>0.38238299999999997</v>
      </c>
      <c r="C144" s="1">
        <v>0.38064700000000001</v>
      </c>
      <c r="D144" s="1">
        <f>IF(B144&gt;C144,B144-C144,C144-B144)</f>
        <v>1.7359999999999598E-3</v>
      </c>
      <c r="E144">
        <f>MINUTE(D144)</f>
        <v>2</v>
      </c>
      <c r="F144">
        <f>SECOND(D144)</f>
        <v>30</v>
      </c>
      <c r="G144">
        <f>ROUND(E144+F144/60,2)</f>
        <v>2.5</v>
      </c>
      <c r="H144">
        <f>60*E144+F144</f>
        <v>150</v>
      </c>
      <c r="I144" s="3">
        <f>5*(3600/H144)</f>
        <v>120</v>
      </c>
    </row>
    <row r="145" spans="1:9" x14ac:dyDescent="0.25">
      <c r="A145" s="4" t="s">
        <v>221</v>
      </c>
      <c r="B145" s="1">
        <v>0.83130700000000002</v>
      </c>
      <c r="C145" s="1">
        <v>0.82957099999999995</v>
      </c>
      <c r="D145" s="1">
        <f>IF(B145&gt;C145,B145-C145,C145-B145)</f>
        <v>1.7360000000000708E-3</v>
      </c>
      <c r="E145">
        <f>MINUTE(D145)</f>
        <v>2</v>
      </c>
      <c r="F145">
        <f>SECOND(D145)</f>
        <v>30</v>
      </c>
      <c r="G145">
        <f>ROUND(E145+F145/60,2)</f>
        <v>2.5</v>
      </c>
      <c r="H145">
        <f>60*E145+F145</f>
        <v>150</v>
      </c>
      <c r="I145" s="3">
        <f>5*(3600/H145)</f>
        <v>120</v>
      </c>
    </row>
    <row r="146" spans="1:9" x14ac:dyDescent="0.25">
      <c r="A146" s="4" t="s">
        <v>315</v>
      </c>
      <c r="B146" s="1">
        <v>0.91733100000000001</v>
      </c>
      <c r="C146" s="1">
        <v>0.91906299999999996</v>
      </c>
      <c r="D146" s="1">
        <f>IF(B146&gt;C146,B146-C146,C146-B146)</f>
        <v>1.7319999999999558E-3</v>
      </c>
      <c r="E146">
        <f>MINUTE(D146)</f>
        <v>2</v>
      </c>
      <c r="F146">
        <f>SECOND(D146)</f>
        <v>30</v>
      </c>
      <c r="G146">
        <f>ROUND(E146+F146/60,2)</f>
        <v>2.5</v>
      </c>
      <c r="H146">
        <f>60*E146+F146</f>
        <v>150</v>
      </c>
      <c r="I146" s="3">
        <f>5*(3600/H146)</f>
        <v>120</v>
      </c>
    </row>
    <row r="147" spans="1:9" x14ac:dyDescent="0.25">
      <c r="A147" s="8" t="s">
        <v>86</v>
      </c>
      <c r="B147" s="1">
        <v>0.386492</v>
      </c>
      <c r="C147" s="1">
        <v>0.38474799999999998</v>
      </c>
      <c r="D147" s="1">
        <f>IF(B147&gt;C147,B147-C147,C147-B147)</f>
        <v>1.7440000000000233E-3</v>
      </c>
      <c r="E147">
        <f>MINUTE(D147)</f>
        <v>2</v>
      </c>
      <c r="F147">
        <f>SECOND(D147)</f>
        <v>31</v>
      </c>
      <c r="G147">
        <f>ROUND(E147+F147/60,2)</f>
        <v>2.52</v>
      </c>
      <c r="H147">
        <f>60*E147+F147</f>
        <v>151</v>
      </c>
      <c r="I147" s="10">
        <f>5*(3600/H147)</f>
        <v>119.20529801324504</v>
      </c>
    </row>
    <row r="148" spans="1:9" x14ac:dyDescent="0.25">
      <c r="A148" s="4" t="s">
        <v>21</v>
      </c>
      <c r="B148" s="1">
        <v>0.84183399999999997</v>
      </c>
      <c r="C148" s="1">
        <v>0.840086</v>
      </c>
      <c r="D148" s="1">
        <f>IF(B148&gt;C148,B148-C148,C148-B148)</f>
        <v>1.7479999999999718E-3</v>
      </c>
      <c r="E148">
        <f>MINUTE(D148)</f>
        <v>2</v>
      </c>
      <c r="F148">
        <f>SECOND(D148)</f>
        <v>31</v>
      </c>
      <c r="G148">
        <f>ROUND(E148+F148/60,2)</f>
        <v>2.52</v>
      </c>
      <c r="H148">
        <f>60*E148+F148</f>
        <v>151</v>
      </c>
      <c r="I148" s="3">
        <f>5*(3600/H148)</f>
        <v>119.20529801324504</v>
      </c>
    </row>
    <row r="149" spans="1:9" x14ac:dyDescent="0.25">
      <c r="A149" s="4" t="s">
        <v>64</v>
      </c>
      <c r="B149" s="1">
        <v>0.43862400000000001</v>
      </c>
      <c r="C149" s="1">
        <v>0.43687599999999999</v>
      </c>
      <c r="D149" s="1">
        <f>IF(B149&gt;C149,B149-C149,C149-B149)</f>
        <v>1.7480000000000273E-3</v>
      </c>
      <c r="E149">
        <f>MINUTE(D149)</f>
        <v>2</v>
      </c>
      <c r="F149">
        <f>SECOND(D149)</f>
        <v>31</v>
      </c>
      <c r="G149">
        <f>ROUND(E149+F149/60,2)</f>
        <v>2.52</v>
      </c>
      <c r="H149">
        <f>60*E149+F149</f>
        <v>151</v>
      </c>
      <c r="I149" s="3">
        <f>5*(3600/H149)</f>
        <v>119.20529801324504</v>
      </c>
    </row>
    <row r="150" spans="1:9" x14ac:dyDescent="0.25">
      <c r="A150" s="4" t="s">
        <v>4</v>
      </c>
      <c r="B150" s="1">
        <v>0.16196199999999999</v>
      </c>
      <c r="C150" s="1">
        <v>0.16370999999999999</v>
      </c>
      <c r="D150" s="1">
        <f>IF(B150&gt;C150,B150-C150,C150-B150)</f>
        <v>1.7479999999999996E-3</v>
      </c>
      <c r="E150">
        <f>MINUTE(D150)</f>
        <v>2</v>
      </c>
      <c r="F150">
        <f>SECOND(D150)</f>
        <v>31</v>
      </c>
      <c r="G150">
        <f>ROUND(E150+F150/60,2)</f>
        <v>2.52</v>
      </c>
      <c r="H150">
        <f>60*E150+F150</f>
        <v>151</v>
      </c>
      <c r="I150" s="3">
        <f>5*(3600/H150)</f>
        <v>119.20529801324504</v>
      </c>
    </row>
    <row r="151" spans="1:9" x14ac:dyDescent="0.25">
      <c r="A151" s="4" t="s">
        <v>100</v>
      </c>
      <c r="B151" s="1">
        <v>0.56021500000000002</v>
      </c>
      <c r="C151" s="1">
        <v>0.56196699999999999</v>
      </c>
      <c r="D151" s="1">
        <f>IF(B151&gt;C151,B151-C151,C151-B151)</f>
        <v>1.7519999999999758E-3</v>
      </c>
      <c r="E151">
        <f>MINUTE(D151)</f>
        <v>2</v>
      </c>
      <c r="F151">
        <f>SECOND(D151)</f>
        <v>31</v>
      </c>
      <c r="G151">
        <f>ROUND(E151+F151/60,2)</f>
        <v>2.52</v>
      </c>
      <c r="H151">
        <f>60*E151+F151</f>
        <v>151</v>
      </c>
      <c r="I151" s="3">
        <f>5*(3600/H151)</f>
        <v>119.20529801324504</v>
      </c>
    </row>
    <row r="152" spans="1:9" x14ac:dyDescent="0.25">
      <c r="A152" s="4" t="s">
        <v>263</v>
      </c>
      <c r="B152" s="1">
        <v>3.39E-2</v>
      </c>
      <c r="C152" s="1">
        <v>3.2155999999999997E-2</v>
      </c>
      <c r="D152" s="1">
        <f>IF(B152&gt;C152,B152-C152,C152-B152)</f>
        <v>1.7440000000000025E-3</v>
      </c>
      <c r="E152">
        <f>MINUTE(D152)</f>
        <v>2</v>
      </c>
      <c r="F152">
        <f>SECOND(D152)</f>
        <v>31</v>
      </c>
      <c r="G152">
        <f>ROUND(E152+F152/60,2)</f>
        <v>2.52</v>
      </c>
      <c r="H152">
        <f>60*E152+F152</f>
        <v>151</v>
      </c>
      <c r="I152" s="3">
        <f>5*(3600/H152)</f>
        <v>119.20529801324504</v>
      </c>
    </row>
    <row r="153" spans="1:9" x14ac:dyDescent="0.25">
      <c r="A153" s="4" t="s">
        <v>68</v>
      </c>
      <c r="B153" s="1">
        <v>0.98681600000000003</v>
      </c>
      <c r="C153" s="1">
        <v>0.98857600000000001</v>
      </c>
      <c r="D153" s="1">
        <f>IF(B153&gt;C153,B153-C153,C153-B153)</f>
        <v>1.7599999999999838E-3</v>
      </c>
      <c r="E153">
        <f>MINUTE(D153)</f>
        <v>2</v>
      </c>
      <c r="F153">
        <f>SECOND(D153)</f>
        <v>32</v>
      </c>
      <c r="G153">
        <f>ROUND(E153+F153/60,2)</f>
        <v>2.5299999999999998</v>
      </c>
      <c r="H153">
        <f>60*E153+F153</f>
        <v>152</v>
      </c>
      <c r="I153" s="3">
        <f>5*(3600/H153)</f>
        <v>118.42105263157896</v>
      </c>
    </row>
    <row r="154" spans="1:9" x14ac:dyDescent="0.25">
      <c r="A154" s="4" t="s">
        <v>47</v>
      </c>
      <c r="B154" s="1">
        <v>0.76115200000000005</v>
      </c>
      <c r="C154" s="1">
        <v>0.75938799999999995</v>
      </c>
      <c r="D154" s="1">
        <f>IF(B154&gt;C154,B154-C154,C154-B154)</f>
        <v>1.7640000000000988E-3</v>
      </c>
      <c r="E154">
        <f>MINUTE(D154)</f>
        <v>2</v>
      </c>
      <c r="F154">
        <f>SECOND(D154)</f>
        <v>32</v>
      </c>
      <c r="G154">
        <f>ROUND(E154+F154/60,2)</f>
        <v>2.5299999999999998</v>
      </c>
      <c r="H154">
        <f>60*E154+F154</f>
        <v>152</v>
      </c>
      <c r="I154" s="3">
        <f>5*(3600/H154)</f>
        <v>118.42105263157896</v>
      </c>
    </row>
    <row r="155" spans="1:9" x14ac:dyDescent="0.25">
      <c r="A155" s="4" t="s">
        <v>117</v>
      </c>
      <c r="B155" s="1">
        <v>0.95934200000000003</v>
      </c>
      <c r="C155" s="1">
        <v>0.95758200000000004</v>
      </c>
      <c r="D155" s="1">
        <f>IF(B155&gt;C155,B155-C155,C155-B155)</f>
        <v>1.7599999999999838E-3</v>
      </c>
      <c r="E155">
        <f>MINUTE(D155)</f>
        <v>2</v>
      </c>
      <c r="F155">
        <f>SECOND(D155)</f>
        <v>32</v>
      </c>
      <c r="G155">
        <f>ROUND(E155+F155/60,2)</f>
        <v>2.5299999999999998</v>
      </c>
      <c r="H155">
        <f>60*E155+F155</f>
        <v>152</v>
      </c>
      <c r="I155" s="3">
        <f>5*(3600/H155)</f>
        <v>118.42105263157896</v>
      </c>
    </row>
    <row r="156" spans="1:9" x14ac:dyDescent="0.25">
      <c r="A156" s="4" t="s">
        <v>21</v>
      </c>
      <c r="B156" s="1">
        <v>7.4226E-2</v>
      </c>
      <c r="C156" s="1">
        <v>7.5994000000000006E-2</v>
      </c>
      <c r="D156" s="1">
        <f>IF(B156&gt;C156,B156-C156,C156-B156)</f>
        <v>1.7680000000000057E-3</v>
      </c>
      <c r="E156">
        <f>MINUTE(D156)</f>
        <v>2</v>
      </c>
      <c r="F156">
        <f>SECOND(D156)</f>
        <v>33</v>
      </c>
      <c r="G156">
        <f>ROUND(E156+F156/60,2)</f>
        <v>2.5499999999999998</v>
      </c>
      <c r="H156">
        <f>60*E156+F156</f>
        <v>153</v>
      </c>
      <c r="I156" s="3">
        <f>5*(3600/H156)</f>
        <v>117.64705882352942</v>
      </c>
    </row>
    <row r="157" spans="1:9" x14ac:dyDescent="0.25">
      <c r="A157" s="4" t="s">
        <v>167</v>
      </c>
      <c r="B157" s="1">
        <v>0.40695900000000002</v>
      </c>
      <c r="C157" s="1">
        <v>0.40518700000000002</v>
      </c>
      <c r="D157" s="1">
        <f>IF(B157&gt;C157,B157-C157,C157-B157)</f>
        <v>1.7719999999999958E-3</v>
      </c>
      <c r="E157">
        <f>MINUTE(D157)</f>
        <v>2</v>
      </c>
      <c r="F157">
        <f>SECOND(D157)</f>
        <v>33</v>
      </c>
      <c r="G157">
        <f>ROUND(E157+F157/60,2)</f>
        <v>2.5499999999999998</v>
      </c>
      <c r="H157">
        <f>60*E157+F157</f>
        <v>153</v>
      </c>
      <c r="I157" s="3">
        <f>5*(3600/H157)</f>
        <v>117.64705882352942</v>
      </c>
    </row>
    <row r="158" spans="1:9" x14ac:dyDescent="0.25">
      <c r="A158" s="4" t="s">
        <v>122</v>
      </c>
      <c r="B158" s="1">
        <v>3.8954000000000003E-2</v>
      </c>
      <c r="C158" s="1">
        <v>4.0722000000000001E-2</v>
      </c>
      <c r="D158" s="1">
        <f>IF(B158&gt;C158,B158-C158,C158-B158)</f>
        <v>1.7679999999999987E-3</v>
      </c>
      <c r="E158">
        <f>MINUTE(D158)</f>
        <v>2</v>
      </c>
      <c r="F158">
        <f>SECOND(D158)</f>
        <v>33</v>
      </c>
      <c r="G158">
        <f>ROUND(E158+F158/60,2)</f>
        <v>2.5499999999999998</v>
      </c>
      <c r="H158">
        <f>60*E158+F158</f>
        <v>153</v>
      </c>
      <c r="I158" s="3">
        <f>5*(3600/H158)</f>
        <v>117.64705882352942</v>
      </c>
    </row>
    <row r="159" spans="1:9" x14ac:dyDescent="0.25">
      <c r="A159" s="4" t="s">
        <v>146</v>
      </c>
      <c r="B159" s="1">
        <v>0.61743499999999996</v>
      </c>
      <c r="C159" s="1">
        <v>0.61920299999999995</v>
      </c>
      <c r="D159" s="1">
        <f>IF(B159&gt;C159,B159-C159,C159-B159)</f>
        <v>1.7679999999999918E-3</v>
      </c>
      <c r="E159">
        <f>MINUTE(D159)</f>
        <v>2</v>
      </c>
      <c r="F159">
        <f>SECOND(D159)</f>
        <v>33</v>
      </c>
      <c r="G159">
        <f>ROUND(E159+F159/60,2)</f>
        <v>2.5499999999999998</v>
      </c>
      <c r="H159">
        <f>60*E159+F159</f>
        <v>153</v>
      </c>
      <c r="I159" s="3">
        <f>5*(3600/H159)</f>
        <v>117.64705882352942</v>
      </c>
    </row>
    <row r="160" spans="1:9" x14ac:dyDescent="0.25">
      <c r="A160" s="4" t="s">
        <v>12</v>
      </c>
      <c r="B160" s="1">
        <v>0.33185700000000001</v>
      </c>
      <c r="C160" s="1">
        <v>0.33362900000000001</v>
      </c>
      <c r="D160" s="1">
        <f>IF(B160&gt;C160,B160-C160,C160-B160)</f>
        <v>1.7719999999999958E-3</v>
      </c>
      <c r="E160">
        <f>MINUTE(D160)</f>
        <v>2</v>
      </c>
      <c r="F160">
        <f>SECOND(D160)</f>
        <v>33</v>
      </c>
      <c r="G160">
        <f>ROUND(E160+F160/60,2)</f>
        <v>2.5499999999999998</v>
      </c>
      <c r="H160">
        <f>60*E160+F160</f>
        <v>153</v>
      </c>
      <c r="I160" s="3">
        <f>5*(3600/H160)</f>
        <v>117.64705882352942</v>
      </c>
    </row>
    <row r="161" spans="1:9" x14ac:dyDescent="0.25">
      <c r="A161" s="4" t="s">
        <v>77</v>
      </c>
      <c r="B161" s="1">
        <v>0.86746599999999996</v>
      </c>
      <c r="C161" s="1">
        <v>0.86568199999999995</v>
      </c>
      <c r="D161" s="1">
        <f>IF(B161&gt;C161,B161-C161,C161-B161)</f>
        <v>1.7840000000000078E-3</v>
      </c>
      <c r="E161">
        <f>MINUTE(D161)</f>
        <v>2</v>
      </c>
      <c r="F161">
        <f>SECOND(D161)</f>
        <v>34</v>
      </c>
      <c r="G161">
        <f>ROUND(E161+F161/60,2)</f>
        <v>2.57</v>
      </c>
      <c r="H161">
        <f>60*E161+F161</f>
        <v>154</v>
      </c>
      <c r="I161" s="3">
        <f>5*(3600/H161)</f>
        <v>116.88311688311688</v>
      </c>
    </row>
    <row r="162" spans="1:9" x14ac:dyDescent="0.25">
      <c r="A162" s="4" t="s">
        <v>12</v>
      </c>
      <c r="B162" s="1">
        <v>0.43819900000000001</v>
      </c>
      <c r="C162" s="1">
        <v>0.43998700000000002</v>
      </c>
      <c r="D162" s="1">
        <f>IF(B162&gt;C162,B162-C162,C162-B162)</f>
        <v>1.7880000000000118E-3</v>
      </c>
      <c r="E162">
        <f>MINUTE(D162)</f>
        <v>2</v>
      </c>
      <c r="F162">
        <f>SECOND(D162)</f>
        <v>34</v>
      </c>
      <c r="G162">
        <f>ROUND(E162+F162/60,2)</f>
        <v>2.57</v>
      </c>
      <c r="H162">
        <f>60*E162+F162</f>
        <v>154</v>
      </c>
      <c r="I162" s="3">
        <f>5*(3600/H162)</f>
        <v>116.88311688311688</v>
      </c>
    </row>
    <row r="163" spans="1:9" x14ac:dyDescent="0.25">
      <c r="A163" s="4" t="s">
        <v>147</v>
      </c>
      <c r="B163" s="1">
        <v>0.42548399999999997</v>
      </c>
      <c r="C163" s="1">
        <v>0.42727199999999999</v>
      </c>
      <c r="D163" s="1">
        <f>IF(B163&gt;C163,B163-C163,C163-B163)</f>
        <v>1.7880000000000118E-3</v>
      </c>
      <c r="E163">
        <f>MINUTE(D163)</f>
        <v>2</v>
      </c>
      <c r="F163">
        <f>SECOND(D163)</f>
        <v>34</v>
      </c>
      <c r="G163">
        <f>ROUND(E163+F163/60,2)</f>
        <v>2.57</v>
      </c>
      <c r="H163">
        <f>60*E163+F163</f>
        <v>154</v>
      </c>
      <c r="I163" s="3">
        <f>5*(3600/H163)</f>
        <v>116.88311688311688</v>
      </c>
    </row>
    <row r="164" spans="1:9" x14ac:dyDescent="0.25">
      <c r="A164" s="4" t="s">
        <v>54</v>
      </c>
      <c r="B164" s="1">
        <v>0.83164899999999997</v>
      </c>
      <c r="C164" s="1">
        <v>0.82985699999999996</v>
      </c>
      <c r="D164" s="1">
        <f>IF(B164&gt;C164,B164-C164,C164-B164)</f>
        <v>1.7920000000000158E-3</v>
      </c>
      <c r="E164">
        <f>MINUTE(D164)</f>
        <v>2</v>
      </c>
      <c r="F164">
        <f>SECOND(D164)</f>
        <v>35</v>
      </c>
      <c r="G164">
        <f>ROUND(E164+F164/60,2)</f>
        <v>2.58</v>
      </c>
      <c r="H164">
        <f>60*E164+F164</f>
        <v>155</v>
      </c>
      <c r="I164" s="3">
        <f>5*(3600/H164)</f>
        <v>116.12903225806451</v>
      </c>
    </row>
    <row r="165" spans="1:9" x14ac:dyDescent="0.25">
      <c r="A165" s="4" t="s">
        <v>59</v>
      </c>
      <c r="B165" s="1">
        <v>0.91732499999999995</v>
      </c>
      <c r="C165" s="1">
        <v>0.91552900000000004</v>
      </c>
      <c r="D165" s="1">
        <f>IF(B165&gt;C165,B165-C165,C165-B165)</f>
        <v>1.7959999999999088E-3</v>
      </c>
      <c r="E165">
        <f>MINUTE(D165)</f>
        <v>2</v>
      </c>
      <c r="F165">
        <f>SECOND(D165)</f>
        <v>35</v>
      </c>
      <c r="G165">
        <f>ROUND(E165+F165/60,2)</f>
        <v>2.58</v>
      </c>
      <c r="H165">
        <f>60*E165+F165</f>
        <v>155</v>
      </c>
      <c r="I165" s="3">
        <f>5*(3600/H165)</f>
        <v>116.12903225806451</v>
      </c>
    </row>
    <row r="166" spans="1:9" x14ac:dyDescent="0.25">
      <c r="A166" s="4" t="s">
        <v>310</v>
      </c>
      <c r="B166" s="1">
        <v>0.870444</v>
      </c>
      <c r="C166" s="1">
        <v>0.86865199999999998</v>
      </c>
      <c r="D166" s="1">
        <f>IF(B166&gt;C166,B166-C166,C166-B166)</f>
        <v>1.7920000000000158E-3</v>
      </c>
      <c r="E166">
        <f>MINUTE(D166)</f>
        <v>2</v>
      </c>
      <c r="F166">
        <f>SECOND(D166)</f>
        <v>35</v>
      </c>
      <c r="G166">
        <f>ROUND(E166+F166/60,2)</f>
        <v>2.58</v>
      </c>
      <c r="H166">
        <f>60*E166+F166</f>
        <v>155</v>
      </c>
      <c r="I166" s="3">
        <f>5*(3600/H166)</f>
        <v>116.12903225806451</v>
      </c>
    </row>
    <row r="167" spans="1:9" x14ac:dyDescent="0.25">
      <c r="A167" s="4" t="s">
        <v>112</v>
      </c>
      <c r="B167" s="1">
        <v>0.45399299999999998</v>
      </c>
      <c r="C167" s="1">
        <v>0.452185</v>
      </c>
      <c r="D167" s="1">
        <f>IF(B167&gt;C167,B167-C167,C167-B167)</f>
        <v>1.8079999999999763E-3</v>
      </c>
      <c r="E167">
        <f>MINUTE(D167)</f>
        <v>2</v>
      </c>
      <c r="F167">
        <f>SECOND(D167)</f>
        <v>36</v>
      </c>
      <c r="G167">
        <f>ROUND(E167+F167/60,2)</f>
        <v>2.6</v>
      </c>
      <c r="H167">
        <f>60*E167+F167</f>
        <v>156</v>
      </c>
      <c r="I167" s="3">
        <f>5*(3600/H167)</f>
        <v>115.38461538461539</v>
      </c>
    </row>
    <row r="168" spans="1:9" x14ac:dyDescent="0.25">
      <c r="A168" s="4" t="s">
        <v>131</v>
      </c>
      <c r="B168" s="1">
        <v>0.64960200000000001</v>
      </c>
      <c r="C168" s="1">
        <v>0.65140200000000004</v>
      </c>
      <c r="D168" s="1">
        <f>IF(B168&gt;C168,B168-C168,C168-B168)</f>
        <v>1.8000000000000238E-3</v>
      </c>
      <c r="E168">
        <f>MINUTE(D168)</f>
        <v>2</v>
      </c>
      <c r="F168">
        <f>SECOND(D168)</f>
        <v>36</v>
      </c>
      <c r="G168">
        <f>ROUND(E168+F168/60,2)</f>
        <v>2.6</v>
      </c>
      <c r="H168">
        <f>60*E168+F168</f>
        <v>156</v>
      </c>
      <c r="I168" s="3">
        <f>5*(3600/H168)</f>
        <v>115.38461538461539</v>
      </c>
    </row>
    <row r="169" spans="1:9" x14ac:dyDescent="0.25">
      <c r="A169" s="4" t="s">
        <v>78</v>
      </c>
      <c r="B169" s="1">
        <v>0.84384199999999998</v>
      </c>
      <c r="C169" s="1">
        <v>0.845642</v>
      </c>
      <c r="D169" s="1">
        <f>IF(B169&gt;C169,B169-C169,C169-B169)</f>
        <v>1.8000000000000238E-3</v>
      </c>
      <c r="E169">
        <f>MINUTE(D169)</f>
        <v>2</v>
      </c>
      <c r="F169">
        <f>SECOND(D169)</f>
        <v>36</v>
      </c>
      <c r="G169">
        <f>ROUND(E169+F169/60,2)</f>
        <v>2.6</v>
      </c>
      <c r="H169">
        <f>60*E169+F169</f>
        <v>156</v>
      </c>
      <c r="I169" s="3">
        <f>5*(3600/H169)</f>
        <v>115.38461538461539</v>
      </c>
    </row>
    <row r="170" spans="1:9" x14ac:dyDescent="0.25">
      <c r="A170" s="4" t="s">
        <v>47</v>
      </c>
      <c r="B170" s="1">
        <v>0.203124</v>
      </c>
      <c r="C170" s="1">
        <v>0.204928</v>
      </c>
      <c r="D170" s="1">
        <f>IF(B170&gt;C170,B170-C170,C170-B170)</f>
        <v>1.804E-3</v>
      </c>
      <c r="E170">
        <f>MINUTE(D170)</f>
        <v>2</v>
      </c>
      <c r="F170">
        <f>SECOND(D170)</f>
        <v>36</v>
      </c>
      <c r="G170">
        <f>ROUND(E170+F170/60,2)</f>
        <v>2.6</v>
      </c>
      <c r="H170">
        <f>60*E170+F170</f>
        <v>156</v>
      </c>
      <c r="I170" s="3">
        <f>5*(3600/H170)</f>
        <v>115.38461538461539</v>
      </c>
    </row>
    <row r="171" spans="1:9" x14ac:dyDescent="0.25">
      <c r="A171" s="4" t="s">
        <v>97</v>
      </c>
      <c r="B171" s="1">
        <v>0.79618299999999997</v>
      </c>
      <c r="C171" s="1">
        <v>0.79799500000000001</v>
      </c>
      <c r="D171" s="1">
        <f>IF(B171&gt;C171,B171-C171,C171-B171)</f>
        <v>1.8120000000000358E-3</v>
      </c>
      <c r="E171">
        <f>MINUTE(D171)</f>
        <v>2</v>
      </c>
      <c r="F171">
        <f>SECOND(D171)</f>
        <v>37</v>
      </c>
      <c r="G171">
        <f>ROUND(E171+F171/60,2)</f>
        <v>2.62</v>
      </c>
      <c r="H171">
        <f>60*E171+F171</f>
        <v>157</v>
      </c>
      <c r="I171" s="3">
        <f>5*(3600/H171)</f>
        <v>114.64968152866241</v>
      </c>
    </row>
    <row r="172" spans="1:9" x14ac:dyDescent="0.25">
      <c r="A172" s="4" t="s">
        <v>75</v>
      </c>
      <c r="B172" s="1">
        <v>0.80092399999999997</v>
      </c>
      <c r="C172" s="1">
        <v>0.79910400000000004</v>
      </c>
      <c r="D172" s="1">
        <f>IF(B172&gt;C172,B172-C172,C172-B172)</f>
        <v>1.8199999999999328E-3</v>
      </c>
      <c r="E172">
        <f>MINUTE(D172)</f>
        <v>2</v>
      </c>
      <c r="F172">
        <f>SECOND(D172)</f>
        <v>37</v>
      </c>
      <c r="G172">
        <f>ROUND(E172+F172/60,2)</f>
        <v>2.62</v>
      </c>
      <c r="H172">
        <f>60*E172+F172</f>
        <v>157</v>
      </c>
      <c r="I172" s="3">
        <f>5*(3600/H172)</f>
        <v>114.64968152866241</v>
      </c>
    </row>
    <row r="173" spans="1:9" x14ac:dyDescent="0.25">
      <c r="A173" s="4" t="s">
        <v>12</v>
      </c>
      <c r="B173" s="1">
        <v>0.67800800000000006</v>
      </c>
      <c r="C173" s="1">
        <v>0.67982399999999998</v>
      </c>
      <c r="D173" s="1">
        <f>IF(B173&gt;C173,B173-C173,C173-B173)</f>
        <v>1.8159999999999288E-3</v>
      </c>
      <c r="E173">
        <f>MINUTE(D173)</f>
        <v>2</v>
      </c>
      <c r="F173">
        <f>SECOND(D173)</f>
        <v>37</v>
      </c>
      <c r="G173">
        <f>ROUND(E173+F173/60,2)</f>
        <v>2.62</v>
      </c>
      <c r="H173">
        <f>60*E173+F173</f>
        <v>157</v>
      </c>
      <c r="I173" s="3">
        <f>5*(3600/H173)</f>
        <v>114.64968152866241</v>
      </c>
    </row>
    <row r="174" spans="1:9" x14ac:dyDescent="0.25">
      <c r="A174" s="4" t="s">
        <v>318</v>
      </c>
      <c r="B174" s="1">
        <v>0.62203600000000003</v>
      </c>
      <c r="C174" s="1">
        <v>0.620224</v>
      </c>
      <c r="D174" s="1">
        <f>IF(B174&gt;C174,B174-C174,C174-B174)</f>
        <v>1.8120000000000358E-3</v>
      </c>
      <c r="E174">
        <f>MINUTE(D174)</f>
        <v>2</v>
      </c>
      <c r="F174">
        <f>SECOND(D174)</f>
        <v>37</v>
      </c>
      <c r="G174">
        <f>ROUND(E174+F174/60,2)</f>
        <v>2.62</v>
      </c>
      <c r="H174">
        <f>60*E174+F174</f>
        <v>157</v>
      </c>
      <c r="I174" s="3">
        <f>5*(3600/H174)</f>
        <v>114.64968152866241</v>
      </c>
    </row>
    <row r="175" spans="1:9" x14ac:dyDescent="0.25">
      <c r="A175" s="4" t="s">
        <v>21</v>
      </c>
      <c r="B175" s="1">
        <v>0.58114299999999997</v>
      </c>
      <c r="C175" s="1">
        <v>0.58296700000000001</v>
      </c>
      <c r="D175" s="1">
        <f>IF(B175&gt;C175,B175-C175,C175-B175)</f>
        <v>1.8240000000000478E-3</v>
      </c>
      <c r="E175">
        <f>MINUTE(D175)</f>
        <v>2</v>
      </c>
      <c r="F175">
        <f>SECOND(D175)</f>
        <v>38</v>
      </c>
      <c r="G175">
        <f>ROUND(E175+F175/60,2)</f>
        <v>2.63</v>
      </c>
      <c r="H175">
        <f>60*E175+F175</f>
        <v>158</v>
      </c>
      <c r="I175" s="3">
        <f>5*(3600/H175)</f>
        <v>113.92405063291139</v>
      </c>
    </row>
    <row r="176" spans="1:9" x14ac:dyDescent="0.25">
      <c r="A176" s="4" t="s">
        <v>159</v>
      </c>
      <c r="B176" s="1">
        <v>0.515621</v>
      </c>
      <c r="C176" s="1">
        <v>0.51379300000000006</v>
      </c>
      <c r="D176" s="1">
        <f>IF(B176&gt;C176,B176-C176,C176-B176)</f>
        <v>1.8279999999999408E-3</v>
      </c>
      <c r="E176">
        <f>MINUTE(D176)</f>
        <v>2</v>
      </c>
      <c r="F176">
        <f>SECOND(D176)</f>
        <v>38</v>
      </c>
      <c r="G176">
        <f>ROUND(E176+F176/60,2)</f>
        <v>2.63</v>
      </c>
      <c r="H176">
        <f>60*E176+F176</f>
        <v>158</v>
      </c>
      <c r="I176" s="3">
        <f>5*(3600/H176)</f>
        <v>113.92405063291139</v>
      </c>
    </row>
    <row r="177" spans="1:9" x14ac:dyDescent="0.25">
      <c r="A177" s="4" t="s">
        <v>62</v>
      </c>
      <c r="B177" s="1">
        <v>0.61977899999999997</v>
      </c>
      <c r="C177" s="1">
        <v>0.62161100000000002</v>
      </c>
      <c r="D177" s="1">
        <f>IF(B177&gt;C177,B177-C177,C177-B177)</f>
        <v>1.8320000000000558E-3</v>
      </c>
      <c r="E177">
        <f>MINUTE(D177)</f>
        <v>2</v>
      </c>
      <c r="F177">
        <f>SECOND(D177)</f>
        <v>38</v>
      </c>
      <c r="G177">
        <f>ROUND(E177+F177/60,2)</f>
        <v>2.63</v>
      </c>
      <c r="H177">
        <f>60*E177+F177</f>
        <v>158</v>
      </c>
      <c r="I177" s="3">
        <f>5*(3600/H177)</f>
        <v>113.92405063291139</v>
      </c>
    </row>
    <row r="178" spans="1:9" x14ac:dyDescent="0.25">
      <c r="A178" s="4" t="s">
        <v>65</v>
      </c>
      <c r="B178" s="1">
        <v>0.51582700000000004</v>
      </c>
      <c r="C178" s="1">
        <v>0.51399899999999998</v>
      </c>
      <c r="D178" s="1">
        <f>IF(B178&gt;C178,B178-C178,C178-B178)</f>
        <v>1.8280000000000518E-3</v>
      </c>
      <c r="E178">
        <f>MINUTE(D178)</f>
        <v>2</v>
      </c>
      <c r="F178">
        <f>SECOND(D178)</f>
        <v>38</v>
      </c>
      <c r="G178">
        <f>ROUND(E178+F178/60,2)</f>
        <v>2.63</v>
      </c>
      <c r="H178">
        <f>60*E178+F178</f>
        <v>158</v>
      </c>
      <c r="I178" s="3">
        <f>5*(3600/H178)</f>
        <v>113.92405063291139</v>
      </c>
    </row>
    <row r="179" spans="1:9" x14ac:dyDescent="0.25">
      <c r="A179" s="4" t="s">
        <v>27</v>
      </c>
      <c r="B179" s="1">
        <v>0.16414500000000001</v>
      </c>
      <c r="C179" s="1">
        <v>0.16232099999999999</v>
      </c>
      <c r="D179" s="1">
        <f>IF(B179&gt;C179,B179-C179,C179-B179)</f>
        <v>1.82400000000002E-3</v>
      </c>
      <c r="E179">
        <f>MINUTE(D179)</f>
        <v>2</v>
      </c>
      <c r="F179">
        <f>SECOND(D179)</f>
        <v>38</v>
      </c>
      <c r="G179">
        <f>ROUND(E179+F179/60,2)</f>
        <v>2.63</v>
      </c>
      <c r="H179">
        <f>60*E179+F179</f>
        <v>158</v>
      </c>
      <c r="I179" s="3">
        <f>5*(3600/H179)</f>
        <v>113.92405063291139</v>
      </c>
    </row>
    <row r="180" spans="1:9" x14ac:dyDescent="0.25">
      <c r="A180" s="4" t="s">
        <v>242</v>
      </c>
      <c r="B180" s="1">
        <v>0.29494700000000001</v>
      </c>
      <c r="C180" s="1">
        <v>0.29311900000000002</v>
      </c>
      <c r="D180" s="1">
        <f>IF(B180&gt;C180,B180-C180,C180-B180)</f>
        <v>1.8279999999999963E-3</v>
      </c>
      <c r="E180">
        <f>MINUTE(D180)</f>
        <v>2</v>
      </c>
      <c r="F180">
        <f>SECOND(D180)</f>
        <v>38</v>
      </c>
      <c r="G180">
        <f>ROUND(E180+F180/60,2)</f>
        <v>2.63</v>
      </c>
      <c r="H180">
        <f>60*E180+F180</f>
        <v>158</v>
      </c>
      <c r="I180" s="3">
        <f>5*(3600/H180)</f>
        <v>113.92405063291139</v>
      </c>
    </row>
    <row r="181" spans="1:9" x14ac:dyDescent="0.25">
      <c r="A181" s="4" t="s">
        <v>302</v>
      </c>
      <c r="B181" s="1">
        <v>0.16837199999999999</v>
      </c>
      <c r="C181" s="1">
        <v>0.17019599999999999</v>
      </c>
      <c r="D181" s="1">
        <f>IF(B181&gt;C181,B181-C181,C181-B181)</f>
        <v>1.8239999999999923E-3</v>
      </c>
      <c r="E181">
        <f>MINUTE(D181)</f>
        <v>2</v>
      </c>
      <c r="F181">
        <f>SECOND(D181)</f>
        <v>38</v>
      </c>
      <c r="G181">
        <f>ROUND(E181+F181/60,2)</f>
        <v>2.63</v>
      </c>
      <c r="H181">
        <f>60*E181+F181</f>
        <v>158</v>
      </c>
      <c r="I181" s="3">
        <f>5*(3600/H181)</f>
        <v>113.92405063291139</v>
      </c>
    </row>
    <row r="182" spans="1:9" x14ac:dyDescent="0.25">
      <c r="A182" s="4" t="s">
        <v>129</v>
      </c>
      <c r="B182" s="1">
        <v>0.34697099999999997</v>
      </c>
      <c r="C182" s="1">
        <v>0.34513500000000003</v>
      </c>
      <c r="D182" s="1">
        <f>IF(B182&gt;C182,B182-C182,C182-B182)</f>
        <v>1.8359999999999488E-3</v>
      </c>
      <c r="E182">
        <f>MINUTE(D182)</f>
        <v>2</v>
      </c>
      <c r="F182">
        <f>SECOND(D182)</f>
        <v>39</v>
      </c>
      <c r="G182">
        <f>ROUND(E182+F182/60,2)</f>
        <v>2.65</v>
      </c>
      <c r="H182">
        <f>60*E182+F182</f>
        <v>159</v>
      </c>
      <c r="I182" s="3">
        <f>5*(3600/H182)</f>
        <v>113.20754716981131</v>
      </c>
    </row>
    <row r="183" spans="1:9" x14ac:dyDescent="0.25">
      <c r="A183" s="4" t="s">
        <v>117</v>
      </c>
      <c r="B183" s="1">
        <v>0.93513800000000002</v>
      </c>
      <c r="C183" s="1">
        <v>0.93698199999999998</v>
      </c>
      <c r="D183" s="1">
        <f>IF(B183&gt;C183,B183-C183,C183-B183)</f>
        <v>1.8439999999999568E-3</v>
      </c>
      <c r="E183">
        <f>MINUTE(D183)</f>
        <v>2</v>
      </c>
      <c r="F183">
        <f>SECOND(D183)</f>
        <v>39</v>
      </c>
      <c r="G183">
        <f>ROUND(E183+F183/60,2)</f>
        <v>2.65</v>
      </c>
      <c r="H183">
        <f>60*E183+F183</f>
        <v>159</v>
      </c>
      <c r="I183" s="3">
        <f>5*(3600/H183)</f>
        <v>113.20754716981131</v>
      </c>
    </row>
    <row r="184" spans="1:9" x14ac:dyDescent="0.25">
      <c r="A184" s="4" t="s">
        <v>304</v>
      </c>
      <c r="B184" s="1">
        <v>0.90426600000000001</v>
      </c>
      <c r="C184" s="1">
        <v>0.90610999999999997</v>
      </c>
      <c r="D184" s="1">
        <f>IF(B184&gt;C184,B184-C184,C184-B184)</f>
        <v>1.8439999999999568E-3</v>
      </c>
      <c r="E184">
        <f>MINUTE(D184)</f>
        <v>2</v>
      </c>
      <c r="F184">
        <f>SECOND(D184)</f>
        <v>39</v>
      </c>
      <c r="G184">
        <f>ROUND(E184+F184/60,2)</f>
        <v>2.65</v>
      </c>
      <c r="H184">
        <f>60*E184+F184</f>
        <v>159</v>
      </c>
      <c r="I184" s="3">
        <f>5*(3600/H184)</f>
        <v>113.20754716981131</v>
      </c>
    </row>
    <row r="185" spans="1:9" x14ac:dyDescent="0.25">
      <c r="A185" s="4" t="s">
        <v>385</v>
      </c>
      <c r="B185" s="1">
        <v>0.626494</v>
      </c>
      <c r="C185" s="1">
        <v>0.62833399999999995</v>
      </c>
      <c r="D185" s="1">
        <f>IF(B185&gt;C185,B185-C185,C185-B185)</f>
        <v>1.8399999999999528E-3</v>
      </c>
      <c r="E185">
        <f>MINUTE(D185)</f>
        <v>2</v>
      </c>
      <c r="F185">
        <f>SECOND(D185)</f>
        <v>39</v>
      </c>
      <c r="G185">
        <f>ROUND(E185+F185/60,2)</f>
        <v>2.65</v>
      </c>
      <c r="H185">
        <f>60*E185+F185</f>
        <v>159</v>
      </c>
      <c r="I185" s="3">
        <f>5*(3600/H185)</f>
        <v>113.20754716981131</v>
      </c>
    </row>
    <row r="186" spans="1:9" x14ac:dyDescent="0.25">
      <c r="A186" s="4" t="s">
        <v>12</v>
      </c>
      <c r="B186" s="1">
        <v>0.92180200000000001</v>
      </c>
      <c r="C186" s="1">
        <v>0.91994600000000004</v>
      </c>
      <c r="D186" s="1">
        <f>IF(B186&gt;C186,B186-C186,C186-B186)</f>
        <v>1.8559999999999688E-3</v>
      </c>
      <c r="E186">
        <f>MINUTE(D186)</f>
        <v>2</v>
      </c>
      <c r="F186">
        <f>SECOND(D186)</f>
        <v>40</v>
      </c>
      <c r="G186">
        <f>ROUND(E186+F186/60,2)</f>
        <v>2.67</v>
      </c>
      <c r="H186">
        <f>60*E186+F186</f>
        <v>160</v>
      </c>
      <c r="I186" s="3">
        <f>5*(3600/H186)</f>
        <v>112.5</v>
      </c>
    </row>
    <row r="187" spans="1:9" x14ac:dyDescent="0.25">
      <c r="A187" s="4" t="s">
        <v>5</v>
      </c>
      <c r="B187" s="1">
        <v>4.0059999999999998E-2</v>
      </c>
      <c r="C187" s="1">
        <v>3.8204000000000002E-2</v>
      </c>
      <c r="D187" s="1">
        <f>IF(B187&gt;C187,B187-C187,C187-B187)</f>
        <v>1.8559999999999965E-3</v>
      </c>
      <c r="E187">
        <f>MINUTE(D187)</f>
        <v>2</v>
      </c>
      <c r="F187">
        <f>SECOND(D187)</f>
        <v>40</v>
      </c>
      <c r="G187">
        <f>ROUND(E187+F187/60,2)</f>
        <v>2.67</v>
      </c>
      <c r="H187">
        <f>60*E187+F187</f>
        <v>160</v>
      </c>
      <c r="I187" s="3">
        <f>5*(3600/H187)</f>
        <v>112.5</v>
      </c>
    </row>
    <row r="188" spans="1:9" x14ac:dyDescent="0.25">
      <c r="A188" s="4" t="s">
        <v>79</v>
      </c>
      <c r="B188" s="1">
        <v>0.81873700000000005</v>
      </c>
      <c r="C188" s="1">
        <v>0.82059300000000002</v>
      </c>
      <c r="D188" s="1">
        <f>IF(B188&gt;C188,B188-C188,C188-B188)</f>
        <v>1.8559999999999688E-3</v>
      </c>
      <c r="E188">
        <f>MINUTE(D188)</f>
        <v>2</v>
      </c>
      <c r="F188">
        <f>SECOND(D188)</f>
        <v>40</v>
      </c>
      <c r="G188">
        <f>ROUND(E188+F188/60,2)</f>
        <v>2.67</v>
      </c>
      <c r="H188">
        <f>60*E188+F188</f>
        <v>160</v>
      </c>
      <c r="I188" s="3">
        <f>5*(3600/H188)</f>
        <v>112.5</v>
      </c>
    </row>
    <row r="189" spans="1:9" x14ac:dyDescent="0.25">
      <c r="A189" s="4" t="s">
        <v>109</v>
      </c>
      <c r="B189" s="1">
        <v>0.58387299999999998</v>
      </c>
      <c r="C189" s="1">
        <v>0.58202500000000001</v>
      </c>
      <c r="D189" s="1">
        <f>IF(B189&gt;C189,B189-C189,C189-B189)</f>
        <v>1.8479999999999608E-3</v>
      </c>
      <c r="E189">
        <f>MINUTE(D189)</f>
        <v>2</v>
      </c>
      <c r="F189">
        <f>SECOND(D189)</f>
        <v>40</v>
      </c>
      <c r="G189">
        <f>ROUND(E189+F189/60,2)</f>
        <v>2.67</v>
      </c>
      <c r="H189">
        <f>60*E189+F189</f>
        <v>160</v>
      </c>
      <c r="I189" s="3">
        <f>5*(3600/H189)</f>
        <v>112.5</v>
      </c>
    </row>
    <row r="190" spans="1:9" x14ac:dyDescent="0.25">
      <c r="A190" s="4" t="s">
        <v>162</v>
      </c>
      <c r="B190" s="1">
        <v>1.2021E-2</v>
      </c>
      <c r="C190" s="1">
        <v>1.3877E-2</v>
      </c>
      <c r="D190" s="1">
        <f>IF(B190&gt;C190,B190-C190,C190-B190)</f>
        <v>1.856E-3</v>
      </c>
      <c r="E190">
        <f>MINUTE(D190)</f>
        <v>2</v>
      </c>
      <c r="F190">
        <f>SECOND(D190)</f>
        <v>40</v>
      </c>
      <c r="G190">
        <f>ROUND(E190+F190/60,2)</f>
        <v>2.67</v>
      </c>
      <c r="H190">
        <f>60*E190+F190</f>
        <v>160</v>
      </c>
      <c r="I190" s="3">
        <f>5*(3600/H190)</f>
        <v>112.5</v>
      </c>
    </row>
    <row r="191" spans="1:9" x14ac:dyDescent="0.25">
      <c r="A191" s="4" t="s">
        <v>208</v>
      </c>
      <c r="B191" s="1">
        <v>0.81711299999999998</v>
      </c>
      <c r="C191" s="1">
        <v>0.81896500000000005</v>
      </c>
      <c r="D191" s="1">
        <f>IF(B191&gt;C191,B191-C191,C191-B191)</f>
        <v>1.8520000000000758E-3</v>
      </c>
      <c r="E191">
        <f>MINUTE(D191)</f>
        <v>2</v>
      </c>
      <c r="F191">
        <f>SECOND(D191)</f>
        <v>40</v>
      </c>
      <c r="G191">
        <f>ROUND(E191+F191/60,2)</f>
        <v>2.67</v>
      </c>
      <c r="H191">
        <f>60*E191+F191</f>
        <v>160</v>
      </c>
      <c r="I191" s="3">
        <f>5*(3600/H191)</f>
        <v>112.5</v>
      </c>
    </row>
    <row r="192" spans="1:9" x14ac:dyDescent="0.25">
      <c r="A192" s="4" t="s">
        <v>317</v>
      </c>
      <c r="B192" s="1">
        <v>0.144228</v>
      </c>
      <c r="C192" s="1">
        <v>0.142376</v>
      </c>
      <c r="D192" s="1">
        <f>IF(B192&gt;C192,B192-C192,C192-B192)</f>
        <v>1.8519999999999925E-3</v>
      </c>
      <c r="E192">
        <f>MINUTE(D192)</f>
        <v>2</v>
      </c>
      <c r="F192">
        <f>SECOND(D192)</f>
        <v>40</v>
      </c>
      <c r="G192">
        <f>ROUND(E192+F192/60,2)</f>
        <v>2.67</v>
      </c>
      <c r="H192">
        <f>60*E192+F192</f>
        <v>160</v>
      </c>
      <c r="I192" s="3">
        <f>5*(3600/H192)</f>
        <v>112.5</v>
      </c>
    </row>
    <row r="193" spans="1:9" x14ac:dyDescent="0.25">
      <c r="A193" s="4" t="s">
        <v>64</v>
      </c>
      <c r="B193" s="1">
        <v>0.21684999999999999</v>
      </c>
      <c r="C193" s="1">
        <v>0.21870999999999999</v>
      </c>
      <c r="D193" s="1">
        <f>IF(B193&gt;C193,B193-C193,C193-B193)</f>
        <v>1.8600000000000005E-3</v>
      </c>
      <c r="E193">
        <f>MINUTE(D193)</f>
        <v>2</v>
      </c>
      <c r="F193">
        <f>SECOND(D193)</f>
        <v>41</v>
      </c>
      <c r="G193">
        <f>ROUND(E193+F193/60,2)</f>
        <v>2.68</v>
      </c>
      <c r="H193">
        <f>60*E193+F193</f>
        <v>161</v>
      </c>
      <c r="I193" s="3">
        <f>5*(3600/H193)</f>
        <v>111.80124223602485</v>
      </c>
    </row>
    <row r="194" spans="1:9" x14ac:dyDescent="0.25">
      <c r="A194" s="4" t="s">
        <v>156</v>
      </c>
      <c r="B194" s="1">
        <v>0.93236399999999997</v>
      </c>
      <c r="C194" s="1">
        <v>0.93049999999999999</v>
      </c>
      <c r="D194" s="1">
        <f>IF(B194&gt;C194,B194-C194,C194-B194)</f>
        <v>1.8639999999999768E-3</v>
      </c>
      <c r="E194">
        <f>MINUTE(D194)</f>
        <v>2</v>
      </c>
      <c r="F194">
        <f>SECOND(D194)</f>
        <v>41</v>
      </c>
      <c r="G194">
        <f>ROUND(E194+F194/60,2)</f>
        <v>2.68</v>
      </c>
      <c r="H194">
        <f>60*E194+F194</f>
        <v>161</v>
      </c>
      <c r="I194" s="3">
        <f>5*(3600/H194)</f>
        <v>111.80124223602485</v>
      </c>
    </row>
    <row r="195" spans="1:9" x14ac:dyDescent="0.25">
      <c r="A195" s="4" t="s">
        <v>83</v>
      </c>
      <c r="B195" s="1">
        <v>0.83486300000000002</v>
      </c>
      <c r="C195" s="1">
        <v>0.83299500000000004</v>
      </c>
      <c r="D195" s="1">
        <f>IF(B195&gt;C195,B195-C195,C195-B195)</f>
        <v>1.8679999999999808E-3</v>
      </c>
      <c r="E195">
        <f>MINUTE(D195)</f>
        <v>2</v>
      </c>
      <c r="F195">
        <f>SECOND(D195)</f>
        <v>41</v>
      </c>
      <c r="G195">
        <f>ROUND(E195+F195/60,2)</f>
        <v>2.68</v>
      </c>
      <c r="H195">
        <f>60*E195+F195</f>
        <v>161</v>
      </c>
      <c r="I195" s="3">
        <f>5*(3600/H195)</f>
        <v>111.80124223602485</v>
      </c>
    </row>
    <row r="196" spans="1:9" x14ac:dyDescent="0.25">
      <c r="A196" s="4" t="s">
        <v>87</v>
      </c>
      <c r="B196" s="1">
        <v>0.61230499999999999</v>
      </c>
      <c r="C196" s="1">
        <v>0.61417299999999997</v>
      </c>
      <c r="D196" s="1">
        <f>IF(B196&gt;C196,B196-C196,C196-B196)</f>
        <v>1.8679999999999808E-3</v>
      </c>
      <c r="E196">
        <f>MINUTE(D196)</f>
        <v>2</v>
      </c>
      <c r="F196">
        <f>SECOND(D196)</f>
        <v>41</v>
      </c>
      <c r="G196">
        <f>ROUND(E196+F196/60,2)</f>
        <v>2.68</v>
      </c>
      <c r="H196">
        <f>60*E196+F196</f>
        <v>161</v>
      </c>
      <c r="I196" s="3">
        <f>5*(3600/H196)</f>
        <v>111.80124223602485</v>
      </c>
    </row>
    <row r="197" spans="1:9" x14ac:dyDescent="0.25">
      <c r="A197" s="4" t="s">
        <v>192</v>
      </c>
      <c r="B197" s="1">
        <v>0.23611099999999999</v>
      </c>
      <c r="C197" s="1">
        <v>0.23797099999999999</v>
      </c>
      <c r="D197" s="1">
        <f>IF(B197&gt;C197,B197-C197,C197-B197)</f>
        <v>1.8600000000000005E-3</v>
      </c>
      <c r="E197">
        <f>MINUTE(D197)</f>
        <v>2</v>
      </c>
      <c r="F197">
        <f>SECOND(D197)</f>
        <v>41</v>
      </c>
      <c r="G197">
        <f>ROUND(E197+F197/60,2)</f>
        <v>2.68</v>
      </c>
      <c r="H197">
        <f>60*E197+F197</f>
        <v>161</v>
      </c>
      <c r="I197" s="3">
        <f>5*(3600/H197)</f>
        <v>111.80124223602485</v>
      </c>
    </row>
    <row r="198" spans="1:9" x14ac:dyDescent="0.25">
      <c r="A198" s="4" t="s">
        <v>271</v>
      </c>
      <c r="B198" s="1">
        <v>0.906107</v>
      </c>
      <c r="C198" s="1">
        <v>0.90796699999999997</v>
      </c>
      <c r="D198" s="1">
        <f>IF(B198&gt;C198,B198-C198,C198-B198)</f>
        <v>1.8599999999999728E-3</v>
      </c>
      <c r="E198">
        <f>MINUTE(D198)</f>
        <v>2</v>
      </c>
      <c r="F198">
        <f>SECOND(D198)</f>
        <v>41</v>
      </c>
      <c r="G198">
        <f>ROUND(E198+F198/60,2)</f>
        <v>2.68</v>
      </c>
      <c r="H198">
        <f>60*E198+F198</f>
        <v>161</v>
      </c>
      <c r="I198" s="3">
        <f>5*(3600/H198)</f>
        <v>111.80124223602485</v>
      </c>
    </row>
    <row r="199" spans="1:9" x14ac:dyDescent="0.25">
      <c r="A199" s="4" t="s">
        <v>314</v>
      </c>
      <c r="B199" s="1">
        <v>0.62873999999999997</v>
      </c>
      <c r="C199" s="1">
        <v>0.63060400000000005</v>
      </c>
      <c r="D199" s="1">
        <f>IF(B199&gt;C199,B199-C199,C199-B199)</f>
        <v>1.8640000000000878E-3</v>
      </c>
      <c r="E199">
        <f>MINUTE(D199)</f>
        <v>2</v>
      </c>
      <c r="F199">
        <f>SECOND(D199)</f>
        <v>41</v>
      </c>
      <c r="G199">
        <f>ROUND(E199+F199/60,2)</f>
        <v>2.68</v>
      </c>
      <c r="H199">
        <f>60*E199+F199</f>
        <v>161</v>
      </c>
      <c r="I199" s="3">
        <f>5*(3600/H199)</f>
        <v>111.80124223602485</v>
      </c>
    </row>
    <row r="200" spans="1:9" x14ac:dyDescent="0.25">
      <c r="A200" s="4" t="s">
        <v>394</v>
      </c>
      <c r="B200" s="1">
        <v>0.78683000000000003</v>
      </c>
      <c r="C200" s="1">
        <v>0.78496600000000005</v>
      </c>
      <c r="D200" s="1">
        <f>IF(B200&gt;C200,B200-C200,C200-B200)</f>
        <v>1.8639999999999768E-3</v>
      </c>
      <c r="E200">
        <f>MINUTE(D200)</f>
        <v>2</v>
      </c>
      <c r="F200">
        <f>SECOND(D200)</f>
        <v>41</v>
      </c>
      <c r="G200">
        <f>ROUND(E200+F200/60,2)</f>
        <v>2.68</v>
      </c>
      <c r="H200">
        <f>60*E200+F200</f>
        <v>161</v>
      </c>
      <c r="I200" s="3">
        <f>5*(3600/H200)</f>
        <v>111.80124223602485</v>
      </c>
    </row>
    <row r="201" spans="1:9" x14ac:dyDescent="0.25">
      <c r="A201" s="4" t="s">
        <v>62</v>
      </c>
      <c r="B201" s="1">
        <v>0.703264</v>
      </c>
      <c r="C201" s="1">
        <v>0.70138800000000001</v>
      </c>
      <c r="D201" s="1">
        <f>IF(B201&gt;C201,B201-C201,C201-B201)</f>
        <v>1.8759999999999888E-3</v>
      </c>
      <c r="E201">
        <f>MINUTE(D201)</f>
        <v>2</v>
      </c>
      <c r="F201">
        <f>SECOND(D201)</f>
        <v>42</v>
      </c>
      <c r="G201">
        <f>ROUND(E201+F201/60,2)</f>
        <v>2.7</v>
      </c>
      <c r="H201">
        <f>60*E201+F201</f>
        <v>162</v>
      </c>
      <c r="I201" s="3">
        <f>5*(3600/H201)</f>
        <v>111.11111111111111</v>
      </c>
    </row>
    <row r="202" spans="1:9" x14ac:dyDescent="0.25">
      <c r="A202" s="4" t="s">
        <v>5</v>
      </c>
      <c r="B202" s="1">
        <v>0.40955399999999997</v>
      </c>
      <c r="C202" s="1">
        <v>0.41143000000000002</v>
      </c>
      <c r="D202" s="1">
        <f>IF(B202&gt;C202,B202-C202,C202-B202)</f>
        <v>1.8760000000000443E-3</v>
      </c>
      <c r="E202">
        <f>MINUTE(D202)</f>
        <v>2</v>
      </c>
      <c r="F202">
        <f>SECOND(D202)</f>
        <v>42</v>
      </c>
      <c r="G202">
        <f>ROUND(E202+F202/60,2)</f>
        <v>2.7</v>
      </c>
      <c r="H202">
        <f>60*E202+F202</f>
        <v>162</v>
      </c>
      <c r="I202" s="3">
        <f>5*(3600/H202)</f>
        <v>111.11111111111111</v>
      </c>
    </row>
    <row r="203" spans="1:9" x14ac:dyDescent="0.25">
      <c r="A203" s="4" t="s">
        <v>5</v>
      </c>
      <c r="B203" s="1">
        <v>0.89798900000000004</v>
      </c>
      <c r="C203" s="1">
        <v>0.89986100000000002</v>
      </c>
      <c r="D203" s="1">
        <f>IF(B203&gt;C203,B203-C203,C203-B203)</f>
        <v>1.8719999999999848E-3</v>
      </c>
      <c r="E203">
        <f>MINUTE(D203)</f>
        <v>2</v>
      </c>
      <c r="F203">
        <f>SECOND(D203)</f>
        <v>42</v>
      </c>
      <c r="G203">
        <f>ROUND(E203+F203/60,2)</f>
        <v>2.7</v>
      </c>
      <c r="H203">
        <f>60*E203+F203</f>
        <v>162</v>
      </c>
      <c r="I203" s="3">
        <f>5*(3600/H203)</f>
        <v>111.11111111111111</v>
      </c>
    </row>
    <row r="204" spans="1:9" x14ac:dyDescent="0.25">
      <c r="A204" s="4" t="s">
        <v>47</v>
      </c>
      <c r="B204" s="1">
        <v>0.38585999999999998</v>
      </c>
      <c r="C204" s="1">
        <v>0.38773999999999997</v>
      </c>
      <c r="D204" s="1">
        <f>IF(B204&gt;C204,B204-C204,C204-B204)</f>
        <v>1.8799999999999928E-3</v>
      </c>
      <c r="E204">
        <f>MINUTE(D204)</f>
        <v>2</v>
      </c>
      <c r="F204">
        <f>SECOND(D204)</f>
        <v>42</v>
      </c>
      <c r="G204">
        <f>ROUND(E204+F204/60,2)</f>
        <v>2.7</v>
      </c>
      <c r="H204">
        <f>60*E204+F204</f>
        <v>162</v>
      </c>
      <c r="I204" s="3">
        <f>5*(3600/H204)</f>
        <v>111.11111111111111</v>
      </c>
    </row>
    <row r="205" spans="1:9" x14ac:dyDescent="0.25">
      <c r="A205" s="4" t="s">
        <v>47</v>
      </c>
      <c r="B205" s="1">
        <v>0.39534399999999997</v>
      </c>
      <c r="C205" s="1">
        <v>0.39347199999999999</v>
      </c>
      <c r="D205" s="1">
        <f>IF(B205&gt;C205,B205-C205,C205-B205)</f>
        <v>1.8719999999999848E-3</v>
      </c>
      <c r="E205">
        <f>MINUTE(D205)</f>
        <v>2</v>
      </c>
      <c r="F205">
        <f>SECOND(D205)</f>
        <v>42</v>
      </c>
      <c r="G205">
        <f>ROUND(E205+F205/60,2)</f>
        <v>2.7</v>
      </c>
      <c r="H205">
        <f>60*E205+F205</f>
        <v>162</v>
      </c>
      <c r="I205" s="3">
        <f>5*(3600/H205)</f>
        <v>111.11111111111111</v>
      </c>
    </row>
    <row r="206" spans="1:9" x14ac:dyDescent="0.25">
      <c r="A206" s="4" t="s">
        <v>61</v>
      </c>
      <c r="B206" s="1">
        <v>0.25781799999999999</v>
      </c>
      <c r="C206" s="1">
        <v>0.25594600000000001</v>
      </c>
      <c r="D206" s="1">
        <f>IF(B206&gt;C206,B206-C206,C206-B206)</f>
        <v>1.8719999999999848E-3</v>
      </c>
      <c r="E206">
        <f>MINUTE(D206)</f>
        <v>2</v>
      </c>
      <c r="F206">
        <f>SECOND(D206)</f>
        <v>42</v>
      </c>
      <c r="G206">
        <f>ROUND(E206+F206/60,2)</f>
        <v>2.7</v>
      </c>
      <c r="H206">
        <f>60*E206+F206</f>
        <v>162</v>
      </c>
      <c r="I206" s="3">
        <f>5*(3600/H206)</f>
        <v>111.11111111111111</v>
      </c>
    </row>
    <row r="207" spans="1:9" x14ac:dyDescent="0.25">
      <c r="A207" s="4" t="s">
        <v>47</v>
      </c>
      <c r="B207" s="1">
        <v>0.35125499999999998</v>
      </c>
      <c r="C207" s="1">
        <v>0.349383</v>
      </c>
      <c r="D207" s="1">
        <f>IF(B207&gt;C207,B207-C207,C207-B207)</f>
        <v>1.8719999999999848E-3</v>
      </c>
      <c r="E207">
        <f>MINUTE(D207)</f>
        <v>2</v>
      </c>
      <c r="F207">
        <f>SECOND(D207)</f>
        <v>42</v>
      </c>
      <c r="G207">
        <f>ROUND(E207+F207/60,2)</f>
        <v>2.7</v>
      </c>
      <c r="H207">
        <f>60*E207+F207</f>
        <v>162</v>
      </c>
      <c r="I207" s="3">
        <f>5*(3600/H207)</f>
        <v>111.11111111111111</v>
      </c>
    </row>
    <row r="208" spans="1:9" x14ac:dyDescent="0.25">
      <c r="A208" s="4" t="s">
        <v>33</v>
      </c>
      <c r="B208" s="1">
        <v>0.92453600000000002</v>
      </c>
      <c r="C208" s="1">
        <v>0.92642400000000003</v>
      </c>
      <c r="D208" s="1">
        <f>IF(B208&gt;C208,B208-C208,C208-B208)</f>
        <v>1.8880000000000008E-3</v>
      </c>
      <c r="E208">
        <f>MINUTE(D208)</f>
        <v>2</v>
      </c>
      <c r="F208">
        <f>SECOND(D208)</f>
        <v>43</v>
      </c>
      <c r="G208">
        <f>ROUND(E208+F208/60,2)</f>
        <v>2.72</v>
      </c>
      <c r="H208">
        <f>60*E208+F208</f>
        <v>163</v>
      </c>
      <c r="I208" s="3">
        <f>5*(3600/H208)</f>
        <v>110.42944785276075</v>
      </c>
    </row>
    <row r="209" spans="1:9" x14ac:dyDescent="0.25">
      <c r="A209" s="4" t="s">
        <v>105</v>
      </c>
      <c r="B209" s="1">
        <v>0.30809599999999998</v>
      </c>
      <c r="C209" s="1">
        <v>0.30620399999999998</v>
      </c>
      <c r="D209" s="1">
        <f>IF(B209&gt;C209,B209-C209,C209-B209)</f>
        <v>1.8920000000000048E-3</v>
      </c>
      <c r="E209">
        <f>MINUTE(D209)</f>
        <v>2</v>
      </c>
      <c r="F209">
        <f>SECOND(D209)</f>
        <v>43</v>
      </c>
      <c r="G209">
        <f>ROUND(E209+F209/60,2)</f>
        <v>2.72</v>
      </c>
      <c r="H209">
        <f>60*E209+F209</f>
        <v>163</v>
      </c>
      <c r="I209" s="3">
        <f>5*(3600/H209)</f>
        <v>110.42944785276075</v>
      </c>
    </row>
    <row r="210" spans="1:9" x14ac:dyDescent="0.25">
      <c r="A210" s="4" t="s">
        <v>162</v>
      </c>
      <c r="B210" s="1">
        <v>0.50681100000000001</v>
      </c>
      <c r="C210" s="1">
        <v>0.50492700000000001</v>
      </c>
      <c r="D210" s="1">
        <f>IF(B210&gt;C210,B210-C210,C210-B210)</f>
        <v>1.8839999999999968E-3</v>
      </c>
      <c r="E210">
        <f>MINUTE(D210)</f>
        <v>2</v>
      </c>
      <c r="F210">
        <f>SECOND(D210)</f>
        <v>43</v>
      </c>
      <c r="G210">
        <f>ROUND(E210+F210/60,2)</f>
        <v>2.72</v>
      </c>
      <c r="H210">
        <f>60*E210+F210</f>
        <v>163</v>
      </c>
      <c r="I210" s="3">
        <f>5*(3600/H210)</f>
        <v>110.42944785276075</v>
      </c>
    </row>
    <row r="211" spans="1:9" x14ac:dyDescent="0.25">
      <c r="A211" s="4" t="s">
        <v>60</v>
      </c>
      <c r="B211" s="1">
        <v>0.72680199999999995</v>
      </c>
      <c r="C211" s="1">
        <v>0.72868999999999995</v>
      </c>
      <c r="D211" s="1">
        <f>IF(B211&gt;C211,B211-C211,C211-B211)</f>
        <v>1.8880000000000008E-3</v>
      </c>
      <c r="E211">
        <f>MINUTE(D211)</f>
        <v>2</v>
      </c>
      <c r="F211">
        <f>SECOND(D211)</f>
        <v>43</v>
      </c>
      <c r="G211">
        <f>ROUND(E211+F211/60,2)</f>
        <v>2.72</v>
      </c>
      <c r="H211">
        <f>60*E211+F211</f>
        <v>163</v>
      </c>
      <c r="I211" s="3">
        <f>5*(3600/H211)</f>
        <v>110.42944785276075</v>
      </c>
    </row>
    <row r="212" spans="1:9" x14ac:dyDescent="0.25">
      <c r="A212" s="4" t="s">
        <v>121</v>
      </c>
      <c r="B212" s="1">
        <v>0.49659500000000001</v>
      </c>
      <c r="C212" s="1">
        <v>0.494703</v>
      </c>
      <c r="D212" s="1">
        <f>IF(B212&gt;C212,B212-C212,C212-B212)</f>
        <v>1.8920000000000048E-3</v>
      </c>
      <c r="E212">
        <f>MINUTE(D212)</f>
        <v>2</v>
      </c>
      <c r="F212">
        <f>SECOND(D212)</f>
        <v>43</v>
      </c>
      <c r="G212">
        <f>ROUND(E212+F212/60,2)</f>
        <v>2.72</v>
      </c>
      <c r="H212">
        <f>60*E212+F212</f>
        <v>163</v>
      </c>
      <c r="I212" s="3">
        <f>5*(3600/H212)</f>
        <v>110.42944785276075</v>
      </c>
    </row>
    <row r="213" spans="1:9" x14ac:dyDescent="0.25">
      <c r="A213" s="4" t="s">
        <v>112</v>
      </c>
      <c r="B213" s="1">
        <v>0.43324000000000001</v>
      </c>
      <c r="C213" s="1">
        <v>0.43135600000000002</v>
      </c>
      <c r="D213" s="1">
        <f>IF(B213&gt;C213,B213-C213,C213-B213)</f>
        <v>1.8839999999999968E-3</v>
      </c>
      <c r="E213">
        <f>MINUTE(D213)</f>
        <v>2</v>
      </c>
      <c r="F213">
        <f>SECOND(D213)</f>
        <v>43</v>
      </c>
      <c r="G213">
        <f>ROUND(E213+F213/60,2)</f>
        <v>2.72</v>
      </c>
      <c r="H213">
        <f>60*E213+F213</f>
        <v>163</v>
      </c>
      <c r="I213" s="3">
        <f>5*(3600/H213)</f>
        <v>110.42944785276075</v>
      </c>
    </row>
    <row r="214" spans="1:9" x14ac:dyDescent="0.25">
      <c r="A214" s="4" t="s">
        <v>37</v>
      </c>
      <c r="B214" s="1">
        <v>0.62783900000000004</v>
      </c>
      <c r="C214" s="1">
        <v>0.62973500000000004</v>
      </c>
      <c r="D214" s="1">
        <f>IF(B214&gt;C214,B214-C214,C214-B214)</f>
        <v>1.8960000000000088E-3</v>
      </c>
      <c r="E214">
        <f>MINUTE(D214)</f>
        <v>2</v>
      </c>
      <c r="F214">
        <f>SECOND(D214)</f>
        <v>44</v>
      </c>
      <c r="G214">
        <f>ROUND(E214+F214/60,2)</f>
        <v>2.73</v>
      </c>
      <c r="H214">
        <f>60*E214+F214</f>
        <v>164</v>
      </c>
      <c r="I214" s="3">
        <f>5*(3600/H214)</f>
        <v>109.75609756097562</v>
      </c>
    </row>
    <row r="215" spans="1:9" x14ac:dyDescent="0.25">
      <c r="A215" s="4" t="s">
        <v>155</v>
      </c>
      <c r="B215" s="1">
        <v>0.84710200000000002</v>
      </c>
      <c r="C215" s="1">
        <v>0.84899800000000003</v>
      </c>
      <c r="D215" s="1">
        <f>IF(B215&gt;C215,B215-C215,C215-B215)</f>
        <v>1.8960000000000088E-3</v>
      </c>
      <c r="E215">
        <f>MINUTE(D215)</f>
        <v>2</v>
      </c>
      <c r="F215">
        <f>SECOND(D215)</f>
        <v>44</v>
      </c>
      <c r="G215">
        <f>ROUND(E215+F215/60,2)</f>
        <v>2.73</v>
      </c>
      <c r="H215">
        <f>60*E215+F215</f>
        <v>164</v>
      </c>
      <c r="I215" s="3">
        <f>5*(3600/H215)</f>
        <v>109.75609756097562</v>
      </c>
    </row>
    <row r="216" spans="1:9" x14ac:dyDescent="0.25">
      <c r="A216" s="4" t="s">
        <v>73</v>
      </c>
      <c r="B216" s="1">
        <v>0.94866899999999998</v>
      </c>
      <c r="C216" s="1">
        <v>0.950569</v>
      </c>
      <c r="D216" s="1">
        <f>IF(B216&gt;C216,B216-C216,C216-B216)</f>
        <v>1.9000000000000128E-3</v>
      </c>
      <c r="E216">
        <f>MINUTE(D216)</f>
        <v>2</v>
      </c>
      <c r="F216">
        <f>SECOND(D216)</f>
        <v>44</v>
      </c>
      <c r="G216">
        <f>ROUND(E216+F216/60,2)</f>
        <v>2.73</v>
      </c>
      <c r="H216">
        <f>60*E216+F216</f>
        <v>164</v>
      </c>
      <c r="I216" s="3">
        <f>5*(3600/H216)</f>
        <v>109.75609756097562</v>
      </c>
    </row>
    <row r="217" spans="1:9" x14ac:dyDescent="0.25">
      <c r="A217" s="4" t="s">
        <v>87</v>
      </c>
      <c r="B217" s="1">
        <v>0.290101</v>
      </c>
      <c r="C217" s="1">
        <v>0.29200100000000001</v>
      </c>
      <c r="D217" s="1">
        <f>IF(B217&gt;C217,B217-C217,C217-B217)</f>
        <v>1.9000000000000128E-3</v>
      </c>
      <c r="E217">
        <f>MINUTE(D217)</f>
        <v>2</v>
      </c>
      <c r="F217">
        <f>SECOND(D217)</f>
        <v>44</v>
      </c>
      <c r="G217">
        <f>ROUND(E217+F217/60,2)</f>
        <v>2.73</v>
      </c>
      <c r="H217">
        <f>60*E217+F217</f>
        <v>164</v>
      </c>
      <c r="I217" s="3">
        <f>5*(3600/H217)</f>
        <v>109.75609756097562</v>
      </c>
    </row>
    <row r="218" spans="1:9" x14ac:dyDescent="0.25">
      <c r="A218" s="4" t="s">
        <v>11</v>
      </c>
      <c r="B218" s="1">
        <v>0.91238200000000003</v>
      </c>
      <c r="C218" s="1">
        <v>0.91429400000000005</v>
      </c>
      <c r="D218" s="1">
        <f>IF(B218&gt;C218,B218-C218,C218-B218)</f>
        <v>1.9120000000000248E-3</v>
      </c>
      <c r="E218">
        <f>MINUTE(D218)</f>
        <v>2</v>
      </c>
      <c r="F218">
        <f>SECOND(D218)</f>
        <v>45</v>
      </c>
      <c r="G218">
        <f>ROUND(E218+F218/60,2)</f>
        <v>2.75</v>
      </c>
      <c r="H218">
        <f>60*E218+F218</f>
        <v>165</v>
      </c>
      <c r="I218" s="3">
        <f>5*(3600/H218)</f>
        <v>109.09090909090908</v>
      </c>
    </row>
    <row r="219" spans="1:9" x14ac:dyDescent="0.25">
      <c r="A219" s="4" t="s">
        <v>306</v>
      </c>
      <c r="B219" s="1">
        <v>0.97919</v>
      </c>
      <c r="C219" s="1">
        <v>0.97728199999999998</v>
      </c>
      <c r="D219" s="1">
        <f>IF(B219&gt;C219,B219-C219,C219-B219)</f>
        <v>1.9080000000000208E-3</v>
      </c>
      <c r="E219">
        <f>MINUTE(D219)</f>
        <v>2</v>
      </c>
      <c r="F219">
        <f>SECOND(D219)</f>
        <v>45</v>
      </c>
      <c r="G219">
        <f>ROUND(E219+F219/60,2)</f>
        <v>2.75</v>
      </c>
      <c r="H219">
        <f>60*E219+F219</f>
        <v>165</v>
      </c>
      <c r="I219" s="3">
        <f>5*(3600/H219)</f>
        <v>109.09090909090908</v>
      </c>
    </row>
    <row r="220" spans="1:9" x14ac:dyDescent="0.25">
      <c r="A220" s="4" t="s">
        <v>408</v>
      </c>
      <c r="B220" s="1">
        <v>9.325E-3</v>
      </c>
      <c r="C220" s="1">
        <v>7.417E-3</v>
      </c>
      <c r="D220" s="1">
        <f>IF(B220&gt;C220,B220-C220,C220-B220)</f>
        <v>1.908E-3</v>
      </c>
      <c r="E220">
        <f>MINUTE(D220)</f>
        <v>2</v>
      </c>
      <c r="F220">
        <f>SECOND(D220)</f>
        <v>45</v>
      </c>
      <c r="G220">
        <f>ROUND(E220+F220/60,2)</f>
        <v>2.75</v>
      </c>
      <c r="H220">
        <f>60*E220+F220</f>
        <v>165</v>
      </c>
      <c r="I220" s="3">
        <f>5*(3600/H220)</f>
        <v>109.09090909090908</v>
      </c>
    </row>
    <row r="221" spans="1:9" x14ac:dyDescent="0.25">
      <c r="A221" s="4" t="s">
        <v>11</v>
      </c>
      <c r="B221" s="1">
        <v>0.93227400000000005</v>
      </c>
      <c r="C221" s="1">
        <v>0.93418999999999996</v>
      </c>
      <c r="D221" s="1">
        <f>IF(B221&gt;C221,B221-C221,C221-B221)</f>
        <v>1.9159999999999178E-3</v>
      </c>
      <c r="E221">
        <f>MINUTE(D221)</f>
        <v>2</v>
      </c>
      <c r="F221">
        <f>SECOND(D221)</f>
        <v>46</v>
      </c>
      <c r="G221">
        <f>ROUND(E221+F221/60,2)</f>
        <v>2.77</v>
      </c>
      <c r="H221">
        <f>60*E221+F221</f>
        <v>166</v>
      </c>
      <c r="I221" s="3">
        <f>5*(3600/H221)</f>
        <v>108.43373493975903</v>
      </c>
    </row>
    <row r="222" spans="1:9" x14ac:dyDescent="0.25">
      <c r="A222" s="4" t="s">
        <v>51</v>
      </c>
      <c r="B222" s="1">
        <v>0.20654</v>
      </c>
      <c r="C222" s="1">
        <v>0.20846000000000001</v>
      </c>
      <c r="D222" s="1">
        <f>IF(B222&gt;C222,B222-C222,C222-B222)</f>
        <v>1.920000000000005E-3</v>
      </c>
      <c r="E222">
        <f>MINUTE(D222)</f>
        <v>2</v>
      </c>
      <c r="F222">
        <f>SECOND(D222)</f>
        <v>46</v>
      </c>
      <c r="G222">
        <f>ROUND(E222+F222/60,2)</f>
        <v>2.77</v>
      </c>
      <c r="H222">
        <f>60*E222+F222</f>
        <v>166</v>
      </c>
      <c r="I222" s="3">
        <f>5*(3600/H222)</f>
        <v>108.43373493975903</v>
      </c>
    </row>
    <row r="223" spans="1:9" x14ac:dyDescent="0.25">
      <c r="A223" s="4" t="s">
        <v>119</v>
      </c>
      <c r="B223" s="1">
        <v>0.797157</v>
      </c>
      <c r="C223" s="1">
        <v>0.79524099999999998</v>
      </c>
      <c r="D223" s="1">
        <f>IF(B223&gt;C223,B223-C223,C223-B223)</f>
        <v>1.9160000000000288E-3</v>
      </c>
      <c r="E223">
        <f>MINUTE(D223)</f>
        <v>2</v>
      </c>
      <c r="F223">
        <f>SECOND(D223)</f>
        <v>46</v>
      </c>
      <c r="G223">
        <f>ROUND(E223+F223/60,2)</f>
        <v>2.77</v>
      </c>
      <c r="H223">
        <f>60*E223+F223</f>
        <v>166</v>
      </c>
      <c r="I223" s="3">
        <f>5*(3600/H223)</f>
        <v>108.43373493975903</v>
      </c>
    </row>
    <row r="224" spans="1:9" x14ac:dyDescent="0.25">
      <c r="A224" s="4" t="s">
        <v>162</v>
      </c>
      <c r="B224" s="1">
        <v>0.110017</v>
      </c>
      <c r="C224" s="1">
        <v>0.108101</v>
      </c>
      <c r="D224" s="1">
        <f>IF(B224&gt;C224,B224-C224,C224-B224)</f>
        <v>1.916000000000001E-3</v>
      </c>
      <c r="E224">
        <f>MINUTE(D224)</f>
        <v>2</v>
      </c>
      <c r="F224">
        <f>SECOND(D224)</f>
        <v>46</v>
      </c>
      <c r="G224">
        <f>ROUND(E224+F224/60,2)</f>
        <v>2.77</v>
      </c>
      <c r="H224">
        <f>60*E224+F224</f>
        <v>166</v>
      </c>
      <c r="I224" s="3">
        <f>5*(3600/H224)</f>
        <v>108.43373493975903</v>
      </c>
    </row>
    <row r="225" spans="1:9" x14ac:dyDescent="0.25">
      <c r="A225" s="4" t="s">
        <v>7</v>
      </c>
      <c r="B225" s="1">
        <v>0.172735</v>
      </c>
      <c r="C225" s="1">
        <v>0.17081499999999999</v>
      </c>
      <c r="D225" s="1">
        <f>IF(B225&gt;C225,B225-C225,C225-B225)</f>
        <v>1.920000000000005E-3</v>
      </c>
      <c r="E225">
        <f>MINUTE(D225)</f>
        <v>2</v>
      </c>
      <c r="F225">
        <f>SECOND(D225)</f>
        <v>46</v>
      </c>
      <c r="G225">
        <f>ROUND(E225+F225/60,2)</f>
        <v>2.77</v>
      </c>
      <c r="H225">
        <f>60*E225+F225</f>
        <v>166</v>
      </c>
      <c r="I225" s="3">
        <f>5*(3600/H225)</f>
        <v>108.43373493975903</v>
      </c>
    </row>
    <row r="226" spans="1:9" x14ac:dyDescent="0.25">
      <c r="A226" s="4" t="s">
        <v>298</v>
      </c>
      <c r="B226" s="1">
        <v>0.71425300000000003</v>
      </c>
      <c r="C226" s="1">
        <v>0.71617299999999995</v>
      </c>
      <c r="D226" s="1">
        <f>IF(B226&gt;C226,B226-C226,C226-B226)</f>
        <v>1.9199999999999218E-3</v>
      </c>
      <c r="E226">
        <f>MINUTE(D226)</f>
        <v>2</v>
      </c>
      <c r="F226">
        <f>SECOND(D226)</f>
        <v>46</v>
      </c>
      <c r="G226">
        <f>ROUND(E226+F226/60,2)</f>
        <v>2.77</v>
      </c>
      <c r="H226">
        <f>60*E226+F226</f>
        <v>166</v>
      </c>
      <c r="I226" s="3">
        <f>5*(3600/H226)</f>
        <v>108.43373493975903</v>
      </c>
    </row>
    <row r="227" spans="1:9" x14ac:dyDescent="0.25">
      <c r="A227" s="4" t="s">
        <v>78</v>
      </c>
      <c r="B227" s="1">
        <v>0.39455000000000001</v>
      </c>
      <c r="C227" s="1">
        <v>0.39648600000000001</v>
      </c>
      <c r="D227" s="1">
        <f>IF(B227&gt;C227,B227-C227,C227-B227)</f>
        <v>1.9359999999999933E-3</v>
      </c>
      <c r="E227">
        <f>MINUTE(D227)</f>
        <v>2</v>
      </c>
      <c r="F227">
        <f>SECOND(D227)</f>
        <v>47</v>
      </c>
      <c r="G227">
        <f>ROUND(E227+F227/60,2)</f>
        <v>2.78</v>
      </c>
      <c r="H227">
        <f>60*E227+F227</f>
        <v>167</v>
      </c>
      <c r="I227" s="3">
        <f>5*(3600/H227)</f>
        <v>107.78443113772455</v>
      </c>
    </row>
    <row r="228" spans="1:9" x14ac:dyDescent="0.25">
      <c r="A228" s="4" t="s">
        <v>41</v>
      </c>
      <c r="B228" s="1">
        <v>0.88634100000000005</v>
      </c>
      <c r="C228" s="1">
        <v>0.88827299999999998</v>
      </c>
      <c r="D228" s="1">
        <f>IF(B228&gt;C228,B228-C228,C228-B228)</f>
        <v>1.9319999999999338E-3</v>
      </c>
      <c r="E228">
        <f>MINUTE(D228)</f>
        <v>2</v>
      </c>
      <c r="F228">
        <f>SECOND(D228)</f>
        <v>47</v>
      </c>
      <c r="G228">
        <f>ROUND(E228+F228/60,2)</f>
        <v>2.78</v>
      </c>
      <c r="H228">
        <f>60*E228+F228</f>
        <v>167</v>
      </c>
      <c r="I228" s="3">
        <f>5*(3600/H228)</f>
        <v>107.78443113772455</v>
      </c>
    </row>
    <row r="229" spans="1:9" x14ac:dyDescent="0.25">
      <c r="A229" s="4" t="s">
        <v>109</v>
      </c>
      <c r="B229" s="1">
        <v>0.30414799999999997</v>
      </c>
      <c r="C229" s="1">
        <v>0.30221199999999998</v>
      </c>
      <c r="D229" s="1">
        <f>IF(B229&gt;C229,B229-C229,C229-B229)</f>
        <v>1.9359999999999933E-3</v>
      </c>
      <c r="E229">
        <f>MINUTE(D229)</f>
        <v>2</v>
      </c>
      <c r="F229">
        <f>SECOND(D229)</f>
        <v>47</v>
      </c>
      <c r="G229">
        <f>ROUND(E229+F229/60,2)</f>
        <v>2.78</v>
      </c>
      <c r="H229">
        <f>60*E229+F229</f>
        <v>167</v>
      </c>
      <c r="I229" s="3">
        <f>5*(3600/H229)</f>
        <v>107.78443113772455</v>
      </c>
    </row>
    <row r="230" spans="1:9" x14ac:dyDescent="0.25">
      <c r="A230" s="4" t="s">
        <v>119</v>
      </c>
      <c r="B230" s="1">
        <v>0.80451099999999998</v>
      </c>
      <c r="C230" s="1">
        <v>0.80257900000000004</v>
      </c>
      <c r="D230" s="1">
        <f>IF(B230&gt;C230,B230-C230,C230-B230)</f>
        <v>1.9319999999999338E-3</v>
      </c>
      <c r="E230">
        <f>MINUTE(D230)</f>
        <v>2</v>
      </c>
      <c r="F230">
        <f>SECOND(D230)</f>
        <v>47</v>
      </c>
      <c r="G230">
        <f>ROUND(E230+F230/60,2)</f>
        <v>2.78</v>
      </c>
      <c r="H230">
        <f>60*E230+F230</f>
        <v>167</v>
      </c>
      <c r="I230" s="3">
        <f>5*(3600/H230)</f>
        <v>107.78443113772455</v>
      </c>
    </row>
    <row r="231" spans="1:9" x14ac:dyDescent="0.25">
      <c r="A231" s="4" t="s">
        <v>124</v>
      </c>
      <c r="B231" s="1">
        <v>0.37814999999999999</v>
      </c>
      <c r="C231" s="1">
        <v>0.38008599999999998</v>
      </c>
      <c r="D231" s="1">
        <f>IF(B231&gt;C231,B231-C231,C231-B231)</f>
        <v>1.9359999999999933E-3</v>
      </c>
      <c r="E231">
        <f>MINUTE(D231)</f>
        <v>2</v>
      </c>
      <c r="F231">
        <f>SECOND(D231)</f>
        <v>47</v>
      </c>
      <c r="G231">
        <f>ROUND(E231+F231/60,2)</f>
        <v>2.78</v>
      </c>
      <c r="H231">
        <f>60*E231+F231</f>
        <v>167</v>
      </c>
      <c r="I231" s="3">
        <f>5*(3600/H231)</f>
        <v>107.78443113772455</v>
      </c>
    </row>
    <row r="232" spans="1:9" x14ac:dyDescent="0.25">
      <c r="A232" s="4" t="s">
        <v>103</v>
      </c>
      <c r="B232" s="1">
        <v>0.39823199999999997</v>
      </c>
      <c r="C232" s="1">
        <v>0.40016400000000002</v>
      </c>
      <c r="D232" s="1">
        <f>IF(B232&gt;C232,B232-C232,C232-B232)</f>
        <v>1.9320000000000448E-3</v>
      </c>
      <c r="E232">
        <f>MINUTE(D232)</f>
        <v>2</v>
      </c>
      <c r="F232">
        <f>SECOND(D232)</f>
        <v>47</v>
      </c>
      <c r="G232">
        <f>ROUND(E232+F232/60,2)</f>
        <v>2.78</v>
      </c>
      <c r="H232">
        <f>60*E232+F232</f>
        <v>167</v>
      </c>
      <c r="I232" s="3">
        <f>5*(3600/H232)</f>
        <v>107.78443113772455</v>
      </c>
    </row>
    <row r="233" spans="1:9" x14ac:dyDescent="0.25">
      <c r="A233" s="4" t="s">
        <v>201</v>
      </c>
      <c r="B233" s="1">
        <v>1.3842999999999999E-2</v>
      </c>
      <c r="C233" s="1">
        <v>1.1911E-2</v>
      </c>
      <c r="D233" s="1">
        <f>IF(B233&gt;C233,B233-C233,C233-B233)</f>
        <v>1.9319999999999997E-3</v>
      </c>
      <c r="E233">
        <f>MINUTE(D233)</f>
        <v>2</v>
      </c>
      <c r="F233">
        <f>SECOND(D233)</f>
        <v>47</v>
      </c>
      <c r="G233">
        <f>ROUND(E233+F233/60,2)</f>
        <v>2.78</v>
      </c>
      <c r="H233">
        <f>60*E233+F233</f>
        <v>167</v>
      </c>
      <c r="I233" s="3">
        <f>5*(3600/H233)</f>
        <v>107.78443113772455</v>
      </c>
    </row>
    <row r="234" spans="1:9" x14ac:dyDescent="0.25">
      <c r="A234" s="4" t="s">
        <v>116</v>
      </c>
      <c r="B234" s="1">
        <v>4.8832E-2</v>
      </c>
      <c r="C234" s="1">
        <v>5.0776000000000002E-2</v>
      </c>
      <c r="D234" s="1">
        <f>IF(B234&gt;C234,B234-C234,C234-B234)</f>
        <v>1.9440000000000013E-3</v>
      </c>
      <c r="E234">
        <f>MINUTE(D234)</f>
        <v>2</v>
      </c>
      <c r="F234">
        <f>SECOND(D234)</f>
        <v>48</v>
      </c>
      <c r="G234">
        <f>ROUND(E234+F234/60,2)</f>
        <v>2.8</v>
      </c>
      <c r="H234">
        <f>60*E234+F234</f>
        <v>168</v>
      </c>
      <c r="I234" s="3">
        <f>5*(3600/H234)</f>
        <v>107.14285714285714</v>
      </c>
    </row>
    <row r="235" spans="1:9" x14ac:dyDescent="0.25">
      <c r="A235" s="4" t="s">
        <v>36</v>
      </c>
      <c r="B235" s="1">
        <v>0.514571</v>
      </c>
      <c r="C235" s="1">
        <v>0.51262700000000005</v>
      </c>
      <c r="D235" s="1">
        <f>IF(B235&gt;C235,B235-C235,C235-B235)</f>
        <v>1.9439999999999458E-3</v>
      </c>
      <c r="E235">
        <f>MINUTE(D235)</f>
        <v>2</v>
      </c>
      <c r="F235">
        <f>SECOND(D235)</f>
        <v>48</v>
      </c>
      <c r="G235">
        <f>ROUND(E235+F235/60,2)</f>
        <v>2.8</v>
      </c>
      <c r="H235">
        <f>60*E235+F235</f>
        <v>168</v>
      </c>
      <c r="I235" s="3">
        <f>5*(3600/H235)</f>
        <v>107.14285714285714</v>
      </c>
    </row>
    <row r="236" spans="1:9" x14ac:dyDescent="0.25">
      <c r="A236" s="4" t="s">
        <v>59</v>
      </c>
      <c r="B236" s="1">
        <v>0.99075100000000005</v>
      </c>
      <c r="C236" s="1">
        <v>0.98880699999999999</v>
      </c>
      <c r="D236" s="1">
        <f>IF(B236&gt;C236,B236-C236,C236-B236)</f>
        <v>1.9440000000000568E-3</v>
      </c>
      <c r="E236">
        <f>MINUTE(D236)</f>
        <v>2</v>
      </c>
      <c r="F236">
        <f>SECOND(D236)</f>
        <v>48</v>
      </c>
      <c r="G236">
        <f>ROUND(E236+F236/60,2)</f>
        <v>2.8</v>
      </c>
      <c r="H236">
        <f>60*E236+F236</f>
        <v>168</v>
      </c>
      <c r="I236" s="3">
        <f>5*(3600/H236)</f>
        <v>107.14285714285714</v>
      </c>
    </row>
    <row r="237" spans="1:9" x14ac:dyDescent="0.25">
      <c r="A237" s="4" t="s">
        <v>76</v>
      </c>
      <c r="B237" s="1">
        <v>0.80892299999999995</v>
      </c>
      <c r="C237" s="1">
        <v>0.806979</v>
      </c>
      <c r="D237" s="1">
        <f>IF(B237&gt;C237,B237-C237,C237-B237)</f>
        <v>1.9439999999999458E-3</v>
      </c>
      <c r="E237">
        <f>MINUTE(D237)</f>
        <v>2</v>
      </c>
      <c r="F237">
        <f>SECOND(D237)</f>
        <v>48</v>
      </c>
      <c r="G237">
        <f>ROUND(E237+F237/60,2)</f>
        <v>2.8</v>
      </c>
      <c r="H237">
        <f>60*E237+F237</f>
        <v>168</v>
      </c>
      <c r="I237" s="3">
        <f>5*(3600/H237)</f>
        <v>107.14285714285714</v>
      </c>
    </row>
    <row r="238" spans="1:9" x14ac:dyDescent="0.25">
      <c r="A238" s="4" t="s">
        <v>301</v>
      </c>
      <c r="B238" s="1">
        <v>4.1440000000000001E-3</v>
      </c>
      <c r="C238" s="1">
        <v>2.196E-3</v>
      </c>
      <c r="D238" s="1">
        <f>IF(B238&gt;C238,B238-C238,C238-B238)</f>
        <v>1.9480000000000001E-3</v>
      </c>
      <c r="E238">
        <f>MINUTE(D238)</f>
        <v>2</v>
      </c>
      <c r="F238">
        <f>SECOND(D238)</f>
        <v>48</v>
      </c>
      <c r="G238">
        <f>ROUND(E238+F238/60,2)</f>
        <v>2.8</v>
      </c>
      <c r="H238">
        <f>60*E238+F238</f>
        <v>168</v>
      </c>
      <c r="I238" s="3">
        <f>5*(3600/H238)</f>
        <v>107.14285714285714</v>
      </c>
    </row>
    <row r="239" spans="1:9" x14ac:dyDescent="0.25">
      <c r="A239" s="4" t="s">
        <v>107</v>
      </c>
      <c r="B239" s="1">
        <v>0.40933199999999997</v>
      </c>
      <c r="C239" s="1">
        <v>0.41129199999999999</v>
      </c>
      <c r="D239" s="1">
        <f>IF(B239&gt;C239,B239-C239,C239-B239)</f>
        <v>1.9600000000000173E-3</v>
      </c>
      <c r="E239">
        <f>MINUTE(D239)</f>
        <v>2</v>
      </c>
      <c r="F239">
        <f>SECOND(D239)</f>
        <v>49</v>
      </c>
      <c r="G239">
        <f>ROUND(E239+F239/60,2)</f>
        <v>2.82</v>
      </c>
      <c r="H239">
        <f>60*E239+F239</f>
        <v>169</v>
      </c>
      <c r="I239" s="3">
        <f>5*(3600/H239)</f>
        <v>106.50887573964496</v>
      </c>
    </row>
    <row r="240" spans="1:9" x14ac:dyDescent="0.25">
      <c r="A240" s="4" t="s">
        <v>313</v>
      </c>
      <c r="B240" s="1">
        <v>0.83169999999999999</v>
      </c>
      <c r="C240" s="1">
        <v>0.82974400000000004</v>
      </c>
      <c r="D240" s="1">
        <f>IF(B240&gt;C240,B240-C240,C240-B240)</f>
        <v>1.9559999999999578E-3</v>
      </c>
      <c r="E240">
        <f>MINUTE(D240)</f>
        <v>2</v>
      </c>
      <c r="F240">
        <f>SECOND(D240)</f>
        <v>49</v>
      </c>
      <c r="G240">
        <f>ROUND(E240+F240/60,2)</f>
        <v>2.82</v>
      </c>
      <c r="H240">
        <f>60*E240+F240</f>
        <v>169</v>
      </c>
      <c r="I240" s="3">
        <f>5*(3600/H240)</f>
        <v>106.50887573964496</v>
      </c>
    </row>
    <row r="241" spans="1:9" x14ac:dyDescent="0.25">
      <c r="A241" s="4" t="s">
        <v>9</v>
      </c>
      <c r="B241" s="1">
        <v>6.9554000000000005E-2</v>
      </c>
      <c r="C241" s="1">
        <v>6.7585999999999993E-2</v>
      </c>
      <c r="D241" s="1">
        <f>IF(B241&gt;C241,B241-C241,C241-B241)</f>
        <v>1.9680000000000114E-3</v>
      </c>
      <c r="E241">
        <f>MINUTE(D241)</f>
        <v>2</v>
      </c>
      <c r="F241">
        <f>SECOND(D241)</f>
        <v>50</v>
      </c>
      <c r="G241">
        <f>ROUND(E241+F241/60,2)</f>
        <v>2.83</v>
      </c>
      <c r="H241">
        <f>60*E241+F241</f>
        <v>170</v>
      </c>
      <c r="I241" s="3">
        <f>5*(3600/H241)</f>
        <v>105.88235294117646</v>
      </c>
    </row>
    <row r="242" spans="1:9" x14ac:dyDescent="0.25">
      <c r="A242" s="4" t="s">
        <v>53</v>
      </c>
      <c r="B242" s="1">
        <v>0.57415799999999995</v>
      </c>
      <c r="C242" s="1">
        <v>0.57219399999999998</v>
      </c>
      <c r="D242" s="1">
        <f>IF(B242&gt;C242,B242-C242,C242-B242)</f>
        <v>1.9639999999999658E-3</v>
      </c>
      <c r="E242">
        <f>MINUTE(D242)</f>
        <v>2</v>
      </c>
      <c r="F242">
        <f>SECOND(D242)</f>
        <v>50</v>
      </c>
      <c r="G242">
        <f>ROUND(E242+F242/60,2)</f>
        <v>2.83</v>
      </c>
      <c r="H242">
        <f>60*E242+F242</f>
        <v>170</v>
      </c>
      <c r="I242" s="3">
        <f>5*(3600/H242)</f>
        <v>105.88235294117646</v>
      </c>
    </row>
    <row r="243" spans="1:9" x14ac:dyDescent="0.25">
      <c r="A243" s="4" t="s">
        <v>75</v>
      </c>
      <c r="B243" s="1">
        <v>0.19887299999999999</v>
      </c>
      <c r="C243" s="1">
        <v>0.196909</v>
      </c>
      <c r="D243" s="1">
        <f>IF(B243&gt;C243,B243-C243,C243-B243)</f>
        <v>1.9639999999999935E-3</v>
      </c>
      <c r="E243">
        <f>MINUTE(D243)</f>
        <v>2</v>
      </c>
      <c r="F243">
        <f>SECOND(D243)</f>
        <v>50</v>
      </c>
      <c r="G243">
        <f>ROUND(E243+F243/60,2)</f>
        <v>2.83</v>
      </c>
      <c r="H243">
        <f>60*E243+F243</f>
        <v>170</v>
      </c>
      <c r="I243" s="3">
        <f>5*(3600/H243)</f>
        <v>105.88235294117646</v>
      </c>
    </row>
    <row r="244" spans="1:9" x14ac:dyDescent="0.25">
      <c r="A244" s="4" t="s">
        <v>5</v>
      </c>
      <c r="B244" s="1">
        <v>0.18615499999999999</v>
      </c>
      <c r="C244" s="1">
        <v>0.18418699999999999</v>
      </c>
      <c r="D244" s="1">
        <f>IF(B244&gt;C244,B244-C244,C244-B244)</f>
        <v>1.9679999999999975E-3</v>
      </c>
      <c r="E244">
        <f>MINUTE(D244)</f>
        <v>2</v>
      </c>
      <c r="F244">
        <f>SECOND(D244)</f>
        <v>50</v>
      </c>
      <c r="G244">
        <f>ROUND(E244+F244/60,2)</f>
        <v>2.83</v>
      </c>
      <c r="H244">
        <f>60*E244+F244</f>
        <v>170</v>
      </c>
      <c r="I244" s="3">
        <f>5*(3600/H244)</f>
        <v>105.88235294117646</v>
      </c>
    </row>
    <row r="245" spans="1:9" x14ac:dyDescent="0.25">
      <c r="A245" s="4" t="s">
        <v>243</v>
      </c>
      <c r="B245" s="1">
        <v>0.32779999999999998</v>
      </c>
      <c r="C245" s="1">
        <v>0.32583200000000001</v>
      </c>
      <c r="D245" s="1">
        <f>IF(B245&gt;C245,B245-C245,C245-B245)</f>
        <v>1.9679999999999698E-3</v>
      </c>
      <c r="E245">
        <f>MINUTE(D245)</f>
        <v>2</v>
      </c>
      <c r="F245">
        <f>SECOND(D245)</f>
        <v>50</v>
      </c>
      <c r="G245">
        <f>ROUND(E245+F245/60,2)</f>
        <v>2.83</v>
      </c>
      <c r="H245">
        <f>60*E245+F245</f>
        <v>170</v>
      </c>
      <c r="I245" s="3">
        <f>5*(3600/H245)</f>
        <v>105.88235294117646</v>
      </c>
    </row>
    <row r="246" spans="1:9" x14ac:dyDescent="0.25">
      <c r="A246" s="4" t="s">
        <v>338</v>
      </c>
      <c r="B246" s="1">
        <v>0.114995</v>
      </c>
      <c r="C246" s="1">
        <v>0.113023</v>
      </c>
      <c r="D246" s="1">
        <f>IF(B246&gt;C246,B246-C246,C246-B246)</f>
        <v>1.9720000000000015E-3</v>
      </c>
      <c r="E246">
        <f>MINUTE(D246)</f>
        <v>2</v>
      </c>
      <c r="F246">
        <f>SECOND(D246)</f>
        <v>50</v>
      </c>
      <c r="G246">
        <f>ROUND(E246+F246/60,2)</f>
        <v>2.83</v>
      </c>
      <c r="H246">
        <f>60*E246+F246</f>
        <v>170</v>
      </c>
      <c r="I246" s="3">
        <f>5*(3600/H246)</f>
        <v>105.88235294117646</v>
      </c>
    </row>
    <row r="247" spans="1:9" x14ac:dyDescent="0.25">
      <c r="A247" s="4" t="s">
        <v>138</v>
      </c>
      <c r="B247" s="1">
        <v>0.48477300000000001</v>
      </c>
      <c r="C247" s="1">
        <v>0.48279699999999998</v>
      </c>
      <c r="D247" s="1">
        <f>IF(B247&gt;C247,B247-C247,C247-B247)</f>
        <v>1.9760000000000333E-3</v>
      </c>
      <c r="E247">
        <f>MINUTE(D247)</f>
        <v>2</v>
      </c>
      <c r="F247">
        <f>SECOND(D247)</f>
        <v>51</v>
      </c>
      <c r="G247">
        <f>ROUND(E247+F247/60,2)</f>
        <v>2.85</v>
      </c>
      <c r="H247">
        <f>60*E247+F247</f>
        <v>171</v>
      </c>
      <c r="I247" s="3">
        <f>5*(3600/H247)</f>
        <v>105.26315789473685</v>
      </c>
    </row>
    <row r="248" spans="1:9" x14ac:dyDescent="0.25">
      <c r="A248" s="4" t="s">
        <v>247</v>
      </c>
      <c r="B248" s="1">
        <v>0.30108499999999999</v>
      </c>
      <c r="C248" s="1">
        <v>0.29910100000000001</v>
      </c>
      <c r="D248" s="1">
        <f>IF(B248&gt;C248,B248-C248,C248-B248)</f>
        <v>1.9839999999999858E-3</v>
      </c>
      <c r="E248">
        <f>MINUTE(D248)</f>
        <v>2</v>
      </c>
      <c r="F248">
        <f>SECOND(D248)</f>
        <v>51</v>
      </c>
      <c r="G248">
        <f>ROUND(E248+F248/60,2)</f>
        <v>2.85</v>
      </c>
      <c r="H248">
        <f>60*E248+F248</f>
        <v>171</v>
      </c>
      <c r="I248" s="3">
        <f>5*(3600/H248)</f>
        <v>105.26315789473685</v>
      </c>
    </row>
    <row r="249" spans="1:9" x14ac:dyDescent="0.25">
      <c r="A249" s="4" t="s">
        <v>9</v>
      </c>
      <c r="B249" s="1">
        <v>0.20372499999999999</v>
      </c>
      <c r="C249" s="1">
        <v>0.20172899999999999</v>
      </c>
      <c r="D249" s="1">
        <f>IF(B249&gt;C249,B249-C249,C249-B249)</f>
        <v>1.9959999999999978E-3</v>
      </c>
      <c r="E249">
        <f>MINUTE(D249)</f>
        <v>2</v>
      </c>
      <c r="F249">
        <f>SECOND(D249)</f>
        <v>52</v>
      </c>
      <c r="G249">
        <f>ROUND(E249+F249/60,2)</f>
        <v>2.87</v>
      </c>
      <c r="H249">
        <f>60*E249+F249</f>
        <v>172</v>
      </c>
      <c r="I249" s="3">
        <f>5*(3600/H249)</f>
        <v>104.65116279069768</v>
      </c>
    </row>
    <row r="250" spans="1:9" x14ac:dyDescent="0.25">
      <c r="A250" s="4" t="s">
        <v>67</v>
      </c>
      <c r="B250" s="1">
        <v>0.859155</v>
      </c>
      <c r="C250" s="1">
        <v>0.85716700000000001</v>
      </c>
      <c r="D250" s="1">
        <f>IF(B250&gt;C250,B250-C250,C250-B250)</f>
        <v>1.9879999999999898E-3</v>
      </c>
      <c r="E250">
        <f>MINUTE(D250)</f>
        <v>2</v>
      </c>
      <c r="F250">
        <f>SECOND(D250)</f>
        <v>52</v>
      </c>
      <c r="G250">
        <f>ROUND(E250+F250/60,2)</f>
        <v>2.87</v>
      </c>
      <c r="H250">
        <f>60*E250+F250</f>
        <v>172</v>
      </c>
      <c r="I250" s="3">
        <f>5*(3600/H250)</f>
        <v>104.65116279069768</v>
      </c>
    </row>
    <row r="251" spans="1:9" x14ac:dyDescent="0.25">
      <c r="A251" s="4" t="s">
        <v>109</v>
      </c>
      <c r="B251" s="1">
        <v>0.36385299999999998</v>
      </c>
      <c r="C251" s="1">
        <v>0.36585299999999998</v>
      </c>
      <c r="D251" s="1">
        <f>IF(B251&gt;C251,B251-C251,C251-B251)</f>
        <v>2.0000000000000018E-3</v>
      </c>
      <c r="E251">
        <f>MINUTE(D251)</f>
        <v>2</v>
      </c>
      <c r="F251">
        <f>SECOND(D251)</f>
        <v>53</v>
      </c>
      <c r="G251">
        <f>ROUND(E251+F251/60,2)</f>
        <v>2.88</v>
      </c>
      <c r="H251">
        <f>60*E251+F251</f>
        <v>173</v>
      </c>
      <c r="I251" s="3">
        <f>5*(3600/H251)</f>
        <v>104.04624277456648</v>
      </c>
    </row>
    <row r="252" spans="1:9" x14ac:dyDescent="0.25">
      <c r="A252" s="4" t="s">
        <v>115</v>
      </c>
      <c r="B252" s="1">
        <v>3.1198E-2</v>
      </c>
      <c r="C252" s="1">
        <v>2.9186E-2</v>
      </c>
      <c r="D252" s="1">
        <f>IF(B252&gt;C252,B252-C252,C252-B252)</f>
        <v>2.0119999999999999E-3</v>
      </c>
      <c r="E252">
        <f>MINUTE(D252)</f>
        <v>2</v>
      </c>
      <c r="F252">
        <f>SECOND(D252)</f>
        <v>54</v>
      </c>
      <c r="G252">
        <f>ROUND(E252+F252/60,2)</f>
        <v>2.9</v>
      </c>
      <c r="H252">
        <f>60*E252+F252</f>
        <v>174</v>
      </c>
      <c r="I252" s="3">
        <f>5*(3600/H252)</f>
        <v>103.44827586206897</v>
      </c>
    </row>
    <row r="253" spans="1:9" x14ac:dyDescent="0.25">
      <c r="A253" s="4" t="s">
        <v>87</v>
      </c>
      <c r="B253" s="1">
        <v>0.517347</v>
      </c>
      <c r="C253" s="1">
        <v>0.51533499999999999</v>
      </c>
      <c r="D253" s="1">
        <f>IF(B253&gt;C253,B253-C253,C253-B253)</f>
        <v>2.0120000000000138E-3</v>
      </c>
      <c r="E253">
        <f>MINUTE(D253)</f>
        <v>2</v>
      </c>
      <c r="F253">
        <f>SECOND(D253)</f>
        <v>54</v>
      </c>
      <c r="G253">
        <f>ROUND(E253+F253/60,2)</f>
        <v>2.9</v>
      </c>
      <c r="H253">
        <f>60*E253+F253</f>
        <v>174</v>
      </c>
      <c r="I253" s="3">
        <f>5*(3600/H253)</f>
        <v>103.44827586206897</v>
      </c>
    </row>
    <row r="254" spans="1:9" x14ac:dyDescent="0.25">
      <c r="A254" s="4" t="s">
        <v>114</v>
      </c>
      <c r="B254" s="1">
        <v>0.56009799999999998</v>
      </c>
      <c r="C254" s="1">
        <v>0.55808599999999997</v>
      </c>
      <c r="D254" s="1">
        <f>IF(B254&gt;C254,B254-C254,C254-B254)</f>
        <v>2.0120000000000138E-3</v>
      </c>
      <c r="E254">
        <f>MINUTE(D254)</f>
        <v>2</v>
      </c>
      <c r="F254">
        <f>SECOND(D254)</f>
        <v>54</v>
      </c>
      <c r="G254">
        <f>ROUND(E254+F254/60,2)</f>
        <v>2.9</v>
      </c>
      <c r="H254">
        <f>60*E254+F254</f>
        <v>174</v>
      </c>
      <c r="I254" s="3">
        <f>5*(3600/H254)</f>
        <v>103.44827586206897</v>
      </c>
    </row>
    <row r="255" spans="1:9" x14ac:dyDescent="0.25">
      <c r="A255" s="4" t="s">
        <v>35</v>
      </c>
      <c r="B255" s="1">
        <v>3.5965999999999998E-2</v>
      </c>
      <c r="C255" s="1">
        <v>3.7982000000000002E-2</v>
      </c>
      <c r="D255" s="1">
        <f>IF(B255&gt;C255,B255-C255,C255-B255)</f>
        <v>2.0160000000000039E-3</v>
      </c>
      <c r="E255">
        <f>MINUTE(D255)</f>
        <v>2</v>
      </c>
      <c r="F255">
        <f>SECOND(D255)</f>
        <v>54</v>
      </c>
      <c r="G255">
        <f>ROUND(E255+F255/60,2)</f>
        <v>2.9</v>
      </c>
      <c r="H255">
        <f>60*E255+F255</f>
        <v>174</v>
      </c>
      <c r="I255" s="3">
        <f>5*(3600/H255)</f>
        <v>103.44827586206897</v>
      </c>
    </row>
    <row r="256" spans="1:9" x14ac:dyDescent="0.25">
      <c r="A256" s="4" t="s">
        <v>293</v>
      </c>
      <c r="B256" s="1">
        <v>0.55314399999999997</v>
      </c>
      <c r="C256" s="1">
        <v>0.55515999999999999</v>
      </c>
      <c r="D256" s="1">
        <f>IF(B256&gt;C256,B256-C256,C256-B256)</f>
        <v>2.0160000000000178E-3</v>
      </c>
      <c r="E256">
        <f>MINUTE(D256)</f>
        <v>2</v>
      </c>
      <c r="F256">
        <f>SECOND(D256)</f>
        <v>54</v>
      </c>
      <c r="G256">
        <f>ROUND(E256+F256/60,2)</f>
        <v>2.9</v>
      </c>
      <c r="H256">
        <f>60*E256+F256</f>
        <v>174</v>
      </c>
      <c r="I256" s="3">
        <f>5*(3600/H256)</f>
        <v>103.44827586206897</v>
      </c>
    </row>
    <row r="257" spans="1:9" x14ac:dyDescent="0.25">
      <c r="A257" s="4" t="s">
        <v>162</v>
      </c>
      <c r="B257" s="1">
        <v>0.17679500000000001</v>
      </c>
      <c r="C257" s="1">
        <v>0.17477100000000001</v>
      </c>
      <c r="D257" s="1">
        <f>IF(B257&gt;C257,B257-C257,C257-B257)</f>
        <v>2.023999999999998E-3</v>
      </c>
      <c r="E257">
        <f>MINUTE(D257)</f>
        <v>2</v>
      </c>
      <c r="F257">
        <f>SECOND(D257)</f>
        <v>55</v>
      </c>
      <c r="G257">
        <f>ROUND(E257+F257/60,2)</f>
        <v>2.92</v>
      </c>
      <c r="H257">
        <f>60*E257+F257</f>
        <v>175</v>
      </c>
      <c r="I257" s="3">
        <f>5*(3600/H257)</f>
        <v>102.85714285714286</v>
      </c>
    </row>
    <row r="258" spans="1:9" x14ac:dyDescent="0.25">
      <c r="A258" s="4" t="s">
        <v>117</v>
      </c>
      <c r="B258" s="1">
        <v>0.84016999999999997</v>
      </c>
      <c r="C258" s="1">
        <v>0.84218999999999999</v>
      </c>
      <c r="D258" s="1">
        <f>IF(B258&gt;C258,B258-C258,C258-B258)</f>
        <v>2.0200000000000218E-3</v>
      </c>
      <c r="E258">
        <f>MINUTE(D258)</f>
        <v>2</v>
      </c>
      <c r="F258">
        <f>SECOND(D258)</f>
        <v>55</v>
      </c>
      <c r="G258">
        <f>ROUND(E258+F258/60,2)</f>
        <v>2.92</v>
      </c>
      <c r="H258">
        <f>60*E258+F258</f>
        <v>175</v>
      </c>
      <c r="I258" s="3">
        <f>5*(3600/H258)</f>
        <v>102.85714285714286</v>
      </c>
    </row>
    <row r="259" spans="1:9" x14ac:dyDescent="0.25">
      <c r="A259" s="4" t="s">
        <v>139</v>
      </c>
      <c r="B259" s="1">
        <v>0.28436099999999997</v>
      </c>
      <c r="C259" s="1">
        <v>0.286385</v>
      </c>
      <c r="D259" s="1">
        <f>IF(B259&gt;C259,B259-C259,C259-B259)</f>
        <v>2.0240000000000258E-3</v>
      </c>
      <c r="E259">
        <f>MINUTE(D259)</f>
        <v>2</v>
      </c>
      <c r="F259">
        <f>SECOND(D259)</f>
        <v>55</v>
      </c>
      <c r="G259">
        <f>ROUND(E259+F259/60,2)</f>
        <v>2.92</v>
      </c>
      <c r="H259">
        <f>60*E259+F259</f>
        <v>175</v>
      </c>
      <c r="I259" s="3">
        <f>5*(3600/H259)</f>
        <v>102.85714285714286</v>
      </c>
    </row>
    <row r="260" spans="1:9" x14ac:dyDescent="0.25">
      <c r="A260" s="4" t="s">
        <v>217</v>
      </c>
      <c r="B260" s="1">
        <v>9.6702999999999997E-2</v>
      </c>
      <c r="C260" s="1">
        <v>9.4674999999999995E-2</v>
      </c>
      <c r="D260" s="1">
        <f>IF(B260&gt;C260,B260-C260,C260-B260)</f>
        <v>2.028000000000002E-3</v>
      </c>
      <c r="E260">
        <f>MINUTE(D260)</f>
        <v>2</v>
      </c>
      <c r="F260">
        <f>SECOND(D260)</f>
        <v>55</v>
      </c>
      <c r="G260">
        <f>ROUND(E260+F260/60,2)</f>
        <v>2.92</v>
      </c>
      <c r="H260">
        <f>60*E260+F260</f>
        <v>175</v>
      </c>
      <c r="I260" s="3">
        <f>5*(3600/H260)</f>
        <v>102.85714285714286</v>
      </c>
    </row>
    <row r="261" spans="1:9" x14ac:dyDescent="0.25">
      <c r="A261" s="4" t="s">
        <v>250</v>
      </c>
      <c r="B261" s="1">
        <v>0.69297900000000001</v>
      </c>
      <c r="C261" s="1">
        <v>0.69500300000000004</v>
      </c>
      <c r="D261" s="1">
        <f>IF(B261&gt;C261,B261-C261,C261-B261)</f>
        <v>2.0240000000000258E-3</v>
      </c>
      <c r="E261">
        <f>MINUTE(D261)</f>
        <v>2</v>
      </c>
      <c r="F261">
        <f>SECOND(D261)</f>
        <v>55</v>
      </c>
      <c r="G261">
        <f>ROUND(E261+F261/60,2)</f>
        <v>2.92</v>
      </c>
      <c r="H261">
        <f>60*E261+F261</f>
        <v>175</v>
      </c>
      <c r="I261" s="3">
        <f>5*(3600/H261)</f>
        <v>102.85714285714286</v>
      </c>
    </row>
    <row r="262" spans="1:9" x14ac:dyDescent="0.25">
      <c r="A262" s="4" t="s">
        <v>396</v>
      </c>
      <c r="B262" s="1">
        <v>0.14202300000000001</v>
      </c>
      <c r="C262" s="1">
        <v>0.13999500000000001</v>
      </c>
      <c r="D262" s="1">
        <f>IF(B262&gt;C262,B262-C262,C262-B262)</f>
        <v>2.028000000000002E-3</v>
      </c>
      <c r="E262">
        <f>MINUTE(D262)</f>
        <v>2</v>
      </c>
      <c r="F262">
        <f>SECOND(D262)</f>
        <v>55</v>
      </c>
      <c r="G262">
        <f>ROUND(E262+F262/60,2)</f>
        <v>2.92</v>
      </c>
      <c r="H262">
        <f>60*E262+F262</f>
        <v>175</v>
      </c>
      <c r="I262" s="3">
        <f>5*(3600/H262)</f>
        <v>102.85714285714286</v>
      </c>
    </row>
    <row r="263" spans="1:9" x14ac:dyDescent="0.25">
      <c r="A263" s="4" t="s">
        <v>143</v>
      </c>
      <c r="B263" s="1">
        <v>0.46729599999999999</v>
      </c>
      <c r="C263" s="1">
        <v>0.46933599999999998</v>
      </c>
      <c r="D263" s="1">
        <f>IF(B263&gt;C263,B263-C263,C263-B263)</f>
        <v>2.0399999999999863E-3</v>
      </c>
      <c r="E263">
        <f>MINUTE(D263)</f>
        <v>2</v>
      </c>
      <c r="F263">
        <f>SECOND(D263)</f>
        <v>56</v>
      </c>
      <c r="G263">
        <f>ROUND(E263+F263/60,2)</f>
        <v>2.93</v>
      </c>
      <c r="H263">
        <f>60*E263+F263</f>
        <v>176</v>
      </c>
      <c r="I263" s="3">
        <f>5*(3600/H263)</f>
        <v>102.27272727272727</v>
      </c>
    </row>
    <row r="264" spans="1:9" x14ac:dyDescent="0.25">
      <c r="A264" s="4" t="s">
        <v>109</v>
      </c>
      <c r="B264" s="1">
        <v>0.869726</v>
      </c>
      <c r="C264" s="1">
        <v>0.86768999999999996</v>
      </c>
      <c r="D264" s="1">
        <f>IF(B264&gt;C264,B264-C264,C264-B264)</f>
        <v>2.0360000000000378E-3</v>
      </c>
      <c r="E264">
        <f>MINUTE(D264)</f>
        <v>2</v>
      </c>
      <c r="F264">
        <f>SECOND(D264)</f>
        <v>56</v>
      </c>
      <c r="G264">
        <f>ROUND(E264+F264/60,2)</f>
        <v>2.93</v>
      </c>
      <c r="H264">
        <f>60*E264+F264</f>
        <v>176</v>
      </c>
      <c r="I264" s="3">
        <f>5*(3600/H264)</f>
        <v>102.27272727272727</v>
      </c>
    </row>
    <row r="265" spans="1:9" x14ac:dyDescent="0.25">
      <c r="A265" s="4" t="s">
        <v>165</v>
      </c>
      <c r="B265" s="1">
        <v>0.16714200000000001</v>
      </c>
      <c r="C265" s="1">
        <v>0.165106</v>
      </c>
      <c r="D265" s="1">
        <f>IF(B265&gt;C265,B265-C265,C265-B265)</f>
        <v>2.03600000000001E-3</v>
      </c>
      <c r="E265">
        <f>MINUTE(D265)</f>
        <v>2</v>
      </c>
      <c r="F265">
        <f>SECOND(D265)</f>
        <v>56</v>
      </c>
      <c r="G265">
        <f>ROUND(E265+F265/60,2)</f>
        <v>2.93</v>
      </c>
      <c r="H265">
        <f>60*E265+F265</f>
        <v>176</v>
      </c>
      <c r="I265" s="3">
        <f>5*(3600/H265)</f>
        <v>102.27272727272727</v>
      </c>
    </row>
    <row r="266" spans="1:9" x14ac:dyDescent="0.25">
      <c r="A266" s="4" t="s">
        <v>58</v>
      </c>
      <c r="B266" s="1">
        <v>0.88663099999999995</v>
      </c>
      <c r="C266" s="1">
        <v>0.888683</v>
      </c>
      <c r="D266" s="1">
        <f>IF(B266&gt;C266,B266-C266,C266-B266)</f>
        <v>2.0520000000000538E-3</v>
      </c>
      <c r="E266">
        <f>MINUTE(D266)</f>
        <v>2</v>
      </c>
      <c r="F266">
        <f>SECOND(D266)</f>
        <v>57</v>
      </c>
      <c r="G266">
        <f>ROUND(E266+F266/60,2)</f>
        <v>2.95</v>
      </c>
      <c r="H266">
        <f>60*E266+F266</f>
        <v>177</v>
      </c>
      <c r="I266" s="3">
        <f>5*(3600/H266)</f>
        <v>101.69491525423729</v>
      </c>
    </row>
    <row r="267" spans="1:9" x14ac:dyDescent="0.25">
      <c r="A267" s="4" t="s">
        <v>158</v>
      </c>
      <c r="B267" s="1">
        <v>0.82938000000000001</v>
      </c>
      <c r="C267" s="1">
        <v>0.82733199999999996</v>
      </c>
      <c r="D267" s="1">
        <f>IF(B267&gt;C267,B267-C267,C267-B267)</f>
        <v>2.0480000000000498E-3</v>
      </c>
      <c r="E267">
        <f>MINUTE(D267)</f>
        <v>2</v>
      </c>
      <c r="F267">
        <f>SECOND(D267)</f>
        <v>57</v>
      </c>
      <c r="G267">
        <f>ROUND(E267+F267/60,2)</f>
        <v>2.95</v>
      </c>
      <c r="H267">
        <f>60*E267+F267</f>
        <v>177</v>
      </c>
      <c r="I267" s="3">
        <f>5*(3600/H267)</f>
        <v>101.69491525423729</v>
      </c>
    </row>
    <row r="268" spans="1:9" x14ac:dyDescent="0.25">
      <c r="A268" s="4" t="s">
        <v>23</v>
      </c>
      <c r="B268" s="1">
        <v>0.551709</v>
      </c>
      <c r="C268" s="1">
        <v>0.54965699999999995</v>
      </c>
      <c r="D268" s="1">
        <f>IF(B268&gt;C268,B268-C268,C268-B268)</f>
        <v>2.0520000000000538E-3</v>
      </c>
      <c r="E268">
        <f>MINUTE(D268)</f>
        <v>2</v>
      </c>
      <c r="F268">
        <f>SECOND(D268)</f>
        <v>57</v>
      </c>
      <c r="G268">
        <f>ROUND(E268+F268/60,2)</f>
        <v>2.95</v>
      </c>
      <c r="H268">
        <f>60*E268+F268</f>
        <v>177</v>
      </c>
      <c r="I268" s="3">
        <f>5*(3600/H268)</f>
        <v>101.69491525423729</v>
      </c>
    </row>
    <row r="269" spans="1:9" x14ac:dyDescent="0.25">
      <c r="A269" s="4" t="s">
        <v>211</v>
      </c>
      <c r="B269" s="1">
        <v>0.29138900000000001</v>
      </c>
      <c r="C269" s="1">
        <v>0.29344100000000001</v>
      </c>
      <c r="D269" s="1">
        <f>IF(B269&gt;C269,B269-C269,C269-B269)</f>
        <v>2.0519999999999983E-3</v>
      </c>
      <c r="E269">
        <f>MINUTE(D269)</f>
        <v>2</v>
      </c>
      <c r="F269">
        <f>SECOND(D269)</f>
        <v>57</v>
      </c>
      <c r="G269">
        <f>ROUND(E269+F269/60,2)</f>
        <v>2.95</v>
      </c>
      <c r="H269">
        <f>60*E269+F269</f>
        <v>177</v>
      </c>
      <c r="I269" s="3">
        <f>5*(3600/H269)</f>
        <v>101.69491525423729</v>
      </c>
    </row>
    <row r="270" spans="1:9" x14ac:dyDescent="0.25">
      <c r="A270" s="4" t="s">
        <v>257</v>
      </c>
      <c r="B270" s="1">
        <v>0.66598000000000002</v>
      </c>
      <c r="C270" s="1">
        <v>0.66393599999999997</v>
      </c>
      <c r="D270" s="1">
        <f>IF(B270&gt;C270,B270-C270,C270-B270)</f>
        <v>2.0440000000000458E-3</v>
      </c>
      <c r="E270">
        <f>MINUTE(D270)</f>
        <v>2</v>
      </c>
      <c r="F270">
        <f>SECOND(D270)</f>
        <v>57</v>
      </c>
      <c r="G270">
        <f>ROUND(E270+F270/60,2)</f>
        <v>2.95</v>
      </c>
      <c r="H270">
        <f>60*E270+F270</f>
        <v>177</v>
      </c>
      <c r="I270" s="3">
        <f>5*(3600/H270)</f>
        <v>101.69491525423729</v>
      </c>
    </row>
    <row r="271" spans="1:9" x14ac:dyDescent="0.25">
      <c r="A271" s="4" t="s">
        <v>96</v>
      </c>
      <c r="B271" s="1">
        <v>0.699542</v>
      </c>
      <c r="C271" s="1">
        <v>0.70160199999999995</v>
      </c>
      <c r="D271" s="1">
        <f>IF(B271&gt;C271,B271-C271,C271-B271)</f>
        <v>2.0599999999999508E-3</v>
      </c>
      <c r="E271">
        <f>MINUTE(D271)</f>
        <v>2</v>
      </c>
      <c r="F271">
        <f>SECOND(D271)</f>
        <v>58</v>
      </c>
      <c r="G271">
        <f>ROUND(E271+F271/60,2)</f>
        <v>2.97</v>
      </c>
      <c r="H271">
        <f>60*E271+F271</f>
        <v>178</v>
      </c>
      <c r="I271" s="3">
        <f>5*(3600/H271)</f>
        <v>101.12359550561798</v>
      </c>
    </row>
    <row r="272" spans="1:9" x14ac:dyDescent="0.25">
      <c r="A272" s="4" t="s">
        <v>117</v>
      </c>
      <c r="B272" s="1">
        <v>0.26135000000000003</v>
      </c>
      <c r="C272" s="1">
        <v>0.26341399999999998</v>
      </c>
      <c r="D272" s="1">
        <f>IF(B272&gt;C272,B272-C272,C272-B272)</f>
        <v>2.0639999999999548E-3</v>
      </c>
      <c r="E272">
        <f>MINUTE(D272)</f>
        <v>2</v>
      </c>
      <c r="F272">
        <f>SECOND(D272)</f>
        <v>58</v>
      </c>
      <c r="G272">
        <f>ROUND(E272+F272/60,2)</f>
        <v>2.97</v>
      </c>
      <c r="H272">
        <f>60*E272+F272</f>
        <v>178</v>
      </c>
      <c r="I272" s="3">
        <f>5*(3600/H272)</f>
        <v>101.12359550561798</v>
      </c>
    </row>
    <row r="273" spans="1:9" x14ac:dyDescent="0.25">
      <c r="A273" s="4" t="s">
        <v>117</v>
      </c>
      <c r="B273" s="1">
        <v>0.97350800000000004</v>
      </c>
      <c r="C273" s="1">
        <v>0.97145199999999998</v>
      </c>
      <c r="D273" s="1">
        <f>IF(B273&gt;C273,B273-C273,C273-B273)</f>
        <v>2.0560000000000578E-3</v>
      </c>
      <c r="E273">
        <f>MINUTE(D273)</f>
        <v>2</v>
      </c>
      <c r="F273">
        <f>SECOND(D273)</f>
        <v>58</v>
      </c>
      <c r="G273">
        <f>ROUND(E273+F273/60,2)</f>
        <v>2.97</v>
      </c>
      <c r="H273">
        <f>60*E273+F273</f>
        <v>178</v>
      </c>
      <c r="I273" s="3">
        <f>5*(3600/H273)</f>
        <v>101.12359550561798</v>
      </c>
    </row>
    <row r="274" spans="1:9" x14ac:dyDescent="0.25">
      <c r="A274" s="4" t="s">
        <v>50</v>
      </c>
      <c r="B274" s="1">
        <v>0.14851200000000001</v>
      </c>
      <c r="C274" s="1">
        <v>0.14644799999999999</v>
      </c>
      <c r="D274" s="1">
        <f>IF(B274&gt;C274,B274-C274,C274-B274)</f>
        <v>2.0640000000000103E-3</v>
      </c>
      <c r="E274">
        <f>MINUTE(D274)</f>
        <v>2</v>
      </c>
      <c r="F274">
        <f>SECOND(D274)</f>
        <v>58</v>
      </c>
      <c r="G274">
        <f>ROUND(E274+F274/60,2)</f>
        <v>2.97</v>
      </c>
      <c r="H274">
        <f>60*E274+F274</f>
        <v>178</v>
      </c>
      <c r="I274" s="3">
        <f>5*(3600/H274)</f>
        <v>101.12359550561798</v>
      </c>
    </row>
    <row r="275" spans="1:9" x14ac:dyDescent="0.25">
      <c r="A275" s="4" t="s">
        <v>49</v>
      </c>
      <c r="B275" s="1">
        <v>0.16655700000000001</v>
      </c>
      <c r="C275" s="1">
        <v>0.168625</v>
      </c>
      <c r="D275" s="1">
        <f>IF(B275&gt;C275,B275-C275,C275-B275)</f>
        <v>2.0679999999999865E-3</v>
      </c>
      <c r="E275">
        <f>MINUTE(D275)</f>
        <v>2</v>
      </c>
      <c r="F275">
        <f>SECOND(D275)</f>
        <v>59</v>
      </c>
      <c r="G275">
        <f>ROUND(E275+F275/60,2)</f>
        <v>2.98</v>
      </c>
      <c r="H275">
        <f>60*E275+F275</f>
        <v>179</v>
      </c>
      <c r="I275" s="3">
        <f>5*(3600/H275)</f>
        <v>100.55865921787711</v>
      </c>
    </row>
    <row r="276" spans="1:9" x14ac:dyDescent="0.25">
      <c r="A276" s="4" t="s">
        <v>173</v>
      </c>
      <c r="B276" s="1">
        <v>0.45782299999999998</v>
      </c>
      <c r="C276" s="1">
        <v>0.45575500000000002</v>
      </c>
      <c r="D276" s="1">
        <f>IF(B276&gt;C276,B276-C276,C276-B276)</f>
        <v>2.0679999999999588E-3</v>
      </c>
      <c r="E276">
        <f>MINUTE(D276)</f>
        <v>2</v>
      </c>
      <c r="F276">
        <f>SECOND(D276)</f>
        <v>59</v>
      </c>
      <c r="G276">
        <f>ROUND(E276+F276/60,2)</f>
        <v>2.98</v>
      </c>
      <c r="H276">
        <f>60*E276+F276</f>
        <v>179</v>
      </c>
      <c r="I276" s="3">
        <f>5*(3600/H276)</f>
        <v>100.55865921787711</v>
      </c>
    </row>
    <row r="277" spans="1:9" x14ac:dyDescent="0.25">
      <c r="A277" s="4" t="s">
        <v>83</v>
      </c>
      <c r="B277" s="1">
        <v>0.91982600000000003</v>
      </c>
      <c r="C277" s="1">
        <v>0.91775399999999996</v>
      </c>
      <c r="D277" s="1">
        <f>IF(B277&gt;C277,B277-C277,C277-B277)</f>
        <v>2.0720000000000738E-3</v>
      </c>
      <c r="E277">
        <f>MINUTE(D277)</f>
        <v>2</v>
      </c>
      <c r="F277">
        <f>SECOND(D277)</f>
        <v>59</v>
      </c>
      <c r="G277">
        <f>ROUND(E277+F277/60,2)</f>
        <v>2.98</v>
      </c>
      <c r="H277">
        <f>60*E277+F277</f>
        <v>179</v>
      </c>
      <c r="I277" s="3">
        <f>5*(3600/H277)</f>
        <v>100.55865921787711</v>
      </c>
    </row>
    <row r="278" spans="1:9" x14ac:dyDescent="0.25">
      <c r="A278" s="4" t="s">
        <v>241</v>
      </c>
      <c r="B278" s="1">
        <v>0.12286</v>
      </c>
      <c r="C278" s="1">
        <v>0.12078800000000001</v>
      </c>
      <c r="D278" s="1">
        <f>IF(B278&gt;C278,B278-C278,C278-B278)</f>
        <v>2.0719999999999905E-3</v>
      </c>
      <c r="E278">
        <f>MINUTE(D278)</f>
        <v>2</v>
      </c>
      <c r="F278">
        <f>SECOND(D278)</f>
        <v>59</v>
      </c>
      <c r="G278">
        <f>ROUND(E278+F278/60,2)</f>
        <v>2.98</v>
      </c>
      <c r="H278">
        <f>60*E278+F278</f>
        <v>179</v>
      </c>
      <c r="I278" s="3">
        <f>5*(3600/H278)</f>
        <v>100.55865921787711</v>
      </c>
    </row>
    <row r="279" spans="1:9" x14ac:dyDescent="0.25">
      <c r="A279" s="4" t="s">
        <v>70</v>
      </c>
      <c r="B279" s="1">
        <v>0.55355699999999997</v>
      </c>
      <c r="C279" s="1">
        <v>0.55564499999999994</v>
      </c>
      <c r="D279" s="1">
        <f>IF(B279&gt;C279,B279-C279,C279-B279)</f>
        <v>2.0879999999999788E-3</v>
      </c>
      <c r="E279">
        <f>MINUTE(D279)</f>
        <v>3</v>
      </c>
      <c r="F279">
        <f>SECOND(D279)</f>
        <v>0</v>
      </c>
      <c r="G279">
        <f>ROUND(E279+F279/60,2)</f>
        <v>3</v>
      </c>
      <c r="H279">
        <f>60*E279+F279</f>
        <v>180</v>
      </c>
      <c r="I279" s="3">
        <f>5*(3600/H279)</f>
        <v>100</v>
      </c>
    </row>
    <row r="280" spans="1:9" x14ac:dyDescent="0.25">
      <c r="A280" s="4" t="s">
        <v>66</v>
      </c>
      <c r="B280" s="1">
        <v>0.21590100000000001</v>
      </c>
      <c r="C280" s="1">
        <v>0.21798100000000001</v>
      </c>
      <c r="D280" s="1">
        <f>IF(B280&gt;C280,B280-C280,C280-B280)</f>
        <v>2.0799999999999985E-3</v>
      </c>
      <c r="E280">
        <f>MINUTE(D280)</f>
        <v>3</v>
      </c>
      <c r="F280">
        <f>SECOND(D280)</f>
        <v>0</v>
      </c>
      <c r="G280">
        <f>ROUND(E280+F280/60,2)</f>
        <v>3</v>
      </c>
      <c r="H280">
        <f>60*E280+F280</f>
        <v>180</v>
      </c>
      <c r="I280" s="3">
        <f>5*(3600/H280)</f>
        <v>100</v>
      </c>
    </row>
    <row r="281" spans="1:9" x14ac:dyDescent="0.25">
      <c r="A281" s="4" t="s">
        <v>74</v>
      </c>
      <c r="B281" s="1">
        <v>0.61492599999999997</v>
      </c>
      <c r="C281" s="1">
        <v>0.61283799999999999</v>
      </c>
      <c r="D281" s="1">
        <f>IF(B281&gt;C281,B281-C281,C281-B281)</f>
        <v>2.0879999999999788E-3</v>
      </c>
      <c r="E281">
        <f>MINUTE(D281)</f>
        <v>3</v>
      </c>
      <c r="F281">
        <f>SECOND(D281)</f>
        <v>0</v>
      </c>
      <c r="G281">
        <f>ROUND(E281+F281/60,2)</f>
        <v>3</v>
      </c>
      <c r="H281">
        <f>60*E281+F281</f>
        <v>180</v>
      </c>
      <c r="I281" s="3">
        <f>5*(3600/H281)</f>
        <v>100</v>
      </c>
    </row>
    <row r="282" spans="1:9" x14ac:dyDescent="0.25">
      <c r="A282" s="4" t="s">
        <v>194</v>
      </c>
      <c r="B282" s="1">
        <v>0.59056699999999995</v>
      </c>
      <c r="C282" s="1">
        <v>0.58848299999999998</v>
      </c>
      <c r="D282" s="1">
        <f>IF(B282&gt;C282,B282-C282,C282-B282)</f>
        <v>2.0839999999999748E-3</v>
      </c>
      <c r="E282">
        <f>MINUTE(D282)</f>
        <v>3</v>
      </c>
      <c r="F282">
        <f>SECOND(D282)</f>
        <v>0</v>
      </c>
      <c r="G282">
        <f>ROUND(E282+F282/60,2)</f>
        <v>3</v>
      </c>
      <c r="H282">
        <f>60*E282+F282</f>
        <v>180</v>
      </c>
      <c r="I282" s="3">
        <f>5*(3600/H282)</f>
        <v>100</v>
      </c>
    </row>
    <row r="283" spans="1:9" x14ac:dyDescent="0.25">
      <c r="A283" s="4" t="s">
        <v>205</v>
      </c>
      <c r="B283" s="1">
        <v>0.62204599999999999</v>
      </c>
      <c r="C283" s="1">
        <v>0.62412999999999996</v>
      </c>
      <c r="D283" s="1">
        <f>IF(B283&gt;C283,B283-C283,C283-B283)</f>
        <v>2.0839999999999748E-3</v>
      </c>
      <c r="E283">
        <f>MINUTE(D283)</f>
        <v>3</v>
      </c>
      <c r="F283">
        <f>SECOND(D283)</f>
        <v>0</v>
      </c>
      <c r="G283">
        <f>ROUND(E283+F283/60,2)</f>
        <v>3</v>
      </c>
      <c r="H283">
        <f>60*E283+F283</f>
        <v>180</v>
      </c>
      <c r="I283" s="3">
        <f>5*(3600/H283)</f>
        <v>100</v>
      </c>
    </row>
    <row r="284" spans="1:9" x14ac:dyDescent="0.25">
      <c r="A284" s="4" t="s">
        <v>323</v>
      </c>
      <c r="B284" s="1">
        <v>5.8838000000000001E-2</v>
      </c>
      <c r="C284" s="1">
        <v>5.6753999999999999E-2</v>
      </c>
      <c r="D284" s="1">
        <f>IF(B284&gt;C284,B284-C284,C284-B284)</f>
        <v>2.0840000000000025E-3</v>
      </c>
      <c r="E284">
        <f>MINUTE(D284)</f>
        <v>3</v>
      </c>
      <c r="F284">
        <f>SECOND(D284)</f>
        <v>0</v>
      </c>
      <c r="G284">
        <f>ROUND(E284+F284/60,2)</f>
        <v>3</v>
      </c>
      <c r="H284">
        <f>60*E284+F284</f>
        <v>180</v>
      </c>
      <c r="I284" s="3">
        <f>5*(3600/H284)</f>
        <v>100</v>
      </c>
    </row>
    <row r="285" spans="1:9" x14ac:dyDescent="0.25">
      <c r="A285" s="4" t="s">
        <v>367</v>
      </c>
      <c r="B285" s="1">
        <v>0.64812400000000003</v>
      </c>
      <c r="C285" s="1">
        <v>0.64603600000000005</v>
      </c>
      <c r="D285" s="1">
        <f>IF(B285&gt;C285,B285-C285,C285-B285)</f>
        <v>2.0879999999999788E-3</v>
      </c>
      <c r="E285">
        <f>MINUTE(D285)</f>
        <v>3</v>
      </c>
      <c r="F285">
        <f>SECOND(D285)</f>
        <v>0</v>
      </c>
      <c r="G285">
        <f>ROUND(E285+F285/60,2)</f>
        <v>3</v>
      </c>
      <c r="H285">
        <f>60*E285+F285</f>
        <v>180</v>
      </c>
      <c r="I285" s="3">
        <f>5*(3600/H285)</f>
        <v>100</v>
      </c>
    </row>
    <row r="286" spans="1:9" x14ac:dyDescent="0.25">
      <c r="A286" s="4" t="s">
        <v>174</v>
      </c>
      <c r="B286" s="1">
        <v>0.39857500000000001</v>
      </c>
      <c r="C286" s="1">
        <v>0.40067900000000001</v>
      </c>
      <c r="D286" s="1">
        <f>IF(B286&gt;C286,B286-C286,C286-B286)</f>
        <v>2.1039999999999948E-3</v>
      </c>
      <c r="E286">
        <f>MINUTE(D286)</f>
        <v>3</v>
      </c>
      <c r="F286">
        <f>SECOND(D286)</f>
        <v>2</v>
      </c>
      <c r="G286">
        <f>ROUND(E286+F286/60,2)</f>
        <v>3.03</v>
      </c>
      <c r="H286">
        <f>60*E286+F286</f>
        <v>182</v>
      </c>
      <c r="I286" s="3">
        <f>5*(3600/H286)</f>
        <v>98.901098901098905</v>
      </c>
    </row>
    <row r="287" spans="1:9" x14ac:dyDescent="0.25">
      <c r="A287" s="4" t="s">
        <v>101</v>
      </c>
      <c r="B287" s="1">
        <v>9.8788000000000001E-2</v>
      </c>
      <c r="C287" s="1">
        <v>9.6680000000000002E-2</v>
      </c>
      <c r="D287" s="1">
        <f>IF(B287&gt;C287,B287-C287,C287-B287)</f>
        <v>2.1079999999999988E-3</v>
      </c>
      <c r="E287">
        <f>MINUTE(D287)</f>
        <v>3</v>
      </c>
      <c r="F287">
        <f>SECOND(D287)</f>
        <v>2</v>
      </c>
      <c r="G287">
        <f>ROUND(E287+F287/60,2)</f>
        <v>3.03</v>
      </c>
      <c r="H287">
        <f>60*E287+F287</f>
        <v>182</v>
      </c>
      <c r="I287" s="3">
        <f>5*(3600/H287)</f>
        <v>98.901098901098905</v>
      </c>
    </row>
    <row r="288" spans="1:9" x14ac:dyDescent="0.25">
      <c r="A288" s="4" t="s">
        <v>16</v>
      </c>
      <c r="B288" s="1">
        <v>0.25660300000000003</v>
      </c>
      <c r="C288" s="1">
        <v>0.25871100000000002</v>
      </c>
      <c r="D288" s="1">
        <f>IF(B288&gt;C288,B288-C288,C288-B288)</f>
        <v>2.1079999999999988E-3</v>
      </c>
      <c r="E288">
        <f>MINUTE(D288)</f>
        <v>3</v>
      </c>
      <c r="F288">
        <f>SECOND(D288)</f>
        <v>2</v>
      </c>
      <c r="G288">
        <f>ROUND(E288+F288/60,2)</f>
        <v>3.03</v>
      </c>
      <c r="H288">
        <f>60*E288+F288</f>
        <v>182</v>
      </c>
      <c r="I288" s="3">
        <f>5*(3600/H288)</f>
        <v>98.901098901098905</v>
      </c>
    </row>
    <row r="289" spans="1:9" x14ac:dyDescent="0.25">
      <c r="A289" s="4" t="s">
        <v>198</v>
      </c>
      <c r="B289" s="1">
        <v>0.220692</v>
      </c>
      <c r="C289" s="1">
        <v>0.218588</v>
      </c>
      <c r="D289" s="1">
        <f>IF(B289&gt;C289,B289-C289,C289-B289)</f>
        <v>2.1039999999999948E-3</v>
      </c>
      <c r="E289">
        <f>MINUTE(D289)</f>
        <v>3</v>
      </c>
      <c r="F289">
        <f>SECOND(D289)</f>
        <v>2</v>
      </c>
      <c r="G289">
        <f>ROUND(E289+F289/60,2)</f>
        <v>3.03</v>
      </c>
      <c r="H289">
        <f>60*E289+F289</f>
        <v>182</v>
      </c>
      <c r="I289" s="3">
        <f>5*(3600/H289)</f>
        <v>98.901098901098905</v>
      </c>
    </row>
    <row r="290" spans="1:9" x14ac:dyDescent="0.25">
      <c r="A290" s="4" t="s">
        <v>329</v>
      </c>
      <c r="B290" s="1">
        <v>0.12620799999999999</v>
      </c>
      <c r="C290" s="1">
        <v>0.12831600000000001</v>
      </c>
      <c r="D290" s="1">
        <f>IF(B290&gt;C290,B290-C290,C290-B290)</f>
        <v>2.1080000000000265E-3</v>
      </c>
      <c r="E290">
        <f>MINUTE(D290)</f>
        <v>3</v>
      </c>
      <c r="F290">
        <f>SECOND(D290)</f>
        <v>2</v>
      </c>
      <c r="G290">
        <f>ROUND(E290+F290/60,2)</f>
        <v>3.03</v>
      </c>
      <c r="H290">
        <f>60*E290+F290</f>
        <v>182</v>
      </c>
      <c r="I290" s="3">
        <f>5*(3600/H290)</f>
        <v>98.901098901098905</v>
      </c>
    </row>
    <row r="291" spans="1:9" x14ac:dyDescent="0.25">
      <c r="A291" s="4" t="s">
        <v>345</v>
      </c>
      <c r="B291" s="1">
        <v>0.77340900000000001</v>
      </c>
      <c r="C291" s="1">
        <v>0.77552900000000002</v>
      </c>
      <c r="D291" s="1">
        <f>IF(B291&gt;C291,B291-C291,C291-B291)</f>
        <v>2.1200000000000108E-3</v>
      </c>
      <c r="E291">
        <f>MINUTE(D291)</f>
        <v>3</v>
      </c>
      <c r="F291">
        <f>SECOND(D291)</f>
        <v>3</v>
      </c>
      <c r="G291">
        <f>ROUND(E291+F291/60,2)</f>
        <v>3.05</v>
      </c>
      <c r="H291">
        <f>60*E291+F291</f>
        <v>183</v>
      </c>
      <c r="I291" s="3">
        <f>5*(3600/H291)</f>
        <v>98.360655737704917</v>
      </c>
    </row>
    <row r="292" spans="1:9" x14ac:dyDescent="0.25">
      <c r="A292" s="4" t="s">
        <v>60</v>
      </c>
      <c r="B292" s="1">
        <v>0.71798300000000004</v>
      </c>
      <c r="C292" s="1">
        <v>0.71585500000000002</v>
      </c>
      <c r="D292" s="1">
        <f>IF(B292&gt;C292,B292-C292,C292-B292)</f>
        <v>2.1280000000000188E-3</v>
      </c>
      <c r="E292">
        <f>MINUTE(D292)</f>
        <v>3</v>
      </c>
      <c r="F292">
        <f>SECOND(D292)</f>
        <v>4</v>
      </c>
      <c r="G292">
        <f>ROUND(E292+F292/60,2)</f>
        <v>3.07</v>
      </c>
      <c r="H292">
        <f>60*E292+F292</f>
        <v>184</v>
      </c>
      <c r="I292" s="3">
        <f>5*(3600/H292)</f>
        <v>97.826086956521735</v>
      </c>
    </row>
    <row r="293" spans="1:9" x14ac:dyDescent="0.25">
      <c r="A293" s="4" t="s">
        <v>191</v>
      </c>
      <c r="B293" s="1">
        <v>0.193879</v>
      </c>
      <c r="C293" s="1">
        <v>0.19175500000000001</v>
      </c>
      <c r="D293" s="1">
        <f>IF(B293&gt;C293,B293-C293,C293-B293)</f>
        <v>2.123999999999987E-3</v>
      </c>
      <c r="E293">
        <f>MINUTE(D293)</f>
        <v>3</v>
      </c>
      <c r="F293">
        <f>SECOND(D293)</f>
        <v>4</v>
      </c>
      <c r="G293">
        <f>ROUND(E293+F293/60,2)</f>
        <v>3.07</v>
      </c>
      <c r="H293">
        <f>60*E293+F293</f>
        <v>184</v>
      </c>
      <c r="I293" s="3">
        <f>5*(3600/H293)</f>
        <v>97.826086956521735</v>
      </c>
    </row>
    <row r="294" spans="1:9" x14ac:dyDescent="0.25">
      <c r="A294" s="4" t="s">
        <v>195</v>
      </c>
      <c r="B294" s="1">
        <v>0.41790500000000003</v>
      </c>
      <c r="C294" s="1">
        <v>0.415773</v>
      </c>
      <c r="D294" s="1">
        <f>IF(B294&gt;C294,B294-C294,C294-B294)</f>
        <v>2.1320000000000228E-3</v>
      </c>
      <c r="E294">
        <f>MINUTE(D294)</f>
        <v>3</v>
      </c>
      <c r="F294">
        <f>SECOND(D294)</f>
        <v>4</v>
      </c>
      <c r="G294">
        <f>ROUND(E294+F294/60,2)</f>
        <v>3.07</v>
      </c>
      <c r="H294">
        <f>60*E294+F294</f>
        <v>184</v>
      </c>
      <c r="I294" s="3">
        <f>5*(3600/H294)</f>
        <v>97.826086956521735</v>
      </c>
    </row>
    <row r="295" spans="1:9" x14ac:dyDescent="0.25">
      <c r="A295" s="4" t="s">
        <v>210</v>
      </c>
      <c r="B295" s="1">
        <v>0.32662200000000002</v>
      </c>
      <c r="C295" s="1">
        <v>0.32874599999999998</v>
      </c>
      <c r="D295" s="1">
        <f>IF(B295&gt;C295,B295-C295,C295-B295)</f>
        <v>2.1239999999999593E-3</v>
      </c>
      <c r="E295">
        <f>MINUTE(D295)</f>
        <v>3</v>
      </c>
      <c r="F295">
        <f>SECOND(D295)</f>
        <v>4</v>
      </c>
      <c r="G295">
        <f>ROUND(E295+F295/60,2)</f>
        <v>3.07</v>
      </c>
      <c r="H295">
        <f>60*E295+F295</f>
        <v>184</v>
      </c>
      <c r="I295" s="3">
        <f>5*(3600/H295)</f>
        <v>97.826086956521735</v>
      </c>
    </row>
    <row r="296" spans="1:9" x14ac:dyDescent="0.25">
      <c r="A296" s="4" t="s">
        <v>379</v>
      </c>
      <c r="B296" s="1">
        <v>0.880853</v>
      </c>
      <c r="C296" s="1">
        <v>0.88298100000000002</v>
      </c>
      <c r="D296" s="1">
        <f>IF(B296&gt;C296,B296-C296,C296-B296)</f>
        <v>2.1280000000000188E-3</v>
      </c>
      <c r="E296">
        <f>MINUTE(D296)</f>
        <v>3</v>
      </c>
      <c r="F296">
        <f>SECOND(D296)</f>
        <v>4</v>
      </c>
      <c r="G296">
        <f>ROUND(E296+F296/60,2)</f>
        <v>3.07</v>
      </c>
      <c r="H296">
        <f>60*E296+F296</f>
        <v>184</v>
      </c>
      <c r="I296" s="3">
        <f>5*(3600/H296)</f>
        <v>97.826086956521735</v>
      </c>
    </row>
    <row r="297" spans="1:9" x14ac:dyDescent="0.25">
      <c r="A297" s="4" t="s">
        <v>31</v>
      </c>
      <c r="B297" s="1">
        <v>0.20865400000000001</v>
      </c>
      <c r="C297" s="1">
        <v>0.21079800000000001</v>
      </c>
      <c r="D297" s="1">
        <f>IF(B297&gt;C297,B297-C297,C297-B297)</f>
        <v>2.144000000000007E-3</v>
      </c>
      <c r="E297">
        <f>MINUTE(D297)</f>
        <v>3</v>
      </c>
      <c r="F297">
        <f>SECOND(D297)</f>
        <v>5</v>
      </c>
      <c r="G297">
        <f>ROUND(E297+F297/60,2)</f>
        <v>3.08</v>
      </c>
      <c r="H297">
        <f>60*E297+F297</f>
        <v>185</v>
      </c>
      <c r="I297" s="3">
        <f>5*(3600/H297)</f>
        <v>97.297297297297291</v>
      </c>
    </row>
    <row r="298" spans="1:9" x14ac:dyDescent="0.25">
      <c r="A298" s="4" t="s">
        <v>49</v>
      </c>
      <c r="B298" s="1">
        <v>0.94723900000000005</v>
      </c>
      <c r="C298" s="1">
        <v>0.94938299999999998</v>
      </c>
      <c r="D298" s="1">
        <f>IF(B298&gt;C298,B298-C298,C298-B298)</f>
        <v>2.1439999999999237E-3</v>
      </c>
      <c r="E298">
        <f>MINUTE(D298)</f>
        <v>3</v>
      </c>
      <c r="F298">
        <f>SECOND(D298)</f>
        <v>5</v>
      </c>
      <c r="G298">
        <f>ROUND(E298+F298/60,2)</f>
        <v>3.08</v>
      </c>
      <c r="H298">
        <f>60*E298+F298</f>
        <v>185</v>
      </c>
      <c r="I298" s="3">
        <f>5*(3600/H298)</f>
        <v>97.297297297297291</v>
      </c>
    </row>
    <row r="299" spans="1:9" x14ac:dyDescent="0.25">
      <c r="A299" s="4" t="s">
        <v>40</v>
      </c>
      <c r="B299" s="1">
        <v>0.67679900000000004</v>
      </c>
      <c r="C299" s="1">
        <v>0.67894299999999996</v>
      </c>
      <c r="D299" s="1">
        <f>IF(B299&gt;C299,B299-C299,C299-B299)</f>
        <v>2.1439999999999237E-3</v>
      </c>
      <c r="E299">
        <f>MINUTE(D299)</f>
        <v>3</v>
      </c>
      <c r="F299">
        <f>SECOND(D299)</f>
        <v>5</v>
      </c>
      <c r="G299">
        <f>ROUND(E299+F299/60,2)</f>
        <v>3.08</v>
      </c>
      <c r="H299">
        <f>60*E299+F299</f>
        <v>185</v>
      </c>
      <c r="I299" s="3">
        <f>5*(3600/H299)</f>
        <v>97.297297297297291</v>
      </c>
    </row>
    <row r="300" spans="1:9" x14ac:dyDescent="0.25">
      <c r="A300" s="4" t="s">
        <v>88</v>
      </c>
      <c r="B300" s="1">
        <v>5.8613999999999999E-2</v>
      </c>
      <c r="C300" s="1">
        <v>5.6474000000000003E-2</v>
      </c>
      <c r="D300" s="1">
        <f>IF(B300&gt;C300,B300-C300,C300-B300)</f>
        <v>2.1399999999999961E-3</v>
      </c>
      <c r="E300">
        <f>MINUTE(D300)</f>
        <v>3</v>
      </c>
      <c r="F300">
        <f>SECOND(D300)</f>
        <v>5</v>
      </c>
      <c r="G300">
        <f>ROUND(E300+F300/60,2)</f>
        <v>3.08</v>
      </c>
      <c r="H300">
        <f>60*E300+F300</f>
        <v>185</v>
      </c>
      <c r="I300" s="3">
        <f>5*(3600/H300)</f>
        <v>97.297297297297291</v>
      </c>
    </row>
    <row r="301" spans="1:9" x14ac:dyDescent="0.25">
      <c r="A301" s="4" t="s">
        <v>430</v>
      </c>
      <c r="B301" s="1">
        <v>0.74694899999999997</v>
      </c>
      <c r="C301" s="1">
        <v>0.74481299999999995</v>
      </c>
      <c r="D301" s="1">
        <f>IF(B301&gt;C301,B301-C301,C301-B301)</f>
        <v>2.1360000000000268E-3</v>
      </c>
      <c r="E301">
        <f>MINUTE(D301)</f>
        <v>3</v>
      </c>
      <c r="F301">
        <f>SECOND(D301)</f>
        <v>5</v>
      </c>
      <c r="G301">
        <f>ROUND(E301+F301/60,2)</f>
        <v>3.08</v>
      </c>
      <c r="H301">
        <f>60*E301+F301</f>
        <v>185</v>
      </c>
      <c r="I301" s="3">
        <f>5*(3600/H301)</f>
        <v>97.297297297297291</v>
      </c>
    </row>
    <row r="302" spans="1:9" x14ac:dyDescent="0.25">
      <c r="A302" s="4" t="s">
        <v>288</v>
      </c>
      <c r="B302" s="1">
        <v>9.7457000000000002E-2</v>
      </c>
      <c r="C302" s="1">
        <v>9.9600999999999995E-2</v>
      </c>
      <c r="D302" s="1">
        <f>IF(B302&gt;C302,B302-C302,C302-B302)</f>
        <v>2.1439999999999931E-3</v>
      </c>
      <c r="E302">
        <f>MINUTE(D302)</f>
        <v>3</v>
      </c>
      <c r="F302">
        <f>SECOND(D302)</f>
        <v>5</v>
      </c>
      <c r="G302">
        <f>ROUND(E302+F302/60,2)</f>
        <v>3.08</v>
      </c>
      <c r="H302">
        <f>60*E302+F302</f>
        <v>185</v>
      </c>
      <c r="I302" s="3">
        <f>5*(3600/H302)</f>
        <v>97.297297297297291</v>
      </c>
    </row>
    <row r="303" spans="1:9" x14ac:dyDescent="0.25">
      <c r="A303" s="4" t="s">
        <v>100</v>
      </c>
      <c r="B303" s="1">
        <v>0.98372400000000004</v>
      </c>
      <c r="C303" s="1">
        <v>0.98587599999999997</v>
      </c>
      <c r="D303" s="1">
        <f>IF(B303&gt;C303,B303-C303,C303-B303)</f>
        <v>2.1519999999999317E-3</v>
      </c>
      <c r="E303">
        <f>MINUTE(D303)</f>
        <v>3</v>
      </c>
      <c r="F303">
        <f>SECOND(D303)</f>
        <v>6</v>
      </c>
      <c r="G303">
        <f>ROUND(E303+F303/60,2)</f>
        <v>3.1</v>
      </c>
      <c r="H303">
        <f>60*E303+F303</f>
        <v>186</v>
      </c>
      <c r="I303" s="3">
        <f>5*(3600/H303)</f>
        <v>96.774193548387103</v>
      </c>
    </row>
    <row r="304" spans="1:9" x14ac:dyDescent="0.25">
      <c r="A304" s="4" t="s">
        <v>74</v>
      </c>
      <c r="B304" s="1">
        <v>0.64918399999999998</v>
      </c>
      <c r="C304" s="1">
        <v>0.64702800000000005</v>
      </c>
      <c r="D304" s="1">
        <f>IF(B304&gt;C304,B304-C304,C304-B304)</f>
        <v>2.1559999999999357E-3</v>
      </c>
      <c r="E304">
        <f>MINUTE(D304)</f>
        <v>3</v>
      </c>
      <c r="F304">
        <f>SECOND(D304)</f>
        <v>6</v>
      </c>
      <c r="G304">
        <f>ROUND(E304+F304/60,2)</f>
        <v>3.1</v>
      </c>
      <c r="H304">
        <f>60*E304+F304</f>
        <v>186</v>
      </c>
      <c r="I304" s="3">
        <f>5*(3600/H304)</f>
        <v>96.774193548387103</v>
      </c>
    </row>
    <row r="305" spans="1:9" x14ac:dyDescent="0.25">
      <c r="A305" s="4" t="s">
        <v>19</v>
      </c>
      <c r="B305" s="1">
        <v>0.94621999999999995</v>
      </c>
      <c r="C305" s="1">
        <v>0.948376</v>
      </c>
      <c r="D305" s="1">
        <f>IF(B305&gt;C305,B305-C305,C305-B305)</f>
        <v>2.1560000000000468E-3</v>
      </c>
      <c r="E305">
        <f>MINUTE(D305)</f>
        <v>3</v>
      </c>
      <c r="F305">
        <f>SECOND(D305)</f>
        <v>6</v>
      </c>
      <c r="G305">
        <f>ROUND(E305+F305/60,2)</f>
        <v>3.1</v>
      </c>
      <c r="H305">
        <f>60*E305+F305</f>
        <v>186</v>
      </c>
      <c r="I305" s="3">
        <f>5*(3600/H305)</f>
        <v>96.774193548387103</v>
      </c>
    </row>
    <row r="306" spans="1:9" x14ac:dyDescent="0.25">
      <c r="A306" s="4" t="s">
        <v>109</v>
      </c>
      <c r="B306" s="1">
        <v>0.23508799999999999</v>
      </c>
      <c r="C306" s="1">
        <v>0.23294000000000001</v>
      </c>
      <c r="D306" s="1">
        <f>IF(B306&gt;C306,B306-C306,C306-B306)</f>
        <v>2.1479999999999833E-3</v>
      </c>
      <c r="E306">
        <f>MINUTE(D306)</f>
        <v>3</v>
      </c>
      <c r="F306">
        <f>SECOND(D306)</f>
        <v>6</v>
      </c>
      <c r="G306">
        <f>ROUND(E306+F306/60,2)</f>
        <v>3.1</v>
      </c>
      <c r="H306">
        <f>60*E306+F306</f>
        <v>186</v>
      </c>
      <c r="I306" s="3">
        <f>5*(3600/H306)</f>
        <v>96.774193548387103</v>
      </c>
    </row>
    <row r="307" spans="1:9" x14ac:dyDescent="0.25">
      <c r="A307" s="4" t="s">
        <v>282</v>
      </c>
      <c r="B307" s="1">
        <v>8.2269999999999999E-3</v>
      </c>
      <c r="C307" s="1">
        <v>1.0375000000000001E-2</v>
      </c>
      <c r="D307" s="1">
        <f>IF(B307&gt;C307,B307-C307,C307-B307)</f>
        <v>2.1480000000000006E-3</v>
      </c>
      <c r="E307">
        <f>MINUTE(D307)</f>
        <v>3</v>
      </c>
      <c r="F307">
        <f>SECOND(D307)</f>
        <v>6</v>
      </c>
      <c r="G307">
        <f>ROUND(E307+F307/60,2)</f>
        <v>3.1</v>
      </c>
      <c r="H307">
        <f>60*E307+F307</f>
        <v>186</v>
      </c>
      <c r="I307" s="3">
        <f>5*(3600/H307)</f>
        <v>96.774193548387103</v>
      </c>
    </row>
    <row r="308" spans="1:9" x14ac:dyDescent="0.25">
      <c r="A308" s="4" t="s">
        <v>320</v>
      </c>
      <c r="B308" s="1">
        <v>0.476607</v>
      </c>
      <c r="C308" s="1">
        <v>0.47875899999999999</v>
      </c>
      <c r="D308" s="1">
        <f>IF(B308&gt;C308,B308-C308,C308-B308)</f>
        <v>2.1519999999999873E-3</v>
      </c>
      <c r="E308">
        <f>MINUTE(D308)</f>
        <v>3</v>
      </c>
      <c r="F308">
        <f>SECOND(D308)</f>
        <v>6</v>
      </c>
      <c r="G308">
        <f>ROUND(E308+F308/60,2)</f>
        <v>3.1</v>
      </c>
      <c r="H308">
        <f>60*E308+F308</f>
        <v>186</v>
      </c>
      <c r="I308" s="3">
        <f>5*(3600/H308)</f>
        <v>96.774193548387103</v>
      </c>
    </row>
    <row r="309" spans="1:9" x14ac:dyDescent="0.25">
      <c r="A309" s="4" t="s">
        <v>72</v>
      </c>
      <c r="B309" s="1">
        <v>0.73590199999999995</v>
      </c>
      <c r="C309" s="1">
        <v>0.738062</v>
      </c>
      <c r="D309" s="1">
        <f>IF(B309&gt;C309,B309-C309,C309-B309)</f>
        <v>2.1600000000000508E-3</v>
      </c>
      <c r="E309">
        <f>MINUTE(D309)</f>
        <v>3</v>
      </c>
      <c r="F309">
        <f>SECOND(D309)</f>
        <v>7</v>
      </c>
      <c r="G309">
        <f>ROUND(E309+F309/60,2)</f>
        <v>3.12</v>
      </c>
      <c r="H309">
        <f>60*E309+F309</f>
        <v>187</v>
      </c>
      <c r="I309" s="3">
        <f>5*(3600/H309)</f>
        <v>96.256684491978604</v>
      </c>
    </row>
    <row r="310" spans="1:9" x14ac:dyDescent="0.25">
      <c r="A310" s="4" t="s">
        <v>107</v>
      </c>
      <c r="B310" s="1">
        <v>0.41733100000000001</v>
      </c>
      <c r="C310" s="1">
        <v>0.419491</v>
      </c>
      <c r="D310" s="1">
        <f>IF(B310&gt;C310,B310-C310,C310-B310)</f>
        <v>2.1599999999999953E-3</v>
      </c>
      <c r="E310">
        <f>MINUTE(D310)</f>
        <v>3</v>
      </c>
      <c r="F310">
        <f>SECOND(D310)</f>
        <v>7</v>
      </c>
      <c r="G310">
        <f>ROUND(E310+F310/60,2)</f>
        <v>3.12</v>
      </c>
      <c r="H310">
        <f>60*E310+F310</f>
        <v>187</v>
      </c>
      <c r="I310" s="3">
        <f>5*(3600/H310)</f>
        <v>96.256684491978604</v>
      </c>
    </row>
    <row r="311" spans="1:9" x14ac:dyDescent="0.25">
      <c r="A311" s="4" t="s">
        <v>172</v>
      </c>
      <c r="B311" s="1">
        <v>0.90573400000000004</v>
      </c>
      <c r="C311" s="1">
        <v>0.90789799999999998</v>
      </c>
      <c r="D311" s="1">
        <f>IF(B311&gt;C311,B311-C311,C311-B311)</f>
        <v>2.1639999999999437E-3</v>
      </c>
      <c r="E311">
        <f>MINUTE(D311)</f>
        <v>3</v>
      </c>
      <c r="F311">
        <f>SECOND(D311)</f>
        <v>7</v>
      </c>
      <c r="G311">
        <f>ROUND(E311+F311/60,2)</f>
        <v>3.12</v>
      </c>
      <c r="H311">
        <f>60*E311+F311</f>
        <v>187</v>
      </c>
      <c r="I311" s="3">
        <f>5*(3600/H311)</f>
        <v>96.256684491978604</v>
      </c>
    </row>
    <row r="312" spans="1:9" x14ac:dyDescent="0.25">
      <c r="A312" s="4" t="s">
        <v>28</v>
      </c>
      <c r="B312" s="1">
        <v>0.52204899999999999</v>
      </c>
      <c r="C312" s="1">
        <v>0.52420900000000004</v>
      </c>
      <c r="D312" s="1">
        <f>IF(B312&gt;C312,B312-C312,C312-B312)</f>
        <v>2.1600000000000508E-3</v>
      </c>
      <c r="E312">
        <f>MINUTE(D312)</f>
        <v>3</v>
      </c>
      <c r="F312">
        <f>SECOND(D312)</f>
        <v>7</v>
      </c>
      <c r="G312">
        <f>ROUND(E312+F312/60,2)</f>
        <v>3.12</v>
      </c>
      <c r="H312">
        <f>60*E312+F312</f>
        <v>187</v>
      </c>
      <c r="I312" s="3">
        <f>5*(3600/H312)</f>
        <v>96.256684491978604</v>
      </c>
    </row>
    <row r="313" spans="1:9" x14ac:dyDescent="0.25">
      <c r="A313" s="4" t="s">
        <v>343</v>
      </c>
      <c r="B313" s="1">
        <v>0.68652000000000002</v>
      </c>
      <c r="C313" s="1">
        <v>0.68868399999999996</v>
      </c>
      <c r="D313" s="1">
        <f>IF(B313&gt;C313,B313-C313,C313-B313)</f>
        <v>2.1639999999999437E-3</v>
      </c>
      <c r="E313">
        <f>MINUTE(D313)</f>
        <v>3</v>
      </c>
      <c r="F313">
        <f>SECOND(D313)</f>
        <v>7</v>
      </c>
      <c r="G313">
        <f>ROUND(E313+F313/60,2)</f>
        <v>3.12</v>
      </c>
      <c r="H313">
        <f>60*E313+F313</f>
        <v>187</v>
      </c>
      <c r="I313" s="3">
        <f>5*(3600/H313)</f>
        <v>96.256684491978604</v>
      </c>
    </row>
    <row r="314" spans="1:9" x14ac:dyDescent="0.25">
      <c r="A314" s="4" t="s">
        <v>27</v>
      </c>
      <c r="B314" s="1">
        <v>0.94908300000000001</v>
      </c>
      <c r="C314" s="1">
        <v>0.94690700000000005</v>
      </c>
      <c r="D314" s="1">
        <f>IF(B314&gt;C314,B314-C314,C314-B314)</f>
        <v>2.1759999999999557E-3</v>
      </c>
      <c r="E314">
        <f>MINUTE(D314)</f>
        <v>3</v>
      </c>
      <c r="F314">
        <f>SECOND(D314)</f>
        <v>8</v>
      </c>
      <c r="G314">
        <f>ROUND(E314+F314/60,2)</f>
        <v>3.13</v>
      </c>
      <c r="H314">
        <f>60*E314+F314</f>
        <v>188</v>
      </c>
      <c r="I314" s="3">
        <f>5*(3600/H314)</f>
        <v>95.744680851063833</v>
      </c>
    </row>
    <row r="315" spans="1:9" x14ac:dyDescent="0.25">
      <c r="A315" s="4" t="s">
        <v>75</v>
      </c>
      <c r="B315" s="1">
        <v>0.331623</v>
      </c>
      <c r="C315" s="1">
        <v>0.33379500000000001</v>
      </c>
      <c r="D315" s="1">
        <f>IF(B315&gt;C315,B315-C315,C315-B315)</f>
        <v>2.1720000000000073E-3</v>
      </c>
      <c r="E315">
        <f>MINUTE(D315)</f>
        <v>3</v>
      </c>
      <c r="F315">
        <f>SECOND(D315)</f>
        <v>8</v>
      </c>
      <c r="G315">
        <f>ROUND(E315+F315/60,2)</f>
        <v>3.13</v>
      </c>
      <c r="H315">
        <f>60*E315+F315</f>
        <v>188</v>
      </c>
      <c r="I315" s="3">
        <f>5*(3600/H315)</f>
        <v>95.744680851063833</v>
      </c>
    </row>
    <row r="316" spans="1:9" x14ac:dyDescent="0.25">
      <c r="A316" s="4" t="s">
        <v>85</v>
      </c>
      <c r="B316" s="1">
        <v>0.90568499999999996</v>
      </c>
      <c r="C316" s="1">
        <v>0.90785700000000003</v>
      </c>
      <c r="D316" s="1">
        <f>IF(B316&gt;C316,B316-C316,C316-B316)</f>
        <v>2.1720000000000628E-3</v>
      </c>
      <c r="E316">
        <f>MINUTE(D316)</f>
        <v>3</v>
      </c>
      <c r="F316">
        <f>SECOND(D316)</f>
        <v>8</v>
      </c>
      <c r="G316">
        <f>ROUND(E316+F316/60,2)</f>
        <v>3.13</v>
      </c>
      <c r="H316">
        <f>60*E316+F316</f>
        <v>188</v>
      </c>
      <c r="I316" s="3">
        <f>5*(3600/H316)</f>
        <v>95.744680851063833</v>
      </c>
    </row>
    <row r="317" spans="1:9" x14ac:dyDescent="0.25">
      <c r="A317" s="4" t="s">
        <v>118</v>
      </c>
      <c r="B317" s="1">
        <v>0.657829</v>
      </c>
      <c r="C317" s="1">
        <v>0.65565300000000004</v>
      </c>
      <c r="D317" s="1">
        <f>IF(B317&gt;C317,B317-C317,C317-B317)</f>
        <v>2.1759999999999557E-3</v>
      </c>
      <c r="E317">
        <f>MINUTE(D317)</f>
        <v>3</v>
      </c>
      <c r="F317">
        <f>SECOND(D317)</f>
        <v>8</v>
      </c>
      <c r="G317">
        <f>ROUND(E317+F317/60,2)</f>
        <v>3.13</v>
      </c>
      <c r="H317">
        <f>60*E317+F317</f>
        <v>188</v>
      </c>
      <c r="I317" s="3">
        <f>5*(3600/H317)</f>
        <v>95.744680851063833</v>
      </c>
    </row>
    <row r="318" spans="1:9" x14ac:dyDescent="0.25">
      <c r="A318" s="4" t="s">
        <v>75</v>
      </c>
      <c r="B318" s="1">
        <v>0.169961</v>
      </c>
      <c r="C318" s="1">
        <v>0.17214099999999999</v>
      </c>
      <c r="D318" s="1">
        <f>IF(B318&gt;C318,B318-C318,C318-B318)</f>
        <v>2.1799999999999875E-3</v>
      </c>
      <c r="E318">
        <f>MINUTE(D318)</f>
        <v>3</v>
      </c>
      <c r="F318">
        <f>SECOND(D318)</f>
        <v>8</v>
      </c>
      <c r="G318">
        <f>ROUND(E318+F318/60,2)</f>
        <v>3.13</v>
      </c>
      <c r="H318">
        <f>60*E318+F318</f>
        <v>188</v>
      </c>
      <c r="I318" s="3">
        <f>5*(3600/H318)</f>
        <v>95.744680851063833</v>
      </c>
    </row>
    <row r="319" spans="1:9" x14ac:dyDescent="0.25">
      <c r="A319" s="4" t="s">
        <v>25</v>
      </c>
      <c r="B319" s="1">
        <v>0.50799799999999995</v>
      </c>
      <c r="C319" s="1">
        <v>0.50580599999999998</v>
      </c>
      <c r="D319" s="1">
        <f>IF(B319&gt;C319,B319-C319,C319-B319)</f>
        <v>2.1919999999999717E-3</v>
      </c>
      <c r="E319">
        <f>MINUTE(D319)</f>
        <v>3</v>
      </c>
      <c r="F319">
        <f>SECOND(D319)</f>
        <v>9</v>
      </c>
      <c r="G319">
        <f>ROUND(E319+F319/60,2)</f>
        <v>3.15</v>
      </c>
      <c r="H319">
        <f>60*E319+F319</f>
        <v>189</v>
      </c>
      <c r="I319" s="3">
        <f>5*(3600/H319)</f>
        <v>95.238095238095241</v>
      </c>
    </row>
    <row r="320" spans="1:9" x14ac:dyDescent="0.25">
      <c r="A320" s="4" t="s">
        <v>109</v>
      </c>
      <c r="B320" s="1">
        <v>5.2546000000000002E-2</v>
      </c>
      <c r="C320" s="1">
        <v>5.0361999999999997E-2</v>
      </c>
      <c r="D320" s="1">
        <f>IF(B320&gt;C320,B320-C320,C320-B320)</f>
        <v>2.1840000000000054E-3</v>
      </c>
      <c r="E320">
        <f>MINUTE(D320)</f>
        <v>3</v>
      </c>
      <c r="F320">
        <f>SECOND(D320)</f>
        <v>9</v>
      </c>
      <c r="G320">
        <f>ROUND(E320+F320/60,2)</f>
        <v>3.15</v>
      </c>
      <c r="H320">
        <f>60*E320+F320</f>
        <v>189</v>
      </c>
      <c r="I320" s="3">
        <f>5*(3600/H320)</f>
        <v>95.238095238095241</v>
      </c>
    </row>
    <row r="321" spans="1:9" x14ac:dyDescent="0.25">
      <c r="A321" s="4" t="s">
        <v>183</v>
      </c>
      <c r="B321" s="1">
        <v>0.100374</v>
      </c>
      <c r="C321" s="1">
        <v>9.8185999999999996E-2</v>
      </c>
      <c r="D321" s="1">
        <f>IF(B321&gt;C321,B321-C321,C321-B321)</f>
        <v>2.1880000000000094E-3</v>
      </c>
      <c r="E321">
        <f>MINUTE(D321)</f>
        <v>3</v>
      </c>
      <c r="F321">
        <f>SECOND(D321)</f>
        <v>9</v>
      </c>
      <c r="G321">
        <f>ROUND(E321+F321/60,2)</f>
        <v>3.15</v>
      </c>
      <c r="H321">
        <f>60*E321+F321</f>
        <v>189</v>
      </c>
      <c r="I321" s="3">
        <f>5*(3600/H321)</f>
        <v>95.238095238095241</v>
      </c>
    </row>
    <row r="322" spans="1:9" x14ac:dyDescent="0.25">
      <c r="A322" s="4" t="s">
        <v>12</v>
      </c>
      <c r="B322" s="1">
        <v>0.93074100000000004</v>
      </c>
      <c r="C322" s="1">
        <v>0.92855299999999996</v>
      </c>
      <c r="D322" s="1">
        <f>IF(B322&gt;C322,B322-C322,C322-B322)</f>
        <v>2.1880000000000788E-3</v>
      </c>
      <c r="E322">
        <f>MINUTE(D322)</f>
        <v>3</v>
      </c>
      <c r="F322">
        <f>SECOND(D322)</f>
        <v>9</v>
      </c>
      <c r="G322">
        <f>ROUND(E322+F322/60,2)</f>
        <v>3.15</v>
      </c>
      <c r="H322">
        <f>60*E322+F322</f>
        <v>189</v>
      </c>
      <c r="I322" s="3">
        <f>5*(3600/H322)</f>
        <v>95.238095238095241</v>
      </c>
    </row>
    <row r="323" spans="1:9" x14ac:dyDescent="0.25">
      <c r="A323" s="4" t="s">
        <v>269</v>
      </c>
      <c r="B323" s="1">
        <v>0.53266400000000003</v>
      </c>
      <c r="C323" s="1">
        <v>0.534856</v>
      </c>
      <c r="D323" s="1">
        <f>IF(B323&gt;C323,B323-C323,C323-B323)</f>
        <v>2.1919999999999717E-3</v>
      </c>
      <c r="E323">
        <f>MINUTE(D323)</f>
        <v>3</v>
      </c>
      <c r="F323">
        <f>SECOND(D323)</f>
        <v>9</v>
      </c>
      <c r="G323">
        <f>ROUND(E323+F323/60,2)</f>
        <v>3.15</v>
      </c>
      <c r="H323">
        <f>60*E323+F323</f>
        <v>189</v>
      </c>
      <c r="I323" s="3">
        <f>5*(3600/H323)</f>
        <v>95.238095238095241</v>
      </c>
    </row>
    <row r="324" spans="1:9" x14ac:dyDescent="0.25">
      <c r="A324" s="4" t="s">
        <v>272</v>
      </c>
      <c r="B324" s="1">
        <v>0.52357299999999996</v>
      </c>
      <c r="C324" s="1">
        <v>0.52576100000000003</v>
      </c>
      <c r="D324" s="1">
        <f>IF(B324&gt;C324,B324-C324,C324-B324)</f>
        <v>2.1880000000000788E-3</v>
      </c>
      <c r="E324">
        <f>MINUTE(D324)</f>
        <v>3</v>
      </c>
      <c r="F324">
        <f>SECOND(D324)</f>
        <v>9</v>
      </c>
      <c r="G324">
        <f>ROUND(E324+F324/60,2)</f>
        <v>3.15</v>
      </c>
      <c r="H324">
        <f>60*E324+F324</f>
        <v>189</v>
      </c>
      <c r="I324" s="3">
        <f>5*(3600/H324)</f>
        <v>95.238095238095241</v>
      </c>
    </row>
    <row r="325" spans="1:9" x14ac:dyDescent="0.25">
      <c r="A325" s="4" t="s">
        <v>214</v>
      </c>
      <c r="B325" s="1">
        <v>0.64281900000000003</v>
      </c>
      <c r="C325" s="1">
        <v>0.64061900000000005</v>
      </c>
      <c r="D325" s="1">
        <f>IF(B325&gt;C325,B325-C325,C325-B325)</f>
        <v>2.1999999999999797E-3</v>
      </c>
      <c r="E325">
        <f>MINUTE(D325)</f>
        <v>3</v>
      </c>
      <c r="F325">
        <f>SECOND(D325)</f>
        <v>10</v>
      </c>
      <c r="G325">
        <f>ROUND(E325+F325/60,2)</f>
        <v>3.17</v>
      </c>
      <c r="H325">
        <f>60*E325+F325</f>
        <v>190</v>
      </c>
      <c r="I325" s="3">
        <f>5*(3600/H325)</f>
        <v>94.73684210526315</v>
      </c>
    </row>
    <row r="326" spans="1:9" x14ac:dyDescent="0.25">
      <c r="A326" s="4" t="s">
        <v>292</v>
      </c>
      <c r="B326" s="1">
        <v>0.62462799999999996</v>
      </c>
      <c r="C326" s="1">
        <v>0.62682800000000005</v>
      </c>
      <c r="D326" s="1">
        <f>IF(B326&gt;C326,B326-C326,C326-B326)</f>
        <v>2.2000000000000908E-3</v>
      </c>
      <c r="E326">
        <f>MINUTE(D326)</f>
        <v>3</v>
      </c>
      <c r="F326">
        <f>SECOND(D326)</f>
        <v>10</v>
      </c>
      <c r="G326">
        <f>ROUND(E326+F326/60,2)</f>
        <v>3.17</v>
      </c>
      <c r="H326">
        <f>60*E326+F326</f>
        <v>190</v>
      </c>
      <c r="I326" s="3">
        <f>5*(3600/H326)</f>
        <v>94.73684210526315</v>
      </c>
    </row>
    <row r="327" spans="1:9" x14ac:dyDescent="0.25">
      <c r="A327" s="4" t="s">
        <v>4</v>
      </c>
      <c r="B327" s="1">
        <v>0.92153600000000002</v>
      </c>
      <c r="C327" s="1">
        <v>0.91932400000000003</v>
      </c>
      <c r="D327" s="1">
        <f>IF(B327&gt;C327,B327-C327,C327-B327)</f>
        <v>2.2119999999999918E-3</v>
      </c>
      <c r="E327">
        <f>MINUTE(D327)</f>
        <v>3</v>
      </c>
      <c r="F327">
        <f>SECOND(D327)</f>
        <v>11</v>
      </c>
      <c r="G327">
        <f>ROUND(E327+F327/60,2)</f>
        <v>3.18</v>
      </c>
      <c r="H327">
        <f>60*E327+F327</f>
        <v>191</v>
      </c>
      <c r="I327" s="3">
        <f>5*(3600/H327)</f>
        <v>94.240837696335092</v>
      </c>
    </row>
    <row r="328" spans="1:9" x14ac:dyDescent="0.25">
      <c r="A328" s="4" t="s">
        <v>21</v>
      </c>
      <c r="B328" s="1">
        <v>0.88179300000000005</v>
      </c>
      <c r="C328" s="1">
        <v>0.87958099999999995</v>
      </c>
      <c r="D328" s="1">
        <f>IF(B328&gt;C328,B328-C328,C328-B328)</f>
        <v>2.2120000000001028E-3</v>
      </c>
      <c r="E328">
        <f>MINUTE(D328)</f>
        <v>3</v>
      </c>
      <c r="F328">
        <f>SECOND(D328)</f>
        <v>11</v>
      </c>
      <c r="G328">
        <f>ROUND(E328+F328/60,2)</f>
        <v>3.18</v>
      </c>
      <c r="H328">
        <f>60*E328+F328</f>
        <v>191</v>
      </c>
      <c r="I328" s="3">
        <f>5*(3600/H328)</f>
        <v>94.240837696335092</v>
      </c>
    </row>
    <row r="329" spans="1:9" x14ac:dyDescent="0.25">
      <c r="A329" s="4" t="s">
        <v>155</v>
      </c>
      <c r="B329" s="1">
        <v>0.93974999999999997</v>
      </c>
      <c r="C329" s="1">
        <v>0.94196199999999997</v>
      </c>
      <c r="D329" s="1">
        <f>IF(B329&gt;C329,B329-C329,C329-B329)</f>
        <v>2.2119999999999918E-3</v>
      </c>
      <c r="E329">
        <f>MINUTE(D329)</f>
        <v>3</v>
      </c>
      <c r="F329">
        <f>SECOND(D329)</f>
        <v>11</v>
      </c>
      <c r="G329">
        <f>ROUND(E329+F329/60,2)</f>
        <v>3.18</v>
      </c>
      <c r="H329">
        <f>60*E329+F329</f>
        <v>191</v>
      </c>
      <c r="I329" s="3">
        <f>5*(3600/H329)</f>
        <v>94.240837696335092</v>
      </c>
    </row>
    <row r="330" spans="1:9" x14ac:dyDescent="0.25">
      <c r="A330" s="4" t="s">
        <v>49</v>
      </c>
      <c r="B330" s="1">
        <v>0.76181600000000005</v>
      </c>
      <c r="C330" s="1">
        <v>0.75960799999999995</v>
      </c>
      <c r="D330" s="1">
        <f>IF(B330&gt;C330,B330-C330,C330-B330)</f>
        <v>2.2080000000000988E-3</v>
      </c>
      <c r="E330">
        <f>MINUTE(D330)</f>
        <v>3</v>
      </c>
      <c r="F330">
        <f>SECOND(D330)</f>
        <v>11</v>
      </c>
      <c r="G330">
        <f>ROUND(E330+F330/60,2)</f>
        <v>3.18</v>
      </c>
      <c r="H330">
        <f>60*E330+F330</f>
        <v>191</v>
      </c>
      <c r="I330" s="3">
        <f>5*(3600/H330)</f>
        <v>94.240837696335092</v>
      </c>
    </row>
    <row r="331" spans="1:9" x14ac:dyDescent="0.25">
      <c r="A331" s="4" t="s">
        <v>119</v>
      </c>
      <c r="B331" s="1">
        <v>0.71098499999999998</v>
      </c>
      <c r="C331" s="1">
        <v>0.70876899999999998</v>
      </c>
      <c r="D331" s="1">
        <f>IF(B331&gt;C331,B331-C331,C331-B331)</f>
        <v>2.2159999999999958E-3</v>
      </c>
      <c r="E331">
        <f>MINUTE(D331)</f>
        <v>3</v>
      </c>
      <c r="F331">
        <f>SECOND(D331)</f>
        <v>11</v>
      </c>
      <c r="G331">
        <f>ROUND(E331+F331/60,2)</f>
        <v>3.18</v>
      </c>
      <c r="H331">
        <f>60*E331+F331</f>
        <v>191</v>
      </c>
      <c r="I331" s="3">
        <f>5*(3600/H331)</f>
        <v>94.240837696335092</v>
      </c>
    </row>
    <row r="332" spans="1:9" x14ac:dyDescent="0.25">
      <c r="A332" s="4" t="s">
        <v>190</v>
      </c>
      <c r="B332" s="1">
        <v>0.78212599999999999</v>
      </c>
      <c r="C332" s="1">
        <v>0.779918</v>
      </c>
      <c r="D332" s="1">
        <f>IF(B332&gt;C332,B332-C332,C332-B332)</f>
        <v>2.2079999999999878E-3</v>
      </c>
      <c r="E332">
        <f>MINUTE(D332)</f>
        <v>3</v>
      </c>
      <c r="F332">
        <f>SECOND(D332)</f>
        <v>11</v>
      </c>
      <c r="G332">
        <f>ROUND(E332+F332/60,2)</f>
        <v>3.18</v>
      </c>
      <c r="H332">
        <f>60*E332+F332</f>
        <v>191</v>
      </c>
      <c r="I332" s="3">
        <f>5*(3600/H332)</f>
        <v>94.240837696335092</v>
      </c>
    </row>
    <row r="333" spans="1:9" x14ac:dyDescent="0.25">
      <c r="A333" s="4" t="s">
        <v>17</v>
      </c>
      <c r="B333" s="1">
        <v>0.94928199999999996</v>
      </c>
      <c r="C333" s="1">
        <v>0.94705799999999996</v>
      </c>
      <c r="D333" s="1">
        <f>IF(B333&gt;C333,B333-C333,C333-B333)</f>
        <v>2.2240000000000038E-3</v>
      </c>
      <c r="E333">
        <f>MINUTE(D333)</f>
        <v>3</v>
      </c>
      <c r="F333">
        <f>SECOND(D333)</f>
        <v>12</v>
      </c>
      <c r="G333">
        <f>ROUND(E333+F333/60,2)</f>
        <v>3.2</v>
      </c>
      <c r="H333">
        <f>60*E333+F333</f>
        <v>192</v>
      </c>
      <c r="I333" s="3">
        <f>5*(3600/H333)</f>
        <v>93.75</v>
      </c>
    </row>
    <row r="334" spans="1:9" x14ac:dyDescent="0.25">
      <c r="A334" s="4" t="s">
        <v>88</v>
      </c>
      <c r="B334" s="1">
        <v>0.48257800000000001</v>
      </c>
      <c r="C334" s="1">
        <v>0.480354</v>
      </c>
      <c r="D334" s="1">
        <f>IF(B334&gt;C334,B334-C334,C334-B334)</f>
        <v>2.2240000000000038E-3</v>
      </c>
      <c r="E334">
        <f>MINUTE(D334)</f>
        <v>3</v>
      </c>
      <c r="F334">
        <f>SECOND(D334)</f>
        <v>12</v>
      </c>
      <c r="G334">
        <f>ROUND(E334+F334/60,2)</f>
        <v>3.2</v>
      </c>
      <c r="H334">
        <f>60*E334+F334</f>
        <v>192</v>
      </c>
      <c r="I334" s="3">
        <f>5*(3600/H334)</f>
        <v>93.75</v>
      </c>
    </row>
    <row r="335" spans="1:9" x14ac:dyDescent="0.25">
      <c r="A335" s="4" t="s">
        <v>3</v>
      </c>
      <c r="B335" s="1">
        <v>0.31244499999999997</v>
      </c>
      <c r="C335" s="1">
        <v>0.31022499999999997</v>
      </c>
      <c r="D335" s="1">
        <f>IF(B335&gt;C335,B335-C335,C335-B335)</f>
        <v>2.2199999999999998E-3</v>
      </c>
      <c r="E335">
        <f>MINUTE(D335)</f>
        <v>3</v>
      </c>
      <c r="F335">
        <f>SECOND(D335)</f>
        <v>12</v>
      </c>
      <c r="G335">
        <f>ROUND(E335+F335/60,2)</f>
        <v>3.2</v>
      </c>
      <c r="H335">
        <f>60*E335+F335</f>
        <v>192</v>
      </c>
      <c r="I335" s="3">
        <f>5*(3600/H335)</f>
        <v>93.75</v>
      </c>
    </row>
    <row r="336" spans="1:9" x14ac:dyDescent="0.25">
      <c r="A336" s="4" t="s">
        <v>6</v>
      </c>
      <c r="B336" s="1">
        <v>0.71089100000000005</v>
      </c>
      <c r="C336" s="1">
        <v>0.71311899999999995</v>
      </c>
      <c r="D336" s="1">
        <f>IF(B336&gt;C336,B336-C336,C336-B336)</f>
        <v>2.2279999999998967E-3</v>
      </c>
      <c r="E336">
        <f>MINUTE(D336)</f>
        <v>3</v>
      </c>
      <c r="F336">
        <f>SECOND(D336)</f>
        <v>12</v>
      </c>
      <c r="G336">
        <f>ROUND(E336+F336/60,2)</f>
        <v>3.2</v>
      </c>
      <c r="H336">
        <f>60*E336+F336</f>
        <v>192</v>
      </c>
      <c r="I336" s="3">
        <f>5*(3600/H336)</f>
        <v>93.75</v>
      </c>
    </row>
    <row r="337" spans="1:9" x14ac:dyDescent="0.25">
      <c r="A337" s="4" t="s">
        <v>45</v>
      </c>
      <c r="B337" s="1">
        <v>0.90539000000000003</v>
      </c>
      <c r="C337" s="1">
        <v>0.90761800000000004</v>
      </c>
      <c r="D337" s="1">
        <f>IF(B337&gt;C337,B337-C337,C337-B337)</f>
        <v>2.2280000000000078E-3</v>
      </c>
      <c r="E337">
        <f>MINUTE(D337)</f>
        <v>3</v>
      </c>
      <c r="F337">
        <f>SECOND(D337)</f>
        <v>12</v>
      </c>
      <c r="G337">
        <f>ROUND(E337+F337/60,2)</f>
        <v>3.2</v>
      </c>
      <c r="H337">
        <f>60*E337+F337</f>
        <v>192</v>
      </c>
      <c r="I337" s="3">
        <f>5*(3600/H337)</f>
        <v>93.75</v>
      </c>
    </row>
    <row r="338" spans="1:9" x14ac:dyDescent="0.25">
      <c r="A338" s="4" t="s">
        <v>117</v>
      </c>
      <c r="B338" s="1">
        <v>0.82010700000000003</v>
      </c>
      <c r="C338" s="1">
        <v>0.82233500000000004</v>
      </c>
      <c r="D338" s="1">
        <f>IF(B338&gt;C338,B338-C338,C338-B338)</f>
        <v>2.2280000000000078E-3</v>
      </c>
      <c r="E338">
        <f>MINUTE(D338)</f>
        <v>3</v>
      </c>
      <c r="F338">
        <f>SECOND(D338)</f>
        <v>12</v>
      </c>
      <c r="G338">
        <f>ROUND(E338+F338/60,2)</f>
        <v>3.2</v>
      </c>
      <c r="H338">
        <f>60*E338+F338</f>
        <v>192</v>
      </c>
      <c r="I338" s="3">
        <f>5*(3600/H338)</f>
        <v>93.75</v>
      </c>
    </row>
    <row r="339" spans="1:9" x14ac:dyDescent="0.25">
      <c r="A339" s="4" t="s">
        <v>232</v>
      </c>
      <c r="B339" s="1">
        <v>0.29889700000000002</v>
      </c>
      <c r="C339" s="1">
        <v>0.29667300000000002</v>
      </c>
      <c r="D339" s="1">
        <f>IF(B339&gt;C339,B339-C339,C339-B339)</f>
        <v>2.2240000000000038E-3</v>
      </c>
      <c r="E339">
        <f>MINUTE(D339)</f>
        <v>3</v>
      </c>
      <c r="F339">
        <f>SECOND(D339)</f>
        <v>12</v>
      </c>
      <c r="G339">
        <f>ROUND(E339+F339/60,2)</f>
        <v>3.2</v>
      </c>
      <c r="H339">
        <f>60*E339+F339</f>
        <v>192</v>
      </c>
      <c r="I339" s="3">
        <f>5*(3600/H339)</f>
        <v>93.75</v>
      </c>
    </row>
    <row r="340" spans="1:9" x14ac:dyDescent="0.25">
      <c r="A340" s="4" t="s">
        <v>262</v>
      </c>
      <c r="B340" s="1">
        <v>6.8135000000000001E-2</v>
      </c>
      <c r="C340" s="1">
        <v>7.0362999999999995E-2</v>
      </c>
      <c r="D340" s="1">
        <f>IF(B340&gt;C340,B340-C340,C340-B340)</f>
        <v>2.2279999999999939E-3</v>
      </c>
      <c r="E340">
        <f>MINUTE(D340)</f>
        <v>3</v>
      </c>
      <c r="F340">
        <f>SECOND(D340)</f>
        <v>12</v>
      </c>
      <c r="G340">
        <f>ROUND(E340+F340/60,2)</f>
        <v>3.2</v>
      </c>
      <c r="H340">
        <f>60*E340+F340</f>
        <v>192</v>
      </c>
      <c r="I340" s="3">
        <f>5*(3600/H340)</f>
        <v>93.75</v>
      </c>
    </row>
    <row r="341" spans="1:9" x14ac:dyDescent="0.25">
      <c r="A341" s="4" t="s">
        <v>44</v>
      </c>
      <c r="B341" s="1">
        <v>0.45712199999999997</v>
      </c>
      <c r="C341" s="1">
        <v>0.45935799999999999</v>
      </c>
      <c r="D341" s="1">
        <f>IF(B341&gt;C341,B341-C341,C341-B341)</f>
        <v>2.2360000000000158E-3</v>
      </c>
      <c r="E341">
        <f>MINUTE(D341)</f>
        <v>3</v>
      </c>
      <c r="F341">
        <f>SECOND(D341)</f>
        <v>13</v>
      </c>
      <c r="G341">
        <f>ROUND(E341+F341/60,2)</f>
        <v>3.22</v>
      </c>
      <c r="H341">
        <f>60*E341+F341</f>
        <v>193</v>
      </c>
      <c r="I341" s="3">
        <f>5*(3600/H341)</f>
        <v>93.264248704663203</v>
      </c>
    </row>
    <row r="342" spans="1:9" x14ac:dyDescent="0.25">
      <c r="A342" s="4" t="s">
        <v>245</v>
      </c>
      <c r="B342" s="1">
        <v>0.57927600000000001</v>
      </c>
      <c r="C342" s="1">
        <v>0.58151200000000003</v>
      </c>
      <c r="D342" s="1">
        <f>IF(B342&gt;C342,B342-C342,C342-B342)</f>
        <v>2.2360000000000158E-3</v>
      </c>
      <c r="E342">
        <f>MINUTE(D342)</f>
        <v>3</v>
      </c>
      <c r="F342">
        <f>SECOND(D342)</f>
        <v>13</v>
      </c>
      <c r="G342">
        <f>ROUND(E342+F342/60,2)</f>
        <v>3.22</v>
      </c>
      <c r="H342">
        <f>60*E342+F342</f>
        <v>193</v>
      </c>
      <c r="I342" s="3">
        <f>5*(3600/H342)</f>
        <v>93.264248704663203</v>
      </c>
    </row>
    <row r="343" spans="1:9" x14ac:dyDescent="0.25">
      <c r="A343" s="4" t="s">
        <v>348</v>
      </c>
      <c r="B343" s="1">
        <v>1.4217E-2</v>
      </c>
      <c r="C343" s="1">
        <v>1.1981E-2</v>
      </c>
      <c r="D343" s="1">
        <f>IF(B343&gt;C343,B343-C343,C343-B343)</f>
        <v>2.2360000000000001E-3</v>
      </c>
      <c r="E343">
        <f>MINUTE(D343)</f>
        <v>3</v>
      </c>
      <c r="F343">
        <f>SECOND(D343)</f>
        <v>13</v>
      </c>
      <c r="G343">
        <f>ROUND(E343+F343/60,2)</f>
        <v>3.22</v>
      </c>
      <c r="H343">
        <f>60*E343+F343</f>
        <v>193</v>
      </c>
      <c r="I343" s="3">
        <f>5*(3600/H343)</f>
        <v>93.264248704663203</v>
      </c>
    </row>
    <row r="344" spans="1:9" x14ac:dyDescent="0.25">
      <c r="A344" s="4" t="s">
        <v>134</v>
      </c>
      <c r="B344" s="1">
        <v>0.71828700000000001</v>
      </c>
      <c r="C344" s="1">
        <v>0.72052700000000003</v>
      </c>
      <c r="D344" s="1">
        <f>IF(B344&gt;C344,B344-C344,C344-B344)</f>
        <v>2.2400000000000198E-3</v>
      </c>
      <c r="E344">
        <f>MINUTE(D344)</f>
        <v>3</v>
      </c>
      <c r="F344">
        <f>SECOND(D344)</f>
        <v>14</v>
      </c>
      <c r="G344">
        <f>ROUND(E344+F344/60,2)</f>
        <v>3.23</v>
      </c>
      <c r="H344">
        <f>60*E344+F344</f>
        <v>194</v>
      </c>
      <c r="I344" s="3">
        <f>5*(3600/H344)</f>
        <v>92.783505154639187</v>
      </c>
    </row>
    <row r="345" spans="1:9" x14ac:dyDescent="0.25">
      <c r="A345" s="4" t="s">
        <v>87</v>
      </c>
      <c r="B345" s="1">
        <v>0.50998299999999996</v>
      </c>
      <c r="C345" s="1">
        <v>0.50774300000000006</v>
      </c>
      <c r="D345" s="1">
        <f>IF(B345&gt;C345,B345-C345,C345-B345)</f>
        <v>2.2399999999999087E-3</v>
      </c>
      <c r="E345">
        <f>MINUTE(D345)</f>
        <v>3</v>
      </c>
      <c r="F345">
        <f>SECOND(D345)</f>
        <v>14</v>
      </c>
      <c r="G345">
        <f>ROUND(E345+F345/60,2)</f>
        <v>3.23</v>
      </c>
      <c r="H345">
        <f>60*E345+F345</f>
        <v>194</v>
      </c>
      <c r="I345" s="3">
        <f>5*(3600/H345)</f>
        <v>92.783505154639187</v>
      </c>
    </row>
    <row r="346" spans="1:9" x14ac:dyDescent="0.25">
      <c r="A346" s="4" t="s">
        <v>63</v>
      </c>
      <c r="B346" s="1">
        <v>0.35734100000000002</v>
      </c>
      <c r="C346" s="1">
        <v>0.355101</v>
      </c>
      <c r="D346" s="1">
        <f>IF(B346&gt;C346,B346-C346,C346-B346)</f>
        <v>2.2400000000000198E-3</v>
      </c>
      <c r="E346">
        <f>MINUTE(D346)</f>
        <v>3</v>
      </c>
      <c r="F346">
        <f>SECOND(D346)</f>
        <v>14</v>
      </c>
      <c r="G346">
        <f>ROUND(E346+F346/60,2)</f>
        <v>3.23</v>
      </c>
      <c r="H346">
        <f>60*E346+F346</f>
        <v>194</v>
      </c>
      <c r="I346" s="3">
        <f>5*(3600/H346)</f>
        <v>92.783505154639187</v>
      </c>
    </row>
    <row r="347" spans="1:9" x14ac:dyDescent="0.25">
      <c r="A347" s="4" t="s">
        <v>21</v>
      </c>
      <c r="B347" s="1">
        <v>0.72038999999999997</v>
      </c>
      <c r="C347" s="1">
        <v>0.722634</v>
      </c>
      <c r="D347" s="1">
        <f>IF(B347&gt;C347,B347-C347,C347-B347)</f>
        <v>2.2440000000000238E-3</v>
      </c>
      <c r="E347">
        <f>MINUTE(D347)</f>
        <v>3</v>
      </c>
      <c r="F347">
        <f>SECOND(D347)</f>
        <v>14</v>
      </c>
      <c r="G347">
        <f>ROUND(E347+F347/60,2)</f>
        <v>3.23</v>
      </c>
      <c r="H347">
        <f>60*E347+F347</f>
        <v>194</v>
      </c>
      <c r="I347" s="3">
        <f>5*(3600/H347)</f>
        <v>92.783505154639187</v>
      </c>
    </row>
    <row r="348" spans="1:9" x14ac:dyDescent="0.25">
      <c r="A348" s="4" t="s">
        <v>52</v>
      </c>
      <c r="B348" s="1">
        <v>0.86003499999999999</v>
      </c>
      <c r="C348" s="1">
        <v>0.85779499999999997</v>
      </c>
      <c r="D348" s="1">
        <f>IF(B348&gt;C348,B348-C348,C348-B348)</f>
        <v>2.2400000000000198E-3</v>
      </c>
      <c r="E348">
        <f>MINUTE(D348)</f>
        <v>3</v>
      </c>
      <c r="F348">
        <f>SECOND(D348)</f>
        <v>14</v>
      </c>
      <c r="G348">
        <f>ROUND(E348+F348/60,2)</f>
        <v>3.23</v>
      </c>
      <c r="H348">
        <f>60*E348+F348</f>
        <v>194</v>
      </c>
      <c r="I348" s="3">
        <f>5*(3600/H348)</f>
        <v>92.783505154639187</v>
      </c>
    </row>
    <row r="349" spans="1:9" x14ac:dyDescent="0.25">
      <c r="A349" s="4" t="s">
        <v>162</v>
      </c>
      <c r="B349" s="1">
        <v>0.73413300000000004</v>
      </c>
      <c r="C349" s="1">
        <v>0.73189300000000002</v>
      </c>
      <c r="D349" s="1">
        <f>IF(B349&gt;C349,B349-C349,C349-B349)</f>
        <v>2.2400000000000198E-3</v>
      </c>
      <c r="E349">
        <f>MINUTE(D349)</f>
        <v>3</v>
      </c>
      <c r="F349">
        <f>SECOND(D349)</f>
        <v>14</v>
      </c>
      <c r="G349">
        <f>ROUND(E349+F349/60,2)</f>
        <v>3.23</v>
      </c>
      <c r="H349">
        <f>60*E349+F349</f>
        <v>194</v>
      </c>
      <c r="I349" s="3">
        <f>5*(3600/H349)</f>
        <v>92.783505154639187</v>
      </c>
    </row>
    <row r="350" spans="1:9" x14ac:dyDescent="0.25">
      <c r="A350" s="4" t="s">
        <v>5</v>
      </c>
      <c r="B350" s="1">
        <v>0.43023099999999997</v>
      </c>
      <c r="C350" s="1">
        <v>0.43248700000000001</v>
      </c>
      <c r="D350" s="1">
        <f>IF(B350&gt;C350,B350-C350,C350-B350)</f>
        <v>2.2560000000000358E-3</v>
      </c>
      <c r="E350">
        <f>MINUTE(D350)</f>
        <v>3</v>
      </c>
      <c r="F350">
        <f>SECOND(D350)</f>
        <v>15</v>
      </c>
      <c r="G350">
        <f>ROUND(E350+F350/60,2)</f>
        <v>3.25</v>
      </c>
      <c r="H350">
        <f>60*E350+F350</f>
        <v>195</v>
      </c>
      <c r="I350" s="3">
        <f>5*(3600/H350)</f>
        <v>92.307692307692292</v>
      </c>
    </row>
    <row r="351" spans="1:9" x14ac:dyDescent="0.25">
      <c r="A351" s="4" t="s">
        <v>49</v>
      </c>
      <c r="B351" s="1">
        <v>0.73685999999999996</v>
      </c>
      <c r="C351" s="1">
        <v>0.73460400000000003</v>
      </c>
      <c r="D351" s="1">
        <f>IF(B351&gt;C351,B351-C351,C351-B351)</f>
        <v>2.2559999999999247E-3</v>
      </c>
      <c r="E351">
        <f>MINUTE(D351)</f>
        <v>3</v>
      </c>
      <c r="F351">
        <f>SECOND(D351)</f>
        <v>15</v>
      </c>
      <c r="G351">
        <f>ROUND(E351+F351/60,2)</f>
        <v>3.25</v>
      </c>
      <c r="H351">
        <f>60*E351+F351</f>
        <v>195</v>
      </c>
      <c r="I351" s="3">
        <f>5*(3600/H351)</f>
        <v>92.307692307692292</v>
      </c>
    </row>
    <row r="352" spans="1:9" x14ac:dyDescent="0.25">
      <c r="A352" s="4" t="s">
        <v>259</v>
      </c>
      <c r="B352" s="1">
        <v>0.72672199999999998</v>
      </c>
      <c r="C352" s="1">
        <v>0.72446999999999995</v>
      </c>
      <c r="D352" s="1">
        <f>IF(B352&gt;C352,B352-C352,C352-B352)</f>
        <v>2.2520000000000318E-3</v>
      </c>
      <c r="E352">
        <f>MINUTE(D352)</f>
        <v>3</v>
      </c>
      <c r="F352">
        <f>SECOND(D352)</f>
        <v>15</v>
      </c>
      <c r="G352">
        <f>ROUND(E352+F352/60,2)</f>
        <v>3.25</v>
      </c>
      <c r="H352">
        <f>60*E352+F352</f>
        <v>195</v>
      </c>
      <c r="I352" s="3">
        <f>5*(3600/H352)</f>
        <v>92.307692307692292</v>
      </c>
    </row>
    <row r="353" spans="1:9" x14ac:dyDescent="0.25">
      <c r="A353" s="4" t="s">
        <v>26</v>
      </c>
      <c r="B353" s="1">
        <v>0.32196599999999997</v>
      </c>
      <c r="C353" s="1">
        <v>0.32423800000000003</v>
      </c>
      <c r="D353" s="1">
        <f>IF(B353&gt;C353,B353-C353,C353-B353)</f>
        <v>2.2720000000000518E-3</v>
      </c>
      <c r="E353">
        <f>MINUTE(D353)</f>
        <v>3</v>
      </c>
      <c r="F353">
        <f>SECOND(D353)</f>
        <v>16</v>
      </c>
      <c r="G353">
        <f>ROUND(E353+F353/60,2)</f>
        <v>3.27</v>
      </c>
      <c r="H353">
        <f>60*E353+F353</f>
        <v>196</v>
      </c>
      <c r="I353" s="3">
        <f>5*(3600/H353)</f>
        <v>91.83673469387756</v>
      </c>
    </row>
    <row r="354" spans="1:9" x14ac:dyDescent="0.25">
      <c r="A354" s="4" t="s">
        <v>68</v>
      </c>
      <c r="B354" s="1">
        <v>1.8766999999999999E-2</v>
      </c>
      <c r="C354" s="1">
        <v>2.1031000000000001E-2</v>
      </c>
      <c r="D354" s="1">
        <f>IF(B354&gt;C354,B354-C354,C354-B354)</f>
        <v>2.2640000000000021E-3</v>
      </c>
      <c r="E354">
        <f>MINUTE(D354)</f>
        <v>3</v>
      </c>
      <c r="F354">
        <f>SECOND(D354)</f>
        <v>16</v>
      </c>
      <c r="G354">
        <f>ROUND(E354+F354/60,2)</f>
        <v>3.27</v>
      </c>
      <c r="H354">
        <f>60*E354+F354</f>
        <v>196</v>
      </c>
      <c r="I354" s="3">
        <f>5*(3600/H354)</f>
        <v>91.83673469387756</v>
      </c>
    </row>
    <row r="355" spans="1:9" x14ac:dyDescent="0.25">
      <c r="A355" s="4" t="s">
        <v>16</v>
      </c>
      <c r="B355" s="1">
        <v>8.7446999999999997E-2</v>
      </c>
      <c r="C355" s="1">
        <v>8.5182999999999995E-2</v>
      </c>
      <c r="D355" s="1">
        <f>IF(B355&gt;C355,B355-C355,C355-B355)</f>
        <v>2.2640000000000021E-3</v>
      </c>
      <c r="E355">
        <f>MINUTE(D355)</f>
        <v>3</v>
      </c>
      <c r="F355">
        <f>SECOND(D355)</f>
        <v>16</v>
      </c>
      <c r="G355">
        <f>ROUND(E355+F355/60,2)</f>
        <v>3.27</v>
      </c>
      <c r="H355">
        <f>60*E355+F355</f>
        <v>196</v>
      </c>
      <c r="I355" s="3">
        <f>5*(3600/H355)</f>
        <v>91.83673469387756</v>
      </c>
    </row>
    <row r="356" spans="1:9" x14ac:dyDescent="0.25">
      <c r="A356" s="4" t="s">
        <v>162</v>
      </c>
      <c r="B356" s="1">
        <v>0.80282699999999996</v>
      </c>
      <c r="C356" s="1">
        <v>0.805091</v>
      </c>
      <c r="D356" s="1">
        <f>IF(B356&gt;C356,B356-C356,C356-B356)</f>
        <v>2.2640000000000438E-3</v>
      </c>
      <c r="E356">
        <f>MINUTE(D356)</f>
        <v>3</v>
      </c>
      <c r="F356">
        <f>SECOND(D356)</f>
        <v>16</v>
      </c>
      <c r="G356">
        <f>ROUND(E356+F356/60,2)</f>
        <v>3.27</v>
      </c>
      <c r="H356">
        <f>60*E356+F356</f>
        <v>196</v>
      </c>
      <c r="I356" s="3">
        <f>5*(3600/H356)</f>
        <v>91.83673469387756</v>
      </c>
    </row>
    <row r="357" spans="1:9" x14ac:dyDescent="0.25">
      <c r="A357" s="4" t="s">
        <v>4</v>
      </c>
      <c r="B357" s="1">
        <v>0.86221700000000001</v>
      </c>
      <c r="C357" s="1">
        <v>0.85994899999999996</v>
      </c>
      <c r="D357" s="1">
        <f>IF(B357&gt;C357,B357-C357,C357-B357)</f>
        <v>2.2680000000000478E-3</v>
      </c>
      <c r="E357">
        <f>MINUTE(D357)</f>
        <v>3</v>
      </c>
      <c r="F357">
        <f>SECOND(D357)</f>
        <v>16</v>
      </c>
      <c r="G357">
        <f>ROUND(E357+F357/60,2)</f>
        <v>3.27</v>
      </c>
      <c r="H357">
        <f>60*E357+F357</f>
        <v>196</v>
      </c>
      <c r="I357" s="3">
        <f>5*(3600/H357)</f>
        <v>91.83673469387756</v>
      </c>
    </row>
    <row r="358" spans="1:9" x14ac:dyDescent="0.25">
      <c r="A358" s="4" t="s">
        <v>35</v>
      </c>
      <c r="B358" s="1">
        <v>0.74358000000000002</v>
      </c>
      <c r="C358" s="1">
        <v>0.74584399999999995</v>
      </c>
      <c r="D358" s="1">
        <f>IF(B358&gt;C358,B358-C358,C358-B358)</f>
        <v>2.2639999999999327E-3</v>
      </c>
      <c r="E358">
        <f>MINUTE(D358)</f>
        <v>3</v>
      </c>
      <c r="F358">
        <f>SECOND(D358)</f>
        <v>16</v>
      </c>
      <c r="G358">
        <f>ROUND(E358+F358/60,2)</f>
        <v>3.27</v>
      </c>
      <c r="H358">
        <f>60*E358+F358</f>
        <v>196</v>
      </c>
      <c r="I358" s="3">
        <f>5*(3600/H358)</f>
        <v>91.83673469387756</v>
      </c>
    </row>
    <row r="359" spans="1:9" x14ac:dyDescent="0.25">
      <c r="A359" s="4" t="s">
        <v>163</v>
      </c>
      <c r="B359" s="1">
        <v>0.69269999999999998</v>
      </c>
      <c r="C359" s="1">
        <v>0.69043600000000005</v>
      </c>
      <c r="D359" s="1">
        <f>IF(B359&gt;C359,B359-C359,C359-B359)</f>
        <v>2.2639999999999327E-3</v>
      </c>
      <c r="E359">
        <f>MINUTE(D359)</f>
        <v>3</v>
      </c>
      <c r="F359">
        <f>SECOND(D359)</f>
        <v>16</v>
      </c>
      <c r="G359">
        <f>ROUND(E359+F359/60,2)</f>
        <v>3.27</v>
      </c>
      <c r="H359">
        <f>60*E359+F359</f>
        <v>196</v>
      </c>
      <c r="I359" s="3">
        <f>5*(3600/H359)</f>
        <v>91.83673469387756</v>
      </c>
    </row>
    <row r="360" spans="1:9" x14ac:dyDescent="0.25">
      <c r="A360" s="4" t="s">
        <v>122</v>
      </c>
      <c r="B360" s="1">
        <v>0.68302600000000002</v>
      </c>
      <c r="C360" s="1">
        <v>0.68075799999999997</v>
      </c>
      <c r="D360" s="1">
        <f>IF(B360&gt;C360,B360-C360,C360-B360)</f>
        <v>2.2680000000000478E-3</v>
      </c>
      <c r="E360">
        <f>MINUTE(D360)</f>
        <v>3</v>
      </c>
      <c r="F360">
        <f>SECOND(D360)</f>
        <v>16</v>
      </c>
      <c r="G360">
        <f>ROUND(E360+F360/60,2)</f>
        <v>3.27</v>
      </c>
      <c r="H360">
        <f>60*E360+F360</f>
        <v>196</v>
      </c>
      <c r="I360" s="3">
        <f>5*(3600/H360)</f>
        <v>91.83673469387756</v>
      </c>
    </row>
    <row r="361" spans="1:9" x14ac:dyDescent="0.25">
      <c r="A361" s="4" t="s">
        <v>41</v>
      </c>
      <c r="B361" s="1">
        <v>0.101677</v>
      </c>
      <c r="C361" s="1">
        <v>9.9404999999999993E-2</v>
      </c>
      <c r="D361" s="1">
        <f>IF(B361&gt;C361,B361-C361,C361-B361)</f>
        <v>2.2720000000000101E-3</v>
      </c>
      <c r="E361">
        <f>MINUTE(D361)</f>
        <v>3</v>
      </c>
      <c r="F361">
        <f>SECOND(D361)</f>
        <v>16</v>
      </c>
      <c r="G361">
        <f>ROUND(E361+F361/60,2)</f>
        <v>3.27</v>
      </c>
      <c r="H361">
        <f>60*E361+F361</f>
        <v>196</v>
      </c>
      <c r="I361" s="3">
        <f>5*(3600/H361)</f>
        <v>91.83673469387756</v>
      </c>
    </row>
    <row r="362" spans="1:9" x14ac:dyDescent="0.25">
      <c r="A362" s="4" t="s">
        <v>330</v>
      </c>
      <c r="B362" s="1">
        <v>3.6773E-2</v>
      </c>
      <c r="C362" s="1">
        <v>3.4508999999999998E-2</v>
      </c>
      <c r="D362" s="1">
        <f>IF(B362&gt;C362,B362-C362,C362-B362)</f>
        <v>2.2640000000000021E-3</v>
      </c>
      <c r="E362">
        <f>MINUTE(D362)</f>
        <v>3</v>
      </c>
      <c r="F362">
        <f>SECOND(D362)</f>
        <v>16</v>
      </c>
      <c r="G362">
        <f>ROUND(E362+F362/60,2)</f>
        <v>3.27</v>
      </c>
      <c r="H362">
        <f>60*E362+F362</f>
        <v>196</v>
      </c>
      <c r="I362" s="3">
        <f>5*(3600/H362)</f>
        <v>91.83673469387756</v>
      </c>
    </row>
    <row r="363" spans="1:9" x14ac:dyDescent="0.25">
      <c r="A363" s="4" t="s">
        <v>56</v>
      </c>
      <c r="B363" s="1">
        <v>0.34653200000000001</v>
      </c>
      <c r="C363" s="1">
        <v>0.34881600000000001</v>
      </c>
      <c r="D363" s="1">
        <f>IF(B363&gt;C363,B363-C363,C363-B363)</f>
        <v>2.2840000000000082E-3</v>
      </c>
      <c r="E363">
        <f>MINUTE(D363)</f>
        <v>3</v>
      </c>
      <c r="F363">
        <f>SECOND(D363)</f>
        <v>17</v>
      </c>
      <c r="G363">
        <f>ROUND(E363+F363/60,2)</f>
        <v>3.28</v>
      </c>
      <c r="H363">
        <f>60*E363+F363</f>
        <v>197</v>
      </c>
      <c r="I363" s="3">
        <f>5*(3600/H363)</f>
        <v>91.370558375634516</v>
      </c>
    </row>
    <row r="364" spans="1:9" x14ac:dyDescent="0.25">
      <c r="A364" s="4" t="s">
        <v>60</v>
      </c>
      <c r="B364" s="1">
        <v>2.2539E-2</v>
      </c>
      <c r="C364" s="1">
        <v>2.0254999999999999E-2</v>
      </c>
      <c r="D364" s="1">
        <f>IF(B364&gt;C364,B364-C364,C364-B364)</f>
        <v>2.2840000000000013E-3</v>
      </c>
      <c r="E364">
        <f>MINUTE(D364)</f>
        <v>3</v>
      </c>
      <c r="F364">
        <f>SECOND(D364)</f>
        <v>17</v>
      </c>
      <c r="G364">
        <f>ROUND(E364+F364/60,2)</f>
        <v>3.28</v>
      </c>
      <c r="H364">
        <f>60*E364+F364</f>
        <v>197</v>
      </c>
      <c r="I364" s="3">
        <f>5*(3600/H364)</f>
        <v>91.370558375634516</v>
      </c>
    </row>
    <row r="365" spans="1:9" x14ac:dyDescent="0.25">
      <c r="A365" s="4" t="s">
        <v>117</v>
      </c>
      <c r="B365" s="1">
        <v>0.21960199999999999</v>
      </c>
      <c r="C365" s="1">
        <v>0.21732199999999999</v>
      </c>
      <c r="D365" s="1">
        <f>IF(B365&gt;C365,B365-C365,C365-B365)</f>
        <v>2.2800000000000042E-3</v>
      </c>
      <c r="E365">
        <f>MINUTE(D365)</f>
        <v>3</v>
      </c>
      <c r="F365">
        <f>SECOND(D365)</f>
        <v>17</v>
      </c>
      <c r="G365">
        <f>ROUND(E365+F365/60,2)</f>
        <v>3.28</v>
      </c>
      <c r="H365">
        <f>60*E365+F365</f>
        <v>197</v>
      </c>
      <c r="I365" s="3">
        <f>5*(3600/H365)</f>
        <v>91.370558375634516</v>
      </c>
    </row>
    <row r="366" spans="1:9" x14ac:dyDescent="0.25">
      <c r="A366" s="4" t="s">
        <v>111</v>
      </c>
      <c r="B366" s="1">
        <v>0.66062200000000004</v>
      </c>
      <c r="C366" s="1">
        <v>0.65834599999999999</v>
      </c>
      <c r="D366" s="1">
        <f>IF(B366&gt;C366,B366-C366,C366-B366)</f>
        <v>2.2760000000000558E-3</v>
      </c>
      <c r="E366">
        <f>MINUTE(D366)</f>
        <v>3</v>
      </c>
      <c r="F366">
        <f>SECOND(D366)</f>
        <v>17</v>
      </c>
      <c r="G366">
        <f>ROUND(E366+F366/60,2)</f>
        <v>3.28</v>
      </c>
      <c r="H366">
        <f>60*E366+F366</f>
        <v>197</v>
      </c>
      <c r="I366" s="3">
        <f>5*(3600/H366)</f>
        <v>91.370558375634516</v>
      </c>
    </row>
    <row r="367" spans="1:9" x14ac:dyDescent="0.25">
      <c r="A367" s="4" t="s">
        <v>116</v>
      </c>
      <c r="B367" s="1">
        <v>0.31276999999999999</v>
      </c>
      <c r="C367" s="1">
        <v>0.31504599999999999</v>
      </c>
      <c r="D367" s="1">
        <f>IF(B367&gt;C367,B367-C367,C367-B367)</f>
        <v>2.2760000000000002E-3</v>
      </c>
      <c r="E367">
        <f>MINUTE(D367)</f>
        <v>3</v>
      </c>
      <c r="F367">
        <f>SECOND(D367)</f>
        <v>17</v>
      </c>
      <c r="G367">
        <f>ROUND(E367+F367/60,2)</f>
        <v>3.28</v>
      </c>
      <c r="H367">
        <f>60*E367+F367</f>
        <v>197</v>
      </c>
      <c r="I367" s="3">
        <f>5*(3600/H367)</f>
        <v>91.370558375634516</v>
      </c>
    </row>
    <row r="368" spans="1:9" x14ac:dyDescent="0.25">
      <c r="A368" s="4" t="s">
        <v>141</v>
      </c>
      <c r="B368" s="1">
        <v>0.99470000000000003</v>
      </c>
      <c r="C368" s="1">
        <v>0.99698399999999998</v>
      </c>
      <c r="D368" s="1">
        <f>IF(B368&gt;C368,B368-C368,C368-B368)</f>
        <v>2.2839999999999527E-3</v>
      </c>
      <c r="E368">
        <f>MINUTE(D368)</f>
        <v>3</v>
      </c>
      <c r="F368">
        <f>SECOND(D368)</f>
        <v>17</v>
      </c>
      <c r="G368">
        <f>ROUND(E368+F368/60,2)</f>
        <v>3.28</v>
      </c>
      <c r="H368">
        <f>60*E368+F368</f>
        <v>197</v>
      </c>
      <c r="I368" s="3">
        <f>5*(3600/H368)</f>
        <v>91.370558375634516</v>
      </c>
    </row>
    <row r="369" spans="1:9" x14ac:dyDescent="0.25">
      <c r="A369" s="4" t="s">
        <v>3</v>
      </c>
      <c r="B369" s="1">
        <v>0.59558999999999995</v>
      </c>
      <c r="C369" s="1">
        <v>0.59787400000000002</v>
      </c>
      <c r="D369" s="1">
        <f>IF(B369&gt;C369,B369-C369,C369-B369)</f>
        <v>2.2840000000000638E-3</v>
      </c>
      <c r="E369">
        <f>MINUTE(D369)</f>
        <v>3</v>
      </c>
      <c r="F369">
        <f>SECOND(D369)</f>
        <v>17</v>
      </c>
      <c r="G369">
        <f>ROUND(E369+F369/60,2)</f>
        <v>3.28</v>
      </c>
      <c r="H369">
        <f>60*E369+F369</f>
        <v>197</v>
      </c>
      <c r="I369" s="3">
        <f>5*(3600/H369)</f>
        <v>91.370558375634516</v>
      </c>
    </row>
    <row r="370" spans="1:9" x14ac:dyDescent="0.25">
      <c r="A370" s="4" t="s">
        <v>5</v>
      </c>
      <c r="B370" s="1">
        <v>0.84894400000000003</v>
      </c>
      <c r="C370" s="1">
        <v>0.84666799999999998</v>
      </c>
      <c r="D370" s="1">
        <f>IF(B370&gt;C370,B370-C370,C370-B370)</f>
        <v>2.2760000000000558E-3</v>
      </c>
      <c r="E370">
        <f>MINUTE(D370)</f>
        <v>3</v>
      </c>
      <c r="F370">
        <f>SECOND(D370)</f>
        <v>17</v>
      </c>
      <c r="G370">
        <f>ROUND(E370+F370/60,2)</f>
        <v>3.28</v>
      </c>
      <c r="H370">
        <f>60*E370+F370</f>
        <v>197</v>
      </c>
      <c r="I370" s="3">
        <f>5*(3600/H370)</f>
        <v>91.370558375634516</v>
      </c>
    </row>
    <row r="371" spans="1:9" x14ac:dyDescent="0.25">
      <c r="A371" s="4" t="s">
        <v>264</v>
      </c>
      <c r="B371" s="1">
        <v>0.54122899999999996</v>
      </c>
      <c r="C371" s="1">
        <v>0.54350900000000002</v>
      </c>
      <c r="D371" s="1">
        <f>IF(B371&gt;C371,B371-C371,C371-B371)</f>
        <v>2.2800000000000598E-3</v>
      </c>
      <c r="E371">
        <f>MINUTE(D371)</f>
        <v>3</v>
      </c>
      <c r="F371">
        <f>SECOND(D371)</f>
        <v>17</v>
      </c>
      <c r="G371">
        <f>ROUND(E371+F371/60,2)</f>
        <v>3.28</v>
      </c>
      <c r="H371">
        <f>60*E371+F371</f>
        <v>197</v>
      </c>
      <c r="I371" s="3">
        <f>5*(3600/H371)</f>
        <v>91.370558375634516</v>
      </c>
    </row>
    <row r="372" spans="1:9" x14ac:dyDescent="0.25">
      <c r="A372" s="4" t="s">
        <v>20</v>
      </c>
      <c r="B372" s="1">
        <v>0.127914</v>
      </c>
      <c r="C372" s="1">
        <v>0.12561800000000001</v>
      </c>
      <c r="D372" s="1">
        <f>IF(B372&gt;C372,B372-C372,C372-B372)</f>
        <v>2.2959999999999925E-3</v>
      </c>
      <c r="E372">
        <f>MINUTE(D372)</f>
        <v>3</v>
      </c>
      <c r="F372">
        <f>SECOND(D372)</f>
        <v>18</v>
      </c>
      <c r="G372">
        <f>ROUND(E372+F372/60,2)</f>
        <v>3.3</v>
      </c>
      <c r="H372">
        <f>60*E372+F372</f>
        <v>198</v>
      </c>
      <c r="I372" s="3">
        <f>5*(3600/H372)</f>
        <v>90.909090909090921</v>
      </c>
    </row>
    <row r="373" spans="1:9" x14ac:dyDescent="0.25">
      <c r="A373" s="4" t="s">
        <v>84</v>
      </c>
      <c r="B373" s="1">
        <v>0.20413700000000001</v>
      </c>
      <c r="C373" s="1">
        <v>0.20184099999999999</v>
      </c>
      <c r="D373" s="1">
        <f>IF(B373&gt;C373,B373-C373,C373-B373)</f>
        <v>2.2960000000000202E-3</v>
      </c>
      <c r="E373">
        <f>MINUTE(D373)</f>
        <v>3</v>
      </c>
      <c r="F373">
        <f>SECOND(D373)</f>
        <v>18</v>
      </c>
      <c r="G373">
        <f>ROUND(E373+F373/60,2)</f>
        <v>3.3</v>
      </c>
      <c r="H373">
        <f>60*E373+F373</f>
        <v>198</v>
      </c>
      <c r="I373" s="3">
        <f>5*(3600/H373)</f>
        <v>90.909090909090921</v>
      </c>
    </row>
    <row r="374" spans="1:9" x14ac:dyDescent="0.25">
      <c r="A374" s="4" t="s">
        <v>125</v>
      </c>
      <c r="B374" s="1">
        <v>0.56990099999999999</v>
      </c>
      <c r="C374" s="1">
        <v>0.57219699999999996</v>
      </c>
      <c r="D374" s="1">
        <f>IF(B374&gt;C374,B374-C374,C374-B374)</f>
        <v>2.2959999999999647E-3</v>
      </c>
      <c r="E374">
        <f>MINUTE(D374)</f>
        <v>3</v>
      </c>
      <c r="F374">
        <f>SECOND(D374)</f>
        <v>18</v>
      </c>
      <c r="G374">
        <f>ROUND(E374+F374/60,2)</f>
        <v>3.3</v>
      </c>
      <c r="H374">
        <f>60*E374+F374</f>
        <v>198</v>
      </c>
      <c r="I374" s="3">
        <f>5*(3600/H374)</f>
        <v>90.909090909090921</v>
      </c>
    </row>
    <row r="375" spans="1:9" x14ac:dyDescent="0.25">
      <c r="A375" s="4" t="s">
        <v>126</v>
      </c>
      <c r="B375" s="1">
        <v>0.80859300000000001</v>
      </c>
      <c r="C375" s="1">
        <v>0.80629700000000004</v>
      </c>
      <c r="D375" s="1">
        <f>IF(B375&gt;C375,B375-C375,C375-B375)</f>
        <v>2.2959999999999647E-3</v>
      </c>
      <c r="E375">
        <f>MINUTE(D375)</f>
        <v>3</v>
      </c>
      <c r="F375">
        <f>SECOND(D375)</f>
        <v>18</v>
      </c>
      <c r="G375">
        <f>ROUND(E375+F375/60,2)</f>
        <v>3.3</v>
      </c>
      <c r="H375">
        <f>60*E375+F375</f>
        <v>198</v>
      </c>
      <c r="I375" s="3">
        <f>5*(3600/H375)</f>
        <v>90.909090909090921</v>
      </c>
    </row>
    <row r="376" spans="1:9" x14ac:dyDescent="0.25">
      <c r="A376" s="4" t="s">
        <v>402</v>
      </c>
      <c r="B376" s="1">
        <v>0.54644499999999996</v>
      </c>
      <c r="C376" s="1">
        <v>0.544157</v>
      </c>
      <c r="D376" s="1">
        <f>IF(B376&gt;C376,B376-C376,C376-B376)</f>
        <v>2.2879999999999567E-3</v>
      </c>
      <c r="E376">
        <f>MINUTE(D376)</f>
        <v>3</v>
      </c>
      <c r="F376">
        <f>SECOND(D376)</f>
        <v>18</v>
      </c>
      <c r="G376">
        <f>ROUND(E376+F376/60,2)</f>
        <v>3.3</v>
      </c>
      <c r="H376">
        <f>60*E376+F376</f>
        <v>198</v>
      </c>
      <c r="I376" s="3">
        <f>5*(3600/H376)</f>
        <v>90.909090909090921</v>
      </c>
    </row>
    <row r="377" spans="1:9" x14ac:dyDescent="0.25">
      <c r="A377" s="4" t="s">
        <v>57</v>
      </c>
      <c r="B377" s="1">
        <v>0.95849399999999996</v>
      </c>
      <c r="C377" s="1">
        <v>0.96079800000000004</v>
      </c>
      <c r="D377" s="1">
        <f>IF(B377&gt;C377,B377-C377,C377-B377)</f>
        <v>2.3040000000000838E-3</v>
      </c>
      <c r="E377">
        <f>MINUTE(D377)</f>
        <v>3</v>
      </c>
      <c r="F377">
        <f>SECOND(D377)</f>
        <v>19</v>
      </c>
      <c r="G377">
        <f>ROUND(E377+F377/60,2)</f>
        <v>3.32</v>
      </c>
      <c r="H377">
        <f>60*E377+F377</f>
        <v>199</v>
      </c>
      <c r="I377" s="3">
        <f>5*(3600/H377)</f>
        <v>90.452261306532648</v>
      </c>
    </row>
    <row r="378" spans="1:9" x14ac:dyDescent="0.25">
      <c r="A378" s="4" t="s">
        <v>135</v>
      </c>
      <c r="B378" s="1">
        <v>0.41060799999999997</v>
      </c>
      <c r="C378" s="1">
        <v>0.412908</v>
      </c>
      <c r="D378" s="1">
        <f>IF(B378&gt;C378,B378-C378,C378-B378)</f>
        <v>2.3000000000000242E-3</v>
      </c>
      <c r="E378">
        <f>MINUTE(D378)</f>
        <v>3</v>
      </c>
      <c r="F378">
        <f>SECOND(D378)</f>
        <v>19</v>
      </c>
      <c r="G378">
        <f>ROUND(E378+F378/60,2)</f>
        <v>3.32</v>
      </c>
      <c r="H378">
        <f>60*E378+F378</f>
        <v>199</v>
      </c>
      <c r="I378" s="3">
        <f>5*(3600/H378)</f>
        <v>90.452261306532648</v>
      </c>
    </row>
    <row r="379" spans="1:9" x14ac:dyDescent="0.25">
      <c r="A379" s="4" t="s">
        <v>53</v>
      </c>
      <c r="B379" s="1">
        <v>0.36659199999999997</v>
      </c>
      <c r="C379" s="1">
        <v>0.368896</v>
      </c>
      <c r="D379" s="1">
        <f>IF(B379&gt;C379,B379-C379,C379-B379)</f>
        <v>2.3040000000000282E-3</v>
      </c>
      <c r="E379">
        <f>MINUTE(D379)</f>
        <v>3</v>
      </c>
      <c r="F379">
        <f>SECOND(D379)</f>
        <v>19</v>
      </c>
      <c r="G379">
        <f>ROUND(E379+F379/60,2)</f>
        <v>3.32</v>
      </c>
      <c r="H379">
        <f>60*E379+F379</f>
        <v>199</v>
      </c>
      <c r="I379" s="3">
        <f>5*(3600/H379)</f>
        <v>90.452261306532648</v>
      </c>
    </row>
    <row r="380" spans="1:9" x14ac:dyDescent="0.25">
      <c r="A380" s="4" t="s">
        <v>143</v>
      </c>
      <c r="B380" s="1">
        <v>0.34360400000000002</v>
      </c>
      <c r="C380" s="1">
        <v>0.345912</v>
      </c>
      <c r="D380" s="1">
        <f>IF(B380&gt;C380,B380-C380,C380-B380)</f>
        <v>2.3079999999999767E-3</v>
      </c>
      <c r="E380">
        <f>MINUTE(D380)</f>
        <v>3</v>
      </c>
      <c r="F380">
        <f>SECOND(D380)</f>
        <v>19</v>
      </c>
      <c r="G380">
        <f>ROUND(E380+F380/60,2)</f>
        <v>3.32</v>
      </c>
      <c r="H380">
        <f>60*E380+F380</f>
        <v>199</v>
      </c>
      <c r="I380" s="3">
        <f>5*(3600/H380)</f>
        <v>90.452261306532648</v>
      </c>
    </row>
    <row r="381" spans="1:9" x14ac:dyDescent="0.25">
      <c r="A381" s="4" t="s">
        <v>117</v>
      </c>
      <c r="B381" s="1">
        <v>0.57271000000000005</v>
      </c>
      <c r="C381" s="1">
        <v>0.57501000000000002</v>
      </c>
      <c r="D381" s="1">
        <f>IF(B381&gt;C381,B381-C381,C381-B381)</f>
        <v>2.2999999999999687E-3</v>
      </c>
      <c r="E381">
        <f>MINUTE(D381)</f>
        <v>3</v>
      </c>
      <c r="F381">
        <f>SECOND(D381)</f>
        <v>19</v>
      </c>
      <c r="G381">
        <f>ROUND(E381+F381/60,2)</f>
        <v>3.32</v>
      </c>
      <c r="H381">
        <f>60*E381+F381</f>
        <v>199</v>
      </c>
      <c r="I381" s="3">
        <f>5*(3600/H381)</f>
        <v>90.452261306532648</v>
      </c>
    </row>
    <row r="382" spans="1:9" x14ac:dyDescent="0.25">
      <c r="A382" s="4" t="s">
        <v>277</v>
      </c>
      <c r="B382" s="1">
        <v>0.344642</v>
      </c>
      <c r="C382" s="1">
        <v>0.34694999999999998</v>
      </c>
      <c r="D382" s="1">
        <f>IF(B382&gt;C382,B382-C382,C382-B382)</f>
        <v>2.3079999999999767E-3</v>
      </c>
      <c r="E382">
        <f>MINUTE(D382)</f>
        <v>3</v>
      </c>
      <c r="F382">
        <f>SECOND(D382)</f>
        <v>19</v>
      </c>
      <c r="G382">
        <f>ROUND(E382+F382/60,2)</f>
        <v>3.32</v>
      </c>
      <c r="H382">
        <f>60*E382+F382</f>
        <v>199</v>
      </c>
      <c r="I382" s="3">
        <f>5*(3600/H382)</f>
        <v>90.452261306532648</v>
      </c>
    </row>
    <row r="383" spans="1:9" x14ac:dyDescent="0.25">
      <c r="A383" s="4" t="s">
        <v>154</v>
      </c>
      <c r="B383" s="1">
        <v>0.44955299999999998</v>
      </c>
      <c r="C383" s="1">
        <v>0.447237</v>
      </c>
      <c r="D383" s="1">
        <f>IF(B383&gt;C383,B383-C383,C383-B383)</f>
        <v>2.3159999999999847E-3</v>
      </c>
      <c r="E383">
        <f>MINUTE(D383)</f>
        <v>3</v>
      </c>
      <c r="F383">
        <f>SECOND(D383)</f>
        <v>20</v>
      </c>
      <c r="G383">
        <f>ROUND(E383+F383/60,2)</f>
        <v>3.33</v>
      </c>
      <c r="H383">
        <f>60*E383+F383</f>
        <v>200</v>
      </c>
      <c r="I383" s="3">
        <f>5*(3600/H383)</f>
        <v>90</v>
      </c>
    </row>
    <row r="384" spans="1:9" x14ac:dyDescent="0.25">
      <c r="A384" s="4" t="s">
        <v>103</v>
      </c>
      <c r="B384" s="1">
        <v>0.92061899999999997</v>
      </c>
      <c r="C384" s="1">
        <v>0.92293099999999995</v>
      </c>
      <c r="D384" s="1">
        <f>IF(B384&gt;C384,B384-C384,C384-B384)</f>
        <v>2.3119999999999807E-3</v>
      </c>
      <c r="E384">
        <f>MINUTE(D384)</f>
        <v>3</v>
      </c>
      <c r="F384">
        <f>SECOND(D384)</f>
        <v>20</v>
      </c>
      <c r="G384">
        <f>ROUND(E384+F384/60,2)</f>
        <v>3.33</v>
      </c>
      <c r="H384">
        <f>60*E384+F384</f>
        <v>200</v>
      </c>
      <c r="I384" s="3">
        <f>5*(3600/H384)</f>
        <v>90</v>
      </c>
    </row>
    <row r="385" spans="1:9" x14ac:dyDescent="0.25">
      <c r="A385" s="4" t="s">
        <v>196</v>
      </c>
      <c r="B385" s="1">
        <v>0.73899499999999996</v>
      </c>
      <c r="C385" s="1">
        <v>0.74130700000000005</v>
      </c>
      <c r="D385" s="1">
        <f>IF(B385&gt;C385,B385-C385,C385-B385)</f>
        <v>2.3120000000000918E-3</v>
      </c>
      <c r="E385">
        <f>MINUTE(D385)</f>
        <v>3</v>
      </c>
      <c r="F385">
        <f>SECOND(D385)</f>
        <v>20</v>
      </c>
      <c r="G385">
        <f>ROUND(E385+F385/60,2)</f>
        <v>3.33</v>
      </c>
      <c r="H385">
        <f>60*E385+F385</f>
        <v>200</v>
      </c>
      <c r="I385" s="3">
        <f>5*(3600/H385)</f>
        <v>90</v>
      </c>
    </row>
    <row r="386" spans="1:9" x14ac:dyDescent="0.25">
      <c r="A386" s="4" t="s">
        <v>5</v>
      </c>
      <c r="B386" s="1">
        <v>0.27487200000000001</v>
      </c>
      <c r="C386" s="1">
        <v>0.27720400000000001</v>
      </c>
      <c r="D386" s="1">
        <f>IF(B386&gt;C386,B386-C386,C386-B386)</f>
        <v>2.3320000000000007E-3</v>
      </c>
      <c r="E386">
        <f>MINUTE(D386)</f>
        <v>3</v>
      </c>
      <c r="F386">
        <f>SECOND(D386)</f>
        <v>21</v>
      </c>
      <c r="G386">
        <f>ROUND(E386+F386/60,2)</f>
        <v>3.35</v>
      </c>
      <c r="H386">
        <f>60*E386+F386</f>
        <v>201</v>
      </c>
      <c r="I386" s="3">
        <f>5*(3600/H386)</f>
        <v>89.552238805970148</v>
      </c>
    </row>
    <row r="387" spans="1:9" x14ac:dyDescent="0.25">
      <c r="A387" s="4" t="s">
        <v>128</v>
      </c>
      <c r="B387" s="1">
        <v>0.63809400000000005</v>
      </c>
      <c r="C387" s="1">
        <v>0.63576600000000005</v>
      </c>
      <c r="D387" s="1">
        <f>IF(B387&gt;C387,B387-C387,C387-B387)</f>
        <v>2.3279999999999967E-3</v>
      </c>
      <c r="E387">
        <f>MINUTE(D387)</f>
        <v>3</v>
      </c>
      <c r="F387">
        <f>SECOND(D387)</f>
        <v>21</v>
      </c>
      <c r="G387">
        <f>ROUND(E387+F387/60,2)</f>
        <v>3.35</v>
      </c>
      <c r="H387">
        <f>60*E387+F387</f>
        <v>201</v>
      </c>
      <c r="I387" s="3">
        <f>5*(3600/H387)</f>
        <v>89.552238805970148</v>
      </c>
    </row>
    <row r="388" spans="1:9" x14ac:dyDescent="0.25">
      <c r="A388" s="4" t="s">
        <v>150</v>
      </c>
      <c r="B388" s="1">
        <v>0.52590599999999998</v>
      </c>
      <c r="C388" s="1">
        <v>0.52823399999999998</v>
      </c>
      <c r="D388" s="1">
        <f>IF(B388&gt;C388,B388-C388,C388-B388)</f>
        <v>2.3279999999999967E-3</v>
      </c>
      <c r="E388">
        <f>MINUTE(D388)</f>
        <v>3</v>
      </c>
      <c r="F388">
        <f>SECOND(D388)</f>
        <v>21</v>
      </c>
      <c r="G388">
        <f>ROUND(E388+F388/60,2)</f>
        <v>3.35</v>
      </c>
      <c r="H388">
        <f>60*E388+F388</f>
        <v>201</v>
      </c>
      <c r="I388" s="3">
        <f>5*(3600/H388)</f>
        <v>89.552238805970148</v>
      </c>
    </row>
    <row r="389" spans="1:9" x14ac:dyDescent="0.25">
      <c r="A389" s="4" t="s">
        <v>5</v>
      </c>
      <c r="B389" s="1">
        <v>0.72962700000000003</v>
      </c>
      <c r="C389" s="1">
        <v>0.72729500000000002</v>
      </c>
      <c r="D389" s="1">
        <f>IF(B389&gt;C389,B389-C389,C389-B389)</f>
        <v>2.3320000000000007E-3</v>
      </c>
      <c r="E389">
        <f>MINUTE(D389)</f>
        <v>3</v>
      </c>
      <c r="F389">
        <f>SECOND(D389)</f>
        <v>21</v>
      </c>
      <c r="G389">
        <f>ROUND(E389+F389/60,2)</f>
        <v>3.35</v>
      </c>
      <c r="H389">
        <f>60*E389+F389</f>
        <v>201</v>
      </c>
      <c r="I389" s="3">
        <f>5*(3600/H389)</f>
        <v>89.552238805970148</v>
      </c>
    </row>
    <row r="390" spans="1:9" x14ac:dyDescent="0.25">
      <c r="A390" s="4" t="s">
        <v>10</v>
      </c>
      <c r="B390" s="1">
        <v>3.9606000000000002E-2</v>
      </c>
      <c r="C390" s="1">
        <v>3.7274000000000002E-2</v>
      </c>
      <c r="D390" s="1">
        <f>IF(B390&gt;C390,B390-C390,C390-B390)</f>
        <v>2.3320000000000007E-3</v>
      </c>
      <c r="E390">
        <f>MINUTE(D390)</f>
        <v>3</v>
      </c>
      <c r="F390">
        <f>SECOND(D390)</f>
        <v>21</v>
      </c>
      <c r="G390">
        <f>ROUND(E390+F390/60,2)</f>
        <v>3.35</v>
      </c>
      <c r="H390">
        <f>60*E390+F390</f>
        <v>201</v>
      </c>
      <c r="I390" s="3">
        <f>5*(3600/H390)</f>
        <v>89.552238805970148</v>
      </c>
    </row>
    <row r="391" spans="1:9" x14ac:dyDescent="0.25">
      <c r="A391" s="4" t="s">
        <v>87</v>
      </c>
      <c r="B391" s="1">
        <v>7.9268000000000005E-2</v>
      </c>
      <c r="C391" s="1">
        <v>8.1591999999999998E-2</v>
      </c>
      <c r="D391" s="1">
        <f>IF(B391&gt;C391,B391-C391,C391-B391)</f>
        <v>2.3239999999999927E-3</v>
      </c>
      <c r="E391">
        <f>MINUTE(D391)</f>
        <v>3</v>
      </c>
      <c r="F391">
        <f>SECOND(D391)</f>
        <v>21</v>
      </c>
      <c r="G391">
        <f>ROUND(E391+F391/60,2)</f>
        <v>3.35</v>
      </c>
      <c r="H391">
        <f>60*E391+F391</f>
        <v>201</v>
      </c>
      <c r="I391" s="3">
        <f>5*(3600/H391)</f>
        <v>89.552238805970148</v>
      </c>
    </row>
    <row r="392" spans="1:9" x14ac:dyDescent="0.25">
      <c r="A392" s="4" t="s">
        <v>251</v>
      </c>
      <c r="B392" s="1">
        <v>5.1720000000000002E-2</v>
      </c>
      <c r="C392" s="1">
        <v>5.4052000000000003E-2</v>
      </c>
      <c r="D392" s="1">
        <f>IF(B392&gt;C392,B392-C392,C392-B392)</f>
        <v>2.3320000000000007E-3</v>
      </c>
      <c r="E392">
        <f>MINUTE(D392)</f>
        <v>3</v>
      </c>
      <c r="F392">
        <f>SECOND(D392)</f>
        <v>21</v>
      </c>
      <c r="G392">
        <f>ROUND(E392+F392/60,2)</f>
        <v>3.35</v>
      </c>
      <c r="H392">
        <f>60*E392+F392</f>
        <v>201</v>
      </c>
      <c r="I392" s="3">
        <f>5*(3600/H392)</f>
        <v>89.552238805970148</v>
      </c>
    </row>
    <row r="393" spans="1:9" x14ac:dyDescent="0.25">
      <c r="A393" s="4" t="s">
        <v>296</v>
      </c>
      <c r="B393" s="1">
        <v>0.48624499999999998</v>
      </c>
      <c r="C393" s="1">
        <v>0.48857299999999998</v>
      </c>
      <c r="D393" s="1">
        <f>IF(B393&gt;C393,B393-C393,C393-B393)</f>
        <v>2.3279999999999967E-3</v>
      </c>
      <c r="E393">
        <f>MINUTE(D393)</f>
        <v>3</v>
      </c>
      <c r="F393">
        <f>SECOND(D393)</f>
        <v>21</v>
      </c>
      <c r="G393">
        <f>ROUND(E393+F393/60,2)</f>
        <v>3.35</v>
      </c>
      <c r="H393">
        <f>60*E393+F393</f>
        <v>201</v>
      </c>
      <c r="I393" s="3">
        <f>5*(3600/H393)</f>
        <v>89.552238805970148</v>
      </c>
    </row>
    <row r="394" spans="1:9" x14ac:dyDescent="0.25">
      <c r="A394" s="4" t="s">
        <v>164</v>
      </c>
      <c r="B394" s="1">
        <v>0.27964899999999998</v>
      </c>
      <c r="C394" s="1">
        <v>0.28198499999999999</v>
      </c>
      <c r="D394" s="1">
        <f>IF(B394&gt;C394,B394-C394,C394-B394)</f>
        <v>2.3360000000000047E-3</v>
      </c>
      <c r="E394">
        <f>MINUTE(D394)</f>
        <v>3</v>
      </c>
      <c r="F394">
        <f>SECOND(D394)</f>
        <v>22</v>
      </c>
      <c r="G394">
        <f>ROUND(E394+F394/60,2)</f>
        <v>3.37</v>
      </c>
      <c r="H394">
        <f>60*E394+F394</f>
        <v>202</v>
      </c>
      <c r="I394" s="3">
        <f>5*(3600/H394)</f>
        <v>89.108910891089124</v>
      </c>
    </row>
    <row r="395" spans="1:9" x14ac:dyDescent="0.25">
      <c r="A395" s="4" t="s">
        <v>5</v>
      </c>
      <c r="B395" s="1">
        <v>0.28254000000000001</v>
      </c>
      <c r="C395" s="1">
        <v>0.28488400000000003</v>
      </c>
      <c r="D395" s="1">
        <f>IF(B395&gt;C395,B395-C395,C395-B395)</f>
        <v>2.3440000000000127E-3</v>
      </c>
      <c r="E395">
        <f>MINUTE(D395)</f>
        <v>3</v>
      </c>
      <c r="F395">
        <f>SECOND(D395)</f>
        <v>23</v>
      </c>
      <c r="G395">
        <f>ROUND(E395+F395/60,2)</f>
        <v>3.38</v>
      </c>
      <c r="H395">
        <f>60*E395+F395</f>
        <v>203</v>
      </c>
      <c r="I395" s="3">
        <f>5*(3600/H395)</f>
        <v>88.66995073891627</v>
      </c>
    </row>
    <row r="396" spans="1:9" x14ac:dyDescent="0.25">
      <c r="A396" s="4" t="s">
        <v>15</v>
      </c>
      <c r="B396" s="1">
        <v>0.52019700000000002</v>
      </c>
      <c r="C396" s="1">
        <v>0.52254900000000004</v>
      </c>
      <c r="D396" s="1">
        <f>IF(B396&gt;C396,B396-C396,C396-B396)</f>
        <v>2.3520000000000207E-3</v>
      </c>
      <c r="E396">
        <f>MINUTE(D396)</f>
        <v>3</v>
      </c>
      <c r="F396">
        <f>SECOND(D396)</f>
        <v>23</v>
      </c>
      <c r="G396">
        <f>ROUND(E396+F396/60,2)</f>
        <v>3.38</v>
      </c>
      <c r="H396">
        <f>60*E396+F396</f>
        <v>203</v>
      </c>
      <c r="I396" s="3">
        <f>5*(3600/H396)</f>
        <v>88.66995073891627</v>
      </c>
    </row>
    <row r="397" spans="1:9" x14ac:dyDescent="0.25">
      <c r="A397" s="4" t="s">
        <v>136</v>
      </c>
      <c r="B397" s="1">
        <v>0.41161799999999998</v>
      </c>
      <c r="C397" s="1">
        <v>0.40927400000000003</v>
      </c>
      <c r="D397" s="1">
        <f>IF(B397&gt;C397,B397-C397,C397-B397)</f>
        <v>2.3439999999999572E-3</v>
      </c>
      <c r="E397">
        <f>MINUTE(D397)</f>
        <v>3</v>
      </c>
      <c r="F397">
        <f>SECOND(D397)</f>
        <v>23</v>
      </c>
      <c r="G397">
        <f>ROUND(E397+F397/60,2)</f>
        <v>3.38</v>
      </c>
      <c r="H397">
        <f>60*E397+F397</f>
        <v>203</v>
      </c>
      <c r="I397" s="3">
        <f>5*(3600/H397)</f>
        <v>88.66995073891627</v>
      </c>
    </row>
    <row r="398" spans="1:9" x14ac:dyDescent="0.25">
      <c r="A398" s="4" t="s">
        <v>77</v>
      </c>
      <c r="B398" s="1">
        <v>2.6912999999999999E-2</v>
      </c>
      <c r="C398" s="1">
        <v>2.9256999999999998E-2</v>
      </c>
      <c r="D398" s="1">
        <f>IF(B398&gt;C398,B398-C398,C398-B398)</f>
        <v>2.3439999999999989E-3</v>
      </c>
      <c r="E398">
        <f>MINUTE(D398)</f>
        <v>3</v>
      </c>
      <c r="F398">
        <f>SECOND(D398)</f>
        <v>23</v>
      </c>
      <c r="G398">
        <f>ROUND(E398+F398/60,2)</f>
        <v>3.38</v>
      </c>
      <c r="H398">
        <f>60*E398+F398</f>
        <v>203</v>
      </c>
      <c r="I398" s="3">
        <f>5*(3600/H398)</f>
        <v>88.66995073891627</v>
      </c>
    </row>
    <row r="399" spans="1:9" x14ac:dyDescent="0.25">
      <c r="A399" s="4" t="s">
        <v>68</v>
      </c>
      <c r="B399" s="1">
        <v>0.40887499999999999</v>
      </c>
      <c r="C399" s="1">
        <v>0.40652700000000003</v>
      </c>
      <c r="D399" s="1">
        <f>IF(B399&gt;C399,B399-C399,C399-B399)</f>
        <v>2.3479999999999612E-3</v>
      </c>
      <c r="E399">
        <f>MINUTE(D399)</f>
        <v>3</v>
      </c>
      <c r="F399">
        <f>SECOND(D399)</f>
        <v>23</v>
      </c>
      <c r="G399">
        <f>ROUND(E399+F399/60,2)</f>
        <v>3.38</v>
      </c>
      <c r="H399">
        <f>60*E399+F399</f>
        <v>203</v>
      </c>
      <c r="I399" s="3">
        <f>5*(3600/H399)</f>
        <v>88.66995073891627</v>
      </c>
    </row>
    <row r="400" spans="1:9" x14ac:dyDescent="0.25">
      <c r="A400" s="4" t="s">
        <v>37</v>
      </c>
      <c r="B400" s="1">
        <v>0.923041</v>
      </c>
      <c r="C400" s="1">
        <v>0.92067699999999997</v>
      </c>
      <c r="D400" s="1">
        <f>IF(B400&gt;C400,B400-C400,C400-B400)</f>
        <v>2.3640000000000327E-3</v>
      </c>
      <c r="E400">
        <f>MINUTE(D400)</f>
        <v>3</v>
      </c>
      <c r="F400">
        <f>SECOND(D400)</f>
        <v>24</v>
      </c>
      <c r="G400">
        <f>ROUND(E400+F400/60,2)</f>
        <v>3.4</v>
      </c>
      <c r="H400">
        <f>60*E400+F400</f>
        <v>204</v>
      </c>
      <c r="I400" s="3">
        <f>5*(3600/H400)</f>
        <v>88.235294117647072</v>
      </c>
    </row>
    <row r="401" spans="1:9" x14ac:dyDescent="0.25">
      <c r="A401" s="4" t="s">
        <v>155</v>
      </c>
      <c r="B401" s="1">
        <v>0.73158400000000001</v>
      </c>
      <c r="C401" s="1">
        <v>0.72921199999999997</v>
      </c>
      <c r="D401" s="1">
        <f>IF(B401&gt;C401,B401-C401,C401-B401)</f>
        <v>2.3720000000000407E-3</v>
      </c>
      <c r="E401">
        <f>MINUTE(D401)</f>
        <v>3</v>
      </c>
      <c r="F401">
        <f>SECOND(D401)</f>
        <v>25</v>
      </c>
      <c r="G401">
        <f>ROUND(E401+F401/60,2)</f>
        <v>3.42</v>
      </c>
      <c r="H401">
        <f>60*E401+F401</f>
        <v>205</v>
      </c>
      <c r="I401" s="3">
        <f>5*(3600/H401)</f>
        <v>87.804878048780495</v>
      </c>
    </row>
    <row r="402" spans="1:9" x14ac:dyDescent="0.25">
      <c r="A402" s="4" t="s">
        <v>15</v>
      </c>
      <c r="B402" s="1">
        <v>5.6968999999999999E-2</v>
      </c>
      <c r="C402" s="1">
        <v>5.4597E-2</v>
      </c>
      <c r="D402" s="1">
        <f>IF(B402&gt;C402,B402-C402,C402-B402)</f>
        <v>2.3719999999999991E-3</v>
      </c>
      <c r="E402">
        <f>MINUTE(D402)</f>
        <v>3</v>
      </c>
      <c r="F402">
        <f>SECOND(D402)</f>
        <v>25</v>
      </c>
      <c r="G402">
        <f>ROUND(E402+F402/60,2)</f>
        <v>3.42</v>
      </c>
      <c r="H402">
        <f>60*E402+F402</f>
        <v>205</v>
      </c>
      <c r="I402" s="3">
        <f>5*(3600/H402)</f>
        <v>87.804878048780495</v>
      </c>
    </row>
    <row r="403" spans="1:9" x14ac:dyDescent="0.25">
      <c r="A403" s="4" t="s">
        <v>109</v>
      </c>
      <c r="B403" s="1">
        <v>0.114372</v>
      </c>
      <c r="C403" s="1">
        <v>0.116748</v>
      </c>
      <c r="D403" s="1">
        <f>IF(B403&gt;C403,B403-C403,C403-B403)</f>
        <v>2.3760000000000031E-3</v>
      </c>
      <c r="E403">
        <f>MINUTE(D403)</f>
        <v>3</v>
      </c>
      <c r="F403">
        <f>SECOND(D403)</f>
        <v>25</v>
      </c>
      <c r="G403">
        <f>ROUND(E403+F403/60,2)</f>
        <v>3.42</v>
      </c>
      <c r="H403">
        <f>60*E403+F403</f>
        <v>205</v>
      </c>
      <c r="I403" s="3">
        <f>5*(3600/H403)</f>
        <v>87.804878048780495</v>
      </c>
    </row>
    <row r="404" spans="1:9" x14ac:dyDescent="0.25">
      <c r="A404" s="4" t="s">
        <v>30</v>
      </c>
      <c r="B404" s="1">
        <v>7.5792999999999999E-2</v>
      </c>
      <c r="C404" s="1">
        <v>7.8176999999999996E-2</v>
      </c>
      <c r="D404" s="1">
        <f>IF(B404&gt;C404,B404-C404,C404-B404)</f>
        <v>2.3839999999999972E-3</v>
      </c>
      <c r="E404">
        <f>MINUTE(D404)</f>
        <v>3</v>
      </c>
      <c r="F404">
        <f>SECOND(D404)</f>
        <v>26</v>
      </c>
      <c r="G404">
        <f>ROUND(E404+F404/60,2)</f>
        <v>3.43</v>
      </c>
      <c r="H404">
        <f>60*E404+F404</f>
        <v>206</v>
      </c>
      <c r="I404" s="3">
        <f>5*(3600/H404)</f>
        <v>87.378640776699029</v>
      </c>
    </row>
    <row r="405" spans="1:9" x14ac:dyDescent="0.25">
      <c r="A405" s="4" t="s">
        <v>67</v>
      </c>
      <c r="B405" s="1">
        <v>0.58044700000000005</v>
      </c>
      <c r="C405" s="1">
        <v>0.58282699999999998</v>
      </c>
      <c r="D405" s="1">
        <f>IF(B405&gt;C405,B405-C405,C405-B405)</f>
        <v>2.3799999999999377E-3</v>
      </c>
      <c r="E405">
        <f>MINUTE(D405)</f>
        <v>3</v>
      </c>
      <c r="F405">
        <f>SECOND(D405)</f>
        <v>26</v>
      </c>
      <c r="G405">
        <f>ROUND(E405+F405/60,2)</f>
        <v>3.43</v>
      </c>
      <c r="H405">
        <f>60*E405+F405</f>
        <v>206</v>
      </c>
      <c r="I405" s="3">
        <f>5*(3600/H405)</f>
        <v>87.378640776699029</v>
      </c>
    </row>
    <row r="406" spans="1:9" x14ac:dyDescent="0.25">
      <c r="A406" s="4" t="s">
        <v>112</v>
      </c>
      <c r="B406" s="1">
        <v>0.95174099999999995</v>
      </c>
      <c r="C406" s="1">
        <v>0.94936100000000001</v>
      </c>
      <c r="D406" s="1">
        <f>IF(B406&gt;C406,B406-C406,C406-B406)</f>
        <v>2.3799999999999377E-3</v>
      </c>
      <c r="E406">
        <f>MINUTE(D406)</f>
        <v>3</v>
      </c>
      <c r="F406">
        <f>SECOND(D406)</f>
        <v>26</v>
      </c>
      <c r="G406">
        <f>ROUND(E406+F406/60,2)</f>
        <v>3.43</v>
      </c>
      <c r="H406">
        <f>60*E406+F406</f>
        <v>206</v>
      </c>
      <c r="I406" s="3">
        <f>5*(3600/H406)</f>
        <v>87.378640776699029</v>
      </c>
    </row>
    <row r="407" spans="1:9" x14ac:dyDescent="0.25">
      <c r="A407" s="4" t="s">
        <v>87</v>
      </c>
      <c r="B407" s="1">
        <v>0.56462000000000001</v>
      </c>
      <c r="C407" s="1">
        <v>0.56223999999999996</v>
      </c>
      <c r="D407" s="1">
        <f>IF(B407&gt;C407,B407-C407,C407-B407)</f>
        <v>2.3800000000000487E-3</v>
      </c>
      <c r="E407">
        <f>MINUTE(D407)</f>
        <v>3</v>
      </c>
      <c r="F407">
        <f>SECOND(D407)</f>
        <v>26</v>
      </c>
      <c r="G407">
        <f>ROUND(E407+F407/60,2)</f>
        <v>3.43</v>
      </c>
      <c r="H407">
        <f>60*E407+F407</f>
        <v>206</v>
      </c>
      <c r="I407" s="3">
        <f>5*(3600/H407)</f>
        <v>87.378640776699029</v>
      </c>
    </row>
    <row r="408" spans="1:9" x14ac:dyDescent="0.25">
      <c r="A408" s="4" t="s">
        <v>185</v>
      </c>
      <c r="B408" s="1">
        <v>0.79104600000000003</v>
      </c>
      <c r="C408" s="1">
        <v>0.78865799999999997</v>
      </c>
      <c r="D408" s="1">
        <f>IF(B408&gt;C408,B408-C408,C408-B408)</f>
        <v>2.3880000000000567E-3</v>
      </c>
      <c r="E408">
        <f>MINUTE(D408)</f>
        <v>3</v>
      </c>
      <c r="F408">
        <f>SECOND(D408)</f>
        <v>26</v>
      </c>
      <c r="G408">
        <f>ROUND(E408+F408/60,2)</f>
        <v>3.43</v>
      </c>
      <c r="H408">
        <f>60*E408+F408</f>
        <v>206</v>
      </c>
      <c r="I408" s="3">
        <f>5*(3600/H408)</f>
        <v>87.378640776699029</v>
      </c>
    </row>
    <row r="409" spans="1:9" x14ac:dyDescent="0.25">
      <c r="A409" s="4" t="s">
        <v>300</v>
      </c>
      <c r="B409" s="1">
        <v>0.21463699999999999</v>
      </c>
      <c r="C409" s="1">
        <v>0.21702099999999999</v>
      </c>
      <c r="D409" s="1">
        <f>IF(B409&gt;C409,B409-C409,C409-B409)</f>
        <v>2.3839999999999972E-3</v>
      </c>
      <c r="E409">
        <f>MINUTE(D409)</f>
        <v>3</v>
      </c>
      <c r="F409">
        <f>SECOND(D409)</f>
        <v>26</v>
      </c>
      <c r="G409">
        <f>ROUND(E409+F409/60,2)</f>
        <v>3.43</v>
      </c>
      <c r="H409">
        <f>60*E409+F409</f>
        <v>206</v>
      </c>
      <c r="I409" s="3">
        <f>5*(3600/H409)</f>
        <v>87.378640776699029</v>
      </c>
    </row>
    <row r="410" spans="1:9" x14ac:dyDescent="0.25">
      <c r="A410" s="8" t="s">
        <v>151</v>
      </c>
      <c r="B410" s="1">
        <v>0.72409299999999999</v>
      </c>
      <c r="C410" s="1">
        <v>0.72649300000000006</v>
      </c>
      <c r="D410" s="1">
        <f>IF(B410&gt;C410,B410-C410,C410-B410)</f>
        <v>2.4000000000000687E-3</v>
      </c>
      <c r="E410">
        <f>MINUTE(D410)</f>
        <v>3</v>
      </c>
      <c r="F410">
        <f>SECOND(D410)</f>
        <v>27</v>
      </c>
      <c r="G410">
        <f>ROUND(E410+F410/60,2)</f>
        <v>3.45</v>
      </c>
      <c r="H410">
        <f>60*E410+F410</f>
        <v>207</v>
      </c>
      <c r="I410" s="10">
        <f>5*(3600/H410)</f>
        <v>86.956521739130437</v>
      </c>
    </row>
    <row r="411" spans="1:9" x14ac:dyDescent="0.25">
      <c r="A411" s="4" t="s">
        <v>92</v>
      </c>
      <c r="B411" s="1">
        <v>0.312112</v>
      </c>
      <c r="C411" s="1">
        <v>0.31450800000000001</v>
      </c>
      <c r="D411" s="1">
        <f>IF(B411&gt;C411,B411-C411,C411-B411)</f>
        <v>2.3960000000000092E-3</v>
      </c>
      <c r="E411">
        <f>MINUTE(D411)</f>
        <v>3</v>
      </c>
      <c r="F411">
        <f>SECOND(D411)</f>
        <v>27</v>
      </c>
      <c r="G411">
        <f>ROUND(E411+F411/60,2)</f>
        <v>3.45</v>
      </c>
      <c r="H411">
        <f>60*E411+F411</f>
        <v>207</v>
      </c>
      <c r="I411" s="3">
        <f>5*(3600/H411)</f>
        <v>86.956521739130437</v>
      </c>
    </row>
    <row r="412" spans="1:9" x14ac:dyDescent="0.25">
      <c r="A412" s="4" t="s">
        <v>407</v>
      </c>
      <c r="B412" s="1">
        <v>0.80954700000000002</v>
      </c>
      <c r="C412" s="1">
        <v>0.81194299999999997</v>
      </c>
      <c r="D412" s="1">
        <f>IF(B412&gt;C412,B412-C412,C412-B412)</f>
        <v>2.3959999999999537E-3</v>
      </c>
      <c r="E412">
        <f>MINUTE(D412)</f>
        <v>3</v>
      </c>
      <c r="F412">
        <f>SECOND(D412)</f>
        <v>27</v>
      </c>
      <c r="G412">
        <f>ROUND(E412+F412/60,2)</f>
        <v>3.45</v>
      </c>
      <c r="H412">
        <f>60*E412+F412</f>
        <v>207</v>
      </c>
      <c r="I412" s="3">
        <f>5*(3600/H412)</f>
        <v>86.956521739130437</v>
      </c>
    </row>
    <row r="413" spans="1:9" x14ac:dyDescent="0.25">
      <c r="A413" s="4" t="s">
        <v>40</v>
      </c>
      <c r="B413" s="1">
        <v>0.89808900000000003</v>
      </c>
      <c r="C413" s="1">
        <v>0.900501</v>
      </c>
      <c r="D413" s="1">
        <f>IF(B413&gt;C413,B413-C413,C413-B413)</f>
        <v>2.4119999999999697E-3</v>
      </c>
      <c r="E413">
        <f>MINUTE(D413)</f>
        <v>3</v>
      </c>
      <c r="F413">
        <f>SECOND(D413)</f>
        <v>28</v>
      </c>
      <c r="G413">
        <f>ROUND(E413+F413/60,2)</f>
        <v>3.47</v>
      </c>
      <c r="H413">
        <f>60*E413+F413</f>
        <v>208</v>
      </c>
      <c r="I413" s="3">
        <f>5*(3600/H413)</f>
        <v>86.538461538461533</v>
      </c>
    </row>
    <row r="414" spans="1:9" x14ac:dyDescent="0.25">
      <c r="A414" s="4" t="s">
        <v>32</v>
      </c>
      <c r="B414" s="1">
        <v>0.62104000000000004</v>
      </c>
      <c r="C414" s="1">
        <v>0.62345200000000001</v>
      </c>
      <c r="D414" s="1">
        <f>IF(B414&gt;C414,B414-C414,C414-B414)</f>
        <v>2.4119999999999697E-3</v>
      </c>
      <c r="E414">
        <f>MINUTE(D414)</f>
        <v>3</v>
      </c>
      <c r="F414">
        <f>SECOND(D414)</f>
        <v>28</v>
      </c>
      <c r="G414">
        <f>ROUND(E414+F414/60,2)</f>
        <v>3.47</v>
      </c>
      <c r="H414">
        <f>60*E414+F414</f>
        <v>208</v>
      </c>
      <c r="I414" s="3">
        <f>5*(3600/H414)</f>
        <v>86.538461538461533</v>
      </c>
    </row>
    <row r="415" spans="1:9" x14ac:dyDescent="0.25">
      <c r="A415" s="4" t="s">
        <v>141</v>
      </c>
      <c r="B415" s="1">
        <v>0.85301000000000005</v>
      </c>
      <c r="C415" s="1">
        <v>0.85059799999999997</v>
      </c>
      <c r="D415" s="1">
        <f>IF(B415&gt;C415,B415-C415,C415-B415)</f>
        <v>2.4120000000000807E-3</v>
      </c>
      <c r="E415">
        <f>MINUTE(D415)</f>
        <v>3</v>
      </c>
      <c r="F415">
        <f>SECOND(D415)</f>
        <v>28</v>
      </c>
      <c r="G415">
        <f>ROUND(E415+F415/60,2)</f>
        <v>3.47</v>
      </c>
      <c r="H415">
        <f>60*E415+F415</f>
        <v>208</v>
      </c>
      <c r="I415" s="3">
        <f>5*(3600/H415)</f>
        <v>86.538461538461533</v>
      </c>
    </row>
    <row r="416" spans="1:9" x14ac:dyDescent="0.25">
      <c r="A416" s="4" t="s">
        <v>83</v>
      </c>
      <c r="B416" s="1">
        <v>6.6768999999999995E-2</v>
      </c>
      <c r="C416" s="1">
        <v>6.9177000000000002E-2</v>
      </c>
      <c r="D416" s="1">
        <f>IF(B416&gt;C416,B416-C416,C416-B416)</f>
        <v>2.4080000000000074E-3</v>
      </c>
      <c r="E416">
        <f>MINUTE(D416)</f>
        <v>3</v>
      </c>
      <c r="F416">
        <f>SECOND(D416)</f>
        <v>28</v>
      </c>
      <c r="G416">
        <f>ROUND(E416+F416/60,2)</f>
        <v>3.47</v>
      </c>
      <c r="H416">
        <f>60*E416+F416</f>
        <v>208</v>
      </c>
      <c r="I416" s="3">
        <f>5*(3600/H416)</f>
        <v>86.538461538461533</v>
      </c>
    </row>
    <row r="417" spans="1:9" x14ac:dyDescent="0.25">
      <c r="A417" s="4" t="s">
        <v>5</v>
      </c>
      <c r="B417" s="1">
        <v>0.95572699999999999</v>
      </c>
      <c r="C417" s="1">
        <v>0.95332300000000003</v>
      </c>
      <c r="D417" s="1">
        <f>IF(B417&gt;C417,B417-C417,C417-B417)</f>
        <v>2.4039999999999617E-3</v>
      </c>
      <c r="E417">
        <f>MINUTE(D417)</f>
        <v>3</v>
      </c>
      <c r="F417">
        <f>SECOND(D417)</f>
        <v>28</v>
      </c>
      <c r="G417">
        <f>ROUND(E417+F417/60,2)</f>
        <v>3.47</v>
      </c>
      <c r="H417">
        <f>60*E417+F417</f>
        <v>208</v>
      </c>
      <c r="I417" s="3">
        <f>5*(3600/H417)</f>
        <v>86.538461538461533</v>
      </c>
    </row>
    <row r="418" spans="1:9" x14ac:dyDescent="0.25">
      <c r="A418" s="4" t="s">
        <v>41</v>
      </c>
      <c r="B418" s="1">
        <v>0.78174299999999997</v>
      </c>
      <c r="C418" s="1">
        <v>0.78416300000000005</v>
      </c>
      <c r="D418" s="1">
        <f>IF(B418&gt;C418,B418-C418,C418-B418)</f>
        <v>2.4200000000000887E-3</v>
      </c>
      <c r="E418">
        <f>MINUTE(D418)</f>
        <v>3</v>
      </c>
      <c r="F418">
        <f>SECOND(D418)</f>
        <v>29</v>
      </c>
      <c r="G418">
        <f>ROUND(E418+F418/60,2)</f>
        <v>3.48</v>
      </c>
      <c r="H418">
        <f>60*E418+F418</f>
        <v>209</v>
      </c>
      <c r="I418" s="3">
        <f>5*(3600/H418)</f>
        <v>86.124401913875602</v>
      </c>
    </row>
    <row r="419" spans="1:9" x14ac:dyDescent="0.25">
      <c r="A419" s="4" t="s">
        <v>22</v>
      </c>
      <c r="B419" s="1">
        <v>0.96167100000000005</v>
      </c>
      <c r="C419" s="1">
        <v>0.95925099999999996</v>
      </c>
      <c r="D419" s="1">
        <f>IF(B419&gt;C419,B419-C419,C419-B419)</f>
        <v>2.4200000000000887E-3</v>
      </c>
      <c r="E419">
        <f>MINUTE(D419)</f>
        <v>3</v>
      </c>
      <c r="F419">
        <f>SECOND(D419)</f>
        <v>29</v>
      </c>
      <c r="G419">
        <f>ROUND(E419+F419/60,2)</f>
        <v>3.48</v>
      </c>
      <c r="H419">
        <f>60*E419+F419</f>
        <v>209</v>
      </c>
      <c r="I419" s="3">
        <f>5*(3600/H419)</f>
        <v>86.124401913875602</v>
      </c>
    </row>
    <row r="420" spans="1:9" x14ac:dyDescent="0.25">
      <c r="A420" s="4" t="s">
        <v>355</v>
      </c>
      <c r="B420" s="1">
        <v>0.59084800000000004</v>
      </c>
      <c r="C420" s="1">
        <v>0.59326400000000001</v>
      </c>
      <c r="D420" s="1">
        <f>IF(B420&gt;C420,B420-C420,C420-B420)</f>
        <v>2.4159999999999737E-3</v>
      </c>
      <c r="E420">
        <f>MINUTE(D420)</f>
        <v>3</v>
      </c>
      <c r="F420">
        <f>SECOND(D420)</f>
        <v>29</v>
      </c>
      <c r="G420">
        <f>ROUND(E420+F420/60,2)</f>
        <v>3.48</v>
      </c>
      <c r="H420">
        <f>60*E420+F420</f>
        <v>209</v>
      </c>
      <c r="I420" s="3">
        <f>5*(3600/H420)</f>
        <v>86.124401913875602</v>
      </c>
    </row>
    <row r="421" spans="1:9" x14ac:dyDescent="0.25">
      <c r="A421" s="4" t="s">
        <v>94</v>
      </c>
      <c r="B421" s="1">
        <v>0.94168399999999997</v>
      </c>
      <c r="C421" s="1">
        <v>0.94411999999999996</v>
      </c>
      <c r="D421" s="1">
        <f>IF(B421&gt;C421,B421-C421,C421-B421)</f>
        <v>2.4359999999999937E-3</v>
      </c>
      <c r="E421">
        <f>MINUTE(D421)</f>
        <v>3</v>
      </c>
      <c r="F421">
        <f>SECOND(D421)</f>
        <v>30</v>
      </c>
      <c r="G421">
        <f>ROUND(E421+F421/60,2)</f>
        <v>3.5</v>
      </c>
      <c r="H421">
        <f>60*E421+F421</f>
        <v>210</v>
      </c>
      <c r="I421" s="3">
        <f>5*(3600/H421)</f>
        <v>85.714285714285708</v>
      </c>
    </row>
    <row r="422" spans="1:9" x14ac:dyDescent="0.25">
      <c r="A422" s="4" t="s">
        <v>162</v>
      </c>
      <c r="B422" s="1">
        <v>0.43030000000000002</v>
      </c>
      <c r="C422" s="1">
        <v>0.432728</v>
      </c>
      <c r="D422" s="1">
        <f>IF(B422&gt;C422,B422-C422,C422-B422)</f>
        <v>2.4279999999999857E-3</v>
      </c>
      <c r="E422">
        <f>MINUTE(D422)</f>
        <v>3</v>
      </c>
      <c r="F422">
        <f>SECOND(D422)</f>
        <v>30</v>
      </c>
      <c r="G422">
        <f>ROUND(E422+F422/60,2)</f>
        <v>3.5</v>
      </c>
      <c r="H422">
        <f>60*E422+F422</f>
        <v>210</v>
      </c>
      <c r="I422" s="3">
        <f>5*(3600/H422)</f>
        <v>85.714285714285708</v>
      </c>
    </row>
    <row r="423" spans="1:9" x14ac:dyDescent="0.25">
      <c r="A423" s="4" t="s">
        <v>72</v>
      </c>
      <c r="B423" s="1">
        <v>0.44072499999999998</v>
      </c>
      <c r="C423" s="1">
        <v>0.43829299999999999</v>
      </c>
      <c r="D423" s="1">
        <f>IF(B423&gt;C423,B423-C423,C423-B423)</f>
        <v>2.4319999999999897E-3</v>
      </c>
      <c r="E423">
        <f>MINUTE(D423)</f>
        <v>3</v>
      </c>
      <c r="F423">
        <f>SECOND(D423)</f>
        <v>30</v>
      </c>
      <c r="G423">
        <f>ROUND(E423+F423/60,2)</f>
        <v>3.5</v>
      </c>
      <c r="H423">
        <f>60*E423+F423</f>
        <v>210</v>
      </c>
      <c r="I423" s="3">
        <f>5*(3600/H423)</f>
        <v>85.714285714285708</v>
      </c>
    </row>
    <row r="424" spans="1:9" x14ac:dyDescent="0.25">
      <c r="A424" s="4" t="s">
        <v>375</v>
      </c>
      <c r="B424" s="1">
        <v>0.41383199999999998</v>
      </c>
      <c r="C424" s="1">
        <v>0.41626000000000002</v>
      </c>
      <c r="D424" s="1">
        <f>IF(B424&gt;C424,B424-C424,C424-B424)</f>
        <v>2.4280000000000412E-3</v>
      </c>
      <c r="E424">
        <f>MINUTE(D424)</f>
        <v>3</v>
      </c>
      <c r="F424">
        <f>SECOND(D424)</f>
        <v>30</v>
      </c>
      <c r="G424">
        <f>ROUND(E424+F424/60,2)</f>
        <v>3.5</v>
      </c>
      <c r="H424">
        <f>60*E424+F424</f>
        <v>210</v>
      </c>
      <c r="I424" s="3">
        <f>5*(3600/H424)</f>
        <v>85.714285714285708</v>
      </c>
    </row>
    <row r="425" spans="1:9" x14ac:dyDescent="0.25">
      <c r="A425" s="4" t="s">
        <v>414</v>
      </c>
      <c r="B425" s="1">
        <v>0.58483099999999999</v>
      </c>
      <c r="C425" s="1">
        <v>0.58725899999999998</v>
      </c>
      <c r="D425" s="1">
        <f>IF(B425&gt;C425,B425-C425,C425-B425)</f>
        <v>2.4279999999999857E-3</v>
      </c>
      <c r="E425">
        <f>MINUTE(D425)</f>
        <v>3</v>
      </c>
      <c r="F425">
        <f>SECOND(D425)</f>
        <v>30</v>
      </c>
      <c r="G425">
        <f>ROUND(E425+F425/60,2)</f>
        <v>3.5</v>
      </c>
      <c r="H425">
        <f>60*E425+F425</f>
        <v>210</v>
      </c>
      <c r="I425" s="3">
        <f>5*(3600/H425)</f>
        <v>85.714285714285708</v>
      </c>
    </row>
    <row r="426" spans="1:9" x14ac:dyDescent="0.25">
      <c r="A426" s="4" t="s">
        <v>27</v>
      </c>
      <c r="B426" s="1">
        <v>0.126585</v>
      </c>
      <c r="C426" s="1">
        <v>0.129029</v>
      </c>
      <c r="D426" s="1">
        <f>IF(B426&gt;C426,B426-C426,C426-B426)</f>
        <v>2.4440000000000017E-3</v>
      </c>
      <c r="E426">
        <f>MINUTE(D426)</f>
        <v>3</v>
      </c>
      <c r="F426">
        <f>SECOND(D426)</f>
        <v>31</v>
      </c>
      <c r="G426">
        <f>ROUND(E426+F426/60,2)</f>
        <v>3.52</v>
      </c>
      <c r="H426">
        <f>60*E426+F426</f>
        <v>211</v>
      </c>
      <c r="I426" s="3">
        <f>5*(3600/H426)</f>
        <v>85.308056872037923</v>
      </c>
    </row>
    <row r="427" spans="1:9" x14ac:dyDescent="0.25">
      <c r="A427" s="4" t="s">
        <v>109</v>
      </c>
      <c r="B427" s="1">
        <v>0.78365300000000004</v>
      </c>
      <c r="C427" s="1">
        <v>0.78609700000000005</v>
      </c>
      <c r="D427" s="1">
        <f>IF(B427&gt;C427,B427-C427,C427-B427)</f>
        <v>2.4440000000000017E-3</v>
      </c>
      <c r="E427">
        <f>MINUTE(D427)</f>
        <v>3</v>
      </c>
      <c r="F427">
        <f>SECOND(D427)</f>
        <v>31</v>
      </c>
      <c r="G427">
        <f>ROUND(E427+F427/60,2)</f>
        <v>3.52</v>
      </c>
      <c r="H427">
        <f>60*E427+F427</f>
        <v>211</v>
      </c>
      <c r="I427" s="3">
        <f>5*(3600/H427)</f>
        <v>85.308056872037923</v>
      </c>
    </row>
    <row r="428" spans="1:9" x14ac:dyDescent="0.25">
      <c r="A428" s="4" t="s">
        <v>3</v>
      </c>
      <c r="B428" s="1">
        <v>9.0769000000000002E-2</v>
      </c>
      <c r="C428" s="1">
        <v>9.3213000000000004E-2</v>
      </c>
      <c r="D428" s="1">
        <f>IF(B428&gt;C428,B428-C428,C428-B428)</f>
        <v>2.4440000000000017E-3</v>
      </c>
      <c r="E428">
        <f>MINUTE(D428)</f>
        <v>3</v>
      </c>
      <c r="F428">
        <f>SECOND(D428)</f>
        <v>31</v>
      </c>
      <c r="G428">
        <f>ROUND(E428+F428/60,2)</f>
        <v>3.52</v>
      </c>
      <c r="H428">
        <f>60*E428+F428</f>
        <v>211</v>
      </c>
      <c r="I428" s="3">
        <f>5*(3600/H428)</f>
        <v>85.308056872037923</v>
      </c>
    </row>
    <row r="429" spans="1:9" x14ac:dyDescent="0.25">
      <c r="A429" s="4" t="s">
        <v>162</v>
      </c>
      <c r="B429" s="1">
        <v>0.245144</v>
      </c>
      <c r="C429" s="1">
        <v>0.242704</v>
      </c>
      <c r="D429" s="1">
        <f>IF(B429&gt;C429,B429-C429,C429-B429)</f>
        <v>2.4399999999999977E-3</v>
      </c>
      <c r="E429">
        <f>MINUTE(D429)</f>
        <v>3</v>
      </c>
      <c r="F429">
        <f>SECOND(D429)</f>
        <v>31</v>
      </c>
      <c r="G429">
        <f>ROUND(E429+F429/60,2)</f>
        <v>3.52</v>
      </c>
      <c r="H429">
        <f>60*E429+F429</f>
        <v>211</v>
      </c>
      <c r="I429" s="3">
        <f>5*(3600/H429)</f>
        <v>85.308056872037923</v>
      </c>
    </row>
    <row r="430" spans="1:9" x14ac:dyDescent="0.25">
      <c r="A430" s="4" t="s">
        <v>102</v>
      </c>
      <c r="B430" s="1">
        <v>0.66766999999999999</v>
      </c>
      <c r="C430" s="1">
        <v>0.67010999999999998</v>
      </c>
      <c r="D430" s="1">
        <f>IF(B430&gt;C430,B430-C430,C430-B430)</f>
        <v>2.4399999999999977E-3</v>
      </c>
      <c r="E430">
        <f>MINUTE(D430)</f>
        <v>3</v>
      </c>
      <c r="F430">
        <f>SECOND(D430)</f>
        <v>31</v>
      </c>
      <c r="G430">
        <f>ROUND(E430+F430/60,2)</f>
        <v>3.52</v>
      </c>
      <c r="H430">
        <f>60*E430+F430</f>
        <v>211</v>
      </c>
      <c r="I430" s="3">
        <f>5*(3600/H430)</f>
        <v>85.308056872037923</v>
      </c>
    </row>
    <row r="431" spans="1:9" x14ac:dyDescent="0.25">
      <c r="A431" s="4" t="s">
        <v>36</v>
      </c>
      <c r="B431" s="1">
        <v>0.89885000000000004</v>
      </c>
      <c r="C431" s="1">
        <v>0.90130200000000005</v>
      </c>
      <c r="D431" s="1">
        <f>IF(B431&gt;C431,B431-C431,C431-B431)</f>
        <v>2.4520000000000097E-3</v>
      </c>
      <c r="E431">
        <f>MINUTE(D431)</f>
        <v>3</v>
      </c>
      <c r="F431">
        <f>SECOND(D431)</f>
        <v>32</v>
      </c>
      <c r="G431">
        <f>ROUND(E431+F431/60,2)</f>
        <v>3.53</v>
      </c>
      <c r="H431">
        <f>60*E431+F431</f>
        <v>212</v>
      </c>
      <c r="I431" s="3">
        <f>5*(3600/H431)</f>
        <v>84.905660377358487</v>
      </c>
    </row>
    <row r="432" spans="1:9" x14ac:dyDescent="0.25">
      <c r="A432" s="4" t="s">
        <v>51</v>
      </c>
      <c r="B432" s="1">
        <v>0.61894099999999996</v>
      </c>
      <c r="C432" s="1">
        <v>0.61649299999999996</v>
      </c>
      <c r="D432" s="1">
        <f>IF(B432&gt;C432,B432-C432,C432-B432)</f>
        <v>2.4480000000000057E-3</v>
      </c>
      <c r="E432">
        <f>MINUTE(D432)</f>
        <v>3</v>
      </c>
      <c r="F432">
        <f>SECOND(D432)</f>
        <v>32</v>
      </c>
      <c r="G432">
        <f>ROUND(E432+F432/60,2)</f>
        <v>3.53</v>
      </c>
      <c r="H432">
        <f>60*E432+F432</f>
        <v>212</v>
      </c>
      <c r="I432" s="3">
        <f>5*(3600/H432)</f>
        <v>84.905660377358487</v>
      </c>
    </row>
    <row r="433" spans="1:9" x14ac:dyDescent="0.25">
      <c r="A433" s="4" t="s">
        <v>57</v>
      </c>
      <c r="B433" s="1">
        <v>7.8621999999999997E-2</v>
      </c>
      <c r="C433" s="1">
        <v>7.6165999999999998E-2</v>
      </c>
      <c r="D433" s="1">
        <f>IF(B433&gt;C433,B433-C433,C433-B433)</f>
        <v>2.4559999999999998E-3</v>
      </c>
      <c r="E433">
        <f>MINUTE(D433)</f>
        <v>3</v>
      </c>
      <c r="F433">
        <f>SECOND(D433)</f>
        <v>32</v>
      </c>
      <c r="G433">
        <f>ROUND(E433+F433/60,2)</f>
        <v>3.53</v>
      </c>
      <c r="H433">
        <f>60*E433+F433</f>
        <v>212</v>
      </c>
      <c r="I433" s="3">
        <f>5*(3600/H433)</f>
        <v>84.905660377358487</v>
      </c>
    </row>
    <row r="434" spans="1:9" x14ac:dyDescent="0.25">
      <c r="A434" s="4" t="s">
        <v>75</v>
      </c>
      <c r="B434" s="1">
        <v>0.400312</v>
      </c>
      <c r="C434" s="1">
        <v>0.40276000000000001</v>
      </c>
      <c r="D434" s="1">
        <f>IF(B434&gt;C434,B434-C434,C434-B434)</f>
        <v>2.4480000000000057E-3</v>
      </c>
      <c r="E434">
        <f>MINUTE(D434)</f>
        <v>3</v>
      </c>
      <c r="F434">
        <f>SECOND(D434)</f>
        <v>32</v>
      </c>
      <c r="G434">
        <f>ROUND(E434+F434/60,2)</f>
        <v>3.53</v>
      </c>
      <c r="H434">
        <f>60*E434+F434</f>
        <v>212</v>
      </c>
      <c r="I434" s="3">
        <f>5*(3600/H434)</f>
        <v>84.905660377358487</v>
      </c>
    </row>
    <row r="435" spans="1:9" x14ac:dyDescent="0.25">
      <c r="A435" s="4" t="s">
        <v>99</v>
      </c>
      <c r="B435" s="1">
        <v>0.44529800000000003</v>
      </c>
      <c r="C435" s="1">
        <v>0.44776199999999999</v>
      </c>
      <c r="D435" s="1">
        <f>IF(B435&gt;C435,B435-C435,C435-B435)</f>
        <v>2.4639999999999662E-3</v>
      </c>
      <c r="E435">
        <f>MINUTE(D435)</f>
        <v>3</v>
      </c>
      <c r="F435">
        <f>SECOND(D435)</f>
        <v>33</v>
      </c>
      <c r="G435">
        <f>ROUND(E435+F435/60,2)</f>
        <v>3.55</v>
      </c>
      <c r="H435">
        <f>60*E435+F435</f>
        <v>213</v>
      </c>
      <c r="I435" s="3">
        <f>5*(3600/H435)</f>
        <v>84.507042253521121</v>
      </c>
    </row>
    <row r="436" spans="1:9" x14ac:dyDescent="0.25">
      <c r="A436" s="4" t="s">
        <v>117</v>
      </c>
      <c r="B436" s="1">
        <v>8.9881000000000003E-2</v>
      </c>
      <c r="C436" s="1">
        <v>9.2344999999999997E-2</v>
      </c>
      <c r="D436" s="1">
        <f>IF(B436&gt;C436,B436-C436,C436-B436)</f>
        <v>2.463999999999994E-3</v>
      </c>
      <c r="E436">
        <f>MINUTE(D436)</f>
        <v>3</v>
      </c>
      <c r="F436">
        <f>SECOND(D436)</f>
        <v>33</v>
      </c>
      <c r="G436">
        <f>ROUND(E436+F436/60,2)</f>
        <v>3.55</v>
      </c>
      <c r="H436">
        <f>60*E436+F436</f>
        <v>213</v>
      </c>
      <c r="I436" s="3">
        <f>5*(3600/H436)</f>
        <v>84.507042253521121</v>
      </c>
    </row>
    <row r="437" spans="1:9" x14ac:dyDescent="0.25">
      <c r="A437" s="4" t="s">
        <v>109</v>
      </c>
      <c r="B437" s="1">
        <v>0.74424900000000005</v>
      </c>
      <c r="C437" s="1">
        <v>0.74671699999999996</v>
      </c>
      <c r="D437" s="1">
        <f>IF(B437&gt;C437,B437-C437,C437-B437)</f>
        <v>2.4679999999999147E-3</v>
      </c>
      <c r="E437">
        <f>MINUTE(D437)</f>
        <v>3</v>
      </c>
      <c r="F437">
        <f>SECOND(D437)</f>
        <v>33</v>
      </c>
      <c r="G437">
        <f>ROUND(E437+F437/60,2)</f>
        <v>3.55</v>
      </c>
      <c r="H437">
        <f>60*E437+F437</f>
        <v>213</v>
      </c>
      <c r="I437" s="3">
        <f>5*(3600/H437)</f>
        <v>84.507042253521121</v>
      </c>
    </row>
    <row r="438" spans="1:9" x14ac:dyDescent="0.25">
      <c r="A438" s="4" t="s">
        <v>153</v>
      </c>
      <c r="B438" s="1">
        <v>0.36479400000000001</v>
      </c>
      <c r="C438" s="1">
        <v>0.36725799999999997</v>
      </c>
      <c r="D438" s="1">
        <f>IF(B438&gt;C438,B438-C438,C438-B438)</f>
        <v>2.4639999999999662E-3</v>
      </c>
      <c r="E438">
        <f>MINUTE(D438)</f>
        <v>3</v>
      </c>
      <c r="F438">
        <f>SECOND(D438)</f>
        <v>33</v>
      </c>
      <c r="G438">
        <f>ROUND(E438+F438/60,2)</f>
        <v>3.55</v>
      </c>
      <c r="H438">
        <f>60*E438+F438</f>
        <v>213</v>
      </c>
      <c r="I438" s="3">
        <f>5*(3600/H438)</f>
        <v>84.507042253521121</v>
      </c>
    </row>
    <row r="439" spans="1:9" x14ac:dyDescent="0.25">
      <c r="A439" s="4" t="s">
        <v>213</v>
      </c>
      <c r="B439" s="1">
        <v>0.88904300000000003</v>
      </c>
      <c r="C439" s="1">
        <v>0.88658300000000001</v>
      </c>
      <c r="D439" s="1">
        <f>IF(B439&gt;C439,B439-C439,C439-B439)</f>
        <v>2.4600000000000177E-3</v>
      </c>
      <c r="E439">
        <f>MINUTE(D439)</f>
        <v>3</v>
      </c>
      <c r="F439">
        <f>SECOND(D439)</f>
        <v>33</v>
      </c>
      <c r="G439">
        <f>ROUND(E439+F439/60,2)</f>
        <v>3.55</v>
      </c>
      <c r="H439">
        <f>60*E439+F439</f>
        <v>213</v>
      </c>
      <c r="I439" s="3">
        <f>5*(3600/H439)</f>
        <v>84.507042253521121</v>
      </c>
    </row>
    <row r="440" spans="1:9" x14ac:dyDescent="0.25">
      <c r="A440" s="4" t="s">
        <v>309</v>
      </c>
      <c r="B440" s="1">
        <v>5.6481999999999997E-2</v>
      </c>
      <c r="C440" s="1">
        <v>5.8942000000000001E-2</v>
      </c>
      <c r="D440" s="1">
        <f>IF(B440&gt;C440,B440-C440,C440-B440)</f>
        <v>2.4600000000000039E-3</v>
      </c>
      <c r="E440">
        <f>MINUTE(D440)</f>
        <v>3</v>
      </c>
      <c r="F440">
        <f>SECOND(D440)</f>
        <v>33</v>
      </c>
      <c r="G440">
        <f>ROUND(E440+F440/60,2)</f>
        <v>3.55</v>
      </c>
      <c r="H440">
        <f>60*E440+F440</f>
        <v>213</v>
      </c>
      <c r="I440" s="3">
        <f>5*(3600/H440)</f>
        <v>84.507042253521121</v>
      </c>
    </row>
    <row r="441" spans="1:9" x14ac:dyDescent="0.25">
      <c r="A441" s="4" t="s">
        <v>109</v>
      </c>
      <c r="B441" s="1">
        <v>0.73365199999999997</v>
      </c>
      <c r="C441" s="1">
        <v>0.73118000000000005</v>
      </c>
      <c r="D441" s="1">
        <f>IF(B441&gt;C441,B441-C441,C441-B441)</f>
        <v>2.4719999999999187E-3</v>
      </c>
      <c r="E441">
        <f>MINUTE(D441)</f>
        <v>3</v>
      </c>
      <c r="F441">
        <f>SECOND(D441)</f>
        <v>34</v>
      </c>
      <c r="G441">
        <f>ROUND(E441+F441/60,2)</f>
        <v>3.57</v>
      </c>
      <c r="H441">
        <f>60*E441+F441</f>
        <v>214</v>
      </c>
      <c r="I441" s="3">
        <f>5*(3600/H441)</f>
        <v>84.112149532710276</v>
      </c>
    </row>
    <row r="442" spans="1:9" x14ac:dyDescent="0.25">
      <c r="A442" s="4" t="s">
        <v>328</v>
      </c>
      <c r="B442" s="1">
        <v>0.49057000000000001</v>
      </c>
      <c r="C442" s="1">
        <v>0.49304599999999998</v>
      </c>
      <c r="D442" s="1">
        <f>IF(B442&gt;C442,B442-C442,C442-B442)</f>
        <v>2.4759999999999782E-3</v>
      </c>
      <c r="E442">
        <f>MINUTE(D442)</f>
        <v>3</v>
      </c>
      <c r="F442">
        <f>SECOND(D442)</f>
        <v>34</v>
      </c>
      <c r="G442">
        <f>ROUND(E442+F442/60,2)</f>
        <v>3.57</v>
      </c>
      <c r="H442">
        <f>60*E442+F442</f>
        <v>214</v>
      </c>
      <c r="I442" s="3">
        <f>5*(3600/H442)</f>
        <v>84.112149532710276</v>
      </c>
    </row>
    <row r="443" spans="1:9" x14ac:dyDescent="0.25">
      <c r="A443" s="4" t="s">
        <v>361</v>
      </c>
      <c r="B443" s="1">
        <v>0.45169599999999999</v>
      </c>
      <c r="C443" s="1">
        <v>0.45416800000000002</v>
      </c>
      <c r="D443" s="1">
        <f>IF(B443&gt;C443,B443-C443,C443-B443)</f>
        <v>2.4720000000000297E-3</v>
      </c>
      <c r="E443">
        <f>MINUTE(D443)</f>
        <v>3</v>
      </c>
      <c r="F443">
        <f>SECOND(D443)</f>
        <v>34</v>
      </c>
      <c r="G443">
        <f>ROUND(E443+F443/60,2)</f>
        <v>3.57</v>
      </c>
      <c r="H443">
        <f>60*E443+F443</f>
        <v>214</v>
      </c>
      <c r="I443" s="3">
        <f>5*(3600/H443)</f>
        <v>84.112149532710276</v>
      </c>
    </row>
    <row r="444" spans="1:9" x14ac:dyDescent="0.25">
      <c r="A444" s="4" t="s">
        <v>391</v>
      </c>
      <c r="B444" s="1">
        <v>8.7454000000000004E-2</v>
      </c>
      <c r="C444" s="1">
        <v>8.9934E-2</v>
      </c>
      <c r="D444" s="1">
        <f>IF(B444&gt;C444,B444-C444,C444-B444)</f>
        <v>2.4799999999999961E-3</v>
      </c>
      <c r="E444">
        <f>MINUTE(D444)</f>
        <v>3</v>
      </c>
      <c r="F444">
        <f>SECOND(D444)</f>
        <v>34</v>
      </c>
      <c r="G444">
        <f>ROUND(E444+F444/60,2)</f>
        <v>3.57</v>
      </c>
      <c r="H444">
        <f>60*E444+F444</f>
        <v>214</v>
      </c>
      <c r="I444" s="3">
        <f>5*(3600/H444)</f>
        <v>84.112149532710276</v>
      </c>
    </row>
    <row r="445" spans="1:9" x14ac:dyDescent="0.25">
      <c r="A445" s="4" t="s">
        <v>92</v>
      </c>
      <c r="B445" s="1">
        <v>0.78457500000000002</v>
      </c>
      <c r="C445" s="1">
        <v>0.78705899999999995</v>
      </c>
      <c r="D445" s="1">
        <f>IF(B445&gt;C445,B445-C445,C445-B445)</f>
        <v>2.4839999999999307E-3</v>
      </c>
      <c r="E445">
        <f>MINUTE(D445)</f>
        <v>3</v>
      </c>
      <c r="F445">
        <f>SECOND(D445)</f>
        <v>35</v>
      </c>
      <c r="G445">
        <f>ROUND(E445+F445/60,2)</f>
        <v>3.58</v>
      </c>
      <c r="H445">
        <f>60*E445+F445</f>
        <v>215</v>
      </c>
      <c r="I445" s="3">
        <f>5*(3600/H445)</f>
        <v>83.720930232558146</v>
      </c>
    </row>
    <row r="446" spans="1:9" x14ac:dyDescent="0.25">
      <c r="A446" s="4" t="s">
        <v>393</v>
      </c>
      <c r="B446" s="1">
        <v>0.93926699999999996</v>
      </c>
      <c r="C446" s="1">
        <v>0.941751</v>
      </c>
      <c r="D446" s="1">
        <f>IF(B446&gt;C446,B446-C446,C446-B446)</f>
        <v>2.4840000000000417E-3</v>
      </c>
      <c r="E446">
        <f>MINUTE(D446)</f>
        <v>3</v>
      </c>
      <c r="F446">
        <f>SECOND(D446)</f>
        <v>35</v>
      </c>
      <c r="G446">
        <f>ROUND(E446+F446/60,2)</f>
        <v>3.58</v>
      </c>
      <c r="H446">
        <f>60*E446+F446</f>
        <v>215</v>
      </c>
      <c r="I446" s="3">
        <f>5*(3600/H446)</f>
        <v>83.720930232558146</v>
      </c>
    </row>
    <row r="447" spans="1:9" x14ac:dyDescent="0.25">
      <c r="A447" s="4" t="s">
        <v>37</v>
      </c>
      <c r="B447" s="1">
        <v>0.59133800000000003</v>
      </c>
      <c r="C447" s="1">
        <v>0.59383399999999997</v>
      </c>
      <c r="D447" s="1">
        <f>IF(B447&gt;C447,B447-C447,C447-B447)</f>
        <v>2.4959999999999427E-3</v>
      </c>
      <c r="E447">
        <f>MINUTE(D447)</f>
        <v>3</v>
      </c>
      <c r="F447">
        <f>SECOND(D447)</f>
        <v>36</v>
      </c>
      <c r="G447">
        <f>ROUND(E447+F447/60,2)</f>
        <v>3.6</v>
      </c>
      <c r="H447">
        <f>60*E447+F447</f>
        <v>216</v>
      </c>
      <c r="I447" s="3">
        <f>5*(3600/H447)</f>
        <v>83.333333333333343</v>
      </c>
    </row>
    <row r="448" spans="1:9" x14ac:dyDescent="0.25">
      <c r="A448" s="4" t="s">
        <v>110</v>
      </c>
      <c r="B448" s="1">
        <v>0.56430000000000002</v>
      </c>
      <c r="C448" s="1">
        <v>0.56179999999999997</v>
      </c>
      <c r="D448" s="1">
        <f>IF(B448&gt;C448,B448-C448,C448-B448)</f>
        <v>2.5000000000000577E-3</v>
      </c>
      <c r="E448">
        <f>MINUTE(D448)</f>
        <v>3</v>
      </c>
      <c r="F448">
        <f>SECOND(D448)</f>
        <v>36</v>
      </c>
      <c r="G448">
        <f>ROUND(E448+F448/60,2)</f>
        <v>3.6</v>
      </c>
      <c r="H448">
        <f>60*E448+F448</f>
        <v>216</v>
      </c>
      <c r="I448" s="3">
        <f>5*(3600/H448)</f>
        <v>83.333333333333343</v>
      </c>
    </row>
    <row r="449" spans="1:9" x14ac:dyDescent="0.25">
      <c r="A449" s="4" t="s">
        <v>149</v>
      </c>
      <c r="B449" s="1">
        <v>0.13003200000000001</v>
      </c>
      <c r="C449" s="1">
        <v>0.13252800000000001</v>
      </c>
      <c r="D449" s="1">
        <f>IF(B449&gt;C449,B449-C449,C449-B449)</f>
        <v>2.4959999999999982E-3</v>
      </c>
      <c r="E449">
        <f>MINUTE(D449)</f>
        <v>3</v>
      </c>
      <c r="F449">
        <f>SECOND(D449)</f>
        <v>36</v>
      </c>
      <c r="G449">
        <f>ROUND(E449+F449/60,2)</f>
        <v>3.6</v>
      </c>
      <c r="H449">
        <f>60*E449+F449</f>
        <v>216</v>
      </c>
      <c r="I449" s="3">
        <f>5*(3600/H449)</f>
        <v>83.333333333333343</v>
      </c>
    </row>
    <row r="450" spans="1:9" x14ac:dyDescent="0.25">
      <c r="A450" s="4" t="s">
        <v>109</v>
      </c>
      <c r="B450" s="1">
        <v>0.19941800000000001</v>
      </c>
      <c r="C450" s="1">
        <v>0.20191799999999999</v>
      </c>
      <c r="D450" s="1">
        <f>IF(B450&gt;C450,B450-C450,C450-B450)</f>
        <v>2.4999999999999745E-3</v>
      </c>
      <c r="E450">
        <f>MINUTE(D450)</f>
        <v>3</v>
      </c>
      <c r="F450">
        <f>SECOND(D450)</f>
        <v>36</v>
      </c>
      <c r="G450">
        <f>ROUND(E450+F450/60,2)</f>
        <v>3.6</v>
      </c>
      <c r="H450">
        <f>60*E450+F450</f>
        <v>216</v>
      </c>
      <c r="I450" s="3">
        <f>5*(3600/H450)</f>
        <v>83.333333333333343</v>
      </c>
    </row>
    <row r="451" spans="1:9" x14ac:dyDescent="0.25">
      <c r="A451" s="4" t="s">
        <v>112</v>
      </c>
      <c r="B451" s="1">
        <v>0.82941900000000002</v>
      </c>
      <c r="C451" s="1">
        <v>0.82691499999999996</v>
      </c>
      <c r="D451" s="1">
        <f>IF(B451&gt;C451,B451-C451,C451-B451)</f>
        <v>2.5040000000000617E-3</v>
      </c>
      <c r="E451">
        <f>MINUTE(D451)</f>
        <v>3</v>
      </c>
      <c r="F451">
        <f>SECOND(D451)</f>
        <v>36</v>
      </c>
      <c r="G451">
        <f>ROUND(E451+F451/60,2)</f>
        <v>3.6</v>
      </c>
      <c r="H451">
        <f>60*E451+F451</f>
        <v>216</v>
      </c>
      <c r="I451" s="3">
        <f>5*(3600/H451)</f>
        <v>83.333333333333343</v>
      </c>
    </row>
    <row r="452" spans="1:9" x14ac:dyDescent="0.25">
      <c r="A452" s="4" t="s">
        <v>148</v>
      </c>
      <c r="B452" s="1">
        <v>0.84191199999999999</v>
      </c>
      <c r="C452" s="1">
        <v>0.84441600000000006</v>
      </c>
      <c r="D452" s="1">
        <f>IF(B452&gt;C452,B452-C452,C452-B452)</f>
        <v>2.5040000000000617E-3</v>
      </c>
      <c r="E452">
        <f>MINUTE(D452)</f>
        <v>3</v>
      </c>
      <c r="F452">
        <f>SECOND(D452)</f>
        <v>36</v>
      </c>
      <c r="G452">
        <f>ROUND(E452+F452/60,2)</f>
        <v>3.6</v>
      </c>
      <c r="H452">
        <f>60*E452+F452</f>
        <v>216</v>
      </c>
      <c r="I452" s="3">
        <f>5*(3600/H452)</f>
        <v>83.333333333333343</v>
      </c>
    </row>
    <row r="453" spans="1:9" x14ac:dyDescent="0.25">
      <c r="A453" s="4" t="s">
        <v>162</v>
      </c>
      <c r="B453" s="1">
        <v>0.576519</v>
      </c>
      <c r="C453" s="1">
        <v>0.57400300000000004</v>
      </c>
      <c r="D453" s="1">
        <f>IF(B453&gt;C453,B453-C453,C453-B453)</f>
        <v>2.5159999999999627E-3</v>
      </c>
      <c r="E453">
        <f>MINUTE(D453)</f>
        <v>3</v>
      </c>
      <c r="F453">
        <f>SECOND(D453)</f>
        <v>37</v>
      </c>
      <c r="G453">
        <f>ROUND(E453+F453/60,2)</f>
        <v>3.62</v>
      </c>
      <c r="H453">
        <f>60*E453+F453</f>
        <v>217</v>
      </c>
      <c r="I453" s="3">
        <f>5*(3600/H453)</f>
        <v>82.94930875576037</v>
      </c>
    </row>
    <row r="454" spans="1:9" x14ac:dyDescent="0.25">
      <c r="A454" s="4" t="s">
        <v>27</v>
      </c>
      <c r="B454" s="1">
        <v>0.45537100000000003</v>
      </c>
      <c r="C454" s="1">
        <v>0.45788699999999999</v>
      </c>
      <c r="D454" s="1">
        <f>IF(B454&gt;C454,B454-C454,C454-B454)</f>
        <v>2.5159999999999627E-3</v>
      </c>
      <c r="E454">
        <f>MINUTE(D454)</f>
        <v>3</v>
      </c>
      <c r="F454">
        <f>SECOND(D454)</f>
        <v>37</v>
      </c>
      <c r="G454">
        <f>ROUND(E454+F454/60,2)</f>
        <v>3.62</v>
      </c>
      <c r="H454">
        <f>60*E454+F454</f>
        <v>217</v>
      </c>
      <c r="I454" s="3">
        <f>5*(3600/H454)</f>
        <v>82.94930875576037</v>
      </c>
    </row>
    <row r="455" spans="1:9" x14ac:dyDescent="0.25">
      <c r="A455" s="4" t="s">
        <v>389</v>
      </c>
      <c r="B455" s="1">
        <v>0.62056900000000004</v>
      </c>
      <c r="C455" s="1">
        <v>0.623081</v>
      </c>
      <c r="D455" s="1">
        <f>IF(B455&gt;C455,B455-C455,C455-B455)</f>
        <v>2.5119999999999587E-3</v>
      </c>
      <c r="E455">
        <f>MINUTE(D455)</f>
        <v>3</v>
      </c>
      <c r="F455">
        <f>SECOND(D455)</f>
        <v>37</v>
      </c>
      <c r="G455">
        <f>ROUND(E455+F455/60,2)</f>
        <v>3.62</v>
      </c>
      <c r="H455">
        <f>60*E455+F455</f>
        <v>217</v>
      </c>
      <c r="I455" s="3">
        <f>5*(3600/H455)</f>
        <v>82.94930875576037</v>
      </c>
    </row>
    <row r="456" spans="1:9" x14ac:dyDescent="0.25">
      <c r="A456" s="4" t="s">
        <v>162</v>
      </c>
      <c r="B456" s="1">
        <v>0.14232400000000001</v>
      </c>
      <c r="C456" s="1">
        <v>0.144844</v>
      </c>
      <c r="D456" s="1">
        <f>IF(B456&gt;C456,B456-C456,C456-B456)</f>
        <v>2.5199999999999945E-3</v>
      </c>
      <c r="E456">
        <f>MINUTE(D456)</f>
        <v>3</v>
      </c>
      <c r="F456">
        <f>SECOND(D456)</f>
        <v>38</v>
      </c>
      <c r="G456">
        <f>ROUND(E456+F456/60,2)</f>
        <v>3.63</v>
      </c>
      <c r="H456">
        <f>60*E456+F456</f>
        <v>218</v>
      </c>
      <c r="I456" s="3">
        <f>5*(3600/H456)</f>
        <v>82.568807339449535</v>
      </c>
    </row>
    <row r="457" spans="1:9" x14ac:dyDescent="0.25">
      <c r="A457" s="4" t="s">
        <v>135</v>
      </c>
      <c r="B457" s="1">
        <v>0.55270699999999995</v>
      </c>
      <c r="C457" s="1">
        <v>0.55523100000000003</v>
      </c>
      <c r="D457" s="1">
        <f>IF(B457&gt;C457,B457-C457,C457-B457)</f>
        <v>2.5240000000000817E-3</v>
      </c>
      <c r="E457">
        <f>MINUTE(D457)</f>
        <v>3</v>
      </c>
      <c r="F457">
        <f>SECOND(D457)</f>
        <v>38</v>
      </c>
      <c r="G457">
        <f>ROUND(E457+F457/60,2)</f>
        <v>3.63</v>
      </c>
      <c r="H457">
        <f>60*E457+F457</f>
        <v>218</v>
      </c>
      <c r="I457" s="3">
        <f>5*(3600/H457)</f>
        <v>82.568807339449535</v>
      </c>
    </row>
    <row r="458" spans="1:9" x14ac:dyDescent="0.25">
      <c r="A458" s="4" t="s">
        <v>47</v>
      </c>
      <c r="B458" s="1">
        <v>0.138625</v>
      </c>
      <c r="C458" s="1">
        <v>0.14114499999999999</v>
      </c>
      <c r="D458" s="1">
        <f>IF(B458&gt;C458,B458-C458,C458-B458)</f>
        <v>2.5199999999999945E-3</v>
      </c>
      <c r="E458">
        <f>MINUTE(D458)</f>
        <v>3</v>
      </c>
      <c r="F458">
        <f>SECOND(D458)</f>
        <v>38</v>
      </c>
      <c r="G458">
        <f>ROUND(E458+F458/60,2)</f>
        <v>3.63</v>
      </c>
      <c r="H458">
        <f>60*E458+F458</f>
        <v>218</v>
      </c>
      <c r="I458" s="3">
        <f>5*(3600/H458)</f>
        <v>82.568807339449535</v>
      </c>
    </row>
    <row r="459" spans="1:9" x14ac:dyDescent="0.25">
      <c r="A459" s="4" t="s">
        <v>13</v>
      </c>
      <c r="B459" s="1">
        <v>0.188942</v>
      </c>
      <c r="C459" s="1">
        <v>0.186422</v>
      </c>
      <c r="D459" s="1">
        <f>IF(B459&gt;C459,B459-C459,C459-B459)</f>
        <v>2.5199999999999945E-3</v>
      </c>
      <c r="E459">
        <f>MINUTE(D459)</f>
        <v>3</v>
      </c>
      <c r="F459">
        <f>SECOND(D459)</f>
        <v>38</v>
      </c>
      <c r="G459">
        <f>ROUND(E459+F459/60,2)</f>
        <v>3.63</v>
      </c>
      <c r="H459">
        <f>60*E459+F459</f>
        <v>218</v>
      </c>
      <c r="I459" s="3">
        <f>5*(3600/H459)</f>
        <v>82.568807339449535</v>
      </c>
    </row>
    <row r="460" spans="1:9" x14ac:dyDescent="0.25">
      <c r="A460" s="4" t="s">
        <v>108</v>
      </c>
      <c r="B460" s="1">
        <v>9.1436000000000003E-2</v>
      </c>
      <c r="C460" s="1">
        <v>9.3964000000000006E-2</v>
      </c>
      <c r="D460" s="1">
        <f>IF(B460&gt;C460,B460-C460,C460-B460)</f>
        <v>2.5280000000000025E-3</v>
      </c>
      <c r="E460">
        <f>MINUTE(D460)</f>
        <v>3</v>
      </c>
      <c r="F460">
        <f>SECOND(D460)</f>
        <v>38</v>
      </c>
      <c r="G460">
        <f>ROUND(E460+F460/60,2)</f>
        <v>3.63</v>
      </c>
      <c r="H460">
        <f>60*E460+F460</f>
        <v>218</v>
      </c>
      <c r="I460" s="3">
        <f>5*(3600/H460)</f>
        <v>82.568807339449535</v>
      </c>
    </row>
    <row r="461" spans="1:9" x14ac:dyDescent="0.25">
      <c r="A461" s="4" t="s">
        <v>193</v>
      </c>
      <c r="B461" s="1">
        <v>0.122076</v>
      </c>
      <c r="C461" s="1">
        <v>0.12460400000000001</v>
      </c>
      <c r="D461" s="1">
        <f>IF(B461&gt;C461,B461-C461,C461-B461)</f>
        <v>2.5280000000000025E-3</v>
      </c>
      <c r="E461">
        <f>MINUTE(D461)</f>
        <v>3</v>
      </c>
      <c r="F461">
        <f>SECOND(D461)</f>
        <v>38</v>
      </c>
      <c r="G461">
        <f>ROUND(E461+F461/60,2)</f>
        <v>3.63</v>
      </c>
      <c r="H461">
        <f>60*E461+F461</f>
        <v>218</v>
      </c>
      <c r="I461" s="3">
        <f>5*(3600/H461)</f>
        <v>82.568807339449535</v>
      </c>
    </row>
    <row r="462" spans="1:9" x14ac:dyDescent="0.25">
      <c r="A462" s="4" t="s">
        <v>285</v>
      </c>
      <c r="B462" s="1">
        <v>0.58929100000000001</v>
      </c>
      <c r="C462" s="1">
        <v>0.59181099999999998</v>
      </c>
      <c r="D462" s="1">
        <f>IF(B462&gt;C462,B462-C462,C462-B462)</f>
        <v>2.5199999999999667E-3</v>
      </c>
      <c r="E462">
        <f>MINUTE(D462)</f>
        <v>3</v>
      </c>
      <c r="F462">
        <f>SECOND(D462)</f>
        <v>38</v>
      </c>
      <c r="G462">
        <f>ROUND(E462+F462/60,2)</f>
        <v>3.63</v>
      </c>
      <c r="H462">
        <f>60*E462+F462</f>
        <v>218</v>
      </c>
      <c r="I462" s="3">
        <f>5*(3600/H462)</f>
        <v>82.568807339449535</v>
      </c>
    </row>
    <row r="463" spans="1:9" x14ac:dyDescent="0.25">
      <c r="A463" s="4" t="s">
        <v>344</v>
      </c>
      <c r="B463" s="1">
        <v>0.35687200000000002</v>
      </c>
      <c r="C463" s="1">
        <v>0.3594</v>
      </c>
      <c r="D463" s="1">
        <f>IF(B463&gt;C463,B463-C463,C463-B463)</f>
        <v>2.5279999999999747E-3</v>
      </c>
      <c r="E463">
        <f>MINUTE(D463)</f>
        <v>3</v>
      </c>
      <c r="F463">
        <f>SECOND(D463)</f>
        <v>38</v>
      </c>
      <c r="G463">
        <f>ROUND(E463+F463/60,2)</f>
        <v>3.63</v>
      </c>
      <c r="H463">
        <f>60*E463+F463</f>
        <v>218</v>
      </c>
      <c r="I463" s="3">
        <f>5*(3600/H463)</f>
        <v>82.568807339449535</v>
      </c>
    </row>
    <row r="464" spans="1:9" x14ac:dyDescent="0.25">
      <c r="A464" s="4" t="s">
        <v>368</v>
      </c>
      <c r="B464" s="1">
        <v>3.1189999999999999E-2</v>
      </c>
      <c r="C464" s="1">
        <v>2.8662E-2</v>
      </c>
      <c r="D464" s="1">
        <f>IF(B464&gt;C464,B464-C464,C464-B464)</f>
        <v>2.527999999999999E-3</v>
      </c>
      <c r="E464">
        <f>MINUTE(D464)</f>
        <v>3</v>
      </c>
      <c r="F464">
        <f>SECOND(D464)</f>
        <v>38</v>
      </c>
      <c r="G464">
        <f>ROUND(E464+F464/60,2)</f>
        <v>3.63</v>
      </c>
      <c r="H464">
        <f>60*E464+F464</f>
        <v>218</v>
      </c>
      <c r="I464" s="3">
        <f>5*(3600/H464)</f>
        <v>82.568807339449535</v>
      </c>
    </row>
    <row r="465" spans="1:9" x14ac:dyDescent="0.25">
      <c r="A465" s="4" t="s">
        <v>405</v>
      </c>
      <c r="B465" s="1">
        <v>0.90301600000000004</v>
      </c>
      <c r="C465" s="1">
        <v>0.90554000000000001</v>
      </c>
      <c r="D465" s="1">
        <f>IF(B465&gt;C465,B465-C465,C465-B465)</f>
        <v>2.5239999999999707E-3</v>
      </c>
      <c r="E465">
        <f>MINUTE(D465)</f>
        <v>3</v>
      </c>
      <c r="F465">
        <f>SECOND(D465)</f>
        <v>38</v>
      </c>
      <c r="G465">
        <f>ROUND(E465+F465/60,2)</f>
        <v>3.63</v>
      </c>
      <c r="H465">
        <f>60*E465+F465</f>
        <v>218</v>
      </c>
      <c r="I465" s="3">
        <f>5*(3600/H465)</f>
        <v>82.568807339449535</v>
      </c>
    </row>
    <row r="466" spans="1:9" x14ac:dyDescent="0.25">
      <c r="A466" s="4" t="s">
        <v>413</v>
      </c>
      <c r="B466" s="1">
        <v>0.91312199999999999</v>
      </c>
      <c r="C466" s="1">
        <v>0.91059800000000002</v>
      </c>
      <c r="D466" s="1">
        <f>IF(B466&gt;C466,B466-C466,C466-B466)</f>
        <v>2.5239999999999707E-3</v>
      </c>
      <c r="E466">
        <f>MINUTE(D466)</f>
        <v>3</v>
      </c>
      <c r="F466">
        <f>SECOND(D466)</f>
        <v>38</v>
      </c>
      <c r="G466">
        <f>ROUND(E466+F466/60,2)</f>
        <v>3.63</v>
      </c>
      <c r="H466">
        <f>60*E466+F466</f>
        <v>218</v>
      </c>
      <c r="I466" s="3">
        <f>5*(3600/H466)</f>
        <v>82.568807339449535</v>
      </c>
    </row>
    <row r="467" spans="1:9" x14ac:dyDescent="0.25">
      <c r="A467" s="4" t="s">
        <v>72</v>
      </c>
      <c r="B467" s="1">
        <v>0.43932300000000002</v>
      </c>
      <c r="C467" s="1">
        <v>0.43679099999999998</v>
      </c>
      <c r="D467" s="1">
        <f>IF(B467&gt;C467,B467-C467,C467-B467)</f>
        <v>2.5320000000000342E-3</v>
      </c>
      <c r="E467">
        <f>MINUTE(D467)</f>
        <v>3</v>
      </c>
      <c r="F467">
        <f>SECOND(D467)</f>
        <v>39</v>
      </c>
      <c r="G467">
        <f>ROUND(E467+F467/60,2)</f>
        <v>3.65</v>
      </c>
      <c r="H467">
        <f>60*E467+F467</f>
        <v>219</v>
      </c>
      <c r="I467" s="3">
        <f>5*(3600/H467)</f>
        <v>82.191780821917817</v>
      </c>
    </row>
    <row r="468" spans="1:9" x14ac:dyDescent="0.25">
      <c r="A468" s="4" t="s">
        <v>85</v>
      </c>
      <c r="B468" s="1">
        <v>0.49402400000000002</v>
      </c>
      <c r="C468" s="1">
        <v>0.49656800000000001</v>
      </c>
      <c r="D468" s="1">
        <f>IF(B468&gt;C468,B468-C468,C468-B468)</f>
        <v>2.5439999999999907E-3</v>
      </c>
      <c r="E468">
        <f>MINUTE(D468)</f>
        <v>3</v>
      </c>
      <c r="F468">
        <f>SECOND(D468)</f>
        <v>40</v>
      </c>
      <c r="G468">
        <f>ROUND(E468+F468/60,2)</f>
        <v>3.67</v>
      </c>
      <c r="H468">
        <f>60*E468+F468</f>
        <v>220</v>
      </c>
      <c r="I468" s="3">
        <f>5*(3600/H468)</f>
        <v>81.818181818181813</v>
      </c>
    </row>
    <row r="469" spans="1:9" x14ac:dyDescent="0.25">
      <c r="A469" s="4" t="s">
        <v>74</v>
      </c>
      <c r="B469" s="1">
        <v>0.78240200000000004</v>
      </c>
      <c r="C469" s="1">
        <v>0.78495400000000004</v>
      </c>
      <c r="D469" s="1">
        <f>IF(B469&gt;C469,B469-C469,C469-B469)</f>
        <v>2.5519999999999987E-3</v>
      </c>
      <c r="E469">
        <f>MINUTE(D469)</f>
        <v>3</v>
      </c>
      <c r="F469">
        <f>SECOND(D469)</f>
        <v>40</v>
      </c>
      <c r="G469">
        <f>ROUND(E469+F469/60,2)</f>
        <v>3.67</v>
      </c>
      <c r="H469">
        <f>60*E469+F469</f>
        <v>220</v>
      </c>
      <c r="I469" s="3">
        <f>5*(3600/H469)</f>
        <v>81.818181818181813</v>
      </c>
    </row>
    <row r="470" spans="1:9" x14ac:dyDescent="0.25">
      <c r="A470" s="4" t="s">
        <v>12</v>
      </c>
      <c r="B470" s="1">
        <v>0.84136299999999997</v>
      </c>
      <c r="C470" s="1">
        <v>0.83881899999999998</v>
      </c>
      <c r="D470" s="1">
        <f>IF(B470&gt;C470,B470-C470,C470-B470)</f>
        <v>2.5439999999999907E-3</v>
      </c>
      <c r="E470">
        <f>MINUTE(D470)</f>
        <v>3</v>
      </c>
      <c r="F470">
        <f>SECOND(D470)</f>
        <v>40</v>
      </c>
      <c r="G470">
        <f>ROUND(E470+F470/60,2)</f>
        <v>3.67</v>
      </c>
      <c r="H470">
        <f>60*E470+F470</f>
        <v>220</v>
      </c>
      <c r="I470" s="3">
        <f>5*(3600/H470)</f>
        <v>81.818181818181813</v>
      </c>
    </row>
    <row r="471" spans="1:9" x14ac:dyDescent="0.25">
      <c r="A471" s="4" t="s">
        <v>54</v>
      </c>
      <c r="B471" s="1">
        <v>0.70056799999999997</v>
      </c>
      <c r="C471" s="1">
        <v>0.70311999999999997</v>
      </c>
      <c r="D471" s="1">
        <f>IF(B471&gt;C471,B471-C471,C471-B471)</f>
        <v>2.5519999999999987E-3</v>
      </c>
      <c r="E471">
        <f>MINUTE(D471)</f>
        <v>3</v>
      </c>
      <c r="F471">
        <f>SECOND(D471)</f>
        <v>40</v>
      </c>
      <c r="G471">
        <f>ROUND(E471+F471/60,2)</f>
        <v>3.67</v>
      </c>
      <c r="H471">
        <f>60*E471+F471</f>
        <v>220</v>
      </c>
      <c r="I471" s="3">
        <f>5*(3600/H471)</f>
        <v>81.818181818181813</v>
      </c>
    </row>
    <row r="472" spans="1:9" x14ac:dyDescent="0.25">
      <c r="A472" s="4" t="s">
        <v>71</v>
      </c>
      <c r="B472" s="1">
        <v>0.69348799999999999</v>
      </c>
      <c r="C472" s="1">
        <v>0.69093599999999999</v>
      </c>
      <c r="D472" s="1">
        <f>IF(B472&gt;C472,B472-C472,C472-B472)</f>
        <v>2.5519999999999987E-3</v>
      </c>
      <c r="E472">
        <f>MINUTE(D472)</f>
        <v>3</v>
      </c>
      <c r="F472">
        <f>SECOND(D472)</f>
        <v>40</v>
      </c>
      <c r="G472">
        <f>ROUND(E472+F472/60,2)</f>
        <v>3.67</v>
      </c>
      <c r="H472">
        <f>60*E472+F472</f>
        <v>220</v>
      </c>
      <c r="I472" s="3">
        <f>5*(3600/H472)</f>
        <v>81.818181818181813</v>
      </c>
    </row>
    <row r="473" spans="1:9" x14ac:dyDescent="0.25">
      <c r="A473" s="4" t="s">
        <v>206</v>
      </c>
      <c r="B473" s="1">
        <v>0.65591200000000005</v>
      </c>
      <c r="C473" s="1">
        <v>0.65336000000000005</v>
      </c>
      <c r="D473" s="1">
        <f>IF(B473&gt;C473,B473-C473,C473-B473)</f>
        <v>2.5519999999999987E-3</v>
      </c>
      <c r="E473">
        <f>MINUTE(D473)</f>
        <v>3</v>
      </c>
      <c r="F473">
        <f>SECOND(D473)</f>
        <v>40</v>
      </c>
      <c r="G473">
        <f>ROUND(E473+F473/60,2)</f>
        <v>3.67</v>
      </c>
      <c r="H473">
        <f>60*E473+F473</f>
        <v>220</v>
      </c>
      <c r="I473" s="3">
        <f>5*(3600/H473)</f>
        <v>81.818181818181813</v>
      </c>
    </row>
    <row r="474" spans="1:9" x14ac:dyDescent="0.25">
      <c r="A474" s="4" t="s">
        <v>95</v>
      </c>
      <c r="B474" s="1">
        <v>0.75181399999999998</v>
      </c>
      <c r="C474" s="1">
        <v>0.74925399999999998</v>
      </c>
      <c r="D474" s="1">
        <f>IF(B474&gt;C474,B474-C474,C474-B474)</f>
        <v>2.5600000000000067E-3</v>
      </c>
      <c r="E474">
        <f>MINUTE(D474)</f>
        <v>3</v>
      </c>
      <c r="F474">
        <f>SECOND(D474)</f>
        <v>41</v>
      </c>
      <c r="G474">
        <f>ROUND(E474+F474/60,2)</f>
        <v>3.68</v>
      </c>
      <c r="H474">
        <f>60*E474+F474</f>
        <v>221</v>
      </c>
      <c r="I474" s="3">
        <f>5*(3600/H474)</f>
        <v>81.447963800904972</v>
      </c>
    </row>
    <row r="475" spans="1:9" x14ac:dyDescent="0.25">
      <c r="A475" s="4" t="s">
        <v>75</v>
      </c>
      <c r="B475" s="1">
        <v>0.294576</v>
      </c>
      <c r="C475" s="1">
        <v>0.292016</v>
      </c>
      <c r="D475" s="1">
        <f>IF(B475&gt;C475,B475-C475,C475-B475)</f>
        <v>2.5600000000000067E-3</v>
      </c>
      <c r="E475">
        <f>MINUTE(D475)</f>
        <v>3</v>
      </c>
      <c r="F475">
        <f>SECOND(D475)</f>
        <v>41</v>
      </c>
      <c r="G475">
        <f>ROUND(E475+F475/60,2)</f>
        <v>3.68</v>
      </c>
      <c r="H475">
        <f>60*E475+F475</f>
        <v>221</v>
      </c>
      <c r="I475" s="3">
        <f>5*(3600/H475)</f>
        <v>81.447963800904972</v>
      </c>
    </row>
    <row r="476" spans="1:9" x14ac:dyDescent="0.25">
      <c r="A476" s="4" t="s">
        <v>41</v>
      </c>
      <c r="B476" s="1">
        <v>0.186281</v>
      </c>
      <c r="C476" s="1">
        <v>0.18371299999999999</v>
      </c>
      <c r="D476" s="1">
        <f>IF(B476&gt;C476,B476-C476,C476-B476)</f>
        <v>2.5680000000000147E-3</v>
      </c>
      <c r="E476">
        <f>MINUTE(D476)</f>
        <v>3</v>
      </c>
      <c r="F476">
        <f>SECOND(D476)</f>
        <v>42</v>
      </c>
      <c r="G476">
        <f>ROUND(E476+F476/60,2)</f>
        <v>3.7</v>
      </c>
      <c r="H476">
        <f>60*E476+F476</f>
        <v>222</v>
      </c>
      <c r="I476" s="3">
        <f>5*(3600/H476)</f>
        <v>81.081081081081095</v>
      </c>
    </row>
    <row r="477" spans="1:9" x14ac:dyDescent="0.25">
      <c r="A477" s="4" t="s">
        <v>131</v>
      </c>
      <c r="B477" s="1">
        <v>5.3295000000000002E-2</v>
      </c>
      <c r="C477" s="1">
        <v>5.0727000000000001E-2</v>
      </c>
      <c r="D477" s="1">
        <f>IF(B477&gt;C477,B477-C477,C477-B477)</f>
        <v>2.5680000000000008E-3</v>
      </c>
      <c r="E477">
        <f>MINUTE(D477)</f>
        <v>3</v>
      </c>
      <c r="F477">
        <f>SECOND(D477)</f>
        <v>42</v>
      </c>
      <c r="G477">
        <f>ROUND(E477+F477/60,2)</f>
        <v>3.7</v>
      </c>
      <c r="H477">
        <f>60*E477+F477</f>
        <v>222</v>
      </c>
      <c r="I477" s="3">
        <f>5*(3600/H477)</f>
        <v>81.081081081081095</v>
      </c>
    </row>
    <row r="478" spans="1:9" x14ac:dyDescent="0.25">
      <c r="A478" s="4" t="s">
        <v>38</v>
      </c>
      <c r="B478" s="1">
        <v>0.72344799999999998</v>
      </c>
      <c r="C478" s="1">
        <v>0.72086399999999995</v>
      </c>
      <c r="D478" s="1">
        <f>IF(B478&gt;C478,B478-C478,C478-B478)</f>
        <v>2.5840000000000307E-3</v>
      </c>
      <c r="E478">
        <f>MINUTE(D478)</f>
        <v>3</v>
      </c>
      <c r="F478">
        <f>SECOND(D478)</f>
        <v>43</v>
      </c>
      <c r="G478">
        <f>ROUND(E478+F478/60,2)</f>
        <v>3.72</v>
      </c>
      <c r="H478">
        <f>60*E478+F478</f>
        <v>223</v>
      </c>
      <c r="I478" s="3">
        <f>5*(3600/H478)</f>
        <v>80.717488789237677</v>
      </c>
    </row>
    <row r="479" spans="1:9" x14ac:dyDescent="0.25">
      <c r="A479" s="4" t="s">
        <v>13</v>
      </c>
      <c r="B479" s="1">
        <v>0.20627400000000001</v>
      </c>
      <c r="C479" s="1">
        <v>0.20369799999999999</v>
      </c>
      <c r="D479" s="1">
        <f>IF(B479&gt;C479,B479-C479,C479-B479)</f>
        <v>2.5760000000000227E-3</v>
      </c>
      <c r="E479">
        <f>MINUTE(D479)</f>
        <v>3</v>
      </c>
      <c r="F479">
        <f>SECOND(D479)</f>
        <v>43</v>
      </c>
      <c r="G479">
        <f>ROUND(E479+F479/60,2)</f>
        <v>3.72</v>
      </c>
      <c r="H479">
        <f>60*E479+F479</f>
        <v>223</v>
      </c>
      <c r="I479" s="3">
        <f>5*(3600/H479)</f>
        <v>80.717488789237677</v>
      </c>
    </row>
    <row r="480" spans="1:9" x14ac:dyDescent="0.25">
      <c r="A480" s="4" t="s">
        <v>27</v>
      </c>
      <c r="B480" s="1">
        <v>0.15427399999999999</v>
      </c>
      <c r="C480" s="1">
        <v>0.151698</v>
      </c>
      <c r="D480" s="1">
        <f>IF(B480&gt;C480,B480-C480,C480-B480)</f>
        <v>2.575999999999995E-3</v>
      </c>
      <c r="E480">
        <f>MINUTE(D480)</f>
        <v>3</v>
      </c>
      <c r="F480">
        <f>SECOND(D480)</f>
        <v>43</v>
      </c>
      <c r="G480">
        <f>ROUND(E480+F480/60,2)</f>
        <v>3.72</v>
      </c>
      <c r="H480">
        <f>60*E480+F480</f>
        <v>223</v>
      </c>
      <c r="I480" s="3">
        <f>5*(3600/H480)</f>
        <v>80.717488789237677</v>
      </c>
    </row>
    <row r="481" spans="1:9" x14ac:dyDescent="0.25">
      <c r="A481" s="4" t="s">
        <v>261</v>
      </c>
      <c r="B481" s="1">
        <v>0.34346399999999999</v>
      </c>
      <c r="C481" s="1">
        <v>0.34604400000000002</v>
      </c>
      <c r="D481" s="1">
        <f>IF(B481&gt;C481,B481-C481,C481-B481)</f>
        <v>2.5800000000000267E-3</v>
      </c>
      <c r="E481">
        <f>MINUTE(D481)</f>
        <v>3</v>
      </c>
      <c r="F481">
        <f>SECOND(D481)</f>
        <v>43</v>
      </c>
      <c r="G481">
        <f>ROUND(E481+F481/60,2)</f>
        <v>3.72</v>
      </c>
      <c r="H481">
        <f>60*E481+F481</f>
        <v>223</v>
      </c>
      <c r="I481" s="3">
        <f>5*(3600/H481)</f>
        <v>80.717488789237677</v>
      </c>
    </row>
    <row r="482" spans="1:9" x14ac:dyDescent="0.25">
      <c r="A482" s="4" t="s">
        <v>427</v>
      </c>
      <c r="B482" s="1">
        <v>2.5694999999999999E-2</v>
      </c>
      <c r="C482" s="1">
        <v>2.3115E-2</v>
      </c>
      <c r="D482" s="1">
        <f>IF(B482&gt;C482,B482-C482,C482-B482)</f>
        <v>2.579999999999999E-3</v>
      </c>
      <c r="E482">
        <f>MINUTE(D482)</f>
        <v>3</v>
      </c>
      <c r="F482">
        <f>SECOND(D482)</f>
        <v>43</v>
      </c>
      <c r="G482">
        <f>ROUND(E482+F482/60,2)</f>
        <v>3.72</v>
      </c>
      <c r="H482">
        <f>60*E482+F482</f>
        <v>223</v>
      </c>
      <c r="I482" s="3">
        <f>5*(3600/H482)</f>
        <v>80.717488789237677</v>
      </c>
    </row>
    <row r="483" spans="1:9" x14ac:dyDescent="0.25">
      <c r="A483" s="4" t="s">
        <v>71</v>
      </c>
      <c r="B483" s="1">
        <v>0.61365199999999998</v>
      </c>
      <c r="C483" s="1">
        <v>0.61106000000000005</v>
      </c>
      <c r="D483" s="1">
        <f>IF(B483&gt;C483,B483-C483,C483-B483)</f>
        <v>2.5919999999999277E-3</v>
      </c>
      <c r="E483">
        <f>MINUTE(D483)</f>
        <v>3</v>
      </c>
      <c r="F483">
        <f>SECOND(D483)</f>
        <v>44</v>
      </c>
      <c r="G483">
        <f>ROUND(E483+F483/60,2)</f>
        <v>3.73</v>
      </c>
      <c r="H483">
        <f>60*E483+F483</f>
        <v>224</v>
      </c>
      <c r="I483" s="3">
        <f>5*(3600/H483)</f>
        <v>80.357142857142861</v>
      </c>
    </row>
    <row r="484" spans="1:9" x14ac:dyDescent="0.25">
      <c r="A484" s="4" t="s">
        <v>127</v>
      </c>
      <c r="B484" s="1">
        <v>0.74746999999999997</v>
      </c>
      <c r="C484" s="1">
        <v>0.74487400000000004</v>
      </c>
      <c r="D484" s="1">
        <f>IF(B484&gt;C484,B484-C484,C484-B484)</f>
        <v>2.5959999999999317E-3</v>
      </c>
      <c r="E484">
        <f>MINUTE(D484)</f>
        <v>3</v>
      </c>
      <c r="F484">
        <f>SECOND(D484)</f>
        <v>44</v>
      </c>
      <c r="G484">
        <f>ROUND(E484+F484/60,2)</f>
        <v>3.73</v>
      </c>
      <c r="H484">
        <f>60*E484+F484</f>
        <v>224</v>
      </c>
      <c r="I484" s="3">
        <f>5*(3600/H484)</f>
        <v>80.357142857142861</v>
      </c>
    </row>
    <row r="485" spans="1:9" x14ac:dyDescent="0.25">
      <c r="A485" s="4" t="s">
        <v>148</v>
      </c>
      <c r="B485" s="1">
        <v>0.924647</v>
      </c>
      <c r="C485" s="1">
        <v>0.92724300000000004</v>
      </c>
      <c r="D485" s="1">
        <f>IF(B485&gt;C485,B485-C485,C485-B485)</f>
        <v>2.5960000000000427E-3</v>
      </c>
      <c r="E485">
        <f>MINUTE(D485)</f>
        <v>3</v>
      </c>
      <c r="F485">
        <f>SECOND(D485)</f>
        <v>44</v>
      </c>
      <c r="G485">
        <f>ROUND(E485+F485/60,2)</f>
        <v>3.73</v>
      </c>
      <c r="H485">
        <f>60*E485+F485</f>
        <v>224</v>
      </c>
      <c r="I485" s="3">
        <f>5*(3600/H485)</f>
        <v>80.357142857142861</v>
      </c>
    </row>
    <row r="486" spans="1:9" x14ac:dyDescent="0.25">
      <c r="A486" s="4" t="s">
        <v>162</v>
      </c>
      <c r="B486" s="1">
        <v>0.72762800000000005</v>
      </c>
      <c r="C486" s="1">
        <v>0.73021999999999998</v>
      </c>
      <c r="D486" s="1">
        <f>IF(B486&gt;C486,B486-C486,C486-B486)</f>
        <v>2.5919999999999277E-3</v>
      </c>
      <c r="E486">
        <f>MINUTE(D486)</f>
        <v>3</v>
      </c>
      <c r="F486">
        <f>SECOND(D486)</f>
        <v>44</v>
      </c>
      <c r="G486">
        <f>ROUND(E486+F486/60,2)</f>
        <v>3.73</v>
      </c>
      <c r="H486">
        <f>60*E486+F486</f>
        <v>224</v>
      </c>
      <c r="I486" s="3">
        <f>5*(3600/H486)</f>
        <v>80.357142857142861</v>
      </c>
    </row>
    <row r="487" spans="1:9" x14ac:dyDescent="0.25">
      <c r="A487" s="4" t="s">
        <v>160</v>
      </c>
      <c r="B487" s="1">
        <v>1.9332999999999999E-2</v>
      </c>
      <c r="C487" s="1">
        <v>1.6733000000000001E-2</v>
      </c>
      <c r="D487" s="1">
        <f>IF(B487&gt;C487,B487-C487,C487-B487)</f>
        <v>2.5999999999999981E-3</v>
      </c>
      <c r="E487">
        <f>MINUTE(D487)</f>
        <v>3</v>
      </c>
      <c r="F487">
        <f>SECOND(D487)</f>
        <v>45</v>
      </c>
      <c r="G487">
        <f>ROUND(E487+F487/60,2)</f>
        <v>3.75</v>
      </c>
      <c r="H487">
        <f>60*E487+F487</f>
        <v>225</v>
      </c>
      <c r="I487" s="3">
        <f>5*(3600/H487)</f>
        <v>80</v>
      </c>
    </row>
    <row r="488" spans="1:9" x14ac:dyDescent="0.25">
      <c r="A488" s="4" t="s">
        <v>60</v>
      </c>
      <c r="B488" s="1">
        <v>0.97160000000000002</v>
      </c>
      <c r="C488" s="1">
        <v>0.96899999999999997</v>
      </c>
      <c r="D488" s="1">
        <f>IF(B488&gt;C488,B488-C488,C488-B488)</f>
        <v>2.6000000000000467E-3</v>
      </c>
      <c r="E488">
        <f>MINUTE(D488)</f>
        <v>3</v>
      </c>
      <c r="F488">
        <f>SECOND(D488)</f>
        <v>45</v>
      </c>
      <c r="G488">
        <f>ROUND(E488+F488/60,2)</f>
        <v>3.75</v>
      </c>
      <c r="H488">
        <f>60*E488+F488</f>
        <v>225</v>
      </c>
      <c r="I488" s="3">
        <f>5*(3600/H488)</f>
        <v>80</v>
      </c>
    </row>
    <row r="489" spans="1:9" x14ac:dyDescent="0.25">
      <c r="A489" s="4" t="s">
        <v>81</v>
      </c>
      <c r="B489" s="1">
        <v>0.83649600000000002</v>
      </c>
      <c r="C489" s="1">
        <v>0.83909599999999995</v>
      </c>
      <c r="D489" s="1">
        <f>IF(B489&gt;C489,B489-C489,C489-B489)</f>
        <v>2.5999999999999357E-3</v>
      </c>
      <c r="E489">
        <f>MINUTE(D489)</f>
        <v>3</v>
      </c>
      <c r="F489">
        <f>SECOND(D489)</f>
        <v>45</v>
      </c>
      <c r="G489">
        <f>ROUND(E489+F489/60,2)</f>
        <v>3.75</v>
      </c>
      <c r="H489">
        <f>60*E489+F489</f>
        <v>225</v>
      </c>
      <c r="I489" s="3">
        <f>5*(3600/H489)</f>
        <v>80</v>
      </c>
    </row>
    <row r="490" spans="1:9" x14ac:dyDescent="0.25">
      <c r="A490" s="4" t="s">
        <v>121</v>
      </c>
      <c r="B490" s="1">
        <v>0.49061199999999999</v>
      </c>
      <c r="C490" s="1">
        <v>0.48800399999999999</v>
      </c>
      <c r="D490" s="1">
        <f>IF(B490&gt;C490,B490-C490,C490-B490)</f>
        <v>2.6079999999999992E-3</v>
      </c>
      <c r="E490">
        <f>MINUTE(D490)</f>
        <v>3</v>
      </c>
      <c r="F490">
        <f>SECOND(D490)</f>
        <v>45</v>
      </c>
      <c r="G490">
        <f>ROUND(E490+F490/60,2)</f>
        <v>3.75</v>
      </c>
      <c r="H490">
        <f>60*E490+F490</f>
        <v>225</v>
      </c>
      <c r="I490" s="3">
        <f>5*(3600/H490)</f>
        <v>80</v>
      </c>
    </row>
    <row r="491" spans="1:9" x14ac:dyDescent="0.25">
      <c r="A491" s="4" t="s">
        <v>72</v>
      </c>
      <c r="B491" s="1">
        <v>0.40520400000000001</v>
      </c>
      <c r="C491" s="1">
        <v>0.40260400000000002</v>
      </c>
      <c r="D491" s="1">
        <f>IF(B491&gt;C491,B491-C491,C491-B491)</f>
        <v>2.5999999999999912E-3</v>
      </c>
      <c r="E491">
        <f>MINUTE(D491)</f>
        <v>3</v>
      </c>
      <c r="F491">
        <f>SECOND(D491)</f>
        <v>45</v>
      </c>
      <c r="G491">
        <f>ROUND(E491+F491/60,2)</f>
        <v>3.75</v>
      </c>
      <c r="H491">
        <f>60*E491+F491</f>
        <v>225</v>
      </c>
      <c r="I491" s="3">
        <f>5*(3600/H491)</f>
        <v>80</v>
      </c>
    </row>
    <row r="492" spans="1:9" x14ac:dyDescent="0.25">
      <c r="A492" s="4" t="s">
        <v>428</v>
      </c>
      <c r="B492" s="1">
        <v>0.66373000000000004</v>
      </c>
      <c r="C492" s="1">
        <v>0.66111399999999998</v>
      </c>
      <c r="D492" s="1">
        <f>IF(B492&gt;C492,B492-C492,C492-B492)</f>
        <v>2.6160000000000627E-3</v>
      </c>
      <c r="E492">
        <f>MINUTE(D492)</f>
        <v>3</v>
      </c>
      <c r="F492">
        <f>SECOND(D492)</f>
        <v>46</v>
      </c>
      <c r="G492">
        <f>ROUND(E492+F492/60,2)</f>
        <v>3.77</v>
      </c>
      <c r="H492">
        <f>60*E492+F492</f>
        <v>226</v>
      </c>
      <c r="I492" s="3">
        <f>5*(3600/H492)</f>
        <v>79.646017699115049</v>
      </c>
    </row>
    <row r="493" spans="1:9" x14ac:dyDescent="0.25">
      <c r="A493" s="4" t="s">
        <v>122</v>
      </c>
      <c r="B493" s="1">
        <v>0.22853000000000001</v>
      </c>
      <c r="C493" s="1">
        <v>0.23114999999999999</v>
      </c>
      <c r="D493" s="1">
        <f>IF(B493&gt;C493,B493-C493,C493-B493)</f>
        <v>2.6199999999999835E-3</v>
      </c>
      <c r="E493">
        <f>MINUTE(D493)</f>
        <v>3</v>
      </c>
      <c r="F493">
        <f>SECOND(D493)</f>
        <v>46</v>
      </c>
      <c r="G493">
        <f>ROUND(E493+F493/60,2)</f>
        <v>3.77</v>
      </c>
      <c r="H493">
        <f>60*E493+F493</f>
        <v>226</v>
      </c>
      <c r="I493" s="3">
        <f>5*(3600/H493)</f>
        <v>79.646017699115049</v>
      </c>
    </row>
    <row r="494" spans="1:9" x14ac:dyDescent="0.25">
      <c r="A494" s="4" t="s">
        <v>235</v>
      </c>
      <c r="B494" s="1">
        <v>0.24182600000000001</v>
      </c>
      <c r="C494" s="1">
        <v>0.23921000000000001</v>
      </c>
      <c r="D494" s="1">
        <f>IF(B494&gt;C494,B494-C494,C494-B494)</f>
        <v>2.6160000000000072E-3</v>
      </c>
      <c r="E494">
        <f>MINUTE(D494)</f>
        <v>3</v>
      </c>
      <c r="F494">
        <f>SECOND(D494)</f>
        <v>46</v>
      </c>
      <c r="G494">
        <f>ROUND(E494+F494/60,2)</f>
        <v>3.77</v>
      </c>
      <c r="H494">
        <f>60*E494+F494</f>
        <v>226</v>
      </c>
      <c r="I494" s="3">
        <f>5*(3600/H494)</f>
        <v>79.646017699115049</v>
      </c>
    </row>
    <row r="495" spans="1:9" x14ac:dyDescent="0.25">
      <c r="A495" s="4" t="s">
        <v>356</v>
      </c>
      <c r="B495" s="1">
        <v>0.14568999999999999</v>
      </c>
      <c r="C495" s="1">
        <v>0.14307400000000001</v>
      </c>
      <c r="D495" s="1">
        <f>IF(B495&gt;C495,B495-C495,C495-B495)</f>
        <v>2.6159999999999795E-3</v>
      </c>
      <c r="E495">
        <f>MINUTE(D495)</f>
        <v>3</v>
      </c>
      <c r="F495">
        <f>SECOND(D495)</f>
        <v>46</v>
      </c>
      <c r="G495">
        <f>ROUND(E495+F495/60,2)</f>
        <v>3.77</v>
      </c>
      <c r="H495">
        <f>60*E495+F495</f>
        <v>226</v>
      </c>
      <c r="I495" s="3">
        <f>5*(3600/H495)</f>
        <v>79.646017699115049</v>
      </c>
    </row>
    <row r="496" spans="1:9" x14ac:dyDescent="0.25">
      <c r="A496" s="4" t="s">
        <v>366</v>
      </c>
      <c r="B496" s="1">
        <v>0.64231899999999997</v>
      </c>
      <c r="C496" s="1">
        <v>0.64493900000000004</v>
      </c>
      <c r="D496" s="1">
        <f>IF(B496&gt;C496,B496-C496,C496-B496)</f>
        <v>2.6200000000000667E-3</v>
      </c>
      <c r="E496">
        <f>MINUTE(D496)</f>
        <v>3</v>
      </c>
      <c r="F496">
        <f>SECOND(D496)</f>
        <v>46</v>
      </c>
      <c r="G496">
        <f>ROUND(E496+F496/60,2)</f>
        <v>3.77</v>
      </c>
      <c r="H496">
        <f>60*E496+F496</f>
        <v>226</v>
      </c>
      <c r="I496" s="3">
        <f>5*(3600/H496)</f>
        <v>79.646017699115049</v>
      </c>
    </row>
    <row r="497" spans="1:9" x14ac:dyDescent="0.25">
      <c r="A497" s="4" t="s">
        <v>376</v>
      </c>
      <c r="B497" s="1">
        <v>0.74587599999999998</v>
      </c>
      <c r="C497" s="1">
        <v>0.74849200000000005</v>
      </c>
      <c r="D497" s="1">
        <f>IF(B497&gt;C497,B497-C497,C497-B497)</f>
        <v>2.6160000000000627E-3</v>
      </c>
      <c r="E497">
        <f>MINUTE(D497)</f>
        <v>3</v>
      </c>
      <c r="F497">
        <f>SECOND(D497)</f>
        <v>46</v>
      </c>
      <c r="G497">
        <f>ROUND(E497+F497/60,2)</f>
        <v>3.77</v>
      </c>
      <c r="H497">
        <f>60*E497+F497</f>
        <v>226</v>
      </c>
      <c r="I497" s="3">
        <f>5*(3600/H497)</f>
        <v>79.646017699115049</v>
      </c>
    </row>
    <row r="498" spans="1:9" x14ac:dyDescent="0.25">
      <c r="A498" s="4" t="s">
        <v>147</v>
      </c>
      <c r="B498" s="1">
        <v>0.96590299999999996</v>
      </c>
      <c r="C498" s="1">
        <v>0.96327499999999999</v>
      </c>
      <c r="D498" s="1">
        <f>IF(B498&gt;C498,B498-C498,C498-B498)</f>
        <v>2.6279999999999637E-3</v>
      </c>
      <c r="E498">
        <f>MINUTE(D498)</f>
        <v>3</v>
      </c>
      <c r="F498">
        <f>SECOND(D498)</f>
        <v>47</v>
      </c>
      <c r="G498">
        <f>ROUND(E498+F498/60,2)</f>
        <v>3.78</v>
      </c>
      <c r="H498">
        <f>60*E498+F498</f>
        <v>227</v>
      </c>
      <c r="I498" s="3">
        <f>5*(3600/H498)</f>
        <v>79.295154185022028</v>
      </c>
    </row>
    <row r="499" spans="1:9" x14ac:dyDescent="0.25">
      <c r="A499" s="4" t="s">
        <v>166</v>
      </c>
      <c r="B499" s="1">
        <v>0.30390899999999998</v>
      </c>
      <c r="C499" s="1">
        <v>0.30128100000000002</v>
      </c>
      <c r="D499" s="1">
        <f>IF(B499&gt;C499,B499-C499,C499-B499)</f>
        <v>2.6279999999999637E-3</v>
      </c>
      <c r="E499">
        <f>MINUTE(D499)</f>
        <v>3</v>
      </c>
      <c r="F499">
        <f>SECOND(D499)</f>
        <v>47</v>
      </c>
      <c r="G499">
        <f>ROUND(E499+F499/60,2)</f>
        <v>3.78</v>
      </c>
      <c r="H499">
        <f>60*E499+F499</f>
        <v>227</v>
      </c>
      <c r="I499" s="3">
        <f>5*(3600/H499)</f>
        <v>79.295154185022028</v>
      </c>
    </row>
    <row r="500" spans="1:9" x14ac:dyDescent="0.25">
      <c r="A500" s="4" t="s">
        <v>255</v>
      </c>
      <c r="B500" s="1">
        <v>0.25523400000000002</v>
      </c>
      <c r="C500" s="1">
        <v>0.25786199999999998</v>
      </c>
      <c r="D500" s="1">
        <f>IF(B500&gt;C500,B500-C500,C500-B500)</f>
        <v>2.6279999999999637E-3</v>
      </c>
      <c r="E500">
        <f>MINUTE(D500)</f>
        <v>3</v>
      </c>
      <c r="F500">
        <f>SECOND(D500)</f>
        <v>47</v>
      </c>
      <c r="G500">
        <f>ROUND(E500+F500/60,2)</f>
        <v>3.78</v>
      </c>
      <c r="H500">
        <f>60*E500+F500</f>
        <v>227</v>
      </c>
      <c r="I500" s="3">
        <f>5*(3600/H500)</f>
        <v>79.295154185022028</v>
      </c>
    </row>
    <row r="501" spans="1:9" x14ac:dyDescent="0.25">
      <c r="A501" s="4" t="s">
        <v>403</v>
      </c>
      <c r="B501" s="1">
        <v>0.53043799999999997</v>
      </c>
      <c r="C501" s="1">
        <v>0.53306600000000004</v>
      </c>
      <c r="D501" s="1">
        <f>IF(B501&gt;C501,B501-C501,C501-B501)</f>
        <v>2.6280000000000747E-3</v>
      </c>
      <c r="E501">
        <f>MINUTE(D501)</f>
        <v>3</v>
      </c>
      <c r="F501">
        <f>SECOND(D501)</f>
        <v>47</v>
      </c>
      <c r="G501">
        <f>ROUND(E501+F501/60,2)</f>
        <v>3.78</v>
      </c>
      <c r="H501">
        <f>60*E501+F501</f>
        <v>227</v>
      </c>
      <c r="I501" s="3">
        <f>5*(3600/H501)</f>
        <v>79.295154185022028</v>
      </c>
    </row>
    <row r="502" spans="1:9" x14ac:dyDescent="0.25">
      <c r="A502" s="4" t="s">
        <v>113</v>
      </c>
      <c r="B502" s="1">
        <v>0.81435400000000002</v>
      </c>
      <c r="C502" s="1">
        <v>0.81171800000000005</v>
      </c>
      <c r="D502" s="1">
        <f>IF(B502&gt;C502,B502-C502,C502-B502)</f>
        <v>2.6359999999999717E-3</v>
      </c>
      <c r="E502">
        <f>MINUTE(D502)</f>
        <v>3</v>
      </c>
      <c r="F502">
        <f>SECOND(D502)</f>
        <v>48</v>
      </c>
      <c r="G502">
        <f>ROUND(E502+F502/60,2)</f>
        <v>3.8</v>
      </c>
      <c r="H502">
        <f>60*E502+F502</f>
        <v>228</v>
      </c>
      <c r="I502" s="3">
        <f>5*(3600/H502)</f>
        <v>78.94736842105263</v>
      </c>
    </row>
    <row r="503" spans="1:9" x14ac:dyDescent="0.25">
      <c r="A503" s="4" t="s">
        <v>83</v>
      </c>
      <c r="B503" s="1">
        <v>0.67313500000000004</v>
      </c>
      <c r="C503" s="1">
        <v>0.67577900000000002</v>
      </c>
      <c r="D503" s="1">
        <f>IF(B503&gt;C503,B503-C503,C503-B503)</f>
        <v>2.6439999999999797E-3</v>
      </c>
      <c r="E503">
        <f>MINUTE(D503)</f>
        <v>3</v>
      </c>
      <c r="F503">
        <f>SECOND(D503)</f>
        <v>48</v>
      </c>
      <c r="G503">
        <f>ROUND(E503+F503/60,2)</f>
        <v>3.8</v>
      </c>
      <c r="H503">
        <f>60*E503+F503</f>
        <v>228</v>
      </c>
      <c r="I503" s="3">
        <f>5*(3600/H503)</f>
        <v>78.94736842105263</v>
      </c>
    </row>
    <row r="504" spans="1:9" x14ac:dyDescent="0.25">
      <c r="A504" s="4" t="s">
        <v>61</v>
      </c>
      <c r="B504" s="1">
        <v>0.44656000000000001</v>
      </c>
      <c r="C504" s="1">
        <v>0.449212</v>
      </c>
      <c r="D504" s="1">
        <f>IF(B504&gt;C504,B504-C504,C504-B504)</f>
        <v>2.6519999999999877E-3</v>
      </c>
      <c r="E504">
        <f>MINUTE(D504)</f>
        <v>3</v>
      </c>
      <c r="F504">
        <f>SECOND(D504)</f>
        <v>49</v>
      </c>
      <c r="G504">
        <f>ROUND(E504+F504/60,2)</f>
        <v>3.82</v>
      </c>
      <c r="H504">
        <f>60*E504+F504</f>
        <v>229</v>
      </c>
      <c r="I504" s="3">
        <f>5*(3600/H504)</f>
        <v>78.602620087336248</v>
      </c>
    </row>
    <row r="505" spans="1:9" x14ac:dyDescent="0.25">
      <c r="A505" s="8" t="s">
        <v>169</v>
      </c>
      <c r="B505" s="1">
        <v>0.60565199999999997</v>
      </c>
      <c r="C505" s="1">
        <v>0.60829999999999995</v>
      </c>
      <c r="D505" s="1">
        <f>IF(B505&gt;C505,B505-C505,C505-B505)</f>
        <v>2.6479999999999837E-3</v>
      </c>
      <c r="E505">
        <f>MINUTE(D505)</f>
        <v>3</v>
      </c>
      <c r="F505">
        <f>SECOND(D505)</f>
        <v>49</v>
      </c>
      <c r="G505">
        <f>ROUND(E505+F505/60,2)</f>
        <v>3.82</v>
      </c>
      <c r="H505">
        <f>60*E505+F505</f>
        <v>229</v>
      </c>
      <c r="I505" s="10">
        <f>5*(3600/H505)</f>
        <v>78.602620087336248</v>
      </c>
    </row>
    <row r="506" spans="1:9" x14ac:dyDescent="0.25">
      <c r="A506" s="4" t="s">
        <v>12</v>
      </c>
      <c r="B506" s="1">
        <v>0.74244399999999999</v>
      </c>
      <c r="C506" s="1">
        <v>0.73979200000000001</v>
      </c>
      <c r="D506" s="1">
        <f>IF(B506&gt;C506,B506-C506,C506-B506)</f>
        <v>2.6519999999999877E-3</v>
      </c>
      <c r="E506">
        <f>MINUTE(D506)</f>
        <v>3</v>
      </c>
      <c r="F506">
        <f>SECOND(D506)</f>
        <v>49</v>
      </c>
      <c r="G506">
        <f>ROUND(E506+F506/60,2)</f>
        <v>3.82</v>
      </c>
      <c r="H506">
        <f>60*E506+F506</f>
        <v>229</v>
      </c>
      <c r="I506" s="3">
        <f>5*(3600/H506)</f>
        <v>78.602620087336248</v>
      </c>
    </row>
    <row r="507" spans="1:9" x14ac:dyDescent="0.25">
      <c r="A507" s="4" t="s">
        <v>47</v>
      </c>
      <c r="B507" s="1">
        <v>0.33376899999999998</v>
      </c>
      <c r="C507" s="1">
        <v>0.33111299999999999</v>
      </c>
      <c r="D507" s="1">
        <f>IF(B507&gt;C507,B507-C507,C507-B507)</f>
        <v>2.6559999999999917E-3</v>
      </c>
      <c r="E507">
        <f>MINUTE(D507)</f>
        <v>3</v>
      </c>
      <c r="F507">
        <f>SECOND(D507)</f>
        <v>49</v>
      </c>
      <c r="G507">
        <f>ROUND(E507+F507/60,2)</f>
        <v>3.82</v>
      </c>
      <c r="H507">
        <f>60*E507+F507</f>
        <v>229</v>
      </c>
      <c r="I507" s="3">
        <f>5*(3600/H507)</f>
        <v>78.602620087336248</v>
      </c>
    </row>
    <row r="508" spans="1:9" x14ac:dyDescent="0.25">
      <c r="A508" s="4" t="s">
        <v>334</v>
      </c>
      <c r="B508" s="1">
        <v>0.14686399999999999</v>
      </c>
      <c r="C508" s="1">
        <v>0.14951200000000001</v>
      </c>
      <c r="D508" s="1">
        <f>IF(B508&gt;C508,B508-C508,C508-B508)</f>
        <v>2.6480000000000115E-3</v>
      </c>
      <c r="E508">
        <f>MINUTE(D508)</f>
        <v>3</v>
      </c>
      <c r="F508">
        <f>SECOND(D508)</f>
        <v>49</v>
      </c>
      <c r="G508">
        <f>ROUND(E508+F508/60,2)</f>
        <v>3.82</v>
      </c>
      <c r="H508">
        <f>60*E508+F508</f>
        <v>229</v>
      </c>
      <c r="I508" s="3">
        <f>5*(3600/H508)</f>
        <v>78.602620087336248</v>
      </c>
    </row>
    <row r="509" spans="1:9" x14ac:dyDescent="0.25">
      <c r="A509" s="4" t="s">
        <v>41</v>
      </c>
      <c r="B509" s="1">
        <v>0.79450500000000002</v>
      </c>
      <c r="C509" s="1">
        <v>0.79184500000000002</v>
      </c>
      <c r="D509" s="1">
        <f>IF(B509&gt;C509,B509-C509,C509-B509)</f>
        <v>2.6599999999999957E-3</v>
      </c>
      <c r="E509">
        <f>MINUTE(D509)</f>
        <v>3</v>
      </c>
      <c r="F509">
        <f>SECOND(D509)</f>
        <v>50</v>
      </c>
      <c r="G509">
        <f>ROUND(E509+F509/60,2)</f>
        <v>3.83</v>
      </c>
      <c r="H509">
        <f>60*E509+F509</f>
        <v>230</v>
      </c>
      <c r="I509" s="3">
        <f>5*(3600/H509)</f>
        <v>78.260869565217391</v>
      </c>
    </row>
    <row r="510" spans="1:9" x14ac:dyDescent="0.25">
      <c r="A510" s="4" t="s">
        <v>15</v>
      </c>
      <c r="B510" s="1">
        <v>0.66593500000000005</v>
      </c>
      <c r="C510" s="1">
        <v>0.66326300000000005</v>
      </c>
      <c r="D510" s="1">
        <f>IF(B510&gt;C510,B510-C510,C510-B510)</f>
        <v>2.6720000000000077E-3</v>
      </c>
      <c r="E510">
        <f>MINUTE(D510)</f>
        <v>3</v>
      </c>
      <c r="F510">
        <f>SECOND(D510)</f>
        <v>51</v>
      </c>
      <c r="G510">
        <f>ROUND(E510+F510/60,2)</f>
        <v>3.85</v>
      </c>
      <c r="H510">
        <f>60*E510+F510</f>
        <v>231</v>
      </c>
      <c r="I510" s="3">
        <f>5*(3600/H510)</f>
        <v>77.922077922077918</v>
      </c>
    </row>
    <row r="511" spans="1:9" x14ac:dyDescent="0.25">
      <c r="A511" s="4" t="s">
        <v>32</v>
      </c>
      <c r="B511" s="1">
        <v>0.959372</v>
      </c>
      <c r="C511" s="1">
        <v>0.956704</v>
      </c>
      <c r="D511" s="1">
        <f>IF(B511&gt;C511,B511-C511,C511-B511)</f>
        <v>2.6680000000000037E-3</v>
      </c>
      <c r="E511">
        <f>MINUTE(D511)</f>
        <v>3</v>
      </c>
      <c r="F511">
        <f>SECOND(D511)</f>
        <v>51</v>
      </c>
      <c r="G511">
        <f>ROUND(E511+F511/60,2)</f>
        <v>3.85</v>
      </c>
      <c r="H511">
        <f>60*E511+F511</f>
        <v>231</v>
      </c>
      <c r="I511" s="3">
        <f>5*(3600/H511)</f>
        <v>77.922077922077918</v>
      </c>
    </row>
    <row r="512" spans="1:9" x14ac:dyDescent="0.25">
      <c r="A512" s="4" t="s">
        <v>53</v>
      </c>
      <c r="B512" s="1">
        <v>0.83620700000000003</v>
      </c>
      <c r="C512" s="1">
        <v>0.83887500000000004</v>
      </c>
      <c r="D512" s="1">
        <f>IF(B512&gt;C512,B512-C512,C512-B512)</f>
        <v>2.6680000000000037E-3</v>
      </c>
      <c r="E512">
        <f>MINUTE(D512)</f>
        <v>3</v>
      </c>
      <c r="F512">
        <f>SECOND(D512)</f>
        <v>51</v>
      </c>
      <c r="G512">
        <f>ROUND(E512+F512/60,2)</f>
        <v>3.85</v>
      </c>
      <c r="H512">
        <f>60*E512+F512</f>
        <v>231</v>
      </c>
      <c r="I512" s="3">
        <f>5*(3600/H512)</f>
        <v>77.922077922077918</v>
      </c>
    </row>
    <row r="513" spans="1:9" x14ac:dyDescent="0.25">
      <c r="A513" s="4" t="s">
        <v>90</v>
      </c>
      <c r="B513" s="1">
        <v>2.0478E-2</v>
      </c>
      <c r="C513" s="1">
        <v>1.7805999999999999E-2</v>
      </c>
      <c r="D513" s="1">
        <f>IF(B513&gt;C513,B513-C513,C513-B513)</f>
        <v>2.6720000000000008E-3</v>
      </c>
      <c r="E513">
        <f>MINUTE(D513)</f>
        <v>3</v>
      </c>
      <c r="F513">
        <f>SECOND(D513)</f>
        <v>51</v>
      </c>
      <c r="G513">
        <f>ROUND(E513+F513/60,2)</f>
        <v>3.85</v>
      </c>
      <c r="H513">
        <f>60*E513+F513</f>
        <v>231</v>
      </c>
      <c r="I513" s="3">
        <f>5*(3600/H513)</f>
        <v>77.922077922077918</v>
      </c>
    </row>
    <row r="514" spans="1:9" x14ac:dyDescent="0.25">
      <c r="A514" s="4" t="s">
        <v>74</v>
      </c>
      <c r="B514" s="1">
        <v>0.170068</v>
      </c>
      <c r="C514" s="1">
        <v>0.16739599999999999</v>
      </c>
      <c r="D514" s="1">
        <f>IF(B514&gt;C514,B514-C514,C514-B514)</f>
        <v>2.6720000000000077E-3</v>
      </c>
      <c r="E514">
        <f>MINUTE(D514)</f>
        <v>3</v>
      </c>
      <c r="F514">
        <f>SECOND(D514)</f>
        <v>51</v>
      </c>
      <c r="G514">
        <f>ROUND(E514+F514/60,2)</f>
        <v>3.85</v>
      </c>
      <c r="H514">
        <f>60*E514+F514</f>
        <v>231</v>
      </c>
      <c r="I514" s="3">
        <f>5*(3600/H514)</f>
        <v>77.922077922077918</v>
      </c>
    </row>
    <row r="515" spans="1:9" x14ac:dyDescent="0.25">
      <c r="A515" s="4" t="s">
        <v>47</v>
      </c>
      <c r="B515" s="1">
        <v>0.95486300000000002</v>
      </c>
      <c r="C515" s="1">
        <v>0.95218700000000001</v>
      </c>
      <c r="D515" s="1">
        <f>IF(B515&gt;C515,B515-C515,C515-B515)</f>
        <v>2.6760000000000117E-3</v>
      </c>
      <c r="E515">
        <f>MINUTE(D515)</f>
        <v>3</v>
      </c>
      <c r="F515">
        <f>SECOND(D515)</f>
        <v>51</v>
      </c>
      <c r="G515">
        <f>ROUND(E515+F515/60,2)</f>
        <v>3.85</v>
      </c>
      <c r="H515">
        <f>60*E515+F515</f>
        <v>231</v>
      </c>
      <c r="I515" s="3">
        <f>5*(3600/H515)</f>
        <v>77.922077922077918</v>
      </c>
    </row>
    <row r="516" spans="1:9" x14ac:dyDescent="0.25">
      <c r="A516" s="4" t="s">
        <v>216</v>
      </c>
      <c r="B516" s="1">
        <v>0.21799099999999999</v>
      </c>
      <c r="C516" s="1">
        <v>0.21532299999999999</v>
      </c>
      <c r="D516" s="1">
        <f>IF(B516&gt;C516,B516-C516,C516-B516)</f>
        <v>2.6680000000000037E-3</v>
      </c>
      <c r="E516">
        <f>MINUTE(D516)</f>
        <v>3</v>
      </c>
      <c r="F516">
        <f>SECOND(D516)</f>
        <v>51</v>
      </c>
      <c r="G516">
        <f>ROUND(E516+F516/60,2)</f>
        <v>3.85</v>
      </c>
      <c r="H516">
        <f>60*E516+F516</f>
        <v>231</v>
      </c>
      <c r="I516" s="3">
        <f>5*(3600/H516)</f>
        <v>77.922077922077918</v>
      </c>
    </row>
    <row r="517" spans="1:9" x14ac:dyDescent="0.25">
      <c r="A517" s="4" t="s">
        <v>248</v>
      </c>
      <c r="B517" s="1">
        <v>0.27788099999999999</v>
      </c>
      <c r="C517" s="1">
        <v>0.280553</v>
      </c>
      <c r="D517" s="1">
        <f>IF(B517&gt;C517,B517-C517,C517-B517)</f>
        <v>2.6720000000000077E-3</v>
      </c>
      <c r="E517">
        <f>MINUTE(D517)</f>
        <v>3</v>
      </c>
      <c r="F517">
        <f>SECOND(D517)</f>
        <v>51</v>
      </c>
      <c r="G517">
        <f>ROUND(E517+F517/60,2)</f>
        <v>3.85</v>
      </c>
      <c r="H517">
        <f>60*E517+F517</f>
        <v>231</v>
      </c>
      <c r="I517" s="3">
        <f>5*(3600/H517)</f>
        <v>77.922077922077918</v>
      </c>
    </row>
    <row r="518" spans="1:9" x14ac:dyDescent="0.25">
      <c r="A518" s="4" t="s">
        <v>83</v>
      </c>
      <c r="B518" s="1">
        <v>0.80414699999999995</v>
      </c>
      <c r="C518" s="1">
        <v>0.80682699999999996</v>
      </c>
      <c r="D518" s="1">
        <f>IF(B518&gt;C518,B518-C518,C518-B518)</f>
        <v>2.6800000000000157E-3</v>
      </c>
      <c r="E518">
        <f>MINUTE(D518)</f>
        <v>3</v>
      </c>
      <c r="F518">
        <f>SECOND(D518)</f>
        <v>52</v>
      </c>
      <c r="G518">
        <f>ROUND(E518+F518/60,2)</f>
        <v>3.87</v>
      </c>
      <c r="H518">
        <f>60*E518+F518</f>
        <v>232</v>
      </c>
      <c r="I518" s="3">
        <f>5*(3600/H518)</f>
        <v>77.58620689655173</v>
      </c>
    </row>
    <row r="519" spans="1:9" x14ac:dyDescent="0.25">
      <c r="A519" s="4" t="s">
        <v>64</v>
      </c>
      <c r="B519" s="1">
        <v>0.99943800000000005</v>
      </c>
      <c r="C519" s="1">
        <v>0.99675400000000003</v>
      </c>
      <c r="D519" s="1">
        <f>IF(B519&gt;C519,B519-C519,C519-B519)</f>
        <v>2.6840000000000197E-3</v>
      </c>
      <c r="E519">
        <f>MINUTE(D519)</f>
        <v>3</v>
      </c>
      <c r="F519">
        <f>SECOND(D519)</f>
        <v>52</v>
      </c>
      <c r="G519">
        <f>ROUND(E519+F519/60,2)</f>
        <v>3.87</v>
      </c>
      <c r="H519">
        <f>60*E519+F519</f>
        <v>232</v>
      </c>
      <c r="I519" s="3">
        <f>5*(3600/H519)</f>
        <v>77.58620689655173</v>
      </c>
    </row>
    <row r="520" spans="1:9" x14ac:dyDescent="0.25">
      <c r="A520" s="4" t="s">
        <v>47</v>
      </c>
      <c r="B520" s="1">
        <v>0.807975</v>
      </c>
      <c r="C520" s="1">
        <v>0.80529099999999998</v>
      </c>
      <c r="D520" s="1">
        <f>IF(B520&gt;C520,B520-C520,C520-B520)</f>
        <v>2.6840000000000197E-3</v>
      </c>
      <c r="E520">
        <f>MINUTE(D520)</f>
        <v>3</v>
      </c>
      <c r="F520">
        <f>SECOND(D520)</f>
        <v>52</v>
      </c>
      <c r="G520">
        <f>ROUND(E520+F520/60,2)</f>
        <v>3.87</v>
      </c>
      <c r="H520">
        <f>60*E520+F520</f>
        <v>232</v>
      </c>
      <c r="I520" s="3">
        <f>5*(3600/H520)</f>
        <v>77.58620689655173</v>
      </c>
    </row>
    <row r="521" spans="1:9" x14ac:dyDescent="0.25">
      <c r="A521" s="4" t="s">
        <v>104</v>
      </c>
      <c r="B521" s="1">
        <v>0.18839400000000001</v>
      </c>
      <c r="C521" s="1">
        <v>0.191078</v>
      </c>
      <c r="D521" s="1">
        <f>IF(B521&gt;C521,B521-C521,C521-B521)</f>
        <v>2.6839999999999919E-3</v>
      </c>
      <c r="E521">
        <f>MINUTE(D521)</f>
        <v>3</v>
      </c>
      <c r="F521">
        <f>SECOND(D521)</f>
        <v>52</v>
      </c>
      <c r="G521">
        <f>ROUND(E521+F521/60,2)</f>
        <v>3.87</v>
      </c>
      <c r="H521">
        <f>60*E521+F521</f>
        <v>232</v>
      </c>
      <c r="I521" s="3">
        <f>5*(3600/H521)</f>
        <v>77.58620689655173</v>
      </c>
    </row>
    <row r="522" spans="1:9" x14ac:dyDescent="0.25">
      <c r="A522" s="4" t="s">
        <v>87</v>
      </c>
      <c r="B522" s="1">
        <v>0.32229000000000002</v>
      </c>
      <c r="C522" s="1">
        <v>0.31961000000000001</v>
      </c>
      <c r="D522" s="1">
        <f>IF(B522&gt;C522,B522-C522,C522-B522)</f>
        <v>2.6800000000000157E-3</v>
      </c>
      <c r="E522">
        <f>MINUTE(D522)</f>
        <v>3</v>
      </c>
      <c r="F522">
        <f>SECOND(D522)</f>
        <v>52</v>
      </c>
      <c r="G522">
        <f>ROUND(E522+F522/60,2)</f>
        <v>3.87</v>
      </c>
      <c r="H522">
        <f>60*E522+F522</f>
        <v>232</v>
      </c>
      <c r="I522" s="3">
        <f>5*(3600/H522)</f>
        <v>77.58620689655173</v>
      </c>
    </row>
    <row r="523" spans="1:9" x14ac:dyDescent="0.25">
      <c r="A523" s="4" t="s">
        <v>290</v>
      </c>
      <c r="B523" s="1">
        <v>0.78090099999999996</v>
      </c>
      <c r="C523" s="1">
        <v>0.77821700000000005</v>
      </c>
      <c r="D523" s="1">
        <f>IF(B523&gt;C523,B523-C523,C523-B523)</f>
        <v>2.6839999999999087E-3</v>
      </c>
      <c r="E523">
        <f>MINUTE(D523)</f>
        <v>3</v>
      </c>
      <c r="F523">
        <f>SECOND(D523)</f>
        <v>52</v>
      </c>
      <c r="G523">
        <f>ROUND(E523+F523/60,2)</f>
        <v>3.87</v>
      </c>
      <c r="H523">
        <f>60*E523+F523</f>
        <v>232</v>
      </c>
      <c r="I523" s="3">
        <f>5*(3600/H523)</f>
        <v>77.58620689655173</v>
      </c>
    </row>
    <row r="524" spans="1:9" x14ac:dyDescent="0.25">
      <c r="A524" s="4" t="s">
        <v>105</v>
      </c>
      <c r="B524" s="1">
        <v>9.3122999999999997E-2</v>
      </c>
      <c r="C524" s="1">
        <v>9.0423000000000003E-2</v>
      </c>
      <c r="D524" s="1">
        <f>IF(B524&gt;C524,B524-C524,C524-B524)</f>
        <v>2.6999999999999941E-3</v>
      </c>
      <c r="E524">
        <f>MINUTE(D524)</f>
        <v>3</v>
      </c>
      <c r="F524">
        <f>SECOND(D524)</f>
        <v>53</v>
      </c>
      <c r="G524">
        <f>ROUND(E524+F524/60,2)</f>
        <v>3.88</v>
      </c>
      <c r="H524">
        <f>60*E524+F524</f>
        <v>233</v>
      </c>
      <c r="I524" s="3">
        <f>5*(3600/H524)</f>
        <v>77.253218884120173</v>
      </c>
    </row>
    <row r="525" spans="1:9" x14ac:dyDescent="0.25">
      <c r="A525" s="4" t="s">
        <v>38</v>
      </c>
      <c r="B525" s="1">
        <v>0.14195199999999999</v>
      </c>
      <c r="C525" s="1">
        <v>0.13925599999999999</v>
      </c>
      <c r="D525" s="1">
        <f>IF(B525&gt;C525,B525-C525,C525-B525)</f>
        <v>2.6960000000000039E-3</v>
      </c>
      <c r="E525">
        <f>MINUTE(D525)</f>
        <v>3</v>
      </c>
      <c r="F525">
        <f>SECOND(D525)</f>
        <v>53</v>
      </c>
      <c r="G525">
        <f>ROUND(E525+F525/60,2)</f>
        <v>3.88</v>
      </c>
      <c r="H525">
        <f>60*E525+F525</f>
        <v>233</v>
      </c>
      <c r="I525" s="3">
        <f>5*(3600/H525)</f>
        <v>77.253218884120173</v>
      </c>
    </row>
    <row r="526" spans="1:9" x14ac:dyDescent="0.25">
      <c r="A526" s="4" t="s">
        <v>331</v>
      </c>
      <c r="B526" s="1">
        <v>0.10241</v>
      </c>
      <c r="C526" s="1">
        <v>9.9713999999999997E-2</v>
      </c>
      <c r="D526" s="1">
        <f>IF(B526&gt;C526,B526-C526,C526-B526)</f>
        <v>2.6960000000000039E-3</v>
      </c>
      <c r="E526">
        <f>MINUTE(D526)</f>
        <v>3</v>
      </c>
      <c r="F526">
        <f>SECOND(D526)</f>
        <v>53</v>
      </c>
      <c r="G526">
        <f>ROUND(E526+F526/60,2)</f>
        <v>3.88</v>
      </c>
      <c r="H526">
        <f>60*E526+F526</f>
        <v>233</v>
      </c>
      <c r="I526" s="3">
        <f>5*(3600/H526)</f>
        <v>77.253218884120173</v>
      </c>
    </row>
    <row r="527" spans="1:9" x14ac:dyDescent="0.25">
      <c r="A527" s="4" t="s">
        <v>10</v>
      </c>
      <c r="B527" s="1">
        <v>0.53941499999999998</v>
      </c>
      <c r="C527" s="1">
        <v>0.53671100000000005</v>
      </c>
      <c r="D527" s="1">
        <f>IF(B527&gt;C527,B527-C527,C527-B527)</f>
        <v>2.7039999999999287E-3</v>
      </c>
      <c r="E527">
        <f>MINUTE(D527)</f>
        <v>3</v>
      </c>
      <c r="F527">
        <f>SECOND(D527)</f>
        <v>54</v>
      </c>
      <c r="G527">
        <f>ROUND(E527+F527/60,2)</f>
        <v>3.9</v>
      </c>
      <c r="H527">
        <f>60*E527+F527</f>
        <v>234</v>
      </c>
      <c r="I527" s="3">
        <f>5*(3600/H527)</f>
        <v>76.92307692307692</v>
      </c>
    </row>
    <row r="528" spans="1:9" x14ac:dyDescent="0.25">
      <c r="A528" s="4" t="s">
        <v>94</v>
      </c>
      <c r="B528" s="1">
        <v>0.44351000000000002</v>
      </c>
      <c r="C528" s="1">
        <v>0.44622200000000001</v>
      </c>
      <c r="D528" s="1">
        <f>IF(B528&gt;C528,B528-C528,C528-B528)</f>
        <v>2.7119999999999922E-3</v>
      </c>
      <c r="E528">
        <f>MINUTE(D528)</f>
        <v>3</v>
      </c>
      <c r="F528">
        <f>SECOND(D528)</f>
        <v>54</v>
      </c>
      <c r="G528">
        <f>ROUND(E528+F528/60,2)</f>
        <v>3.9</v>
      </c>
      <c r="H528">
        <f>60*E528+F528</f>
        <v>234</v>
      </c>
      <c r="I528" s="3">
        <f>5*(3600/H528)</f>
        <v>76.92307692307692</v>
      </c>
    </row>
    <row r="529" spans="1:9" x14ac:dyDescent="0.25">
      <c r="A529" s="4" t="s">
        <v>155</v>
      </c>
      <c r="B529" s="1">
        <v>0.247169</v>
      </c>
      <c r="C529" s="1">
        <v>0.24446100000000001</v>
      </c>
      <c r="D529" s="1">
        <f>IF(B529&gt;C529,B529-C529,C529-B529)</f>
        <v>2.7079999999999882E-3</v>
      </c>
      <c r="E529">
        <f>MINUTE(D529)</f>
        <v>3</v>
      </c>
      <c r="F529">
        <f>SECOND(D529)</f>
        <v>54</v>
      </c>
      <c r="G529">
        <f>ROUND(E529+F529/60,2)</f>
        <v>3.9</v>
      </c>
      <c r="H529">
        <f>60*E529+F529</f>
        <v>234</v>
      </c>
      <c r="I529" s="3">
        <f>5*(3600/H529)</f>
        <v>76.92307692307692</v>
      </c>
    </row>
    <row r="530" spans="1:9" x14ac:dyDescent="0.25">
      <c r="A530" s="4" t="s">
        <v>16</v>
      </c>
      <c r="B530" s="1">
        <v>0.82084800000000002</v>
      </c>
      <c r="C530" s="1">
        <v>0.81814399999999998</v>
      </c>
      <c r="D530" s="1">
        <f>IF(B530&gt;C530,B530-C530,C530-B530)</f>
        <v>2.7040000000000397E-3</v>
      </c>
      <c r="E530">
        <f>MINUTE(D530)</f>
        <v>3</v>
      </c>
      <c r="F530">
        <f>SECOND(D530)</f>
        <v>54</v>
      </c>
      <c r="G530">
        <f>ROUND(E530+F530/60,2)</f>
        <v>3.9</v>
      </c>
      <c r="H530">
        <f>60*E530+F530</f>
        <v>234</v>
      </c>
      <c r="I530" s="3">
        <f>5*(3600/H530)</f>
        <v>76.92307692307692</v>
      </c>
    </row>
    <row r="531" spans="1:9" x14ac:dyDescent="0.25">
      <c r="A531" s="4" t="s">
        <v>178</v>
      </c>
      <c r="B531" s="1">
        <v>0.52383800000000003</v>
      </c>
      <c r="C531" s="1">
        <v>0.52654999999999996</v>
      </c>
      <c r="D531" s="1">
        <f>IF(B531&gt;C531,B531-C531,C531-B531)</f>
        <v>2.7119999999999367E-3</v>
      </c>
      <c r="E531">
        <f>MINUTE(D531)</f>
        <v>3</v>
      </c>
      <c r="F531">
        <f>SECOND(D531)</f>
        <v>54</v>
      </c>
      <c r="G531">
        <f>ROUND(E531+F531/60,2)</f>
        <v>3.9</v>
      </c>
      <c r="H531">
        <f>60*E531+F531</f>
        <v>234</v>
      </c>
      <c r="I531" s="3">
        <f>5*(3600/H531)</f>
        <v>76.92307692307692</v>
      </c>
    </row>
    <row r="532" spans="1:9" x14ac:dyDescent="0.25">
      <c r="A532" s="4" t="s">
        <v>21</v>
      </c>
      <c r="B532" s="1">
        <v>0.54036300000000004</v>
      </c>
      <c r="C532" s="1">
        <v>0.54307099999999997</v>
      </c>
      <c r="D532" s="1">
        <f>IF(B532&gt;C532,B532-C532,C532-B532)</f>
        <v>2.7079999999999327E-3</v>
      </c>
      <c r="E532">
        <f>MINUTE(D532)</f>
        <v>3</v>
      </c>
      <c r="F532">
        <f>SECOND(D532)</f>
        <v>54</v>
      </c>
      <c r="G532">
        <f>ROUND(E532+F532/60,2)</f>
        <v>3.9</v>
      </c>
      <c r="H532">
        <f>60*E532+F532</f>
        <v>234</v>
      </c>
      <c r="I532" s="3">
        <f>5*(3600/H532)</f>
        <v>76.92307692307692</v>
      </c>
    </row>
    <row r="533" spans="1:9" x14ac:dyDescent="0.25">
      <c r="A533" s="4" t="s">
        <v>182</v>
      </c>
      <c r="B533" s="1">
        <v>0.83426</v>
      </c>
      <c r="C533" s="1">
        <v>0.83696800000000005</v>
      </c>
      <c r="D533" s="1">
        <f>IF(B533&gt;C533,B533-C533,C533-B533)</f>
        <v>2.7080000000000437E-3</v>
      </c>
      <c r="E533">
        <f>MINUTE(D533)</f>
        <v>3</v>
      </c>
      <c r="F533">
        <f>SECOND(D533)</f>
        <v>54</v>
      </c>
      <c r="G533">
        <f>ROUND(E533+F533/60,2)</f>
        <v>3.9</v>
      </c>
      <c r="H533">
        <f>60*E533+F533</f>
        <v>234</v>
      </c>
      <c r="I533" s="3">
        <f>5*(3600/H533)</f>
        <v>76.92307692307692</v>
      </c>
    </row>
    <row r="534" spans="1:9" x14ac:dyDescent="0.25">
      <c r="A534" s="4" t="s">
        <v>399</v>
      </c>
      <c r="B534" s="1">
        <v>0.86035300000000003</v>
      </c>
      <c r="C534" s="1">
        <v>0.86306099999999997</v>
      </c>
      <c r="D534" s="1">
        <f>IF(B534&gt;C534,B534-C534,C534-B534)</f>
        <v>2.7079999999999327E-3</v>
      </c>
      <c r="E534">
        <f>MINUTE(D534)</f>
        <v>3</v>
      </c>
      <c r="F534">
        <f>SECOND(D534)</f>
        <v>54</v>
      </c>
      <c r="G534">
        <f>ROUND(E534+F534/60,2)</f>
        <v>3.9</v>
      </c>
      <c r="H534">
        <f>60*E534+F534</f>
        <v>234</v>
      </c>
      <c r="I534" s="3">
        <f>5*(3600/H534)</f>
        <v>76.92307692307692</v>
      </c>
    </row>
    <row r="535" spans="1:9" x14ac:dyDescent="0.25">
      <c r="A535" s="4" t="s">
        <v>160</v>
      </c>
      <c r="B535" s="1">
        <v>0.46384300000000001</v>
      </c>
      <c r="C535" s="1">
        <v>0.46656300000000001</v>
      </c>
      <c r="D535" s="1">
        <f>IF(B535&gt;C535,B535-C535,C535-B535)</f>
        <v>2.7200000000000002E-3</v>
      </c>
      <c r="E535">
        <f>MINUTE(D535)</f>
        <v>3</v>
      </c>
      <c r="F535">
        <f>SECOND(D535)</f>
        <v>55</v>
      </c>
      <c r="G535">
        <f>ROUND(E535+F535/60,2)</f>
        <v>3.92</v>
      </c>
      <c r="H535">
        <f>60*E535+F535</f>
        <v>235</v>
      </c>
      <c r="I535" s="3">
        <f>5*(3600/H535)</f>
        <v>76.59574468085107</v>
      </c>
    </row>
    <row r="536" spans="1:9" x14ac:dyDescent="0.25">
      <c r="A536" s="4" t="s">
        <v>47</v>
      </c>
      <c r="B536" s="1">
        <v>0.85342399999999996</v>
      </c>
      <c r="C536" s="1">
        <v>0.85614800000000002</v>
      </c>
      <c r="D536" s="1">
        <f>IF(B536&gt;C536,B536-C536,C536-B536)</f>
        <v>2.7240000000000597E-3</v>
      </c>
      <c r="E536">
        <f>MINUTE(D536)</f>
        <v>3</v>
      </c>
      <c r="F536">
        <f>SECOND(D536)</f>
        <v>55</v>
      </c>
      <c r="G536">
        <f>ROUND(E536+F536/60,2)</f>
        <v>3.92</v>
      </c>
      <c r="H536">
        <f>60*E536+F536</f>
        <v>235</v>
      </c>
      <c r="I536" s="3">
        <f>5*(3600/H536)</f>
        <v>76.59574468085107</v>
      </c>
    </row>
    <row r="537" spans="1:9" x14ac:dyDescent="0.25">
      <c r="A537" s="4" t="s">
        <v>139</v>
      </c>
      <c r="B537" s="1">
        <v>0.89180499999999996</v>
      </c>
      <c r="C537" s="1">
        <v>0.89452100000000001</v>
      </c>
      <c r="D537" s="1">
        <f>IF(B537&gt;C537,B537-C537,C537-B537)</f>
        <v>2.7160000000000517E-3</v>
      </c>
      <c r="E537">
        <f>MINUTE(D537)</f>
        <v>3</v>
      </c>
      <c r="F537">
        <f>SECOND(D537)</f>
        <v>55</v>
      </c>
      <c r="G537">
        <f>ROUND(E537+F537/60,2)</f>
        <v>3.92</v>
      </c>
      <c r="H537">
        <f>60*E537+F537</f>
        <v>235</v>
      </c>
      <c r="I537" s="3">
        <f>5*(3600/H537)</f>
        <v>76.59574468085107</v>
      </c>
    </row>
    <row r="538" spans="1:9" x14ac:dyDescent="0.25">
      <c r="A538" s="4" t="s">
        <v>144</v>
      </c>
      <c r="B538" s="1">
        <v>3.9156999999999997E-2</v>
      </c>
      <c r="C538" s="1">
        <v>4.1876999999999998E-2</v>
      </c>
      <c r="D538" s="1">
        <f>IF(B538&gt;C538,B538-C538,C538-B538)</f>
        <v>2.7200000000000002E-3</v>
      </c>
      <c r="E538">
        <f>MINUTE(D538)</f>
        <v>3</v>
      </c>
      <c r="F538">
        <f>SECOND(D538)</f>
        <v>55</v>
      </c>
      <c r="G538">
        <f>ROUND(E538+F538/60,2)</f>
        <v>3.92</v>
      </c>
      <c r="H538">
        <f>60*E538+F538</f>
        <v>235</v>
      </c>
      <c r="I538" s="3">
        <f>5*(3600/H538)</f>
        <v>76.59574468085107</v>
      </c>
    </row>
    <row r="539" spans="1:9" x14ac:dyDescent="0.25">
      <c r="A539" s="4" t="s">
        <v>156</v>
      </c>
      <c r="B539" s="1">
        <v>0.77753799999999995</v>
      </c>
      <c r="C539" s="1">
        <v>0.774814</v>
      </c>
      <c r="D539" s="1">
        <f>IF(B539&gt;C539,B539-C539,C539-B539)</f>
        <v>2.7239999999999487E-3</v>
      </c>
      <c r="E539">
        <f>MINUTE(D539)</f>
        <v>3</v>
      </c>
      <c r="F539">
        <f>SECOND(D539)</f>
        <v>55</v>
      </c>
      <c r="G539">
        <f>ROUND(E539+F539/60,2)</f>
        <v>3.92</v>
      </c>
      <c r="H539">
        <f>60*E539+F539</f>
        <v>235</v>
      </c>
      <c r="I539" s="3">
        <f>5*(3600/H539)</f>
        <v>76.59574468085107</v>
      </c>
    </row>
    <row r="540" spans="1:9" x14ac:dyDescent="0.25">
      <c r="A540" s="4" t="s">
        <v>5</v>
      </c>
      <c r="B540" s="1">
        <v>0.98460700000000001</v>
      </c>
      <c r="C540" s="1">
        <v>0.98188699999999995</v>
      </c>
      <c r="D540" s="1">
        <f>IF(B540&gt;C540,B540-C540,C540-B540)</f>
        <v>2.7200000000000557E-3</v>
      </c>
      <c r="E540">
        <f>MINUTE(D540)</f>
        <v>3</v>
      </c>
      <c r="F540">
        <f>SECOND(D540)</f>
        <v>55</v>
      </c>
      <c r="G540">
        <f>ROUND(E540+F540/60,2)</f>
        <v>3.92</v>
      </c>
      <c r="H540">
        <f>60*E540+F540</f>
        <v>235</v>
      </c>
      <c r="I540" s="3">
        <f>5*(3600/H540)</f>
        <v>76.59574468085107</v>
      </c>
    </row>
    <row r="541" spans="1:9" x14ac:dyDescent="0.25">
      <c r="A541" s="4" t="s">
        <v>5</v>
      </c>
      <c r="B541" s="1">
        <v>0.85437099999999999</v>
      </c>
      <c r="C541" s="1">
        <v>0.85165500000000005</v>
      </c>
      <c r="D541" s="1">
        <f>IF(B541&gt;C541,B541-C541,C541-B541)</f>
        <v>2.7159999999999407E-3</v>
      </c>
      <c r="E541">
        <f>MINUTE(D541)</f>
        <v>3</v>
      </c>
      <c r="F541">
        <f>SECOND(D541)</f>
        <v>55</v>
      </c>
      <c r="G541">
        <f>ROUND(E541+F541/60,2)</f>
        <v>3.92</v>
      </c>
      <c r="H541">
        <f>60*E541+F541</f>
        <v>235</v>
      </c>
      <c r="I541" s="3">
        <f>5*(3600/H541)</f>
        <v>76.59574468085107</v>
      </c>
    </row>
    <row r="542" spans="1:9" x14ac:dyDescent="0.25">
      <c r="A542" s="4" t="s">
        <v>123</v>
      </c>
      <c r="B542" s="1">
        <v>0.38374799999999998</v>
      </c>
      <c r="C542" s="1">
        <v>0.38646399999999997</v>
      </c>
      <c r="D542" s="1">
        <f>IF(B542&gt;C542,B542-C542,C542-B542)</f>
        <v>2.7159999999999962E-3</v>
      </c>
      <c r="E542">
        <f>MINUTE(D542)</f>
        <v>3</v>
      </c>
      <c r="F542">
        <f>SECOND(D542)</f>
        <v>55</v>
      </c>
      <c r="G542">
        <f>ROUND(E542+F542/60,2)</f>
        <v>3.92</v>
      </c>
      <c r="H542">
        <f>60*E542+F542</f>
        <v>235</v>
      </c>
      <c r="I542" s="3">
        <f>5*(3600/H542)</f>
        <v>76.59574468085107</v>
      </c>
    </row>
    <row r="543" spans="1:9" x14ac:dyDescent="0.25">
      <c r="A543" s="4" t="s">
        <v>155</v>
      </c>
      <c r="B543" s="1">
        <v>0.58026999999999995</v>
      </c>
      <c r="C543" s="1">
        <v>0.58299400000000001</v>
      </c>
      <c r="D543" s="1">
        <f>IF(B543&gt;C543,B543-C543,C543-B543)</f>
        <v>2.7240000000000597E-3</v>
      </c>
      <c r="E543">
        <f>MINUTE(D543)</f>
        <v>3</v>
      </c>
      <c r="F543">
        <f>SECOND(D543)</f>
        <v>55</v>
      </c>
      <c r="G543">
        <f>ROUND(E543+F543/60,2)</f>
        <v>3.92</v>
      </c>
      <c r="H543">
        <f>60*E543+F543</f>
        <v>235</v>
      </c>
      <c r="I543" s="3">
        <f>5*(3600/H543)</f>
        <v>76.59574468085107</v>
      </c>
    </row>
    <row r="544" spans="1:9" x14ac:dyDescent="0.25">
      <c r="A544" s="4" t="s">
        <v>256</v>
      </c>
      <c r="B544" s="1">
        <v>0.72481799999999996</v>
      </c>
      <c r="C544" s="1">
        <v>0.72209800000000002</v>
      </c>
      <c r="D544" s="1">
        <f>IF(B544&gt;C544,B544-C544,C544-B544)</f>
        <v>2.7199999999999447E-3</v>
      </c>
      <c r="E544">
        <f>MINUTE(D544)</f>
        <v>3</v>
      </c>
      <c r="F544">
        <f>SECOND(D544)</f>
        <v>55</v>
      </c>
      <c r="G544">
        <f>ROUND(E544+F544/60,2)</f>
        <v>3.92</v>
      </c>
      <c r="H544">
        <f>60*E544+F544</f>
        <v>235</v>
      </c>
      <c r="I544" s="3">
        <f>5*(3600/H544)</f>
        <v>76.59574468085107</v>
      </c>
    </row>
    <row r="545" spans="1:9" x14ac:dyDescent="0.25">
      <c r="A545" s="4" t="s">
        <v>70</v>
      </c>
      <c r="B545" s="1">
        <v>0.83702100000000002</v>
      </c>
      <c r="C545" s="1">
        <v>0.83974899999999997</v>
      </c>
      <c r="D545" s="1">
        <f>IF(B545&gt;C545,B545-C545,C545-B545)</f>
        <v>2.7279999999999527E-3</v>
      </c>
      <c r="E545">
        <f>MINUTE(D545)</f>
        <v>3</v>
      </c>
      <c r="F545">
        <f>SECOND(D545)</f>
        <v>56</v>
      </c>
      <c r="G545">
        <f>ROUND(E545+F545/60,2)</f>
        <v>3.93</v>
      </c>
      <c r="H545">
        <f>60*E545+F545</f>
        <v>236</v>
      </c>
      <c r="I545" s="3">
        <f>5*(3600/H545)</f>
        <v>76.271186440677965</v>
      </c>
    </row>
    <row r="546" spans="1:9" x14ac:dyDescent="0.25">
      <c r="A546" s="4" t="s">
        <v>109</v>
      </c>
      <c r="B546" s="1">
        <v>0.116871</v>
      </c>
      <c r="C546" s="1">
        <v>0.114135</v>
      </c>
      <c r="D546" s="1">
        <f>IF(B546&gt;C546,B546-C546,C546-B546)</f>
        <v>2.7360000000000023E-3</v>
      </c>
      <c r="E546">
        <f>MINUTE(D546)</f>
        <v>3</v>
      </c>
      <c r="F546">
        <f>SECOND(D546)</f>
        <v>56</v>
      </c>
      <c r="G546">
        <f>ROUND(E546+F546/60,2)</f>
        <v>3.93</v>
      </c>
      <c r="H546">
        <f>60*E546+F546</f>
        <v>236</v>
      </c>
      <c r="I546" s="3">
        <f>5*(3600/H546)</f>
        <v>76.271186440677965</v>
      </c>
    </row>
    <row r="547" spans="1:9" x14ac:dyDescent="0.25">
      <c r="A547" s="4" t="s">
        <v>27</v>
      </c>
      <c r="B547" s="1">
        <v>0.888069</v>
      </c>
      <c r="C547" s="1">
        <v>0.88534100000000004</v>
      </c>
      <c r="D547" s="1">
        <f>IF(B547&gt;C547,B547-C547,C547-B547)</f>
        <v>2.7279999999999527E-3</v>
      </c>
      <c r="E547">
        <f>MINUTE(D547)</f>
        <v>3</v>
      </c>
      <c r="F547">
        <f>SECOND(D547)</f>
        <v>56</v>
      </c>
      <c r="G547">
        <f>ROUND(E547+F547/60,2)</f>
        <v>3.93</v>
      </c>
      <c r="H547">
        <f>60*E547+F547</f>
        <v>236</v>
      </c>
      <c r="I547" s="3">
        <f>5*(3600/H547)</f>
        <v>76.271186440677965</v>
      </c>
    </row>
    <row r="548" spans="1:9" x14ac:dyDescent="0.25">
      <c r="A548" s="4" t="s">
        <v>44</v>
      </c>
      <c r="B548" s="1">
        <v>0.35200999999999999</v>
      </c>
      <c r="C548" s="1">
        <v>0.354738</v>
      </c>
      <c r="D548" s="1">
        <f>IF(B548&gt;C548,B548-C548,C548-B548)</f>
        <v>2.7280000000000082E-3</v>
      </c>
      <c r="E548">
        <f>MINUTE(D548)</f>
        <v>3</v>
      </c>
      <c r="F548">
        <f>SECOND(D548)</f>
        <v>56</v>
      </c>
      <c r="G548">
        <f>ROUND(E548+F548/60,2)</f>
        <v>3.93</v>
      </c>
      <c r="H548">
        <f>60*E548+F548</f>
        <v>236</v>
      </c>
      <c r="I548" s="3">
        <f>5*(3600/H548)</f>
        <v>76.271186440677965</v>
      </c>
    </row>
    <row r="549" spans="1:9" x14ac:dyDescent="0.25">
      <c r="A549" s="4" t="s">
        <v>60</v>
      </c>
      <c r="B549" s="1">
        <v>0.56916199999999995</v>
      </c>
      <c r="C549" s="1">
        <v>0.56642999999999999</v>
      </c>
      <c r="D549" s="1">
        <f>IF(B549&gt;C549,B549-C549,C549-B549)</f>
        <v>2.7319999999999567E-3</v>
      </c>
      <c r="E549">
        <f>MINUTE(D549)</f>
        <v>3</v>
      </c>
      <c r="F549">
        <f>SECOND(D549)</f>
        <v>56</v>
      </c>
      <c r="G549">
        <f>ROUND(E549+F549/60,2)</f>
        <v>3.93</v>
      </c>
      <c r="H549">
        <f>60*E549+F549</f>
        <v>236</v>
      </c>
      <c r="I549" s="3">
        <f>5*(3600/H549)</f>
        <v>76.271186440677965</v>
      </c>
    </row>
    <row r="550" spans="1:9" x14ac:dyDescent="0.25">
      <c r="A550" s="4" t="s">
        <v>142</v>
      </c>
      <c r="B550" s="1">
        <v>0.12570400000000001</v>
      </c>
      <c r="C550" s="1">
        <v>0.122964</v>
      </c>
      <c r="D550" s="1">
        <f>IF(B550&gt;C550,B550-C550,C550-B550)</f>
        <v>2.7400000000000063E-3</v>
      </c>
      <c r="E550">
        <f>MINUTE(D550)</f>
        <v>3</v>
      </c>
      <c r="F550">
        <f>SECOND(D550)</f>
        <v>57</v>
      </c>
      <c r="G550">
        <f>ROUND(E550+F550/60,2)</f>
        <v>3.95</v>
      </c>
      <c r="H550">
        <f>60*E550+F550</f>
        <v>237</v>
      </c>
      <c r="I550" s="3">
        <f>5*(3600/H550)</f>
        <v>75.949367088607588</v>
      </c>
    </row>
    <row r="551" spans="1:9" x14ac:dyDescent="0.25">
      <c r="A551" s="4" t="s">
        <v>7</v>
      </c>
      <c r="B551" s="1">
        <v>0.54949499999999996</v>
      </c>
      <c r="C551" s="1">
        <v>0.54675499999999999</v>
      </c>
      <c r="D551" s="1">
        <f>IF(B551&gt;C551,B551-C551,C551-B551)</f>
        <v>2.7399999999999647E-3</v>
      </c>
      <c r="E551">
        <f>MINUTE(D551)</f>
        <v>3</v>
      </c>
      <c r="F551">
        <f>SECOND(D551)</f>
        <v>57</v>
      </c>
      <c r="G551">
        <f>ROUND(E551+F551/60,2)</f>
        <v>3.95</v>
      </c>
      <c r="H551">
        <f>60*E551+F551</f>
        <v>237</v>
      </c>
      <c r="I551" s="3">
        <f>5*(3600/H551)</f>
        <v>75.949367088607588</v>
      </c>
    </row>
    <row r="552" spans="1:9" x14ac:dyDescent="0.25">
      <c r="A552" s="4" t="s">
        <v>27</v>
      </c>
      <c r="B552" s="1">
        <v>0.19815199999999999</v>
      </c>
      <c r="C552" s="1">
        <v>0.20089599999999999</v>
      </c>
      <c r="D552" s="1">
        <f>IF(B552&gt;C552,B552-C552,C552-B552)</f>
        <v>2.7439999999999964E-3</v>
      </c>
      <c r="E552">
        <f>MINUTE(D552)</f>
        <v>3</v>
      </c>
      <c r="F552">
        <f>SECOND(D552)</f>
        <v>57</v>
      </c>
      <c r="G552">
        <f>ROUND(E552+F552/60,2)</f>
        <v>3.95</v>
      </c>
      <c r="H552">
        <f>60*E552+F552</f>
        <v>237</v>
      </c>
      <c r="I552" s="3">
        <f>5*(3600/H552)</f>
        <v>75.949367088607588</v>
      </c>
    </row>
    <row r="553" spans="1:9" x14ac:dyDescent="0.25">
      <c r="A553" s="4" t="s">
        <v>115</v>
      </c>
      <c r="B553" s="1">
        <v>0.492419</v>
      </c>
      <c r="C553" s="1">
        <v>0.49516300000000002</v>
      </c>
      <c r="D553" s="1">
        <f>IF(B553&gt;C553,B553-C553,C553-B553)</f>
        <v>2.7440000000000242E-3</v>
      </c>
      <c r="E553">
        <f>MINUTE(D553)</f>
        <v>3</v>
      </c>
      <c r="F553">
        <f>SECOND(D553)</f>
        <v>57</v>
      </c>
      <c r="G553">
        <f>ROUND(E553+F553/60,2)</f>
        <v>3.95</v>
      </c>
      <c r="H553">
        <f>60*E553+F553</f>
        <v>237</v>
      </c>
      <c r="I553" s="3">
        <f>5*(3600/H553)</f>
        <v>75.949367088607588</v>
      </c>
    </row>
    <row r="554" spans="1:9" x14ac:dyDescent="0.25">
      <c r="A554" s="4" t="s">
        <v>347</v>
      </c>
      <c r="B554" s="1">
        <v>0.24433299999999999</v>
      </c>
      <c r="C554" s="1">
        <v>0.24707699999999999</v>
      </c>
      <c r="D554" s="1">
        <f>IF(B554&gt;C554,B554-C554,C554-B554)</f>
        <v>2.7439999999999964E-3</v>
      </c>
      <c r="E554">
        <f>MINUTE(D554)</f>
        <v>3</v>
      </c>
      <c r="F554">
        <f>SECOND(D554)</f>
        <v>57</v>
      </c>
      <c r="G554">
        <f>ROUND(E554+F554/60,2)</f>
        <v>3.95</v>
      </c>
      <c r="H554">
        <f>60*E554+F554</f>
        <v>237</v>
      </c>
      <c r="I554" s="3">
        <f>5*(3600/H554)</f>
        <v>75.949367088607588</v>
      </c>
    </row>
    <row r="555" spans="1:9" x14ac:dyDescent="0.25">
      <c r="A555" s="4" t="s">
        <v>17</v>
      </c>
      <c r="B555" s="1">
        <v>0.136911</v>
      </c>
      <c r="C555" s="1">
        <v>0.134159</v>
      </c>
      <c r="D555" s="1">
        <f>IF(B555&gt;C555,B555-C555,C555-B555)</f>
        <v>2.7520000000000044E-3</v>
      </c>
      <c r="E555">
        <f>MINUTE(D555)</f>
        <v>3</v>
      </c>
      <c r="F555">
        <f>SECOND(D555)</f>
        <v>58</v>
      </c>
      <c r="G555">
        <f>ROUND(E555+F555/60,2)</f>
        <v>3.97</v>
      </c>
      <c r="H555">
        <f>60*E555+F555</f>
        <v>238</v>
      </c>
      <c r="I555" s="3">
        <f>5*(3600/H555)</f>
        <v>75.630252100840337</v>
      </c>
    </row>
    <row r="556" spans="1:9" x14ac:dyDescent="0.25">
      <c r="A556" s="4" t="s">
        <v>158</v>
      </c>
      <c r="B556" s="1">
        <v>0.58547800000000005</v>
      </c>
      <c r="C556" s="1">
        <v>0.58823000000000003</v>
      </c>
      <c r="D556" s="1">
        <f>IF(B556&gt;C556,B556-C556,C556-B556)</f>
        <v>2.7519999999999767E-3</v>
      </c>
      <c r="E556">
        <f>MINUTE(D556)</f>
        <v>3</v>
      </c>
      <c r="F556">
        <f>SECOND(D556)</f>
        <v>58</v>
      </c>
      <c r="G556">
        <f>ROUND(E556+F556/60,2)</f>
        <v>3.97</v>
      </c>
      <c r="H556">
        <f>60*E556+F556</f>
        <v>238</v>
      </c>
      <c r="I556" s="3">
        <f>5*(3600/H556)</f>
        <v>75.630252100840337</v>
      </c>
    </row>
    <row r="557" spans="1:9" x14ac:dyDescent="0.25">
      <c r="A557" s="4" t="s">
        <v>341</v>
      </c>
      <c r="B557" s="1">
        <v>0.70019799999999999</v>
      </c>
      <c r="C557" s="1">
        <v>0.70295399999999997</v>
      </c>
      <c r="D557" s="1">
        <f>IF(B557&gt;C557,B557-C557,C557-B557)</f>
        <v>2.7559999999999807E-3</v>
      </c>
      <c r="E557">
        <f>MINUTE(D557)</f>
        <v>3</v>
      </c>
      <c r="F557">
        <f>SECOND(D557)</f>
        <v>58</v>
      </c>
      <c r="G557">
        <f>ROUND(E557+F557/60,2)</f>
        <v>3.97</v>
      </c>
      <c r="H557">
        <f>60*E557+F557</f>
        <v>238</v>
      </c>
      <c r="I557" s="3">
        <f>5*(3600/H557)</f>
        <v>75.630252100840337</v>
      </c>
    </row>
    <row r="558" spans="1:9" x14ac:dyDescent="0.25">
      <c r="A558" s="4" t="s">
        <v>41</v>
      </c>
      <c r="B558" s="1">
        <v>0.61574300000000004</v>
      </c>
      <c r="C558" s="1">
        <v>0.61297900000000005</v>
      </c>
      <c r="D558" s="1">
        <f>IF(B558&gt;C558,B558-C558,C558-B558)</f>
        <v>2.7639999999999887E-3</v>
      </c>
      <c r="E558">
        <f>MINUTE(D558)</f>
        <v>3</v>
      </c>
      <c r="F558">
        <f>SECOND(D558)</f>
        <v>59</v>
      </c>
      <c r="G558">
        <f>ROUND(E558+F558/60,2)</f>
        <v>3.98</v>
      </c>
      <c r="H558">
        <f>60*E558+F558</f>
        <v>239</v>
      </c>
      <c r="I558" s="3">
        <f>5*(3600/H558)</f>
        <v>75.313807531380746</v>
      </c>
    </row>
    <row r="559" spans="1:9" x14ac:dyDescent="0.25">
      <c r="A559" s="4" t="s">
        <v>132</v>
      </c>
      <c r="B559" s="1">
        <v>6.6352999999999995E-2</v>
      </c>
      <c r="C559" s="1">
        <v>6.3589000000000007E-2</v>
      </c>
      <c r="D559" s="1">
        <f>IF(B559&gt;C559,B559-C559,C559-B559)</f>
        <v>2.7639999999999887E-3</v>
      </c>
      <c r="E559">
        <f>MINUTE(D559)</f>
        <v>3</v>
      </c>
      <c r="F559">
        <f>SECOND(D559)</f>
        <v>59</v>
      </c>
      <c r="G559">
        <f>ROUND(E559+F559/60,2)</f>
        <v>3.98</v>
      </c>
      <c r="H559">
        <f>60*E559+F559</f>
        <v>239</v>
      </c>
      <c r="I559" s="3">
        <f>5*(3600/H559)</f>
        <v>75.313807531380746</v>
      </c>
    </row>
    <row r="560" spans="1:9" x14ac:dyDescent="0.25">
      <c r="A560" s="4" t="s">
        <v>333</v>
      </c>
      <c r="B560" s="1">
        <v>0.288352</v>
      </c>
      <c r="C560" s="1">
        <v>0.29111999999999999</v>
      </c>
      <c r="D560" s="1">
        <f>IF(B560&gt;C560,B560-C560,C560-B560)</f>
        <v>2.7679999999999927E-3</v>
      </c>
      <c r="E560">
        <f>MINUTE(D560)</f>
        <v>3</v>
      </c>
      <c r="F560">
        <f>SECOND(D560)</f>
        <v>59</v>
      </c>
      <c r="G560">
        <f>ROUND(E560+F560/60,2)</f>
        <v>3.98</v>
      </c>
      <c r="H560">
        <f>60*E560+F560</f>
        <v>239</v>
      </c>
      <c r="I560" s="3">
        <f>5*(3600/H560)</f>
        <v>75.313807531380746</v>
      </c>
    </row>
    <row r="561" spans="1:9" x14ac:dyDescent="0.25">
      <c r="A561" s="8" t="s">
        <v>133</v>
      </c>
      <c r="B561" s="1">
        <v>0.86760800000000005</v>
      </c>
      <c r="C561" s="1">
        <v>0.87038800000000005</v>
      </c>
      <c r="D561" s="1">
        <f>IF(B561&gt;C561,B561-C561,C561-B561)</f>
        <v>2.7800000000000047E-3</v>
      </c>
      <c r="E561">
        <f>MINUTE(D561)</f>
        <v>4</v>
      </c>
      <c r="F561">
        <f>SECOND(D561)</f>
        <v>0</v>
      </c>
      <c r="G561">
        <f>ROUND(E561+F561/60,2)</f>
        <v>4</v>
      </c>
      <c r="H561">
        <f>60*E561+F561</f>
        <v>240</v>
      </c>
      <c r="I561" s="10">
        <f>5*(3600/H561)</f>
        <v>75</v>
      </c>
    </row>
    <row r="562" spans="1:9" x14ac:dyDescent="0.25">
      <c r="A562" s="4" t="s">
        <v>161</v>
      </c>
      <c r="B562" s="1">
        <v>0.75155000000000005</v>
      </c>
      <c r="C562" s="1">
        <v>0.75432600000000005</v>
      </c>
      <c r="D562" s="1">
        <f>IF(B562&gt;C562,B562-C562,C562-B562)</f>
        <v>2.7760000000000007E-3</v>
      </c>
      <c r="E562">
        <f>MINUTE(D562)</f>
        <v>4</v>
      </c>
      <c r="F562">
        <f>SECOND(D562)</f>
        <v>0</v>
      </c>
      <c r="G562">
        <f>ROUND(E562+F562/60,2)</f>
        <v>4</v>
      </c>
      <c r="H562">
        <f>60*E562+F562</f>
        <v>240</v>
      </c>
      <c r="I562" s="3">
        <f>5*(3600/H562)</f>
        <v>75</v>
      </c>
    </row>
    <row r="563" spans="1:9" x14ac:dyDescent="0.25">
      <c r="A563" s="4" t="s">
        <v>75</v>
      </c>
      <c r="B563" s="1">
        <v>0.75184499999999999</v>
      </c>
      <c r="C563" s="1">
        <v>0.75461699999999998</v>
      </c>
      <c r="D563" s="1">
        <f>IF(B563&gt;C563,B563-C563,C563-B563)</f>
        <v>2.7719999999999967E-3</v>
      </c>
      <c r="E563">
        <f>MINUTE(D563)</f>
        <v>4</v>
      </c>
      <c r="F563">
        <f>SECOND(D563)</f>
        <v>0</v>
      </c>
      <c r="G563">
        <f>ROUND(E563+F563/60,2)</f>
        <v>4</v>
      </c>
      <c r="H563">
        <f>60*E563+F563</f>
        <v>240</v>
      </c>
      <c r="I563" s="3">
        <f>5*(3600/H563)</f>
        <v>75</v>
      </c>
    </row>
    <row r="564" spans="1:9" x14ac:dyDescent="0.25">
      <c r="A564" s="4" t="s">
        <v>25</v>
      </c>
      <c r="B564" s="1">
        <v>0.93257800000000002</v>
      </c>
      <c r="C564" s="1">
        <v>0.92980200000000002</v>
      </c>
      <c r="D564" s="1">
        <f>IF(B564&gt;C564,B564-C564,C564-B564)</f>
        <v>2.7760000000000007E-3</v>
      </c>
      <c r="E564">
        <f>MINUTE(D564)</f>
        <v>4</v>
      </c>
      <c r="F564">
        <f>SECOND(D564)</f>
        <v>0</v>
      </c>
      <c r="G564">
        <f>ROUND(E564+F564/60,2)</f>
        <v>4</v>
      </c>
      <c r="H564">
        <f>60*E564+F564</f>
        <v>240</v>
      </c>
      <c r="I564" s="3">
        <f>5*(3600/H564)</f>
        <v>75</v>
      </c>
    </row>
    <row r="565" spans="1:9" x14ac:dyDescent="0.25">
      <c r="A565" s="4" t="s">
        <v>93</v>
      </c>
      <c r="B565" s="1">
        <v>2.2315999999999999E-2</v>
      </c>
      <c r="C565" s="1">
        <v>1.9543999999999999E-2</v>
      </c>
      <c r="D565" s="1">
        <f>IF(B565&gt;C565,B565-C565,C565-B565)</f>
        <v>2.7720000000000002E-3</v>
      </c>
      <c r="E565">
        <f>MINUTE(D565)</f>
        <v>4</v>
      </c>
      <c r="F565">
        <f>SECOND(D565)</f>
        <v>0</v>
      </c>
      <c r="G565">
        <f>ROUND(E565+F565/60,2)</f>
        <v>4</v>
      </c>
      <c r="H565">
        <f>60*E565+F565</f>
        <v>240</v>
      </c>
      <c r="I565" s="3">
        <f>5*(3600/H565)</f>
        <v>75</v>
      </c>
    </row>
    <row r="566" spans="1:9" x14ac:dyDescent="0.25">
      <c r="A566" s="4" t="s">
        <v>227</v>
      </c>
      <c r="B566" s="1">
        <v>0.529331</v>
      </c>
      <c r="C566" s="1">
        <v>0.532107</v>
      </c>
      <c r="D566" s="1">
        <f>IF(B566&gt;C566,B566-C566,C566-B566)</f>
        <v>2.7760000000000007E-3</v>
      </c>
      <c r="E566">
        <f>MINUTE(D566)</f>
        <v>4</v>
      </c>
      <c r="F566">
        <f>SECOND(D566)</f>
        <v>0</v>
      </c>
      <c r="G566">
        <f>ROUND(E566+F566/60,2)</f>
        <v>4</v>
      </c>
      <c r="H566">
        <f>60*E566+F566</f>
        <v>240</v>
      </c>
      <c r="I566" s="3">
        <f>5*(3600/H566)</f>
        <v>75</v>
      </c>
    </row>
    <row r="567" spans="1:9" x14ac:dyDescent="0.25">
      <c r="A567" s="4" t="s">
        <v>66</v>
      </c>
      <c r="B567" s="1">
        <v>6.5331E-2</v>
      </c>
      <c r="C567" s="1">
        <v>6.2547000000000005E-2</v>
      </c>
      <c r="D567" s="1">
        <f>IF(B567&gt;C567,B567-C567,C567-B567)</f>
        <v>2.7839999999999948E-3</v>
      </c>
      <c r="E567">
        <f>MINUTE(D567)</f>
        <v>4</v>
      </c>
      <c r="F567">
        <f>SECOND(D567)</f>
        <v>1</v>
      </c>
      <c r="G567">
        <f>ROUND(E567+F567/60,2)</f>
        <v>4.0199999999999996</v>
      </c>
      <c r="H567">
        <f>60*E567+F567</f>
        <v>241</v>
      </c>
      <c r="I567" s="3">
        <f>5*(3600/H567)</f>
        <v>74.68879668049793</v>
      </c>
    </row>
    <row r="568" spans="1:9" x14ac:dyDescent="0.25">
      <c r="A568" s="4" t="s">
        <v>91</v>
      </c>
      <c r="B568" s="1">
        <v>0.52953499999999998</v>
      </c>
      <c r="C568" s="1">
        <v>0.52674299999999996</v>
      </c>
      <c r="D568" s="1">
        <f>IF(B568&gt;C568,B568-C568,C568-B568)</f>
        <v>2.7920000000000167E-3</v>
      </c>
      <c r="E568">
        <f>MINUTE(D568)</f>
        <v>4</v>
      </c>
      <c r="F568">
        <f>SECOND(D568)</f>
        <v>1</v>
      </c>
      <c r="G568">
        <f>ROUND(E568+F568/60,2)</f>
        <v>4.0199999999999996</v>
      </c>
      <c r="H568">
        <f>60*E568+F568</f>
        <v>241</v>
      </c>
      <c r="I568" s="3">
        <f>5*(3600/H568)</f>
        <v>74.68879668049793</v>
      </c>
    </row>
    <row r="569" spans="1:9" x14ac:dyDescent="0.25">
      <c r="A569" s="4" t="s">
        <v>429</v>
      </c>
      <c r="B569" s="1">
        <v>0.85646699999999998</v>
      </c>
      <c r="C569" s="1">
        <v>0.85925499999999999</v>
      </c>
      <c r="D569" s="1">
        <f>IF(B569&gt;C569,B569-C569,C569-B569)</f>
        <v>2.7880000000000127E-3</v>
      </c>
      <c r="E569">
        <f>MINUTE(D569)</f>
        <v>4</v>
      </c>
      <c r="F569">
        <f>SECOND(D569)</f>
        <v>1</v>
      </c>
      <c r="G569">
        <f>ROUND(E569+F569/60,2)</f>
        <v>4.0199999999999996</v>
      </c>
      <c r="H569">
        <f>60*E569+F569</f>
        <v>241</v>
      </c>
      <c r="I569" s="3">
        <f>5*(3600/H569)</f>
        <v>74.68879668049793</v>
      </c>
    </row>
    <row r="570" spans="1:9" x14ac:dyDescent="0.25">
      <c r="A570" s="4" t="s">
        <v>162</v>
      </c>
      <c r="B570" s="1">
        <v>0.15484700000000001</v>
      </c>
      <c r="C570" s="1">
        <v>0.152063</v>
      </c>
      <c r="D570" s="1">
        <f>IF(B570&gt;C570,B570-C570,C570-B570)</f>
        <v>2.7840000000000087E-3</v>
      </c>
      <c r="E570">
        <f>MINUTE(D570)</f>
        <v>4</v>
      </c>
      <c r="F570">
        <f>SECOND(D570)</f>
        <v>1</v>
      </c>
      <c r="G570">
        <f>ROUND(E570+F570/60,2)</f>
        <v>4.0199999999999996</v>
      </c>
      <c r="H570">
        <f>60*E570+F570</f>
        <v>241</v>
      </c>
      <c r="I570" s="3">
        <f>5*(3600/H570)</f>
        <v>74.68879668049793</v>
      </c>
    </row>
    <row r="571" spans="1:9" x14ac:dyDescent="0.25">
      <c r="A571" s="4" t="s">
        <v>87</v>
      </c>
      <c r="B571" s="1">
        <v>0.44664599999999999</v>
      </c>
      <c r="C571" s="1">
        <v>0.44944200000000001</v>
      </c>
      <c r="D571" s="1">
        <f>IF(B571&gt;C571,B571-C571,C571-B571)</f>
        <v>2.7960000000000207E-3</v>
      </c>
      <c r="E571">
        <f>MINUTE(D571)</f>
        <v>4</v>
      </c>
      <c r="F571">
        <f>SECOND(D571)</f>
        <v>2</v>
      </c>
      <c r="G571">
        <f>ROUND(E571+F571/60,2)</f>
        <v>4.03</v>
      </c>
      <c r="H571">
        <f>60*E571+F571</f>
        <v>242</v>
      </c>
      <c r="I571" s="3">
        <f>5*(3600/H571)</f>
        <v>74.380165289256198</v>
      </c>
    </row>
    <row r="572" spans="1:9" x14ac:dyDescent="0.25">
      <c r="A572" s="4" t="s">
        <v>105</v>
      </c>
      <c r="B572" s="1">
        <v>0.70912799999999998</v>
      </c>
      <c r="C572" s="1">
        <v>0.70633199999999996</v>
      </c>
      <c r="D572" s="1">
        <f>IF(B572&gt;C572,B572-C572,C572-B572)</f>
        <v>2.7960000000000207E-3</v>
      </c>
      <c r="E572">
        <f>MINUTE(D572)</f>
        <v>4</v>
      </c>
      <c r="F572">
        <f>SECOND(D572)</f>
        <v>2</v>
      </c>
      <c r="G572">
        <f>ROUND(E572+F572/60,2)</f>
        <v>4.03</v>
      </c>
      <c r="H572">
        <f>60*E572+F572</f>
        <v>242</v>
      </c>
      <c r="I572" s="3">
        <f>5*(3600/H572)</f>
        <v>74.380165289256198</v>
      </c>
    </row>
    <row r="573" spans="1:9" x14ac:dyDescent="0.25">
      <c r="A573" s="4" t="s">
        <v>56</v>
      </c>
      <c r="B573" s="1">
        <v>0.76231800000000005</v>
      </c>
      <c r="C573" s="1">
        <v>0.75952200000000003</v>
      </c>
      <c r="D573" s="1">
        <f>IF(B573&gt;C573,B573-C573,C573-B573)</f>
        <v>2.7960000000000207E-3</v>
      </c>
      <c r="E573">
        <f>MINUTE(D573)</f>
        <v>4</v>
      </c>
      <c r="F573">
        <f>SECOND(D573)</f>
        <v>2</v>
      </c>
      <c r="G573">
        <f>ROUND(E573+F573/60,2)</f>
        <v>4.03</v>
      </c>
      <c r="H573">
        <f>60*E573+F573</f>
        <v>242</v>
      </c>
      <c r="I573" s="3">
        <f>5*(3600/H573)</f>
        <v>74.380165289256198</v>
      </c>
    </row>
    <row r="574" spans="1:9" x14ac:dyDescent="0.25">
      <c r="A574" s="4" t="s">
        <v>38</v>
      </c>
      <c r="B574" s="1">
        <v>0.333036</v>
      </c>
      <c r="C574" s="1">
        <v>0.33584799999999998</v>
      </c>
      <c r="D574" s="1">
        <f>IF(B574&gt;C574,B574-C574,C574-B574)</f>
        <v>2.8119999999999812E-3</v>
      </c>
      <c r="E574">
        <f>MINUTE(D574)</f>
        <v>4</v>
      </c>
      <c r="F574">
        <f>SECOND(D574)</f>
        <v>3</v>
      </c>
      <c r="G574">
        <f>ROUND(E574+F574/60,2)</f>
        <v>4.05</v>
      </c>
      <c r="H574">
        <f>60*E574+F574</f>
        <v>243</v>
      </c>
      <c r="I574" s="3">
        <f>5*(3600/H574)</f>
        <v>74.074074074074076</v>
      </c>
    </row>
    <row r="575" spans="1:9" x14ac:dyDescent="0.25">
      <c r="A575" s="4" t="s">
        <v>107</v>
      </c>
      <c r="B575" s="1">
        <v>0.27387699999999998</v>
      </c>
      <c r="C575" s="1">
        <v>0.271065</v>
      </c>
      <c r="D575" s="1">
        <f>IF(B575&gt;C575,B575-C575,C575-B575)</f>
        <v>2.8119999999999812E-3</v>
      </c>
      <c r="E575">
        <f>MINUTE(D575)</f>
        <v>4</v>
      </c>
      <c r="F575">
        <f>SECOND(D575)</f>
        <v>3</v>
      </c>
      <c r="G575">
        <f>ROUND(E575+F575/60,2)</f>
        <v>4.05</v>
      </c>
      <c r="H575">
        <f>60*E575+F575</f>
        <v>243</v>
      </c>
      <c r="I575" s="3">
        <f>5*(3600/H575)</f>
        <v>74.074074074074076</v>
      </c>
    </row>
    <row r="576" spans="1:9" x14ac:dyDescent="0.25">
      <c r="A576" s="4" t="s">
        <v>60</v>
      </c>
      <c r="B576" s="1">
        <v>0.22966</v>
      </c>
      <c r="C576" s="1">
        <v>0.23246800000000001</v>
      </c>
      <c r="D576" s="1">
        <f>IF(B576&gt;C576,B576-C576,C576-B576)</f>
        <v>2.8080000000000049E-3</v>
      </c>
      <c r="E576">
        <f>MINUTE(D576)</f>
        <v>4</v>
      </c>
      <c r="F576">
        <f>SECOND(D576)</f>
        <v>3</v>
      </c>
      <c r="G576">
        <f>ROUND(E576+F576/60,2)</f>
        <v>4.05</v>
      </c>
      <c r="H576">
        <f>60*E576+F576</f>
        <v>243</v>
      </c>
      <c r="I576" s="3">
        <f>5*(3600/H576)</f>
        <v>74.074074074074076</v>
      </c>
    </row>
    <row r="577" spans="1:9" x14ac:dyDescent="0.25">
      <c r="A577" s="4" t="s">
        <v>87</v>
      </c>
      <c r="B577" s="1">
        <v>0.75573800000000002</v>
      </c>
      <c r="C577" s="1">
        <v>0.75292599999999998</v>
      </c>
      <c r="D577" s="1">
        <f>IF(B577&gt;C577,B577-C577,C577-B577)</f>
        <v>2.8120000000000367E-3</v>
      </c>
      <c r="E577">
        <f>MINUTE(D577)</f>
        <v>4</v>
      </c>
      <c r="F577">
        <f>SECOND(D577)</f>
        <v>3</v>
      </c>
      <c r="G577">
        <f>ROUND(E577+F577/60,2)</f>
        <v>4.05</v>
      </c>
      <c r="H577">
        <f>60*E577+F577</f>
        <v>243</v>
      </c>
      <c r="I577" s="3">
        <f>5*(3600/H577)</f>
        <v>74.074074074074076</v>
      </c>
    </row>
    <row r="578" spans="1:9" x14ac:dyDescent="0.25">
      <c r="A578" s="4" t="s">
        <v>97</v>
      </c>
      <c r="B578" s="1">
        <v>0.51822299999999999</v>
      </c>
      <c r="C578" s="1">
        <v>0.52104300000000003</v>
      </c>
      <c r="D578" s="1">
        <f>IF(B578&gt;C578,B578-C578,C578-B578)</f>
        <v>2.8200000000000447E-3</v>
      </c>
      <c r="E578">
        <f>MINUTE(D578)</f>
        <v>4</v>
      </c>
      <c r="F578">
        <f>SECOND(D578)</f>
        <v>4</v>
      </c>
      <c r="G578">
        <f>ROUND(E578+F578/60,2)</f>
        <v>4.07</v>
      </c>
      <c r="H578">
        <f>60*E578+F578</f>
        <v>244</v>
      </c>
      <c r="I578" s="3">
        <f>5*(3600/H578)</f>
        <v>73.770491803278688</v>
      </c>
    </row>
    <row r="579" spans="1:9" x14ac:dyDescent="0.25">
      <c r="A579" s="4" t="s">
        <v>147</v>
      </c>
      <c r="B579" s="1">
        <v>0.75391399999999997</v>
      </c>
      <c r="C579" s="1">
        <v>0.75674200000000003</v>
      </c>
      <c r="D579" s="1">
        <f>IF(B579&gt;C579,B579-C579,C579-B579)</f>
        <v>2.8280000000000527E-3</v>
      </c>
      <c r="E579">
        <f>MINUTE(D579)</f>
        <v>4</v>
      </c>
      <c r="F579">
        <f>SECOND(D579)</f>
        <v>4</v>
      </c>
      <c r="G579">
        <f>ROUND(E579+F579/60,2)</f>
        <v>4.07</v>
      </c>
      <c r="H579">
        <f>60*E579+F579</f>
        <v>244</v>
      </c>
      <c r="I579" s="3">
        <f>5*(3600/H579)</f>
        <v>73.770491803278688</v>
      </c>
    </row>
    <row r="580" spans="1:9" x14ac:dyDescent="0.25">
      <c r="A580" s="4" t="s">
        <v>5</v>
      </c>
      <c r="B580" s="1">
        <v>0.13649500000000001</v>
      </c>
      <c r="C580" s="1">
        <v>0.139319</v>
      </c>
      <c r="D580" s="1">
        <f>IF(B580&gt;C580,B580-C580,C580-B580)</f>
        <v>2.8239999999999932E-3</v>
      </c>
      <c r="E580">
        <f>MINUTE(D580)</f>
        <v>4</v>
      </c>
      <c r="F580">
        <f>SECOND(D580)</f>
        <v>4</v>
      </c>
      <c r="G580">
        <f>ROUND(E580+F580/60,2)</f>
        <v>4.07</v>
      </c>
      <c r="H580">
        <f>60*E580+F580</f>
        <v>244</v>
      </c>
      <c r="I580" s="3">
        <f>5*(3600/H580)</f>
        <v>73.770491803278688</v>
      </c>
    </row>
    <row r="581" spans="1:9" x14ac:dyDescent="0.25">
      <c r="A581" s="4" t="s">
        <v>17</v>
      </c>
      <c r="B581" s="1">
        <v>9.0898999999999994E-2</v>
      </c>
      <c r="C581" s="1">
        <v>9.3718999999999997E-2</v>
      </c>
      <c r="D581" s="1">
        <f>IF(B581&gt;C581,B581-C581,C581-B581)</f>
        <v>2.8200000000000031E-3</v>
      </c>
      <c r="E581">
        <f>MINUTE(D581)</f>
        <v>4</v>
      </c>
      <c r="F581">
        <f>SECOND(D581)</f>
        <v>4</v>
      </c>
      <c r="G581">
        <f>ROUND(E581+F581/60,2)</f>
        <v>4.07</v>
      </c>
      <c r="H581">
        <f>60*E581+F581</f>
        <v>244</v>
      </c>
      <c r="I581" s="3">
        <f>5*(3600/H581)</f>
        <v>73.770491803278688</v>
      </c>
    </row>
    <row r="582" spans="1:9" x14ac:dyDescent="0.25">
      <c r="A582" s="4" t="s">
        <v>162</v>
      </c>
      <c r="B582" s="1">
        <v>0.57133</v>
      </c>
      <c r="C582" s="1">
        <v>0.57415400000000005</v>
      </c>
      <c r="D582" s="1">
        <f>IF(B582&gt;C582,B582-C582,C582-B582)</f>
        <v>2.8240000000000487E-3</v>
      </c>
      <c r="E582">
        <f>MINUTE(D582)</f>
        <v>4</v>
      </c>
      <c r="F582">
        <f>SECOND(D582)</f>
        <v>4</v>
      </c>
      <c r="G582">
        <f>ROUND(E582+F582/60,2)</f>
        <v>4.07</v>
      </c>
      <c r="H582">
        <f>60*E582+F582</f>
        <v>244</v>
      </c>
      <c r="I582" s="3">
        <f>5*(3600/H582)</f>
        <v>73.770491803278688</v>
      </c>
    </row>
    <row r="583" spans="1:9" x14ac:dyDescent="0.25">
      <c r="A583" s="4" t="s">
        <v>47</v>
      </c>
      <c r="B583" s="1">
        <v>5.8332000000000002E-2</v>
      </c>
      <c r="C583" s="1">
        <v>5.5495999999999997E-2</v>
      </c>
      <c r="D583" s="1">
        <f>IF(B583&gt;C583,B583-C583,C583-B583)</f>
        <v>2.8360000000000052E-3</v>
      </c>
      <c r="E583">
        <f>MINUTE(D583)</f>
        <v>4</v>
      </c>
      <c r="F583">
        <f>SECOND(D583)</f>
        <v>5</v>
      </c>
      <c r="G583">
        <f>ROUND(E583+F583/60,2)</f>
        <v>4.08</v>
      </c>
      <c r="H583">
        <f>60*E583+F583</f>
        <v>245</v>
      </c>
      <c r="I583" s="3">
        <f>5*(3600/H583)</f>
        <v>73.469387755102048</v>
      </c>
    </row>
    <row r="584" spans="1:9" x14ac:dyDescent="0.25">
      <c r="A584" s="4" t="s">
        <v>50</v>
      </c>
      <c r="B584" s="1">
        <v>0.64752100000000001</v>
      </c>
      <c r="C584" s="1">
        <v>0.64468899999999996</v>
      </c>
      <c r="D584" s="1">
        <f>IF(B584&gt;C584,B584-C584,C584-B584)</f>
        <v>2.8320000000000567E-3</v>
      </c>
      <c r="E584">
        <f>MINUTE(D584)</f>
        <v>4</v>
      </c>
      <c r="F584">
        <f>SECOND(D584)</f>
        <v>5</v>
      </c>
      <c r="G584">
        <f>ROUND(E584+F584/60,2)</f>
        <v>4.08</v>
      </c>
      <c r="H584">
        <f>60*E584+F584</f>
        <v>245</v>
      </c>
      <c r="I584" s="3">
        <f>5*(3600/H584)</f>
        <v>73.469387755102048</v>
      </c>
    </row>
    <row r="585" spans="1:9" x14ac:dyDescent="0.25">
      <c r="A585" s="4" t="s">
        <v>16</v>
      </c>
      <c r="B585" s="1">
        <v>0.376137</v>
      </c>
      <c r="C585" s="1">
        <v>0.37329699999999999</v>
      </c>
      <c r="D585" s="1">
        <f>IF(B585&gt;C585,B585-C585,C585-B585)</f>
        <v>2.8400000000000092E-3</v>
      </c>
      <c r="E585">
        <f>MINUTE(D585)</f>
        <v>4</v>
      </c>
      <c r="F585">
        <f>SECOND(D585)</f>
        <v>5</v>
      </c>
      <c r="G585">
        <f>ROUND(E585+F585/60,2)</f>
        <v>4.08</v>
      </c>
      <c r="H585">
        <f>60*E585+F585</f>
        <v>245</v>
      </c>
      <c r="I585" s="3">
        <f>5*(3600/H585)</f>
        <v>73.469387755102048</v>
      </c>
    </row>
    <row r="586" spans="1:9" x14ac:dyDescent="0.25">
      <c r="A586" s="4" t="s">
        <v>363</v>
      </c>
      <c r="B586" s="1">
        <v>0.58136100000000002</v>
      </c>
      <c r="C586" s="1">
        <v>0.57852499999999996</v>
      </c>
      <c r="D586" s="1">
        <f>IF(B586&gt;C586,B586-C586,C586-B586)</f>
        <v>2.8360000000000607E-3</v>
      </c>
      <c r="E586">
        <f>MINUTE(D586)</f>
        <v>4</v>
      </c>
      <c r="F586">
        <f>SECOND(D586)</f>
        <v>5</v>
      </c>
      <c r="G586">
        <f>ROUND(E586+F586/60,2)</f>
        <v>4.08</v>
      </c>
      <c r="H586">
        <f>60*E586+F586</f>
        <v>245</v>
      </c>
      <c r="I586" s="3">
        <f>5*(3600/H586)</f>
        <v>73.469387755102048</v>
      </c>
    </row>
    <row r="587" spans="1:9" x14ac:dyDescent="0.25">
      <c r="A587" s="4" t="s">
        <v>144</v>
      </c>
      <c r="B587" s="1">
        <v>0.94697500000000001</v>
      </c>
      <c r="C587" s="1">
        <v>0.94982699999999998</v>
      </c>
      <c r="D587" s="1">
        <f>IF(B587&gt;C587,B587-C587,C587-B587)</f>
        <v>2.8519999999999657E-3</v>
      </c>
      <c r="E587">
        <f>MINUTE(D587)</f>
        <v>4</v>
      </c>
      <c r="F587">
        <f>SECOND(D587)</f>
        <v>6</v>
      </c>
      <c r="G587">
        <f>ROUND(E587+F587/60,2)</f>
        <v>4.0999999999999996</v>
      </c>
      <c r="H587">
        <f>60*E587+F587</f>
        <v>246</v>
      </c>
      <c r="I587" s="3">
        <f>5*(3600/H587)</f>
        <v>73.170731707317074</v>
      </c>
    </row>
    <row r="588" spans="1:9" x14ac:dyDescent="0.25">
      <c r="A588" s="4" t="s">
        <v>145</v>
      </c>
      <c r="B588" s="1">
        <v>0.86413600000000002</v>
      </c>
      <c r="C588" s="1">
        <v>0.86697999999999997</v>
      </c>
      <c r="D588" s="1">
        <f>IF(B588&gt;C588,B588-C588,C588-B588)</f>
        <v>2.8439999999999577E-3</v>
      </c>
      <c r="E588">
        <f>MINUTE(D588)</f>
        <v>4</v>
      </c>
      <c r="F588">
        <f>SECOND(D588)</f>
        <v>6</v>
      </c>
      <c r="G588">
        <f>ROUND(E588+F588/60,2)</f>
        <v>4.0999999999999996</v>
      </c>
      <c r="H588">
        <f>60*E588+F588</f>
        <v>246</v>
      </c>
      <c r="I588" s="3">
        <f>5*(3600/H588)</f>
        <v>73.170731707317074</v>
      </c>
    </row>
    <row r="589" spans="1:9" x14ac:dyDescent="0.25">
      <c r="A589" s="4" t="s">
        <v>80</v>
      </c>
      <c r="B589" s="1">
        <v>0.77809700000000004</v>
      </c>
      <c r="C589" s="1">
        <v>0.77524899999999997</v>
      </c>
      <c r="D589" s="1">
        <f>IF(B589&gt;C589,B589-C589,C589-B589)</f>
        <v>2.8480000000000727E-3</v>
      </c>
      <c r="E589">
        <f>MINUTE(D589)</f>
        <v>4</v>
      </c>
      <c r="F589">
        <f>SECOND(D589)</f>
        <v>6</v>
      </c>
      <c r="G589">
        <f>ROUND(E589+F589/60,2)</f>
        <v>4.0999999999999996</v>
      </c>
      <c r="H589">
        <f>60*E589+F589</f>
        <v>246</v>
      </c>
      <c r="I589" s="3">
        <f>5*(3600/H589)</f>
        <v>73.170731707317074</v>
      </c>
    </row>
    <row r="590" spans="1:9" x14ac:dyDescent="0.25">
      <c r="A590" s="4" t="s">
        <v>111</v>
      </c>
      <c r="B590" s="1">
        <v>0.51173299999999999</v>
      </c>
      <c r="C590" s="1">
        <v>0.51459699999999997</v>
      </c>
      <c r="D590" s="1">
        <f>IF(B590&gt;C590,B590-C590,C590-B590)</f>
        <v>2.8639999999999777E-3</v>
      </c>
      <c r="E590">
        <f>MINUTE(D590)</f>
        <v>4</v>
      </c>
      <c r="F590">
        <f>SECOND(D590)</f>
        <v>7</v>
      </c>
      <c r="G590">
        <f>ROUND(E590+F590/60,2)</f>
        <v>4.12</v>
      </c>
      <c r="H590">
        <f>60*E590+F590</f>
        <v>247</v>
      </c>
      <c r="I590" s="3">
        <f>5*(3600/H590)</f>
        <v>72.874493927125513</v>
      </c>
    </row>
    <row r="591" spans="1:9" x14ac:dyDescent="0.25">
      <c r="A591" s="4" t="s">
        <v>163</v>
      </c>
      <c r="B591" s="1">
        <v>6.4921000000000006E-2</v>
      </c>
      <c r="C591" s="1">
        <v>6.2060999999999998E-2</v>
      </c>
      <c r="D591" s="1">
        <f>IF(B591&gt;C591,B591-C591,C591-B591)</f>
        <v>2.8600000000000084E-3</v>
      </c>
      <c r="E591">
        <f>MINUTE(D591)</f>
        <v>4</v>
      </c>
      <c r="F591">
        <f>SECOND(D591)</f>
        <v>7</v>
      </c>
      <c r="G591">
        <f>ROUND(E591+F591/60,2)</f>
        <v>4.12</v>
      </c>
      <c r="H591">
        <f>60*E591+F591</f>
        <v>247</v>
      </c>
      <c r="I591" s="3">
        <f>5*(3600/H591)</f>
        <v>72.874493927125513</v>
      </c>
    </row>
    <row r="592" spans="1:9" x14ac:dyDescent="0.25">
      <c r="A592" s="4" t="s">
        <v>142</v>
      </c>
      <c r="B592" s="1">
        <v>0.924736</v>
      </c>
      <c r="C592" s="1">
        <v>0.92187600000000003</v>
      </c>
      <c r="D592" s="1">
        <f>IF(B592&gt;C592,B592-C592,C592-B592)</f>
        <v>2.8599999999999737E-3</v>
      </c>
      <c r="E592">
        <f>MINUTE(D592)</f>
        <v>4</v>
      </c>
      <c r="F592">
        <f>SECOND(D592)</f>
        <v>7</v>
      </c>
      <c r="G592">
        <f>ROUND(E592+F592/60,2)</f>
        <v>4.12</v>
      </c>
      <c r="H592">
        <f>60*E592+F592</f>
        <v>247</v>
      </c>
      <c r="I592" s="3">
        <f>5*(3600/H592)</f>
        <v>72.874493927125513</v>
      </c>
    </row>
    <row r="593" spans="1:9" x14ac:dyDescent="0.25">
      <c r="A593" s="4" t="s">
        <v>149</v>
      </c>
      <c r="B593" s="1">
        <v>0.84406099999999995</v>
      </c>
      <c r="C593" s="1">
        <v>0.84692100000000003</v>
      </c>
      <c r="D593" s="1">
        <f>IF(B593&gt;C593,B593-C593,C593-B593)</f>
        <v>2.8600000000000847E-3</v>
      </c>
      <c r="E593">
        <f>MINUTE(D593)</f>
        <v>4</v>
      </c>
      <c r="F593">
        <f>SECOND(D593)</f>
        <v>7</v>
      </c>
      <c r="G593">
        <f>ROUND(E593+F593/60,2)</f>
        <v>4.12</v>
      </c>
      <c r="H593">
        <f>60*E593+F593</f>
        <v>247</v>
      </c>
      <c r="I593" s="3">
        <f>5*(3600/H593)</f>
        <v>72.874493927125513</v>
      </c>
    </row>
    <row r="594" spans="1:9" x14ac:dyDescent="0.25">
      <c r="A594" s="4" t="s">
        <v>325</v>
      </c>
      <c r="B594" s="1">
        <v>0.46205000000000002</v>
      </c>
      <c r="C594" s="1">
        <v>0.45918999999999999</v>
      </c>
      <c r="D594" s="1">
        <f>IF(B594&gt;C594,B594-C594,C594-B594)</f>
        <v>2.8600000000000292E-3</v>
      </c>
      <c r="E594">
        <f>MINUTE(D594)</f>
        <v>4</v>
      </c>
      <c r="F594">
        <f>SECOND(D594)</f>
        <v>7</v>
      </c>
      <c r="G594">
        <f>ROUND(E594+F594/60,2)</f>
        <v>4.12</v>
      </c>
      <c r="H594">
        <f>60*E594+F594</f>
        <v>247</v>
      </c>
      <c r="I594" s="3">
        <f>5*(3600/H594)</f>
        <v>72.874493927125513</v>
      </c>
    </row>
    <row r="595" spans="1:9" x14ac:dyDescent="0.25">
      <c r="A595" s="4" t="s">
        <v>78</v>
      </c>
      <c r="B595" s="1">
        <v>0.93040699999999998</v>
      </c>
      <c r="C595" s="1">
        <v>0.93328299999999997</v>
      </c>
      <c r="D595" s="1">
        <f>IF(B595&gt;C595,B595-C595,C595-B595)</f>
        <v>2.8759999999999897E-3</v>
      </c>
      <c r="E595">
        <f>MINUTE(D595)</f>
        <v>4</v>
      </c>
      <c r="F595">
        <f>SECOND(D595)</f>
        <v>8</v>
      </c>
      <c r="G595">
        <f>ROUND(E595+F595/60,2)</f>
        <v>4.13</v>
      </c>
      <c r="H595">
        <f>60*E595+F595</f>
        <v>248</v>
      </c>
      <c r="I595" s="3">
        <f>5*(3600/H595)</f>
        <v>72.58064516129032</v>
      </c>
    </row>
    <row r="596" spans="1:9" x14ac:dyDescent="0.25">
      <c r="A596" s="4" t="s">
        <v>102</v>
      </c>
      <c r="B596" s="1">
        <v>0.69207300000000005</v>
      </c>
      <c r="C596" s="1">
        <v>0.68920499999999996</v>
      </c>
      <c r="D596" s="1">
        <f>IF(B596&gt;C596,B596-C596,C596-B596)</f>
        <v>2.8680000000000927E-3</v>
      </c>
      <c r="E596">
        <f>MINUTE(D596)</f>
        <v>4</v>
      </c>
      <c r="F596">
        <f>SECOND(D596)</f>
        <v>8</v>
      </c>
      <c r="G596">
        <f>ROUND(E596+F596/60,2)</f>
        <v>4.13</v>
      </c>
      <c r="H596">
        <f>60*E596+F596</f>
        <v>248</v>
      </c>
      <c r="I596" s="3">
        <f>5*(3600/H596)</f>
        <v>72.58064516129032</v>
      </c>
    </row>
    <row r="597" spans="1:9" x14ac:dyDescent="0.25">
      <c r="A597" s="4" t="s">
        <v>335</v>
      </c>
      <c r="B597" s="1">
        <v>0.42368600000000001</v>
      </c>
      <c r="C597" s="1">
        <v>0.42081000000000002</v>
      </c>
      <c r="D597" s="1">
        <f>IF(B597&gt;C597,B597-C597,C597-B597)</f>
        <v>2.8759999999999897E-3</v>
      </c>
      <c r="E597">
        <f>MINUTE(D597)</f>
        <v>4</v>
      </c>
      <c r="F597">
        <f>SECOND(D597)</f>
        <v>8</v>
      </c>
      <c r="G597">
        <f>ROUND(E597+F597/60,2)</f>
        <v>4.13</v>
      </c>
      <c r="H597">
        <f>60*E597+F597</f>
        <v>248</v>
      </c>
      <c r="I597" s="3">
        <f>5*(3600/H597)</f>
        <v>72.58064516129032</v>
      </c>
    </row>
    <row r="598" spans="1:9" x14ac:dyDescent="0.25">
      <c r="A598" s="4" t="s">
        <v>28</v>
      </c>
      <c r="B598" s="1">
        <v>0.38782699999999998</v>
      </c>
      <c r="C598" s="1">
        <v>0.38494699999999998</v>
      </c>
      <c r="D598" s="1">
        <f>IF(B598&gt;C598,B598-C598,C598-B598)</f>
        <v>2.8799999999999937E-3</v>
      </c>
      <c r="E598">
        <f>MINUTE(D598)</f>
        <v>4</v>
      </c>
      <c r="F598">
        <f>SECOND(D598)</f>
        <v>9</v>
      </c>
      <c r="G598">
        <f>ROUND(E598+F598/60,2)</f>
        <v>4.1500000000000004</v>
      </c>
      <c r="H598">
        <f>60*E598+F598</f>
        <v>249</v>
      </c>
      <c r="I598" s="3">
        <f>5*(3600/H598)</f>
        <v>72.289156626506028</v>
      </c>
    </row>
    <row r="599" spans="1:9" x14ac:dyDescent="0.25">
      <c r="A599" s="4" t="s">
        <v>36</v>
      </c>
      <c r="B599" s="1">
        <v>0.43002600000000002</v>
      </c>
      <c r="C599" s="1">
        <v>0.42713400000000001</v>
      </c>
      <c r="D599" s="1">
        <f>IF(B599&gt;C599,B599-C599,C599-B599)</f>
        <v>2.8920000000000057E-3</v>
      </c>
      <c r="E599">
        <f>MINUTE(D599)</f>
        <v>4</v>
      </c>
      <c r="F599">
        <f>SECOND(D599)</f>
        <v>10</v>
      </c>
      <c r="G599">
        <f>ROUND(E599+F599/60,2)</f>
        <v>4.17</v>
      </c>
      <c r="H599">
        <f>60*E599+F599</f>
        <v>250</v>
      </c>
      <c r="I599" s="3">
        <f>5*(3600/H599)</f>
        <v>72</v>
      </c>
    </row>
    <row r="600" spans="1:9" x14ac:dyDescent="0.25">
      <c r="A600" s="4" t="s">
        <v>41</v>
      </c>
      <c r="B600" s="1">
        <v>0.58307699999999996</v>
      </c>
      <c r="C600" s="1">
        <v>0.58018099999999995</v>
      </c>
      <c r="D600" s="1">
        <f>IF(B600&gt;C600,B600-C600,C600-B600)</f>
        <v>2.8960000000000097E-3</v>
      </c>
      <c r="E600">
        <f>MINUTE(D600)</f>
        <v>4</v>
      </c>
      <c r="F600">
        <f>SECOND(D600)</f>
        <v>10</v>
      </c>
      <c r="G600">
        <f>ROUND(E600+F600/60,2)</f>
        <v>4.17</v>
      </c>
      <c r="H600">
        <f>60*E600+F600</f>
        <v>250</v>
      </c>
      <c r="I600" s="3">
        <f>5*(3600/H600)</f>
        <v>72</v>
      </c>
    </row>
    <row r="601" spans="1:9" x14ac:dyDescent="0.25">
      <c r="A601" s="4" t="s">
        <v>135</v>
      </c>
      <c r="B601" s="1">
        <v>2.2994000000000001E-2</v>
      </c>
      <c r="C601" s="1">
        <v>2.5885999999999999E-2</v>
      </c>
      <c r="D601" s="1">
        <f>IF(B601&gt;C601,B601-C601,C601-B601)</f>
        <v>2.8919999999999987E-3</v>
      </c>
      <c r="E601">
        <f>MINUTE(D601)</f>
        <v>4</v>
      </c>
      <c r="F601">
        <f>SECOND(D601)</f>
        <v>10</v>
      </c>
      <c r="G601">
        <f>ROUND(E601+F601/60,2)</f>
        <v>4.17</v>
      </c>
      <c r="H601">
        <f>60*E601+F601</f>
        <v>250</v>
      </c>
      <c r="I601" s="3">
        <f>5*(3600/H601)</f>
        <v>72</v>
      </c>
    </row>
    <row r="602" spans="1:9" x14ac:dyDescent="0.25">
      <c r="A602" s="4" t="s">
        <v>85</v>
      </c>
      <c r="B602" s="1">
        <v>0.85538400000000003</v>
      </c>
      <c r="C602" s="1">
        <v>0.85827600000000004</v>
      </c>
      <c r="D602" s="1">
        <f>IF(B602&gt;C602,B602-C602,C602-B602)</f>
        <v>2.8920000000000057E-3</v>
      </c>
      <c r="E602">
        <f>MINUTE(D602)</f>
        <v>4</v>
      </c>
      <c r="F602">
        <f>SECOND(D602)</f>
        <v>10</v>
      </c>
      <c r="G602">
        <f>ROUND(E602+F602/60,2)</f>
        <v>4.17</v>
      </c>
      <c r="H602">
        <f>60*E602+F602</f>
        <v>250</v>
      </c>
      <c r="I602" s="3">
        <f>5*(3600/H602)</f>
        <v>72</v>
      </c>
    </row>
    <row r="603" spans="1:9" x14ac:dyDescent="0.25">
      <c r="A603" s="4" t="s">
        <v>230</v>
      </c>
      <c r="B603" s="1">
        <v>0.86723899999999998</v>
      </c>
      <c r="C603" s="1">
        <v>0.86434699999999998</v>
      </c>
      <c r="D603" s="1">
        <f>IF(B603&gt;C603,B603-C603,C603-B603)</f>
        <v>2.8920000000000057E-3</v>
      </c>
      <c r="E603">
        <f>MINUTE(D603)</f>
        <v>4</v>
      </c>
      <c r="F603">
        <f>SECOND(D603)</f>
        <v>10</v>
      </c>
      <c r="G603">
        <f>ROUND(E603+F603/60,2)</f>
        <v>4.17</v>
      </c>
      <c r="H603">
        <f>60*E603+F603</f>
        <v>250</v>
      </c>
      <c r="I603" s="3">
        <f>5*(3600/H603)</f>
        <v>72</v>
      </c>
    </row>
    <row r="604" spans="1:9" x14ac:dyDescent="0.25">
      <c r="A604" s="4" t="s">
        <v>289</v>
      </c>
      <c r="B604" s="1">
        <v>0.260156</v>
      </c>
      <c r="C604" s="1">
        <v>0.25726399999999999</v>
      </c>
      <c r="D604" s="1">
        <f>IF(B604&gt;C604,B604-C604,C604-B604)</f>
        <v>2.8920000000000057E-3</v>
      </c>
      <c r="E604">
        <f>MINUTE(D604)</f>
        <v>4</v>
      </c>
      <c r="F604">
        <f>SECOND(D604)</f>
        <v>10</v>
      </c>
      <c r="G604">
        <f>ROUND(E604+F604/60,2)</f>
        <v>4.17</v>
      </c>
      <c r="H604">
        <f>60*E604+F604</f>
        <v>250</v>
      </c>
      <c r="I604" s="3">
        <f>5*(3600/H604)</f>
        <v>72</v>
      </c>
    </row>
    <row r="605" spans="1:9" x14ac:dyDescent="0.25">
      <c r="A605" s="4" t="s">
        <v>359</v>
      </c>
      <c r="B605" s="1">
        <v>0.81716200000000005</v>
      </c>
      <c r="C605" s="1">
        <v>0.81427000000000005</v>
      </c>
      <c r="D605" s="1">
        <f>IF(B605&gt;C605,B605-C605,C605-B605)</f>
        <v>2.8920000000000057E-3</v>
      </c>
      <c r="E605">
        <f>MINUTE(D605)</f>
        <v>4</v>
      </c>
      <c r="F605">
        <f>SECOND(D605)</f>
        <v>10</v>
      </c>
      <c r="G605">
        <f>ROUND(E605+F605/60,2)</f>
        <v>4.17</v>
      </c>
      <c r="H605">
        <f>60*E605+F605</f>
        <v>250</v>
      </c>
      <c r="I605" s="3">
        <f>5*(3600/H605)</f>
        <v>72</v>
      </c>
    </row>
    <row r="606" spans="1:9" x14ac:dyDescent="0.25">
      <c r="A606" s="4" t="s">
        <v>92</v>
      </c>
      <c r="B606" s="1">
        <v>0.53350699999999995</v>
      </c>
      <c r="C606" s="1">
        <v>0.53640699999999997</v>
      </c>
      <c r="D606" s="1">
        <f>IF(B606&gt;C606,B606-C606,C606-B606)</f>
        <v>2.9000000000000137E-3</v>
      </c>
      <c r="E606">
        <f>MINUTE(D606)</f>
        <v>4</v>
      </c>
      <c r="F606">
        <f>SECOND(D606)</f>
        <v>11</v>
      </c>
      <c r="G606">
        <f>ROUND(E606+F606/60,2)</f>
        <v>4.18</v>
      </c>
      <c r="H606">
        <f>60*E606+F606</f>
        <v>251</v>
      </c>
      <c r="I606" s="3">
        <f>5*(3600/H606)</f>
        <v>71.713147410358559</v>
      </c>
    </row>
    <row r="607" spans="1:9" x14ac:dyDescent="0.25">
      <c r="A607" s="4" t="s">
        <v>26</v>
      </c>
      <c r="B607" s="1">
        <v>0.29010599999999998</v>
      </c>
      <c r="C607" s="1">
        <v>0.29300599999999999</v>
      </c>
      <c r="D607" s="1">
        <f>IF(B607&gt;C607,B607-C607,C607-B607)</f>
        <v>2.9000000000000137E-3</v>
      </c>
      <c r="E607">
        <f>MINUTE(D607)</f>
        <v>4</v>
      </c>
      <c r="F607">
        <f>SECOND(D607)</f>
        <v>11</v>
      </c>
      <c r="G607">
        <f>ROUND(E607+F607/60,2)</f>
        <v>4.18</v>
      </c>
      <c r="H607">
        <f>60*E607+F607</f>
        <v>251</v>
      </c>
      <c r="I607" s="3">
        <f>5*(3600/H607)</f>
        <v>71.713147410358559</v>
      </c>
    </row>
    <row r="608" spans="1:9" x14ac:dyDescent="0.25">
      <c r="A608" s="4" t="s">
        <v>138</v>
      </c>
      <c r="B608" s="1">
        <v>0.94605499999999998</v>
      </c>
      <c r="C608" s="1">
        <v>0.94314699999999996</v>
      </c>
      <c r="D608" s="1">
        <f>IF(B608&gt;C608,B608-C608,C608-B608)</f>
        <v>2.9080000000000217E-3</v>
      </c>
      <c r="E608">
        <f>MINUTE(D608)</f>
        <v>4</v>
      </c>
      <c r="F608">
        <f>SECOND(D608)</f>
        <v>11</v>
      </c>
      <c r="G608">
        <f>ROUND(E608+F608/60,2)</f>
        <v>4.18</v>
      </c>
      <c r="H608">
        <f>60*E608+F608</f>
        <v>251</v>
      </c>
      <c r="I608" s="3">
        <f>5*(3600/H608)</f>
        <v>71.713147410358559</v>
      </c>
    </row>
    <row r="609" spans="1:9" x14ac:dyDescent="0.25">
      <c r="A609" s="4" t="s">
        <v>146</v>
      </c>
      <c r="B609" s="1">
        <v>0.72777400000000003</v>
      </c>
      <c r="C609" s="1">
        <v>0.72487400000000002</v>
      </c>
      <c r="D609" s="1">
        <f>IF(B609&gt;C609,B609-C609,C609-B609)</f>
        <v>2.9000000000000137E-3</v>
      </c>
      <c r="E609">
        <f>MINUTE(D609)</f>
        <v>4</v>
      </c>
      <c r="F609">
        <f>SECOND(D609)</f>
        <v>11</v>
      </c>
      <c r="G609">
        <f>ROUND(E609+F609/60,2)</f>
        <v>4.18</v>
      </c>
      <c r="H609">
        <f>60*E609+F609</f>
        <v>251</v>
      </c>
      <c r="I609" s="3">
        <f>5*(3600/H609)</f>
        <v>71.713147410358559</v>
      </c>
    </row>
    <row r="610" spans="1:9" x14ac:dyDescent="0.25">
      <c r="A610" s="4" t="s">
        <v>74</v>
      </c>
      <c r="B610" s="1">
        <v>0.91838799999999998</v>
      </c>
      <c r="C610" s="1">
        <v>0.91548399999999996</v>
      </c>
      <c r="D610" s="1">
        <f>IF(B610&gt;C610,B610-C610,C610-B610)</f>
        <v>2.9040000000000177E-3</v>
      </c>
      <c r="E610">
        <f>MINUTE(D610)</f>
        <v>4</v>
      </c>
      <c r="F610">
        <f>SECOND(D610)</f>
        <v>11</v>
      </c>
      <c r="G610">
        <f>ROUND(E610+F610/60,2)</f>
        <v>4.18</v>
      </c>
      <c r="H610">
        <f>60*E610+F610</f>
        <v>251</v>
      </c>
      <c r="I610" s="3">
        <f>5*(3600/H610)</f>
        <v>71.713147410358559</v>
      </c>
    </row>
    <row r="611" spans="1:9" x14ac:dyDescent="0.25">
      <c r="A611" s="4" t="s">
        <v>18</v>
      </c>
      <c r="B611" s="1">
        <v>0.97761100000000001</v>
      </c>
      <c r="C611" s="1">
        <v>0.98051100000000002</v>
      </c>
      <c r="D611" s="1">
        <f>IF(B611&gt;C611,B611-C611,C611-B611)</f>
        <v>2.9000000000000137E-3</v>
      </c>
      <c r="E611">
        <f>MINUTE(D611)</f>
        <v>4</v>
      </c>
      <c r="F611">
        <f>SECOND(D611)</f>
        <v>11</v>
      </c>
      <c r="G611">
        <f>ROUND(E611+F611/60,2)</f>
        <v>4.18</v>
      </c>
      <c r="H611">
        <f>60*E611+F611</f>
        <v>251</v>
      </c>
      <c r="I611" s="3">
        <f>5*(3600/H611)</f>
        <v>71.713147410358559</v>
      </c>
    </row>
    <row r="612" spans="1:9" x14ac:dyDescent="0.25">
      <c r="A612" s="4" t="s">
        <v>384</v>
      </c>
      <c r="B612" s="1">
        <v>0.78184600000000004</v>
      </c>
      <c r="C612" s="1">
        <v>0.78475399999999995</v>
      </c>
      <c r="D612" s="1">
        <f>IF(B612&gt;C612,B612-C612,C612-B612)</f>
        <v>2.9079999999999107E-3</v>
      </c>
      <c r="E612">
        <f>MINUTE(D612)</f>
        <v>4</v>
      </c>
      <c r="F612">
        <f>SECOND(D612)</f>
        <v>11</v>
      </c>
      <c r="G612">
        <f>ROUND(E612+F612/60,2)</f>
        <v>4.18</v>
      </c>
      <c r="H612">
        <f>60*E612+F612</f>
        <v>251</v>
      </c>
      <c r="I612" s="3">
        <f>5*(3600/H612)</f>
        <v>71.713147410358559</v>
      </c>
    </row>
    <row r="613" spans="1:9" x14ac:dyDescent="0.25">
      <c r="A613" s="4" t="s">
        <v>87</v>
      </c>
      <c r="B613" s="1">
        <v>0.16008700000000001</v>
      </c>
      <c r="C613" s="1">
        <v>0.15717100000000001</v>
      </c>
      <c r="D613" s="1">
        <f>IF(B613&gt;C613,B613-C613,C613-B613)</f>
        <v>2.9160000000000019E-3</v>
      </c>
      <c r="E613">
        <f>MINUTE(D613)</f>
        <v>4</v>
      </c>
      <c r="F613">
        <f>SECOND(D613)</f>
        <v>12</v>
      </c>
      <c r="G613">
        <f>ROUND(E613+F613/60,2)</f>
        <v>4.2</v>
      </c>
      <c r="H613">
        <f>60*E613+F613</f>
        <v>252</v>
      </c>
      <c r="I613" s="3">
        <f>5*(3600/H613)</f>
        <v>71.428571428571431</v>
      </c>
    </row>
    <row r="614" spans="1:9" x14ac:dyDescent="0.25">
      <c r="A614" s="4" t="s">
        <v>140</v>
      </c>
      <c r="B614" s="1">
        <v>0.90234800000000004</v>
      </c>
      <c r="C614" s="1">
        <v>0.89943600000000001</v>
      </c>
      <c r="D614" s="1">
        <f>IF(B614&gt;C614,B614-C614,C614-B614)</f>
        <v>2.9120000000000257E-3</v>
      </c>
      <c r="E614">
        <f>MINUTE(D614)</f>
        <v>4</v>
      </c>
      <c r="F614">
        <f>SECOND(D614)</f>
        <v>12</v>
      </c>
      <c r="G614">
        <f>ROUND(E614+F614/60,2)</f>
        <v>4.2</v>
      </c>
      <c r="H614">
        <f>60*E614+F614</f>
        <v>252</v>
      </c>
      <c r="I614" s="3">
        <f>5*(3600/H614)</f>
        <v>71.428571428571431</v>
      </c>
    </row>
    <row r="615" spans="1:9" x14ac:dyDescent="0.25">
      <c r="A615" s="4" t="s">
        <v>41</v>
      </c>
      <c r="B615" s="1">
        <v>0.58149399999999996</v>
      </c>
      <c r="C615" s="1">
        <v>0.57857000000000003</v>
      </c>
      <c r="D615" s="1">
        <f>IF(B615&gt;C615,B615-C615,C615-B615)</f>
        <v>2.9239999999999267E-3</v>
      </c>
      <c r="E615">
        <f>MINUTE(D615)</f>
        <v>4</v>
      </c>
      <c r="F615">
        <f>SECOND(D615)</f>
        <v>13</v>
      </c>
      <c r="G615">
        <f>ROUND(E615+F615/60,2)</f>
        <v>4.22</v>
      </c>
      <c r="H615">
        <f>60*E615+F615</f>
        <v>253</v>
      </c>
      <c r="I615" s="3">
        <f>5*(3600/H615)</f>
        <v>71.146245059288532</v>
      </c>
    </row>
    <row r="616" spans="1:9" x14ac:dyDescent="0.25">
      <c r="A616" s="4" t="s">
        <v>87</v>
      </c>
      <c r="B616" s="1">
        <v>0.193798</v>
      </c>
      <c r="C616" s="1">
        <v>0.19087000000000001</v>
      </c>
      <c r="D616" s="1">
        <f>IF(B616&gt;C616,B616-C616,C616-B616)</f>
        <v>2.9279999999999862E-3</v>
      </c>
      <c r="E616">
        <f>MINUTE(D616)</f>
        <v>4</v>
      </c>
      <c r="F616">
        <f>SECOND(D616)</f>
        <v>13</v>
      </c>
      <c r="G616">
        <f>ROUND(E616+F616/60,2)</f>
        <v>4.22</v>
      </c>
      <c r="H616">
        <f>60*E616+F616</f>
        <v>253</v>
      </c>
      <c r="I616" s="3">
        <f>5*(3600/H616)</f>
        <v>71.146245059288532</v>
      </c>
    </row>
    <row r="617" spans="1:9" x14ac:dyDescent="0.25">
      <c r="A617" s="4" t="s">
        <v>222</v>
      </c>
      <c r="B617" s="1">
        <v>0.16234899999999999</v>
      </c>
      <c r="C617" s="1">
        <v>0.15942100000000001</v>
      </c>
      <c r="D617" s="1">
        <f>IF(B617&gt;C617,B617-C617,C617-B617)</f>
        <v>2.9279999999999862E-3</v>
      </c>
      <c r="E617">
        <f>MINUTE(D617)</f>
        <v>4</v>
      </c>
      <c r="F617">
        <f>SECOND(D617)</f>
        <v>13</v>
      </c>
      <c r="G617">
        <f>ROUND(E617+F617/60,2)</f>
        <v>4.22</v>
      </c>
      <c r="H617">
        <f>60*E617+F617</f>
        <v>253</v>
      </c>
      <c r="I617" s="3">
        <f>5*(3600/H617)</f>
        <v>71.146245059288532</v>
      </c>
    </row>
    <row r="618" spans="1:9" x14ac:dyDescent="0.25">
      <c r="A618" s="4" t="s">
        <v>398</v>
      </c>
      <c r="B618" s="1">
        <v>0.62443000000000004</v>
      </c>
      <c r="C618" s="1">
        <v>0.62149799999999999</v>
      </c>
      <c r="D618" s="1">
        <f>IF(B618&gt;C618,B618-C618,C618-B618)</f>
        <v>2.9320000000000457E-3</v>
      </c>
      <c r="E618">
        <f>MINUTE(D618)</f>
        <v>4</v>
      </c>
      <c r="F618">
        <f>SECOND(D618)</f>
        <v>13</v>
      </c>
      <c r="G618">
        <f>ROUND(E618+F618/60,2)</f>
        <v>4.22</v>
      </c>
      <c r="H618">
        <f>60*E618+F618</f>
        <v>253</v>
      </c>
      <c r="I618" s="3">
        <f>5*(3600/H618)</f>
        <v>71.146245059288532</v>
      </c>
    </row>
    <row r="619" spans="1:9" x14ac:dyDescent="0.25">
      <c r="A619" s="4" t="s">
        <v>75</v>
      </c>
      <c r="B619" s="1">
        <v>0.85006000000000004</v>
      </c>
      <c r="C619" s="1">
        <v>0.85299599999999998</v>
      </c>
      <c r="D619" s="1">
        <f>IF(B619&gt;C619,B619-C619,C619-B619)</f>
        <v>2.9359999999999387E-3</v>
      </c>
      <c r="E619">
        <f>MINUTE(D619)</f>
        <v>4</v>
      </c>
      <c r="F619">
        <f>SECOND(D619)</f>
        <v>14</v>
      </c>
      <c r="G619">
        <f>ROUND(E619+F619/60,2)</f>
        <v>4.2300000000000004</v>
      </c>
      <c r="H619">
        <f>60*E619+F619</f>
        <v>254</v>
      </c>
      <c r="I619" s="3">
        <f>5*(3600/H619)</f>
        <v>70.866141732283467</v>
      </c>
    </row>
    <row r="620" spans="1:9" x14ac:dyDescent="0.25">
      <c r="A620" s="4" t="s">
        <v>47</v>
      </c>
      <c r="B620" s="1">
        <v>0.78562500000000002</v>
      </c>
      <c r="C620" s="1">
        <v>0.78268499999999996</v>
      </c>
      <c r="D620" s="1">
        <f>IF(B620&gt;C620,B620-C620,C620-B620)</f>
        <v>2.9400000000000537E-3</v>
      </c>
      <c r="E620">
        <f>MINUTE(D620)</f>
        <v>4</v>
      </c>
      <c r="F620">
        <f>SECOND(D620)</f>
        <v>14</v>
      </c>
      <c r="G620">
        <f>ROUND(E620+F620/60,2)</f>
        <v>4.2300000000000004</v>
      </c>
      <c r="H620">
        <f>60*E620+F620</f>
        <v>254</v>
      </c>
      <c r="I620" s="3">
        <f>5*(3600/H620)</f>
        <v>70.866141732283467</v>
      </c>
    </row>
    <row r="621" spans="1:9" x14ac:dyDescent="0.25">
      <c r="A621" s="4" t="s">
        <v>160</v>
      </c>
      <c r="B621" s="1">
        <v>0.85336199999999995</v>
      </c>
      <c r="C621" s="1">
        <v>0.85630600000000001</v>
      </c>
      <c r="D621" s="1">
        <f>IF(B621&gt;C621,B621-C621,C621-B621)</f>
        <v>2.9440000000000577E-3</v>
      </c>
      <c r="E621">
        <f>MINUTE(D621)</f>
        <v>4</v>
      </c>
      <c r="F621">
        <f>SECOND(D621)</f>
        <v>14</v>
      </c>
      <c r="G621">
        <f>ROUND(E621+F621/60,2)</f>
        <v>4.2300000000000004</v>
      </c>
      <c r="H621">
        <f>60*E621+F621</f>
        <v>254</v>
      </c>
      <c r="I621" s="3">
        <f>5*(3600/H621)</f>
        <v>70.866141732283467</v>
      </c>
    </row>
    <row r="622" spans="1:9" x14ac:dyDescent="0.25">
      <c r="A622" s="4" t="s">
        <v>117</v>
      </c>
      <c r="B622" s="1">
        <v>0.184863</v>
      </c>
      <c r="C622" s="1">
        <v>0.181919</v>
      </c>
      <c r="D622" s="1">
        <f>IF(B622&gt;C622,B622-C622,C622-B622)</f>
        <v>2.9440000000000022E-3</v>
      </c>
      <c r="E622">
        <f>MINUTE(D622)</f>
        <v>4</v>
      </c>
      <c r="F622">
        <f>SECOND(D622)</f>
        <v>14</v>
      </c>
      <c r="G622">
        <f>ROUND(E622+F622/60,2)</f>
        <v>4.2300000000000004</v>
      </c>
      <c r="H622">
        <f>60*E622+F622</f>
        <v>254</v>
      </c>
      <c r="I622" s="3">
        <f>5*(3600/H622)</f>
        <v>70.866141732283467</v>
      </c>
    </row>
    <row r="623" spans="1:9" x14ac:dyDescent="0.25">
      <c r="A623" s="4" t="s">
        <v>5</v>
      </c>
      <c r="B623" s="1">
        <v>0.78616900000000001</v>
      </c>
      <c r="C623" s="1">
        <v>0.78911699999999996</v>
      </c>
      <c r="D623" s="1">
        <f>IF(B623&gt;C623,B623-C623,C623-B623)</f>
        <v>2.9479999999999507E-3</v>
      </c>
      <c r="E623">
        <f>MINUTE(D623)</f>
        <v>4</v>
      </c>
      <c r="F623">
        <f>SECOND(D623)</f>
        <v>15</v>
      </c>
      <c r="G623">
        <f>ROUND(E623+F623/60,2)</f>
        <v>4.25</v>
      </c>
      <c r="H623">
        <f>60*E623+F623</f>
        <v>255</v>
      </c>
      <c r="I623" s="3">
        <f>5*(3600/H623)</f>
        <v>70.588235294117652</v>
      </c>
    </row>
    <row r="624" spans="1:9" x14ac:dyDescent="0.25">
      <c r="A624" s="4" t="s">
        <v>85</v>
      </c>
      <c r="B624" s="1">
        <v>0.139958</v>
      </c>
      <c r="C624" s="1">
        <v>0.14291400000000001</v>
      </c>
      <c r="D624" s="1">
        <f>IF(B624&gt;C624,B624-C624,C624-B624)</f>
        <v>2.9560000000000142E-3</v>
      </c>
      <c r="E624">
        <f>MINUTE(D624)</f>
        <v>4</v>
      </c>
      <c r="F624">
        <f>SECOND(D624)</f>
        <v>15</v>
      </c>
      <c r="G624">
        <f>ROUND(E624+F624/60,2)</f>
        <v>4.25</v>
      </c>
      <c r="H624">
        <f>60*E624+F624</f>
        <v>255</v>
      </c>
      <c r="I624" s="3">
        <f>5*(3600/H624)</f>
        <v>70.588235294117652</v>
      </c>
    </row>
    <row r="625" spans="1:9" x14ac:dyDescent="0.25">
      <c r="A625" s="4" t="s">
        <v>26</v>
      </c>
      <c r="B625" s="1">
        <v>0.34465099999999999</v>
      </c>
      <c r="C625" s="1">
        <v>0.347607</v>
      </c>
      <c r="D625" s="1">
        <f>IF(B625&gt;C625,B625-C625,C625-B625)</f>
        <v>2.9560000000000142E-3</v>
      </c>
      <c r="E625">
        <f>MINUTE(D625)</f>
        <v>4</v>
      </c>
      <c r="F625">
        <f>SECOND(D625)</f>
        <v>15</v>
      </c>
      <c r="G625">
        <f>ROUND(E625+F625/60,2)</f>
        <v>4.25</v>
      </c>
      <c r="H625">
        <f>60*E625+F625</f>
        <v>255</v>
      </c>
      <c r="I625" s="3">
        <f>5*(3600/H625)</f>
        <v>70.588235294117652</v>
      </c>
    </row>
    <row r="626" spans="1:9" x14ac:dyDescent="0.25">
      <c r="A626" s="4" t="s">
        <v>308</v>
      </c>
      <c r="B626" s="1">
        <v>0.25362299999999999</v>
      </c>
      <c r="C626" s="1">
        <v>0.256579</v>
      </c>
      <c r="D626" s="1">
        <f>IF(B626&gt;C626,B626-C626,C626-B626)</f>
        <v>2.9560000000000142E-3</v>
      </c>
      <c r="E626">
        <f>MINUTE(D626)</f>
        <v>4</v>
      </c>
      <c r="F626">
        <f>SECOND(D626)</f>
        <v>15</v>
      </c>
      <c r="G626">
        <f>ROUND(E626+F626/60,2)</f>
        <v>4.25</v>
      </c>
      <c r="H626">
        <f>60*E626+F626</f>
        <v>255</v>
      </c>
      <c r="I626" s="3">
        <f>5*(3600/H626)</f>
        <v>70.588235294117652</v>
      </c>
    </row>
    <row r="627" spans="1:9" x14ac:dyDescent="0.25">
      <c r="A627" s="4" t="s">
        <v>75</v>
      </c>
      <c r="B627" s="1">
        <v>0.87064699999999995</v>
      </c>
      <c r="C627" s="1">
        <v>0.87361100000000003</v>
      </c>
      <c r="D627" s="1">
        <f>IF(B627&gt;C627,B627-C627,C627-B627)</f>
        <v>2.9640000000000777E-3</v>
      </c>
      <c r="E627">
        <f>MINUTE(D627)</f>
        <v>4</v>
      </c>
      <c r="F627">
        <f>SECOND(D627)</f>
        <v>16</v>
      </c>
      <c r="G627">
        <f>ROUND(E627+F627/60,2)</f>
        <v>4.2699999999999996</v>
      </c>
      <c r="H627">
        <f>60*E627+F627</f>
        <v>256</v>
      </c>
      <c r="I627" s="3">
        <f>5*(3600/H627)</f>
        <v>70.3125</v>
      </c>
    </row>
    <row r="628" spans="1:9" x14ac:dyDescent="0.25">
      <c r="A628" s="4" t="s">
        <v>68</v>
      </c>
      <c r="B628" s="1">
        <v>0.25546200000000002</v>
      </c>
      <c r="C628" s="1">
        <v>0.25842199999999999</v>
      </c>
      <c r="D628" s="1">
        <f>IF(B628&gt;C628,B628-C628,C628-B628)</f>
        <v>2.9599999999999627E-3</v>
      </c>
      <c r="E628">
        <f>MINUTE(D628)</f>
        <v>4</v>
      </c>
      <c r="F628">
        <f>SECOND(D628)</f>
        <v>16</v>
      </c>
      <c r="G628">
        <f>ROUND(E628+F628/60,2)</f>
        <v>4.2699999999999996</v>
      </c>
      <c r="H628">
        <f>60*E628+F628</f>
        <v>256</v>
      </c>
      <c r="I628" s="3">
        <f>5*(3600/H628)</f>
        <v>70.3125</v>
      </c>
    </row>
    <row r="629" spans="1:9" x14ac:dyDescent="0.25">
      <c r="A629" s="4" t="s">
        <v>112</v>
      </c>
      <c r="B629" s="1">
        <v>8.3103999999999997E-2</v>
      </c>
      <c r="C629" s="1">
        <v>8.0135999999999999E-2</v>
      </c>
      <c r="D629" s="1">
        <f>IF(B629&gt;C629,B629-C629,C629-B629)</f>
        <v>2.9679999999999984E-3</v>
      </c>
      <c r="E629">
        <f>MINUTE(D629)</f>
        <v>4</v>
      </c>
      <c r="F629">
        <f>SECOND(D629)</f>
        <v>16</v>
      </c>
      <c r="G629">
        <f>ROUND(E629+F629/60,2)</f>
        <v>4.2699999999999996</v>
      </c>
      <c r="H629">
        <f>60*E629+F629</f>
        <v>256</v>
      </c>
      <c r="I629" s="3">
        <f>5*(3600/H629)</f>
        <v>70.3125</v>
      </c>
    </row>
    <row r="630" spans="1:9" x14ac:dyDescent="0.25">
      <c r="A630" s="4" t="s">
        <v>226</v>
      </c>
      <c r="B630" s="1">
        <v>0.30818200000000001</v>
      </c>
      <c r="C630" s="1">
        <v>0.30521399999999999</v>
      </c>
      <c r="D630" s="1">
        <f>IF(B630&gt;C630,B630-C630,C630-B630)</f>
        <v>2.9680000000000262E-3</v>
      </c>
      <c r="E630">
        <f>MINUTE(D630)</f>
        <v>4</v>
      </c>
      <c r="F630">
        <f>SECOND(D630)</f>
        <v>16</v>
      </c>
      <c r="G630">
        <f>ROUND(E630+F630/60,2)</f>
        <v>4.2699999999999996</v>
      </c>
      <c r="H630">
        <f>60*E630+F630</f>
        <v>256</v>
      </c>
      <c r="I630" s="3">
        <f>5*(3600/H630)</f>
        <v>70.3125</v>
      </c>
    </row>
    <row r="631" spans="1:9" x14ac:dyDescent="0.25">
      <c r="A631" s="4" t="s">
        <v>303</v>
      </c>
      <c r="B631" s="1">
        <v>0.11633300000000001</v>
      </c>
      <c r="C631" s="1">
        <v>0.113373</v>
      </c>
      <c r="D631" s="1">
        <f>IF(B631&gt;C631,B631-C631,C631-B631)</f>
        <v>2.9600000000000043E-3</v>
      </c>
      <c r="E631">
        <f>MINUTE(D631)</f>
        <v>4</v>
      </c>
      <c r="F631">
        <f>SECOND(D631)</f>
        <v>16</v>
      </c>
      <c r="G631">
        <f>ROUND(E631+F631/60,2)</f>
        <v>4.2699999999999996</v>
      </c>
      <c r="H631">
        <f>60*E631+F631</f>
        <v>256</v>
      </c>
      <c r="I631" s="3">
        <f>5*(3600/H631)</f>
        <v>70.3125</v>
      </c>
    </row>
    <row r="632" spans="1:9" x14ac:dyDescent="0.25">
      <c r="A632" s="4" t="s">
        <v>7</v>
      </c>
      <c r="B632" s="1">
        <v>0.16389799999999999</v>
      </c>
      <c r="C632" s="1">
        <v>0.16686999999999999</v>
      </c>
      <c r="D632" s="1">
        <f>IF(B632&gt;C632,B632-C632,C632-B632)</f>
        <v>2.9720000000000024E-3</v>
      </c>
      <c r="E632">
        <f>MINUTE(D632)</f>
        <v>4</v>
      </c>
      <c r="F632">
        <f>SECOND(D632)</f>
        <v>17</v>
      </c>
      <c r="G632">
        <f>ROUND(E632+F632/60,2)</f>
        <v>4.28</v>
      </c>
      <c r="H632">
        <f>60*E632+F632</f>
        <v>257</v>
      </c>
      <c r="I632" s="3">
        <f>5*(3600/H632)</f>
        <v>70.038910505836583</v>
      </c>
    </row>
    <row r="633" spans="1:9" x14ac:dyDescent="0.25">
      <c r="A633" s="4" t="s">
        <v>35</v>
      </c>
      <c r="B633" s="1">
        <v>0.220334</v>
      </c>
      <c r="C633" s="1">
        <v>0.22331400000000001</v>
      </c>
      <c r="D633" s="1">
        <f>IF(B633&gt;C633,B633-C633,C633-B633)</f>
        <v>2.9800000000000104E-3</v>
      </c>
      <c r="E633">
        <f>MINUTE(D633)</f>
        <v>4</v>
      </c>
      <c r="F633">
        <f>SECOND(D633)</f>
        <v>17</v>
      </c>
      <c r="G633">
        <f>ROUND(E633+F633/60,2)</f>
        <v>4.28</v>
      </c>
      <c r="H633">
        <f>60*E633+F633</f>
        <v>257</v>
      </c>
      <c r="I633" s="3">
        <f>5*(3600/H633)</f>
        <v>70.038910505836583</v>
      </c>
    </row>
    <row r="634" spans="1:9" x14ac:dyDescent="0.25">
      <c r="A634" s="4" t="s">
        <v>132</v>
      </c>
      <c r="B634" s="1">
        <v>0.19933999999999999</v>
      </c>
      <c r="C634" s="1">
        <v>0.19636400000000001</v>
      </c>
      <c r="D634" s="1">
        <f>IF(B634&gt;C634,B634-C634,C634-B634)</f>
        <v>2.9759999999999787E-3</v>
      </c>
      <c r="E634">
        <f>MINUTE(D634)</f>
        <v>4</v>
      </c>
      <c r="F634">
        <f>SECOND(D634)</f>
        <v>17</v>
      </c>
      <c r="G634">
        <f>ROUND(E634+F634/60,2)</f>
        <v>4.28</v>
      </c>
      <c r="H634">
        <f>60*E634+F634</f>
        <v>257</v>
      </c>
      <c r="I634" s="3">
        <f>5*(3600/H634)</f>
        <v>70.038910505836583</v>
      </c>
    </row>
    <row r="635" spans="1:9" x14ac:dyDescent="0.25">
      <c r="A635" s="4" t="s">
        <v>429</v>
      </c>
      <c r="B635" s="1">
        <v>0.95077199999999995</v>
      </c>
      <c r="C635" s="1">
        <v>0.94779599999999997</v>
      </c>
      <c r="D635" s="1">
        <f>IF(B635&gt;C635,B635-C635,C635-B635)</f>
        <v>2.9759999999999787E-3</v>
      </c>
      <c r="E635">
        <f>MINUTE(D635)</f>
        <v>4</v>
      </c>
      <c r="F635">
        <f>SECOND(D635)</f>
        <v>17</v>
      </c>
      <c r="G635">
        <f>ROUND(E635+F635/60,2)</f>
        <v>4.28</v>
      </c>
      <c r="H635">
        <f>60*E635+F635</f>
        <v>257</v>
      </c>
      <c r="I635" s="3">
        <f>5*(3600/H635)</f>
        <v>70.038910505836583</v>
      </c>
    </row>
    <row r="636" spans="1:9" x14ac:dyDescent="0.25">
      <c r="A636" s="4" t="s">
        <v>69</v>
      </c>
      <c r="B636" s="1">
        <v>0.47924800000000001</v>
      </c>
      <c r="C636" s="1">
        <v>0.47626000000000002</v>
      </c>
      <c r="D636" s="1">
        <f>IF(B636&gt;C636,B636-C636,C636-B636)</f>
        <v>2.9879999999999907E-3</v>
      </c>
      <c r="E636">
        <f>MINUTE(D636)</f>
        <v>4</v>
      </c>
      <c r="F636">
        <f>SECOND(D636)</f>
        <v>18</v>
      </c>
      <c r="G636">
        <f>ROUND(E636+F636/60,2)</f>
        <v>4.3</v>
      </c>
      <c r="H636">
        <f>60*E636+F636</f>
        <v>258</v>
      </c>
      <c r="I636" s="3">
        <f>5*(3600/H636)</f>
        <v>69.767441860465112</v>
      </c>
    </row>
    <row r="637" spans="1:9" x14ac:dyDescent="0.25">
      <c r="A637" s="4" t="s">
        <v>392</v>
      </c>
      <c r="B637" s="1">
        <v>0.27104099999999998</v>
      </c>
      <c r="C637" s="1">
        <v>0.27402900000000002</v>
      </c>
      <c r="D637" s="1">
        <f>IF(B637&gt;C637,B637-C637,C637-B637)</f>
        <v>2.9880000000000462E-3</v>
      </c>
      <c r="E637">
        <f>MINUTE(D637)</f>
        <v>4</v>
      </c>
      <c r="F637">
        <f>SECOND(D637)</f>
        <v>18</v>
      </c>
      <c r="G637">
        <f>ROUND(E637+F637/60,2)</f>
        <v>4.3</v>
      </c>
      <c r="H637">
        <f>60*E637+F637</f>
        <v>258</v>
      </c>
      <c r="I637" s="3">
        <f>5*(3600/H637)</f>
        <v>69.767441860465112</v>
      </c>
    </row>
    <row r="638" spans="1:9" x14ac:dyDescent="0.25">
      <c r="A638" s="4" t="s">
        <v>123</v>
      </c>
      <c r="B638" s="1">
        <v>6.7060999999999996E-2</v>
      </c>
      <c r="C638" s="1">
        <v>7.0060999999999998E-2</v>
      </c>
      <c r="D638" s="1">
        <f>IF(B638&gt;C638,B638-C638,C638-B638)</f>
        <v>3.0000000000000027E-3</v>
      </c>
      <c r="E638">
        <f>MINUTE(D638)</f>
        <v>4</v>
      </c>
      <c r="F638">
        <f>SECOND(D638)</f>
        <v>19</v>
      </c>
      <c r="G638">
        <f>ROUND(E638+F638/60,2)</f>
        <v>4.32</v>
      </c>
      <c r="H638">
        <f>60*E638+F638</f>
        <v>259</v>
      </c>
      <c r="I638" s="3">
        <f>5*(3600/H638)</f>
        <v>69.498069498069498</v>
      </c>
    </row>
    <row r="639" spans="1:9" x14ac:dyDescent="0.25">
      <c r="A639" s="4" t="s">
        <v>142</v>
      </c>
      <c r="B639" s="1">
        <v>0.24293500000000001</v>
      </c>
      <c r="C639" s="1">
        <v>0.24593100000000001</v>
      </c>
      <c r="D639" s="1">
        <f>IF(B639&gt;C639,B639-C639,C639-B639)</f>
        <v>2.9959999999999987E-3</v>
      </c>
      <c r="E639">
        <f>MINUTE(D639)</f>
        <v>4</v>
      </c>
      <c r="F639">
        <f>SECOND(D639)</f>
        <v>19</v>
      </c>
      <c r="G639">
        <f>ROUND(E639+F639/60,2)</f>
        <v>4.32</v>
      </c>
      <c r="H639">
        <f>60*E639+F639</f>
        <v>259</v>
      </c>
      <c r="I639" s="3">
        <f>5*(3600/H639)</f>
        <v>69.498069498069498</v>
      </c>
    </row>
    <row r="640" spans="1:9" x14ac:dyDescent="0.25">
      <c r="A640" s="4" t="s">
        <v>29</v>
      </c>
      <c r="B640" s="1">
        <v>5.8074000000000001E-2</v>
      </c>
      <c r="C640" s="1">
        <v>5.5070000000000001E-2</v>
      </c>
      <c r="D640" s="1">
        <f>IF(B640&gt;C640,B640-C640,C640-B640)</f>
        <v>3.0039999999999997E-3</v>
      </c>
      <c r="E640">
        <f>MINUTE(D640)</f>
        <v>4</v>
      </c>
      <c r="F640">
        <f>SECOND(D640)</f>
        <v>20</v>
      </c>
      <c r="G640">
        <f>ROUND(E640+F640/60,2)</f>
        <v>4.33</v>
      </c>
      <c r="H640">
        <f>60*E640+F640</f>
        <v>260</v>
      </c>
      <c r="I640" s="3">
        <f>5*(3600/H640)</f>
        <v>69.230769230769226</v>
      </c>
    </row>
    <row r="641" spans="1:9" x14ac:dyDescent="0.25">
      <c r="A641" s="4" t="s">
        <v>72</v>
      </c>
      <c r="B641" s="1">
        <v>0.33413399999999999</v>
      </c>
      <c r="C641" s="1">
        <v>0.33112599999999998</v>
      </c>
      <c r="D641" s="1">
        <f>IF(B641&gt;C641,B641-C641,C641-B641)</f>
        <v>3.0080000000000107E-3</v>
      </c>
      <c r="E641">
        <f>MINUTE(D641)</f>
        <v>4</v>
      </c>
      <c r="F641">
        <f>SECOND(D641)</f>
        <v>20</v>
      </c>
      <c r="G641">
        <f>ROUND(E641+F641/60,2)</f>
        <v>4.33</v>
      </c>
      <c r="H641">
        <f>60*E641+F641</f>
        <v>260</v>
      </c>
      <c r="I641" s="3">
        <f>5*(3600/H641)</f>
        <v>69.230769230769226</v>
      </c>
    </row>
    <row r="642" spans="1:9" x14ac:dyDescent="0.25">
      <c r="A642" s="4" t="s">
        <v>162</v>
      </c>
      <c r="B642" s="1">
        <v>0.48971599999999998</v>
      </c>
      <c r="C642" s="1">
        <v>0.492728</v>
      </c>
      <c r="D642" s="1">
        <f>IF(B642&gt;C642,B642-C642,C642-B642)</f>
        <v>3.0120000000000147E-3</v>
      </c>
      <c r="E642">
        <f>MINUTE(D642)</f>
        <v>4</v>
      </c>
      <c r="F642">
        <f>SECOND(D642)</f>
        <v>20</v>
      </c>
      <c r="G642">
        <f>ROUND(E642+F642/60,2)</f>
        <v>4.33</v>
      </c>
      <c r="H642">
        <f>60*E642+F642</f>
        <v>260</v>
      </c>
      <c r="I642" s="3">
        <f>5*(3600/H642)</f>
        <v>69.230769230769226</v>
      </c>
    </row>
    <row r="643" spans="1:9" x14ac:dyDescent="0.25">
      <c r="A643" s="4" t="s">
        <v>75</v>
      </c>
      <c r="B643" s="1">
        <v>0.21182200000000001</v>
      </c>
      <c r="C643" s="1">
        <v>0.20880199999999999</v>
      </c>
      <c r="D643" s="1">
        <f>IF(B643&gt;C643,B643-C643,C643-B643)</f>
        <v>3.0200000000000227E-3</v>
      </c>
      <c r="E643">
        <f>MINUTE(D643)</f>
        <v>4</v>
      </c>
      <c r="F643">
        <f>SECOND(D643)</f>
        <v>21</v>
      </c>
      <c r="G643">
        <f>ROUND(E643+F643/60,2)</f>
        <v>4.3499999999999996</v>
      </c>
      <c r="H643">
        <f>60*E643+F643</f>
        <v>261</v>
      </c>
      <c r="I643" s="3">
        <f>5*(3600/H643)</f>
        <v>68.965517241379303</v>
      </c>
    </row>
    <row r="644" spans="1:9" x14ac:dyDescent="0.25">
      <c r="A644" s="4" t="s">
        <v>3</v>
      </c>
      <c r="B644" s="1">
        <v>0.141675</v>
      </c>
      <c r="C644" s="1">
        <v>0.138651</v>
      </c>
      <c r="D644" s="1">
        <f>IF(B644&gt;C644,B644-C644,C644-B644)</f>
        <v>3.0239999999999989E-3</v>
      </c>
      <c r="E644">
        <f>MINUTE(D644)</f>
        <v>4</v>
      </c>
      <c r="F644">
        <f>SECOND(D644)</f>
        <v>21</v>
      </c>
      <c r="G644">
        <f>ROUND(E644+F644/60,2)</f>
        <v>4.3499999999999996</v>
      </c>
      <c r="H644">
        <f>60*E644+F644</f>
        <v>261</v>
      </c>
      <c r="I644" s="3">
        <f>5*(3600/H644)</f>
        <v>68.965517241379303</v>
      </c>
    </row>
    <row r="645" spans="1:9" x14ac:dyDescent="0.25">
      <c r="A645" s="4" t="s">
        <v>72</v>
      </c>
      <c r="B645" s="1">
        <v>0.145533</v>
      </c>
      <c r="C645" s="1">
        <v>0.14855299999999999</v>
      </c>
      <c r="D645" s="1">
        <f>IF(B645&gt;C645,B645-C645,C645-B645)</f>
        <v>3.0199999999999949E-3</v>
      </c>
      <c r="E645">
        <f>MINUTE(D645)</f>
        <v>4</v>
      </c>
      <c r="F645">
        <f>SECOND(D645)</f>
        <v>21</v>
      </c>
      <c r="G645">
        <f>ROUND(E645+F645/60,2)</f>
        <v>4.3499999999999996</v>
      </c>
      <c r="H645">
        <f>60*E645+F645</f>
        <v>261</v>
      </c>
      <c r="I645" s="3">
        <f>5*(3600/H645)</f>
        <v>68.965517241379303</v>
      </c>
    </row>
    <row r="646" spans="1:9" x14ac:dyDescent="0.25">
      <c r="A646" s="4" t="s">
        <v>83</v>
      </c>
      <c r="B646" s="1">
        <v>0.43880400000000003</v>
      </c>
      <c r="C646" s="1">
        <v>0.435784</v>
      </c>
      <c r="D646" s="1">
        <f>IF(B646&gt;C646,B646-C646,C646-B646)</f>
        <v>3.0200000000000227E-3</v>
      </c>
      <c r="E646">
        <f>MINUTE(D646)</f>
        <v>4</v>
      </c>
      <c r="F646">
        <f>SECOND(D646)</f>
        <v>21</v>
      </c>
      <c r="G646">
        <f>ROUND(E646+F646/60,2)</f>
        <v>4.3499999999999996</v>
      </c>
      <c r="H646">
        <f>60*E646+F646</f>
        <v>261</v>
      </c>
      <c r="I646" s="3">
        <f>5*(3600/H646)</f>
        <v>68.965517241379303</v>
      </c>
    </row>
    <row r="647" spans="1:9" x14ac:dyDescent="0.25">
      <c r="A647" s="4" t="s">
        <v>162</v>
      </c>
      <c r="B647" s="1">
        <v>0.42178399999999999</v>
      </c>
      <c r="C647" s="1">
        <v>0.42480400000000001</v>
      </c>
      <c r="D647" s="1">
        <f>IF(B647&gt;C647,B647-C647,C647-B647)</f>
        <v>3.0200000000000227E-3</v>
      </c>
      <c r="E647">
        <f>MINUTE(D647)</f>
        <v>4</v>
      </c>
      <c r="F647">
        <f>SECOND(D647)</f>
        <v>21</v>
      </c>
      <c r="G647">
        <f>ROUND(E647+F647/60,2)</f>
        <v>4.3499999999999996</v>
      </c>
      <c r="H647">
        <f>60*E647+F647</f>
        <v>261</v>
      </c>
      <c r="I647" s="3">
        <f>5*(3600/H647)</f>
        <v>68.965517241379303</v>
      </c>
    </row>
    <row r="648" spans="1:9" x14ac:dyDescent="0.25">
      <c r="A648" s="4" t="s">
        <v>295</v>
      </c>
      <c r="B648" s="1">
        <v>0.609267</v>
      </c>
      <c r="C648" s="1">
        <v>0.60625099999999998</v>
      </c>
      <c r="D648" s="1">
        <f>IF(B648&gt;C648,B648-C648,C648-B648)</f>
        <v>3.0160000000000187E-3</v>
      </c>
      <c r="E648">
        <f>MINUTE(D648)</f>
        <v>4</v>
      </c>
      <c r="F648">
        <f>SECOND(D648)</f>
        <v>21</v>
      </c>
      <c r="G648">
        <f>ROUND(E648+F648/60,2)</f>
        <v>4.3499999999999996</v>
      </c>
      <c r="H648">
        <f>60*E648+F648</f>
        <v>261</v>
      </c>
      <c r="I648" s="3">
        <f>5*(3600/H648)</f>
        <v>68.965517241379303</v>
      </c>
    </row>
    <row r="649" spans="1:9" x14ac:dyDescent="0.25">
      <c r="A649" s="4" t="s">
        <v>371</v>
      </c>
      <c r="B649" s="1">
        <v>0.99620900000000001</v>
      </c>
      <c r="C649" s="1">
        <v>0.99318499999999998</v>
      </c>
      <c r="D649" s="1">
        <f>IF(B649&gt;C649,B649-C649,C649-B649)</f>
        <v>3.0240000000000267E-3</v>
      </c>
      <c r="E649">
        <f>MINUTE(D649)</f>
        <v>4</v>
      </c>
      <c r="F649">
        <f>SECOND(D649)</f>
        <v>21</v>
      </c>
      <c r="G649">
        <f>ROUND(E649+F649/60,2)</f>
        <v>4.3499999999999996</v>
      </c>
      <c r="H649">
        <f>60*E649+F649</f>
        <v>261</v>
      </c>
      <c r="I649" s="3">
        <f>5*(3600/H649)</f>
        <v>68.965517241379303</v>
      </c>
    </row>
    <row r="650" spans="1:9" x14ac:dyDescent="0.25">
      <c r="A650" s="4" t="s">
        <v>109</v>
      </c>
      <c r="B650" s="1">
        <v>0.87870300000000001</v>
      </c>
      <c r="C650" s="1">
        <v>0.87566699999999997</v>
      </c>
      <c r="D650" s="1">
        <f>IF(B650&gt;C650,B650-C650,C650-B650)</f>
        <v>3.0360000000000387E-3</v>
      </c>
      <c r="E650">
        <f>MINUTE(D650)</f>
        <v>4</v>
      </c>
      <c r="F650">
        <f>SECOND(D650)</f>
        <v>22</v>
      </c>
      <c r="G650">
        <f>ROUND(E650+F650/60,2)</f>
        <v>4.37</v>
      </c>
      <c r="H650">
        <f>60*E650+F650</f>
        <v>262</v>
      </c>
      <c r="I650" s="3">
        <f>5*(3600/H650)</f>
        <v>68.702290076335885</v>
      </c>
    </row>
    <row r="651" spans="1:9" x14ac:dyDescent="0.25">
      <c r="A651" s="4" t="s">
        <v>204</v>
      </c>
      <c r="B651" s="1">
        <v>0.62856599999999996</v>
      </c>
      <c r="C651" s="1">
        <v>0.631602</v>
      </c>
      <c r="D651" s="1">
        <f>IF(B651&gt;C651,B651-C651,C651-B651)</f>
        <v>3.0360000000000387E-3</v>
      </c>
      <c r="E651">
        <f>MINUTE(D651)</f>
        <v>4</v>
      </c>
      <c r="F651">
        <f>SECOND(D651)</f>
        <v>22</v>
      </c>
      <c r="G651">
        <f>ROUND(E651+F651/60,2)</f>
        <v>4.37</v>
      </c>
      <c r="H651">
        <f>60*E651+F651</f>
        <v>262</v>
      </c>
      <c r="I651" s="3">
        <f>5*(3600/H651)</f>
        <v>68.702290076335885</v>
      </c>
    </row>
    <row r="652" spans="1:9" x14ac:dyDescent="0.25">
      <c r="A652" s="4" t="s">
        <v>68</v>
      </c>
      <c r="B652" s="1">
        <v>0.87950700000000004</v>
      </c>
      <c r="C652" s="1">
        <v>0.88255499999999998</v>
      </c>
      <c r="D652" s="1">
        <f>IF(B652&gt;C652,B652-C652,C652-B652)</f>
        <v>3.0479999999999396E-3</v>
      </c>
      <c r="E652">
        <f>MINUTE(D652)</f>
        <v>4</v>
      </c>
      <c r="F652">
        <f>SECOND(D652)</f>
        <v>23</v>
      </c>
      <c r="G652">
        <f>ROUND(E652+F652/60,2)</f>
        <v>4.38</v>
      </c>
      <c r="H652">
        <f>60*E652+F652</f>
        <v>263</v>
      </c>
      <c r="I652" s="3">
        <f>5*(3600/H652)</f>
        <v>68.441064638783274</v>
      </c>
    </row>
    <row r="653" spans="1:9" x14ac:dyDescent="0.25">
      <c r="A653" s="4" t="s">
        <v>67</v>
      </c>
      <c r="B653" s="1">
        <v>0.60153500000000004</v>
      </c>
      <c r="C653" s="1">
        <v>0.59848699999999999</v>
      </c>
      <c r="D653" s="1">
        <f>IF(B653&gt;C653,B653-C653,C653-B653)</f>
        <v>3.0480000000000507E-3</v>
      </c>
      <c r="E653">
        <f>MINUTE(D653)</f>
        <v>4</v>
      </c>
      <c r="F653">
        <f>SECOND(D653)</f>
        <v>23</v>
      </c>
      <c r="G653">
        <f>ROUND(E653+F653/60,2)</f>
        <v>4.38</v>
      </c>
      <c r="H653">
        <f>60*E653+F653</f>
        <v>263</v>
      </c>
      <c r="I653" s="3">
        <f>5*(3600/H653)</f>
        <v>68.441064638783274</v>
      </c>
    </row>
    <row r="654" spans="1:9" x14ac:dyDescent="0.25">
      <c r="A654" s="4" t="s">
        <v>265</v>
      </c>
      <c r="B654" s="1">
        <v>0.34791800000000001</v>
      </c>
      <c r="C654" s="1">
        <v>0.350962</v>
      </c>
      <c r="D654" s="1">
        <f>IF(B654&gt;C654,B654-C654,C654-B654)</f>
        <v>3.0439999999999912E-3</v>
      </c>
      <c r="E654">
        <f>MINUTE(D654)</f>
        <v>4</v>
      </c>
      <c r="F654">
        <f>SECOND(D654)</f>
        <v>23</v>
      </c>
      <c r="G654">
        <f>ROUND(E654+F654/60,2)</f>
        <v>4.38</v>
      </c>
      <c r="H654">
        <f>60*E654+F654</f>
        <v>263</v>
      </c>
      <c r="I654" s="3">
        <f>5*(3600/H654)</f>
        <v>68.441064638783274</v>
      </c>
    </row>
    <row r="655" spans="1:9" x14ac:dyDescent="0.25">
      <c r="A655" s="4" t="s">
        <v>299</v>
      </c>
      <c r="B655" s="1">
        <v>0.58881899999999998</v>
      </c>
      <c r="C655" s="1">
        <v>0.58577100000000004</v>
      </c>
      <c r="D655" s="1">
        <f>IF(B655&gt;C655,B655-C655,C655-B655)</f>
        <v>3.0479999999999396E-3</v>
      </c>
      <c r="E655">
        <f>MINUTE(D655)</f>
        <v>4</v>
      </c>
      <c r="F655">
        <f>SECOND(D655)</f>
        <v>23</v>
      </c>
      <c r="G655">
        <f>ROUND(E655+F655/60,2)</f>
        <v>4.38</v>
      </c>
      <c r="H655">
        <f>60*E655+F655</f>
        <v>263</v>
      </c>
      <c r="I655" s="3">
        <f>5*(3600/H655)</f>
        <v>68.441064638783274</v>
      </c>
    </row>
    <row r="656" spans="1:9" x14ac:dyDescent="0.25">
      <c r="A656" s="4" t="s">
        <v>75</v>
      </c>
      <c r="B656" s="1">
        <v>0.42321900000000001</v>
      </c>
      <c r="C656" s="1">
        <v>0.42627100000000001</v>
      </c>
      <c r="D656" s="1">
        <f>IF(B656&gt;C656,B656-C656,C656-B656)</f>
        <v>3.0519999999999992E-3</v>
      </c>
      <c r="E656">
        <f>MINUTE(D656)</f>
        <v>4</v>
      </c>
      <c r="F656">
        <f>SECOND(D656)</f>
        <v>24</v>
      </c>
      <c r="G656">
        <f>ROUND(E656+F656/60,2)</f>
        <v>4.4000000000000004</v>
      </c>
      <c r="H656">
        <f>60*E656+F656</f>
        <v>264</v>
      </c>
      <c r="I656" s="3">
        <f>5*(3600/H656)</f>
        <v>68.181818181818187</v>
      </c>
    </row>
    <row r="657" spans="1:9" x14ac:dyDescent="0.25">
      <c r="A657" s="4" t="s">
        <v>16</v>
      </c>
      <c r="B657" s="1">
        <v>0.464613</v>
      </c>
      <c r="C657" s="1">
        <v>0.46155299999999999</v>
      </c>
      <c r="D657" s="1">
        <f>IF(B657&gt;C657,B657-C657,C657-B657)</f>
        <v>3.0600000000000072E-3</v>
      </c>
      <c r="E657">
        <f>MINUTE(D657)</f>
        <v>4</v>
      </c>
      <c r="F657">
        <f>SECOND(D657)</f>
        <v>24</v>
      </c>
      <c r="G657">
        <f>ROUND(E657+F657/60,2)</f>
        <v>4.4000000000000004</v>
      </c>
      <c r="H657">
        <f>60*E657+F657</f>
        <v>264</v>
      </c>
      <c r="I657" s="3">
        <f>5*(3600/H657)</f>
        <v>68.181818181818187</v>
      </c>
    </row>
    <row r="658" spans="1:9" x14ac:dyDescent="0.25">
      <c r="A658" s="4" t="s">
        <v>58</v>
      </c>
      <c r="B658" s="1">
        <v>0.314112</v>
      </c>
      <c r="C658" s="1">
        <v>0.31717200000000001</v>
      </c>
      <c r="D658" s="1">
        <f>IF(B658&gt;C658,B658-C658,C658-B658)</f>
        <v>3.0600000000000072E-3</v>
      </c>
      <c r="E658">
        <f>MINUTE(D658)</f>
        <v>4</v>
      </c>
      <c r="F658">
        <f>SECOND(D658)</f>
        <v>24</v>
      </c>
      <c r="G658">
        <f>ROUND(E658+F658/60,2)</f>
        <v>4.4000000000000004</v>
      </c>
      <c r="H658">
        <f>60*E658+F658</f>
        <v>264</v>
      </c>
      <c r="I658" s="3">
        <f>5*(3600/H658)</f>
        <v>68.181818181818187</v>
      </c>
    </row>
    <row r="659" spans="1:9" x14ac:dyDescent="0.25">
      <c r="A659" s="4" t="s">
        <v>84</v>
      </c>
      <c r="B659" s="1">
        <v>0.51541800000000004</v>
      </c>
      <c r="C659" s="1">
        <v>0.51847399999999999</v>
      </c>
      <c r="D659" s="1">
        <f>IF(B659&gt;C659,B659-C659,C659-B659)</f>
        <v>3.0559999999999476E-3</v>
      </c>
      <c r="E659">
        <f>MINUTE(D659)</f>
        <v>4</v>
      </c>
      <c r="F659">
        <f>SECOND(D659)</f>
        <v>24</v>
      </c>
      <c r="G659">
        <f>ROUND(E659+F659/60,2)</f>
        <v>4.4000000000000004</v>
      </c>
      <c r="H659">
        <f>60*E659+F659</f>
        <v>264</v>
      </c>
      <c r="I659" s="3">
        <f>5*(3600/H659)</f>
        <v>68.181818181818187</v>
      </c>
    </row>
    <row r="660" spans="1:9" x14ac:dyDescent="0.25">
      <c r="A660" s="4" t="s">
        <v>316</v>
      </c>
      <c r="B660" s="1">
        <v>0.444025</v>
      </c>
      <c r="C660" s="1">
        <v>0.44708500000000001</v>
      </c>
      <c r="D660" s="1">
        <f>IF(B660&gt;C660,B660-C660,C660-B660)</f>
        <v>3.0600000000000072E-3</v>
      </c>
      <c r="E660">
        <f>MINUTE(D660)</f>
        <v>4</v>
      </c>
      <c r="F660">
        <f>SECOND(D660)</f>
        <v>24</v>
      </c>
      <c r="G660">
        <f>ROUND(E660+F660/60,2)</f>
        <v>4.4000000000000004</v>
      </c>
      <c r="H660">
        <f>60*E660+F660</f>
        <v>264</v>
      </c>
      <c r="I660" s="3">
        <f>5*(3600/H660)</f>
        <v>68.181818181818187</v>
      </c>
    </row>
    <row r="661" spans="1:9" x14ac:dyDescent="0.25">
      <c r="A661" s="4" t="s">
        <v>73</v>
      </c>
      <c r="B661" s="1">
        <v>0.39306200000000002</v>
      </c>
      <c r="C661" s="1">
        <v>0.39612599999999998</v>
      </c>
      <c r="D661" s="1">
        <f>IF(B661&gt;C661,B661-C661,C661-B661)</f>
        <v>3.0639999999999556E-3</v>
      </c>
      <c r="E661">
        <f>MINUTE(D661)</f>
        <v>4</v>
      </c>
      <c r="F661">
        <f>SECOND(D661)</f>
        <v>25</v>
      </c>
      <c r="G661">
        <f>ROUND(E661+F661/60,2)</f>
        <v>4.42</v>
      </c>
      <c r="H661">
        <f>60*E661+F661</f>
        <v>265</v>
      </c>
      <c r="I661" s="3">
        <f>5*(3600/H661)</f>
        <v>67.924528301886795</v>
      </c>
    </row>
    <row r="662" spans="1:9" x14ac:dyDescent="0.25">
      <c r="A662" s="4" t="s">
        <v>18</v>
      </c>
      <c r="B662" s="1">
        <v>0.214673</v>
      </c>
      <c r="C662" s="1">
        <v>0.21774499999999999</v>
      </c>
      <c r="D662" s="1">
        <f>IF(B662&gt;C662,B662-C662,C662-B662)</f>
        <v>3.0719999999999914E-3</v>
      </c>
      <c r="E662">
        <f>MINUTE(D662)</f>
        <v>4</v>
      </c>
      <c r="F662">
        <f>SECOND(D662)</f>
        <v>25</v>
      </c>
      <c r="G662">
        <f>ROUND(E662+F662/60,2)</f>
        <v>4.42</v>
      </c>
      <c r="H662">
        <f>60*E662+F662</f>
        <v>265</v>
      </c>
      <c r="I662" s="3">
        <f>5*(3600/H662)</f>
        <v>67.924528301886795</v>
      </c>
    </row>
    <row r="663" spans="1:9" x14ac:dyDescent="0.25">
      <c r="A663" s="4" t="s">
        <v>14</v>
      </c>
      <c r="B663" s="1">
        <v>0.53404300000000005</v>
      </c>
      <c r="C663" s="1">
        <v>0.53097899999999998</v>
      </c>
      <c r="D663" s="1">
        <f>IF(B663&gt;C663,B663-C663,C663-B663)</f>
        <v>3.0640000000000667E-3</v>
      </c>
      <c r="E663">
        <f>MINUTE(D663)</f>
        <v>4</v>
      </c>
      <c r="F663">
        <f>SECOND(D663)</f>
        <v>25</v>
      </c>
      <c r="G663">
        <f>ROUND(E663+F663/60,2)</f>
        <v>4.42</v>
      </c>
      <c r="H663">
        <f>60*E663+F663</f>
        <v>265</v>
      </c>
      <c r="I663" s="3">
        <f>5*(3600/H663)</f>
        <v>67.924528301886795</v>
      </c>
    </row>
    <row r="664" spans="1:9" x14ac:dyDescent="0.25">
      <c r="A664" s="4" t="s">
        <v>109</v>
      </c>
      <c r="B664" s="1">
        <v>0.73162199999999999</v>
      </c>
      <c r="C664" s="1">
        <v>0.73468599999999995</v>
      </c>
      <c r="D664" s="1">
        <f>IF(B664&gt;C664,B664-C664,C664-B664)</f>
        <v>3.0639999999999556E-3</v>
      </c>
      <c r="E664">
        <f>MINUTE(D664)</f>
        <v>4</v>
      </c>
      <c r="F664">
        <f>SECOND(D664)</f>
        <v>25</v>
      </c>
      <c r="G664">
        <f>ROUND(E664+F664/60,2)</f>
        <v>4.42</v>
      </c>
      <c r="H664">
        <f>60*E664+F664</f>
        <v>265</v>
      </c>
      <c r="I664" s="3">
        <f>5*(3600/H664)</f>
        <v>67.924528301886795</v>
      </c>
    </row>
    <row r="665" spans="1:9" x14ac:dyDescent="0.25">
      <c r="A665" s="4" t="s">
        <v>258</v>
      </c>
      <c r="B665" s="1">
        <v>0.75965099999999997</v>
      </c>
      <c r="C665" s="1">
        <v>0.76272300000000004</v>
      </c>
      <c r="D665" s="1">
        <f>IF(B665&gt;C665,B665-C665,C665-B665)</f>
        <v>3.0720000000000747E-3</v>
      </c>
      <c r="E665">
        <f>MINUTE(D665)</f>
        <v>4</v>
      </c>
      <c r="F665">
        <f>SECOND(D665)</f>
        <v>25</v>
      </c>
      <c r="G665">
        <f>ROUND(E665+F665/60,2)</f>
        <v>4.42</v>
      </c>
      <c r="H665">
        <f>60*E665+F665</f>
        <v>265</v>
      </c>
      <c r="I665" s="3">
        <f>5*(3600/H665)</f>
        <v>67.924528301886795</v>
      </c>
    </row>
    <row r="666" spans="1:9" x14ac:dyDescent="0.25">
      <c r="A666" s="4" t="s">
        <v>294</v>
      </c>
      <c r="B666" s="1">
        <v>0.956812</v>
      </c>
      <c r="C666" s="1">
        <v>0.95374800000000004</v>
      </c>
      <c r="D666" s="1">
        <f>IF(B666&gt;C666,B666-C666,C666-B666)</f>
        <v>3.0639999999999556E-3</v>
      </c>
      <c r="E666">
        <f>MINUTE(D666)</f>
        <v>4</v>
      </c>
      <c r="F666">
        <f>SECOND(D666)</f>
        <v>25</v>
      </c>
      <c r="G666">
        <f>ROUND(E666+F666/60,2)</f>
        <v>4.42</v>
      </c>
      <c r="H666">
        <f>60*E666+F666</f>
        <v>265</v>
      </c>
      <c r="I666" s="3">
        <f>5*(3600/H666)</f>
        <v>67.924528301886795</v>
      </c>
    </row>
    <row r="667" spans="1:9" x14ac:dyDescent="0.25">
      <c r="A667" s="4" t="s">
        <v>305</v>
      </c>
      <c r="B667" s="1">
        <v>0.71706700000000001</v>
      </c>
      <c r="C667" s="1">
        <v>0.71400300000000005</v>
      </c>
      <c r="D667" s="1">
        <f>IF(B667&gt;C667,B667-C667,C667-B667)</f>
        <v>3.0639999999999556E-3</v>
      </c>
      <c r="E667">
        <f>MINUTE(D667)</f>
        <v>4</v>
      </c>
      <c r="F667">
        <f>SECOND(D667)</f>
        <v>25</v>
      </c>
      <c r="G667">
        <f>ROUND(E667+F667/60,2)</f>
        <v>4.42</v>
      </c>
      <c r="H667">
        <f>60*E667+F667</f>
        <v>265</v>
      </c>
      <c r="I667" s="3">
        <f>5*(3600/H667)</f>
        <v>67.924528301886795</v>
      </c>
    </row>
    <row r="668" spans="1:9" x14ac:dyDescent="0.25">
      <c r="A668" s="4" t="s">
        <v>342</v>
      </c>
      <c r="B668" s="1">
        <v>0.52615599999999996</v>
      </c>
      <c r="C668" s="1">
        <v>0.52922000000000002</v>
      </c>
      <c r="D668" s="1">
        <f>IF(B668&gt;C668,B668-C668,C668-B668)</f>
        <v>3.0640000000000667E-3</v>
      </c>
      <c r="E668">
        <f>MINUTE(D668)</f>
        <v>4</v>
      </c>
      <c r="F668">
        <f>SECOND(D668)</f>
        <v>25</v>
      </c>
      <c r="G668">
        <f>ROUND(E668+F668/60,2)</f>
        <v>4.42</v>
      </c>
      <c r="H668">
        <f>60*E668+F668</f>
        <v>265</v>
      </c>
      <c r="I668" s="3">
        <f>5*(3600/H668)</f>
        <v>67.924528301886795</v>
      </c>
    </row>
    <row r="669" spans="1:9" x14ac:dyDescent="0.25">
      <c r="A669" s="4" t="s">
        <v>98</v>
      </c>
      <c r="B669" s="1">
        <v>0.56562500000000004</v>
      </c>
      <c r="C669" s="1">
        <v>0.56870900000000002</v>
      </c>
      <c r="D669" s="1">
        <f>IF(B669&gt;C669,B669-C669,C669-B669)</f>
        <v>3.0839999999999756E-3</v>
      </c>
      <c r="E669">
        <f>MINUTE(D669)</f>
        <v>4</v>
      </c>
      <c r="F669">
        <f>SECOND(D669)</f>
        <v>26</v>
      </c>
      <c r="G669">
        <f>ROUND(E669+F669/60,2)</f>
        <v>4.43</v>
      </c>
      <c r="H669">
        <f>60*E669+F669</f>
        <v>266</v>
      </c>
      <c r="I669" s="3">
        <f>5*(3600/H669)</f>
        <v>67.669172932330824</v>
      </c>
    </row>
    <row r="670" spans="1:9" x14ac:dyDescent="0.25">
      <c r="A670" s="4" t="s">
        <v>3</v>
      </c>
      <c r="B670" s="1">
        <v>0.83289800000000003</v>
      </c>
      <c r="C670" s="1">
        <v>0.82982199999999995</v>
      </c>
      <c r="D670" s="1">
        <f>IF(B670&gt;C670,B670-C670,C670-B670)</f>
        <v>3.0760000000000787E-3</v>
      </c>
      <c r="E670">
        <f>MINUTE(D670)</f>
        <v>4</v>
      </c>
      <c r="F670">
        <f>SECOND(D670)</f>
        <v>26</v>
      </c>
      <c r="G670">
        <f>ROUND(E670+F670/60,2)</f>
        <v>4.43</v>
      </c>
      <c r="H670">
        <f>60*E670+F670</f>
        <v>266</v>
      </c>
      <c r="I670" s="3">
        <f>5*(3600/H670)</f>
        <v>67.669172932330824</v>
      </c>
    </row>
    <row r="671" spans="1:9" x14ac:dyDescent="0.25">
      <c r="A671" s="4" t="s">
        <v>94</v>
      </c>
      <c r="B671" s="1">
        <v>0.65988999999999998</v>
      </c>
      <c r="C671" s="1">
        <v>0.65681</v>
      </c>
      <c r="D671" s="1">
        <f>IF(B671&gt;C671,B671-C671,C671-B671)</f>
        <v>3.0799999999999716E-3</v>
      </c>
      <c r="E671">
        <f>MINUTE(D671)</f>
        <v>4</v>
      </c>
      <c r="F671">
        <f>SECOND(D671)</f>
        <v>26</v>
      </c>
      <c r="G671">
        <f>ROUND(E671+F671/60,2)</f>
        <v>4.43</v>
      </c>
      <c r="H671">
        <f>60*E671+F671</f>
        <v>266</v>
      </c>
      <c r="I671" s="3">
        <f>5*(3600/H671)</f>
        <v>67.669172932330824</v>
      </c>
    </row>
    <row r="672" spans="1:9" x14ac:dyDescent="0.25">
      <c r="A672" s="4" t="s">
        <v>129</v>
      </c>
      <c r="B672" s="1">
        <v>0.30509900000000001</v>
      </c>
      <c r="C672" s="1">
        <v>0.308195</v>
      </c>
      <c r="D672" s="1">
        <f>IF(B672&gt;C672,B672-C672,C672-B672)</f>
        <v>3.0959999999999877E-3</v>
      </c>
      <c r="E672">
        <f>MINUTE(D672)</f>
        <v>4</v>
      </c>
      <c r="F672">
        <f>SECOND(D672)</f>
        <v>27</v>
      </c>
      <c r="G672">
        <f>ROUND(E672+F672/60,2)</f>
        <v>4.45</v>
      </c>
      <c r="H672">
        <f>60*E672+F672</f>
        <v>267</v>
      </c>
      <c r="I672" s="3">
        <f>5*(3600/H672)</f>
        <v>67.415730337078642</v>
      </c>
    </row>
    <row r="673" spans="1:9" x14ac:dyDescent="0.25">
      <c r="A673" s="4" t="s">
        <v>360</v>
      </c>
      <c r="B673" s="1">
        <v>0.85678500000000002</v>
      </c>
      <c r="C673" s="1">
        <v>0.85369300000000004</v>
      </c>
      <c r="D673" s="1">
        <f>IF(B673&gt;C673,B673-C673,C673-B673)</f>
        <v>3.0919999999999837E-3</v>
      </c>
      <c r="E673">
        <f>MINUTE(D673)</f>
        <v>4</v>
      </c>
      <c r="F673">
        <f>SECOND(D673)</f>
        <v>27</v>
      </c>
      <c r="G673">
        <f>ROUND(E673+F673/60,2)</f>
        <v>4.45</v>
      </c>
      <c r="H673">
        <f>60*E673+F673</f>
        <v>267</v>
      </c>
      <c r="I673" s="3">
        <f>5*(3600/H673)</f>
        <v>67.415730337078642</v>
      </c>
    </row>
    <row r="674" spans="1:9" x14ac:dyDescent="0.25">
      <c r="A674" s="4" t="s">
        <v>137</v>
      </c>
      <c r="B674" s="1">
        <v>0.24684700000000001</v>
      </c>
      <c r="C674" s="1">
        <v>0.24374699999999999</v>
      </c>
      <c r="D674" s="1">
        <f>IF(B674&gt;C674,B674-C674,C674-B674)</f>
        <v>3.1000000000000194E-3</v>
      </c>
      <c r="E674">
        <f>MINUTE(D674)</f>
        <v>4</v>
      </c>
      <c r="F674">
        <f>SECOND(D674)</f>
        <v>28</v>
      </c>
      <c r="G674">
        <f>ROUND(E674+F674/60,2)</f>
        <v>4.47</v>
      </c>
      <c r="H674">
        <f>60*E674+F674</f>
        <v>268</v>
      </c>
      <c r="I674" s="3">
        <f>5*(3600/H674)</f>
        <v>67.164179104477611</v>
      </c>
    </row>
    <row r="675" spans="1:9" x14ac:dyDescent="0.25">
      <c r="A675" s="4" t="s">
        <v>287</v>
      </c>
      <c r="B675" s="1">
        <v>0.81754599999999999</v>
      </c>
      <c r="C675" s="1">
        <v>0.814446</v>
      </c>
      <c r="D675" s="1">
        <f>IF(B675&gt;C675,B675-C675,C675-B675)</f>
        <v>3.0999999999999917E-3</v>
      </c>
      <c r="E675">
        <f>MINUTE(D675)</f>
        <v>4</v>
      </c>
      <c r="F675">
        <f>SECOND(D675)</f>
        <v>28</v>
      </c>
      <c r="G675">
        <f>ROUND(E675+F675/60,2)</f>
        <v>4.47</v>
      </c>
      <c r="H675">
        <f>60*E675+F675</f>
        <v>268</v>
      </c>
      <c r="I675" s="3">
        <f>5*(3600/H675)</f>
        <v>67.164179104477611</v>
      </c>
    </row>
    <row r="676" spans="1:9" x14ac:dyDescent="0.25">
      <c r="A676" s="4" t="s">
        <v>88</v>
      </c>
      <c r="B676" s="1">
        <v>0.54971199999999998</v>
      </c>
      <c r="C676" s="1">
        <v>0.54660399999999998</v>
      </c>
      <c r="D676" s="1">
        <f>IF(B676&gt;C676,B676-C676,C676-B676)</f>
        <v>3.1079999999999997E-3</v>
      </c>
      <c r="E676">
        <f>MINUTE(D676)</f>
        <v>4</v>
      </c>
      <c r="F676">
        <f>SECOND(D676)</f>
        <v>29</v>
      </c>
      <c r="G676">
        <f>ROUND(E676+F676/60,2)</f>
        <v>4.4800000000000004</v>
      </c>
      <c r="H676">
        <f>60*E676+F676</f>
        <v>269</v>
      </c>
      <c r="I676" s="3">
        <f>5*(3600/H676)</f>
        <v>66.914498141263948</v>
      </c>
    </row>
    <row r="677" spans="1:9" x14ac:dyDescent="0.25">
      <c r="A677" s="4" t="s">
        <v>75</v>
      </c>
      <c r="B677" s="1">
        <v>0.48200599999999999</v>
      </c>
      <c r="C677" s="1">
        <v>0.485122</v>
      </c>
      <c r="D677" s="1">
        <f>IF(B677&gt;C677,B677-C677,C677-B677)</f>
        <v>3.1160000000000077E-3</v>
      </c>
      <c r="E677">
        <f>MINUTE(D677)</f>
        <v>4</v>
      </c>
      <c r="F677">
        <f>SECOND(D677)</f>
        <v>29</v>
      </c>
      <c r="G677">
        <f>ROUND(E677+F677/60,2)</f>
        <v>4.4800000000000004</v>
      </c>
      <c r="H677">
        <f>60*E677+F677</f>
        <v>269</v>
      </c>
      <c r="I677" s="3">
        <f>5*(3600/H677)</f>
        <v>66.914498141263948</v>
      </c>
    </row>
    <row r="678" spans="1:9" x14ac:dyDescent="0.25">
      <c r="A678" s="4" t="s">
        <v>33</v>
      </c>
      <c r="B678" s="1">
        <v>0.915269</v>
      </c>
      <c r="C678" s="1">
        <v>0.91838500000000001</v>
      </c>
      <c r="D678" s="1">
        <f>IF(B678&gt;C678,B678-C678,C678-B678)</f>
        <v>3.1160000000000077E-3</v>
      </c>
      <c r="E678">
        <f>MINUTE(D678)</f>
        <v>4</v>
      </c>
      <c r="F678">
        <f>SECOND(D678)</f>
        <v>29</v>
      </c>
      <c r="G678">
        <f>ROUND(E678+F678/60,2)</f>
        <v>4.4800000000000004</v>
      </c>
      <c r="H678">
        <f>60*E678+F678</f>
        <v>269</v>
      </c>
      <c r="I678" s="3">
        <f>5*(3600/H678)</f>
        <v>66.914498141263948</v>
      </c>
    </row>
    <row r="679" spans="1:9" x14ac:dyDescent="0.25">
      <c r="A679" s="4" t="s">
        <v>327</v>
      </c>
      <c r="B679" s="1">
        <v>7.5789999999999998E-3</v>
      </c>
      <c r="C679" s="1">
        <v>1.0695E-2</v>
      </c>
      <c r="D679" s="1">
        <f>IF(B679&gt;C679,B679-C679,C679-B679)</f>
        <v>3.1159999999999998E-3</v>
      </c>
      <c r="E679">
        <f>MINUTE(D679)</f>
        <v>4</v>
      </c>
      <c r="F679">
        <f>SECOND(D679)</f>
        <v>29</v>
      </c>
      <c r="G679">
        <f>ROUND(E679+F679/60,2)</f>
        <v>4.4800000000000004</v>
      </c>
      <c r="H679">
        <f>60*E679+F679</f>
        <v>269</v>
      </c>
      <c r="I679" s="3">
        <f>5*(3600/H679)</f>
        <v>66.914498141263948</v>
      </c>
    </row>
    <row r="680" spans="1:9" x14ac:dyDescent="0.25">
      <c r="A680" s="4" t="s">
        <v>409</v>
      </c>
      <c r="B680" s="1">
        <v>0.92164199999999996</v>
      </c>
      <c r="C680" s="1">
        <v>0.92475799999999997</v>
      </c>
      <c r="D680" s="1">
        <f>IF(B680&gt;C680,B680-C680,C680-B680)</f>
        <v>3.1160000000000077E-3</v>
      </c>
      <c r="E680">
        <f>MINUTE(D680)</f>
        <v>4</v>
      </c>
      <c r="F680">
        <f>SECOND(D680)</f>
        <v>29</v>
      </c>
      <c r="G680">
        <f>ROUND(E680+F680/60,2)</f>
        <v>4.4800000000000004</v>
      </c>
      <c r="H680">
        <f>60*E680+F680</f>
        <v>269</v>
      </c>
      <c r="I680" s="3">
        <f>5*(3600/H680)</f>
        <v>66.914498141263948</v>
      </c>
    </row>
    <row r="681" spans="1:9" x14ac:dyDescent="0.25">
      <c r="A681" s="4" t="s">
        <v>49</v>
      </c>
      <c r="B681" s="1">
        <v>0.55866400000000005</v>
      </c>
      <c r="C681" s="1">
        <v>0.55554400000000004</v>
      </c>
      <c r="D681" s="1">
        <f>IF(B681&gt;C681,B681-C681,C681-B681)</f>
        <v>3.1200000000000117E-3</v>
      </c>
      <c r="E681">
        <f>MINUTE(D681)</f>
        <v>4</v>
      </c>
      <c r="F681">
        <f>SECOND(D681)</f>
        <v>30</v>
      </c>
      <c r="G681">
        <f>ROUND(E681+F681/60,2)</f>
        <v>4.5</v>
      </c>
      <c r="H681">
        <f>60*E681+F681</f>
        <v>270</v>
      </c>
      <c r="I681" s="3">
        <f>5*(3600/H681)</f>
        <v>66.666666666666671</v>
      </c>
    </row>
    <row r="682" spans="1:9" x14ac:dyDescent="0.25">
      <c r="A682" s="4" t="s">
        <v>89</v>
      </c>
      <c r="B682" s="1">
        <v>0.42967</v>
      </c>
      <c r="C682" s="1">
        <v>0.42654599999999998</v>
      </c>
      <c r="D682" s="1">
        <f>IF(B682&gt;C682,B682-C682,C682-B682)</f>
        <v>3.1240000000000157E-3</v>
      </c>
      <c r="E682">
        <f>MINUTE(D682)</f>
        <v>4</v>
      </c>
      <c r="F682">
        <f>SECOND(D682)</f>
        <v>30</v>
      </c>
      <c r="G682">
        <f>ROUND(E682+F682/60,2)</f>
        <v>4.5</v>
      </c>
      <c r="H682">
        <f>60*E682+F682</f>
        <v>270</v>
      </c>
      <c r="I682" s="3">
        <f>5*(3600/H682)</f>
        <v>66.666666666666671</v>
      </c>
    </row>
    <row r="683" spans="1:9" x14ac:dyDescent="0.25">
      <c r="A683" s="4" t="s">
        <v>98</v>
      </c>
      <c r="B683" s="1">
        <v>0.248913</v>
      </c>
      <c r="C683" s="1">
        <v>0.25204100000000002</v>
      </c>
      <c r="D683" s="1">
        <f>IF(B683&gt;C683,B683-C683,C683-B683)</f>
        <v>3.1280000000000197E-3</v>
      </c>
      <c r="E683">
        <f>MINUTE(D683)</f>
        <v>4</v>
      </c>
      <c r="F683">
        <f>SECOND(D683)</f>
        <v>30</v>
      </c>
      <c r="G683">
        <f>ROUND(E683+F683/60,2)</f>
        <v>4.5</v>
      </c>
      <c r="H683">
        <f>60*E683+F683</f>
        <v>270</v>
      </c>
      <c r="I683" s="3">
        <f>5*(3600/H683)</f>
        <v>66.666666666666671</v>
      </c>
    </row>
    <row r="684" spans="1:9" x14ac:dyDescent="0.25">
      <c r="A684" s="4" t="s">
        <v>3</v>
      </c>
      <c r="B684" s="1">
        <v>0.640208</v>
      </c>
      <c r="C684" s="1">
        <v>0.64333600000000002</v>
      </c>
      <c r="D684" s="1">
        <f>IF(B684&gt;C684,B684-C684,C684-B684)</f>
        <v>3.1280000000000197E-3</v>
      </c>
      <c r="E684">
        <f>MINUTE(D684)</f>
        <v>4</v>
      </c>
      <c r="F684">
        <f>SECOND(D684)</f>
        <v>30</v>
      </c>
      <c r="G684">
        <f>ROUND(E684+F684/60,2)</f>
        <v>4.5</v>
      </c>
      <c r="H684">
        <f>60*E684+F684</f>
        <v>270</v>
      </c>
      <c r="I684" s="3">
        <f>5*(3600/H684)</f>
        <v>66.666666666666671</v>
      </c>
    </row>
    <row r="685" spans="1:9" x14ac:dyDescent="0.25">
      <c r="A685" s="4" t="s">
        <v>401</v>
      </c>
      <c r="B685" s="1">
        <v>0.35245900000000002</v>
      </c>
      <c r="C685" s="1">
        <v>0.35557899999999998</v>
      </c>
      <c r="D685" s="1">
        <f>IF(B685&gt;C685,B685-C685,C685-B685)</f>
        <v>3.1199999999999561E-3</v>
      </c>
      <c r="E685">
        <f>MINUTE(D685)</f>
        <v>4</v>
      </c>
      <c r="F685">
        <f>SECOND(D685)</f>
        <v>30</v>
      </c>
      <c r="G685">
        <f>ROUND(E685+F685/60,2)</f>
        <v>4.5</v>
      </c>
      <c r="H685">
        <f>60*E685+F685</f>
        <v>270</v>
      </c>
      <c r="I685" s="3">
        <f>5*(3600/H685)</f>
        <v>66.666666666666671</v>
      </c>
    </row>
    <row r="686" spans="1:9" x14ac:dyDescent="0.25">
      <c r="A686" s="4" t="s">
        <v>127</v>
      </c>
      <c r="B686" s="1">
        <v>0.658308</v>
      </c>
      <c r="C686" s="1">
        <v>0.65516799999999997</v>
      </c>
      <c r="D686" s="1">
        <f>IF(B686&gt;C686,B686-C686,C686-B686)</f>
        <v>3.1400000000000317E-3</v>
      </c>
      <c r="E686">
        <f>MINUTE(D686)</f>
        <v>4</v>
      </c>
      <c r="F686">
        <f>SECOND(D686)</f>
        <v>31</v>
      </c>
      <c r="G686">
        <f>ROUND(E686+F686/60,2)</f>
        <v>4.5199999999999996</v>
      </c>
      <c r="H686">
        <f>60*E686+F686</f>
        <v>271</v>
      </c>
      <c r="I686" s="3">
        <f>5*(3600/H686)</f>
        <v>66.420664206642059</v>
      </c>
    </row>
    <row r="687" spans="1:9" x14ac:dyDescent="0.25">
      <c r="A687" s="4" t="s">
        <v>81</v>
      </c>
      <c r="B687" s="1">
        <v>0.553678</v>
      </c>
      <c r="C687" s="1">
        <v>0.55054599999999998</v>
      </c>
      <c r="D687" s="1">
        <f>IF(B687&gt;C687,B687-C687,C687-B687)</f>
        <v>3.1320000000000237E-3</v>
      </c>
      <c r="E687">
        <f>MINUTE(D687)</f>
        <v>4</v>
      </c>
      <c r="F687">
        <f>SECOND(D687)</f>
        <v>31</v>
      </c>
      <c r="G687">
        <f>ROUND(E687+F687/60,2)</f>
        <v>4.5199999999999996</v>
      </c>
      <c r="H687">
        <f>60*E687+F687</f>
        <v>271</v>
      </c>
      <c r="I687" s="3">
        <f>5*(3600/H687)</f>
        <v>66.420664206642059</v>
      </c>
    </row>
    <row r="688" spans="1:9" x14ac:dyDescent="0.25">
      <c r="A688" s="4" t="s">
        <v>189</v>
      </c>
      <c r="B688" s="1">
        <v>0.99743400000000004</v>
      </c>
      <c r="C688" s="1">
        <v>0.99429400000000001</v>
      </c>
      <c r="D688" s="1">
        <f>IF(B688&gt;C688,B688-C688,C688-B688)</f>
        <v>3.1400000000000317E-3</v>
      </c>
      <c r="E688">
        <f>MINUTE(D688)</f>
        <v>4</v>
      </c>
      <c r="F688">
        <f>SECOND(D688)</f>
        <v>31</v>
      </c>
      <c r="G688">
        <f>ROUND(E688+F688/60,2)</f>
        <v>4.5199999999999996</v>
      </c>
      <c r="H688">
        <f>60*E688+F688</f>
        <v>271</v>
      </c>
      <c r="I688" s="3">
        <f>5*(3600/H688)</f>
        <v>66.420664206642059</v>
      </c>
    </row>
    <row r="689" spans="1:9" x14ac:dyDescent="0.25">
      <c r="A689" s="4" t="s">
        <v>130</v>
      </c>
      <c r="B689" s="1">
        <v>0.27076499999999998</v>
      </c>
      <c r="C689" s="1">
        <v>0.267621</v>
      </c>
      <c r="D689" s="1">
        <f>IF(B689&gt;C689,B689-C689,C689-B689)</f>
        <v>3.1439999999999801E-3</v>
      </c>
      <c r="E689">
        <f>MINUTE(D689)</f>
        <v>4</v>
      </c>
      <c r="F689">
        <f>SECOND(D689)</f>
        <v>32</v>
      </c>
      <c r="G689">
        <f>ROUND(E689+F689/60,2)</f>
        <v>4.53</v>
      </c>
      <c r="H689">
        <f>60*E689+F689</f>
        <v>272</v>
      </c>
      <c r="I689" s="3">
        <f>5*(3600/H689)</f>
        <v>66.17647058823529</v>
      </c>
    </row>
    <row r="690" spans="1:9" x14ac:dyDescent="0.25">
      <c r="A690" s="4" t="s">
        <v>14</v>
      </c>
      <c r="B690" s="1">
        <v>0.63127299999999997</v>
      </c>
      <c r="C690" s="1">
        <v>0.63441700000000001</v>
      </c>
      <c r="D690" s="1">
        <f>IF(B690&gt;C690,B690-C690,C690-B690)</f>
        <v>3.1440000000000357E-3</v>
      </c>
      <c r="E690">
        <f>MINUTE(D690)</f>
        <v>4</v>
      </c>
      <c r="F690">
        <f>SECOND(D690)</f>
        <v>32</v>
      </c>
      <c r="G690">
        <f>ROUND(E690+F690/60,2)</f>
        <v>4.53</v>
      </c>
      <c r="H690">
        <f>60*E690+F690</f>
        <v>272</v>
      </c>
      <c r="I690" s="3">
        <f>5*(3600/H690)</f>
        <v>66.17647058823529</v>
      </c>
    </row>
    <row r="691" spans="1:9" x14ac:dyDescent="0.25">
      <c r="A691" s="4" t="s">
        <v>47</v>
      </c>
      <c r="B691" s="1">
        <v>4.8843999999999999E-2</v>
      </c>
      <c r="C691" s="1">
        <v>5.1991999999999997E-2</v>
      </c>
      <c r="D691" s="1">
        <f>IF(B691&gt;C691,B691-C691,C691-B691)</f>
        <v>3.147999999999998E-3</v>
      </c>
      <c r="E691">
        <f>MINUTE(D691)</f>
        <v>4</v>
      </c>
      <c r="F691">
        <f>SECOND(D691)</f>
        <v>32</v>
      </c>
      <c r="G691">
        <f>ROUND(E691+F691/60,2)</f>
        <v>4.53</v>
      </c>
      <c r="H691">
        <f>60*E691+F691</f>
        <v>272</v>
      </c>
      <c r="I691" s="3">
        <f>5*(3600/H691)</f>
        <v>66.17647058823529</v>
      </c>
    </row>
    <row r="692" spans="1:9" x14ac:dyDescent="0.25">
      <c r="A692" s="4" t="s">
        <v>43</v>
      </c>
      <c r="B692" s="1">
        <v>0.90426899999999999</v>
      </c>
      <c r="C692" s="1">
        <v>0.90110500000000004</v>
      </c>
      <c r="D692" s="1">
        <f>IF(B692&gt;C692,B692-C692,C692-B692)</f>
        <v>3.1639999999999446E-3</v>
      </c>
      <c r="E692">
        <f>MINUTE(D692)</f>
        <v>4</v>
      </c>
      <c r="F692">
        <f>SECOND(D692)</f>
        <v>33</v>
      </c>
      <c r="G692">
        <f>ROUND(E692+F692/60,2)</f>
        <v>4.55</v>
      </c>
      <c r="H692">
        <f>60*E692+F692</f>
        <v>273</v>
      </c>
      <c r="I692" s="3">
        <f>5*(3600/H692)</f>
        <v>65.934065934065927</v>
      </c>
    </row>
    <row r="693" spans="1:9" x14ac:dyDescent="0.25">
      <c r="A693" s="4" t="s">
        <v>70</v>
      </c>
      <c r="B693" s="1">
        <v>0.51831700000000003</v>
      </c>
      <c r="C693" s="1">
        <v>0.52147299999999996</v>
      </c>
      <c r="D693" s="1">
        <f>IF(B693&gt;C693,B693-C693,C693-B693)</f>
        <v>3.1559999999999366E-3</v>
      </c>
      <c r="E693">
        <f>MINUTE(D693)</f>
        <v>4</v>
      </c>
      <c r="F693">
        <f>SECOND(D693)</f>
        <v>33</v>
      </c>
      <c r="G693">
        <f>ROUND(E693+F693/60,2)</f>
        <v>4.55</v>
      </c>
      <c r="H693">
        <f>60*E693+F693</f>
        <v>273</v>
      </c>
      <c r="I693" s="3">
        <f>5*(3600/H693)</f>
        <v>65.934065934065927</v>
      </c>
    </row>
    <row r="694" spans="1:9" x14ac:dyDescent="0.25">
      <c r="A694" s="4" t="s">
        <v>155</v>
      </c>
      <c r="B694" s="1">
        <v>0.55934799999999996</v>
      </c>
      <c r="C694" s="1">
        <v>0.55619200000000002</v>
      </c>
      <c r="D694" s="1">
        <f>IF(B694&gt;C694,B694-C694,C694-B694)</f>
        <v>3.1559999999999366E-3</v>
      </c>
      <c r="E694">
        <f>MINUTE(D694)</f>
        <v>4</v>
      </c>
      <c r="F694">
        <f>SECOND(D694)</f>
        <v>33</v>
      </c>
      <c r="G694">
        <f>ROUND(E694+F694/60,2)</f>
        <v>4.55</v>
      </c>
      <c r="H694">
        <f>60*E694+F694</f>
        <v>273</v>
      </c>
      <c r="I694" s="3">
        <f>5*(3600/H694)</f>
        <v>65.934065934065927</v>
      </c>
    </row>
    <row r="695" spans="1:9" x14ac:dyDescent="0.25">
      <c r="A695" s="4" t="s">
        <v>273</v>
      </c>
      <c r="B695" s="1">
        <v>0.62061200000000005</v>
      </c>
      <c r="C695" s="1">
        <v>0.62377199999999999</v>
      </c>
      <c r="D695" s="1">
        <f>IF(B695&gt;C695,B695-C695,C695-B695)</f>
        <v>3.1599999999999406E-3</v>
      </c>
      <c r="E695">
        <f>MINUTE(D695)</f>
        <v>4</v>
      </c>
      <c r="F695">
        <f>SECOND(D695)</f>
        <v>33</v>
      </c>
      <c r="G695">
        <f>ROUND(E695+F695/60,2)</f>
        <v>4.55</v>
      </c>
      <c r="H695">
        <f>60*E695+F695</f>
        <v>273</v>
      </c>
      <c r="I695" s="3">
        <f>5*(3600/H695)</f>
        <v>65.934065934065927</v>
      </c>
    </row>
    <row r="696" spans="1:9" x14ac:dyDescent="0.25">
      <c r="A696" s="4" t="s">
        <v>390</v>
      </c>
      <c r="B696" s="1">
        <v>0.30533100000000002</v>
      </c>
      <c r="C696" s="1">
        <v>0.30848700000000001</v>
      </c>
      <c r="D696" s="1">
        <f>IF(B696&gt;C696,B696-C696,C696-B696)</f>
        <v>3.1559999999999921E-3</v>
      </c>
      <c r="E696">
        <f>MINUTE(D696)</f>
        <v>4</v>
      </c>
      <c r="F696">
        <f>SECOND(D696)</f>
        <v>33</v>
      </c>
      <c r="G696">
        <f>ROUND(E696+F696/60,2)</f>
        <v>4.55</v>
      </c>
      <c r="H696">
        <f>60*E696+F696</f>
        <v>273</v>
      </c>
      <c r="I696" s="3">
        <f>5*(3600/H696)</f>
        <v>65.934065934065927</v>
      </c>
    </row>
    <row r="697" spans="1:9" x14ac:dyDescent="0.25">
      <c r="A697" s="4" t="s">
        <v>19</v>
      </c>
      <c r="B697" s="1">
        <v>0.324683</v>
      </c>
      <c r="C697" s="1">
        <v>0.32151099999999999</v>
      </c>
      <c r="D697" s="1">
        <f>IF(B697&gt;C697,B697-C697,C697-B697)</f>
        <v>3.1720000000000081E-3</v>
      </c>
      <c r="E697">
        <f>MINUTE(D697)</f>
        <v>4</v>
      </c>
      <c r="F697">
        <f>SECOND(D697)</f>
        <v>34</v>
      </c>
      <c r="G697">
        <f>ROUND(E697+F697/60,2)</f>
        <v>4.57</v>
      </c>
      <c r="H697">
        <f>60*E697+F697</f>
        <v>274</v>
      </c>
      <c r="I697" s="3">
        <f>5*(3600/H697)</f>
        <v>65.693430656934311</v>
      </c>
    </row>
    <row r="698" spans="1:9" x14ac:dyDescent="0.25">
      <c r="A698" s="4" t="s">
        <v>215</v>
      </c>
      <c r="B698" s="1">
        <v>0.92084600000000005</v>
      </c>
      <c r="C698" s="1">
        <v>0.924014</v>
      </c>
      <c r="D698" s="1">
        <f>IF(B698&gt;C698,B698-C698,C698-B698)</f>
        <v>3.1679999999999486E-3</v>
      </c>
      <c r="E698">
        <f>MINUTE(D698)</f>
        <v>4</v>
      </c>
      <c r="F698">
        <f>SECOND(D698)</f>
        <v>34</v>
      </c>
      <c r="G698">
        <f>ROUND(E698+F698/60,2)</f>
        <v>4.57</v>
      </c>
      <c r="H698">
        <f>60*E698+F698</f>
        <v>274</v>
      </c>
      <c r="I698" s="3">
        <f>5*(3600/H698)</f>
        <v>65.693430656934311</v>
      </c>
    </row>
    <row r="699" spans="1:9" x14ac:dyDescent="0.25">
      <c r="A699" s="4" t="s">
        <v>87</v>
      </c>
      <c r="B699" s="1">
        <v>0.48994100000000002</v>
      </c>
      <c r="C699" s="1">
        <v>0.49311300000000002</v>
      </c>
      <c r="D699" s="1">
        <f>IF(B699&gt;C699,B699-C699,C699-B699)</f>
        <v>3.1720000000000081E-3</v>
      </c>
      <c r="E699">
        <f>MINUTE(D699)</f>
        <v>4</v>
      </c>
      <c r="F699">
        <f>SECOND(D699)</f>
        <v>34</v>
      </c>
      <c r="G699">
        <f>ROUND(E699+F699/60,2)</f>
        <v>4.57</v>
      </c>
      <c r="H699">
        <f>60*E699+F699</f>
        <v>274</v>
      </c>
      <c r="I699" s="3">
        <f>5*(3600/H699)</f>
        <v>65.693430656934311</v>
      </c>
    </row>
    <row r="700" spans="1:9" x14ac:dyDescent="0.25">
      <c r="A700" s="4" t="s">
        <v>74</v>
      </c>
      <c r="B700" s="1">
        <v>0.57475200000000004</v>
      </c>
      <c r="C700" s="1">
        <v>0.57793600000000001</v>
      </c>
      <c r="D700" s="1">
        <f>IF(B700&gt;C700,B700-C700,C700-B700)</f>
        <v>3.1839999999999646E-3</v>
      </c>
      <c r="E700">
        <f>MINUTE(D700)</f>
        <v>4</v>
      </c>
      <c r="F700">
        <f>SECOND(D700)</f>
        <v>35</v>
      </c>
      <c r="G700">
        <f>ROUND(E700+F700/60,2)</f>
        <v>4.58</v>
      </c>
      <c r="H700">
        <f>60*E700+F700</f>
        <v>275</v>
      </c>
      <c r="I700" s="3">
        <f>5*(3600/H700)</f>
        <v>65.454545454545453</v>
      </c>
    </row>
    <row r="701" spans="1:9" x14ac:dyDescent="0.25">
      <c r="A701" s="4" t="s">
        <v>57</v>
      </c>
      <c r="B701" s="1">
        <v>0.99172199999999999</v>
      </c>
      <c r="C701" s="1">
        <v>0.99490199999999995</v>
      </c>
      <c r="D701" s="1">
        <f>IF(B701&gt;C701,B701-C701,C701-B701)</f>
        <v>3.1799999999999606E-3</v>
      </c>
      <c r="E701">
        <f>MINUTE(D701)</f>
        <v>4</v>
      </c>
      <c r="F701">
        <f>SECOND(D701)</f>
        <v>35</v>
      </c>
      <c r="G701">
        <f>ROUND(E701+F701/60,2)</f>
        <v>4.58</v>
      </c>
      <c r="H701">
        <f>60*E701+F701</f>
        <v>275</v>
      </c>
      <c r="I701" s="3">
        <f>5*(3600/H701)</f>
        <v>65.454545454545453</v>
      </c>
    </row>
    <row r="702" spans="1:9" x14ac:dyDescent="0.25">
      <c r="A702" s="4" t="s">
        <v>114</v>
      </c>
      <c r="B702" s="1">
        <v>0.46311099999999999</v>
      </c>
      <c r="C702" s="1">
        <v>0.45991500000000002</v>
      </c>
      <c r="D702" s="1">
        <f>IF(B702&gt;C702,B702-C702,C702-B702)</f>
        <v>3.1959999999999766E-3</v>
      </c>
      <c r="E702">
        <f>MINUTE(D702)</f>
        <v>4</v>
      </c>
      <c r="F702">
        <f>SECOND(D702)</f>
        <v>36</v>
      </c>
      <c r="G702">
        <f>ROUND(E702+F702/60,2)</f>
        <v>4.5999999999999996</v>
      </c>
      <c r="H702">
        <f>60*E702+F702</f>
        <v>276</v>
      </c>
      <c r="I702" s="3">
        <f>5*(3600/H702)</f>
        <v>65.217391304347828</v>
      </c>
    </row>
    <row r="703" spans="1:9" x14ac:dyDescent="0.25">
      <c r="A703" s="4" t="s">
        <v>90</v>
      </c>
      <c r="B703" s="1">
        <v>0.271982</v>
      </c>
      <c r="C703" s="1">
        <v>0.26878999999999997</v>
      </c>
      <c r="D703" s="1">
        <f>IF(B703&gt;C703,B703-C703,C703-B703)</f>
        <v>3.1920000000000281E-3</v>
      </c>
      <c r="E703">
        <f>MINUTE(D703)</f>
        <v>4</v>
      </c>
      <c r="F703">
        <f>SECOND(D703)</f>
        <v>36</v>
      </c>
      <c r="G703">
        <f>ROUND(E703+F703/60,2)</f>
        <v>4.5999999999999996</v>
      </c>
      <c r="H703">
        <f>60*E703+F703</f>
        <v>276</v>
      </c>
      <c r="I703" s="3">
        <f>5*(3600/H703)</f>
        <v>65.217391304347828</v>
      </c>
    </row>
    <row r="704" spans="1:9" x14ac:dyDescent="0.25">
      <c r="A704" s="4" t="s">
        <v>106</v>
      </c>
      <c r="B704" s="1">
        <v>0.25471199999999999</v>
      </c>
      <c r="C704" s="1">
        <v>0.25790400000000002</v>
      </c>
      <c r="D704" s="1">
        <f>IF(B704&gt;C704,B704-C704,C704-B704)</f>
        <v>3.1920000000000281E-3</v>
      </c>
      <c r="E704">
        <f>MINUTE(D704)</f>
        <v>4</v>
      </c>
      <c r="F704">
        <f>SECOND(D704)</f>
        <v>36</v>
      </c>
      <c r="G704">
        <f>ROUND(E704+F704/60,2)</f>
        <v>4.5999999999999996</v>
      </c>
      <c r="H704">
        <f>60*E704+F704</f>
        <v>276</v>
      </c>
      <c r="I704" s="3">
        <f>5*(3600/H704)</f>
        <v>65.217391304347828</v>
      </c>
    </row>
    <row r="705" spans="1:9" x14ac:dyDescent="0.25">
      <c r="A705" s="4" t="s">
        <v>68</v>
      </c>
      <c r="B705" s="1">
        <v>0.71384899999999996</v>
      </c>
      <c r="C705" s="1">
        <v>0.71065299999999998</v>
      </c>
      <c r="D705" s="1">
        <f>IF(B705&gt;C705,B705-C705,C705-B705)</f>
        <v>3.1959999999999766E-3</v>
      </c>
      <c r="E705">
        <f>MINUTE(D705)</f>
        <v>4</v>
      </c>
      <c r="F705">
        <f>SECOND(D705)</f>
        <v>36</v>
      </c>
      <c r="G705">
        <f>ROUND(E705+F705/60,2)</f>
        <v>4.5999999999999996</v>
      </c>
      <c r="H705">
        <f>60*E705+F705</f>
        <v>276</v>
      </c>
      <c r="I705" s="3">
        <f>5*(3600/H705)</f>
        <v>65.217391304347828</v>
      </c>
    </row>
    <row r="706" spans="1:9" x14ac:dyDescent="0.25">
      <c r="A706" s="4" t="s">
        <v>108</v>
      </c>
      <c r="B706" s="1">
        <v>2.9668E-2</v>
      </c>
      <c r="C706" s="1">
        <v>3.2876000000000002E-2</v>
      </c>
      <c r="D706" s="1">
        <f>IF(B706&gt;C706,B706-C706,C706-B706)</f>
        <v>3.2080000000000025E-3</v>
      </c>
      <c r="E706">
        <f>MINUTE(D706)</f>
        <v>4</v>
      </c>
      <c r="F706">
        <f>SECOND(D706)</f>
        <v>37</v>
      </c>
      <c r="G706">
        <f>ROUND(E706+F706/60,2)</f>
        <v>4.62</v>
      </c>
      <c r="H706">
        <f>60*E706+F706</f>
        <v>277</v>
      </c>
      <c r="I706" s="3">
        <f>5*(3600/H706)</f>
        <v>64.981949458483754</v>
      </c>
    </row>
    <row r="707" spans="1:9" x14ac:dyDescent="0.25">
      <c r="A707" s="4" t="s">
        <v>118</v>
      </c>
      <c r="B707" s="1">
        <v>0.57245400000000002</v>
      </c>
      <c r="C707" s="1">
        <v>0.57566200000000001</v>
      </c>
      <c r="D707" s="1">
        <f>IF(B707&gt;C707,B707-C707,C707-B707)</f>
        <v>3.2079999999999886E-3</v>
      </c>
      <c r="E707">
        <f>MINUTE(D707)</f>
        <v>4</v>
      </c>
      <c r="F707">
        <f>SECOND(D707)</f>
        <v>37</v>
      </c>
      <c r="G707">
        <f>ROUND(E707+F707/60,2)</f>
        <v>4.62</v>
      </c>
      <c r="H707">
        <f>60*E707+F707</f>
        <v>277</v>
      </c>
      <c r="I707" s="3">
        <f>5*(3600/H707)</f>
        <v>64.981949458483754</v>
      </c>
    </row>
    <row r="708" spans="1:9" x14ac:dyDescent="0.25">
      <c r="A708" s="4" t="s">
        <v>75</v>
      </c>
      <c r="B708" s="1">
        <v>0.66879599999999995</v>
      </c>
      <c r="C708" s="1">
        <v>0.67200400000000005</v>
      </c>
      <c r="D708" s="1">
        <f>IF(B708&gt;C708,B708-C708,C708-B708)</f>
        <v>3.2080000000000997E-3</v>
      </c>
      <c r="E708">
        <f>MINUTE(D708)</f>
        <v>4</v>
      </c>
      <c r="F708">
        <f>SECOND(D708)</f>
        <v>37</v>
      </c>
      <c r="G708">
        <f>ROUND(E708+F708/60,2)</f>
        <v>4.62</v>
      </c>
      <c r="H708">
        <f>60*E708+F708</f>
        <v>277</v>
      </c>
      <c r="I708" s="3">
        <f>5*(3600/H708)</f>
        <v>64.981949458483754</v>
      </c>
    </row>
    <row r="709" spans="1:9" x14ac:dyDescent="0.25">
      <c r="A709" s="4" t="s">
        <v>170</v>
      </c>
      <c r="B709" s="1">
        <v>0.46080500000000002</v>
      </c>
      <c r="C709" s="1">
        <v>0.46401300000000001</v>
      </c>
      <c r="D709" s="1">
        <f>IF(B709&gt;C709,B709-C709,C709-B709)</f>
        <v>3.2079999999999886E-3</v>
      </c>
      <c r="E709">
        <f>MINUTE(D709)</f>
        <v>4</v>
      </c>
      <c r="F709">
        <f>SECOND(D709)</f>
        <v>37</v>
      </c>
      <c r="G709">
        <f>ROUND(E709+F709/60,2)</f>
        <v>4.62</v>
      </c>
      <c r="H709">
        <f>60*E709+F709</f>
        <v>277</v>
      </c>
      <c r="I709" s="3">
        <f>5*(3600/H709)</f>
        <v>64.981949458483754</v>
      </c>
    </row>
    <row r="710" spans="1:9" x14ac:dyDescent="0.25">
      <c r="A710" s="4" t="s">
        <v>224</v>
      </c>
      <c r="B710" s="1">
        <v>0.88523799999999997</v>
      </c>
      <c r="C710" s="1">
        <v>0.88202999999999998</v>
      </c>
      <c r="D710" s="1">
        <f>IF(B710&gt;C710,B710-C710,C710-B710)</f>
        <v>3.2079999999999886E-3</v>
      </c>
      <c r="E710">
        <f>MINUTE(D710)</f>
        <v>4</v>
      </c>
      <c r="F710">
        <f>SECOND(D710)</f>
        <v>37</v>
      </c>
      <c r="G710">
        <f>ROUND(E710+F710/60,2)</f>
        <v>4.62</v>
      </c>
      <c r="H710">
        <f>60*E710+F710</f>
        <v>277</v>
      </c>
      <c r="I710" s="3">
        <f>5*(3600/H710)</f>
        <v>64.981949458483754</v>
      </c>
    </row>
    <row r="711" spans="1:9" x14ac:dyDescent="0.25">
      <c r="A711" s="4" t="s">
        <v>126</v>
      </c>
      <c r="B711" s="1">
        <v>0.89384600000000003</v>
      </c>
      <c r="C711" s="1">
        <v>0.89706600000000003</v>
      </c>
      <c r="D711" s="1">
        <f>IF(B711&gt;C711,B711-C711,C711-B711)</f>
        <v>3.2200000000000006E-3</v>
      </c>
      <c r="E711">
        <f>MINUTE(D711)</f>
        <v>4</v>
      </c>
      <c r="F711">
        <f>SECOND(D711)</f>
        <v>38</v>
      </c>
      <c r="G711">
        <f>ROUND(E711+F711/60,2)</f>
        <v>4.63</v>
      </c>
      <c r="H711">
        <f>60*E711+F711</f>
        <v>278</v>
      </c>
      <c r="I711" s="3">
        <f>5*(3600/H711)</f>
        <v>64.748201438848923</v>
      </c>
    </row>
    <row r="712" spans="1:9" x14ac:dyDescent="0.25">
      <c r="A712" s="4" t="s">
        <v>5</v>
      </c>
      <c r="B712" s="1">
        <v>0.95478200000000002</v>
      </c>
      <c r="C712" s="1">
        <v>0.95157000000000003</v>
      </c>
      <c r="D712" s="1">
        <f>IF(B712&gt;C712,B712-C712,C712-B712)</f>
        <v>3.2119999999999926E-3</v>
      </c>
      <c r="E712">
        <f>MINUTE(D712)</f>
        <v>4</v>
      </c>
      <c r="F712">
        <f>SECOND(D712)</f>
        <v>38</v>
      </c>
      <c r="G712">
        <f>ROUND(E712+F712/60,2)</f>
        <v>4.63</v>
      </c>
      <c r="H712">
        <f>60*E712+F712</f>
        <v>278</v>
      </c>
      <c r="I712" s="3">
        <f>5*(3600/H712)</f>
        <v>64.748201438848923</v>
      </c>
    </row>
    <row r="713" spans="1:9" x14ac:dyDescent="0.25">
      <c r="A713" s="4" t="s">
        <v>117</v>
      </c>
      <c r="B713" s="1">
        <v>0.73974700000000004</v>
      </c>
      <c r="C713" s="1">
        <v>0.74296300000000004</v>
      </c>
      <c r="D713" s="1">
        <f>IF(B713&gt;C713,B713-C713,C713-B713)</f>
        <v>3.2159999999999966E-3</v>
      </c>
      <c r="E713">
        <f>MINUTE(D713)</f>
        <v>4</v>
      </c>
      <c r="F713">
        <f>SECOND(D713)</f>
        <v>38</v>
      </c>
      <c r="G713">
        <f>ROUND(E713+F713/60,2)</f>
        <v>4.63</v>
      </c>
      <c r="H713">
        <f>60*E713+F713</f>
        <v>278</v>
      </c>
      <c r="I713" s="3">
        <f>5*(3600/H713)</f>
        <v>64.748201438848923</v>
      </c>
    </row>
    <row r="714" spans="1:9" x14ac:dyDescent="0.25">
      <c r="A714" s="4" t="s">
        <v>365</v>
      </c>
      <c r="B714" s="1">
        <v>0.429481</v>
      </c>
      <c r="C714" s="1">
        <v>0.426261</v>
      </c>
      <c r="D714" s="1">
        <f>IF(B714&gt;C714,B714-C714,C714-B714)</f>
        <v>3.2200000000000006E-3</v>
      </c>
      <c r="E714">
        <f>MINUTE(D714)</f>
        <v>4</v>
      </c>
      <c r="F714">
        <f>SECOND(D714)</f>
        <v>38</v>
      </c>
      <c r="G714">
        <f>ROUND(E714+F714/60,2)</f>
        <v>4.63</v>
      </c>
      <c r="H714">
        <f>60*E714+F714</f>
        <v>278</v>
      </c>
      <c r="I714" s="3">
        <f>5*(3600/H714)</f>
        <v>64.748201438848923</v>
      </c>
    </row>
    <row r="715" spans="1:9" x14ac:dyDescent="0.25">
      <c r="A715" s="4" t="s">
        <v>124</v>
      </c>
      <c r="B715" s="1">
        <v>0.25201899999999999</v>
      </c>
      <c r="C715" s="1">
        <v>0.255247</v>
      </c>
      <c r="D715" s="1">
        <f>IF(B715&gt;C715,B715-C715,C715-B715)</f>
        <v>3.2280000000000086E-3</v>
      </c>
      <c r="E715">
        <f>MINUTE(D715)</f>
        <v>4</v>
      </c>
      <c r="F715">
        <f>SECOND(D715)</f>
        <v>39</v>
      </c>
      <c r="G715">
        <f>ROUND(E715+F715/60,2)</f>
        <v>4.6500000000000004</v>
      </c>
      <c r="H715">
        <f>60*E715+F715</f>
        <v>279</v>
      </c>
      <c r="I715" s="3">
        <f>5*(3600/H715)</f>
        <v>64.516129032258064</v>
      </c>
    </row>
    <row r="716" spans="1:9" x14ac:dyDescent="0.25">
      <c r="A716" s="4" t="s">
        <v>47</v>
      </c>
      <c r="B716" s="1">
        <v>0.44847399999999998</v>
      </c>
      <c r="C716" s="1">
        <v>0.45169799999999999</v>
      </c>
      <c r="D716" s="1">
        <f>IF(B716&gt;C716,B716-C716,C716-B716)</f>
        <v>3.2240000000000046E-3</v>
      </c>
      <c r="E716">
        <f>MINUTE(D716)</f>
        <v>4</v>
      </c>
      <c r="F716">
        <f>SECOND(D716)</f>
        <v>39</v>
      </c>
      <c r="G716">
        <f>ROUND(E716+F716/60,2)</f>
        <v>4.6500000000000004</v>
      </c>
      <c r="H716">
        <f>60*E716+F716</f>
        <v>279</v>
      </c>
      <c r="I716" s="3">
        <f>5*(3600/H716)</f>
        <v>64.516129032258064</v>
      </c>
    </row>
    <row r="717" spans="1:9" x14ac:dyDescent="0.25">
      <c r="A717" s="4" t="s">
        <v>162</v>
      </c>
      <c r="B717" s="1">
        <v>0.29753600000000002</v>
      </c>
      <c r="C717" s="1">
        <v>0.30076399999999998</v>
      </c>
      <c r="D717" s="1">
        <f>IF(B717&gt;C717,B717-C717,C717-B717)</f>
        <v>3.2279999999999531E-3</v>
      </c>
      <c r="E717">
        <f>MINUTE(D717)</f>
        <v>4</v>
      </c>
      <c r="F717">
        <f>SECOND(D717)</f>
        <v>39</v>
      </c>
      <c r="G717">
        <f>ROUND(E717+F717/60,2)</f>
        <v>4.6500000000000004</v>
      </c>
      <c r="H717">
        <f>60*E717+F717</f>
        <v>279</v>
      </c>
      <c r="I717" s="3">
        <f>5*(3600/H717)</f>
        <v>64.516129032258064</v>
      </c>
    </row>
    <row r="718" spans="1:9" x14ac:dyDescent="0.25">
      <c r="A718" s="4" t="s">
        <v>64</v>
      </c>
      <c r="B718" s="1">
        <v>0.82595300000000005</v>
      </c>
      <c r="C718" s="1">
        <v>0.82917700000000005</v>
      </c>
      <c r="D718" s="1">
        <f>IF(B718&gt;C718,B718-C718,C718-B718)</f>
        <v>3.2240000000000046E-3</v>
      </c>
      <c r="E718">
        <f>MINUTE(D718)</f>
        <v>4</v>
      </c>
      <c r="F718">
        <f>SECOND(D718)</f>
        <v>39</v>
      </c>
      <c r="G718">
        <f>ROUND(E718+F718/60,2)</f>
        <v>4.6500000000000004</v>
      </c>
      <c r="H718">
        <f>60*E718+F718</f>
        <v>279</v>
      </c>
      <c r="I718" s="3">
        <f>5*(3600/H718)</f>
        <v>64.516129032258064</v>
      </c>
    </row>
    <row r="719" spans="1:9" x14ac:dyDescent="0.25">
      <c r="A719" s="4" t="s">
        <v>229</v>
      </c>
      <c r="B719" s="1">
        <v>0.119934</v>
      </c>
      <c r="C719" s="1">
        <v>0.11670999999999999</v>
      </c>
      <c r="D719" s="1">
        <f>IF(B719&gt;C719,B719-C719,C719-B719)</f>
        <v>3.2240000000000046E-3</v>
      </c>
      <c r="E719">
        <f>MINUTE(D719)</f>
        <v>4</v>
      </c>
      <c r="F719">
        <f>SECOND(D719)</f>
        <v>39</v>
      </c>
      <c r="G719">
        <f>ROUND(E719+F719/60,2)</f>
        <v>4.6500000000000004</v>
      </c>
      <c r="H719">
        <f>60*E719+F719</f>
        <v>279</v>
      </c>
      <c r="I719" s="3">
        <f>5*(3600/H719)</f>
        <v>64.516129032258064</v>
      </c>
    </row>
    <row r="720" spans="1:9" x14ac:dyDescent="0.25">
      <c r="A720" s="4" t="s">
        <v>106</v>
      </c>
      <c r="B720" s="1">
        <v>9.7731999999999999E-2</v>
      </c>
      <c r="C720" s="1">
        <v>9.4488000000000003E-2</v>
      </c>
      <c r="D720" s="1">
        <f>IF(B720&gt;C720,B720-C720,C720-B720)</f>
        <v>3.2439999999999969E-3</v>
      </c>
      <c r="E720">
        <f>MINUTE(D720)</f>
        <v>4</v>
      </c>
      <c r="F720">
        <f>SECOND(D720)</f>
        <v>40</v>
      </c>
      <c r="G720">
        <f>ROUND(E720+F720/60,2)</f>
        <v>4.67</v>
      </c>
      <c r="H720">
        <f>60*E720+F720</f>
        <v>280</v>
      </c>
      <c r="I720" s="3">
        <f>5*(3600/H720)</f>
        <v>64.285714285714292</v>
      </c>
    </row>
    <row r="721" spans="1:9" x14ac:dyDescent="0.25">
      <c r="A721" s="4" t="s">
        <v>117</v>
      </c>
      <c r="B721" s="1">
        <v>0.94641600000000004</v>
      </c>
      <c r="C721" s="1">
        <v>0.94965200000000005</v>
      </c>
      <c r="D721" s="1">
        <f>IF(B721&gt;C721,B721-C721,C721-B721)</f>
        <v>3.2360000000000166E-3</v>
      </c>
      <c r="E721">
        <f>MINUTE(D721)</f>
        <v>4</v>
      </c>
      <c r="F721">
        <f>SECOND(D721)</f>
        <v>40</v>
      </c>
      <c r="G721">
        <f>ROUND(E721+F721/60,2)</f>
        <v>4.67</v>
      </c>
      <c r="H721">
        <f>60*E721+F721</f>
        <v>280</v>
      </c>
      <c r="I721" s="3">
        <f>5*(3600/H721)</f>
        <v>64.285714285714292</v>
      </c>
    </row>
    <row r="722" spans="1:9" x14ac:dyDescent="0.25">
      <c r="A722" s="4" t="s">
        <v>52</v>
      </c>
      <c r="B722" s="1">
        <v>0.80732599999999999</v>
      </c>
      <c r="C722" s="1">
        <v>0.80408199999999996</v>
      </c>
      <c r="D722" s="1">
        <f>IF(B722&gt;C722,B722-C722,C722-B722)</f>
        <v>3.2440000000000246E-3</v>
      </c>
      <c r="E722">
        <f>MINUTE(D722)</f>
        <v>4</v>
      </c>
      <c r="F722">
        <f>SECOND(D722)</f>
        <v>40</v>
      </c>
      <c r="G722">
        <f>ROUND(E722+F722/60,2)</f>
        <v>4.67</v>
      </c>
      <c r="H722">
        <f>60*E722+F722</f>
        <v>280</v>
      </c>
      <c r="I722" s="3">
        <f>5*(3600/H722)</f>
        <v>64.285714285714292</v>
      </c>
    </row>
    <row r="723" spans="1:9" x14ac:dyDescent="0.25">
      <c r="A723" s="4" t="s">
        <v>429</v>
      </c>
      <c r="B723" s="1">
        <v>0.192581</v>
      </c>
      <c r="C723" s="1">
        <v>0.18934500000000001</v>
      </c>
      <c r="D723" s="1">
        <f>IF(B723&gt;C723,B723-C723,C723-B723)</f>
        <v>3.2359999999999889E-3</v>
      </c>
      <c r="E723">
        <f>MINUTE(D723)</f>
        <v>4</v>
      </c>
      <c r="F723">
        <f>SECOND(D723)</f>
        <v>40</v>
      </c>
      <c r="G723">
        <f>ROUND(E723+F723/60,2)</f>
        <v>4.67</v>
      </c>
      <c r="H723">
        <f>60*E723+F723</f>
        <v>280</v>
      </c>
      <c r="I723" s="3">
        <f>5*(3600/H723)</f>
        <v>64.285714285714292</v>
      </c>
    </row>
    <row r="724" spans="1:9" x14ac:dyDescent="0.25">
      <c r="A724" s="4" t="s">
        <v>57</v>
      </c>
      <c r="B724" s="1">
        <v>0.885293</v>
      </c>
      <c r="C724" s="1">
        <v>0.88205699999999998</v>
      </c>
      <c r="D724" s="1">
        <f>IF(B724&gt;C724,B724-C724,C724-B724)</f>
        <v>3.2360000000000166E-3</v>
      </c>
      <c r="E724">
        <f>MINUTE(D724)</f>
        <v>4</v>
      </c>
      <c r="F724">
        <f>SECOND(D724)</f>
        <v>40</v>
      </c>
      <c r="G724">
        <f>ROUND(E724+F724/60,2)</f>
        <v>4.67</v>
      </c>
      <c r="H724">
        <f>60*E724+F724</f>
        <v>280</v>
      </c>
      <c r="I724" s="3">
        <f>5*(3600/H724)</f>
        <v>64.285714285714292</v>
      </c>
    </row>
    <row r="725" spans="1:9" x14ac:dyDescent="0.25">
      <c r="A725" s="4" t="s">
        <v>46</v>
      </c>
      <c r="B725" s="1">
        <v>0.23264499999999999</v>
      </c>
      <c r="C725" s="1">
        <v>0.235897</v>
      </c>
      <c r="D725" s="1">
        <f>IF(B725&gt;C725,B725-C725,C725-B725)</f>
        <v>3.2520000000000049E-3</v>
      </c>
      <c r="E725">
        <f>MINUTE(D725)</f>
        <v>4</v>
      </c>
      <c r="F725">
        <f>SECOND(D725)</f>
        <v>41</v>
      </c>
      <c r="G725">
        <f>ROUND(E725+F725/60,2)</f>
        <v>4.68</v>
      </c>
      <c r="H725">
        <f>60*E725+F725</f>
        <v>281</v>
      </c>
      <c r="I725" s="3">
        <f>5*(3600/H725)</f>
        <v>64.056939501779354</v>
      </c>
    </row>
    <row r="726" spans="1:9" x14ac:dyDescent="0.25">
      <c r="A726" s="4" t="s">
        <v>16</v>
      </c>
      <c r="B726" s="1">
        <v>0.129272</v>
      </c>
      <c r="C726" s="1">
        <v>0.12600800000000001</v>
      </c>
      <c r="D726" s="1">
        <f>IF(B726&gt;C726,B726-C726,C726-B726)</f>
        <v>3.2639999999999891E-3</v>
      </c>
      <c r="E726">
        <f>MINUTE(D726)</f>
        <v>4</v>
      </c>
      <c r="F726">
        <f>SECOND(D726)</f>
        <v>42</v>
      </c>
      <c r="G726">
        <f>ROUND(E726+F726/60,2)</f>
        <v>4.7</v>
      </c>
      <c r="H726">
        <f>60*E726+F726</f>
        <v>282</v>
      </c>
      <c r="I726" s="3">
        <f>5*(3600/H726)</f>
        <v>63.829787234042556</v>
      </c>
    </row>
    <row r="727" spans="1:9" x14ac:dyDescent="0.25">
      <c r="A727" s="4" t="s">
        <v>23</v>
      </c>
      <c r="B727" s="1">
        <v>0.50349999999999995</v>
      </c>
      <c r="C727" s="1">
        <v>0.50675999999999999</v>
      </c>
      <c r="D727" s="1">
        <f>IF(B727&gt;C727,B727-C727,C727-B727)</f>
        <v>3.2600000000000406E-3</v>
      </c>
      <c r="E727">
        <f>MINUTE(D727)</f>
        <v>4</v>
      </c>
      <c r="F727">
        <f>SECOND(D727)</f>
        <v>42</v>
      </c>
      <c r="G727">
        <f>ROUND(E727+F727/60,2)</f>
        <v>4.7</v>
      </c>
      <c r="H727">
        <f>60*E727+F727</f>
        <v>282</v>
      </c>
      <c r="I727" s="3">
        <f>5*(3600/H727)</f>
        <v>63.829787234042556</v>
      </c>
    </row>
    <row r="728" spans="1:9" x14ac:dyDescent="0.25">
      <c r="A728" s="4" t="s">
        <v>91</v>
      </c>
      <c r="B728" s="1">
        <v>0.29477999999999999</v>
      </c>
      <c r="C728" s="1">
        <v>0.29804799999999998</v>
      </c>
      <c r="D728" s="1">
        <f>IF(B728&gt;C728,B728-C728,C728-B728)</f>
        <v>3.2679999999999931E-3</v>
      </c>
      <c r="E728">
        <f>MINUTE(D728)</f>
        <v>4</v>
      </c>
      <c r="F728">
        <f>SECOND(D728)</f>
        <v>42</v>
      </c>
      <c r="G728">
        <f>ROUND(E728+F728/60,2)</f>
        <v>4.7</v>
      </c>
      <c r="H728">
        <f>60*E728+F728</f>
        <v>282</v>
      </c>
      <c r="I728" s="3">
        <f>5*(3600/H728)</f>
        <v>63.829787234042556</v>
      </c>
    </row>
    <row r="729" spans="1:9" x14ac:dyDescent="0.25">
      <c r="A729" s="4" t="s">
        <v>109</v>
      </c>
      <c r="B729" s="1">
        <v>0.44507799999999997</v>
      </c>
      <c r="C729" s="1">
        <v>0.44834600000000002</v>
      </c>
      <c r="D729" s="1">
        <f>IF(B729&gt;C729,B729-C729,C729-B729)</f>
        <v>3.2680000000000486E-3</v>
      </c>
      <c r="E729">
        <f>MINUTE(D729)</f>
        <v>4</v>
      </c>
      <c r="F729">
        <f>SECOND(D729)</f>
        <v>42</v>
      </c>
      <c r="G729">
        <f>ROUND(E729+F729/60,2)</f>
        <v>4.7</v>
      </c>
      <c r="H729">
        <f>60*E729+F729</f>
        <v>282</v>
      </c>
      <c r="I729" s="3">
        <f>5*(3600/H729)</f>
        <v>63.829787234042556</v>
      </c>
    </row>
    <row r="730" spans="1:9" x14ac:dyDescent="0.25">
      <c r="A730" s="4" t="s">
        <v>244</v>
      </c>
      <c r="B730" s="1">
        <v>0.71818000000000004</v>
      </c>
      <c r="C730" s="1">
        <v>0.714916</v>
      </c>
      <c r="D730" s="1">
        <f>IF(B730&gt;C730,B730-C730,C730-B730)</f>
        <v>3.2640000000000446E-3</v>
      </c>
      <c r="E730">
        <f>MINUTE(D730)</f>
        <v>4</v>
      </c>
      <c r="F730">
        <f>SECOND(D730)</f>
        <v>42</v>
      </c>
      <c r="G730">
        <f>ROUND(E730+F730/60,2)</f>
        <v>4.7</v>
      </c>
      <c r="H730">
        <f>60*E730+F730</f>
        <v>282</v>
      </c>
      <c r="I730" s="3">
        <f>5*(3600/H730)</f>
        <v>63.829787234042556</v>
      </c>
    </row>
    <row r="731" spans="1:9" x14ac:dyDescent="0.25">
      <c r="A731" s="4" t="s">
        <v>8</v>
      </c>
      <c r="B731" s="1">
        <v>6.8551000000000001E-2</v>
      </c>
      <c r="C731" s="1">
        <v>6.5270999999999996E-2</v>
      </c>
      <c r="D731" s="1">
        <f>IF(B731&gt;C731,B731-C731,C731-B731)</f>
        <v>3.2800000000000051E-3</v>
      </c>
      <c r="E731">
        <f>MINUTE(D731)</f>
        <v>4</v>
      </c>
      <c r="F731">
        <f>SECOND(D731)</f>
        <v>43</v>
      </c>
      <c r="G731">
        <f>ROUND(E731+F731/60,2)</f>
        <v>4.72</v>
      </c>
      <c r="H731">
        <f>60*E731+F731</f>
        <v>283</v>
      </c>
      <c r="I731" s="3">
        <f>5*(3600/H731)</f>
        <v>63.60424028268551</v>
      </c>
    </row>
    <row r="732" spans="1:9" x14ac:dyDescent="0.25">
      <c r="A732" s="4" t="s">
        <v>115</v>
      </c>
      <c r="B732" s="1">
        <v>0.98607599999999995</v>
      </c>
      <c r="C732" s="1">
        <v>0.98280400000000001</v>
      </c>
      <c r="D732" s="1">
        <f>IF(B732&gt;C732,B732-C732,C732-B732)</f>
        <v>3.2719999999999416E-3</v>
      </c>
      <c r="E732">
        <f>MINUTE(D732)</f>
        <v>4</v>
      </c>
      <c r="F732">
        <f>SECOND(D732)</f>
        <v>43</v>
      </c>
      <c r="G732">
        <f>ROUND(E732+F732/60,2)</f>
        <v>4.72</v>
      </c>
      <c r="H732">
        <f>60*E732+F732</f>
        <v>283</v>
      </c>
      <c r="I732" s="3">
        <f>5*(3600/H732)</f>
        <v>63.60424028268551</v>
      </c>
    </row>
    <row r="733" spans="1:9" x14ac:dyDescent="0.25">
      <c r="A733" s="4" t="s">
        <v>5</v>
      </c>
      <c r="B733" s="1">
        <v>0.42173100000000002</v>
      </c>
      <c r="C733" s="1">
        <v>0.42501100000000003</v>
      </c>
      <c r="D733" s="1">
        <f>IF(B733&gt;C733,B733-C733,C733-B733)</f>
        <v>3.2800000000000051E-3</v>
      </c>
      <c r="E733">
        <f>MINUTE(D733)</f>
        <v>4</v>
      </c>
      <c r="F733">
        <f>SECOND(D733)</f>
        <v>43</v>
      </c>
      <c r="G733">
        <f>ROUND(E733+F733/60,2)</f>
        <v>4.72</v>
      </c>
      <c r="H733">
        <f>60*E733+F733</f>
        <v>283</v>
      </c>
      <c r="I733" s="3">
        <f>5*(3600/H733)</f>
        <v>63.60424028268551</v>
      </c>
    </row>
    <row r="734" spans="1:9" x14ac:dyDescent="0.25">
      <c r="A734" s="4" t="s">
        <v>336</v>
      </c>
      <c r="B734" s="1">
        <v>0.96765500000000004</v>
      </c>
      <c r="C734" s="1">
        <v>0.96437899999999999</v>
      </c>
      <c r="D734" s="1">
        <f>IF(B734&gt;C734,B734-C734,C734-B734)</f>
        <v>3.2760000000000566E-3</v>
      </c>
      <c r="E734">
        <f>MINUTE(D734)</f>
        <v>4</v>
      </c>
      <c r="F734">
        <f>SECOND(D734)</f>
        <v>43</v>
      </c>
      <c r="G734">
        <f>ROUND(E734+F734/60,2)</f>
        <v>4.72</v>
      </c>
      <c r="H734">
        <f>60*E734+F734</f>
        <v>283</v>
      </c>
      <c r="I734" s="3">
        <f>5*(3600/H734)</f>
        <v>63.60424028268551</v>
      </c>
    </row>
    <row r="735" spans="1:9" x14ac:dyDescent="0.25">
      <c r="A735" s="4" t="s">
        <v>55</v>
      </c>
      <c r="B735" s="1">
        <v>0.62158000000000002</v>
      </c>
      <c r="C735" s="1">
        <v>0.61829199999999995</v>
      </c>
      <c r="D735" s="1">
        <f>IF(B735&gt;C735,B735-C735,C735-B735)</f>
        <v>3.2880000000000686E-3</v>
      </c>
      <c r="E735">
        <f>MINUTE(D735)</f>
        <v>4</v>
      </c>
      <c r="F735">
        <f>SECOND(D735)</f>
        <v>44</v>
      </c>
      <c r="G735">
        <f>ROUND(E735+F735/60,2)</f>
        <v>4.7300000000000004</v>
      </c>
      <c r="H735">
        <f>60*E735+F735</f>
        <v>284</v>
      </c>
      <c r="I735" s="3">
        <f>5*(3600/H735)</f>
        <v>63.380281690140848</v>
      </c>
    </row>
    <row r="736" spans="1:9" x14ac:dyDescent="0.25">
      <c r="A736" s="4" t="s">
        <v>138</v>
      </c>
      <c r="B736" s="1">
        <v>0.92752500000000004</v>
      </c>
      <c r="C736" s="1">
        <v>0.92424099999999998</v>
      </c>
      <c r="D736" s="1">
        <f>IF(B736&gt;C736,B736-C736,C736-B736)</f>
        <v>3.2840000000000646E-3</v>
      </c>
      <c r="E736">
        <f>MINUTE(D736)</f>
        <v>4</v>
      </c>
      <c r="F736">
        <f>SECOND(D736)</f>
        <v>44</v>
      </c>
      <c r="G736">
        <f>ROUND(E736+F736/60,2)</f>
        <v>4.7300000000000004</v>
      </c>
      <c r="H736">
        <f>60*E736+F736</f>
        <v>284</v>
      </c>
      <c r="I736" s="3">
        <f>5*(3600/H736)</f>
        <v>63.380281690140848</v>
      </c>
    </row>
    <row r="737" spans="1:9" x14ac:dyDescent="0.25">
      <c r="A737" s="4" t="s">
        <v>31</v>
      </c>
      <c r="B737" s="1">
        <v>0.108847</v>
      </c>
      <c r="C737" s="1">
        <v>0.105555</v>
      </c>
      <c r="D737" s="1">
        <f>IF(B737&gt;C737,B737-C737,C737-B737)</f>
        <v>3.2920000000000033E-3</v>
      </c>
      <c r="E737">
        <f>MINUTE(D737)</f>
        <v>4</v>
      </c>
      <c r="F737">
        <f>SECOND(D737)</f>
        <v>44</v>
      </c>
      <c r="G737">
        <f>ROUND(E737+F737/60,2)</f>
        <v>4.7300000000000004</v>
      </c>
      <c r="H737">
        <f>60*E737+F737</f>
        <v>284</v>
      </c>
      <c r="I737" s="3">
        <f>5*(3600/H737)</f>
        <v>63.380281690140848</v>
      </c>
    </row>
    <row r="738" spans="1:9" x14ac:dyDescent="0.25">
      <c r="A738" s="4" t="s">
        <v>60</v>
      </c>
      <c r="B738" s="1">
        <v>0.71294500000000005</v>
      </c>
      <c r="C738" s="1">
        <v>0.716229</v>
      </c>
      <c r="D738" s="1">
        <f>IF(B738&gt;C738,B738-C738,C738-B738)</f>
        <v>3.2839999999999536E-3</v>
      </c>
      <c r="E738">
        <f>MINUTE(D738)</f>
        <v>4</v>
      </c>
      <c r="F738">
        <f>SECOND(D738)</f>
        <v>44</v>
      </c>
      <c r="G738">
        <f>ROUND(E738+F738/60,2)</f>
        <v>4.7300000000000004</v>
      </c>
      <c r="H738">
        <f>60*E738+F738</f>
        <v>284</v>
      </c>
      <c r="I738" s="3">
        <f>5*(3600/H738)</f>
        <v>63.380281690140848</v>
      </c>
    </row>
    <row r="739" spans="1:9" x14ac:dyDescent="0.25">
      <c r="A739" s="4" t="s">
        <v>117</v>
      </c>
      <c r="B739" s="1">
        <v>0.56385600000000002</v>
      </c>
      <c r="C739" s="1">
        <v>0.56057199999999996</v>
      </c>
      <c r="D739" s="1">
        <f>IF(B739&gt;C739,B739-C739,C739-B739)</f>
        <v>3.2840000000000646E-3</v>
      </c>
      <c r="E739">
        <f>MINUTE(D739)</f>
        <v>4</v>
      </c>
      <c r="F739">
        <f>SECOND(D739)</f>
        <v>44</v>
      </c>
      <c r="G739">
        <f>ROUND(E739+F739/60,2)</f>
        <v>4.7300000000000004</v>
      </c>
      <c r="H739">
        <f>60*E739+F739</f>
        <v>284</v>
      </c>
      <c r="I739" s="3">
        <f>5*(3600/H739)</f>
        <v>63.380281690140848</v>
      </c>
    </row>
    <row r="740" spans="1:9" x14ac:dyDescent="0.25">
      <c r="A740" s="4" t="s">
        <v>276</v>
      </c>
      <c r="B740" s="1">
        <v>0.90642999999999996</v>
      </c>
      <c r="C740" s="1">
        <v>0.90972200000000003</v>
      </c>
      <c r="D740" s="1">
        <f>IF(B740&gt;C740,B740-C740,C740-B740)</f>
        <v>3.2920000000000726E-3</v>
      </c>
      <c r="E740">
        <f>MINUTE(D740)</f>
        <v>4</v>
      </c>
      <c r="F740">
        <f>SECOND(D740)</f>
        <v>44</v>
      </c>
      <c r="G740">
        <f>ROUND(E740+F740/60,2)</f>
        <v>4.7300000000000004</v>
      </c>
      <c r="H740">
        <f>60*E740+F740</f>
        <v>284</v>
      </c>
      <c r="I740" s="3">
        <f>5*(3600/H740)</f>
        <v>63.380281690140848</v>
      </c>
    </row>
    <row r="741" spans="1:9" x14ac:dyDescent="0.25">
      <c r="A741" s="4" t="s">
        <v>340</v>
      </c>
      <c r="B741" s="1">
        <v>0.91144700000000001</v>
      </c>
      <c r="C741" s="1">
        <v>0.91473099999999996</v>
      </c>
      <c r="D741" s="1">
        <f>IF(B741&gt;C741,B741-C741,C741-B741)</f>
        <v>3.2839999999999536E-3</v>
      </c>
      <c r="E741">
        <f>MINUTE(D741)</f>
        <v>4</v>
      </c>
      <c r="F741">
        <f>SECOND(D741)</f>
        <v>44</v>
      </c>
      <c r="G741">
        <f>ROUND(E741+F741/60,2)</f>
        <v>4.7300000000000004</v>
      </c>
      <c r="H741">
        <f>60*E741+F741</f>
        <v>284</v>
      </c>
      <c r="I741" s="3">
        <f>5*(3600/H741)</f>
        <v>63.380281690140848</v>
      </c>
    </row>
    <row r="742" spans="1:9" x14ac:dyDescent="0.25">
      <c r="A742" s="4" t="s">
        <v>104</v>
      </c>
      <c r="B742" s="1">
        <v>0.59223499999999996</v>
      </c>
      <c r="C742" s="1">
        <v>0.59553500000000004</v>
      </c>
      <c r="D742" s="1">
        <f>IF(B742&gt;C742,B742-C742,C742-B742)</f>
        <v>3.3000000000000806E-3</v>
      </c>
      <c r="E742">
        <f>MINUTE(D742)</f>
        <v>4</v>
      </c>
      <c r="F742">
        <f>SECOND(D742)</f>
        <v>45</v>
      </c>
      <c r="G742">
        <f>ROUND(E742+F742/60,2)</f>
        <v>4.75</v>
      </c>
      <c r="H742">
        <f>60*E742+F742</f>
        <v>285</v>
      </c>
      <c r="I742" s="3">
        <f>5*(3600/H742)</f>
        <v>63.15789473684211</v>
      </c>
    </row>
    <row r="743" spans="1:9" x14ac:dyDescent="0.25">
      <c r="A743" s="4" t="s">
        <v>41</v>
      </c>
      <c r="B743" s="1">
        <v>0.52646300000000001</v>
      </c>
      <c r="C743" s="1">
        <v>0.52316700000000005</v>
      </c>
      <c r="D743" s="1">
        <f>IF(B743&gt;C743,B743-C743,C743-B743)</f>
        <v>3.2959999999999656E-3</v>
      </c>
      <c r="E743">
        <f>MINUTE(D743)</f>
        <v>4</v>
      </c>
      <c r="F743">
        <f>SECOND(D743)</f>
        <v>45</v>
      </c>
      <c r="G743">
        <f>ROUND(E743+F743/60,2)</f>
        <v>4.75</v>
      </c>
      <c r="H743">
        <f>60*E743+F743</f>
        <v>285</v>
      </c>
      <c r="I743" s="3">
        <f>5*(3600/H743)</f>
        <v>63.15789473684211</v>
      </c>
    </row>
    <row r="744" spans="1:9" x14ac:dyDescent="0.25">
      <c r="A744" s="4" t="s">
        <v>416</v>
      </c>
      <c r="B744" s="1">
        <v>0.84869399999999995</v>
      </c>
      <c r="C744" s="1">
        <v>0.85199800000000003</v>
      </c>
      <c r="D744" s="1">
        <f>IF(B744&gt;C744,B744-C744,C744-B744)</f>
        <v>3.3040000000000846E-3</v>
      </c>
      <c r="E744">
        <f>MINUTE(D744)</f>
        <v>4</v>
      </c>
      <c r="F744">
        <f>SECOND(D744)</f>
        <v>45</v>
      </c>
      <c r="G744">
        <f>ROUND(E744+F744/60,2)</f>
        <v>4.75</v>
      </c>
      <c r="H744">
        <f>60*E744+F744</f>
        <v>285</v>
      </c>
      <c r="I744" s="3">
        <f>5*(3600/H744)</f>
        <v>63.15789473684211</v>
      </c>
    </row>
    <row r="745" spans="1:9" x14ac:dyDescent="0.25">
      <c r="A745" s="4" t="s">
        <v>95</v>
      </c>
      <c r="B745" s="1">
        <v>2.5318E-2</v>
      </c>
      <c r="C745" s="1">
        <v>2.8625999999999999E-2</v>
      </c>
      <c r="D745" s="1">
        <f>IF(B745&gt;C745,B745-C745,C745-B745)</f>
        <v>3.3079999999999984E-3</v>
      </c>
      <c r="E745">
        <f>MINUTE(D745)</f>
        <v>4</v>
      </c>
      <c r="F745">
        <f>SECOND(D745)</f>
        <v>46</v>
      </c>
      <c r="G745">
        <f>ROUND(E745+F745/60,2)</f>
        <v>4.7699999999999996</v>
      </c>
      <c r="H745">
        <f>60*E745+F745</f>
        <v>286</v>
      </c>
      <c r="I745" s="3">
        <f>5*(3600/H745)</f>
        <v>62.937062937062933</v>
      </c>
    </row>
    <row r="746" spans="1:9" x14ac:dyDescent="0.25">
      <c r="A746" s="4" t="s">
        <v>87</v>
      </c>
      <c r="B746" s="1">
        <v>0.25899800000000001</v>
      </c>
      <c r="C746" s="1">
        <v>0.26230599999999998</v>
      </c>
      <c r="D746" s="1">
        <f>IF(B746&gt;C746,B746-C746,C746-B746)</f>
        <v>3.3079999999999776E-3</v>
      </c>
      <c r="E746">
        <f>MINUTE(D746)</f>
        <v>4</v>
      </c>
      <c r="F746">
        <f>SECOND(D746)</f>
        <v>46</v>
      </c>
      <c r="G746">
        <f>ROUND(E746+F746/60,2)</f>
        <v>4.7699999999999996</v>
      </c>
      <c r="H746">
        <f>60*E746+F746</f>
        <v>286</v>
      </c>
      <c r="I746" s="3">
        <f>5*(3600/H746)</f>
        <v>62.937062937062933</v>
      </c>
    </row>
    <row r="747" spans="1:9" x14ac:dyDescent="0.25">
      <c r="A747" s="4" t="s">
        <v>47</v>
      </c>
      <c r="B747" s="1">
        <v>0.36631000000000002</v>
      </c>
      <c r="C747" s="1">
        <v>0.36299799999999999</v>
      </c>
      <c r="D747" s="1">
        <f>IF(B747&gt;C747,B747-C747,C747-B747)</f>
        <v>3.3120000000000371E-3</v>
      </c>
      <c r="E747">
        <f>MINUTE(D747)</f>
        <v>4</v>
      </c>
      <c r="F747">
        <f>SECOND(D747)</f>
        <v>46</v>
      </c>
      <c r="G747">
        <f>ROUND(E747+F747/60,2)</f>
        <v>4.7699999999999996</v>
      </c>
      <c r="H747">
        <f>60*E747+F747</f>
        <v>286</v>
      </c>
      <c r="I747" s="3">
        <f>5*(3600/H747)</f>
        <v>62.937062937062933</v>
      </c>
    </row>
    <row r="748" spans="1:9" x14ac:dyDescent="0.25">
      <c r="A748" s="4" t="s">
        <v>16</v>
      </c>
      <c r="B748" s="1">
        <v>0.22825400000000001</v>
      </c>
      <c r="C748" s="1">
        <v>0.22492999999999999</v>
      </c>
      <c r="D748" s="1">
        <f>IF(B748&gt;C748,B748-C748,C748-B748)</f>
        <v>3.3240000000000214E-3</v>
      </c>
      <c r="E748">
        <f>MINUTE(D748)</f>
        <v>4</v>
      </c>
      <c r="F748">
        <f>SECOND(D748)</f>
        <v>47</v>
      </c>
      <c r="G748">
        <f>ROUND(E748+F748/60,2)</f>
        <v>4.78</v>
      </c>
      <c r="H748">
        <f>60*E748+F748</f>
        <v>287</v>
      </c>
      <c r="I748" s="3">
        <f>5*(3600/H748)</f>
        <v>62.717770034843205</v>
      </c>
    </row>
    <row r="749" spans="1:9" x14ac:dyDescent="0.25">
      <c r="A749" s="4" t="s">
        <v>18</v>
      </c>
      <c r="B749" s="1">
        <v>5.8460999999999999E-2</v>
      </c>
      <c r="C749" s="1">
        <v>6.1785E-2</v>
      </c>
      <c r="D749" s="1">
        <f>IF(B749&gt;C749,B749-C749,C749-B749)</f>
        <v>3.3240000000000006E-3</v>
      </c>
      <c r="E749">
        <f>MINUTE(D749)</f>
        <v>4</v>
      </c>
      <c r="F749">
        <f>SECOND(D749)</f>
        <v>47</v>
      </c>
      <c r="G749">
        <f>ROUND(E749+F749/60,2)</f>
        <v>4.78</v>
      </c>
      <c r="H749">
        <f>60*E749+F749</f>
        <v>287</v>
      </c>
      <c r="I749" s="3">
        <f>5*(3600/H749)</f>
        <v>62.717770034843205</v>
      </c>
    </row>
    <row r="750" spans="1:9" x14ac:dyDescent="0.25">
      <c r="A750" s="4" t="s">
        <v>22</v>
      </c>
      <c r="B750" s="1">
        <v>7.6165999999999998E-2</v>
      </c>
      <c r="C750" s="1">
        <v>7.9481999999999997E-2</v>
      </c>
      <c r="D750" s="1">
        <f>IF(B750&gt;C750,B750-C750,C750-B750)</f>
        <v>3.3159999999999995E-3</v>
      </c>
      <c r="E750">
        <f>MINUTE(D750)</f>
        <v>4</v>
      </c>
      <c r="F750">
        <f>SECOND(D750)</f>
        <v>47</v>
      </c>
      <c r="G750">
        <f>ROUND(E750+F750/60,2)</f>
        <v>4.78</v>
      </c>
      <c r="H750">
        <f>60*E750+F750</f>
        <v>287</v>
      </c>
      <c r="I750" s="3">
        <f>5*(3600/H750)</f>
        <v>62.717770034843205</v>
      </c>
    </row>
    <row r="751" spans="1:9" x14ac:dyDescent="0.25">
      <c r="A751" s="4" t="s">
        <v>81</v>
      </c>
      <c r="B751" s="1">
        <v>0.60814999999999997</v>
      </c>
      <c r="C751" s="1">
        <v>0.61146599999999995</v>
      </c>
      <c r="D751" s="1">
        <f>IF(B751&gt;C751,B751-C751,C751-B751)</f>
        <v>3.3159999999999856E-3</v>
      </c>
      <c r="E751">
        <f>MINUTE(D751)</f>
        <v>4</v>
      </c>
      <c r="F751">
        <f>SECOND(D751)</f>
        <v>47</v>
      </c>
      <c r="G751">
        <f>ROUND(E751+F751/60,2)</f>
        <v>4.78</v>
      </c>
      <c r="H751">
        <f>60*E751+F751</f>
        <v>287</v>
      </c>
      <c r="I751" s="3">
        <f>5*(3600/H751)</f>
        <v>62.717770034843205</v>
      </c>
    </row>
    <row r="752" spans="1:9" x14ac:dyDescent="0.25">
      <c r="A752" s="4" t="s">
        <v>8</v>
      </c>
      <c r="B752" s="1">
        <v>0.89442100000000002</v>
      </c>
      <c r="C752" s="1">
        <v>0.89109700000000003</v>
      </c>
      <c r="D752" s="1">
        <f>IF(B752&gt;C752,B752-C752,C752-B752)</f>
        <v>3.3239999999999936E-3</v>
      </c>
      <c r="E752">
        <f>MINUTE(D752)</f>
        <v>4</v>
      </c>
      <c r="F752">
        <f>SECOND(D752)</f>
        <v>47</v>
      </c>
      <c r="G752">
        <f>ROUND(E752+F752/60,2)</f>
        <v>4.78</v>
      </c>
      <c r="H752">
        <f>60*E752+F752</f>
        <v>287</v>
      </c>
      <c r="I752" s="3">
        <f>5*(3600/H752)</f>
        <v>62.717770034843205</v>
      </c>
    </row>
    <row r="753" spans="1:9" x14ac:dyDescent="0.25">
      <c r="A753" s="4" t="s">
        <v>109</v>
      </c>
      <c r="B753" s="1">
        <v>0.404277</v>
      </c>
      <c r="C753" s="1">
        <v>0.40759299999999998</v>
      </c>
      <c r="D753" s="1">
        <f>IF(B753&gt;C753,B753-C753,C753-B753)</f>
        <v>3.3159999999999856E-3</v>
      </c>
      <c r="E753">
        <f>MINUTE(D753)</f>
        <v>4</v>
      </c>
      <c r="F753">
        <f>SECOND(D753)</f>
        <v>47</v>
      </c>
      <c r="G753">
        <f>ROUND(E753+F753/60,2)</f>
        <v>4.78</v>
      </c>
      <c r="H753">
        <f>60*E753+F753</f>
        <v>287</v>
      </c>
      <c r="I753" s="3">
        <f>5*(3600/H753)</f>
        <v>62.717770034843205</v>
      </c>
    </row>
    <row r="754" spans="1:9" x14ac:dyDescent="0.25">
      <c r="A754" s="4" t="s">
        <v>41</v>
      </c>
      <c r="B754" s="1">
        <v>0.70953299999999997</v>
      </c>
      <c r="C754" s="1">
        <v>0.71285699999999996</v>
      </c>
      <c r="D754" s="1">
        <f>IF(B754&gt;C754,B754-C754,C754-B754)</f>
        <v>3.3239999999999936E-3</v>
      </c>
      <c r="E754">
        <f>MINUTE(D754)</f>
        <v>4</v>
      </c>
      <c r="F754">
        <f>SECOND(D754)</f>
        <v>47</v>
      </c>
      <c r="G754">
        <f>ROUND(E754+F754/60,2)</f>
        <v>4.78</v>
      </c>
      <c r="H754">
        <f>60*E754+F754</f>
        <v>287</v>
      </c>
      <c r="I754" s="3">
        <f>5*(3600/H754)</f>
        <v>62.717770034843205</v>
      </c>
    </row>
    <row r="755" spans="1:9" x14ac:dyDescent="0.25">
      <c r="A755" s="4" t="s">
        <v>326</v>
      </c>
      <c r="B755" s="1">
        <v>0.76355799999999996</v>
      </c>
      <c r="C755" s="1">
        <v>0.76023399999999997</v>
      </c>
      <c r="D755" s="1">
        <f>IF(B755&gt;C755,B755-C755,C755-B755)</f>
        <v>3.3239999999999936E-3</v>
      </c>
      <c r="E755">
        <f>MINUTE(D755)</f>
        <v>4</v>
      </c>
      <c r="F755">
        <f>SECOND(D755)</f>
        <v>47</v>
      </c>
      <c r="G755">
        <f>ROUND(E755+F755/60,2)</f>
        <v>4.78</v>
      </c>
      <c r="H755">
        <f>60*E755+F755</f>
        <v>287</v>
      </c>
      <c r="I755" s="3">
        <f>5*(3600/H755)</f>
        <v>62.717770034843205</v>
      </c>
    </row>
    <row r="756" spans="1:9" x14ac:dyDescent="0.25">
      <c r="A756" s="4" t="s">
        <v>61</v>
      </c>
      <c r="B756" s="1">
        <v>0.95039600000000002</v>
      </c>
      <c r="C756" s="1">
        <v>0.95372400000000002</v>
      </c>
      <c r="D756" s="1">
        <f>IF(B756&gt;C756,B756-C756,C756-B756)</f>
        <v>3.3279999999999976E-3</v>
      </c>
      <c r="E756">
        <f>MINUTE(D756)</f>
        <v>4</v>
      </c>
      <c r="F756">
        <f>SECOND(D756)</f>
        <v>48</v>
      </c>
      <c r="G756">
        <f>ROUND(E756+F756/60,2)</f>
        <v>4.8</v>
      </c>
      <c r="H756">
        <f>60*E756+F756</f>
        <v>288</v>
      </c>
      <c r="I756" s="3">
        <f>5*(3600/H756)</f>
        <v>62.5</v>
      </c>
    </row>
    <row r="757" spans="1:9" x14ac:dyDescent="0.25">
      <c r="A757" s="4" t="s">
        <v>109</v>
      </c>
      <c r="B757" s="1">
        <v>0.23408499999999999</v>
      </c>
      <c r="C757" s="1">
        <v>0.23075300000000001</v>
      </c>
      <c r="D757" s="1">
        <f>IF(B757&gt;C757,B757-C757,C757-B757)</f>
        <v>3.3319999999999739E-3</v>
      </c>
      <c r="E757">
        <f>MINUTE(D757)</f>
        <v>4</v>
      </c>
      <c r="F757">
        <f>SECOND(D757)</f>
        <v>48</v>
      </c>
      <c r="G757">
        <f>ROUND(E757+F757/60,2)</f>
        <v>4.8</v>
      </c>
      <c r="H757">
        <f>60*E757+F757</f>
        <v>288</v>
      </c>
      <c r="I757" s="3">
        <f>5*(3600/H757)</f>
        <v>62.5</v>
      </c>
    </row>
    <row r="758" spans="1:9" x14ac:dyDescent="0.25">
      <c r="A758" s="4" t="s">
        <v>415</v>
      </c>
      <c r="B758" s="1">
        <v>0.80934099999999998</v>
      </c>
      <c r="C758" s="1">
        <v>0.81267299999999998</v>
      </c>
      <c r="D758" s="1">
        <f>IF(B758&gt;C758,B758-C758,C758-B758)</f>
        <v>3.3320000000000016E-3</v>
      </c>
      <c r="E758">
        <f>MINUTE(D758)</f>
        <v>4</v>
      </c>
      <c r="F758">
        <f>SECOND(D758)</f>
        <v>48</v>
      </c>
      <c r="G758">
        <f>ROUND(E758+F758/60,2)</f>
        <v>4.8</v>
      </c>
      <c r="H758">
        <f>60*E758+F758</f>
        <v>288</v>
      </c>
      <c r="I758" s="3">
        <f>5*(3600/H758)</f>
        <v>62.5</v>
      </c>
    </row>
    <row r="759" spans="1:9" x14ac:dyDescent="0.25">
      <c r="A759" s="4" t="s">
        <v>107</v>
      </c>
      <c r="B759" s="1">
        <v>0.66037100000000004</v>
      </c>
      <c r="C759" s="1">
        <v>0.65702700000000003</v>
      </c>
      <c r="D759" s="1">
        <f>IF(B759&gt;C759,B759-C759,C759-B759)</f>
        <v>3.3440000000000136E-3</v>
      </c>
      <c r="E759">
        <f>MINUTE(D759)</f>
        <v>4</v>
      </c>
      <c r="F759">
        <f>SECOND(D759)</f>
        <v>49</v>
      </c>
      <c r="G759">
        <f>ROUND(E759+F759/60,2)</f>
        <v>4.82</v>
      </c>
      <c r="H759">
        <f>60*E759+F759</f>
        <v>289</v>
      </c>
      <c r="I759" s="3">
        <f>5*(3600/H759)</f>
        <v>62.283737024221459</v>
      </c>
    </row>
    <row r="760" spans="1:9" x14ac:dyDescent="0.25">
      <c r="A760" s="4" t="s">
        <v>162</v>
      </c>
      <c r="B760" s="1">
        <v>0.74316700000000002</v>
      </c>
      <c r="C760" s="1">
        <v>0.74651500000000004</v>
      </c>
      <c r="D760" s="1">
        <f>IF(B760&gt;C760,B760-C760,C760-B760)</f>
        <v>3.3480000000000176E-3</v>
      </c>
      <c r="E760">
        <f>MINUTE(D760)</f>
        <v>4</v>
      </c>
      <c r="F760">
        <f>SECOND(D760)</f>
        <v>49</v>
      </c>
      <c r="G760">
        <f>ROUND(E760+F760/60,2)</f>
        <v>4.82</v>
      </c>
      <c r="H760">
        <f>60*E760+F760</f>
        <v>289</v>
      </c>
      <c r="I760" s="3">
        <f>5*(3600/H760)</f>
        <v>62.283737024221459</v>
      </c>
    </row>
    <row r="761" spans="1:9" x14ac:dyDescent="0.25">
      <c r="A761" s="4" t="s">
        <v>154</v>
      </c>
      <c r="B761" s="1">
        <v>0.53641000000000005</v>
      </c>
      <c r="C761" s="1">
        <v>0.53306200000000004</v>
      </c>
      <c r="D761" s="1">
        <f>IF(B761&gt;C761,B761-C761,C761-B761)</f>
        <v>3.3480000000000176E-3</v>
      </c>
      <c r="E761">
        <f>MINUTE(D761)</f>
        <v>4</v>
      </c>
      <c r="F761">
        <f>SECOND(D761)</f>
        <v>49</v>
      </c>
      <c r="G761">
        <f>ROUND(E761+F761/60,2)</f>
        <v>4.82</v>
      </c>
      <c r="H761">
        <f>60*E761+F761</f>
        <v>289</v>
      </c>
      <c r="I761" s="3">
        <f>5*(3600/H761)</f>
        <v>62.283737024221459</v>
      </c>
    </row>
    <row r="762" spans="1:9" x14ac:dyDescent="0.25">
      <c r="A762" s="4" t="s">
        <v>184</v>
      </c>
      <c r="B762" s="1">
        <v>0.58142000000000005</v>
      </c>
      <c r="C762" s="1">
        <v>0.58476799999999995</v>
      </c>
      <c r="D762" s="1">
        <f>IF(B762&gt;C762,B762-C762,C762-B762)</f>
        <v>3.3479999999999066E-3</v>
      </c>
      <c r="E762">
        <f>MINUTE(D762)</f>
        <v>4</v>
      </c>
      <c r="F762">
        <f>SECOND(D762)</f>
        <v>49</v>
      </c>
      <c r="G762">
        <f>ROUND(E762+F762/60,2)</f>
        <v>4.82</v>
      </c>
      <c r="H762">
        <f>60*E762+F762</f>
        <v>289</v>
      </c>
      <c r="I762" s="3">
        <f>5*(3600/H762)</f>
        <v>62.283737024221459</v>
      </c>
    </row>
    <row r="763" spans="1:9" x14ac:dyDescent="0.25">
      <c r="A763" s="4" t="s">
        <v>267</v>
      </c>
      <c r="B763" s="1">
        <v>0.25780399999999998</v>
      </c>
      <c r="C763" s="1">
        <v>0.25446000000000002</v>
      </c>
      <c r="D763" s="1">
        <f>IF(B763&gt;C763,B763-C763,C763-B763)</f>
        <v>3.3439999999999581E-3</v>
      </c>
      <c r="E763">
        <f>MINUTE(D763)</f>
        <v>4</v>
      </c>
      <c r="F763">
        <f>SECOND(D763)</f>
        <v>49</v>
      </c>
      <c r="G763">
        <f>ROUND(E763+F763/60,2)</f>
        <v>4.82</v>
      </c>
      <c r="H763">
        <f>60*E763+F763</f>
        <v>289</v>
      </c>
      <c r="I763" s="3">
        <f>5*(3600/H763)</f>
        <v>62.283737024221459</v>
      </c>
    </row>
    <row r="764" spans="1:9" x14ac:dyDescent="0.25">
      <c r="A764" s="4" t="s">
        <v>370</v>
      </c>
      <c r="B764" s="1">
        <v>0.77186999999999995</v>
      </c>
      <c r="C764" s="1">
        <v>0.76852600000000004</v>
      </c>
      <c r="D764" s="1">
        <f>IF(B764&gt;C764,B764-C764,C764-B764)</f>
        <v>3.3439999999999026E-3</v>
      </c>
      <c r="E764">
        <f>MINUTE(D764)</f>
        <v>4</v>
      </c>
      <c r="F764">
        <f>SECOND(D764)</f>
        <v>49</v>
      </c>
      <c r="G764">
        <f>ROUND(E764+F764/60,2)</f>
        <v>4.82</v>
      </c>
      <c r="H764">
        <f>60*E764+F764</f>
        <v>289</v>
      </c>
      <c r="I764" s="3">
        <f>5*(3600/H764)</f>
        <v>62.283737024221459</v>
      </c>
    </row>
    <row r="765" spans="1:9" x14ac:dyDescent="0.25">
      <c r="A765" s="4" t="s">
        <v>140</v>
      </c>
      <c r="B765" s="1">
        <v>0.16140399999999999</v>
      </c>
      <c r="C765" s="1">
        <v>0.158052</v>
      </c>
      <c r="D765" s="1">
        <f>IF(B765&gt;C765,B765-C765,C765-B765)</f>
        <v>3.3519999999999939E-3</v>
      </c>
      <c r="E765">
        <f>MINUTE(D765)</f>
        <v>4</v>
      </c>
      <c r="F765">
        <f>SECOND(D765)</f>
        <v>50</v>
      </c>
      <c r="G765">
        <f>ROUND(E765+F765/60,2)</f>
        <v>4.83</v>
      </c>
      <c r="H765">
        <f>60*E765+F765</f>
        <v>290</v>
      </c>
      <c r="I765" s="3">
        <f>5*(3600/H765)</f>
        <v>62.068965517241381</v>
      </c>
    </row>
    <row r="766" spans="1:9" x14ac:dyDescent="0.25">
      <c r="A766" s="4" t="s">
        <v>162</v>
      </c>
      <c r="B766" s="1">
        <v>0.89708699999999997</v>
      </c>
      <c r="C766" s="1">
        <v>0.89373499999999995</v>
      </c>
      <c r="D766" s="1">
        <f>IF(B766&gt;C766,B766-C766,C766-B766)</f>
        <v>3.3520000000000216E-3</v>
      </c>
      <c r="E766">
        <f>MINUTE(D766)</f>
        <v>4</v>
      </c>
      <c r="F766">
        <f>SECOND(D766)</f>
        <v>50</v>
      </c>
      <c r="G766">
        <f>ROUND(E766+F766/60,2)</f>
        <v>4.83</v>
      </c>
      <c r="H766">
        <f>60*E766+F766</f>
        <v>290</v>
      </c>
      <c r="I766" s="3">
        <f>5*(3600/H766)</f>
        <v>62.068965517241381</v>
      </c>
    </row>
    <row r="767" spans="1:9" x14ac:dyDescent="0.25">
      <c r="A767" s="4" t="s">
        <v>29</v>
      </c>
      <c r="B767" s="1">
        <v>0.53885000000000005</v>
      </c>
      <c r="C767" s="1">
        <v>0.53549000000000002</v>
      </c>
      <c r="D767" s="1">
        <f>IF(B767&gt;C767,B767-C767,C767-B767)</f>
        <v>3.3600000000000296E-3</v>
      </c>
      <c r="E767">
        <f>MINUTE(D767)</f>
        <v>4</v>
      </c>
      <c r="F767">
        <f>SECOND(D767)</f>
        <v>50</v>
      </c>
      <c r="G767">
        <f>ROUND(E767+F767/60,2)</f>
        <v>4.83</v>
      </c>
      <c r="H767">
        <f>60*E767+F767</f>
        <v>290</v>
      </c>
      <c r="I767" s="3">
        <f>5*(3600/H767)</f>
        <v>62.068965517241381</v>
      </c>
    </row>
    <row r="768" spans="1:9" x14ac:dyDescent="0.25">
      <c r="A768" s="4" t="s">
        <v>45</v>
      </c>
      <c r="B768" s="1">
        <v>0.39247599999999999</v>
      </c>
      <c r="C768" s="1">
        <v>0.39583600000000002</v>
      </c>
      <c r="D768" s="1">
        <f>IF(B768&gt;C768,B768-C768,C768-B768)</f>
        <v>3.3600000000000296E-3</v>
      </c>
      <c r="E768">
        <f>MINUTE(D768)</f>
        <v>4</v>
      </c>
      <c r="F768">
        <f>SECOND(D768)</f>
        <v>50</v>
      </c>
      <c r="G768">
        <f>ROUND(E768+F768/60,2)</f>
        <v>4.83</v>
      </c>
      <c r="H768">
        <f>60*E768+F768</f>
        <v>290</v>
      </c>
      <c r="I768" s="3">
        <f>5*(3600/H768)</f>
        <v>62.068965517241381</v>
      </c>
    </row>
    <row r="769" spans="1:9" x14ac:dyDescent="0.25">
      <c r="A769" s="4" t="s">
        <v>162</v>
      </c>
      <c r="B769" s="1">
        <v>2.3812E-2</v>
      </c>
      <c r="C769" s="1">
        <v>2.0455999999999998E-2</v>
      </c>
      <c r="D769" s="1">
        <f>IF(B769&gt;C769,B769-C769,C769-B769)</f>
        <v>3.3560000000000013E-3</v>
      </c>
      <c r="E769">
        <f>MINUTE(D769)</f>
        <v>4</v>
      </c>
      <c r="F769">
        <f>SECOND(D769)</f>
        <v>50</v>
      </c>
      <c r="G769">
        <f>ROUND(E769+F769/60,2)</f>
        <v>4.83</v>
      </c>
      <c r="H769">
        <f>60*E769+F769</f>
        <v>290</v>
      </c>
      <c r="I769" s="3">
        <f>5*(3600/H769)</f>
        <v>62.068965517241381</v>
      </c>
    </row>
    <row r="770" spans="1:9" x14ac:dyDescent="0.25">
      <c r="A770" s="4" t="s">
        <v>87</v>
      </c>
      <c r="B770" s="1">
        <v>0.74911300000000003</v>
      </c>
      <c r="C770" s="1">
        <v>0.745757</v>
      </c>
      <c r="D770" s="1">
        <f>IF(B770&gt;C770,B770-C770,C770-B770)</f>
        <v>3.3560000000000256E-3</v>
      </c>
      <c r="E770">
        <f>MINUTE(D770)</f>
        <v>4</v>
      </c>
      <c r="F770">
        <f>SECOND(D770)</f>
        <v>50</v>
      </c>
      <c r="G770">
        <f>ROUND(E770+F770/60,2)</f>
        <v>4.83</v>
      </c>
      <c r="H770">
        <f>60*E770+F770</f>
        <v>290</v>
      </c>
      <c r="I770" s="3">
        <f>5*(3600/H770)</f>
        <v>62.068965517241381</v>
      </c>
    </row>
    <row r="771" spans="1:9" x14ac:dyDescent="0.25">
      <c r="A771" s="4" t="s">
        <v>87</v>
      </c>
      <c r="B771" s="1">
        <v>0.121395</v>
      </c>
      <c r="C771" s="1">
        <v>0.124755</v>
      </c>
      <c r="D771" s="1">
        <f>IF(B771&gt;C771,B771-C771,C771-B771)</f>
        <v>3.3600000000000019E-3</v>
      </c>
      <c r="E771">
        <f>MINUTE(D771)</f>
        <v>4</v>
      </c>
      <c r="F771">
        <f>SECOND(D771)</f>
        <v>50</v>
      </c>
      <c r="G771">
        <f>ROUND(E771+F771/60,2)</f>
        <v>4.83</v>
      </c>
      <c r="H771">
        <f>60*E771+F771</f>
        <v>290</v>
      </c>
      <c r="I771" s="3">
        <f>5*(3600/H771)</f>
        <v>62.068965517241381</v>
      </c>
    </row>
    <row r="772" spans="1:9" x14ac:dyDescent="0.25">
      <c r="A772" s="4" t="s">
        <v>114</v>
      </c>
      <c r="B772" s="1">
        <v>0.21842300000000001</v>
      </c>
      <c r="C772" s="1">
        <v>0.21506700000000001</v>
      </c>
      <c r="D772" s="1">
        <f>IF(B772&gt;C772,B772-C772,C772-B772)</f>
        <v>3.3559999999999979E-3</v>
      </c>
      <c r="E772">
        <f>MINUTE(D772)</f>
        <v>4</v>
      </c>
      <c r="F772">
        <f>SECOND(D772)</f>
        <v>50</v>
      </c>
      <c r="G772">
        <f>ROUND(E772+F772/60,2)</f>
        <v>4.83</v>
      </c>
      <c r="H772">
        <f>60*E772+F772</f>
        <v>290</v>
      </c>
      <c r="I772" s="3">
        <f>5*(3600/H772)</f>
        <v>62.068965517241381</v>
      </c>
    </row>
    <row r="773" spans="1:9" x14ac:dyDescent="0.25">
      <c r="A773" s="4" t="s">
        <v>163</v>
      </c>
      <c r="B773" s="1">
        <v>0.71701300000000001</v>
      </c>
      <c r="C773" s="1">
        <v>0.71365299999999998</v>
      </c>
      <c r="D773" s="1">
        <f>IF(B773&gt;C773,B773-C773,C773-B773)</f>
        <v>3.3600000000000296E-3</v>
      </c>
      <c r="E773">
        <f>MINUTE(D773)</f>
        <v>4</v>
      </c>
      <c r="F773">
        <f>SECOND(D773)</f>
        <v>50</v>
      </c>
      <c r="G773">
        <f>ROUND(E773+F773/60,2)</f>
        <v>4.83</v>
      </c>
      <c r="H773">
        <f>60*E773+F773</f>
        <v>290</v>
      </c>
      <c r="I773" s="3">
        <f>5*(3600/H773)</f>
        <v>62.068965517241381</v>
      </c>
    </row>
    <row r="774" spans="1:9" x14ac:dyDescent="0.25">
      <c r="A774" s="4" t="s">
        <v>352</v>
      </c>
      <c r="B774" s="1">
        <v>0.13768</v>
      </c>
      <c r="C774" s="1">
        <v>0.134328</v>
      </c>
      <c r="D774" s="1">
        <f>IF(B774&gt;C774,B774-C774,C774-B774)</f>
        <v>3.3519999999999939E-3</v>
      </c>
      <c r="E774">
        <f>MINUTE(D774)</f>
        <v>4</v>
      </c>
      <c r="F774">
        <f>SECOND(D774)</f>
        <v>50</v>
      </c>
      <c r="G774">
        <f>ROUND(E774+F774/60,2)</f>
        <v>4.83</v>
      </c>
      <c r="H774">
        <f>60*E774+F774</f>
        <v>290</v>
      </c>
      <c r="I774" s="3">
        <f>5*(3600/H774)</f>
        <v>62.068965517241381</v>
      </c>
    </row>
    <row r="775" spans="1:9" x14ac:dyDescent="0.25">
      <c r="A775" s="4" t="s">
        <v>87</v>
      </c>
      <c r="B775" s="1">
        <v>0.98247899999999999</v>
      </c>
      <c r="C775" s="1">
        <v>0.98585100000000003</v>
      </c>
      <c r="D775" s="1">
        <f>IF(B775&gt;C775,B775-C775,C775-B775)</f>
        <v>3.3720000000000416E-3</v>
      </c>
      <c r="E775">
        <f>MINUTE(D775)</f>
        <v>4</v>
      </c>
      <c r="F775">
        <f>SECOND(D775)</f>
        <v>51</v>
      </c>
      <c r="G775">
        <f>ROUND(E775+F775/60,2)</f>
        <v>4.8499999999999996</v>
      </c>
      <c r="H775">
        <f>60*E775+F775</f>
        <v>291</v>
      </c>
      <c r="I775" s="3">
        <f>5*(3600/H775)</f>
        <v>61.855670103092784</v>
      </c>
    </row>
    <row r="776" spans="1:9" x14ac:dyDescent="0.25">
      <c r="A776" s="4" t="s">
        <v>48</v>
      </c>
      <c r="B776" s="1">
        <v>0.79716600000000004</v>
      </c>
      <c r="C776" s="1">
        <v>0.80053399999999997</v>
      </c>
      <c r="D776" s="1">
        <f>IF(B776&gt;C776,B776-C776,C776-B776)</f>
        <v>3.3679999999999266E-3</v>
      </c>
      <c r="E776">
        <f>MINUTE(D776)</f>
        <v>4</v>
      </c>
      <c r="F776">
        <f>SECOND(D776)</f>
        <v>51</v>
      </c>
      <c r="G776">
        <f>ROUND(E776+F776/60,2)</f>
        <v>4.8499999999999996</v>
      </c>
      <c r="H776">
        <f>60*E776+F776</f>
        <v>291</v>
      </c>
      <c r="I776" s="3">
        <f>5*(3600/H776)</f>
        <v>61.855670103092784</v>
      </c>
    </row>
    <row r="777" spans="1:9" x14ac:dyDescent="0.25">
      <c r="A777" s="4" t="s">
        <v>159</v>
      </c>
      <c r="B777" s="1">
        <v>0.39568500000000001</v>
      </c>
      <c r="C777" s="1">
        <v>0.39231700000000003</v>
      </c>
      <c r="D777" s="1">
        <f>IF(B777&gt;C777,B777-C777,C777-B777)</f>
        <v>3.3679999999999821E-3</v>
      </c>
      <c r="E777">
        <f>MINUTE(D777)</f>
        <v>4</v>
      </c>
      <c r="F777">
        <f>SECOND(D777)</f>
        <v>51</v>
      </c>
      <c r="G777">
        <f>ROUND(E777+F777/60,2)</f>
        <v>4.8499999999999996</v>
      </c>
      <c r="H777">
        <f>60*E777+F777</f>
        <v>291</v>
      </c>
      <c r="I777" s="3">
        <f>5*(3600/H777)</f>
        <v>61.855670103092784</v>
      </c>
    </row>
    <row r="778" spans="1:9" x14ac:dyDescent="0.25">
      <c r="A778" s="4" t="s">
        <v>29</v>
      </c>
      <c r="B778" s="1">
        <v>0.39477299999999999</v>
      </c>
      <c r="C778" s="1">
        <v>0.39140900000000001</v>
      </c>
      <c r="D778" s="1">
        <f>IF(B778&gt;C778,B778-C778,C778-B778)</f>
        <v>3.3639999999999781E-3</v>
      </c>
      <c r="E778">
        <f>MINUTE(D778)</f>
        <v>4</v>
      </c>
      <c r="F778">
        <f>SECOND(D778)</f>
        <v>51</v>
      </c>
      <c r="G778">
        <f>ROUND(E778+F778/60,2)</f>
        <v>4.8499999999999996</v>
      </c>
      <c r="H778">
        <f>60*E778+F778</f>
        <v>291</v>
      </c>
      <c r="I778" s="3">
        <f>5*(3600/H778)</f>
        <v>61.855670103092784</v>
      </c>
    </row>
    <row r="779" spans="1:9" x14ac:dyDescent="0.25">
      <c r="A779" s="4" t="s">
        <v>5</v>
      </c>
      <c r="B779" s="1">
        <v>0.82136500000000001</v>
      </c>
      <c r="C779" s="1">
        <v>0.82473700000000005</v>
      </c>
      <c r="D779" s="1">
        <f>IF(B779&gt;C779,B779-C779,C779-B779)</f>
        <v>3.3720000000000416E-3</v>
      </c>
      <c r="E779">
        <f>MINUTE(D779)</f>
        <v>4</v>
      </c>
      <c r="F779">
        <f>SECOND(D779)</f>
        <v>51</v>
      </c>
      <c r="G779">
        <f>ROUND(E779+F779/60,2)</f>
        <v>4.8499999999999996</v>
      </c>
      <c r="H779">
        <f>60*E779+F779</f>
        <v>291</v>
      </c>
      <c r="I779" s="3">
        <f>5*(3600/H779)</f>
        <v>61.855670103092784</v>
      </c>
    </row>
    <row r="780" spans="1:9" x14ac:dyDescent="0.25">
      <c r="A780" s="4" t="s">
        <v>237</v>
      </c>
      <c r="B780" s="1">
        <v>0.83006999999999997</v>
      </c>
      <c r="C780" s="1">
        <v>0.82670600000000005</v>
      </c>
      <c r="D780" s="1">
        <f>IF(B780&gt;C780,B780-C780,C780-B780)</f>
        <v>3.3639999999999226E-3</v>
      </c>
      <c r="E780">
        <f>MINUTE(D780)</f>
        <v>4</v>
      </c>
      <c r="F780">
        <f>SECOND(D780)</f>
        <v>51</v>
      </c>
      <c r="G780">
        <f>ROUND(E780+F780/60,2)</f>
        <v>4.8499999999999996</v>
      </c>
      <c r="H780">
        <f>60*E780+F780</f>
        <v>291</v>
      </c>
      <c r="I780" s="3">
        <f>5*(3600/H780)</f>
        <v>61.855670103092784</v>
      </c>
    </row>
    <row r="781" spans="1:9" x14ac:dyDescent="0.25">
      <c r="A781" s="4" t="s">
        <v>239</v>
      </c>
      <c r="B781" s="1">
        <v>0.346945</v>
      </c>
      <c r="C781" s="1">
        <v>0.35031299999999999</v>
      </c>
      <c r="D781" s="1">
        <f>IF(B781&gt;C781,B781-C781,C781-B781)</f>
        <v>3.3679999999999821E-3</v>
      </c>
      <c r="E781">
        <f>MINUTE(D781)</f>
        <v>4</v>
      </c>
      <c r="F781">
        <f>SECOND(D781)</f>
        <v>51</v>
      </c>
      <c r="G781">
        <f>ROUND(E781+F781/60,2)</f>
        <v>4.8499999999999996</v>
      </c>
      <c r="H781">
        <f>60*E781+F781</f>
        <v>291</v>
      </c>
      <c r="I781" s="3">
        <f>5*(3600/H781)</f>
        <v>61.855670103092784</v>
      </c>
    </row>
    <row r="782" spans="1:9" x14ac:dyDescent="0.25">
      <c r="A782" s="4" t="s">
        <v>154</v>
      </c>
      <c r="B782" s="1">
        <v>6.1955999999999997E-2</v>
      </c>
      <c r="C782" s="1">
        <v>5.8571999999999999E-2</v>
      </c>
      <c r="D782" s="1">
        <f>IF(B782&gt;C782,B782-C782,C782-B782)</f>
        <v>3.3839999999999981E-3</v>
      </c>
      <c r="E782">
        <f>MINUTE(D782)</f>
        <v>4</v>
      </c>
      <c r="F782">
        <f>SECOND(D782)</f>
        <v>52</v>
      </c>
      <c r="G782">
        <f>ROUND(E782+F782/60,2)</f>
        <v>4.87</v>
      </c>
      <c r="H782">
        <f>60*E782+F782</f>
        <v>292</v>
      </c>
      <c r="I782" s="3">
        <f>5*(3600/H782)</f>
        <v>61.643835616438352</v>
      </c>
    </row>
    <row r="783" spans="1:9" x14ac:dyDescent="0.25">
      <c r="A783" s="4" t="s">
        <v>101</v>
      </c>
      <c r="B783" s="1">
        <v>0.37134800000000001</v>
      </c>
      <c r="C783" s="1">
        <v>0.374724</v>
      </c>
      <c r="D783" s="1">
        <f>IF(B783&gt;C783,B783-C783,C783-B783)</f>
        <v>3.3759999999999901E-3</v>
      </c>
      <c r="E783">
        <f>MINUTE(D783)</f>
        <v>4</v>
      </c>
      <c r="F783">
        <f>SECOND(D783)</f>
        <v>52</v>
      </c>
      <c r="G783">
        <f>ROUND(E783+F783/60,2)</f>
        <v>4.87</v>
      </c>
      <c r="H783">
        <f>60*E783+F783</f>
        <v>292</v>
      </c>
      <c r="I783" s="3">
        <f>5*(3600/H783)</f>
        <v>61.643835616438352</v>
      </c>
    </row>
    <row r="784" spans="1:9" x14ac:dyDescent="0.25">
      <c r="A784" s="4" t="s">
        <v>161</v>
      </c>
      <c r="B784" s="1">
        <v>0.87226400000000004</v>
      </c>
      <c r="C784" s="1">
        <v>0.86888399999999999</v>
      </c>
      <c r="D784" s="1">
        <f>IF(B784&gt;C784,B784-C784,C784-B784)</f>
        <v>3.3800000000000496E-3</v>
      </c>
      <c r="E784">
        <f>MINUTE(D784)</f>
        <v>4</v>
      </c>
      <c r="F784">
        <f>SECOND(D784)</f>
        <v>52</v>
      </c>
      <c r="G784">
        <f>ROUND(E784+F784/60,2)</f>
        <v>4.87</v>
      </c>
      <c r="H784">
        <f>60*E784+F784</f>
        <v>292</v>
      </c>
      <c r="I784" s="3">
        <f>5*(3600/H784)</f>
        <v>61.643835616438352</v>
      </c>
    </row>
    <row r="785" spans="1:9" x14ac:dyDescent="0.25">
      <c r="A785" s="4" t="s">
        <v>350</v>
      </c>
      <c r="B785" s="1">
        <v>0.93858200000000003</v>
      </c>
      <c r="C785" s="1">
        <v>0.94195799999999996</v>
      </c>
      <c r="D785" s="1">
        <f>IF(B785&gt;C785,B785-C785,C785-B785)</f>
        <v>3.3759999999999346E-3</v>
      </c>
      <c r="E785">
        <f>MINUTE(D785)</f>
        <v>4</v>
      </c>
      <c r="F785">
        <f>SECOND(D785)</f>
        <v>52</v>
      </c>
      <c r="G785">
        <f>ROUND(E785+F785/60,2)</f>
        <v>4.87</v>
      </c>
      <c r="H785">
        <f>60*E785+F785</f>
        <v>292</v>
      </c>
      <c r="I785" s="3">
        <f>5*(3600/H785)</f>
        <v>61.643835616438352</v>
      </c>
    </row>
    <row r="786" spans="1:9" x14ac:dyDescent="0.25">
      <c r="A786" s="4" t="s">
        <v>5</v>
      </c>
      <c r="B786" s="1">
        <v>0.50733099999999998</v>
      </c>
      <c r="C786" s="1">
        <v>0.51071900000000003</v>
      </c>
      <c r="D786" s="1">
        <f>IF(B786&gt;C786,B786-C786,C786-B786)</f>
        <v>3.3880000000000576E-3</v>
      </c>
      <c r="E786">
        <f>MINUTE(D786)</f>
        <v>4</v>
      </c>
      <c r="F786">
        <f>SECOND(D786)</f>
        <v>53</v>
      </c>
      <c r="G786">
        <f>ROUND(E786+F786/60,2)</f>
        <v>4.88</v>
      </c>
      <c r="H786">
        <f>60*E786+F786</f>
        <v>293</v>
      </c>
      <c r="I786" s="3">
        <f>5*(3600/H786)</f>
        <v>61.43344709897611</v>
      </c>
    </row>
    <row r="787" spans="1:9" x14ac:dyDescent="0.25">
      <c r="A787" s="4" t="s">
        <v>76</v>
      </c>
      <c r="B787" s="1">
        <v>6.5492999999999996E-2</v>
      </c>
      <c r="C787" s="1">
        <v>6.8885000000000002E-2</v>
      </c>
      <c r="D787" s="1">
        <f>IF(B787&gt;C787,B787-C787,C787-B787)</f>
        <v>3.3920000000000061E-3</v>
      </c>
      <c r="E787">
        <f>MINUTE(D787)</f>
        <v>4</v>
      </c>
      <c r="F787">
        <f>SECOND(D787)</f>
        <v>53</v>
      </c>
      <c r="G787">
        <f>ROUND(E787+F787/60,2)</f>
        <v>4.88</v>
      </c>
      <c r="H787">
        <f>60*E787+F787</f>
        <v>293</v>
      </c>
      <c r="I787" s="3">
        <f>5*(3600/H787)</f>
        <v>61.43344709897611</v>
      </c>
    </row>
    <row r="788" spans="1:9" x14ac:dyDescent="0.25">
      <c r="A788" s="4" t="s">
        <v>47</v>
      </c>
      <c r="B788" s="1">
        <v>6.2723000000000001E-2</v>
      </c>
      <c r="C788" s="1">
        <v>6.6118999999999997E-2</v>
      </c>
      <c r="D788" s="1">
        <f>IF(B788&gt;C788,B788-C788,C788-B788)</f>
        <v>3.3959999999999962E-3</v>
      </c>
      <c r="E788">
        <f>MINUTE(D788)</f>
        <v>4</v>
      </c>
      <c r="F788">
        <f>SECOND(D788)</f>
        <v>53</v>
      </c>
      <c r="G788">
        <f>ROUND(E788+F788/60,2)</f>
        <v>4.88</v>
      </c>
      <c r="H788">
        <f>60*E788+F788</f>
        <v>293</v>
      </c>
      <c r="I788" s="3">
        <f>5*(3600/H788)</f>
        <v>61.43344709897611</v>
      </c>
    </row>
    <row r="789" spans="1:9" x14ac:dyDescent="0.25">
      <c r="A789" s="4" t="s">
        <v>109</v>
      </c>
      <c r="B789" s="1">
        <v>0.59859799999999996</v>
      </c>
      <c r="C789" s="1">
        <v>0.59520600000000001</v>
      </c>
      <c r="D789" s="1">
        <f>IF(B789&gt;C789,B789-C789,C789-B789)</f>
        <v>3.3919999999999506E-3</v>
      </c>
      <c r="E789">
        <f>MINUTE(D789)</f>
        <v>4</v>
      </c>
      <c r="F789">
        <f>SECOND(D789)</f>
        <v>53</v>
      </c>
      <c r="G789">
        <f>ROUND(E789+F789/60,2)</f>
        <v>4.88</v>
      </c>
      <c r="H789">
        <f>60*E789+F789</f>
        <v>293</v>
      </c>
      <c r="I789" s="3">
        <f>5*(3600/H789)</f>
        <v>61.43344709897611</v>
      </c>
    </row>
    <row r="790" spans="1:9" x14ac:dyDescent="0.25">
      <c r="A790" s="4" t="s">
        <v>176</v>
      </c>
      <c r="B790" s="1">
        <v>0.71115899999999999</v>
      </c>
      <c r="C790" s="1">
        <v>0.70776300000000003</v>
      </c>
      <c r="D790" s="1">
        <f>IF(B790&gt;C790,B790-C790,C790-B790)</f>
        <v>3.3959999999999546E-3</v>
      </c>
      <c r="E790">
        <f>MINUTE(D790)</f>
        <v>4</v>
      </c>
      <c r="F790">
        <f>SECOND(D790)</f>
        <v>53</v>
      </c>
      <c r="G790">
        <f>ROUND(E790+F790/60,2)</f>
        <v>4.88</v>
      </c>
      <c r="H790">
        <f>60*E790+F790</f>
        <v>293</v>
      </c>
      <c r="I790" s="3">
        <f>5*(3600/H790)</f>
        <v>61.43344709897611</v>
      </c>
    </row>
    <row r="791" spans="1:9" x14ac:dyDescent="0.25">
      <c r="A791" s="4" t="s">
        <v>124</v>
      </c>
      <c r="B791" s="1">
        <v>5.1858000000000001E-2</v>
      </c>
      <c r="C791" s="1">
        <v>5.5253999999999998E-2</v>
      </c>
      <c r="D791" s="1">
        <f>IF(B791&gt;C791,B791-C791,C791-B791)</f>
        <v>3.3959999999999962E-3</v>
      </c>
      <c r="E791">
        <f>MINUTE(D791)</f>
        <v>4</v>
      </c>
      <c r="F791">
        <f>SECOND(D791)</f>
        <v>53</v>
      </c>
      <c r="G791">
        <f>ROUND(E791+F791/60,2)</f>
        <v>4.88</v>
      </c>
      <c r="H791">
        <f>60*E791+F791</f>
        <v>293</v>
      </c>
      <c r="I791" s="3">
        <f>5*(3600/H791)</f>
        <v>61.43344709897611</v>
      </c>
    </row>
    <row r="792" spans="1:9" x14ac:dyDescent="0.25">
      <c r="A792" s="4" t="s">
        <v>82</v>
      </c>
      <c r="B792" s="1">
        <v>0.78575300000000003</v>
      </c>
      <c r="C792" s="1">
        <v>0.789157</v>
      </c>
      <c r="D792" s="1">
        <f>IF(B792&gt;C792,B792-C792,C792-B792)</f>
        <v>3.4039999999999626E-3</v>
      </c>
      <c r="E792">
        <f>MINUTE(D792)</f>
        <v>4</v>
      </c>
      <c r="F792">
        <f>SECOND(D792)</f>
        <v>54</v>
      </c>
      <c r="G792">
        <f>ROUND(E792+F792/60,2)</f>
        <v>4.9000000000000004</v>
      </c>
      <c r="H792">
        <f>60*E792+F792</f>
        <v>294</v>
      </c>
      <c r="I792" s="3">
        <f>5*(3600/H792)</f>
        <v>61.224489795918366</v>
      </c>
    </row>
    <row r="793" spans="1:9" x14ac:dyDescent="0.25">
      <c r="A793" s="4" t="s">
        <v>148</v>
      </c>
      <c r="B793" s="1">
        <v>0.359732</v>
      </c>
      <c r="C793" s="1">
        <v>0.35632799999999998</v>
      </c>
      <c r="D793" s="1">
        <f>IF(B793&gt;C793,B793-C793,C793-B793)</f>
        <v>3.4040000000000181E-3</v>
      </c>
      <c r="E793">
        <f>MINUTE(D793)</f>
        <v>4</v>
      </c>
      <c r="F793">
        <f>SECOND(D793)</f>
        <v>54</v>
      </c>
      <c r="G793">
        <f>ROUND(E793+F793/60,2)</f>
        <v>4.9000000000000004</v>
      </c>
      <c r="H793">
        <f>60*E793+F793</f>
        <v>294</v>
      </c>
      <c r="I793" s="3">
        <f>5*(3600/H793)</f>
        <v>61.224489795918366</v>
      </c>
    </row>
    <row r="794" spans="1:9" x14ac:dyDescent="0.25">
      <c r="A794" s="4" t="s">
        <v>89</v>
      </c>
      <c r="B794" s="1">
        <v>0.79559199999999997</v>
      </c>
      <c r="C794" s="1">
        <v>0.792188</v>
      </c>
      <c r="D794" s="1">
        <f>IF(B794&gt;C794,B794-C794,C794-B794)</f>
        <v>3.4039999999999626E-3</v>
      </c>
      <c r="E794">
        <f>MINUTE(D794)</f>
        <v>4</v>
      </c>
      <c r="F794">
        <f>SECOND(D794)</f>
        <v>54</v>
      </c>
      <c r="G794">
        <f>ROUND(E794+F794/60,2)</f>
        <v>4.9000000000000004</v>
      </c>
      <c r="H794">
        <f>60*E794+F794</f>
        <v>294</v>
      </c>
      <c r="I794" s="3">
        <f>5*(3600/H794)</f>
        <v>61.224489795918366</v>
      </c>
    </row>
    <row r="795" spans="1:9" x14ac:dyDescent="0.25">
      <c r="A795" s="4" t="s">
        <v>75</v>
      </c>
      <c r="B795" s="1">
        <v>0.55288199999999998</v>
      </c>
      <c r="C795" s="1">
        <v>0.55628200000000005</v>
      </c>
      <c r="D795" s="1">
        <f>IF(B795&gt;C795,B795-C795,C795-B795)</f>
        <v>3.4000000000000696E-3</v>
      </c>
      <c r="E795">
        <f>MINUTE(D795)</f>
        <v>4</v>
      </c>
      <c r="F795">
        <f>SECOND(D795)</f>
        <v>54</v>
      </c>
      <c r="G795">
        <f>ROUND(E795+F795/60,2)</f>
        <v>4.9000000000000004</v>
      </c>
      <c r="H795">
        <f>60*E795+F795</f>
        <v>294</v>
      </c>
      <c r="I795" s="3">
        <f>5*(3600/H795)</f>
        <v>61.224489795918366</v>
      </c>
    </row>
    <row r="796" spans="1:9" x14ac:dyDescent="0.25">
      <c r="A796" s="4" t="s">
        <v>240</v>
      </c>
      <c r="B796" s="1">
        <v>0.76658499999999996</v>
      </c>
      <c r="C796" s="1">
        <v>0.763181</v>
      </c>
      <c r="D796" s="1">
        <f>IF(B796&gt;C796,B796-C796,C796-B796)</f>
        <v>3.4039999999999626E-3</v>
      </c>
      <c r="E796">
        <f>MINUTE(D796)</f>
        <v>4</v>
      </c>
      <c r="F796">
        <f>SECOND(D796)</f>
        <v>54</v>
      </c>
      <c r="G796">
        <f>ROUND(E796+F796/60,2)</f>
        <v>4.9000000000000004</v>
      </c>
      <c r="H796">
        <f>60*E796+F796</f>
        <v>294</v>
      </c>
      <c r="I796" s="3">
        <f>5*(3600/H796)</f>
        <v>61.224489795918366</v>
      </c>
    </row>
    <row r="797" spans="1:9" x14ac:dyDescent="0.25">
      <c r="A797" s="4" t="s">
        <v>65</v>
      </c>
      <c r="B797" s="1">
        <v>0.79385700000000003</v>
      </c>
      <c r="C797" s="1">
        <v>0.79043699999999995</v>
      </c>
      <c r="D797" s="1">
        <f>IF(B797&gt;C797,B797-C797,C797-B797)</f>
        <v>3.4200000000000896E-3</v>
      </c>
      <c r="E797">
        <f>MINUTE(D797)</f>
        <v>4</v>
      </c>
      <c r="F797">
        <f>SECOND(D797)</f>
        <v>55</v>
      </c>
      <c r="G797">
        <f>ROUND(E797+F797/60,2)</f>
        <v>4.92</v>
      </c>
      <c r="H797">
        <f>60*E797+F797</f>
        <v>295</v>
      </c>
      <c r="I797" s="3">
        <f>5*(3600/H797)</f>
        <v>61.016949152542367</v>
      </c>
    </row>
    <row r="798" spans="1:9" x14ac:dyDescent="0.25">
      <c r="A798" s="4" t="s">
        <v>56</v>
      </c>
      <c r="B798" s="1">
        <v>0.74378100000000003</v>
      </c>
      <c r="C798" s="1">
        <v>0.747197</v>
      </c>
      <c r="D798" s="1">
        <f>IF(B798&gt;C798,B798-C798,C798-B798)</f>
        <v>3.4159999999999746E-3</v>
      </c>
      <c r="E798">
        <f>MINUTE(D798)</f>
        <v>4</v>
      </c>
      <c r="F798">
        <f>SECOND(D798)</f>
        <v>55</v>
      </c>
      <c r="G798">
        <f>ROUND(E798+F798/60,2)</f>
        <v>4.92</v>
      </c>
      <c r="H798">
        <f>60*E798+F798</f>
        <v>295</v>
      </c>
      <c r="I798" s="3">
        <f>5*(3600/H798)</f>
        <v>61.016949152542367</v>
      </c>
    </row>
    <row r="799" spans="1:9" x14ac:dyDescent="0.25">
      <c r="A799" s="4" t="s">
        <v>145</v>
      </c>
      <c r="B799" s="1">
        <v>0.47162799999999999</v>
      </c>
      <c r="C799" s="1">
        <v>0.46820800000000001</v>
      </c>
      <c r="D799" s="1">
        <f>IF(B799&gt;C799,B799-C799,C799-B799)</f>
        <v>3.4199999999999786E-3</v>
      </c>
      <c r="E799">
        <f>MINUTE(D799)</f>
        <v>4</v>
      </c>
      <c r="F799">
        <f>SECOND(D799)</f>
        <v>55</v>
      </c>
      <c r="G799">
        <f>ROUND(E799+F799/60,2)</f>
        <v>4.92</v>
      </c>
      <c r="H799">
        <f>60*E799+F799</f>
        <v>295</v>
      </c>
      <c r="I799" s="3">
        <f>5*(3600/H799)</f>
        <v>61.016949152542367</v>
      </c>
    </row>
    <row r="800" spans="1:9" x14ac:dyDescent="0.25">
      <c r="A800" s="4" t="s">
        <v>109</v>
      </c>
      <c r="B800" s="1">
        <v>0.51990700000000001</v>
      </c>
      <c r="C800" s="1">
        <v>0.52331899999999998</v>
      </c>
      <c r="D800" s="1">
        <f>IF(B800&gt;C800,B800-C800,C800-B800)</f>
        <v>3.4119999999999706E-3</v>
      </c>
      <c r="E800">
        <f>MINUTE(D800)</f>
        <v>4</v>
      </c>
      <c r="F800">
        <f>SECOND(D800)</f>
        <v>55</v>
      </c>
      <c r="G800">
        <f>ROUND(E800+F800/60,2)</f>
        <v>4.92</v>
      </c>
      <c r="H800">
        <f>60*E800+F800</f>
        <v>295</v>
      </c>
      <c r="I800" s="3">
        <f>5*(3600/H800)</f>
        <v>61.016949152542367</v>
      </c>
    </row>
    <row r="801" spans="1:9" x14ac:dyDescent="0.25">
      <c r="A801" s="4" t="s">
        <v>268</v>
      </c>
      <c r="B801" s="1">
        <v>0.926319</v>
      </c>
      <c r="C801" s="1">
        <v>0.92290700000000003</v>
      </c>
      <c r="D801" s="1">
        <f>IF(B801&gt;C801,B801-C801,C801-B801)</f>
        <v>3.4119999999999706E-3</v>
      </c>
      <c r="E801">
        <f>MINUTE(D801)</f>
        <v>4</v>
      </c>
      <c r="F801">
        <f>SECOND(D801)</f>
        <v>55</v>
      </c>
      <c r="G801">
        <f>ROUND(E801+F801/60,2)</f>
        <v>4.92</v>
      </c>
      <c r="H801">
        <f>60*E801+F801</f>
        <v>295</v>
      </c>
      <c r="I801" s="3">
        <f>5*(3600/H801)</f>
        <v>61.016949152542367</v>
      </c>
    </row>
    <row r="802" spans="1:9" x14ac:dyDescent="0.25">
      <c r="A802" s="4" t="s">
        <v>68</v>
      </c>
      <c r="B802" s="1">
        <v>0.67446200000000001</v>
      </c>
      <c r="C802" s="1">
        <v>0.67788999999999999</v>
      </c>
      <c r="D802" s="1">
        <f>IF(B802&gt;C802,B802-C802,C802-B802)</f>
        <v>3.4279999999999866E-3</v>
      </c>
      <c r="E802">
        <f>MINUTE(D802)</f>
        <v>4</v>
      </c>
      <c r="F802">
        <f>SECOND(D802)</f>
        <v>56</v>
      </c>
      <c r="G802">
        <f>ROUND(E802+F802/60,2)</f>
        <v>4.93</v>
      </c>
      <c r="H802">
        <f>60*E802+F802</f>
        <v>296</v>
      </c>
      <c r="I802" s="3">
        <f>5*(3600/H802)</f>
        <v>60.810810810810807</v>
      </c>
    </row>
    <row r="803" spans="1:9" x14ac:dyDescent="0.25">
      <c r="A803" s="4" t="s">
        <v>116</v>
      </c>
      <c r="B803" s="1">
        <v>0.73995699999999998</v>
      </c>
      <c r="C803" s="1">
        <v>0.74338499999999996</v>
      </c>
      <c r="D803" s="1">
        <f>IF(B803&gt;C803,B803-C803,C803-B803)</f>
        <v>3.4279999999999866E-3</v>
      </c>
      <c r="E803">
        <f>MINUTE(D803)</f>
        <v>4</v>
      </c>
      <c r="F803">
        <f>SECOND(D803)</f>
        <v>56</v>
      </c>
      <c r="G803">
        <f>ROUND(E803+F803/60,2)</f>
        <v>4.93</v>
      </c>
      <c r="H803">
        <f>60*E803+F803</f>
        <v>296</v>
      </c>
      <c r="I803" s="3">
        <f>5*(3600/H803)</f>
        <v>60.810810810810807</v>
      </c>
    </row>
    <row r="804" spans="1:9" x14ac:dyDescent="0.25">
      <c r="A804" s="4" t="s">
        <v>128</v>
      </c>
      <c r="B804" s="1">
        <v>6.3480999999999996E-2</v>
      </c>
      <c r="C804" s="1">
        <v>6.6905000000000006E-2</v>
      </c>
      <c r="D804" s="1">
        <f>IF(B804&gt;C804,B804-C804,C804-B804)</f>
        <v>3.4240000000000104E-3</v>
      </c>
      <c r="E804">
        <f>MINUTE(D804)</f>
        <v>4</v>
      </c>
      <c r="F804">
        <f>SECOND(D804)</f>
        <v>56</v>
      </c>
      <c r="G804">
        <f>ROUND(E804+F804/60,2)</f>
        <v>4.93</v>
      </c>
      <c r="H804">
        <f>60*E804+F804</f>
        <v>296</v>
      </c>
      <c r="I804" s="3">
        <f>5*(3600/H804)</f>
        <v>60.810810810810807</v>
      </c>
    </row>
    <row r="805" spans="1:9" x14ac:dyDescent="0.25">
      <c r="A805" s="4" t="s">
        <v>150</v>
      </c>
      <c r="B805" s="1">
        <v>0.71468200000000004</v>
      </c>
      <c r="C805" s="1">
        <v>0.71811000000000003</v>
      </c>
      <c r="D805" s="1">
        <f>IF(B805&gt;C805,B805-C805,C805-B805)</f>
        <v>3.4279999999999866E-3</v>
      </c>
      <c r="E805">
        <f>MINUTE(D805)</f>
        <v>4</v>
      </c>
      <c r="F805">
        <f>SECOND(D805)</f>
        <v>56</v>
      </c>
      <c r="G805">
        <f>ROUND(E805+F805/60,2)</f>
        <v>4.93</v>
      </c>
      <c r="H805">
        <f>60*E805+F805</f>
        <v>296</v>
      </c>
      <c r="I805" s="3">
        <f>5*(3600/H805)</f>
        <v>60.810810810810807</v>
      </c>
    </row>
    <row r="806" spans="1:9" x14ac:dyDescent="0.25">
      <c r="A806" s="4" t="s">
        <v>253</v>
      </c>
      <c r="B806" s="1">
        <v>0.56004299999999996</v>
      </c>
      <c r="C806" s="1">
        <v>0.55661499999999997</v>
      </c>
      <c r="D806" s="1">
        <f>IF(B806&gt;C806,B806-C806,C806-B806)</f>
        <v>3.4279999999999866E-3</v>
      </c>
      <c r="E806">
        <f>MINUTE(D806)</f>
        <v>4</v>
      </c>
      <c r="F806">
        <f>SECOND(D806)</f>
        <v>56</v>
      </c>
      <c r="G806">
        <f>ROUND(E806+F806/60,2)</f>
        <v>4.93</v>
      </c>
      <c r="H806">
        <f>60*E806+F806</f>
        <v>296</v>
      </c>
      <c r="I806" s="3">
        <f>5*(3600/H806)</f>
        <v>60.810810810810807</v>
      </c>
    </row>
    <row r="807" spans="1:9" x14ac:dyDescent="0.25">
      <c r="A807" s="4" t="s">
        <v>332</v>
      </c>
      <c r="B807" s="1">
        <v>0.71081099999999997</v>
      </c>
      <c r="C807" s="1">
        <v>0.70738299999999998</v>
      </c>
      <c r="D807" s="1">
        <f>IF(B807&gt;C807,B807-C807,C807-B807)</f>
        <v>3.4279999999999866E-3</v>
      </c>
      <c r="E807">
        <f>MINUTE(D807)</f>
        <v>4</v>
      </c>
      <c r="F807">
        <f>SECOND(D807)</f>
        <v>56</v>
      </c>
      <c r="G807">
        <f>ROUND(E807+F807/60,2)</f>
        <v>4.93</v>
      </c>
      <c r="H807">
        <f>60*E807+F807</f>
        <v>296</v>
      </c>
      <c r="I807" s="3">
        <f>5*(3600/H807)</f>
        <v>60.810810810810807</v>
      </c>
    </row>
    <row r="808" spans="1:9" x14ac:dyDescent="0.25">
      <c r="A808" s="4" t="s">
        <v>8</v>
      </c>
      <c r="B808" s="1">
        <v>0.25012200000000001</v>
      </c>
      <c r="C808" s="1">
        <v>0.24668599999999999</v>
      </c>
      <c r="D808" s="1">
        <f>IF(B808&gt;C808,B808-C808,C808-B808)</f>
        <v>3.4360000000000224E-3</v>
      </c>
      <c r="E808">
        <f>MINUTE(D808)</f>
        <v>4</v>
      </c>
      <c r="F808">
        <f>SECOND(D808)</f>
        <v>57</v>
      </c>
      <c r="G808">
        <f>ROUND(E808+F808/60,2)</f>
        <v>4.95</v>
      </c>
      <c r="H808">
        <f>60*E808+F808</f>
        <v>297</v>
      </c>
      <c r="I808" s="3">
        <f>5*(3600/H808)</f>
        <v>60.606060606060609</v>
      </c>
    </row>
    <row r="809" spans="1:9" x14ac:dyDescent="0.25">
      <c r="A809" s="4" t="s">
        <v>83</v>
      </c>
      <c r="B809" s="1">
        <v>0.48969400000000002</v>
      </c>
      <c r="C809" s="1">
        <v>0.48625800000000002</v>
      </c>
      <c r="D809" s="1">
        <f>IF(B809&gt;C809,B809-C809,C809-B809)</f>
        <v>3.4359999999999946E-3</v>
      </c>
      <c r="E809">
        <f>MINUTE(D809)</f>
        <v>4</v>
      </c>
      <c r="F809">
        <f>SECOND(D809)</f>
        <v>57</v>
      </c>
      <c r="G809">
        <f>ROUND(E809+F809/60,2)</f>
        <v>4.95</v>
      </c>
      <c r="H809">
        <f>60*E809+F809</f>
        <v>297</v>
      </c>
      <c r="I809" s="3">
        <f>5*(3600/H809)</f>
        <v>60.606060606060609</v>
      </c>
    </row>
    <row r="810" spans="1:9" x14ac:dyDescent="0.25">
      <c r="A810" s="4" t="s">
        <v>431</v>
      </c>
      <c r="B810" s="1">
        <v>0.38372699999999998</v>
      </c>
      <c r="C810" s="1">
        <v>0.38029099999999999</v>
      </c>
      <c r="D810" s="1">
        <f>IF(B810&gt;C810,B810-C810,C810-B810)</f>
        <v>3.4359999999999946E-3</v>
      </c>
      <c r="E810">
        <f>MINUTE(D810)</f>
        <v>4</v>
      </c>
      <c r="F810">
        <f>SECOND(D810)</f>
        <v>57</v>
      </c>
      <c r="G810">
        <f>ROUND(E810+F810/60,2)</f>
        <v>4.95</v>
      </c>
      <c r="H810">
        <f>60*E810+F810</f>
        <v>297</v>
      </c>
      <c r="I810" s="3">
        <f>5*(3600/H810)</f>
        <v>60.606060606060609</v>
      </c>
    </row>
    <row r="811" spans="1:9" x14ac:dyDescent="0.25">
      <c r="A811" s="4" t="s">
        <v>374</v>
      </c>
      <c r="B811" s="1">
        <v>0.92735400000000001</v>
      </c>
      <c r="C811" s="1">
        <v>0.93079400000000001</v>
      </c>
      <c r="D811" s="1">
        <f>IF(B811&gt;C811,B811-C811,C811-B811)</f>
        <v>3.4399999999999986E-3</v>
      </c>
      <c r="E811">
        <f>MINUTE(D811)</f>
        <v>4</v>
      </c>
      <c r="F811">
        <f>SECOND(D811)</f>
        <v>57</v>
      </c>
      <c r="G811">
        <f>ROUND(E811+F811/60,2)</f>
        <v>4.95</v>
      </c>
      <c r="H811">
        <f>60*E811+F811</f>
        <v>297</v>
      </c>
      <c r="I811" s="3">
        <f>5*(3600/H811)</f>
        <v>60.606060606060609</v>
      </c>
    </row>
    <row r="812" spans="1:9" x14ac:dyDescent="0.25">
      <c r="A812" s="4" t="s">
        <v>109</v>
      </c>
      <c r="B812" s="1">
        <v>0.20138</v>
      </c>
      <c r="C812" s="1">
        <v>0.197932</v>
      </c>
      <c r="D812" s="1">
        <f>IF(B812&gt;C812,B812-C812,C812-B812)</f>
        <v>3.4480000000000066E-3</v>
      </c>
      <c r="E812">
        <f>MINUTE(D812)</f>
        <v>4</v>
      </c>
      <c r="F812">
        <f>SECOND(D812)</f>
        <v>58</v>
      </c>
      <c r="G812">
        <f>ROUND(E812+F812/60,2)</f>
        <v>4.97</v>
      </c>
      <c r="H812">
        <f>60*E812+F812</f>
        <v>298</v>
      </c>
      <c r="I812" s="3">
        <f>5*(3600/H812)</f>
        <v>60.402684563758385</v>
      </c>
    </row>
    <row r="813" spans="1:9" x14ac:dyDescent="0.25">
      <c r="A813" s="4" t="s">
        <v>60</v>
      </c>
      <c r="B813" s="1">
        <v>5.7468999999999999E-2</v>
      </c>
      <c r="C813" s="1">
        <v>5.4021E-2</v>
      </c>
      <c r="D813" s="1">
        <f>IF(B813&gt;C813,B813-C813,C813-B813)</f>
        <v>3.4479999999999997E-3</v>
      </c>
      <c r="E813">
        <f>MINUTE(D813)</f>
        <v>4</v>
      </c>
      <c r="F813">
        <f>SECOND(D813)</f>
        <v>58</v>
      </c>
      <c r="G813">
        <f>ROUND(E813+F813/60,2)</f>
        <v>4.97</v>
      </c>
      <c r="H813">
        <f>60*E813+F813</f>
        <v>298</v>
      </c>
      <c r="I813" s="3">
        <f>5*(3600/H813)</f>
        <v>60.402684563758385</v>
      </c>
    </row>
    <row r="814" spans="1:9" x14ac:dyDescent="0.25">
      <c r="A814" s="4" t="s">
        <v>382</v>
      </c>
      <c r="B814" s="1">
        <v>0.59115099999999998</v>
      </c>
      <c r="C814" s="1">
        <v>0.58769899999999997</v>
      </c>
      <c r="D814" s="1">
        <f>IF(B814&gt;C814,B814-C814,C814-B814)</f>
        <v>3.4520000000000106E-3</v>
      </c>
      <c r="E814">
        <f>MINUTE(D814)</f>
        <v>4</v>
      </c>
      <c r="F814">
        <f>SECOND(D814)</f>
        <v>58</v>
      </c>
      <c r="G814">
        <f>ROUND(E814+F814/60,2)</f>
        <v>4.97</v>
      </c>
      <c r="H814">
        <f>60*E814+F814</f>
        <v>298</v>
      </c>
      <c r="I814" s="3">
        <f>5*(3600/H814)</f>
        <v>60.402684563758385</v>
      </c>
    </row>
    <row r="815" spans="1:9" x14ac:dyDescent="0.25">
      <c r="A815" s="4" t="s">
        <v>12</v>
      </c>
      <c r="B815" s="1">
        <v>0.65463899999999997</v>
      </c>
      <c r="C815" s="1">
        <v>0.65809899999999999</v>
      </c>
      <c r="D815" s="1">
        <f>IF(B815&gt;C815,B815-C815,C815-B815)</f>
        <v>3.4600000000000186E-3</v>
      </c>
      <c r="E815">
        <f>MINUTE(D815)</f>
        <v>4</v>
      </c>
      <c r="F815">
        <f>SECOND(D815)</f>
        <v>59</v>
      </c>
      <c r="G815">
        <f>ROUND(E815+F815/60,2)</f>
        <v>4.9800000000000004</v>
      </c>
      <c r="H815">
        <f>60*E815+F815</f>
        <v>299</v>
      </c>
      <c r="I815" s="3">
        <f>5*(3600/H815)</f>
        <v>60.200668896321076</v>
      </c>
    </row>
    <row r="816" spans="1:9" x14ac:dyDescent="0.25">
      <c r="A816" s="4" t="s">
        <v>5</v>
      </c>
      <c r="B816" s="1">
        <v>0.74470000000000003</v>
      </c>
      <c r="C816" s="1">
        <v>0.74815600000000004</v>
      </c>
      <c r="D816" s="1">
        <f>IF(B816&gt;C816,B816-C816,C816-B816)</f>
        <v>3.4560000000000146E-3</v>
      </c>
      <c r="E816">
        <f>MINUTE(D816)</f>
        <v>4</v>
      </c>
      <c r="F816">
        <f>SECOND(D816)</f>
        <v>59</v>
      </c>
      <c r="G816">
        <f>ROUND(E816+F816/60,2)</f>
        <v>4.9800000000000004</v>
      </c>
      <c r="H816">
        <f>60*E816+F816</f>
        <v>299</v>
      </c>
      <c r="I816" s="3">
        <f>5*(3600/H816)</f>
        <v>60.200668896321076</v>
      </c>
    </row>
    <row r="817" spans="1:9" x14ac:dyDescent="0.25">
      <c r="A817" s="4" t="s">
        <v>162</v>
      </c>
      <c r="B817" s="1">
        <v>8.4322999999999995E-2</v>
      </c>
      <c r="C817" s="1">
        <v>8.0866999999999994E-2</v>
      </c>
      <c r="D817" s="1">
        <f>IF(B817&gt;C817,B817-C817,C817-B817)</f>
        <v>3.4560000000000007E-3</v>
      </c>
      <c r="E817">
        <f>MINUTE(D817)</f>
        <v>4</v>
      </c>
      <c r="F817">
        <f>SECOND(D817)</f>
        <v>59</v>
      </c>
      <c r="G817">
        <f>ROUND(E817+F817/60,2)</f>
        <v>4.9800000000000004</v>
      </c>
      <c r="H817">
        <f>60*E817+F817</f>
        <v>299</v>
      </c>
      <c r="I817" s="3">
        <f>5*(3600/H817)</f>
        <v>60.200668896321076</v>
      </c>
    </row>
    <row r="818" spans="1:9" x14ac:dyDescent="0.25">
      <c r="A818" s="4" t="s">
        <v>162</v>
      </c>
      <c r="B818" s="1">
        <v>0.459476</v>
      </c>
      <c r="C818" s="1">
        <v>0.45600000000000002</v>
      </c>
      <c r="D818" s="1">
        <f>IF(B818&gt;C818,B818-C818,C818-B818)</f>
        <v>3.4759999999999791E-3</v>
      </c>
      <c r="E818">
        <f>MINUTE(D818)</f>
        <v>5</v>
      </c>
      <c r="F818">
        <f>SECOND(D818)</f>
        <v>0</v>
      </c>
      <c r="G818">
        <f>ROUND(E818+F818/60,2)</f>
        <v>5</v>
      </c>
      <c r="H818">
        <f>60*E818+F818</f>
        <v>300</v>
      </c>
      <c r="I818" s="3">
        <f>5*(3600/H818)</f>
        <v>60</v>
      </c>
    </row>
    <row r="819" spans="1:9" x14ac:dyDescent="0.25">
      <c r="A819" s="4" t="s">
        <v>22</v>
      </c>
      <c r="B819" s="1">
        <v>0.96188399999999996</v>
      </c>
      <c r="C819" s="1">
        <v>0.95841200000000004</v>
      </c>
      <c r="D819" s="1">
        <f>IF(B819&gt;C819,B819-C819,C819-B819)</f>
        <v>3.4719999999999196E-3</v>
      </c>
      <c r="E819">
        <f>MINUTE(D819)</f>
        <v>5</v>
      </c>
      <c r="F819">
        <f>SECOND(D819)</f>
        <v>0</v>
      </c>
      <c r="G819">
        <f>ROUND(E819+F819/60,2)</f>
        <v>5</v>
      </c>
      <c r="H819">
        <f>60*E819+F819</f>
        <v>300</v>
      </c>
      <c r="I819" s="3">
        <f>5*(3600/H819)</f>
        <v>60</v>
      </c>
    </row>
    <row r="820" spans="1:9" x14ac:dyDescent="0.25">
      <c r="A820" s="4" t="s">
        <v>168</v>
      </c>
      <c r="B820" s="1">
        <v>0.80745199999999995</v>
      </c>
      <c r="C820" s="1">
        <v>0.80398400000000003</v>
      </c>
      <c r="D820" s="1">
        <f>IF(B820&gt;C820,B820-C820,C820-B820)</f>
        <v>3.4679999999999156E-3</v>
      </c>
      <c r="E820">
        <f>MINUTE(D820)</f>
        <v>5</v>
      </c>
      <c r="F820">
        <f>SECOND(D820)</f>
        <v>0</v>
      </c>
      <c r="G820">
        <f>ROUND(E820+F820/60,2)</f>
        <v>5</v>
      </c>
      <c r="H820">
        <f>60*E820+F820</f>
        <v>300</v>
      </c>
      <c r="I820" s="3">
        <f>5*(3600/H820)</f>
        <v>60</v>
      </c>
    </row>
    <row r="821" spans="1:9" x14ac:dyDescent="0.25">
      <c r="A821" s="4" t="s">
        <v>145</v>
      </c>
      <c r="B821" s="1">
        <v>0.70873299999999995</v>
      </c>
      <c r="C821" s="1">
        <v>0.71220499999999998</v>
      </c>
      <c r="D821" s="1">
        <f>IF(B821&gt;C821,B821-C821,C821-B821)</f>
        <v>3.4720000000000306E-3</v>
      </c>
      <c r="E821">
        <f>MINUTE(D821)</f>
        <v>5</v>
      </c>
      <c r="F821">
        <f>SECOND(D821)</f>
        <v>0</v>
      </c>
      <c r="G821">
        <f>ROUND(E821+F821/60,2)</f>
        <v>5</v>
      </c>
      <c r="H821">
        <f>60*E821+F821</f>
        <v>300</v>
      </c>
      <c r="I821" s="3">
        <f>5*(3600/H821)</f>
        <v>60</v>
      </c>
    </row>
    <row r="822" spans="1:9" x14ac:dyDescent="0.25">
      <c r="A822" s="4" t="s">
        <v>25</v>
      </c>
      <c r="B822" s="1">
        <v>0.54693899999999995</v>
      </c>
      <c r="C822" s="1">
        <v>0.550423</v>
      </c>
      <c r="D822" s="1">
        <f>IF(B822&gt;C822,B822-C822,C822-B822)</f>
        <v>3.4840000000000426E-3</v>
      </c>
      <c r="E822">
        <f>MINUTE(D822)</f>
        <v>5</v>
      </c>
      <c r="F822">
        <f>SECOND(D822)</f>
        <v>1</v>
      </c>
      <c r="G822">
        <f>ROUND(E822+F822/60,2)</f>
        <v>5.0199999999999996</v>
      </c>
      <c r="H822">
        <f>60*E822+F822</f>
        <v>301</v>
      </c>
      <c r="I822" s="3">
        <f>5*(3600/H822)</f>
        <v>59.800664451827245</v>
      </c>
    </row>
    <row r="823" spans="1:9" x14ac:dyDescent="0.25">
      <c r="A823" s="4" t="s">
        <v>101</v>
      </c>
      <c r="B823" s="1">
        <v>0.84344600000000003</v>
      </c>
      <c r="C823" s="1">
        <v>0.84693399999999996</v>
      </c>
      <c r="D823" s="1">
        <f>IF(B823&gt;C823,B823-C823,C823-B823)</f>
        <v>3.4879999999999356E-3</v>
      </c>
      <c r="E823">
        <f>MINUTE(D823)</f>
        <v>5</v>
      </c>
      <c r="F823">
        <f>SECOND(D823)</f>
        <v>1</v>
      </c>
      <c r="G823">
        <f>ROUND(E823+F823/60,2)</f>
        <v>5.0199999999999996</v>
      </c>
      <c r="H823">
        <f>60*E823+F823</f>
        <v>301</v>
      </c>
      <c r="I823" s="3">
        <f>5*(3600/H823)</f>
        <v>59.800664451827245</v>
      </c>
    </row>
    <row r="824" spans="1:9" x14ac:dyDescent="0.25">
      <c r="A824" s="4" t="s">
        <v>127</v>
      </c>
      <c r="B824" s="1">
        <v>0.82420800000000005</v>
      </c>
      <c r="C824" s="1">
        <v>0.82768799999999998</v>
      </c>
      <c r="D824" s="1">
        <f>IF(B824&gt;C824,B824-C824,C824-B824)</f>
        <v>3.4799999999999276E-3</v>
      </c>
      <c r="E824">
        <f>MINUTE(D824)</f>
        <v>5</v>
      </c>
      <c r="F824">
        <f>SECOND(D824)</f>
        <v>1</v>
      </c>
      <c r="G824">
        <f>ROUND(E824+F824/60,2)</f>
        <v>5.0199999999999996</v>
      </c>
      <c r="H824">
        <f>60*E824+F824</f>
        <v>301</v>
      </c>
      <c r="I824" s="3">
        <f>5*(3600/H824)</f>
        <v>59.800664451827245</v>
      </c>
    </row>
    <row r="825" spans="1:9" x14ac:dyDescent="0.25">
      <c r="A825" s="4" t="s">
        <v>12</v>
      </c>
      <c r="B825" s="1">
        <v>0.55209399999999997</v>
      </c>
      <c r="C825" s="1">
        <v>0.54861000000000004</v>
      </c>
      <c r="D825" s="1">
        <f>IF(B825&gt;C825,B825-C825,C825-B825)</f>
        <v>3.4839999999999316E-3</v>
      </c>
      <c r="E825">
        <f>MINUTE(D825)</f>
        <v>5</v>
      </c>
      <c r="F825">
        <f>SECOND(D825)</f>
        <v>1</v>
      </c>
      <c r="G825">
        <f>ROUND(E825+F825/60,2)</f>
        <v>5.0199999999999996</v>
      </c>
      <c r="H825">
        <f>60*E825+F825</f>
        <v>301</v>
      </c>
      <c r="I825" s="3">
        <f>5*(3600/H825)</f>
        <v>59.800664451827245</v>
      </c>
    </row>
    <row r="826" spans="1:9" x14ac:dyDescent="0.25">
      <c r="A826" s="4" t="s">
        <v>322</v>
      </c>
      <c r="B826" s="1">
        <v>0.91881100000000004</v>
      </c>
      <c r="C826" s="1">
        <v>0.915323</v>
      </c>
      <c r="D826" s="1">
        <f>IF(B826&gt;C826,B826-C826,C826-B826)</f>
        <v>3.4880000000000466E-3</v>
      </c>
      <c r="E826">
        <f>MINUTE(D826)</f>
        <v>5</v>
      </c>
      <c r="F826">
        <f>SECOND(D826)</f>
        <v>1</v>
      </c>
      <c r="G826">
        <f>ROUND(E826+F826/60,2)</f>
        <v>5.0199999999999996</v>
      </c>
      <c r="H826">
        <f>60*E826+F826</f>
        <v>301</v>
      </c>
      <c r="I826" s="3">
        <f>5*(3600/H826)</f>
        <v>59.800664451827245</v>
      </c>
    </row>
    <row r="827" spans="1:9" x14ac:dyDescent="0.25">
      <c r="A827" s="4" t="s">
        <v>9</v>
      </c>
      <c r="B827" s="1">
        <v>3.9071000000000002E-2</v>
      </c>
      <c r="C827" s="1">
        <v>4.2567000000000001E-2</v>
      </c>
      <c r="D827" s="1">
        <f>IF(B827&gt;C827,B827-C827,C827-B827)</f>
        <v>3.4959999999999991E-3</v>
      </c>
      <c r="E827">
        <f>MINUTE(D827)</f>
        <v>5</v>
      </c>
      <c r="F827">
        <f>SECOND(D827)</f>
        <v>2</v>
      </c>
      <c r="G827">
        <f>ROUND(E827+F827/60,2)</f>
        <v>5.03</v>
      </c>
      <c r="H827">
        <f>60*E827+F827</f>
        <v>302</v>
      </c>
      <c r="I827" s="3">
        <f>5*(3600/H827)</f>
        <v>59.602649006622521</v>
      </c>
    </row>
    <row r="828" spans="1:9" x14ac:dyDescent="0.25">
      <c r="A828" s="4" t="s">
        <v>286</v>
      </c>
      <c r="B828" s="1">
        <v>4.9029000000000003E-2</v>
      </c>
      <c r="C828" s="1">
        <v>5.2520999999999998E-2</v>
      </c>
      <c r="D828" s="1">
        <f>IF(B828&gt;C828,B828-C828,C828-B828)</f>
        <v>3.4919999999999951E-3</v>
      </c>
      <c r="E828">
        <f>MINUTE(D828)</f>
        <v>5</v>
      </c>
      <c r="F828">
        <f>SECOND(D828)</f>
        <v>2</v>
      </c>
      <c r="G828">
        <f>ROUND(E828+F828/60,2)</f>
        <v>5.03</v>
      </c>
      <c r="H828">
        <f>60*E828+F828</f>
        <v>302</v>
      </c>
      <c r="I828" s="3">
        <f>5*(3600/H828)</f>
        <v>59.602649006622521</v>
      </c>
    </row>
    <row r="829" spans="1:9" x14ac:dyDescent="0.25">
      <c r="A829" s="4" t="s">
        <v>378</v>
      </c>
      <c r="B829" s="1">
        <v>0.62776399999999999</v>
      </c>
      <c r="C829" s="1">
        <v>0.62426800000000005</v>
      </c>
      <c r="D829" s="1">
        <f>IF(B829&gt;C829,B829-C829,C829-B829)</f>
        <v>3.4959999999999436E-3</v>
      </c>
      <c r="E829">
        <f>MINUTE(D829)</f>
        <v>5</v>
      </c>
      <c r="F829">
        <f>SECOND(D829)</f>
        <v>2</v>
      </c>
      <c r="G829">
        <f>ROUND(E829+F829/60,2)</f>
        <v>5.03</v>
      </c>
      <c r="H829">
        <f>60*E829+F829</f>
        <v>302</v>
      </c>
      <c r="I829" s="3">
        <f>5*(3600/H829)</f>
        <v>59.602649006622521</v>
      </c>
    </row>
    <row r="830" spans="1:9" x14ac:dyDescent="0.25">
      <c r="A830" s="4" t="s">
        <v>410</v>
      </c>
      <c r="B830" s="1">
        <v>0.94211</v>
      </c>
      <c r="C830" s="1">
        <v>0.94560599999999995</v>
      </c>
      <c r="D830" s="1">
        <f>IF(B830&gt;C830,B830-C830,C830-B830)</f>
        <v>3.4959999999999436E-3</v>
      </c>
      <c r="E830">
        <f>MINUTE(D830)</f>
        <v>5</v>
      </c>
      <c r="F830">
        <f>SECOND(D830)</f>
        <v>2</v>
      </c>
      <c r="G830">
        <f>ROUND(E830+F830/60,2)</f>
        <v>5.03</v>
      </c>
      <c r="H830">
        <f>60*E830+F830</f>
        <v>302</v>
      </c>
      <c r="I830" s="3">
        <f>5*(3600/H830)</f>
        <v>59.602649006622521</v>
      </c>
    </row>
    <row r="831" spans="1:9" x14ac:dyDescent="0.25">
      <c r="A831" s="4" t="s">
        <v>89</v>
      </c>
      <c r="B831" s="1">
        <v>0.90169999999999995</v>
      </c>
      <c r="C831" s="1">
        <v>0.90521200000000002</v>
      </c>
      <c r="D831" s="1">
        <f>IF(B831&gt;C831,B831-C831,C831-B831)</f>
        <v>3.5120000000000706E-3</v>
      </c>
      <c r="E831">
        <f>MINUTE(D831)</f>
        <v>5</v>
      </c>
      <c r="F831">
        <f>SECOND(D831)</f>
        <v>3</v>
      </c>
      <c r="G831">
        <f>ROUND(E831+F831/60,2)</f>
        <v>5.05</v>
      </c>
      <c r="H831">
        <f>60*E831+F831</f>
        <v>303</v>
      </c>
      <c r="I831" s="3">
        <f>5*(3600/H831)</f>
        <v>59.405940594059402</v>
      </c>
    </row>
    <row r="832" spans="1:9" x14ac:dyDescent="0.25">
      <c r="A832" s="4" t="s">
        <v>155</v>
      </c>
      <c r="B832" s="1">
        <v>0.57598300000000002</v>
      </c>
      <c r="C832" s="1">
        <v>0.57948699999999997</v>
      </c>
      <c r="D832" s="1">
        <f>IF(B832&gt;C832,B832-C832,C832-B832)</f>
        <v>3.5039999999999516E-3</v>
      </c>
      <c r="E832">
        <f>MINUTE(D832)</f>
        <v>5</v>
      </c>
      <c r="F832">
        <f>SECOND(D832)</f>
        <v>3</v>
      </c>
      <c r="G832">
        <f>ROUND(E832+F832/60,2)</f>
        <v>5.05</v>
      </c>
      <c r="H832">
        <f>60*E832+F832</f>
        <v>303</v>
      </c>
      <c r="I832" s="3">
        <f>5*(3600/H832)</f>
        <v>59.405940594059402</v>
      </c>
    </row>
    <row r="833" spans="1:9" x14ac:dyDescent="0.25">
      <c r="A833" s="4" t="s">
        <v>41</v>
      </c>
      <c r="B833" s="1">
        <v>0.25088199999999999</v>
      </c>
      <c r="C833" s="1">
        <v>0.24737799999999999</v>
      </c>
      <c r="D833" s="1">
        <f>IF(B833&gt;C833,B833-C833,C833-B833)</f>
        <v>3.5040000000000071E-3</v>
      </c>
      <c r="E833">
        <f>MINUTE(D833)</f>
        <v>5</v>
      </c>
      <c r="F833">
        <f>SECOND(D833)</f>
        <v>3</v>
      </c>
      <c r="G833">
        <f>ROUND(E833+F833/60,2)</f>
        <v>5.05</v>
      </c>
      <c r="H833">
        <f>60*E833+F833</f>
        <v>303</v>
      </c>
      <c r="I833" s="3">
        <f>5*(3600/H833)</f>
        <v>59.405940594059402</v>
      </c>
    </row>
    <row r="834" spans="1:9" x14ac:dyDescent="0.25">
      <c r="A834" s="8" t="s">
        <v>177</v>
      </c>
      <c r="B834" s="1">
        <v>0.96728700000000001</v>
      </c>
      <c r="C834" s="1">
        <v>0.97079099999999996</v>
      </c>
      <c r="D834" s="1">
        <f>IF(B834&gt;C834,B834-C834,C834-B834)</f>
        <v>3.5039999999999516E-3</v>
      </c>
      <c r="E834">
        <f>MINUTE(D834)</f>
        <v>5</v>
      </c>
      <c r="F834">
        <f>SECOND(D834)</f>
        <v>3</v>
      </c>
      <c r="G834">
        <f>ROUND(E834+F834/60,2)</f>
        <v>5.05</v>
      </c>
      <c r="H834">
        <f>60*E834+F834</f>
        <v>303</v>
      </c>
      <c r="I834" s="10">
        <f>5*(3600/H834)</f>
        <v>59.405940594059402</v>
      </c>
    </row>
    <row r="835" spans="1:9" x14ac:dyDescent="0.25">
      <c r="A835" s="4" t="s">
        <v>49</v>
      </c>
      <c r="B835" s="1">
        <v>0.558307</v>
      </c>
      <c r="C835" s="1">
        <v>0.55478700000000003</v>
      </c>
      <c r="D835" s="1">
        <f>IF(B835&gt;C835,B835-C835,C835-B835)</f>
        <v>3.5199999999999676E-3</v>
      </c>
      <c r="E835">
        <f>MINUTE(D835)</f>
        <v>5</v>
      </c>
      <c r="F835">
        <f>SECOND(D835)</f>
        <v>4</v>
      </c>
      <c r="G835">
        <f>ROUND(E835+F835/60,2)</f>
        <v>5.07</v>
      </c>
      <c r="H835">
        <f>60*E835+F835</f>
        <v>304</v>
      </c>
      <c r="I835" s="3">
        <f>5*(3600/H835)</f>
        <v>59.21052631578948</v>
      </c>
    </row>
    <row r="836" spans="1:9" x14ac:dyDescent="0.25">
      <c r="A836" s="4" t="s">
        <v>281</v>
      </c>
      <c r="B836" s="1">
        <v>0.66776400000000002</v>
      </c>
      <c r="C836" s="1">
        <v>0.66424799999999995</v>
      </c>
      <c r="D836" s="1">
        <f>IF(B836&gt;C836,B836-C836,C836-B836)</f>
        <v>3.5160000000000746E-3</v>
      </c>
      <c r="E836">
        <f>MINUTE(D836)</f>
        <v>5</v>
      </c>
      <c r="F836">
        <f>SECOND(D836)</f>
        <v>4</v>
      </c>
      <c r="G836">
        <f>ROUND(E836+F836/60,2)</f>
        <v>5.07</v>
      </c>
      <c r="H836">
        <f>60*E836+F836</f>
        <v>304</v>
      </c>
      <c r="I836" s="3">
        <f>5*(3600/H836)</f>
        <v>59.21052631578948</v>
      </c>
    </row>
    <row r="837" spans="1:9" x14ac:dyDescent="0.25">
      <c r="A837" s="4" t="s">
        <v>55</v>
      </c>
      <c r="B837" s="1">
        <v>0.72411499999999995</v>
      </c>
      <c r="C837" s="1">
        <v>0.72764300000000004</v>
      </c>
      <c r="D837" s="1">
        <f>IF(B837&gt;C837,B837-C837,C837-B837)</f>
        <v>3.5280000000000866E-3</v>
      </c>
      <c r="E837">
        <f>MINUTE(D837)</f>
        <v>5</v>
      </c>
      <c r="F837">
        <f>SECOND(D837)</f>
        <v>5</v>
      </c>
      <c r="G837">
        <f>ROUND(E837+F837/60,2)</f>
        <v>5.08</v>
      </c>
      <c r="H837">
        <f>60*E837+F837</f>
        <v>305</v>
      </c>
      <c r="I837" s="3">
        <f>5*(3600/H837)</f>
        <v>59.016393442622956</v>
      </c>
    </row>
    <row r="838" spans="1:9" x14ac:dyDescent="0.25">
      <c r="A838" s="4" t="s">
        <v>143</v>
      </c>
      <c r="B838" s="1">
        <v>0.80431299999999994</v>
      </c>
      <c r="C838" s="1">
        <v>0.80078099999999997</v>
      </c>
      <c r="D838" s="1">
        <f>IF(B838&gt;C838,B838-C838,C838-B838)</f>
        <v>3.5319999999999796E-3</v>
      </c>
      <c r="E838">
        <f>MINUTE(D838)</f>
        <v>5</v>
      </c>
      <c r="F838">
        <f>SECOND(D838)</f>
        <v>5</v>
      </c>
      <c r="G838">
        <f>ROUND(E838+F838/60,2)</f>
        <v>5.08</v>
      </c>
      <c r="H838">
        <f>60*E838+F838</f>
        <v>305</v>
      </c>
      <c r="I838" s="3">
        <f>5*(3600/H838)</f>
        <v>59.016393442622956</v>
      </c>
    </row>
    <row r="839" spans="1:9" x14ac:dyDescent="0.25">
      <c r="A839" s="4" t="s">
        <v>42</v>
      </c>
      <c r="B839" s="1">
        <v>2.5205000000000002E-2</v>
      </c>
      <c r="C839" s="1">
        <v>2.8740999999999999E-2</v>
      </c>
      <c r="D839" s="1">
        <f>IF(B839&gt;C839,B839-C839,C839-B839)</f>
        <v>3.5359999999999975E-3</v>
      </c>
      <c r="E839">
        <f>MINUTE(D839)</f>
        <v>5</v>
      </c>
      <c r="F839">
        <f>SECOND(D839)</f>
        <v>6</v>
      </c>
      <c r="G839">
        <f>ROUND(E839+F839/60,2)</f>
        <v>5.0999999999999996</v>
      </c>
      <c r="H839">
        <f>60*E839+F839</f>
        <v>306</v>
      </c>
      <c r="I839" s="3">
        <f>5*(3600/H839)</f>
        <v>58.82352941176471</v>
      </c>
    </row>
    <row r="840" spans="1:9" x14ac:dyDescent="0.25">
      <c r="A840" s="4" t="s">
        <v>121</v>
      </c>
      <c r="B840" s="1">
        <v>0.62824999999999998</v>
      </c>
      <c r="C840" s="1">
        <v>0.62470999999999999</v>
      </c>
      <c r="D840" s="1">
        <f>IF(B840&gt;C840,B840-C840,C840-B840)</f>
        <v>3.5399999999999876E-3</v>
      </c>
      <c r="E840">
        <f>MINUTE(D840)</f>
        <v>5</v>
      </c>
      <c r="F840">
        <f>SECOND(D840)</f>
        <v>6</v>
      </c>
      <c r="G840">
        <f>ROUND(E840+F840/60,2)</f>
        <v>5.0999999999999996</v>
      </c>
      <c r="H840">
        <f>60*E840+F840</f>
        <v>306</v>
      </c>
      <c r="I840" s="3">
        <f>5*(3600/H840)</f>
        <v>58.82352941176471</v>
      </c>
    </row>
    <row r="841" spans="1:9" x14ac:dyDescent="0.25">
      <c r="A841" s="4" t="s">
        <v>117</v>
      </c>
      <c r="B841" s="1">
        <v>0.803373</v>
      </c>
      <c r="C841" s="1">
        <v>0.79982900000000001</v>
      </c>
      <c r="D841" s="1">
        <f>IF(B841&gt;C841,B841-C841,C841-B841)</f>
        <v>3.5439999999999916E-3</v>
      </c>
      <c r="E841">
        <f>MINUTE(D841)</f>
        <v>5</v>
      </c>
      <c r="F841">
        <f>SECOND(D841)</f>
        <v>6</v>
      </c>
      <c r="G841">
        <f>ROUND(E841+F841/60,2)</f>
        <v>5.0999999999999996</v>
      </c>
      <c r="H841">
        <f>60*E841+F841</f>
        <v>306</v>
      </c>
      <c r="I841" s="3">
        <f>5*(3600/H841)</f>
        <v>58.82352941176471</v>
      </c>
    </row>
    <row r="842" spans="1:9" x14ac:dyDescent="0.25">
      <c r="A842" s="4" t="s">
        <v>188</v>
      </c>
      <c r="B842" s="1">
        <v>0.28119699999999997</v>
      </c>
      <c r="C842" s="1">
        <v>0.27765699999999999</v>
      </c>
      <c r="D842" s="1">
        <f>IF(B842&gt;C842,B842-C842,C842-B842)</f>
        <v>3.5399999999999876E-3</v>
      </c>
      <c r="E842">
        <f>MINUTE(D842)</f>
        <v>5</v>
      </c>
      <c r="F842">
        <f>SECOND(D842)</f>
        <v>6</v>
      </c>
      <c r="G842">
        <f>ROUND(E842+F842/60,2)</f>
        <v>5.0999999999999996</v>
      </c>
      <c r="H842">
        <f>60*E842+F842</f>
        <v>306</v>
      </c>
      <c r="I842" s="3">
        <f>5*(3600/H842)</f>
        <v>58.82352941176471</v>
      </c>
    </row>
    <row r="843" spans="1:9" x14ac:dyDescent="0.25">
      <c r="A843" s="4" t="s">
        <v>146</v>
      </c>
      <c r="B843" s="1">
        <v>6.4591999999999997E-2</v>
      </c>
      <c r="C843" s="1">
        <v>6.1039999999999997E-2</v>
      </c>
      <c r="D843" s="1">
        <f>IF(B843&gt;C843,B843-C843,C843-B843)</f>
        <v>3.5519999999999996E-3</v>
      </c>
      <c r="E843">
        <f>MINUTE(D843)</f>
        <v>5</v>
      </c>
      <c r="F843">
        <f>SECOND(D843)</f>
        <v>7</v>
      </c>
      <c r="G843">
        <f>ROUND(E843+F843/60,2)</f>
        <v>5.12</v>
      </c>
      <c r="H843">
        <f>60*E843+F843</f>
        <v>307</v>
      </c>
      <c r="I843" s="3">
        <f>5*(3600/H843)</f>
        <v>58.631921824104232</v>
      </c>
    </row>
    <row r="844" spans="1:9" x14ac:dyDescent="0.25">
      <c r="A844" s="4" t="s">
        <v>5</v>
      </c>
      <c r="B844" s="1">
        <v>0.59608099999999997</v>
      </c>
      <c r="C844" s="1">
        <v>0.59963299999999997</v>
      </c>
      <c r="D844" s="1">
        <f>IF(B844&gt;C844,B844-C844,C844-B844)</f>
        <v>3.5519999999999996E-3</v>
      </c>
      <c r="E844">
        <f>MINUTE(D844)</f>
        <v>5</v>
      </c>
      <c r="F844">
        <f>SECOND(D844)</f>
        <v>7</v>
      </c>
      <c r="G844">
        <f>ROUND(E844+F844/60,2)</f>
        <v>5.12</v>
      </c>
      <c r="H844">
        <f>60*E844+F844</f>
        <v>307</v>
      </c>
      <c r="I844" s="3">
        <f>5*(3600/H844)</f>
        <v>58.631921824104232</v>
      </c>
    </row>
    <row r="845" spans="1:9" x14ac:dyDescent="0.25">
      <c r="A845" s="4" t="s">
        <v>79</v>
      </c>
      <c r="B845" s="1">
        <v>0.22035199999999999</v>
      </c>
      <c r="C845" s="1">
        <v>0.21679999999999999</v>
      </c>
      <c r="D845" s="1">
        <f>IF(B845&gt;C845,B845-C845,C845-B845)</f>
        <v>3.5519999999999996E-3</v>
      </c>
      <c r="E845">
        <f>MINUTE(D845)</f>
        <v>5</v>
      </c>
      <c r="F845">
        <f>SECOND(D845)</f>
        <v>7</v>
      </c>
      <c r="G845">
        <f>ROUND(E845+F845/60,2)</f>
        <v>5.12</v>
      </c>
      <c r="H845">
        <f>60*E845+F845</f>
        <v>307</v>
      </c>
      <c r="I845" s="3">
        <f>5*(3600/H845)</f>
        <v>58.631921824104232</v>
      </c>
    </row>
    <row r="846" spans="1:9" x14ac:dyDescent="0.25">
      <c r="A846" s="4" t="s">
        <v>200</v>
      </c>
      <c r="B846" s="1">
        <v>0.64594499999999999</v>
      </c>
      <c r="C846" s="1">
        <v>0.649501</v>
      </c>
      <c r="D846" s="1">
        <f>IF(B846&gt;C846,B846-C846,C846-B846)</f>
        <v>3.5560000000000036E-3</v>
      </c>
      <c r="E846">
        <f>MINUTE(D846)</f>
        <v>5</v>
      </c>
      <c r="F846">
        <f>SECOND(D846)</f>
        <v>7</v>
      </c>
      <c r="G846">
        <f>ROUND(E846+F846/60,2)</f>
        <v>5.12</v>
      </c>
      <c r="H846">
        <f>60*E846+F846</f>
        <v>307</v>
      </c>
      <c r="I846" s="3">
        <f>5*(3600/H846)</f>
        <v>58.631921824104232</v>
      </c>
    </row>
    <row r="847" spans="1:9" x14ac:dyDescent="0.25">
      <c r="A847" s="4" t="s">
        <v>6</v>
      </c>
      <c r="B847" s="1">
        <v>0.33882099999999998</v>
      </c>
      <c r="C847" s="1">
        <v>0.342389</v>
      </c>
      <c r="D847" s="1">
        <f>IF(B847&gt;C847,B847-C847,C847-B847)</f>
        <v>3.5680000000000156E-3</v>
      </c>
      <c r="E847">
        <f>MINUTE(D847)</f>
        <v>5</v>
      </c>
      <c r="F847">
        <f>SECOND(D847)</f>
        <v>8</v>
      </c>
      <c r="G847">
        <f>ROUND(E847+F847/60,2)</f>
        <v>5.13</v>
      </c>
      <c r="H847">
        <f>60*E847+F847</f>
        <v>308</v>
      </c>
      <c r="I847" s="3">
        <f>5*(3600/H847)</f>
        <v>58.441558441558442</v>
      </c>
    </row>
    <row r="848" spans="1:9" x14ac:dyDescent="0.25">
      <c r="A848" s="4" t="s">
        <v>109</v>
      </c>
      <c r="B848" s="1">
        <v>0.12549399999999999</v>
      </c>
      <c r="C848" s="1">
        <v>0.121934</v>
      </c>
      <c r="D848" s="1">
        <f>IF(B848&gt;C848,B848-C848,C848-B848)</f>
        <v>3.5599999999999937E-3</v>
      </c>
      <c r="E848">
        <f>MINUTE(D848)</f>
        <v>5</v>
      </c>
      <c r="F848">
        <f>SECOND(D848)</f>
        <v>8</v>
      </c>
      <c r="G848">
        <f>ROUND(E848+F848/60,2)</f>
        <v>5.13</v>
      </c>
      <c r="H848">
        <f>60*E848+F848</f>
        <v>308</v>
      </c>
      <c r="I848" s="3">
        <f>5*(3600/H848)</f>
        <v>58.441558441558442</v>
      </c>
    </row>
    <row r="849" spans="1:9" x14ac:dyDescent="0.25">
      <c r="A849" s="4" t="s">
        <v>40</v>
      </c>
      <c r="B849" s="1">
        <v>4.8376000000000002E-2</v>
      </c>
      <c r="C849" s="1">
        <v>4.4811999999999998E-2</v>
      </c>
      <c r="D849" s="1">
        <f>IF(B849&gt;C849,B849-C849,C849-B849)</f>
        <v>3.5640000000000047E-3</v>
      </c>
      <c r="E849">
        <f>MINUTE(D849)</f>
        <v>5</v>
      </c>
      <c r="F849">
        <f>SECOND(D849)</f>
        <v>8</v>
      </c>
      <c r="G849">
        <f>ROUND(E849+F849/60,2)</f>
        <v>5.13</v>
      </c>
      <c r="H849">
        <f>60*E849+F849</f>
        <v>308</v>
      </c>
      <c r="I849" s="3">
        <f>5*(3600/H849)</f>
        <v>58.441558441558442</v>
      </c>
    </row>
    <row r="850" spans="1:9" x14ac:dyDescent="0.25">
      <c r="A850" s="4" t="s">
        <v>186</v>
      </c>
      <c r="B850" s="1">
        <v>0.53231499999999998</v>
      </c>
      <c r="C850" s="1">
        <v>0.52875499999999998</v>
      </c>
      <c r="D850" s="1">
        <f>IF(B850&gt;C850,B850-C850,C850-B850)</f>
        <v>3.5600000000000076E-3</v>
      </c>
      <c r="E850">
        <f>MINUTE(D850)</f>
        <v>5</v>
      </c>
      <c r="F850">
        <f>SECOND(D850)</f>
        <v>8</v>
      </c>
      <c r="G850">
        <f>ROUND(E850+F850/60,2)</f>
        <v>5.13</v>
      </c>
      <c r="H850">
        <f>60*E850+F850</f>
        <v>308</v>
      </c>
      <c r="I850" s="3">
        <f>5*(3600/H850)</f>
        <v>58.441558441558442</v>
      </c>
    </row>
    <row r="851" spans="1:9" x14ac:dyDescent="0.25">
      <c r="A851" s="4" t="s">
        <v>225</v>
      </c>
      <c r="B851" s="1">
        <v>0.13014400000000001</v>
      </c>
      <c r="C851" s="1">
        <v>0.133712</v>
      </c>
      <c r="D851" s="1">
        <f>IF(B851&gt;C851,B851-C851,C851-B851)</f>
        <v>3.5679999999999878E-3</v>
      </c>
      <c r="E851">
        <f>MINUTE(D851)</f>
        <v>5</v>
      </c>
      <c r="F851">
        <f>SECOND(D851)</f>
        <v>8</v>
      </c>
      <c r="G851">
        <f>ROUND(E851+F851/60,2)</f>
        <v>5.13</v>
      </c>
      <c r="H851">
        <f>60*E851+F851</f>
        <v>308</v>
      </c>
      <c r="I851" s="3">
        <f>5*(3600/H851)</f>
        <v>58.441558441558442</v>
      </c>
    </row>
    <row r="852" spans="1:9" x14ac:dyDescent="0.25">
      <c r="A852" s="4" t="s">
        <v>68</v>
      </c>
      <c r="B852" s="1">
        <v>0.52852399999999999</v>
      </c>
      <c r="C852" s="1">
        <v>0.52494399999999997</v>
      </c>
      <c r="D852" s="1">
        <f>IF(B852&gt;C852,B852-C852,C852-B852)</f>
        <v>3.5800000000000276E-3</v>
      </c>
      <c r="E852">
        <f>MINUTE(D852)</f>
        <v>5</v>
      </c>
      <c r="F852">
        <f>SECOND(D852)</f>
        <v>9</v>
      </c>
      <c r="G852">
        <f>ROUND(E852+F852/60,2)</f>
        <v>5.15</v>
      </c>
      <c r="H852">
        <f>60*E852+F852</f>
        <v>309</v>
      </c>
      <c r="I852" s="3">
        <f>5*(3600/H852)</f>
        <v>58.252427184466022</v>
      </c>
    </row>
    <row r="853" spans="1:9" x14ac:dyDescent="0.25">
      <c r="A853" s="4" t="s">
        <v>69</v>
      </c>
      <c r="B853" s="1">
        <v>0.52150200000000002</v>
      </c>
      <c r="C853" s="1">
        <v>0.517926</v>
      </c>
      <c r="D853" s="1">
        <f>IF(B853&gt;C853,B853-C853,C853-B853)</f>
        <v>3.5760000000000236E-3</v>
      </c>
      <c r="E853">
        <f>MINUTE(D853)</f>
        <v>5</v>
      </c>
      <c r="F853">
        <f>SECOND(D853)</f>
        <v>9</v>
      </c>
      <c r="G853">
        <f>ROUND(E853+F853/60,2)</f>
        <v>5.15</v>
      </c>
      <c r="H853">
        <f>60*E853+F853</f>
        <v>309</v>
      </c>
      <c r="I853" s="3">
        <f>5*(3600/H853)</f>
        <v>58.252427184466022</v>
      </c>
    </row>
    <row r="854" spans="1:9" x14ac:dyDescent="0.25">
      <c r="A854" s="4" t="s">
        <v>5</v>
      </c>
      <c r="B854" s="1">
        <v>0.13581199999999999</v>
      </c>
      <c r="C854" s="1">
        <v>0.13939199999999999</v>
      </c>
      <c r="D854" s="1">
        <f>IF(B854&gt;C854,B854-C854,C854-B854)</f>
        <v>3.5799999999999998E-3</v>
      </c>
      <c r="E854">
        <f>MINUTE(D854)</f>
        <v>5</v>
      </c>
      <c r="F854">
        <f>SECOND(D854)</f>
        <v>9</v>
      </c>
      <c r="G854">
        <f>ROUND(E854+F854/60,2)</f>
        <v>5.15</v>
      </c>
      <c r="H854">
        <f>60*E854+F854</f>
        <v>309</v>
      </c>
      <c r="I854" s="3">
        <f>5*(3600/H854)</f>
        <v>58.252427184466022</v>
      </c>
    </row>
    <row r="855" spans="1:9" x14ac:dyDescent="0.25">
      <c r="A855" s="4" t="s">
        <v>136</v>
      </c>
      <c r="B855" s="1">
        <v>0.68890700000000005</v>
      </c>
      <c r="C855" s="1">
        <v>0.69249099999999997</v>
      </c>
      <c r="D855" s="1">
        <f>IF(B855&gt;C855,B855-C855,C855-B855)</f>
        <v>3.5839999999999206E-3</v>
      </c>
      <c r="E855">
        <f>MINUTE(D855)</f>
        <v>5</v>
      </c>
      <c r="F855">
        <f>SECOND(D855)</f>
        <v>10</v>
      </c>
      <c r="G855">
        <f>ROUND(E855+F855/60,2)</f>
        <v>5.17</v>
      </c>
      <c r="H855">
        <f>60*E855+F855</f>
        <v>310</v>
      </c>
      <c r="I855" s="3">
        <f>5*(3600/H855)</f>
        <v>58.064516129032256</v>
      </c>
    </row>
    <row r="856" spans="1:9" x14ac:dyDescent="0.25">
      <c r="A856" s="4" t="s">
        <v>60</v>
      </c>
      <c r="B856" s="1">
        <v>0.715557</v>
      </c>
      <c r="C856" s="1">
        <v>0.71916100000000005</v>
      </c>
      <c r="D856" s="1">
        <f>IF(B856&gt;C856,B856-C856,C856-B856)</f>
        <v>3.6040000000000516E-3</v>
      </c>
      <c r="E856">
        <f>MINUTE(D856)</f>
        <v>5</v>
      </c>
      <c r="F856">
        <f>SECOND(D856)</f>
        <v>11</v>
      </c>
      <c r="G856">
        <f>ROUND(E856+F856/60,2)</f>
        <v>5.18</v>
      </c>
      <c r="H856">
        <f>60*E856+F856</f>
        <v>311</v>
      </c>
      <c r="I856" s="3">
        <f>5*(3600/H856)</f>
        <v>57.877813504823152</v>
      </c>
    </row>
    <row r="857" spans="1:9" x14ac:dyDescent="0.25">
      <c r="A857" s="4" t="s">
        <v>18</v>
      </c>
      <c r="B857" s="1">
        <v>0.62996300000000005</v>
      </c>
      <c r="C857" s="1">
        <v>0.62636700000000001</v>
      </c>
      <c r="D857" s="1">
        <f>IF(B857&gt;C857,B857-C857,C857-B857)</f>
        <v>3.5960000000000436E-3</v>
      </c>
      <c r="E857">
        <f>MINUTE(D857)</f>
        <v>5</v>
      </c>
      <c r="F857">
        <f>SECOND(D857)</f>
        <v>11</v>
      </c>
      <c r="G857">
        <f>ROUND(E857+F857/60,2)</f>
        <v>5.18</v>
      </c>
      <c r="H857">
        <f>60*E857+F857</f>
        <v>311</v>
      </c>
      <c r="I857" s="3">
        <f>5*(3600/H857)</f>
        <v>57.877813504823152</v>
      </c>
    </row>
    <row r="858" spans="1:9" x14ac:dyDescent="0.25">
      <c r="A858" s="4" t="s">
        <v>113</v>
      </c>
      <c r="B858" s="1">
        <v>0.93603599999999998</v>
      </c>
      <c r="C858" s="1">
        <v>0.93963600000000003</v>
      </c>
      <c r="D858" s="1">
        <f>IF(B858&gt;C858,B858-C858,C858-B858)</f>
        <v>3.6000000000000476E-3</v>
      </c>
      <c r="E858">
        <f>MINUTE(D858)</f>
        <v>5</v>
      </c>
      <c r="F858">
        <f>SECOND(D858)</f>
        <v>11</v>
      </c>
      <c r="G858">
        <f>ROUND(E858+F858/60,2)</f>
        <v>5.18</v>
      </c>
      <c r="H858">
        <f>60*E858+F858</f>
        <v>311</v>
      </c>
      <c r="I858" s="3">
        <f>5*(3600/H858)</f>
        <v>57.877813504823152</v>
      </c>
    </row>
    <row r="859" spans="1:9" x14ac:dyDescent="0.25">
      <c r="A859" s="4" t="s">
        <v>219</v>
      </c>
      <c r="B859" s="1">
        <v>0.51214999999999999</v>
      </c>
      <c r="C859" s="1">
        <v>0.50854600000000005</v>
      </c>
      <c r="D859" s="1">
        <f>IF(B859&gt;C859,B859-C859,C859-B859)</f>
        <v>3.6039999999999406E-3</v>
      </c>
      <c r="E859">
        <f>MINUTE(D859)</f>
        <v>5</v>
      </c>
      <c r="F859">
        <f>SECOND(D859)</f>
        <v>11</v>
      </c>
      <c r="G859">
        <f>ROUND(E859+F859/60,2)</f>
        <v>5.18</v>
      </c>
      <c r="H859">
        <f>60*E859+F859</f>
        <v>311</v>
      </c>
      <c r="I859" s="3">
        <f>5*(3600/H859)</f>
        <v>57.877813504823152</v>
      </c>
    </row>
    <row r="860" spans="1:9" x14ac:dyDescent="0.25">
      <c r="A860" s="4" t="s">
        <v>14</v>
      </c>
      <c r="B860" s="1">
        <v>0.24673800000000001</v>
      </c>
      <c r="C860" s="1">
        <v>0.24312600000000001</v>
      </c>
      <c r="D860" s="1">
        <f>IF(B860&gt;C860,B860-C860,C860-B860)</f>
        <v>3.6120000000000041E-3</v>
      </c>
      <c r="E860">
        <f>MINUTE(D860)</f>
        <v>5</v>
      </c>
      <c r="F860">
        <f>SECOND(D860)</f>
        <v>12</v>
      </c>
      <c r="G860">
        <f>ROUND(E860+F860/60,2)</f>
        <v>5.2</v>
      </c>
      <c r="H860">
        <f>60*E860+F860</f>
        <v>312</v>
      </c>
      <c r="I860" s="3">
        <f>5*(3600/H860)</f>
        <v>57.692307692307693</v>
      </c>
    </row>
    <row r="861" spans="1:9" x14ac:dyDescent="0.25">
      <c r="A861" s="4" t="s">
        <v>98</v>
      </c>
      <c r="B861" s="1">
        <v>0.456841</v>
      </c>
      <c r="C861" s="1">
        <v>0.45322499999999999</v>
      </c>
      <c r="D861" s="1">
        <f>IF(B861&gt;C861,B861-C861,C861-B861)</f>
        <v>3.6160000000000081E-3</v>
      </c>
      <c r="E861">
        <f>MINUTE(D861)</f>
        <v>5</v>
      </c>
      <c r="F861">
        <f>SECOND(D861)</f>
        <v>12</v>
      </c>
      <c r="G861">
        <f>ROUND(E861+F861/60,2)</f>
        <v>5.2</v>
      </c>
      <c r="H861">
        <f>60*E861+F861</f>
        <v>312</v>
      </c>
      <c r="I861" s="3">
        <f>5*(3600/H861)</f>
        <v>57.692307692307693</v>
      </c>
    </row>
    <row r="862" spans="1:9" x14ac:dyDescent="0.25">
      <c r="A862" s="4" t="s">
        <v>364</v>
      </c>
      <c r="B862" s="1">
        <v>0.96552199999999999</v>
      </c>
      <c r="C862" s="1">
        <v>0.96191400000000005</v>
      </c>
      <c r="D862" s="1">
        <f>IF(B862&gt;C862,B862-C862,C862-B862)</f>
        <v>3.6079999999999446E-3</v>
      </c>
      <c r="E862">
        <f>MINUTE(D862)</f>
        <v>5</v>
      </c>
      <c r="F862">
        <f>SECOND(D862)</f>
        <v>12</v>
      </c>
      <c r="G862">
        <f>ROUND(E862+F862/60,2)</f>
        <v>5.2</v>
      </c>
      <c r="H862">
        <f>60*E862+F862</f>
        <v>312</v>
      </c>
      <c r="I862" s="3">
        <f>5*(3600/H862)</f>
        <v>57.692307692307693</v>
      </c>
    </row>
    <row r="863" spans="1:9" x14ac:dyDescent="0.25">
      <c r="A863" s="4" t="s">
        <v>123</v>
      </c>
      <c r="B863" s="1">
        <v>0.97869200000000001</v>
      </c>
      <c r="C863" s="1">
        <v>0.97506400000000004</v>
      </c>
      <c r="D863" s="1">
        <f>IF(B863&gt;C863,B863-C863,C863-B863)</f>
        <v>3.6279999999999646E-3</v>
      </c>
      <c r="E863">
        <f>MINUTE(D863)</f>
        <v>5</v>
      </c>
      <c r="F863">
        <f>SECOND(D863)</f>
        <v>13</v>
      </c>
      <c r="G863">
        <f>ROUND(E863+F863/60,2)</f>
        <v>5.22</v>
      </c>
      <c r="H863">
        <f>60*E863+F863</f>
        <v>313</v>
      </c>
      <c r="I863" s="3">
        <f>5*(3600/H863)</f>
        <v>57.507987220447284</v>
      </c>
    </row>
    <row r="864" spans="1:9" x14ac:dyDescent="0.25">
      <c r="A864" s="4" t="s">
        <v>155</v>
      </c>
      <c r="B864" s="1">
        <v>0.113997</v>
      </c>
      <c r="C864" s="1">
        <v>0.117621</v>
      </c>
      <c r="D864" s="1">
        <f>IF(B864&gt;C864,B864-C864,C864-B864)</f>
        <v>3.6240000000000022E-3</v>
      </c>
      <c r="E864">
        <f>MINUTE(D864)</f>
        <v>5</v>
      </c>
      <c r="F864">
        <f>SECOND(D864)</f>
        <v>13</v>
      </c>
      <c r="G864">
        <f>ROUND(E864+F864/60,2)</f>
        <v>5.22</v>
      </c>
      <c r="H864">
        <f>60*E864+F864</f>
        <v>313</v>
      </c>
      <c r="I864" s="3">
        <f>5*(3600/H864)</f>
        <v>57.507987220447284</v>
      </c>
    </row>
    <row r="865" spans="1:9" x14ac:dyDescent="0.25">
      <c r="A865" s="4" t="s">
        <v>18</v>
      </c>
      <c r="B865" s="1">
        <v>1.0023960000000001</v>
      </c>
      <c r="C865" s="1">
        <v>0.99877199999999999</v>
      </c>
      <c r="D865" s="1">
        <f>IF(B865&gt;C865,B865-C865,C865-B865)</f>
        <v>3.6240000000000716E-3</v>
      </c>
      <c r="E865">
        <f>MINUTE(D865)</f>
        <v>5</v>
      </c>
      <c r="F865">
        <f>SECOND(D865)</f>
        <v>13</v>
      </c>
      <c r="G865">
        <f>ROUND(E865+F865/60,2)</f>
        <v>5.22</v>
      </c>
      <c r="H865">
        <f>60*E865+F865</f>
        <v>313</v>
      </c>
      <c r="I865" s="3">
        <f>5*(3600/H865)</f>
        <v>57.507987220447284</v>
      </c>
    </row>
    <row r="866" spans="1:9" x14ac:dyDescent="0.25">
      <c r="A866" s="4" t="s">
        <v>99</v>
      </c>
      <c r="B866" s="1">
        <v>9.5533999999999994E-2</v>
      </c>
      <c r="C866" s="1">
        <v>9.1910000000000006E-2</v>
      </c>
      <c r="D866" s="1">
        <f>IF(B866&gt;C866,B866-C866,C866-B866)</f>
        <v>3.6239999999999883E-3</v>
      </c>
      <c r="E866">
        <f>MINUTE(D866)</f>
        <v>5</v>
      </c>
      <c r="F866">
        <f>SECOND(D866)</f>
        <v>13</v>
      </c>
      <c r="G866">
        <f>ROUND(E866+F866/60,2)</f>
        <v>5.22</v>
      </c>
      <c r="H866">
        <f>60*E866+F866</f>
        <v>313</v>
      </c>
      <c r="I866" s="3">
        <f>5*(3600/H866)</f>
        <v>57.507987220447284</v>
      </c>
    </row>
    <row r="867" spans="1:9" x14ac:dyDescent="0.25">
      <c r="A867" s="4" t="s">
        <v>113</v>
      </c>
      <c r="B867" s="1">
        <v>0.16992399999999999</v>
      </c>
      <c r="C867" s="1">
        <v>0.166296</v>
      </c>
      <c r="D867" s="1">
        <f>IF(B867&gt;C867,B867-C867,C867-B867)</f>
        <v>3.6279999999999923E-3</v>
      </c>
      <c r="E867">
        <f>MINUTE(D867)</f>
        <v>5</v>
      </c>
      <c r="F867">
        <f>SECOND(D867)</f>
        <v>13</v>
      </c>
      <c r="G867">
        <f>ROUND(E867+F867/60,2)</f>
        <v>5.22</v>
      </c>
      <c r="H867">
        <f>60*E867+F867</f>
        <v>313</v>
      </c>
      <c r="I867" s="3">
        <f>5*(3600/H867)</f>
        <v>57.507987220447284</v>
      </c>
    </row>
    <row r="868" spans="1:9" x14ac:dyDescent="0.25">
      <c r="A868" s="8" t="s">
        <v>180</v>
      </c>
      <c r="B868" s="1">
        <v>0.14814099999999999</v>
      </c>
      <c r="C868" s="1">
        <v>0.14450499999999999</v>
      </c>
      <c r="D868" s="1">
        <f>IF(B868&gt;C868,B868-C868,C868-B868)</f>
        <v>3.6360000000000003E-3</v>
      </c>
      <c r="E868">
        <f>MINUTE(D868)</f>
        <v>5</v>
      </c>
      <c r="F868">
        <f>SECOND(D868)</f>
        <v>14</v>
      </c>
      <c r="G868">
        <f>ROUND(E868+F868/60,2)</f>
        <v>5.23</v>
      </c>
      <c r="H868">
        <f>60*E868+F868</f>
        <v>314</v>
      </c>
      <c r="I868" s="10">
        <f>5*(3600/H868)</f>
        <v>57.324840764331206</v>
      </c>
    </row>
    <row r="869" spans="1:9" x14ac:dyDescent="0.25">
      <c r="A869" s="4" t="s">
        <v>387</v>
      </c>
      <c r="B869" s="1">
        <v>0.59238800000000003</v>
      </c>
      <c r="C869" s="1">
        <v>0.58874800000000005</v>
      </c>
      <c r="D869" s="1">
        <f>IF(B869&gt;C869,B869-C869,C869-B869)</f>
        <v>3.6399999999999766E-3</v>
      </c>
      <c r="E869">
        <f>MINUTE(D869)</f>
        <v>5</v>
      </c>
      <c r="F869">
        <f>SECOND(D869)</f>
        <v>14</v>
      </c>
      <c r="G869">
        <f>ROUND(E869+F869/60,2)</f>
        <v>5.23</v>
      </c>
      <c r="H869">
        <f>60*E869+F869</f>
        <v>314</v>
      </c>
      <c r="I869" s="3">
        <f>5*(3600/H869)</f>
        <v>57.324840764331206</v>
      </c>
    </row>
    <row r="870" spans="1:9" x14ac:dyDescent="0.25">
      <c r="A870" s="4" t="s">
        <v>84</v>
      </c>
      <c r="B870" s="1">
        <v>0.23138</v>
      </c>
      <c r="C870" s="1">
        <v>0.23502799999999999</v>
      </c>
      <c r="D870" s="1">
        <f>IF(B870&gt;C870,B870-C870,C870-B870)</f>
        <v>3.6479999999999846E-3</v>
      </c>
      <c r="E870">
        <f>MINUTE(D870)</f>
        <v>5</v>
      </c>
      <c r="F870">
        <f>SECOND(D870)</f>
        <v>15</v>
      </c>
      <c r="G870">
        <f>ROUND(E870+F870/60,2)</f>
        <v>5.25</v>
      </c>
      <c r="H870">
        <f>60*E870+F870</f>
        <v>315</v>
      </c>
      <c r="I870" s="3">
        <f>5*(3600/H870)</f>
        <v>57.142857142857146</v>
      </c>
    </row>
    <row r="871" spans="1:9" x14ac:dyDescent="0.25">
      <c r="A871" s="4" t="s">
        <v>49</v>
      </c>
      <c r="B871" s="1">
        <v>0.52166900000000005</v>
      </c>
      <c r="C871" s="1">
        <v>0.52531700000000003</v>
      </c>
      <c r="D871" s="1">
        <f>IF(B871&gt;C871,B871-C871,C871-B871)</f>
        <v>3.6479999999999846E-3</v>
      </c>
      <c r="E871">
        <f>MINUTE(D871)</f>
        <v>5</v>
      </c>
      <c r="F871">
        <f>SECOND(D871)</f>
        <v>15</v>
      </c>
      <c r="G871">
        <f>ROUND(E871+F871/60,2)</f>
        <v>5.25</v>
      </c>
      <c r="H871">
        <f>60*E871+F871</f>
        <v>315</v>
      </c>
      <c r="I871" s="3">
        <f>5*(3600/H871)</f>
        <v>57.142857142857146</v>
      </c>
    </row>
    <row r="872" spans="1:9" x14ac:dyDescent="0.25">
      <c r="A872" s="4" t="s">
        <v>41</v>
      </c>
      <c r="B872" s="1">
        <v>0.33540799999999998</v>
      </c>
      <c r="C872" s="1">
        <v>0.33905200000000002</v>
      </c>
      <c r="D872" s="1">
        <f>IF(B872&gt;C872,B872-C872,C872-B872)</f>
        <v>3.6440000000000361E-3</v>
      </c>
      <c r="E872">
        <f>MINUTE(D872)</f>
        <v>5</v>
      </c>
      <c r="F872">
        <f>SECOND(D872)</f>
        <v>15</v>
      </c>
      <c r="G872">
        <f>ROUND(E872+F872/60,2)</f>
        <v>5.25</v>
      </c>
      <c r="H872">
        <f>60*E872+F872</f>
        <v>315</v>
      </c>
      <c r="I872" s="3">
        <f>5*(3600/H872)</f>
        <v>57.142857142857146</v>
      </c>
    </row>
    <row r="873" spans="1:9" x14ac:dyDescent="0.25">
      <c r="A873" s="4" t="s">
        <v>117</v>
      </c>
      <c r="B873" s="1">
        <v>0.54806999999999995</v>
      </c>
      <c r="C873" s="1">
        <v>0.54442199999999996</v>
      </c>
      <c r="D873" s="1">
        <f>IF(B873&gt;C873,B873-C873,C873-B873)</f>
        <v>3.6479999999999846E-3</v>
      </c>
      <c r="E873">
        <f>MINUTE(D873)</f>
        <v>5</v>
      </c>
      <c r="F873">
        <f>SECOND(D873)</f>
        <v>15</v>
      </c>
      <c r="G873">
        <f>ROUND(E873+F873/60,2)</f>
        <v>5.25</v>
      </c>
      <c r="H873">
        <f>60*E873+F873</f>
        <v>315</v>
      </c>
      <c r="I873" s="3">
        <f>5*(3600/H873)</f>
        <v>57.142857142857146</v>
      </c>
    </row>
    <row r="874" spans="1:9" x14ac:dyDescent="0.25">
      <c r="A874" s="4" t="s">
        <v>46</v>
      </c>
      <c r="B874" s="1">
        <v>0.193527</v>
      </c>
      <c r="C874" s="1">
        <v>0.18987100000000001</v>
      </c>
      <c r="D874" s="1">
        <f>IF(B874&gt;C874,B874-C874,C874-B874)</f>
        <v>3.6559999999999926E-3</v>
      </c>
      <c r="E874">
        <f>MINUTE(D874)</f>
        <v>5</v>
      </c>
      <c r="F874">
        <f>SECOND(D874)</f>
        <v>16</v>
      </c>
      <c r="G874">
        <f>ROUND(E874+F874/60,2)</f>
        <v>5.27</v>
      </c>
      <c r="H874">
        <f>60*E874+F874</f>
        <v>316</v>
      </c>
      <c r="I874" s="3">
        <f>5*(3600/H874)</f>
        <v>56.962025316455694</v>
      </c>
    </row>
    <row r="875" spans="1:9" x14ac:dyDescent="0.25">
      <c r="A875" s="4" t="s">
        <v>109</v>
      </c>
      <c r="B875" s="1">
        <v>0.68685200000000002</v>
      </c>
      <c r="C875" s="1">
        <v>0.69050400000000001</v>
      </c>
      <c r="D875" s="1">
        <f>IF(B875&gt;C875,B875-C875,C875-B875)</f>
        <v>3.6519999999999886E-3</v>
      </c>
      <c r="E875">
        <f>MINUTE(D875)</f>
        <v>5</v>
      </c>
      <c r="F875">
        <f>SECOND(D875)</f>
        <v>16</v>
      </c>
      <c r="G875">
        <f>ROUND(E875+F875/60,2)</f>
        <v>5.27</v>
      </c>
      <c r="H875">
        <f>60*E875+F875</f>
        <v>316</v>
      </c>
      <c r="I875" s="3">
        <f>5*(3600/H875)</f>
        <v>56.962025316455694</v>
      </c>
    </row>
    <row r="876" spans="1:9" x14ac:dyDescent="0.25">
      <c r="A876" s="4" t="s">
        <v>41</v>
      </c>
      <c r="B876" s="1">
        <v>0.86237600000000003</v>
      </c>
      <c r="C876" s="1">
        <v>0.86603200000000002</v>
      </c>
      <c r="D876" s="1">
        <f>IF(B876&gt;C876,B876-C876,C876-B876)</f>
        <v>3.6559999999999926E-3</v>
      </c>
      <c r="E876">
        <f>MINUTE(D876)</f>
        <v>5</v>
      </c>
      <c r="F876">
        <f>SECOND(D876)</f>
        <v>16</v>
      </c>
      <c r="G876">
        <f>ROUND(E876+F876/60,2)</f>
        <v>5.27</v>
      </c>
      <c r="H876">
        <f>60*E876+F876</f>
        <v>316</v>
      </c>
      <c r="I876" s="3">
        <f>5*(3600/H876)</f>
        <v>56.962025316455694</v>
      </c>
    </row>
    <row r="877" spans="1:9" x14ac:dyDescent="0.25">
      <c r="A877" s="4" t="s">
        <v>24</v>
      </c>
      <c r="B877" s="1">
        <v>0.355049</v>
      </c>
      <c r="C877" s="1">
        <v>0.358705</v>
      </c>
      <c r="D877" s="1">
        <f>IF(B877&gt;C877,B877-C877,C877-B877)</f>
        <v>3.6559999999999926E-3</v>
      </c>
      <c r="E877">
        <f>MINUTE(D877)</f>
        <v>5</v>
      </c>
      <c r="F877">
        <f>SECOND(D877)</f>
        <v>16</v>
      </c>
      <c r="G877">
        <f>ROUND(E877+F877/60,2)</f>
        <v>5.27</v>
      </c>
      <c r="H877">
        <f>60*E877+F877</f>
        <v>316</v>
      </c>
      <c r="I877" s="3">
        <f>5*(3600/H877)</f>
        <v>56.962025316455694</v>
      </c>
    </row>
    <row r="878" spans="1:9" x14ac:dyDescent="0.25">
      <c r="A878" s="4" t="s">
        <v>45</v>
      </c>
      <c r="B878" s="1">
        <v>0.26977200000000001</v>
      </c>
      <c r="C878" s="1">
        <v>0.2661</v>
      </c>
      <c r="D878" s="1">
        <f>IF(B878&gt;C878,B878-C878,C878-B878)</f>
        <v>3.6720000000000086E-3</v>
      </c>
      <c r="E878">
        <f>MINUTE(D878)</f>
        <v>5</v>
      </c>
      <c r="F878">
        <f>SECOND(D878)</f>
        <v>17</v>
      </c>
      <c r="G878">
        <f>ROUND(E878+F878/60,2)</f>
        <v>5.28</v>
      </c>
      <c r="H878">
        <f>60*E878+F878</f>
        <v>317</v>
      </c>
      <c r="I878" s="3">
        <f>5*(3600/H878)</f>
        <v>56.782334384858046</v>
      </c>
    </row>
    <row r="879" spans="1:9" x14ac:dyDescent="0.25">
      <c r="A879" s="4" t="s">
        <v>12</v>
      </c>
      <c r="B879" s="1">
        <v>0.17019400000000001</v>
      </c>
      <c r="C879" s="1">
        <v>0.17386599999999999</v>
      </c>
      <c r="D879" s="1">
        <f>IF(B879&gt;C879,B879-C879,C879-B879)</f>
        <v>3.6719999999999808E-3</v>
      </c>
      <c r="E879">
        <f>MINUTE(D879)</f>
        <v>5</v>
      </c>
      <c r="F879">
        <f>SECOND(D879)</f>
        <v>17</v>
      </c>
      <c r="G879">
        <f>ROUND(E879+F879/60,2)</f>
        <v>5.28</v>
      </c>
      <c r="H879">
        <f>60*E879+F879</f>
        <v>317</v>
      </c>
      <c r="I879" s="3">
        <f>5*(3600/H879)</f>
        <v>56.782334384858046</v>
      </c>
    </row>
    <row r="880" spans="1:9" x14ac:dyDescent="0.25">
      <c r="A880" s="4" t="s">
        <v>91</v>
      </c>
      <c r="B880" s="1">
        <v>0.97138999999999998</v>
      </c>
      <c r="C880" s="1">
        <v>0.97505799999999998</v>
      </c>
      <c r="D880" s="1">
        <f>IF(B880&gt;C880,B880-C880,C880-B880)</f>
        <v>3.6680000000000046E-3</v>
      </c>
      <c r="E880">
        <f>MINUTE(D880)</f>
        <v>5</v>
      </c>
      <c r="F880">
        <f>SECOND(D880)</f>
        <v>17</v>
      </c>
      <c r="G880">
        <f>ROUND(E880+F880/60,2)</f>
        <v>5.28</v>
      </c>
      <c r="H880">
        <f>60*E880+F880</f>
        <v>317</v>
      </c>
      <c r="I880" s="3">
        <f>5*(3600/H880)</f>
        <v>56.782334384858046</v>
      </c>
    </row>
    <row r="881" spans="1:9" x14ac:dyDescent="0.25">
      <c r="A881" s="4" t="s">
        <v>249</v>
      </c>
      <c r="B881" s="1">
        <v>0.261075</v>
      </c>
      <c r="C881" s="1">
        <v>0.257411</v>
      </c>
      <c r="D881" s="1">
        <f>IF(B881&gt;C881,B881-C881,C881-B881)</f>
        <v>3.6640000000000006E-3</v>
      </c>
      <c r="E881">
        <f>MINUTE(D881)</f>
        <v>5</v>
      </c>
      <c r="F881">
        <f>SECOND(D881)</f>
        <v>17</v>
      </c>
      <c r="G881">
        <f>ROUND(E881+F881/60,2)</f>
        <v>5.28</v>
      </c>
      <c r="H881">
        <f>60*E881+F881</f>
        <v>317</v>
      </c>
      <c r="I881" s="3">
        <f>5*(3600/H881)</f>
        <v>56.782334384858046</v>
      </c>
    </row>
    <row r="882" spans="1:9" x14ac:dyDescent="0.25">
      <c r="A882" s="4" t="s">
        <v>279</v>
      </c>
      <c r="B882" s="1">
        <v>0.20541999999999999</v>
      </c>
      <c r="C882" s="1">
        <v>0.20174800000000001</v>
      </c>
      <c r="D882" s="1">
        <f>IF(B882&gt;C882,B882-C882,C882-B882)</f>
        <v>3.6719999999999808E-3</v>
      </c>
      <c r="E882">
        <f>MINUTE(D882)</f>
        <v>5</v>
      </c>
      <c r="F882">
        <f>SECOND(D882)</f>
        <v>17</v>
      </c>
      <c r="G882">
        <f>ROUND(E882+F882/60,2)</f>
        <v>5.28</v>
      </c>
      <c r="H882">
        <f>60*E882+F882</f>
        <v>317</v>
      </c>
      <c r="I882" s="3">
        <f>5*(3600/H882)</f>
        <v>56.782334384858046</v>
      </c>
    </row>
    <row r="883" spans="1:9" x14ac:dyDescent="0.25">
      <c r="A883" s="4" t="s">
        <v>284</v>
      </c>
      <c r="B883" s="1">
        <v>0.466858</v>
      </c>
      <c r="C883" s="1">
        <v>0.47053</v>
      </c>
      <c r="D883" s="1">
        <f>IF(B883&gt;C883,B883-C883,C883-B883)</f>
        <v>3.6720000000000086E-3</v>
      </c>
      <c r="E883">
        <f>MINUTE(D883)</f>
        <v>5</v>
      </c>
      <c r="F883">
        <f>SECOND(D883)</f>
        <v>17</v>
      </c>
      <c r="G883">
        <f>ROUND(E883+F883/60,2)</f>
        <v>5.28</v>
      </c>
      <c r="H883">
        <f>60*E883+F883</f>
        <v>317</v>
      </c>
      <c r="I883" s="3">
        <f>5*(3600/H883)</f>
        <v>56.782334384858046</v>
      </c>
    </row>
    <row r="884" spans="1:9" x14ac:dyDescent="0.25">
      <c r="A884" s="4" t="s">
        <v>117</v>
      </c>
      <c r="B884" s="1">
        <v>0.91855399999999998</v>
      </c>
      <c r="C884" s="1">
        <v>0.92222999999999999</v>
      </c>
      <c r="D884" s="1">
        <f>IF(B884&gt;C884,B884-C884,C884-B884)</f>
        <v>3.6760000000000126E-3</v>
      </c>
      <c r="E884">
        <f>MINUTE(D884)</f>
        <v>5</v>
      </c>
      <c r="F884">
        <f>SECOND(D884)</f>
        <v>18</v>
      </c>
      <c r="G884">
        <f>ROUND(E884+F884/60,2)</f>
        <v>5.3</v>
      </c>
      <c r="H884">
        <f>60*E884+F884</f>
        <v>318</v>
      </c>
      <c r="I884" s="3">
        <f>5*(3600/H884)</f>
        <v>56.603773584905653</v>
      </c>
    </row>
    <row r="885" spans="1:9" x14ac:dyDescent="0.25">
      <c r="A885" s="4" t="s">
        <v>397</v>
      </c>
      <c r="B885" s="1">
        <v>0.62391700000000005</v>
      </c>
      <c r="C885" s="1">
        <v>0.62759699999999996</v>
      </c>
      <c r="D885" s="1">
        <f>IF(B885&gt;C885,B885-C885,C885-B885)</f>
        <v>3.6799999999999056E-3</v>
      </c>
      <c r="E885">
        <f>MINUTE(D885)</f>
        <v>5</v>
      </c>
      <c r="F885">
        <f>SECOND(D885)</f>
        <v>18</v>
      </c>
      <c r="G885">
        <f>ROUND(E885+F885/60,2)</f>
        <v>5.3</v>
      </c>
      <c r="H885">
        <f>60*E885+F885</f>
        <v>318</v>
      </c>
      <c r="I885" s="3">
        <f>5*(3600/H885)</f>
        <v>56.603773584905653</v>
      </c>
    </row>
    <row r="886" spans="1:9" x14ac:dyDescent="0.25">
      <c r="A886" s="4" t="s">
        <v>64</v>
      </c>
      <c r="B886" s="1">
        <v>0.184341</v>
      </c>
      <c r="C886" s="1">
        <v>0.18803700000000001</v>
      </c>
      <c r="D886" s="1">
        <f>IF(B886&gt;C886,B886-C886,C886-B886)</f>
        <v>3.6960000000000048E-3</v>
      </c>
      <c r="E886">
        <f>MINUTE(D886)</f>
        <v>5</v>
      </c>
      <c r="F886">
        <f>SECOND(D886)</f>
        <v>19</v>
      </c>
      <c r="G886">
        <f>ROUND(E886+F886/60,2)</f>
        <v>5.32</v>
      </c>
      <c r="H886">
        <f>60*E886+F886</f>
        <v>319</v>
      </c>
      <c r="I886" s="3">
        <f>5*(3600/H886)</f>
        <v>56.426332288401255</v>
      </c>
    </row>
    <row r="887" spans="1:9" x14ac:dyDescent="0.25">
      <c r="A887" s="4" t="s">
        <v>41</v>
      </c>
      <c r="B887" s="1">
        <v>0.57073399999999996</v>
      </c>
      <c r="C887" s="1">
        <v>0.56704200000000005</v>
      </c>
      <c r="D887" s="1">
        <f>IF(B887&gt;C887,B887-C887,C887-B887)</f>
        <v>3.6919999999999176E-3</v>
      </c>
      <c r="E887">
        <f>MINUTE(D887)</f>
        <v>5</v>
      </c>
      <c r="F887">
        <f>SECOND(D887)</f>
        <v>19</v>
      </c>
      <c r="G887">
        <f>ROUND(E887+F887/60,2)</f>
        <v>5.32</v>
      </c>
      <c r="H887">
        <f>60*E887+F887</f>
        <v>319</v>
      </c>
      <c r="I887" s="3">
        <f>5*(3600/H887)</f>
        <v>56.426332288401255</v>
      </c>
    </row>
    <row r="888" spans="1:9" x14ac:dyDescent="0.25">
      <c r="A888" s="4" t="s">
        <v>162</v>
      </c>
      <c r="B888" s="1">
        <v>0.81777500000000003</v>
      </c>
      <c r="C888" s="1">
        <v>0.81406699999999999</v>
      </c>
      <c r="D888" s="1">
        <f>IF(B888&gt;C888,B888-C888,C888-B888)</f>
        <v>3.7080000000000446E-3</v>
      </c>
      <c r="E888">
        <f>MINUTE(D888)</f>
        <v>5</v>
      </c>
      <c r="F888">
        <f>SECOND(D888)</f>
        <v>20</v>
      </c>
      <c r="G888">
        <f>ROUND(E888+F888/60,2)</f>
        <v>5.33</v>
      </c>
      <c r="H888">
        <f>60*E888+F888</f>
        <v>320</v>
      </c>
      <c r="I888" s="3">
        <f>5*(3600/H888)</f>
        <v>56.25</v>
      </c>
    </row>
    <row r="889" spans="1:9" x14ac:dyDescent="0.25">
      <c r="A889" s="4" t="s">
        <v>109</v>
      </c>
      <c r="B889" s="1">
        <v>0.60236199999999995</v>
      </c>
      <c r="C889" s="1">
        <v>0.60606199999999999</v>
      </c>
      <c r="D889" s="1">
        <f>IF(B889&gt;C889,B889-C889,C889-B889)</f>
        <v>3.7000000000000366E-3</v>
      </c>
      <c r="E889">
        <f>MINUTE(D889)</f>
        <v>5</v>
      </c>
      <c r="F889">
        <f>SECOND(D889)</f>
        <v>20</v>
      </c>
      <c r="G889">
        <f>ROUND(E889+F889/60,2)</f>
        <v>5.33</v>
      </c>
      <c r="H889">
        <f>60*E889+F889</f>
        <v>320</v>
      </c>
      <c r="I889" s="3">
        <f>5*(3600/H889)</f>
        <v>56.25</v>
      </c>
    </row>
    <row r="890" spans="1:9" x14ac:dyDescent="0.25">
      <c r="A890" s="4" t="s">
        <v>44</v>
      </c>
      <c r="B890" s="1">
        <v>0.40304299999999998</v>
      </c>
      <c r="C890" s="1">
        <v>0.399339</v>
      </c>
      <c r="D890" s="1">
        <f>IF(B890&gt;C890,B890-C890,C890-B890)</f>
        <v>3.7039999999999851E-3</v>
      </c>
      <c r="E890">
        <f>MINUTE(D890)</f>
        <v>5</v>
      </c>
      <c r="F890">
        <f>SECOND(D890)</f>
        <v>20</v>
      </c>
      <c r="G890">
        <f>ROUND(E890+F890/60,2)</f>
        <v>5.33</v>
      </c>
      <c r="H890">
        <f>60*E890+F890</f>
        <v>320</v>
      </c>
      <c r="I890" s="3">
        <f>5*(3600/H890)</f>
        <v>56.25</v>
      </c>
    </row>
    <row r="891" spans="1:9" x14ac:dyDescent="0.25">
      <c r="A891" s="4" t="s">
        <v>312</v>
      </c>
      <c r="B891" s="1">
        <v>5.4336000000000002E-2</v>
      </c>
      <c r="C891" s="1">
        <v>5.8035999999999997E-2</v>
      </c>
      <c r="D891" s="1">
        <f>IF(B891&gt;C891,B891-C891,C891-B891)</f>
        <v>3.699999999999995E-3</v>
      </c>
      <c r="E891">
        <f>MINUTE(D891)</f>
        <v>5</v>
      </c>
      <c r="F891">
        <f>SECOND(D891)</f>
        <v>20</v>
      </c>
      <c r="G891">
        <f>ROUND(E891+F891/60,2)</f>
        <v>5.33</v>
      </c>
      <c r="H891">
        <f>60*E891+F891</f>
        <v>320</v>
      </c>
      <c r="I891" s="3">
        <f>5*(3600/H891)</f>
        <v>56.25</v>
      </c>
    </row>
    <row r="892" spans="1:9" x14ac:dyDescent="0.25">
      <c r="A892" s="4" t="s">
        <v>69</v>
      </c>
      <c r="B892" s="1">
        <v>0.51825500000000002</v>
      </c>
      <c r="C892" s="1">
        <v>0.51454299999999997</v>
      </c>
      <c r="D892" s="1">
        <f>IF(B892&gt;C892,B892-C892,C892-B892)</f>
        <v>3.7120000000000486E-3</v>
      </c>
      <c r="E892">
        <f>MINUTE(D892)</f>
        <v>5</v>
      </c>
      <c r="F892">
        <f>SECOND(D892)</f>
        <v>21</v>
      </c>
      <c r="G892">
        <f>ROUND(E892+F892/60,2)</f>
        <v>5.35</v>
      </c>
      <c r="H892">
        <f>60*E892+F892</f>
        <v>321</v>
      </c>
      <c r="I892" s="3">
        <f>5*(3600/H892)</f>
        <v>56.074766355140184</v>
      </c>
    </row>
    <row r="893" spans="1:9" x14ac:dyDescent="0.25">
      <c r="A893" s="4" t="s">
        <v>130</v>
      </c>
      <c r="B893" s="1">
        <v>0.23073199999999999</v>
      </c>
      <c r="C893" s="1">
        <v>0.22701199999999999</v>
      </c>
      <c r="D893" s="1">
        <f>IF(B893&gt;C893,B893-C893,C893-B893)</f>
        <v>3.7200000000000011E-3</v>
      </c>
      <c r="E893">
        <f>MINUTE(D893)</f>
        <v>5</v>
      </c>
      <c r="F893">
        <f>SECOND(D893)</f>
        <v>21</v>
      </c>
      <c r="G893">
        <f>ROUND(E893+F893/60,2)</f>
        <v>5.35</v>
      </c>
      <c r="H893">
        <f>60*E893+F893</f>
        <v>321</v>
      </c>
      <c r="I893" s="3">
        <f>5*(3600/H893)</f>
        <v>56.074766355140184</v>
      </c>
    </row>
    <row r="894" spans="1:9" x14ac:dyDescent="0.25">
      <c r="A894" s="4" t="s">
        <v>34</v>
      </c>
      <c r="B894" s="1">
        <v>0.23633899999999999</v>
      </c>
      <c r="C894" s="1">
        <v>0.23261499999999999</v>
      </c>
      <c r="D894" s="1">
        <f>IF(B894&gt;C894,B894-C894,C894-B894)</f>
        <v>3.7240000000000051E-3</v>
      </c>
      <c r="E894">
        <f>MINUTE(D894)</f>
        <v>5</v>
      </c>
      <c r="F894">
        <f>SECOND(D894)</f>
        <v>22</v>
      </c>
      <c r="G894">
        <f>ROUND(E894+F894/60,2)</f>
        <v>5.37</v>
      </c>
      <c r="H894">
        <f>60*E894+F894</f>
        <v>322</v>
      </c>
      <c r="I894" s="3">
        <f>5*(3600/H894)</f>
        <v>55.900621118012424</v>
      </c>
    </row>
    <row r="895" spans="1:9" x14ac:dyDescent="0.25">
      <c r="A895" s="4" t="s">
        <v>117</v>
      </c>
      <c r="B895" s="1">
        <v>0.28364</v>
      </c>
      <c r="C895" s="1">
        <v>0.27990799999999999</v>
      </c>
      <c r="D895" s="1">
        <f>IF(B895&gt;C895,B895-C895,C895-B895)</f>
        <v>3.7320000000000131E-3</v>
      </c>
      <c r="E895">
        <f>MINUTE(D895)</f>
        <v>5</v>
      </c>
      <c r="F895">
        <f>SECOND(D895)</f>
        <v>22</v>
      </c>
      <c r="G895">
        <f>ROUND(E895+F895/60,2)</f>
        <v>5.37</v>
      </c>
      <c r="H895">
        <f>60*E895+F895</f>
        <v>322</v>
      </c>
      <c r="I895" s="3">
        <f>5*(3600/H895)</f>
        <v>55.900621118012424</v>
      </c>
    </row>
    <row r="896" spans="1:9" x14ac:dyDescent="0.25">
      <c r="A896" s="4" t="s">
        <v>72</v>
      </c>
      <c r="B896" s="1">
        <v>0.35344900000000001</v>
      </c>
      <c r="C896" s="1">
        <v>0.35718100000000003</v>
      </c>
      <c r="D896" s="1">
        <f>IF(B896&gt;C896,B896-C896,C896-B896)</f>
        <v>3.7320000000000131E-3</v>
      </c>
      <c r="E896">
        <f>MINUTE(D896)</f>
        <v>5</v>
      </c>
      <c r="F896">
        <f>SECOND(D896)</f>
        <v>22</v>
      </c>
      <c r="G896">
        <f>ROUND(E896+F896/60,2)</f>
        <v>5.37</v>
      </c>
      <c r="H896">
        <f>60*E896+F896</f>
        <v>322</v>
      </c>
      <c r="I896" s="3">
        <f>5*(3600/H896)</f>
        <v>55.900621118012424</v>
      </c>
    </row>
    <row r="897" spans="1:9" x14ac:dyDescent="0.25">
      <c r="A897" s="4" t="s">
        <v>77</v>
      </c>
      <c r="B897" s="1">
        <v>0.32361200000000001</v>
      </c>
      <c r="C897" s="1">
        <v>0.31988800000000001</v>
      </c>
      <c r="D897" s="1">
        <f>IF(B897&gt;C897,B897-C897,C897-B897)</f>
        <v>3.7240000000000051E-3</v>
      </c>
      <c r="E897">
        <f>MINUTE(D897)</f>
        <v>5</v>
      </c>
      <c r="F897">
        <f>SECOND(D897)</f>
        <v>22</v>
      </c>
      <c r="G897">
        <f>ROUND(E897+F897/60,2)</f>
        <v>5.37</v>
      </c>
      <c r="H897">
        <f>60*E897+F897</f>
        <v>322</v>
      </c>
      <c r="I897" s="3">
        <f>5*(3600/H897)</f>
        <v>55.900621118012424</v>
      </c>
    </row>
    <row r="898" spans="1:9" x14ac:dyDescent="0.25">
      <c r="A898" s="4" t="s">
        <v>162</v>
      </c>
      <c r="B898" s="1">
        <v>0.44693699999999997</v>
      </c>
      <c r="C898" s="1">
        <v>0.44320900000000002</v>
      </c>
      <c r="D898" s="1">
        <f>IF(B898&gt;C898,B898-C898,C898-B898)</f>
        <v>3.7279999999999536E-3</v>
      </c>
      <c r="E898">
        <f>MINUTE(D898)</f>
        <v>5</v>
      </c>
      <c r="F898">
        <f>SECOND(D898)</f>
        <v>22</v>
      </c>
      <c r="G898">
        <f>ROUND(E898+F898/60,2)</f>
        <v>5.37</v>
      </c>
      <c r="H898">
        <f>60*E898+F898</f>
        <v>322</v>
      </c>
      <c r="I898" s="3">
        <f>5*(3600/H898)</f>
        <v>55.900621118012424</v>
      </c>
    </row>
    <row r="899" spans="1:9" x14ac:dyDescent="0.25">
      <c r="A899" s="4" t="s">
        <v>43</v>
      </c>
      <c r="B899" s="1">
        <v>0.71188700000000005</v>
      </c>
      <c r="C899" s="1">
        <v>0.715611</v>
      </c>
      <c r="D899" s="1">
        <f>IF(B899&gt;C899,B899-C899,C899-B899)</f>
        <v>3.7239999999999496E-3</v>
      </c>
      <c r="E899">
        <f>MINUTE(D899)</f>
        <v>5</v>
      </c>
      <c r="F899">
        <f>SECOND(D899)</f>
        <v>22</v>
      </c>
      <c r="G899">
        <f>ROUND(E899+F899/60,2)</f>
        <v>5.37</v>
      </c>
      <c r="H899">
        <f>60*E899+F899</f>
        <v>322</v>
      </c>
      <c r="I899" s="3">
        <f>5*(3600/H899)</f>
        <v>55.900621118012424</v>
      </c>
    </row>
    <row r="900" spans="1:9" x14ac:dyDescent="0.25">
      <c r="A900" s="4" t="s">
        <v>278</v>
      </c>
      <c r="B900" s="1">
        <v>0.29603000000000002</v>
      </c>
      <c r="C900" s="1">
        <v>0.29230200000000001</v>
      </c>
      <c r="D900" s="1">
        <f>IF(B900&gt;C900,B900-C900,C900-B900)</f>
        <v>3.7280000000000091E-3</v>
      </c>
      <c r="E900">
        <f>MINUTE(D900)</f>
        <v>5</v>
      </c>
      <c r="F900">
        <f>SECOND(D900)</f>
        <v>22</v>
      </c>
      <c r="G900">
        <f>ROUND(E900+F900/60,2)</f>
        <v>5.37</v>
      </c>
      <c r="H900">
        <f>60*E900+F900</f>
        <v>322</v>
      </c>
      <c r="I900" s="3">
        <f>5*(3600/H900)</f>
        <v>55.900621118012424</v>
      </c>
    </row>
    <row r="901" spans="1:9" x14ac:dyDescent="0.25">
      <c r="A901" s="4" t="s">
        <v>10</v>
      </c>
      <c r="B901" s="1">
        <v>0.85223800000000005</v>
      </c>
      <c r="C901" s="1">
        <v>0.84849799999999997</v>
      </c>
      <c r="D901" s="1">
        <f>IF(B901&gt;C901,B901-C901,C901-B901)</f>
        <v>3.7400000000000766E-3</v>
      </c>
      <c r="E901">
        <f>MINUTE(D901)</f>
        <v>5</v>
      </c>
      <c r="F901">
        <f>SECOND(D901)</f>
        <v>23</v>
      </c>
      <c r="G901">
        <f>ROUND(E901+F901/60,2)</f>
        <v>5.38</v>
      </c>
      <c r="H901">
        <f>60*E901+F901</f>
        <v>323</v>
      </c>
      <c r="I901" s="3">
        <f>5*(3600/H901)</f>
        <v>55.727554179566567</v>
      </c>
    </row>
    <row r="902" spans="1:9" x14ac:dyDescent="0.25">
      <c r="A902" s="4" t="s">
        <v>161</v>
      </c>
      <c r="B902" s="1">
        <v>0.37874799999999997</v>
      </c>
      <c r="C902" s="1">
        <v>0.382492</v>
      </c>
      <c r="D902" s="1">
        <f>IF(B902&gt;C902,B902-C902,C902-B902)</f>
        <v>3.7440000000000251E-3</v>
      </c>
      <c r="E902">
        <f>MINUTE(D902)</f>
        <v>5</v>
      </c>
      <c r="F902">
        <f>SECOND(D902)</f>
        <v>23</v>
      </c>
      <c r="G902">
        <f>ROUND(E902+F902/60,2)</f>
        <v>5.38</v>
      </c>
      <c r="H902">
        <f>60*E902+F902</f>
        <v>323</v>
      </c>
      <c r="I902" s="3">
        <f>5*(3600/H902)</f>
        <v>55.727554179566567</v>
      </c>
    </row>
    <row r="903" spans="1:9" x14ac:dyDescent="0.25">
      <c r="A903" s="4" t="s">
        <v>21</v>
      </c>
      <c r="B903" s="1">
        <v>0.36847200000000002</v>
      </c>
      <c r="C903" s="1">
        <v>0.364732</v>
      </c>
      <c r="D903" s="1">
        <f>IF(B903&gt;C903,B903-C903,C903-B903)</f>
        <v>3.7400000000000211E-3</v>
      </c>
      <c r="E903">
        <f>MINUTE(D903)</f>
        <v>5</v>
      </c>
      <c r="F903">
        <f>SECOND(D903)</f>
        <v>23</v>
      </c>
      <c r="G903">
        <f>ROUND(E903+F903/60,2)</f>
        <v>5.38</v>
      </c>
      <c r="H903">
        <f>60*E903+F903</f>
        <v>323</v>
      </c>
      <c r="I903" s="3">
        <f>5*(3600/H903)</f>
        <v>55.727554179566567</v>
      </c>
    </row>
    <row r="904" spans="1:9" x14ac:dyDescent="0.25">
      <c r="A904" s="4" t="s">
        <v>41</v>
      </c>
      <c r="B904" s="1">
        <v>0.811751</v>
      </c>
      <c r="C904" s="1">
        <v>0.81549499999999997</v>
      </c>
      <c r="D904" s="1">
        <f>IF(B904&gt;C904,B904-C904,C904-B904)</f>
        <v>3.7439999999999696E-3</v>
      </c>
      <c r="E904">
        <f>MINUTE(D904)</f>
        <v>5</v>
      </c>
      <c r="F904">
        <f>SECOND(D904)</f>
        <v>23</v>
      </c>
      <c r="G904">
        <f>ROUND(E904+F904/60,2)</f>
        <v>5.38</v>
      </c>
      <c r="H904">
        <f>60*E904+F904</f>
        <v>323</v>
      </c>
      <c r="I904" s="3">
        <f>5*(3600/H904)</f>
        <v>55.727554179566567</v>
      </c>
    </row>
    <row r="905" spans="1:9" x14ac:dyDescent="0.25">
      <c r="A905" s="4" t="s">
        <v>5</v>
      </c>
      <c r="B905" s="1">
        <v>0.14322299999999999</v>
      </c>
      <c r="C905" s="1">
        <v>0.14696300000000001</v>
      </c>
      <c r="D905" s="1">
        <f>IF(B905&gt;C905,B905-C905,C905-B905)</f>
        <v>3.7400000000000211E-3</v>
      </c>
      <c r="E905">
        <f>MINUTE(D905)</f>
        <v>5</v>
      </c>
      <c r="F905">
        <f>SECOND(D905)</f>
        <v>23</v>
      </c>
      <c r="G905">
        <f>ROUND(E905+F905/60,2)</f>
        <v>5.38</v>
      </c>
      <c r="H905">
        <f>60*E905+F905</f>
        <v>323</v>
      </c>
      <c r="I905" s="3">
        <f>5*(3600/H905)</f>
        <v>55.727554179566567</v>
      </c>
    </row>
    <row r="906" spans="1:9" x14ac:dyDescent="0.25">
      <c r="A906" s="8" t="s">
        <v>179</v>
      </c>
      <c r="B906" s="1">
        <v>0.92008900000000005</v>
      </c>
      <c r="C906" s="1">
        <v>0.92382900000000001</v>
      </c>
      <c r="D906" s="1">
        <f>IF(B906&gt;C906,B906-C906,C906-B906)</f>
        <v>3.7399999999999656E-3</v>
      </c>
      <c r="E906">
        <f>MINUTE(D906)</f>
        <v>5</v>
      </c>
      <c r="F906">
        <f>SECOND(D906)</f>
        <v>23</v>
      </c>
      <c r="G906">
        <f>ROUND(E906+F906/60,2)</f>
        <v>5.38</v>
      </c>
      <c r="H906">
        <f>60*E906+F906</f>
        <v>323</v>
      </c>
      <c r="I906" s="10">
        <f>5*(3600/H906)</f>
        <v>55.727554179566567</v>
      </c>
    </row>
    <row r="907" spans="1:9" x14ac:dyDescent="0.25">
      <c r="A907" s="4" t="s">
        <v>30</v>
      </c>
      <c r="B907" s="1">
        <v>0.46298299999999998</v>
      </c>
      <c r="C907" s="1">
        <v>0.459231</v>
      </c>
      <c r="D907" s="1">
        <f>IF(B907&gt;C907,B907-C907,C907-B907)</f>
        <v>3.7519999999999776E-3</v>
      </c>
      <c r="E907">
        <f>MINUTE(D907)</f>
        <v>5</v>
      </c>
      <c r="F907">
        <f>SECOND(D907)</f>
        <v>24</v>
      </c>
      <c r="G907">
        <f>ROUND(E907+F907/60,2)</f>
        <v>5.4</v>
      </c>
      <c r="H907">
        <f>60*E907+F907</f>
        <v>324</v>
      </c>
      <c r="I907" s="3">
        <f>5*(3600/H907)</f>
        <v>55.555555555555557</v>
      </c>
    </row>
    <row r="908" spans="1:9" x14ac:dyDescent="0.25">
      <c r="A908" s="4" t="s">
        <v>31</v>
      </c>
      <c r="B908" s="1">
        <v>7.6189999999999999E-3</v>
      </c>
      <c r="C908" s="1">
        <v>3.8670000000000002E-3</v>
      </c>
      <c r="D908" s="1">
        <f>IF(B908&gt;C908,B908-C908,C908-B908)</f>
        <v>3.7519999999999997E-3</v>
      </c>
      <c r="E908">
        <f>MINUTE(D908)</f>
        <v>5</v>
      </c>
      <c r="F908">
        <f>SECOND(D908)</f>
        <v>24</v>
      </c>
      <c r="G908">
        <f>ROUND(E908+F908/60,2)</f>
        <v>5.4</v>
      </c>
      <c r="H908">
        <f>60*E908+F908</f>
        <v>324</v>
      </c>
      <c r="I908" s="3">
        <f>5*(3600/H908)</f>
        <v>55.555555555555557</v>
      </c>
    </row>
    <row r="909" spans="1:9" x14ac:dyDescent="0.25">
      <c r="A909" s="4" t="s">
        <v>33</v>
      </c>
      <c r="B909" s="1">
        <v>0.506386</v>
      </c>
      <c r="C909" s="1">
        <v>0.50263400000000003</v>
      </c>
      <c r="D909" s="1">
        <f>IF(B909&gt;C909,B909-C909,C909-B909)</f>
        <v>3.7519999999999776E-3</v>
      </c>
      <c r="E909">
        <f>MINUTE(D909)</f>
        <v>5</v>
      </c>
      <c r="F909">
        <f>SECOND(D909)</f>
        <v>24</v>
      </c>
      <c r="G909">
        <f>ROUND(E909+F909/60,2)</f>
        <v>5.4</v>
      </c>
      <c r="H909">
        <f>60*E909+F909</f>
        <v>324</v>
      </c>
      <c r="I909" s="3">
        <f>5*(3600/H909)</f>
        <v>55.555555555555557</v>
      </c>
    </row>
    <row r="910" spans="1:9" x14ac:dyDescent="0.25">
      <c r="A910" s="4" t="s">
        <v>80</v>
      </c>
      <c r="B910" s="1">
        <v>0.58458699999999997</v>
      </c>
      <c r="C910" s="1">
        <v>0.58833899999999995</v>
      </c>
      <c r="D910" s="1">
        <f>IF(B910&gt;C910,B910-C910,C910-B910)</f>
        <v>3.7519999999999776E-3</v>
      </c>
      <c r="E910">
        <f>MINUTE(D910)</f>
        <v>5</v>
      </c>
      <c r="F910">
        <f>SECOND(D910)</f>
        <v>24</v>
      </c>
      <c r="G910">
        <f>ROUND(E910+F910/60,2)</f>
        <v>5.4</v>
      </c>
      <c r="H910">
        <f>60*E910+F910</f>
        <v>324</v>
      </c>
      <c r="I910" s="3">
        <f>5*(3600/H910)</f>
        <v>55.555555555555557</v>
      </c>
    </row>
    <row r="911" spans="1:9" x14ac:dyDescent="0.25">
      <c r="A911" s="4" t="s">
        <v>228</v>
      </c>
      <c r="B911" s="1">
        <v>3.1982999999999998E-2</v>
      </c>
      <c r="C911" s="1">
        <v>3.5730999999999999E-2</v>
      </c>
      <c r="D911" s="1">
        <f>IF(B911&gt;C911,B911-C911,C911-B911)</f>
        <v>3.7480000000000013E-3</v>
      </c>
      <c r="E911">
        <f>MINUTE(D911)</f>
        <v>5</v>
      </c>
      <c r="F911">
        <f>SECOND(D911)</f>
        <v>24</v>
      </c>
      <c r="G911">
        <f>ROUND(E911+F911/60,2)</f>
        <v>5.4</v>
      </c>
      <c r="H911">
        <f>60*E911+F911</f>
        <v>324</v>
      </c>
      <c r="I911" s="3">
        <f>5*(3600/H911)</f>
        <v>55.555555555555557</v>
      </c>
    </row>
    <row r="912" spans="1:9" x14ac:dyDescent="0.25">
      <c r="A912" s="4" t="s">
        <v>270</v>
      </c>
      <c r="B912" s="1">
        <v>0.88112500000000005</v>
      </c>
      <c r="C912" s="1">
        <v>0.87737299999999996</v>
      </c>
      <c r="D912" s="1">
        <f>IF(B912&gt;C912,B912-C912,C912-B912)</f>
        <v>3.7520000000000886E-3</v>
      </c>
      <c r="E912">
        <f>MINUTE(D912)</f>
        <v>5</v>
      </c>
      <c r="F912">
        <f>SECOND(D912)</f>
        <v>24</v>
      </c>
      <c r="G912">
        <f>ROUND(E912+F912/60,2)</f>
        <v>5.4</v>
      </c>
      <c r="H912">
        <f>60*E912+F912</f>
        <v>324</v>
      </c>
      <c r="I912" s="3">
        <f>5*(3600/H912)</f>
        <v>55.555555555555557</v>
      </c>
    </row>
    <row r="913" spans="1:9" x14ac:dyDescent="0.25">
      <c r="A913" s="4" t="s">
        <v>202</v>
      </c>
      <c r="B913" s="1">
        <v>0.817774</v>
      </c>
      <c r="C913" s="1">
        <v>0.82153799999999999</v>
      </c>
      <c r="D913" s="1">
        <f>IF(B913&gt;C913,B913-C913,C913-B913)</f>
        <v>3.7639999999999896E-3</v>
      </c>
      <c r="E913">
        <f>MINUTE(D913)</f>
        <v>5</v>
      </c>
      <c r="F913">
        <f>SECOND(D913)</f>
        <v>25</v>
      </c>
      <c r="G913">
        <f>ROUND(E913+F913/60,2)</f>
        <v>5.42</v>
      </c>
      <c r="H913">
        <f>60*E913+F913</f>
        <v>325</v>
      </c>
      <c r="I913" s="3">
        <f>5*(3600/H913)</f>
        <v>55.384615384615387</v>
      </c>
    </row>
    <row r="914" spans="1:9" x14ac:dyDescent="0.25">
      <c r="A914" s="4" t="s">
        <v>223</v>
      </c>
      <c r="B914" s="1">
        <v>0.66965399999999997</v>
      </c>
      <c r="C914" s="1">
        <v>0.66589399999999999</v>
      </c>
      <c r="D914" s="1">
        <f>IF(B914&gt;C914,B914-C914,C914-B914)</f>
        <v>3.7599999999999856E-3</v>
      </c>
      <c r="E914">
        <f>MINUTE(D914)</f>
        <v>5</v>
      </c>
      <c r="F914">
        <f>SECOND(D914)</f>
        <v>25</v>
      </c>
      <c r="G914">
        <f>ROUND(E914+F914/60,2)</f>
        <v>5.42</v>
      </c>
      <c r="H914">
        <f>60*E914+F914</f>
        <v>325</v>
      </c>
      <c r="I914" s="3">
        <f>5*(3600/H914)</f>
        <v>55.384615384615387</v>
      </c>
    </row>
    <row r="915" spans="1:9" x14ac:dyDescent="0.25">
      <c r="A915" s="4" t="s">
        <v>47</v>
      </c>
      <c r="B915" s="1">
        <v>0.73745799999999995</v>
      </c>
      <c r="C915" s="1">
        <v>0.73368199999999995</v>
      </c>
      <c r="D915" s="1">
        <f>IF(B915&gt;C915,B915-C915,C915-B915)</f>
        <v>3.7760000000000016E-3</v>
      </c>
      <c r="E915">
        <f>MINUTE(D915)</f>
        <v>5</v>
      </c>
      <c r="F915">
        <f>SECOND(D915)</f>
        <v>26</v>
      </c>
      <c r="G915">
        <f>ROUND(E915+F915/60,2)</f>
        <v>5.43</v>
      </c>
      <c r="H915">
        <f>60*E915+F915</f>
        <v>326</v>
      </c>
      <c r="I915" s="3">
        <f>5*(3600/H915)</f>
        <v>55.214723926380373</v>
      </c>
    </row>
    <row r="916" spans="1:9" x14ac:dyDescent="0.25">
      <c r="A916" s="4" t="s">
        <v>109</v>
      </c>
      <c r="B916" s="1">
        <v>0.86325399999999997</v>
      </c>
      <c r="C916" s="1">
        <v>0.86702199999999996</v>
      </c>
      <c r="D916" s="1">
        <f>IF(B916&gt;C916,B916-C916,C916-B916)</f>
        <v>3.7679999999999936E-3</v>
      </c>
      <c r="E916">
        <f>MINUTE(D916)</f>
        <v>5</v>
      </c>
      <c r="F916">
        <f>SECOND(D916)</f>
        <v>26</v>
      </c>
      <c r="G916">
        <f>ROUND(E916+F916/60,2)</f>
        <v>5.43</v>
      </c>
      <c r="H916">
        <f>60*E916+F916</f>
        <v>326</v>
      </c>
      <c r="I916" s="3">
        <f>5*(3600/H916)</f>
        <v>55.214723926380373</v>
      </c>
    </row>
    <row r="917" spans="1:9" x14ac:dyDescent="0.25">
      <c r="A917" s="4" t="s">
        <v>337</v>
      </c>
      <c r="B917" s="1">
        <v>5.2663000000000001E-2</v>
      </c>
      <c r="C917" s="1">
        <v>4.8890999999999997E-2</v>
      </c>
      <c r="D917" s="1">
        <f>IF(B917&gt;C917,B917-C917,C917-B917)</f>
        <v>3.7720000000000045E-3</v>
      </c>
      <c r="E917">
        <f>MINUTE(D917)</f>
        <v>5</v>
      </c>
      <c r="F917">
        <f>SECOND(D917)</f>
        <v>26</v>
      </c>
      <c r="G917">
        <f>ROUND(E917+F917/60,2)</f>
        <v>5.43</v>
      </c>
      <c r="H917">
        <f>60*E917+F917</f>
        <v>326</v>
      </c>
      <c r="I917" s="3">
        <f>5*(3600/H917)</f>
        <v>55.214723926380373</v>
      </c>
    </row>
    <row r="918" spans="1:9" x14ac:dyDescent="0.25">
      <c r="A918" s="4" t="s">
        <v>358</v>
      </c>
      <c r="B918" s="1">
        <v>0.76871599999999995</v>
      </c>
      <c r="C918" s="1">
        <v>0.77248799999999995</v>
      </c>
      <c r="D918" s="1">
        <f>IF(B918&gt;C918,B918-C918,C918-B918)</f>
        <v>3.7719999999999976E-3</v>
      </c>
      <c r="E918">
        <f>MINUTE(D918)</f>
        <v>5</v>
      </c>
      <c r="F918">
        <f>SECOND(D918)</f>
        <v>26</v>
      </c>
      <c r="G918">
        <f>ROUND(E918+F918/60,2)</f>
        <v>5.43</v>
      </c>
      <c r="H918">
        <f>60*E918+F918</f>
        <v>326</v>
      </c>
      <c r="I918" s="3">
        <f>5*(3600/H918)</f>
        <v>55.214723926380373</v>
      </c>
    </row>
    <row r="919" spans="1:9" x14ac:dyDescent="0.25">
      <c r="A919" s="4" t="s">
        <v>5</v>
      </c>
      <c r="B919" s="1">
        <v>0.31651800000000002</v>
      </c>
      <c r="C919" s="1">
        <v>0.31273800000000002</v>
      </c>
      <c r="D919" s="1">
        <f>IF(B919&gt;C919,B919-C919,C919-B919)</f>
        <v>3.7800000000000056E-3</v>
      </c>
      <c r="E919">
        <f>MINUTE(D919)</f>
        <v>5</v>
      </c>
      <c r="F919">
        <f>SECOND(D919)</f>
        <v>27</v>
      </c>
      <c r="G919">
        <f>ROUND(E919+F919/60,2)</f>
        <v>5.45</v>
      </c>
      <c r="H919">
        <f>60*E919+F919</f>
        <v>327</v>
      </c>
      <c r="I919" s="3">
        <f>5*(3600/H919)</f>
        <v>55.045871559633028</v>
      </c>
    </row>
    <row r="920" spans="1:9" x14ac:dyDescent="0.25">
      <c r="A920" s="4" t="s">
        <v>87</v>
      </c>
      <c r="B920" s="1">
        <v>0.29541000000000001</v>
      </c>
      <c r="C920" s="1">
        <v>0.29919800000000002</v>
      </c>
      <c r="D920" s="1">
        <f>IF(B920&gt;C920,B920-C920,C920-B920)</f>
        <v>3.7880000000000136E-3</v>
      </c>
      <c r="E920">
        <f>MINUTE(D920)</f>
        <v>5</v>
      </c>
      <c r="F920">
        <f>SECOND(D920)</f>
        <v>27</v>
      </c>
      <c r="G920">
        <f>ROUND(E920+F920/60,2)</f>
        <v>5.45</v>
      </c>
      <c r="H920">
        <f>60*E920+F920</f>
        <v>327</v>
      </c>
      <c r="I920" s="3">
        <f>5*(3600/H920)</f>
        <v>55.045871559633028</v>
      </c>
    </row>
    <row r="921" spans="1:9" x14ac:dyDescent="0.25">
      <c r="A921" s="4" t="s">
        <v>56</v>
      </c>
      <c r="B921" s="1">
        <v>0.45928099999999999</v>
      </c>
      <c r="C921" s="1">
        <v>0.45549299999999998</v>
      </c>
      <c r="D921" s="1">
        <f>IF(B921&gt;C921,B921-C921,C921-B921)</f>
        <v>3.7880000000000136E-3</v>
      </c>
      <c r="E921">
        <f>MINUTE(D921)</f>
        <v>5</v>
      </c>
      <c r="F921">
        <f>SECOND(D921)</f>
        <v>27</v>
      </c>
      <c r="G921">
        <f>ROUND(E921+F921/60,2)</f>
        <v>5.45</v>
      </c>
      <c r="H921">
        <f>60*E921+F921</f>
        <v>327</v>
      </c>
      <c r="I921" s="3">
        <f>5*(3600/H921)</f>
        <v>55.045871559633028</v>
      </c>
    </row>
    <row r="922" spans="1:9" x14ac:dyDescent="0.25">
      <c r="A922" s="4" t="s">
        <v>187</v>
      </c>
      <c r="B922" s="1">
        <v>0.688388</v>
      </c>
      <c r="C922" s="1">
        <v>0.69217200000000001</v>
      </c>
      <c r="D922" s="1">
        <f>IF(B922&gt;C922,B922-C922,C922-B922)</f>
        <v>3.7840000000000096E-3</v>
      </c>
      <c r="E922">
        <f>MINUTE(D922)</f>
        <v>5</v>
      </c>
      <c r="F922">
        <f>SECOND(D922)</f>
        <v>27</v>
      </c>
      <c r="G922">
        <f>ROUND(E922+F922/60,2)</f>
        <v>5.45</v>
      </c>
      <c r="H922">
        <f>60*E922+F922</f>
        <v>327</v>
      </c>
      <c r="I922" s="3">
        <f>5*(3600/H922)</f>
        <v>55.045871559633028</v>
      </c>
    </row>
    <row r="923" spans="1:9" x14ac:dyDescent="0.25">
      <c r="A923" s="4" t="s">
        <v>395</v>
      </c>
      <c r="B923" s="1">
        <v>0.42941800000000002</v>
      </c>
      <c r="C923" s="1">
        <v>0.42563400000000001</v>
      </c>
      <c r="D923" s="1">
        <f>IF(B923&gt;C923,B923-C923,C923-B923)</f>
        <v>3.7840000000000096E-3</v>
      </c>
      <c r="E923">
        <f>MINUTE(D923)</f>
        <v>5</v>
      </c>
      <c r="F923">
        <f>SECOND(D923)</f>
        <v>27</v>
      </c>
      <c r="G923">
        <f>ROUND(E923+F923/60,2)</f>
        <v>5.45</v>
      </c>
      <c r="H923">
        <f>60*E923+F923</f>
        <v>327</v>
      </c>
      <c r="I923" s="3">
        <f>5*(3600/H923)</f>
        <v>55.045871559633028</v>
      </c>
    </row>
    <row r="924" spans="1:9" x14ac:dyDescent="0.25">
      <c r="A924" s="4" t="s">
        <v>150</v>
      </c>
      <c r="B924" s="1">
        <v>0.92992200000000003</v>
      </c>
      <c r="C924" s="1">
        <v>0.926122</v>
      </c>
      <c r="D924" s="1">
        <f>IF(B924&gt;C924,B924-C924,C924-B924)</f>
        <v>3.8000000000000256E-3</v>
      </c>
      <c r="E924">
        <f>MINUTE(D924)</f>
        <v>5</v>
      </c>
      <c r="F924">
        <f>SECOND(D924)</f>
        <v>28</v>
      </c>
      <c r="G924">
        <f>ROUND(E924+F924/60,2)</f>
        <v>5.47</v>
      </c>
      <c r="H924">
        <f>60*E924+F924</f>
        <v>328</v>
      </c>
      <c r="I924" s="3">
        <f>5*(3600/H924)</f>
        <v>54.878048780487809</v>
      </c>
    </row>
    <row r="925" spans="1:9" x14ac:dyDescent="0.25">
      <c r="A925" s="4" t="s">
        <v>109</v>
      </c>
      <c r="B925" s="1">
        <v>0.30027799999999999</v>
      </c>
      <c r="C925" s="1">
        <v>0.30407800000000001</v>
      </c>
      <c r="D925" s="1">
        <f>IF(B925&gt;C925,B925-C925,C925-B925)</f>
        <v>3.8000000000000256E-3</v>
      </c>
      <c r="E925">
        <f>MINUTE(D925)</f>
        <v>5</v>
      </c>
      <c r="F925">
        <f>SECOND(D925)</f>
        <v>28</v>
      </c>
      <c r="G925">
        <f>ROUND(E925+F925/60,2)</f>
        <v>5.47</v>
      </c>
      <c r="H925">
        <f>60*E925+F925</f>
        <v>328</v>
      </c>
      <c r="I925" s="3">
        <f>5*(3600/H925)</f>
        <v>54.878048780487809</v>
      </c>
    </row>
    <row r="926" spans="1:9" x14ac:dyDescent="0.25">
      <c r="A926" s="4" t="s">
        <v>162</v>
      </c>
      <c r="B926" s="1">
        <v>0.33263599999999999</v>
      </c>
      <c r="C926" s="1">
        <v>0.32883600000000002</v>
      </c>
      <c r="D926" s="1">
        <f>IF(B926&gt;C926,B926-C926,C926-B926)</f>
        <v>3.7999999999999701E-3</v>
      </c>
      <c r="E926">
        <f>MINUTE(D926)</f>
        <v>5</v>
      </c>
      <c r="F926">
        <f>SECOND(D926)</f>
        <v>28</v>
      </c>
      <c r="G926">
        <f>ROUND(E926+F926/60,2)</f>
        <v>5.47</v>
      </c>
      <c r="H926">
        <f>60*E926+F926</f>
        <v>328</v>
      </c>
      <c r="I926" s="3">
        <f>5*(3600/H926)</f>
        <v>54.878048780487809</v>
      </c>
    </row>
    <row r="927" spans="1:9" x14ac:dyDescent="0.25">
      <c r="A927" s="4" t="s">
        <v>71</v>
      </c>
      <c r="B927" s="1">
        <v>0.53334199999999998</v>
      </c>
      <c r="C927" s="1">
        <v>0.52953799999999995</v>
      </c>
      <c r="D927" s="1">
        <f>IF(B927&gt;C927,B927-C927,C927-B927)</f>
        <v>3.8040000000000296E-3</v>
      </c>
      <c r="E927">
        <f>MINUTE(D927)</f>
        <v>5</v>
      </c>
      <c r="F927">
        <f>SECOND(D927)</f>
        <v>29</v>
      </c>
      <c r="G927">
        <f>ROUND(E927+F927/60,2)</f>
        <v>5.48</v>
      </c>
      <c r="H927">
        <f>60*E927+F927</f>
        <v>329</v>
      </c>
      <c r="I927" s="3">
        <f>5*(3600/H927)</f>
        <v>54.711246200607903</v>
      </c>
    </row>
    <row r="928" spans="1:9" x14ac:dyDescent="0.25">
      <c r="A928" s="4" t="s">
        <v>64</v>
      </c>
      <c r="B928" s="1">
        <v>0.75966599999999995</v>
      </c>
      <c r="C928" s="1">
        <v>0.75585800000000003</v>
      </c>
      <c r="D928" s="1">
        <f>IF(B928&gt;C928,B928-C928,C928-B928)</f>
        <v>3.8079999999999226E-3</v>
      </c>
      <c r="E928">
        <f>MINUTE(D928)</f>
        <v>5</v>
      </c>
      <c r="F928">
        <f>SECOND(D928)</f>
        <v>29</v>
      </c>
      <c r="G928">
        <f>ROUND(E928+F928/60,2)</f>
        <v>5.48</v>
      </c>
      <c r="H928">
        <f>60*E928+F928</f>
        <v>329</v>
      </c>
      <c r="I928" s="3">
        <f>5*(3600/H928)</f>
        <v>54.711246200607903</v>
      </c>
    </row>
    <row r="929" spans="1:9" x14ac:dyDescent="0.25">
      <c r="A929" s="4" t="s">
        <v>109</v>
      </c>
      <c r="B929" s="1">
        <v>0.87171399999999999</v>
      </c>
      <c r="C929" s="1">
        <v>0.87551800000000002</v>
      </c>
      <c r="D929" s="1">
        <f>IF(B929&gt;C929,B929-C929,C929-B929)</f>
        <v>3.8040000000000296E-3</v>
      </c>
      <c r="E929">
        <f>MINUTE(D929)</f>
        <v>5</v>
      </c>
      <c r="F929">
        <f>SECOND(D929)</f>
        <v>29</v>
      </c>
      <c r="G929">
        <f>ROUND(E929+F929/60,2)</f>
        <v>5.48</v>
      </c>
      <c r="H929">
        <f>60*E929+F929</f>
        <v>329</v>
      </c>
      <c r="I929" s="3">
        <f>5*(3600/H929)</f>
        <v>54.711246200607903</v>
      </c>
    </row>
    <row r="930" spans="1:9" x14ac:dyDescent="0.25">
      <c r="A930" s="4" t="s">
        <v>5</v>
      </c>
      <c r="B930" s="1">
        <v>7.6984999999999998E-2</v>
      </c>
      <c r="C930" s="1">
        <v>7.3173000000000002E-2</v>
      </c>
      <c r="D930" s="1">
        <f>IF(B930&gt;C930,B930-C930,C930-B930)</f>
        <v>3.8119999999999959E-3</v>
      </c>
      <c r="E930">
        <f>MINUTE(D930)</f>
        <v>5</v>
      </c>
      <c r="F930">
        <f>SECOND(D930)</f>
        <v>29</v>
      </c>
      <c r="G930">
        <f>ROUND(E930+F930/60,2)</f>
        <v>5.48</v>
      </c>
      <c r="H930">
        <f>60*E930+F930</f>
        <v>329</v>
      </c>
      <c r="I930" s="3">
        <f>5*(3600/H930)</f>
        <v>54.711246200607903</v>
      </c>
    </row>
    <row r="931" spans="1:9" x14ac:dyDescent="0.25">
      <c r="A931" s="4" t="s">
        <v>158</v>
      </c>
      <c r="B931" s="1">
        <v>0.20841899999999999</v>
      </c>
      <c r="C931" s="1">
        <v>0.212231</v>
      </c>
      <c r="D931" s="1">
        <f>IF(B931&gt;C931,B931-C931,C931-B931)</f>
        <v>3.8120000000000098E-3</v>
      </c>
      <c r="E931">
        <f>MINUTE(D931)</f>
        <v>5</v>
      </c>
      <c r="F931">
        <f>SECOND(D931)</f>
        <v>29</v>
      </c>
      <c r="G931">
        <f>ROUND(E931+F931/60,2)</f>
        <v>5.48</v>
      </c>
      <c r="H931">
        <f>60*E931+F931</f>
        <v>329</v>
      </c>
      <c r="I931" s="3">
        <f>5*(3600/H931)</f>
        <v>54.711246200607903</v>
      </c>
    </row>
    <row r="932" spans="1:9" x14ac:dyDescent="0.25">
      <c r="A932" s="4" t="s">
        <v>107</v>
      </c>
      <c r="B932" s="1">
        <v>2.9825000000000001E-2</v>
      </c>
      <c r="C932" s="1">
        <v>3.3637E-2</v>
      </c>
      <c r="D932" s="1">
        <f>IF(B932&gt;C932,B932-C932,C932-B932)</f>
        <v>3.8119999999999994E-3</v>
      </c>
      <c r="E932">
        <f>MINUTE(D932)</f>
        <v>5</v>
      </c>
      <c r="F932">
        <f>SECOND(D932)</f>
        <v>29</v>
      </c>
      <c r="G932">
        <f>ROUND(E932+F932/60,2)</f>
        <v>5.48</v>
      </c>
      <c r="H932">
        <f>60*E932+F932</f>
        <v>329</v>
      </c>
      <c r="I932" s="3">
        <f>5*(3600/H932)</f>
        <v>54.711246200607903</v>
      </c>
    </row>
    <row r="933" spans="1:9" x14ac:dyDescent="0.25">
      <c r="A933" s="4" t="s">
        <v>406</v>
      </c>
      <c r="B933" s="1">
        <v>0.23919599999999999</v>
      </c>
      <c r="C933" s="1">
        <v>0.24299999999999999</v>
      </c>
      <c r="D933" s="1">
        <f>IF(B933&gt;C933,B933-C933,C933-B933)</f>
        <v>3.8040000000000018E-3</v>
      </c>
      <c r="E933">
        <f>MINUTE(D933)</f>
        <v>5</v>
      </c>
      <c r="F933">
        <f>SECOND(D933)</f>
        <v>29</v>
      </c>
      <c r="G933">
        <f>ROUND(E933+F933/60,2)</f>
        <v>5.48</v>
      </c>
      <c r="H933">
        <f>60*E933+F933</f>
        <v>329</v>
      </c>
      <c r="I933" s="3">
        <f>5*(3600/H933)</f>
        <v>54.711246200607903</v>
      </c>
    </row>
    <row r="934" spans="1:9" x14ac:dyDescent="0.25">
      <c r="A934" s="4" t="s">
        <v>11</v>
      </c>
      <c r="B934" s="1">
        <v>0.44774900000000001</v>
      </c>
      <c r="C934" s="1">
        <v>0.451573</v>
      </c>
      <c r="D934" s="1">
        <f>IF(B934&gt;C934,B934-C934,C934-B934)</f>
        <v>3.8239999999999941E-3</v>
      </c>
      <c r="E934">
        <f>MINUTE(D934)</f>
        <v>5</v>
      </c>
      <c r="F934">
        <f>SECOND(D934)</f>
        <v>30</v>
      </c>
      <c r="G934">
        <f>ROUND(E934+F934/60,2)</f>
        <v>5.5</v>
      </c>
      <c r="H934">
        <f>60*E934+F934</f>
        <v>330</v>
      </c>
      <c r="I934" s="3">
        <f>5*(3600/H934)</f>
        <v>54.54545454545454</v>
      </c>
    </row>
    <row r="935" spans="1:9" x14ac:dyDescent="0.25">
      <c r="A935" s="4" t="s">
        <v>27</v>
      </c>
      <c r="B935" s="1">
        <v>7.0146E-2</v>
      </c>
      <c r="C935" s="1">
        <v>6.633E-2</v>
      </c>
      <c r="D935" s="1">
        <f>IF(B935&gt;C935,B935-C935,C935-B935)</f>
        <v>3.8159999999999999E-3</v>
      </c>
      <c r="E935">
        <f>MINUTE(D935)</f>
        <v>5</v>
      </c>
      <c r="F935">
        <f>SECOND(D935)</f>
        <v>30</v>
      </c>
      <c r="G935">
        <f>ROUND(E935+F935/60,2)</f>
        <v>5.5</v>
      </c>
      <c r="H935">
        <f>60*E935+F935</f>
        <v>330</v>
      </c>
      <c r="I935" s="3">
        <f>5*(3600/H935)</f>
        <v>54.54545454545454</v>
      </c>
    </row>
    <row r="936" spans="1:9" x14ac:dyDescent="0.25">
      <c r="A936" s="4" t="s">
        <v>260</v>
      </c>
      <c r="B936" s="1">
        <v>0.38089400000000001</v>
      </c>
      <c r="C936" s="1">
        <v>0.37707400000000002</v>
      </c>
      <c r="D936" s="1">
        <f>IF(B936&gt;C936,B936-C936,C936-B936)</f>
        <v>3.8199999999999901E-3</v>
      </c>
      <c r="E936">
        <f>MINUTE(D936)</f>
        <v>5</v>
      </c>
      <c r="F936">
        <f>SECOND(D936)</f>
        <v>30</v>
      </c>
      <c r="G936">
        <f>ROUND(E936+F936/60,2)</f>
        <v>5.5</v>
      </c>
      <c r="H936">
        <f>60*E936+F936</f>
        <v>330</v>
      </c>
      <c r="I936" s="3">
        <f>5*(3600/H936)</f>
        <v>54.54545454545454</v>
      </c>
    </row>
    <row r="937" spans="1:9" x14ac:dyDescent="0.25">
      <c r="A937" s="4" t="s">
        <v>20</v>
      </c>
      <c r="B937" s="1">
        <v>0.65905100000000005</v>
      </c>
      <c r="C937" s="1">
        <v>0.662879</v>
      </c>
      <c r="D937" s="1">
        <f>IF(B937&gt;C937,B937-C937,C937-B937)</f>
        <v>3.8279999999999426E-3</v>
      </c>
      <c r="E937">
        <f>MINUTE(D937)</f>
        <v>5</v>
      </c>
      <c r="F937">
        <f>SECOND(D937)</f>
        <v>31</v>
      </c>
      <c r="G937">
        <f>ROUND(E937+F937/60,2)</f>
        <v>5.52</v>
      </c>
      <c r="H937">
        <f>60*E937+F937</f>
        <v>331</v>
      </c>
      <c r="I937" s="3">
        <f>5*(3600/H937)</f>
        <v>54.380664652567972</v>
      </c>
    </row>
    <row r="938" spans="1:9" x14ac:dyDescent="0.25">
      <c r="A938" s="4" t="s">
        <v>274</v>
      </c>
      <c r="B938" s="1">
        <v>0.47454200000000002</v>
      </c>
      <c r="C938" s="1">
        <v>0.47071400000000002</v>
      </c>
      <c r="D938" s="1">
        <f>IF(B938&gt;C938,B938-C938,C938-B938)</f>
        <v>3.8279999999999981E-3</v>
      </c>
      <c r="E938">
        <f>MINUTE(D938)</f>
        <v>5</v>
      </c>
      <c r="F938">
        <f>SECOND(D938)</f>
        <v>31</v>
      </c>
      <c r="G938">
        <f>ROUND(E938+F938/60,2)</f>
        <v>5.52</v>
      </c>
      <c r="H938">
        <f>60*E938+F938</f>
        <v>331</v>
      </c>
      <c r="I938" s="3">
        <f>5*(3600/H938)</f>
        <v>54.380664652567972</v>
      </c>
    </row>
    <row r="939" spans="1:9" x14ac:dyDescent="0.25">
      <c r="A939" s="4" t="s">
        <v>404</v>
      </c>
      <c r="B939" s="1">
        <v>0.56015199999999998</v>
      </c>
      <c r="C939" s="1">
        <v>0.55632400000000004</v>
      </c>
      <c r="D939" s="1">
        <f>IF(B939&gt;C939,B939-C939,C939-B939)</f>
        <v>3.8279999999999426E-3</v>
      </c>
      <c r="E939">
        <f>MINUTE(D939)</f>
        <v>5</v>
      </c>
      <c r="F939">
        <f>SECOND(D939)</f>
        <v>31</v>
      </c>
      <c r="G939">
        <f>ROUND(E939+F939/60,2)</f>
        <v>5.52</v>
      </c>
      <c r="H939">
        <f>60*E939+F939</f>
        <v>331</v>
      </c>
      <c r="I939" s="3">
        <f>5*(3600/H939)</f>
        <v>54.380664652567972</v>
      </c>
    </row>
    <row r="940" spans="1:9" x14ac:dyDescent="0.25">
      <c r="A940" s="4" t="s">
        <v>75</v>
      </c>
      <c r="B940" s="1">
        <v>0.59153599999999995</v>
      </c>
      <c r="C940" s="1">
        <v>0.58769199999999999</v>
      </c>
      <c r="D940" s="1">
        <f>IF(B940&gt;C940,B940-C940,C940-B940)</f>
        <v>3.8439999999999586E-3</v>
      </c>
      <c r="E940">
        <f>MINUTE(D940)</f>
        <v>5</v>
      </c>
      <c r="F940">
        <f>SECOND(D940)</f>
        <v>32</v>
      </c>
      <c r="G940">
        <f>ROUND(E940+F940/60,2)</f>
        <v>5.53</v>
      </c>
      <c r="H940">
        <f>60*E940+F940</f>
        <v>332</v>
      </c>
      <c r="I940" s="3">
        <f>5*(3600/H940)</f>
        <v>54.216867469879517</v>
      </c>
    </row>
    <row r="941" spans="1:9" x14ac:dyDescent="0.25">
      <c r="A941" s="4" t="s">
        <v>51</v>
      </c>
      <c r="B941" s="1">
        <v>0.231432</v>
      </c>
      <c r="C941" s="1">
        <v>0.22759199999999999</v>
      </c>
      <c r="D941" s="1">
        <f>IF(B941&gt;C941,B941-C941,C941-B941)</f>
        <v>3.8400000000000101E-3</v>
      </c>
      <c r="E941">
        <f>MINUTE(D941)</f>
        <v>5</v>
      </c>
      <c r="F941">
        <f>SECOND(D941)</f>
        <v>32</v>
      </c>
      <c r="G941">
        <f>ROUND(E941+F941/60,2)</f>
        <v>5.53</v>
      </c>
      <c r="H941">
        <f>60*E941+F941</f>
        <v>332</v>
      </c>
      <c r="I941" s="3">
        <f>5*(3600/H941)</f>
        <v>54.216867469879517</v>
      </c>
    </row>
    <row r="942" spans="1:9" x14ac:dyDescent="0.25">
      <c r="A942" s="4" t="s">
        <v>90</v>
      </c>
      <c r="B942" s="1">
        <v>0.63536800000000004</v>
      </c>
      <c r="C942" s="1">
        <v>0.639208</v>
      </c>
      <c r="D942" s="1">
        <f>IF(B942&gt;C942,B942-C942,C942-B942)</f>
        <v>3.8399999999999546E-3</v>
      </c>
      <c r="E942">
        <f>MINUTE(D942)</f>
        <v>5</v>
      </c>
      <c r="F942">
        <f>SECOND(D942)</f>
        <v>32</v>
      </c>
      <c r="G942">
        <f>ROUND(E942+F942/60,2)</f>
        <v>5.53</v>
      </c>
      <c r="H942">
        <f>60*E942+F942</f>
        <v>332</v>
      </c>
      <c r="I942" s="3">
        <f>5*(3600/H942)</f>
        <v>54.216867469879517</v>
      </c>
    </row>
    <row r="943" spans="1:9" x14ac:dyDescent="0.25">
      <c r="A943" s="4" t="s">
        <v>39</v>
      </c>
      <c r="B943" s="1">
        <v>8.9300000000000004E-2</v>
      </c>
      <c r="C943" s="1">
        <v>9.3151999999999999E-2</v>
      </c>
      <c r="D943" s="1">
        <f>IF(B943&gt;C943,B943-C943,C943-B943)</f>
        <v>3.8519999999999943E-3</v>
      </c>
      <c r="E943">
        <f>MINUTE(D943)</f>
        <v>5</v>
      </c>
      <c r="F943">
        <f>SECOND(D943)</f>
        <v>33</v>
      </c>
      <c r="G943">
        <f>ROUND(E943+F943/60,2)</f>
        <v>5.55</v>
      </c>
      <c r="H943">
        <f>60*E943+F943</f>
        <v>333</v>
      </c>
      <c r="I943" s="3">
        <f>5*(3600/H943)</f>
        <v>54.054054054054049</v>
      </c>
    </row>
    <row r="944" spans="1:9" x14ac:dyDescent="0.25">
      <c r="A944" s="4" t="s">
        <v>19</v>
      </c>
      <c r="B944" s="1">
        <v>0.76597700000000002</v>
      </c>
      <c r="C944" s="1">
        <v>0.76212500000000005</v>
      </c>
      <c r="D944" s="1">
        <f>IF(B944&gt;C944,B944-C944,C944-B944)</f>
        <v>3.8519999999999666E-3</v>
      </c>
      <c r="E944">
        <f>MINUTE(D944)</f>
        <v>5</v>
      </c>
      <c r="F944">
        <f>SECOND(D944)</f>
        <v>33</v>
      </c>
      <c r="G944">
        <f>ROUND(E944+F944/60,2)</f>
        <v>5.55</v>
      </c>
      <c r="H944">
        <f>60*E944+F944</f>
        <v>333</v>
      </c>
      <c r="I944" s="3">
        <f>5*(3600/H944)</f>
        <v>54.054054054054049</v>
      </c>
    </row>
    <row r="945" spans="1:9" x14ac:dyDescent="0.25">
      <c r="A945" s="4" t="s">
        <v>209</v>
      </c>
      <c r="B945" s="1">
        <v>0.40768100000000002</v>
      </c>
      <c r="C945" s="1">
        <v>0.40382499999999999</v>
      </c>
      <c r="D945" s="1">
        <f>IF(B945&gt;C945,B945-C945,C945-B945)</f>
        <v>3.8560000000000261E-3</v>
      </c>
      <c r="E945">
        <f>MINUTE(D945)</f>
        <v>5</v>
      </c>
      <c r="F945">
        <f>SECOND(D945)</f>
        <v>33</v>
      </c>
      <c r="G945">
        <f>ROUND(E945+F945/60,2)</f>
        <v>5.55</v>
      </c>
      <c r="H945">
        <f>60*E945+F945</f>
        <v>333</v>
      </c>
      <c r="I945" s="3">
        <f>5*(3600/H945)</f>
        <v>54.054054054054049</v>
      </c>
    </row>
    <row r="946" spans="1:9" x14ac:dyDescent="0.25">
      <c r="A946" s="4" t="s">
        <v>87</v>
      </c>
      <c r="B946" s="1">
        <v>0.14188400000000001</v>
      </c>
      <c r="C946" s="1">
        <v>0.14574799999999999</v>
      </c>
      <c r="D946" s="1">
        <f>IF(B946&gt;C946,B946-C946,C946-B946)</f>
        <v>3.8639999999999786E-3</v>
      </c>
      <c r="E946">
        <f>MINUTE(D946)</f>
        <v>5</v>
      </c>
      <c r="F946">
        <f>SECOND(D946)</f>
        <v>34</v>
      </c>
      <c r="G946">
        <f>ROUND(E946+F946/60,2)</f>
        <v>5.57</v>
      </c>
      <c r="H946">
        <f>60*E946+F946</f>
        <v>334</v>
      </c>
      <c r="I946" s="3">
        <f>5*(3600/H946)</f>
        <v>53.892215568862277</v>
      </c>
    </row>
    <row r="947" spans="1:9" x14ac:dyDescent="0.25">
      <c r="A947" s="4" t="s">
        <v>103</v>
      </c>
      <c r="B947" s="1">
        <v>0.65021700000000004</v>
      </c>
      <c r="C947" s="1">
        <v>0.64635299999999996</v>
      </c>
      <c r="D947" s="1">
        <f>IF(B947&gt;C947,B947-C947,C947-B947)</f>
        <v>3.8640000000000896E-3</v>
      </c>
      <c r="E947">
        <f>MINUTE(D947)</f>
        <v>5</v>
      </c>
      <c r="F947">
        <f>SECOND(D947)</f>
        <v>34</v>
      </c>
      <c r="G947">
        <f>ROUND(E947+F947/60,2)</f>
        <v>5.57</v>
      </c>
      <c r="H947">
        <f>60*E947+F947</f>
        <v>334</v>
      </c>
      <c r="I947" s="3">
        <f>5*(3600/H947)</f>
        <v>53.892215568862277</v>
      </c>
    </row>
    <row r="948" spans="1:9" x14ac:dyDescent="0.25">
      <c r="A948" s="4" t="s">
        <v>41</v>
      </c>
      <c r="B948" s="1">
        <v>0.93147599999999997</v>
      </c>
      <c r="C948" s="1">
        <v>0.93533999999999995</v>
      </c>
      <c r="D948" s="1">
        <f>IF(B948&gt;C948,B948-C948,C948-B948)</f>
        <v>3.8639999999999786E-3</v>
      </c>
      <c r="E948">
        <f>MINUTE(D948)</f>
        <v>5</v>
      </c>
      <c r="F948">
        <f>SECOND(D948)</f>
        <v>34</v>
      </c>
      <c r="G948">
        <f>ROUND(E948+F948/60,2)</f>
        <v>5.57</v>
      </c>
      <c r="H948">
        <f>60*E948+F948</f>
        <v>334</v>
      </c>
      <c r="I948" s="3">
        <f>5*(3600/H948)</f>
        <v>53.892215568862277</v>
      </c>
    </row>
    <row r="949" spans="1:9" x14ac:dyDescent="0.25">
      <c r="A949" s="4" t="s">
        <v>64</v>
      </c>
      <c r="B949" s="1">
        <v>0.31358399999999997</v>
      </c>
      <c r="C949" s="1">
        <v>0.317444</v>
      </c>
      <c r="D949" s="1">
        <f>IF(B949&gt;C949,B949-C949,C949-B949)</f>
        <v>3.8600000000000301E-3</v>
      </c>
      <c r="E949">
        <f>MINUTE(D949)</f>
        <v>5</v>
      </c>
      <c r="F949">
        <f>SECOND(D949)</f>
        <v>34</v>
      </c>
      <c r="G949">
        <f>ROUND(E949+F949/60,2)</f>
        <v>5.57</v>
      </c>
      <c r="H949">
        <f>60*E949+F949</f>
        <v>334</v>
      </c>
      <c r="I949" s="3">
        <f>5*(3600/H949)</f>
        <v>53.892215568862277</v>
      </c>
    </row>
    <row r="950" spans="1:9" x14ac:dyDescent="0.25">
      <c r="A950" s="4" t="s">
        <v>231</v>
      </c>
      <c r="B950" s="1">
        <v>1.7892000000000002E-2</v>
      </c>
      <c r="C950" s="1">
        <v>1.4028000000000001E-2</v>
      </c>
      <c r="D950" s="1">
        <f>IF(B950&gt;C950,B950-C950,C950-B950)</f>
        <v>3.8640000000000011E-3</v>
      </c>
      <c r="E950">
        <f>MINUTE(D950)</f>
        <v>5</v>
      </c>
      <c r="F950">
        <f>SECOND(D950)</f>
        <v>34</v>
      </c>
      <c r="G950">
        <f>ROUND(E950+F950/60,2)</f>
        <v>5.57</v>
      </c>
      <c r="H950">
        <f>60*E950+F950</f>
        <v>334</v>
      </c>
      <c r="I950" s="3">
        <f>5*(3600/H950)</f>
        <v>53.892215568862277</v>
      </c>
    </row>
    <row r="951" spans="1:9" x14ac:dyDescent="0.25">
      <c r="A951" s="4" t="s">
        <v>32</v>
      </c>
      <c r="B951" s="1">
        <v>0.83624799999999999</v>
      </c>
      <c r="C951" s="1">
        <v>0.832376</v>
      </c>
      <c r="D951" s="1">
        <f>IF(B951&gt;C951,B951-C951,C951-B951)</f>
        <v>3.8719999999999866E-3</v>
      </c>
      <c r="E951">
        <f>MINUTE(D951)</f>
        <v>5</v>
      </c>
      <c r="F951">
        <f>SECOND(D951)</f>
        <v>35</v>
      </c>
      <c r="G951">
        <f>ROUND(E951+F951/60,2)</f>
        <v>5.58</v>
      </c>
      <c r="H951">
        <f>60*E951+F951</f>
        <v>335</v>
      </c>
      <c r="I951" s="3">
        <f>5*(3600/H951)</f>
        <v>53.731343283582092</v>
      </c>
    </row>
    <row r="952" spans="1:9" x14ac:dyDescent="0.25">
      <c r="A952" s="4" t="s">
        <v>46</v>
      </c>
      <c r="B952" s="1">
        <v>0.42665900000000001</v>
      </c>
      <c r="C952" s="1">
        <v>0.42278300000000002</v>
      </c>
      <c r="D952" s="1">
        <f>IF(B952&gt;C952,B952-C952,C952-B952)</f>
        <v>3.8759999999999906E-3</v>
      </c>
      <c r="E952">
        <f>MINUTE(D952)</f>
        <v>5</v>
      </c>
      <c r="F952">
        <f>SECOND(D952)</f>
        <v>35</v>
      </c>
      <c r="G952">
        <f>ROUND(E952+F952/60,2)</f>
        <v>5.58</v>
      </c>
      <c r="H952">
        <f>60*E952+F952</f>
        <v>335</v>
      </c>
      <c r="I952" s="3">
        <f>5*(3600/H952)</f>
        <v>53.731343283582092</v>
      </c>
    </row>
    <row r="953" spans="1:9" x14ac:dyDescent="0.25">
      <c r="A953" s="4" t="s">
        <v>58</v>
      </c>
      <c r="B953" s="1">
        <v>0.90173300000000001</v>
      </c>
      <c r="C953" s="1">
        <v>0.905613</v>
      </c>
      <c r="D953" s="1">
        <f>IF(B953&gt;C953,B953-C953,C953-B953)</f>
        <v>3.8799999999999946E-3</v>
      </c>
      <c r="E953">
        <f>MINUTE(D953)</f>
        <v>5</v>
      </c>
      <c r="F953">
        <f>SECOND(D953)</f>
        <v>35</v>
      </c>
      <c r="G953">
        <f>ROUND(E953+F953/60,2)</f>
        <v>5.58</v>
      </c>
      <c r="H953">
        <f>60*E953+F953</f>
        <v>335</v>
      </c>
      <c r="I953" s="3">
        <f>5*(3600/H953)</f>
        <v>53.731343283582092</v>
      </c>
    </row>
    <row r="954" spans="1:9" x14ac:dyDescent="0.25">
      <c r="A954" s="4" t="s">
        <v>82</v>
      </c>
      <c r="B954" s="1">
        <v>0.63863800000000004</v>
      </c>
      <c r="C954" s="1">
        <v>0.64251000000000003</v>
      </c>
      <c r="D954" s="1">
        <f>IF(B954&gt;C954,B954-C954,C954-B954)</f>
        <v>3.8719999999999866E-3</v>
      </c>
      <c r="E954">
        <f>MINUTE(D954)</f>
        <v>5</v>
      </c>
      <c r="F954">
        <f>SECOND(D954)</f>
        <v>35</v>
      </c>
      <c r="G954">
        <f>ROUND(E954+F954/60,2)</f>
        <v>5.58</v>
      </c>
      <c r="H954">
        <f>60*E954+F954</f>
        <v>335</v>
      </c>
      <c r="I954" s="3">
        <f>5*(3600/H954)</f>
        <v>53.731343283582092</v>
      </c>
    </row>
    <row r="955" spans="1:9" x14ac:dyDescent="0.25">
      <c r="A955" s="4" t="s">
        <v>3</v>
      </c>
      <c r="B955" s="1">
        <v>0.121036</v>
      </c>
      <c r="C955" s="1">
        <v>0.12492</v>
      </c>
      <c r="D955" s="1">
        <f>IF(B955&gt;C955,B955-C955,C955-B955)</f>
        <v>3.8839999999999986E-3</v>
      </c>
      <c r="E955">
        <f>MINUTE(D955)</f>
        <v>5</v>
      </c>
      <c r="F955">
        <f>SECOND(D955)</f>
        <v>36</v>
      </c>
      <c r="G955">
        <f>ROUND(E955+F955/60,2)</f>
        <v>5.6</v>
      </c>
      <c r="H955">
        <f>60*E955+F955</f>
        <v>336</v>
      </c>
      <c r="I955" s="3">
        <f>5*(3600/H955)</f>
        <v>53.571428571428569</v>
      </c>
    </row>
    <row r="956" spans="1:9" x14ac:dyDescent="0.25">
      <c r="A956" s="4" t="s">
        <v>41</v>
      </c>
      <c r="B956" s="1">
        <v>0.17504700000000001</v>
      </c>
      <c r="C956" s="1">
        <v>0.17893500000000001</v>
      </c>
      <c r="D956" s="1">
        <f>IF(B956&gt;C956,B956-C956,C956-B956)</f>
        <v>3.8880000000000026E-3</v>
      </c>
      <c r="E956">
        <f>MINUTE(D956)</f>
        <v>5</v>
      </c>
      <c r="F956">
        <f>SECOND(D956)</f>
        <v>36</v>
      </c>
      <c r="G956">
        <f>ROUND(E956+F956/60,2)</f>
        <v>5.6</v>
      </c>
      <c r="H956">
        <f>60*E956+F956</f>
        <v>336</v>
      </c>
      <c r="I956" s="3">
        <f>5*(3600/H956)</f>
        <v>53.571428571428569</v>
      </c>
    </row>
    <row r="957" spans="1:9" x14ac:dyDescent="0.25">
      <c r="A957" s="4" t="s">
        <v>66</v>
      </c>
      <c r="B957" s="1">
        <v>0.336086</v>
      </c>
      <c r="C957" s="1">
        <v>0.33219799999999999</v>
      </c>
      <c r="D957" s="1">
        <f>IF(B957&gt;C957,B957-C957,C957-B957)</f>
        <v>3.8880000000000026E-3</v>
      </c>
      <c r="E957">
        <f>MINUTE(D957)</f>
        <v>5</v>
      </c>
      <c r="F957">
        <f>SECOND(D957)</f>
        <v>36</v>
      </c>
      <c r="G957">
        <f>ROUND(E957+F957/60,2)</f>
        <v>5.6</v>
      </c>
      <c r="H957">
        <f>60*E957+F957</f>
        <v>336</v>
      </c>
      <c r="I957" s="3">
        <f>5*(3600/H957)</f>
        <v>53.571428571428569</v>
      </c>
    </row>
    <row r="958" spans="1:9" x14ac:dyDescent="0.25">
      <c r="A958" s="4" t="s">
        <v>54</v>
      </c>
      <c r="B958" s="1">
        <v>0.10882</v>
      </c>
      <c r="C958" s="1">
        <v>0.104932</v>
      </c>
      <c r="D958" s="1">
        <f>IF(B958&gt;C958,B958-C958,C958-B958)</f>
        <v>3.8880000000000026E-3</v>
      </c>
      <c r="E958">
        <f>MINUTE(D958)</f>
        <v>5</v>
      </c>
      <c r="F958">
        <f>SECOND(D958)</f>
        <v>36</v>
      </c>
      <c r="G958">
        <f>ROUND(E958+F958/60,2)</f>
        <v>5.6</v>
      </c>
      <c r="H958">
        <f>60*E958+F958</f>
        <v>336</v>
      </c>
      <c r="I958" s="3">
        <f>5*(3600/H958)</f>
        <v>53.571428571428569</v>
      </c>
    </row>
    <row r="959" spans="1:9" x14ac:dyDescent="0.25">
      <c r="A959" s="4" t="s">
        <v>64</v>
      </c>
      <c r="B959" s="1">
        <v>0.122706</v>
      </c>
      <c r="C959" s="1">
        <v>0.118814</v>
      </c>
      <c r="D959" s="1">
        <f>IF(B959&gt;C959,B959-C959,C959-B959)</f>
        <v>3.8919999999999927E-3</v>
      </c>
      <c r="E959">
        <f>MINUTE(D959)</f>
        <v>5</v>
      </c>
      <c r="F959">
        <f>SECOND(D959)</f>
        <v>36</v>
      </c>
      <c r="G959">
        <f>ROUND(E959+F959/60,2)</f>
        <v>5.6</v>
      </c>
      <c r="H959">
        <f>60*E959+F959</f>
        <v>336</v>
      </c>
      <c r="I959" s="3">
        <f>5*(3600/H959)</f>
        <v>53.571428571428569</v>
      </c>
    </row>
    <row r="960" spans="1:9" x14ac:dyDescent="0.25">
      <c r="A960" s="4" t="s">
        <v>47</v>
      </c>
      <c r="B960" s="1">
        <v>0.56683799999999995</v>
      </c>
      <c r="C960" s="1">
        <v>0.56295399999999995</v>
      </c>
      <c r="D960" s="1">
        <f>IF(B960&gt;C960,B960-C960,C960-B960)</f>
        <v>3.8839999999999986E-3</v>
      </c>
      <c r="E960">
        <f>MINUTE(D960)</f>
        <v>5</v>
      </c>
      <c r="F960">
        <f>SECOND(D960)</f>
        <v>36</v>
      </c>
      <c r="G960">
        <f>ROUND(E960+F960/60,2)</f>
        <v>5.6</v>
      </c>
      <c r="H960">
        <f>60*E960+F960</f>
        <v>336</v>
      </c>
      <c r="I960" s="3">
        <f>5*(3600/H960)</f>
        <v>53.571428571428569</v>
      </c>
    </row>
    <row r="961" spans="1:9" x14ac:dyDescent="0.25">
      <c r="A961" s="4" t="s">
        <v>28</v>
      </c>
      <c r="B961" s="1">
        <v>0.29008400000000001</v>
      </c>
      <c r="C961" s="1">
        <v>0.29398800000000003</v>
      </c>
      <c r="D961" s="1">
        <f>IF(B961&gt;C961,B961-C961,C961-B961)</f>
        <v>3.9040000000000186E-3</v>
      </c>
      <c r="E961">
        <f>MINUTE(D961)</f>
        <v>5</v>
      </c>
      <c r="F961">
        <f>SECOND(D961)</f>
        <v>37</v>
      </c>
      <c r="G961">
        <f>ROUND(E961+F961/60,2)</f>
        <v>5.62</v>
      </c>
      <c r="H961">
        <f>60*E961+F961</f>
        <v>337</v>
      </c>
      <c r="I961" s="3">
        <f>5*(3600/H961)</f>
        <v>53.412462908011868</v>
      </c>
    </row>
    <row r="962" spans="1:9" x14ac:dyDescent="0.25">
      <c r="A962" s="4" t="s">
        <v>112</v>
      </c>
      <c r="B962" s="1">
        <v>0.85606400000000005</v>
      </c>
      <c r="C962" s="1">
        <v>0.85216400000000003</v>
      </c>
      <c r="D962" s="1">
        <f>IF(B962&gt;C962,B962-C962,C962-B962)</f>
        <v>3.9000000000000146E-3</v>
      </c>
      <c r="E962">
        <f>MINUTE(D962)</f>
        <v>5</v>
      </c>
      <c r="F962">
        <f>SECOND(D962)</f>
        <v>37</v>
      </c>
      <c r="G962">
        <f>ROUND(E962+F962/60,2)</f>
        <v>5.62</v>
      </c>
      <c r="H962">
        <f>60*E962+F962</f>
        <v>337</v>
      </c>
      <c r="I962" s="3">
        <f>5*(3600/H962)</f>
        <v>53.412462908011868</v>
      </c>
    </row>
    <row r="963" spans="1:9" x14ac:dyDescent="0.25">
      <c r="A963" s="4" t="s">
        <v>117</v>
      </c>
      <c r="B963" s="1">
        <v>0.17993500000000001</v>
      </c>
      <c r="C963" s="1">
        <v>0.17603099999999999</v>
      </c>
      <c r="D963" s="1">
        <f>IF(B963&gt;C963,B963-C963,C963-B963)</f>
        <v>3.9040000000000186E-3</v>
      </c>
      <c r="E963">
        <f>MINUTE(D963)</f>
        <v>5</v>
      </c>
      <c r="F963">
        <f>SECOND(D963)</f>
        <v>37</v>
      </c>
      <c r="G963">
        <f>ROUND(E963+F963/60,2)</f>
        <v>5.62</v>
      </c>
      <c r="H963">
        <f>60*E963+F963</f>
        <v>337</v>
      </c>
      <c r="I963" s="3">
        <f>5*(3600/H963)</f>
        <v>53.412462908011868</v>
      </c>
    </row>
    <row r="964" spans="1:9" x14ac:dyDescent="0.25">
      <c r="A964" s="4" t="s">
        <v>96</v>
      </c>
      <c r="B964" s="1">
        <v>0.69461200000000001</v>
      </c>
      <c r="C964" s="1">
        <v>0.69851200000000002</v>
      </c>
      <c r="D964" s="1">
        <f>IF(B964&gt;C964,B964-C964,C964-B964)</f>
        <v>3.9000000000000146E-3</v>
      </c>
      <c r="E964">
        <f>MINUTE(D964)</f>
        <v>5</v>
      </c>
      <c r="F964">
        <f>SECOND(D964)</f>
        <v>37</v>
      </c>
      <c r="G964">
        <f>ROUND(E964+F964/60,2)</f>
        <v>5.62</v>
      </c>
      <c r="H964">
        <f>60*E964+F964</f>
        <v>337</v>
      </c>
      <c r="I964" s="3">
        <f>5*(3600/H964)</f>
        <v>53.412462908011868</v>
      </c>
    </row>
    <row r="965" spans="1:9" x14ac:dyDescent="0.25">
      <c r="A965" s="4" t="s">
        <v>134</v>
      </c>
      <c r="B965" s="1">
        <v>0.16026199999999999</v>
      </c>
      <c r="C965" s="1">
        <v>0.16416600000000001</v>
      </c>
      <c r="D965" s="1">
        <f>IF(B965&gt;C965,B965-C965,C965-B965)</f>
        <v>3.9040000000000186E-3</v>
      </c>
      <c r="E965">
        <f>MINUTE(D965)</f>
        <v>5</v>
      </c>
      <c r="F965">
        <f>SECOND(D965)</f>
        <v>37</v>
      </c>
      <c r="G965">
        <f>ROUND(E965+F965/60,2)</f>
        <v>5.62</v>
      </c>
      <c r="H965">
        <f>60*E965+F965</f>
        <v>337</v>
      </c>
      <c r="I965" s="3">
        <f>5*(3600/H965)</f>
        <v>53.412462908011868</v>
      </c>
    </row>
    <row r="966" spans="1:9" x14ac:dyDescent="0.25">
      <c r="A966" s="4" t="s">
        <v>218</v>
      </c>
      <c r="B966" s="1">
        <v>4.9180000000000001E-2</v>
      </c>
      <c r="C966" s="1">
        <v>4.5275999999999997E-2</v>
      </c>
      <c r="D966" s="1">
        <f>IF(B966&gt;C966,B966-C966,C966-B966)</f>
        <v>3.9040000000000047E-3</v>
      </c>
      <c r="E966">
        <f>MINUTE(D966)</f>
        <v>5</v>
      </c>
      <c r="F966">
        <f>SECOND(D966)</f>
        <v>37</v>
      </c>
      <c r="G966">
        <f>ROUND(E966+F966/60,2)</f>
        <v>5.62</v>
      </c>
      <c r="H966">
        <f>60*E966+F966</f>
        <v>337</v>
      </c>
      <c r="I966" s="3">
        <f>5*(3600/H966)</f>
        <v>53.412462908011868</v>
      </c>
    </row>
    <row r="967" spans="1:9" x14ac:dyDescent="0.25">
      <c r="A967" s="4" t="s">
        <v>373</v>
      </c>
      <c r="B967" s="1">
        <v>0.79386299999999999</v>
      </c>
      <c r="C967" s="1">
        <v>0.797763</v>
      </c>
      <c r="D967" s="1">
        <f>IF(B967&gt;C967,B967-C967,C967-B967)</f>
        <v>3.9000000000000146E-3</v>
      </c>
      <c r="E967">
        <f>MINUTE(D967)</f>
        <v>5</v>
      </c>
      <c r="F967">
        <f>SECOND(D967)</f>
        <v>37</v>
      </c>
      <c r="G967">
        <f>ROUND(E967+F967/60,2)</f>
        <v>5.62</v>
      </c>
      <c r="H967">
        <f>60*E967+F967</f>
        <v>337</v>
      </c>
      <c r="I967" s="3">
        <f>5*(3600/H967)</f>
        <v>53.412462908011868</v>
      </c>
    </row>
    <row r="968" spans="1:9" x14ac:dyDescent="0.25">
      <c r="A968" s="4" t="s">
        <v>377</v>
      </c>
      <c r="B968" s="1">
        <v>0.65303999999999995</v>
      </c>
      <c r="C968" s="1">
        <v>0.64914400000000005</v>
      </c>
      <c r="D968" s="1">
        <f>IF(B968&gt;C968,B968-C968,C968-B968)</f>
        <v>3.8959999999998995E-3</v>
      </c>
      <c r="E968">
        <f>MINUTE(D968)</f>
        <v>5</v>
      </c>
      <c r="F968">
        <f>SECOND(D968)</f>
        <v>37</v>
      </c>
      <c r="G968">
        <f>ROUND(E968+F968/60,2)</f>
        <v>5.62</v>
      </c>
      <c r="H968">
        <f>60*E968+F968</f>
        <v>337</v>
      </c>
      <c r="I968" s="3">
        <f>5*(3600/H968)</f>
        <v>53.412462908011868</v>
      </c>
    </row>
    <row r="969" spans="1:9" x14ac:dyDescent="0.25">
      <c r="A969" s="4" t="s">
        <v>41</v>
      </c>
      <c r="B969" s="1">
        <v>0.54968600000000001</v>
      </c>
      <c r="C969" s="1">
        <v>0.55359800000000003</v>
      </c>
      <c r="D969" s="1">
        <f>IF(B969&gt;C969,B969-C969,C969-B969)</f>
        <v>3.9120000000000266E-3</v>
      </c>
      <c r="E969">
        <f>MINUTE(D969)</f>
        <v>5</v>
      </c>
      <c r="F969">
        <f>SECOND(D969)</f>
        <v>38</v>
      </c>
      <c r="G969">
        <f>ROUND(E969+F969/60,2)</f>
        <v>5.63</v>
      </c>
      <c r="H969">
        <f>60*E969+F969</f>
        <v>338</v>
      </c>
      <c r="I969" s="3">
        <f>5*(3600/H969)</f>
        <v>53.254437869822482</v>
      </c>
    </row>
    <row r="970" spans="1:9" x14ac:dyDescent="0.25">
      <c r="A970" s="4" t="s">
        <v>50</v>
      </c>
      <c r="B970" s="1">
        <v>0.46306999999999998</v>
      </c>
      <c r="C970" s="1">
        <v>0.466978</v>
      </c>
      <c r="D970" s="1">
        <f>IF(B970&gt;C970,B970-C970,C970-B970)</f>
        <v>3.9080000000000226E-3</v>
      </c>
      <c r="E970">
        <f>MINUTE(D970)</f>
        <v>5</v>
      </c>
      <c r="F970">
        <f>SECOND(D970)</f>
        <v>38</v>
      </c>
      <c r="G970">
        <f>ROUND(E970+F970/60,2)</f>
        <v>5.63</v>
      </c>
      <c r="H970">
        <f>60*E970+F970</f>
        <v>338</v>
      </c>
      <c r="I970" s="3">
        <f>5*(3600/H970)</f>
        <v>53.254437869822482</v>
      </c>
    </row>
    <row r="971" spans="1:9" x14ac:dyDescent="0.25">
      <c r="A971" s="4" t="s">
        <v>5</v>
      </c>
      <c r="B971" s="1">
        <v>0.12634100000000001</v>
      </c>
      <c r="C971" s="1">
        <v>0.122433</v>
      </c>
      <c r="D971" s="1">
        <f>IF(B971&gt;C971,B971-C971,C971-B971)</f>
        <v>3.9080000000000087E-3</v>
      </c>
      <c r="E971">
        <f>MINUTE(D971)</f>
        <v>5</v>
      </c>
      <c r="F971">
        <f>SECOND(D971)</f>
        <v>38</v>
      </c>
      <c r="G971">
        <f>ROUND(E971+F971/60,2)</f>
        <v>5.63</v>
      </c>
      <c r="H971">
        <f>60*E971+F971</f>
        <v>338</v>
      </c>
      <c r="I971" s="3">
        <f>5*(3600/H971)</f>
        <v>53.254437869822482</v>
      </c>
    </row>
    <row r="972" spans="1:9" x14ac:dyDescent="0.25">
      <c r="A972" s="4" t="s">
        <v>311</v>
      </c>
      <c r="B972" s="1">
        <v>0.959534</v>
      </c>
      <c r="C972" s="1">
        <v>0.96345000000000003</v>
      </c>
      <c r="D972" s="1">
        <f>IF(B972&gt;C972,B972-C972,C972-B972)</f>
        <v>3.9160000000000306E-3</v>
      </c>
      <c r="E972">
        <f>MINUTE(D972)</f>
        <v>5</v>
      </c>
      <c r="F972">
        <f>SECOND(D972)</f>
        <v>38</v>
      </c>
      <c r="G972">
        <f>ROUND(E972+F972/60,2)</f>
        <v>5.63</v>
      </c>
      <c r="H972">
        <f>60*E972+F972</f>
        <v>338</v>
      </c>
      <c r="I972" s="3">
        <f>5*(3600/H972)</f>
        <v>53.254437869822482</v>
      </c>
    </row>
    <row r="973" spans="1:9" x14ac:dyDescent="0.25">
      <c r="A973" s="4" t="s">
        <v>65</v>
      </c>
      <c r="B973" s="1">
        <v>0.55854400000000004</v>
      </c>
      <c r="C973" s="1">
        <v>0.55462400000000001</v>
      </c>
      <c r="D973" s="1">
        <f>IF(B973&gt;C973,B973-C973,C973-B973)</f>
        <v>3.9200000000000346E-3</v>
      </c>
      <c r="E973">
        <f>MINUTE(D973)</f>
        <v>5</v>
      </c>
      <c r="F973">
        <f>SECOND(D973)</f>
        <v>39</v>
      </c>
      <c r="G973">
        <f>ROUND(E973+F973/60,2)</f>
        <v>5.65</v>
      </c>
      <c r="H973">
        <f>60*E973+F973</f>
        <v>339</v>
      </c>
      <c r="I973" s="3">
        <f>5*(3600/H973)</f>
        <v>53.097345132743364</v>
      </c>
    </row>
    <row r="974" spans="1:9" x14ac:dyDescent="0.25">
      <c r="A974" s="4" t="s">
        <v>212</v>
      </c>
      <c r="B974" s="1">
        <v>0.15565499999999999</v>
      </c>
      <c r="C974" s="1">
        <v>0.151727</v>
      </c>
      <c r="D974" s="1">
        <f>IF(B974&gt;C974,B974-C974,C974-B974)</f>
        <v>3.9279999999999871E-3</v>
      </c>
      <c r="E974">
        <f>MINUTE(D974)</f>
        <v>5</v>
      </c>
      <c r="F974">
        <f>SECOND(D974)</f>
        <v>39</v>
      </c>
      <c r="G974">
        <f>ROUND(E974+F974/60,2)</f>
        <v>5.65</v>
      </c>
      <c r="H974">
        <f>60*E974+F974</f>
        <v>339</v>
      </c>
      <c r="I974" s="3">
        <f>5*(3600/H974)</f>
        <v>53.097345132743364</v>
      </c>
    </row>
    <row r="975" spans="1:9" x14ac:dyDescent="0.25">
      <c r="A975" s="4" t="s">
        <v>353</v>
      </c>
      <c r="B975" s="1">
        <v>0.74910699999999997</v>
      </c>
      <c r="C975" s="1">
        <v>0.753027</v>
      </c>
      <c r="D975" s="1">
        <f>IF(B975&gt;C975,B975-C975,C975-B975)</f>
        <v>3.9200000000000346E-3</v>
      </c>
      <c r="E975">
        <f>MINUTE(D975)</f>
        <v>5</v>
      </c>
      <c r="F975">
        <f>SECOND(D975)</f>
        <v>39</v>
      </c>
      <c r="G975">
        <f>ROUND(E975+F975/60,2)</f>
        <v>5.65</v>
      </c>
      <c r="H975">
        <f>60*E975+F975</f>
        <v>339</v>
      </c>
      <c r="I975" s="3">
        <f>5*(3600/H975)</f>
        <v>53.097345132743364</v>
      </c>
    </row>
    <row r="976" spans="1:9" x14ac:dyDescent="0.25">
      <c r="A976" s="4" t="s">
        <v>207</v>
      </c>
      <c r="B976" s="1">
        <v>0.68479000000000001</v>
      </c>
      <c r="C976" s="1">
        <v>0.68872999999999995</v>
      </c>
      <c r="D976" s="1">
        <f>IF(B976&gt;C976,B976-C976,C976-B976)</f>
        <v>3.9399999999999435E-3</v>
      </c>
      <c r="E976">
        <f>MINUTE(D976)</f>
        <v>5</v>
      </c>
      <c r="F976">
        <f>SECOND(D976)</f>
        <v>40</v>
      </c>
      <c r="G976">
        <f>ROUND(E976+F976/60,2)</f>
        <v>5.67</v>
      </c>
      <c r="H976">
        <f>60*E976+F976</f>
        <v>340</v>
      </c>
      <c r="I976" s="3">
        <f>5*(3600/H976)</f>
        <v>52.941176470588232</v>
      </c>
    </row>
    <row r="977" spans="1:9" x14ac:dyDescent="0.25">
      <c r="A977" s="4" t="s">
        <v>233</v>
      </c>
      <c r="B977" s="1">
        <v>0.423147</v>
      </c>
      <c r="C977" s="1">
        <v>0.419211</v>
      </c>
      <c r="D977" s="1">
        <f>IF(B977&gt;C977,B977-C977,C977-B977)</f>
        <v>3.9359999999999951E-3</v>
      </c>
      <c r="E977">
        <f>MINUTE(D977)</f>
        <v>5</v>
      </c>
      <c r="F977">
        <f>SECOND(D977)</f>
        <v>40</v>
      </c>
      <c r="G977">
        <f>ROUND(E977+F977/60,2)</f>
        <v>5.67</v>
      </c>
      <c r="H977">
        <f>60*E977+F977</f>
        <v>340</v>
      </c>
      <c r="I977" s="3">
        <f>5*(3600/H977)</f>
        <v>52.941176470588232</v>
      </c>
    </row>
    <row r="978" spans="1:9" x14ac:dyDescent="0.25">
      <c r="A978" s="4" t="s">
        <v>307</v>
      </c>
      <c r="B978" s="1">
        <v>0.67436099999999999</v>
      </c>
      <c r="C978" s="1">
        <v>0.67042500000000005</v>
      </c>
      <c r="D978" s="1">
        <f>IF(B978&gt;C978,B978-C978,C978-B978)</f>
        <v>3.9359999999999395E-3</v>
      </c>
      <c r="E978">
        <f>MINUTE(D978)</f>
        <v>5</v>
      </c>
      <c r="F978">
        <f>SECOND(D978)</f>
        <v>40</v>
      </c>
      <c r="G978">
        <f>ROUND(E978+F978/60,2)</f>
        <v>5.67</v>
      </c>
      <c r="H978">
        <f>60*E978+F978</f>
        <v>340</v>
      </c>
      <c r="I978" s="3">
        <f>5*(3600/H978)</f>
        <v>52.941176470588232</v>
      </c>
    </row>
    <row r="979" spans="1:9" x14ac:dyDescent="0.25">
      <c r="A979" s="4" t="s">
        <v>380</v>
      </c>
      <c r="B979" s="1">
        <v>0.64335699999999996</v>
      </c>
      <c r="C979" s="1">
        <v>0.63941700000000001</v>
      </c>
      <c r="D979" s="1">
        <f>IF(B979&gt;C979,B979-C979,C979-B979)</f>
        <v>3.9399999999999435E-3</v>
      </c>
      <c r="E979">
        <f>MINUTE(D979)</f>
        <v>5</v>
      </c>
      <c r="F979">
        <f>SECOND(D979)</f>
        <v>40</v>
      </c>
      <c r="G979">
        <f>ROUND(E979+F979/60,2)</f>
        <v>5.67</v>
      </c>
      <c r="H979">
        <f>60*E979+F979</f>
        <v>340</v>
      </c>
      <c r="I979" s="3">
        <f>5*(3600/H979)</f>
        <v>52.941176470588232</v>
      </c>
    </row>
    <row r="980" spans="1:9" x14ac:dyDescent="0.25">
      <c r="A980" s="4" t="s">
        <v>152</v>
      </c>
      <c r="B980" s="1">
        <v>0.86309499999999995</v>
      </c>
      <c r="C980" s="1">
        <v>0.85914699999999999</v>
      </c>
      <c r="D980" s="1">
        <f>IF(B980&gt;C980,B980-C980,C980-B980)</f>
        <v>3.9479999999999515E-3</v>
      </c>
      <c r="E980">
        <f>MINUTE(D980)</f>
        <v>5</v>
      </c>
      <c r="F980">
        <f>SECOND(D980)</f>
        <v>41</v>
      </c>
      <c r="G980">
        <f>ROUND(E980+F980/60,2)</f>
        <v>5.68</v>
      </c>
      <c r="H980">
        <f>60*E980+F980</f>
        <v>341</v>
      </c>
      <c r="I980" s="3">
        <f>5*(3600/H980)</f>
        <v>52.785923753665685</v>
      </c>
    </row>
    <row r="981" spans="1:9" x14ac:dyDescent="0.25">
      <c r="A981" s="4" t="s">
        <v>428</v>
      </c>
      <c r="B981" s="1">
        <v>0.93484299999999998</v>
      </c>
      <c r="C981" s="1">
        <v>0.93879100000000004</v>
      </c>
      <c r="D981" s="1">
        <f>IF(B981&gt;C981,B981-C981,C981-B981)</f>
        <v>3.9480000000000626E-3</v>
      </c>
      <c r="E981">
        <f>MINUTE(D981)</f>
        <v>5</v>
      </c>
      <c r="F981">
        <f>SECOND(D981)</f>
        <v>41</v>
      </c>
      <c r="G981">
        <f>ROUND(E981+F981/60,2)</f>
        <v>5.68</v>
      </c>
      <c r="H981">
        <f>60*E981+F981</f>
        <v>341</v>
      </c>
      <c r="I981" s="3">
        <f>5*(3600/H981)</f>
        <v>52.785923753665685</v>
      </c>
    </row>
    <row r="982" spans="1:9" x14ac:dyDescent="0.25">
      <c r="A982" s="4" t="s">
        <v>106</v>
      </c>
      <c r="B982" s="1">
        <v>0.97974099999999997</v>
      </c>
      <c r="C982" s="1">
        <v>0.98368500000000003</v>
      </c>
      <c r="D982" s="1">
        <f>IF(B982&gt;C982,B982-C982,C982-B982)</f>
        <v>3.9440000000000586E-3</v>
      </c>
      <c r="E982">
        <f>MINUTE(D982)</f>
        <v>5</v>
      </c>
      <c r="F982">
        <f>SECOND(D982)</f>
        <v>41</v>
      </c>
      <c r="G982">
        <f>ROUND(E982+F982/60,2)</f>
        <v>5.68</v>
      </c>
      <c r="H982">
        <f>60*E982+F982</f>
        <v>341</v>
      </c>
      <c r="I982" s="3">
        <f>5*(3600/H982)</f>
        <v>52.785923753665685</v>
      </c>
    </row>
    <row r="983" spans="1:9" x14ac:dyDescent="0.25">
      <c r="A983" s="4" t="s">
        <v>109</v>
      </c>
      <c r="B983" s="1">
        <v>0.61124299999999998</v>
      </c>
      <c r="C983" s="1">
        <v>0.61519100000000004</v>
      </c>
      <c r="D983" s="1">
        <f>IF(B983&gt;C983,B983-C983,C983-B983)</f>
        <v>3.9480000000000626E-3</v>
      </c>
      <c r="E983">
        <f>MINUTE(D983)</f>
        <v>5</v>
      </c>
      <c r="F983">
        <f>SECOND(D983)</f>
        <v>41</v>
      </c>
      <c r="G983">
        <f>ROUND(E983+F983/60,2)</f>
        <v>5.68</v>
      </c>
      <c r="H983">
        <f>60*E983+F983</f>
        <v>341</v>
      </c>
      <c r="I983" s="3">
        <f>5*(3600/H983)</f>
        <v>52.785923753665685</v>
      </c>
    </row>
    <row r="984" spans="1:9" x14ac:dyDescent="0.25">
      <c r="A984" s="4" t="s">
        <v>109</v>
      </c>
      <c r="B984" s="1">
        <v>0.67701</v>
      </c>
      <c r="C984" s="1">
        <v>0.67305400000000004</v>
      </c>
      <c r="D984" s="1">
        <f>IF(B984&gt;C984,B984-C984,C984-B984)</f>
        <v>3.9559999999999595E-3</v>
      </c>
      <c r="E984">
        <f>MINUTE(D984)</f>
        <v>5</v>
      </c>
      <c r="F984">
        <f>SECOND(D984)</f>
        <v>42</v>
      </c>
      <c r="G984">
        <f>ROUND(E984+F984/60,2)</f>
        <v>5.7</v>
      </c>
      <c r="H984">
        <f>60*E984+F984</f>
        <v>342</v>
      </c>
      <c r="I984" s="3">
        <f>5*(3600/H984)</f>
        <v>52.631578947368425</v>
      </c>
    </row>
    <row r="985" spans="1:9" x14ac:dyDescent="0.25">
      <c r="A985" s="4" t="s">
        <v>55</v>
      </c>
      <c r="B985" s="1">
        <v>0.62152399999999997</v>
      </c>
      <c r="C985" s="1">
        <v>0.61756</v>
      </c>
      <c r="D985" s="1">
        <f>IF(B985&gt;C985,B985-C985,C985-B985)</f>
        <v>3.9639999999999675E-3</v>
      </c>
      <c r="E985">
        <f>MINUTE(D985)</f>
        <v>5</v>
      </c>
      <c r="F985">
        <f>SECOND(D985)</f>
        <v>42</v>
      </c>
      <c r="G985">
        <f>ROUND(E985+F985/60,2)</f>
        <v>5.7</v>
      </c>
      <c r="H985">
        <f>60*E985+F985</f>
        <v>342</v>
      </c>
      <c r="I985" s="3">
        <f>5*(3600/H985)</f>
        <v>52.631578947368425</v>
      </c>
    </row>
    <row r="986" spans="1:9" x14ac:dyDescent="0.25">
      <c r="A986" s="4" t="s">
        <v>108</v>
      </c>
      <c r="B986" s="1">
        <v>0.39525900000000003</v>
      </c>
      <c r="C986" s="1">
        <v>0.39127499999999998</v>
      </c>
      <c r="D986" s="1">
        <f>IF(B986&gt;C986,B986-C986,C986-B986)</f>
        <v>3.9840000000000431E-3</v>
      </c>
      <c r="E986">
        <f>MINUTE(D986)</f>
        <v>5</v>
      </c>
      <c r="F986">
        <f>SECOND(D986)</f>
        <v>44</v>
      </c>
      <c r="G986">
        <f>ROUND(E986+F986/60,2)</f>
        <v>5.73</v>
      </c>
      <c r="H986">
        <f>60*E986+F986</f>
        <v>344</v>
      </c>
      <c r="I986" s="3">
        <f>5*(3600/H986)</f>
        <v>52.325581395348841</v>
      </c>
    </row>
    <row r="987" spans="1:9" x14ac:dyDescent="0.25">
      <c r="A987" s="4" t="s">
        <v>126</v>
      </c>
      <c r="B987" s="1">
        <v>0.63802199999999998</v>
      </c>
      <c r="C987" s="1">
        <v>0.64200199999999996</v>
      </c>
      <c r="D987" s="1">
        <f>IF(B987&gt;C987,B987-C987,C987-B987)</f>
        <v>3.9799999999999836E-3</v>
      </c>
      <c r="E987">
        <f>MINUTE(D987)</f>
        <v>5</v>
      </c>
      <c r="F987">
        <f>SECOND(D987)</f>
        <v>44</v>
      </c>
      <c r="G987">
        <f>ROUND(E987+F987/60,2)</f>
        <v>5.73</v>
      </c>
      <c r="H987">
        <f>60*E987+F987</f>
        <v>344</v>
      </c>
      <c r="I987" s="3">
        <f>5*(3600/H987)</f>
        <v>52.325581395348841</v>
      </c>
    </row>
    <row r="988" spans="1:9" x14ac:dyDescent="0.25">
      <c r="A988" s="4" t="s">
        <v>152</v>
      </c>
      <c r="B988" s="1">
        <v>1.2241E-2</v>
      </c>
      <c r="C988" s="1">
        <v>1.6216999999999999E-2</v>
      </c>
      <c r="D988" s="1">
        <f>IF(B988&gt;C988,B988-C988,C988-B988)</f>
        <v>3.9759999999999986E-3</v>
      </c>
      <c r="E988">
        <f>MINUTE(D988)</f>
        <v>5</v>
      </c>
      <c r="F988">
        <f>SECOND(D988)</f>
        <v>44</v>
      </c>
      <c r="G988">
        <f>ROUND(E988+F988/60,2)</f>
        <v>5.73</v>
      </c>
      <c r="H988">
        <f>60*E988+F988</f>
        <v>344</v>
      </c>
      <c r="I988" s="3">
        <f>5*(3600/H988)</f>
        <v>52.325581395348841</v>
      </c>
    </row>
    <row r="989" spans="1:9" x14ac:dyDescent="0.25">
      <c r="A989" s="4" t="s">
        <v>75</v>
      </c>
      <c r="B989" s="1">
        <v>0.33326600000000001</v>
      </c>
      <c r="C989" s="1">
        <v>0.32928600000000002</v>
      </c>
      <c r="D989" s="1">
        <f>IF(B989&gt;C989,B989-C989,C989-B989)</f>
        <v>3.9799999999999836E-3</v>
      </c>
      <c r="E989">
        <f>MINUTE(D989)</f>
        <v>5</v>
      </c>
      <c r="F989">
        <f>SECOND(D989)</f>
        <v>44</v>
      </c>
      <c r="G989">
        <f>ROUND(E989+F989/60,2)</f>
        <v>5.73</v>
      </c>
      <c r="H989">
        <f>60*E989+F989</f>
        <v>344</v>
      </c>
      <c r="I989" s="3">
        <f>5*(3600/H989)</f>
        <v>52.325581395348841</v>
      </c>
    </row>
    <row r="990" spans="1:9" x14ac:dyDescent="0.25">
      <c r="A990" s="4" t="s">
        <v>5</v>
      </c>
      <c r="B990" s="1">
        <v>0.33269399999999999</v>
      </c>
      <c r="C990" s="1">
        <v>0.33667799999999998</v>
      </c>
      <c r="D990" s="1">
        <f>IF(B990&gt;C990,B990-C990,C990-B990)</f>
        <v>3.9839999999999876E-3</v>
      </c>
      <c r="E990">
        <f>MINUTE(D990)</f>
        <v>5</v>
      </c>
      <c r="F990">
        <f>SECOND(D990)</f>
        <v>44</v>
      </c>
      <c r="G990">
        <f>ROUND(E990+F990/60,2)</f>
        <v>5.73</v>
      </c>
      <c r="H990">
        <f>60*E990+F990</f>
        <v>344</v>
      </c>
      <c r="I990" s="3">
        <f>5*(3600/H990)</f>
        <v>52.325581395348841</v>
      </c>
    </row>
    <row r="991" spans="1:9" x14ac:dyDescent="0.25">
      <c r="A991" s="4" t="s">
        <v>102</v>
      </c>
      <c r="B991" s="1">
        <v>0.31938899999999998</v>
      </c>
      <c r="C991" s="1">
        <v>0.31539299999999998</v>
      </c>
      <c r="D991" s="1">
        <f>IF(B991&gt;C991,B991-C991,C991-B991)</f>
        <v>3.9959999999999996E-3</v>
      </c>
      <c r="E991">
        <f>MINUTE(D991)</f>
        <v>5</v>
      </c>
      <c r="F991">
        <f>SECOND(D991)</f>
        <v>45</v>
      </c>
      <c r="G991">
        <f>ROUND(E991+F991/60,2)</f>
        <v>5.75</v>
      </c>
      <c r="H991">
        <f>60*E991+F991</f>
        <v>345</v>
      </c>
      <c r="I991" s="3">
        <f>5*(3600/H991)</f>
        <v>52.173913043478265</v>
      </c>
    </row>
    <row r="992" spans="1:9" x14ac:dyDescent="0.25">
      <c r="A992" s="4" t="s">
        <v>56</v>
      </c>
      <c r="B992" s="1">
        <v>5.7780000000000001E-3</v>
      </c>
      <c r="C992" s="1">
        <v>1.7899999999999999E-3</v>
      </c>
      <c r="D992" s="1">
        <f>IF(B992&gt;C992,B992-C992,C992-B992)</f>
        <v>3.9880000000000002E-3</v>
      </c>
      <c r="E992">
        <f>MINUTE(D992)</f>
        <v>5</v>
      </c>
      <c r="F992">
        <f>SECOND(D992)</f>
        <v>45</v>
      </c>
      <c r="G992">
        <f>ROUND(E992+F992/60,2)</f>
        <v>5.75</v>
      </c>
      <c r="H992">
        <f>60*E992+F992</f>
        <v>345</v>
      </c>
      <c r="I992" s="3">
        <f>5*(3600/H992)</f>
        <v>52.173913043478265</v>
      </c>
    </row>
    <row r="993" spans="1:9" x14ac:dyDescent="0.25">
      <c r="A993" s="4" t="s">
        <v>117</v>
      </c>
      <c r="B993" s="1">
        <v>0.67266300000000001</v>
      </c>
      <c r="C993" s="1">
        <v>0.676651</v>
      </c>
      <c r="D993" s="1">
        <f>IF(B993&gt;C993,B993-C993,C993-B993)</f>
        <v>3.9879999999999916E-3</v>
      </c>
      <c r="E993">
        <f>MINUTE(D993)</f>
        <v>5</v>
      </c>
      <c r="F993">
        <f>SECOND(D993)</f>
        <v>45</v>
      </c>
      <c r="G993">
        <f>ROUND(E993+F993/60,2)</f>
        <v>5.75</v>
      </c>
      <c r="H993">
        <f>60*E993+F993</f>
        <v>345</v>
      </c>
      <c r="I993" s="3">
        <f>5*(3600/H993)</f>
        <v>52.173913043478265</v>
      </c>
    </row>
    <row r="994" spans="1:9" x14ac:dyDescent="0.25">
      <c r="A994" s="4" t="s">
        <v>47</v>
      </c>
      <c r="B994" s="1">
        <v>0.30973099999999998</v>
      </c>
      <c r="C994" s="1">
        <v>0.31371900000000003</v>
      </c>
      <c r="D994" s="1">
        <f>IF(B994&gt;C994,B994-C994,C994-B994)</f>
        <v>3.9880000000000471E-3</v>
      </c>
      <c r="E994">
        <f>MINUTE(D994)</f>
        <v>5</v>
      </c>
      <c r="F994">
        <f>SECOND(D994)</f>
        <v>45</v>
      </c>
      <c r="G994">
        <f>ROUND(E994+F994/60,2)</f>
        <v>5.75</v>
      </c>
      <c r="H994">
        <f>60*E994+F994</f>
        <v>345</v>
      </c>
      <c r="I994" s="3">
        <f>5*(3600/H994)</f>
        <v>52.173913043478265</v>
      </c>
    </row>
    <row r="995" spans="1:9" x14ac:dyDescent="0.25">
      <c r="A995" s="4" t="s">
        <v>30</v>
      </c>
      <c r="B995" s="1">
        <v>0.13069600000000001</v>
      </c>
      <c r="C995" s="1">
        <v>0.134684</v>
      </c>
      <c r="D995" s="1">
        <f>IF(B995&gt;C995,B995-C995,C995-B995)</f>
        <v>3.9879999999999916E-3</v>
      </c>
      <c r="E995">
        <f>MINUTE(D995)</f>
        <v>5</v>
      </c>
      <c r="F995">
        <f>SECOND(D995)</f>
        <v>45</v>
      </c>
      <c r="G995">
        <f>ROUND(E995+F995/60,2)</f>
        <v>5.75</v>
      </c>
      <c r="H995">
        <f>60*E995+F995</f>
        <v>345</v>
      </c>
      <c r="I995" s="3">
        <f>5*(3600/H995)</f>
        <v>52.173913043478265</v>
      </c>
    </row>
    <row r="996" spans="1:9" x14ac:dyDescent="0.25">
      <c r="A996" s="4" t="s">
        <v>85</v>
      </c>
      <c r="B996" s="1">
        <v>0.88788900000000004</v>
      </c>
      <c r="C996" s="1">
        <v>0.88389300000000004</v>
      </c>
      <c r="D996" s="1">
        <f>IF(B996&gt;C996,B996-C996,C996-B996)</f>
        <v>3.9959999999999996E-3</v>
      </c>
      <c r="E996">
        <f>MINUTE(D996)</f>
        <v>5</v>
      </c>
      <c r="F996">
        <f>SECOND(D996)</f>
        <v>45</v>
      </c>
      <c r="G996">
        <f>ROUND(E996+F996/60,2)</f>
        <v>5.75</v>
      </c>
      <c r="H996">
        <f>60*E996+F996</f>
        <v>345</v>
      </c>
      <c r="I996" s="3">
        <f>5*(3600/H996)</f>
        <v>52.173913043478265</v>
      </c>
    </row>
    <row r="997" spans="1:9" x14ac:dyDescent="0.25">
      <c r="A997" s="4" t="s">
        <v>130</v>
      </c>
      <c r="B997" s="1">
        <v>0.54161700000000002</v>
      </c>
      <c r="C997" s="1">
        <v>0.53762900000000002</v>
      </c>
      <c r="D997" s="1">
        <f>IF(B997&gt;C997,B997-C997,C997-B997)</f>
        <v>3.9879999999999916E-3</v>
      </c>
      <c r="E997">
        <f>MINUTE(D997)</f>
        <v>5</v>
      </c>
      <c r="F997">
        <f>SECOND(D997)</f>
        <v>45</v>
      </c>
      <c r="G997">
        <f>ROUND(E997+F997/60,2)</f>
        <v>5.75</v>
      </c>
      <c r="H997">
        <f>60*E997+F997</f>
        <v>345</v>
      </c>
      <c r="I997" s="3">
        <f>5*(3600/H997)</f>
        <v>52.173913043478265</v>
      </c>
    </row>
    <row r="998" spans="1:9" x14ac:dyDescent="0.25">
      <c r="A998" s="4" t="s">
        <v>152</v>
      </c>
      <c r="B998" s="1">
        <v>0.76902999999999999</v>
      </c>
      <c r="C998" s="1">
        <v>0.76503399999999999</v>
      </c>
      <c r="D998" s="1">
        <f>IF(B998&gt;C998,B998-C998,C998-B998)</f>
        <v>3.9959999999999996E-3</v>
      </c>
      <c r="E998">
        <f>MINUTE(D998)</f>
        <v>5</v>
      </c>
      <c r="F998">
        <f>SECOND(D998)</f>
        <v>45</v>
      </c>
      <c r="G998">
        <f>ROUND(E998+F998/60,2)</f>
        <v>5.75</v>
      </c>
      <c r="H998">
        <f>60*E998+F998</f>
        <v>345</v>
      </c>
      <c r="I998" s="3">
        <f>5*(3600/H998)</f>
        <v>52.173913043478265</v>
      </c>
    </row>
    <row r="999" spans="1:9" x14ac:dyDescent="0.25">
      <c r="A999" s="4" t="s">
        <v>156</v>
      </c>
      <c r="B999" s="1">
        <v>0.47500999999999999</v>
      </c>
      <c r="C999" s="1">
        <v>0.47900199999999998</v>
      </c>
      <c r="D999" s="1">
        <f>IF(B999&gt;C999,B999-C999,C999-B999)</f>
        <v>3.9919999999999956E-3</v>
      </c>
      <c r="E999">
        <f>MINUTE(D999)</f>
        <v>5</v>
      </c>
      <c r="F999">
        <f>SECOND(D999)</f>
        <v>45</v>
      </c>
      <c r="G999">
        <f>ROUND(E999+F999/60,2)</f>
        <v>5.75</v>
      </c>
      <c r="H999">
        <f>60*E999+F999</f>
        <v>345</v>
      </c>
      <c r="I999" s="3">
        <f>5*(3600/H999)</f>
        <v>52.173913043478265</v>
      </c>
    </row>
    <row r="1000" spans="1:9" x14ac:dyDescent="0.25">
      <c r="A1000" s="4" t="s">
        <v>319</v>
      </c>
      <c r="B1000" s="1">
        <v>0.126361</v>
      </c>
      <c r="C1000" s="1">
        <v>0.130357</v>
      </c>
      <c r="D1000" s="1">
        <f>IF(B1000&gt;C1000,B1000-C1000,C1000-B1000)</f>
        <v>3.9959999999999996E-3</v>
      </c>
      <c r="E1000">
        <f>MINUTE(D1000)</f>
        <v>5</v>
      </c>
      <c r="F1000">
        <f>SECOND(D1000)</f>
        <v>45</v>
      </c>
      <c r="G1000">
        <f>ROUND(E1000+F1000/60,2)</f>
        <v>5.75</v>
      </c>
      <c r="H1000">
        <f>60*E1000+F1000</f>
        <v>345</v>
      </c>
      <c r="I1000" s="3">
        <f>5*(3600/H1000)</f>
        <v>52.173913043478265</v>
      </c>
    </row>
    <row r="1001" spans="1:9" x14ac:dyDescent="0.25">
      <c r="A1001" s="4" t="s">
        <v>132</v>
      </c>
      <c r="B1001" s="1">
        <v>2.7099000000000002E-2</v>
      </c>
      <c r="C1001" s="1">
        <v>2.2926999999999999E-2</v>
      </c>
      <c r="D1001" s="1">
        <f>IF(B1001&gt;C1001,B1001-C1001,C1001-B1001)</f>
        <v>4.1720000000000021E-3</v>
      </c>
      <c r="E1001">
        <f>MINUTE(D1001)</f>
        <v>6</v>
      </c>
      <c r="F1001">
        <f>SECOND(D1001)</f>
        <v>0</v>
      </c>
      <c r="G1001">
        <f>ROUND(E1001+F1001/60,2)</f>
        <v>6</v>
      </c>
      <c r="H1001">
        <f>60*E1001+F1001</f>
        <v>360</v>
      </c>
      <c r="I1001" s="3">
        <f>5*(3600/H1001)</f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24"/>
  <sheetViews>
    <sheetView workbookViewId="0">
      <selection activeCell="A13" sqref="A4:B13"/>
    </sheetView>
  </sheetViews>
  <sheetFormatPr defaultRowHeight="15" x14ac:dyDescent="0.25"/>
  <cols>
    <col min="1" max="1" width="17.7109375" bestFit="1" customWidth="1"/>
    <col min="2" max="2" width="26.28515625" bestFit="1" customWidth="1"/>
  </cols>
  <sheetData>
    <row r="3" spans="1:2" x14ac:dyDescent="0.25">
      <c r="A3" s="11" t="s">
        <v>433</v>
      </c>
      <c r="B3" t="s">
        <v>437</v>
      </c>
    </row>
    <row r="4" spans="1:2" x14ac:dyDescent="0.25">
      <c r="A4" s="14" t="s">
        <v>109</v>
      </c>
      <c r="B4" s="15">
        <v>30</v>
      </c>
    </row>
    <row r="5" spans="1:2" x14ac:dyDescent="0.25">
      <c r="A5" s="14" t="s">
        <v>5</v>
      </c>
      <c r="B5" s="15">
        <v>29</v>
      </c>
    </row>
    <row r="6" spans="1:2" x14ac:dyDescent="0.25">
      <c r="A6" s="14" t="s">
        <v>162</v>
      </c>
      <c r="B6" s="15">
        <v>27</v>
      </c>
    </row>
    <row r="7" spans="1:2" x14ac:dyDescent="0.25">
      <c r="A7" s="14" t="s">
        <v>47</v>
      </c>
      <c r="B7" s="15">
        <v>21</v>
      </c>
    </row>
    <row r="8" spans="1:2" x14ac:dyDescent="0.25">
      <c r="A8" s="14" t="s">
        <v>117</v>
      </c>
      <c r="B8" s="15">
        <v>21</v>
      </c>
    </row>
    <row r="9" spans="1:2" x14ac:dyDescent="0.25">
      <c r="A9" s="14" t="s">
        <v>41</v>
      </c>
      <c r="B9" s="15">
        <v>21</v>
      </c>
    </row>
    <row r="10" spans="1:2" x14ac:dyDescent="0.25">
      <c r="A10" s="14" t="s">
        <v>87</v>
      </c>
      <c r="B10" s="15">
        <v>20</v>
      </c>
    </row>
    <row r="11" spans="1:2" x14ac:dyDescent="0.25">
      <c r="A11" s="14" t="s">
        <v>75</v>
      </c>
      <c r="B11" s="15">
        <v>18</v>
      </c>
    </row>
    <row r="12" spans="1:2" x14ac:dyDescent="0.25">
      <c r="A12" s="14" t="s">
        <v>60</v>
      </c>
      <c r="B12" s="15">
        <v>10</v>
      </c>
    </row>
    <row r="13" spans="1:2" x14ac:dyDescent="0.25">
      <c r="A13" s="14" t="s">
        <v>12</v>
      </c>
      <c r="B13" s="15">
        <v>10</v>
      </c>
    </row>
    <row r="14" spans="1:2" x14ac:dyDescent="0.25">
      <c r="A14" s="12" t="s">
        <v>3</v>
      </c>
      <c r="B14" s="13">
        <v>9</v>
      </c>
    </row>
    <row r="15" spans="1:2" x14ac:dyDescent="0.25">
      <c r="A15" s="12" t="s">
        <v>83</v>
      </c>
      <c r="B15" s="13">
        <v>9</v>
      </c>
    </row>
    <row r="16" spans="1:2" x14ac:dyDescent="0.25">
      <c r="A16" s="12" t="s">
        <v>72</v>
      </c>
      <c r="B16" s="13">
        <v>9</v>
      </c>
    </row>
    <row r="17" spans="1:2" x14ac:dyDescent="0.25">
      <c r="A17" s="12" t="s">
        <v>155</v>
      </c>
      <c r="B17" s="13">
        <v>9</v>
      </c>
    </row>
    <row r="18" spans="1:2" x14ac:dyDescent="0.25">
      <c r="A18" s="12" t="s">
        <v>64</v>
      </c>
      <c r="B18" s="13">
        <v>9</v>
      </c>
    </row>
    <row r="19" spans="1:2" x14ac:dyDescent="0.25">
      <c r="A19" s="12" t="s">
        <v>74</v>
      </c>
      <c r="B19" s="13">
        <v>9</v>
      </c>
    </row>
    <row r="20" spans="1:2" x14ac:dyDescent="0.25">
      <c r="A20" s="12" t="s">
        <v>68</v>
      </c>
      <c r="B20" s="13">
        <v>9</v>
      </c>
    </row>
    <row r="21" spans="1:2" x14ac:dyDescent="0.25">
      <c r="A21" s="12" t="s">
        <v>21</v>
      </c>
      <c r="B21" s="13">
        <v>9</v>
      </c>
    </row>
    <row r="22" spans="1:2" x14ac:dyDescent="0.25">
      <c r="A22" s="12" t="s">
        <v>49</v>
      </c>
      <c r="B22" s="13">
        <v>9</v>
      </c>
    </row>
    <row r="23" spans="1:2" x14ac:dyDescent="0.25">
      <c r="A23" s="12" t="s">
        <v>16</v>
      </c>
      <c r="B23" s="13">
        <v>9</v>
      </c>
    </row>
    <row r="24" spans="1:2" x14ac:dyDescent="0.25">
      <c r="A24" s="12" t="s">
        <v>27</v>
      </c>
      <c r="B24" s="13">
        <v>9</v>
      </c>
    </row>
    <row r="25" spans="1:2" x14ac:dyDescent="0.25">
      <c r="A25" s="12" t="s">
        <v>57</v>
      </c>
      <c r="B25" s="13">
        <v>6</v>
      </c>
    </row>
    <row r="26" spans="1:2" x14ac:dyDescent="0.25">
      <c r="A26" s="12" t="s">
        <v>112</v>
      </c>
      <c r="B26" s="13">
        <v>6</v>
      </c>
    </row>
    <row r="27" spans="1:2" x14ac:dyDescent="0.25">
      <c r="A27" s="12" t="s">
        <v>85</v>
      </c>
      <c r="B27" s="13">
        <v>6</v>
      </c>
    </row>
    <row r="28" spans="1:2" x14ac:dyDescent="0.25">
      <c r="A28" s="12" t="s">
        <v>56</v>
      </c>
      <c r="B28" s="13">
        <v>6</v>
      </c>
    </row>
    <row r="29" spans="1:2" x14ac:dyDescent="0.25">
      <c r="A29" s="12" t="s">
        <v>103</v>
      </c>
      <c r="B29" s="13">
        <v>6</v>
      </c>
    </row>
    <row r="30" spans="1:2" x14ac:dyDescent="0.25">
      <c r="A30" s="12" t="s">
        <v>132</v>
      </c>
      <c r="B30" s="13">
        <v>6</v>
      </c>
    </row>
    <row r="31" spans="1:2" x14ac:dyDescent="0.25">
      <c r="A31" s="12" t="s">
        <v>18</v>
      </c>
      <c r="B31" s="13">
        <v>6</v>
      </c>
    </row>
    <row r="32" spans="1:2" x14ac:dyDescent="0.25">
      <c r="A32" s="12" t="s">
        <v>107</v>
      </c>
      <c r="B32" s="13">
        <v>6</v>
      </c>
    </row>
    <row r="33" spans="1:2" x14ac:dyDescent="0.25">
      <c r="A33" s="12" t="s">
        <v>70</v>
      </c>
      <c r="B33" s="13">
        <v>3</v>
      </c>
    </row>
    <row r="34" spans="1:2" x14ac:dyDescent="0.25">
      <c r="A34" s="12" t="s">
        <v>90</v>
      </c>
      <c r="B34" s="13">
        <v>3</v>
      </c>
    </row>
    <row r="35" spans="1:2" x14ac:dyDescent="0.25">
      <c r="A35" s="12" t="s">
        <v>138</v>
      </c>
      <c r="B35" s="13">
        <v>3</v>
      </c>
    </row>
    <row r="36" spans="1:2" x14ac:dyDescent="0.25">
      <c r="A36" s="12" t="s">
        <v>100</v>
      </c>
      <c r="B36" s="13">
        <v>3</v>
      </c>
    </row>
    <row r="37" spans="1:2" x14ac:dyDescent="0.25">
      <c r="A37" s="12" t="s">
        <v>51</v>
      </c>
      <c r="B37" s="13">
        <v>3</v>
      </c>
    </row>
    <row r="38" spans="1:2" x14ac:dyDescent="0.25">
      <c r="A38" s="12" t="s">
        <v>149</v>
      </c>
      <c r="B38" s="13">
        <v>3</v>
      </c>
    </row>
    <row r="39" spans="1:2" x14ac:dyDescent="0.25">
      <c r="A39" s="12" t="s">
        <v>126</v>
      </c>
      <c r="B39" s="13">
        <v>3</v>
      </c>
    </row>
    <row r="40" spans="1:2" x14ac:dyDescent="0.25">
      <c r="A40" s="12" t="s">
        <v>95</v>
      </c>
      <c r="B40" s="13">
        <v>3</v>
      </c>
    </row>
    <row r="41" spans="1:2" x14ac:dyDescent="0.25">
      <c r="A41" s="12" t="s">
        <v>62</v>
      </c>
      <c r="B41" s="13">
        <v>3</v>
      </c>
    </row>
    <row r="42" spans="1:2" x14ac:dyDescent="0.25">
      <c r="A42" s="12" t="s">
        <v>25</v>
      </c>
      <c r="B42" s="13">
        <v>3</v>
      </c>
    </row>
    <row r="43" spans="1:2" x14ac:dyDescent="0.25">
      <c r="A43" s="12" t="s">
        <v>33</v>
      </c>
      <c r="B43" s="13">
        <v>3</v>
      </c>
    </row>
    <row r="44" spans="1:2" x14ac:dyDescent="0.25">
      <c r="A44" s="12" t="s">
        <v>120</v>
      </c>
      <c r="B44" s="13">
        <v>3</v>
      </c>
    </row>
    <row r="45" spans="1:2" x14ac:dyDescent="0.25">
      <c r="A45" s="12" t="s">
        <v>146</v>
      </c>
      <c r="B45" s="13">
        <v>3</v>
      </c>
    </row>
    <row r="46" spans="1:2" x14ac:dyDescent="0.25">
      <c r="A46" s="12" t="s">
        <v>84</v>
      </c>
      <c r="B46" s="13">
        <v>3</v>
      </c>
    </row>
    <row r="47" spans="1:2" x14ac:dyDescent="0.25">
      <c r="A47" s="12" t="s">
        <v>30</v>
      </c>
      <c r="B47" s="13">
        <v>3</v>
      </c>
    </row>
    <row r="48" spans="1:2" x14ac:dyDescent="0.25">
      <c r="A48" s="12" t="s">
        <v>80</v>
      </c>
      <c r="B48" s="13">
        <v>3</v>
      </c>
    </row>
    <row r="49" spans="1:2" x14ac:dyDescent="0.25">
      <c r="A49" s="12" t="s">
        <v>158</v>
      </c>
      <c r="B49" s="13">
        <v>3</v>
      </c>
    </row>
    <row r="50" spans="1:2" x14ac:dyDescent="0.25">
      <c r="A50" s="12" t="s">
        <v>99</v>
      </c>
      <c r="B50" s="13">
        <v>3</v>
      </c>
    </row>
    <row r="51" spans="1:2" x14ac:dyDescent="0.25">
      <c r="A51" s="12" t="s">
        <v>142</v>
      </c>
      <c r="B51" s="13">
        <v>3</v>
      </c>
    </row>
    <row r="52" spans="1:2" x14ac:dyDescent="0.25">
      <c r="A52" s="12" t="s">
        <v>81</v>
      </c>
      <c r="B52" s="13">
        <v>3</v>
      </c>
    </row>
    <row r="53" spans="1:2" x14ac:dyDescent="0.25">
      <c r="A53" s="12" t="s">
        <v>145</v>
      </c>
      <c r="B53" s="13">
        <v>3</v>
      </c>
    </row>
    <row r="54" spans="1:2" x14ac:dyDescent="0.25">
      <c r="A54" s="12" t="s">
        <v>29</v>
      </c>
      <c r="B54" s="13">
        <v>3</v>
      </c>
    </row>
    <row r="55" spans="1:2" x14ac:dyDescent="0.25">
      <c r="A55" s="12" t="s">
        <v>163</v>
      </c>
      <c r="B55" s="13">
        <v>3</v>
      </c>
    </row>
    <row r="56" spans="1:2" x14ac:dyDescent="0.25">
      <c r="A56" s="12" t="s">
        <v>92</v>
      </c>
      <c r="B56" s="13">
        <v>3</v>
      </c>
    </row>
    <row r="57" spans="1:2" x14ac:dyDescent="0.25">
      <c r="A57" s="12" t="s">
        <v>20</v>
      </c>
      <c r="B57" s="13">
        <v>3</v>
      </c>
    </row>
    <row r="58" spans="1:2" x14ac:dyDescent="0.25">
      <c r="A58" s="12" t="s">
        <v>9</v>
      </c>
      <c r="B58" s="13">
        <v>3</v>
      </c>
    </row>
    <row r="59" spans="1:2" x14ac:dyDescent="0.25">
      <c r="A59" s="12" t="s">
        <v>28</v>
      </c>
      <c r="B59" s="13">
        <v>3</v>
      </c>
    </row>
    <row r="60" spans="1:2" x14ac:dyDescent="0.25">
      <c r="A60" s="12" t="s">
        <v>14</v>
      </c>
      <c r="B60" s="13">
        <v>3</v>
      </c>
    </row>
    <row r="61" spans="1:2" x14ac:dyDescent="0.25">
      <c r="A61" s="12" t="s">
        <v>59</v>
      </c>
      <c r="B61" s="13">
        <v>3</v>
      </c>
    </row>
    <row r="62" spans="1:2" x14ac:dyDescent="0.25">
      <c r="A62" s="12" t="s">
        <v>148</v>
      </c>
      <c r="B62" s="13">
        <v>3</v>
      </c>
    </row>
    <row r="63" spans="1:2" x14ac:dyDescent="0.25">
      <c r="A63" s="12" t="s">
        <v>43</v>
      </c>
      <c r="B63" s="13">
        <v>3</v>
      </c>
    </row>
    <row r="64" spans="1:2" x14ac:dyDescent="0.25">
      <c r="A64" s="12" t="s">
        <v>54</v>
      </c>
      <c r="B64" s="13">
        <v>3</v>
      </c>
    </row>
    <row r="65" spans="1:2" x14ac:dyDescent="0.25">
      <c r="A65" s="12" t="s">
        <v>136</v>
      </c>
      <c r="B65" s="13">
        <v>3</v>
      </c>
    </row>
    <row r="66" spans="1:2" x14ac:dyDescent="0.25">
      <c r="A66" s="12" t="s">
        <v>37</v>
      </c>
      <c r="B66" s="13">
        <v>3</v>
      </c>
    </row>
    <row r="67" spans="1:2" x14ac:dyDescent="0.25">
      <c r="A67" s="12" t="s">
        <v>97</v>
      </c>
      <c r="B67" s="13">
        <v>3</v>
      </c>
    </row>
    <row r="68" spans="1:2" x14ac:dyDescent="0.25">
      <c r="A68" s="12" t="s">
        <v>114</v>
      </c>
      <c r="B68" s="13">
        <v>3</v>
      </c>
    </row>
    <row r="69" spans="1:2" x14ac:dyDescent="0.25">
      <c r="A69" s="12" t="s">
        <v>10</v>
      </c>
      <c r="B69" s="13">
        <v>3</v>
      </c>
    </row>
    <row r="70" spans="1:2" x14ac:dyDescent="0.25">
      <c r="A70" s="12" t="s">
        <v>105</v>
      </c>
      <c r="B70" s="13">
        <v>3</v>
      </c>
    </row>
    <row r="71" spans="1:2" x14ac:dyDescent="0.25">
      <c r="A71" s="12" t="s">
        <v>15</v>
      </c>
      <c r="B71" s="13">
        <v>3</v>
      </c>
    </row>
    <row r="72" spans="1:2" x14ac:dyDescent="0.25">
      <c r="A72" s="12" t="s">
        <v>91</v>
      </c>
      <c r="B72" s="13">
        <v>3</v>
      </c>
    </row>
    <row r="73" spans="1:2" x14ac:dyDescent="0.25">
      <c r="A73" s="12" t="s">
        <v>52</v>
      </c>
      <c r="B73" s="13">
        <v>3</v>
      </c>
    </row>
    <row r="74" spans="1:2" x14ac:dyDescent="0.25">
      <c r="A74" s="12" t="s">
        <v>11</v>
      </c>
      <c r="B74" s="13">
        <v>3</v>
      </c>
    </row>
    <row r="75" spans="1:2" x14ac:dyDescent="0.25">
      <c r="A75" s="12" t="s">
        <v>7</v>
      </c>
      <c r="B75" s="13">
        <v>3</v>
      </c>
    </row>
    <row r="76" spans="1:2" x14ac:dyDescent="0.25">
      <c r="A76" s="12" t="s">
        <v>115</v>
      </c>
      <c r="B76" s="13">
        <v>3</v>
      </c>
    </row>
    <row r="77" spans="1:2" x14ac:dyDescent="0.25">
      <c r="A77" s="12" t="s">
        <v>156</v>
      </c>
      <c r="B77" s="13">
        <v>3</v>
      </c>
    </row>
    <row r="78" spans="1:2" x14ac:dyDescent="0.25">
      <c r="A78" s="12" t="s">
        <v>102</v>
      </c>
      <c r="B78" s="13">
        <v>3</v>
      </c>
    </row>
    <row r="79" spans="1:2" x14ac:dyDescent="0.25">
      <c r="A79" s="12" t="s">
        <v>66</v>
      </c>
      <c r="B79" s="13">
        <v>3</v>
      </c>
    </row>
    <row r="80" spans="1:2" x14ac:dyDescent="0.25">
      <c r="A80" s="12" t="s">
        <v>8</v>
      </c>
      <c r="B80" s="13">
        <v>3</v>
      </c>
    </row>
    <row r="81" spans="1:2" x14ac:dyDescent="0.25">
      <c r="A81" s="12" t="s">
        <v>157</v>
      </c>
      <c r="B81" s="13">
        <v>3</v>
      </c>
    </row>
    <row r="82" spans="1:2" x14ac:dyDescent="0.25">
      <c r="A82" s="12" t="s">
        <v>46</v>
      </c>
      <c r="B82" s="13">
        <v>3</v>
      </c>
    </row>
    <row r="83" spans="1:2" x14ac:dyDescent="0.25">
      <c r="A83" s="12" t="s">
        <v>78</v>
      </c>
      <c r="B83" s="13">
        <v>3</v>
      </c>
    </row>
    <row r="84" spans="1:2" x14ac:dyDescent="0.25">
      <c r="A84" s="12" t="s">
        <v>134</v>
      </c>
      <c r="B84" s="13">
        <v>3</v>
      </c>
    </row>
    <row r="85" spans="1:2" x14ac:dyDescent="0.25">
      <c r="A85" s="12" t="s">
        <v>88</v>
      </c>
      <c r="B85" s="13">
        <v>3</v>
      </c>
    </row>
    <row r="86" spans="1:2" x14ac:dyDescent="0.25">
      <c r="A86" s="12" t="s">
        <v>45</v>
      </c>
      <c r="B86" s="13">
        <v>3</v>
      </c>
    </row>
    <row r="87" spans="1:2" x14ac:dyDescent="0.25">
      <c r="A87" s="12" t="s">
        <v>38</v>
      </c>
      <c r="B87" s="13">
        <v>3</v>
      </c>
    </row>
    <row r="88" spans="1:2" x14ac:dyDescent="0.25">
      <c r="A88" s="12" t="s">
        <v>110</v>
      </c>
      <c r="B88" s="13">
        <v>3</v>
      </c>
    </row>
    <row r="89" spans="1:2" x14ac:dyDescent="0.25">
      <c r="A89" s="12" t="s">
        <v>160</v>
      </c>
      <c r="B89" s="13">
        <v>3</v>
      </c>
    </row>
    <row r="90" spans="1:2" x14ac:dyDescent="0.25">
      <c r="A90" s="12" t="s">
        <v>73</v>
      </c>
      <c r="B90" s="13">
        <v>3</v>
      </c>
    </row>
    <row r="91" spans="1:2" x14ac:dyDescent="0.25">
      <c r="A91" s="12" t="s">
        <v>140</v>
      </c>
      <c r="B91" s="13">
        <v>3</v>
      </c>
    </row>
    <row r="92" spans="1:2" x14ac:dyDescent="0.25">
      <c r="A92" s="12" t="s">
        <v>154</v>
      </c>
      <c r="B92" s="13">
        <v>3</v>
      </c>
    </row>
    <row r="93" spans="1:2" x14ac:dyDescent="0.25">
      <c r="A93" s="12" t="s">
        <v>26</v>
      </c>
      <c r="B93" s="13">
        <v>3</v>
      </c>
    </row>
    <row r="94" spans="1:2" x14ac:dyDescent="0.25">
      <c r="A94" s="12" t="s">
        <v>71</v>
      </c>
      <c r="B94" s="13">
        <v>3</v>
      </c>
    </row>
    <row r="95" spans="1:2" x14ac:dyDescent="0.25">
      <c r="A95" s="12" t="s">
        <v>137</v>
      </c>
      <c r="B95" s="13">
        <v>3</v>
      </c>
    </row>
    <row r="96" spans="1:2" x14ac:dyDescent="0.25">
      <c r="A96" s="12" t="s">
        <v>113</v>
      </c>
      <c r="B96" s="13">
        <v>3</v>
      </c>
    </row>
    <row r="97" spans="1:2" x14ac:dyDescent="0.25">
      <c r="A97" s="12" t="s">
        <v>118</v>
      </c>
      <c r="B97" s="13">
        <v>3</v>
      </c>
    </row>
    <row r="98" spans="1:2" x14ac:dyDescent="0.25">
      <c r="A98" s="12" t="s">
        <v>44</v>
      </c>
      <c r="B98" s="13">
        <v>3</v>
      </c>
    </row>
    <row r="99" spans="1:2" x14ac:dyDescent="0.25">
      <c r="A99" s="12" t="s">
        <v>130</v>
      </c>
      <c r="B99" s="13">
        <v>3</v>
      </c>
    </row>
    <row r="100" spans="1:2" x14ac:dyDescent="0.25">
      <c r="A100" s="12" t="s">
        <v>152</v>
      </c>
      <c r="B100" s="13">
        <v>3</v>
      </c>
    </row>
    <row r="101" spans="1:2" x14ac:dyDescent="0.25">
      <c r="A101" s="12" t="s">
        <v>32</v>
      </c>
      <c r="B101" s="13">
        <v>3</v>
      </c>
    </row>
    <row r="102" spans="1:2" x14ac:dyDescent="0.25">
      <c r="A102" s="12" t="s">
        <v>108</v>
      </c>
      <c r="B102" s="13">
        <v>3</v>
      </c>
    </row>
    <row r="103" spans="1:2" x14ac:dyDescent="0.25">
      <c r="A103" s="12" t="s">
        <v>106</v>
      </c>
      <c r="B103" s="13">
        <v>3</v>
      </c>
    </row>
    <row r="104" spans="1:2" x14ac:dyDescent="0.25">
      <c r="A104" s="12" t="s">
        <v>24</v>
      </c>
      <c r="B104" s="13">
        <v>3</v>
      </c>
    </row>
    <row r="105" spans="1:2" x14ac:dyDescent="0.25">
      <c r="A105" s="12" t="s">
        <v>79</v>
      </c>
      <c r="B105" s="13">
        <v>3</v>
      </c>
    </row>
    <row r="106" spans="1:2" x14ac:dyDescent="0.25">
      <c r="A106" s="12" t="s">
        <v>4</v>
      </c>
      <c r="B106" s="13">
        <v>3</v>
      </c>
    </row>
    <row r="107" spans="1:2" x14ac:dyDescent="0.25">
      <c r="A107" s="12" t="s">
        <v>50</v>
      </c>
      <c r="B107" s="13">
        <v>3</v>
      </c>
    </row>
    <row r="108" spans="1:2" x14ac:dyDescent="0.25">
      <c r="A108" s="12" t="s">
        <v>82</v>
      </c>
      <c r="B108" s="13">
        <v>3</v>
      </c>
    </row>
    <row r="109" spans="1:2" x14ac:dyDescent="0.25">
      <c r="A109" s="12" t="s">
        <v>94</v>
      </c>
      <c r="B109" s="13">
        <v>3</v>
      </c>
    </row>
    <row r="110" spans="1:2" x14ac:dyDescent="0.25">
      <c r="A110" s="12" t="s">
        <v>96</v>
      </c>
      <c r="B110" s="13">
        <v>3</v>
      </c>
    </row>
    <row r="111" spans="1:2" x14ac:dyDescent="0.25">
      <c r="A111" s="12" t="s">
        <v>19</v>
      </c>
      <c r="B111" s="13">
        <v>3</v>
      </c>
    </row>
    <row r="112" spans="1:2" x14ac:dyDescent="0.25">
      <c r="A112" s="12" t="s">
        <v>101</v>
      </c>
      <c r="B112" s="13">
        <v>3</v>
      </c>
    </row>
    <row r="113" spans="1:2" x14ac:dyDescent="0.25">
      <c r="A113" s="12" t="s">
        <v>135</v>
      </c>
      <c r="B113" s="13">
        <v>3</v>
      </c>
    </row>
    <row r="114" spans="1:2" x14ac:dyDescent="0.25">
      <c r="A114" s="12" t="s">
        <v>77</v>
      </c>
      <c r="B114" s="13">
        <v>3</v>
      </c>
    </row>
    <row r="115" spans="1:2" x14ac:dyDescent="0.25">
      <c r="A115" s="12" t="s">
        <v>150</v>
      </c>
      <c r="B115" s="13">
        <v>3</v>
      </c>
    </row>
    <row r="116" spans="1:2" x14ac:dyDescent="0.25">
      <c r="A116" s="12" t="s">
        <v>428</v>
      </c>
      <c r="B116" s="13">
        <v>3</v>
      </c>
    </row>
    <row r="117" spans="1:2" x14ac:dyDescent="0.25">
      <c r="A117" s="12" t="s">
        <v>111</v>
      </c>
      <c r="B117" s="13">
        <v>3</v>
      </c>
    </row>
    <row r="118" spans="1:2" x14ac:dyDescent="0.25">
      <c r="A118" s="12" t="s">
        <v>123</v>
      </c>
      <c r="B118" s="13">
        <v>3</v>
      </c>
    </row>
    <row r="119" spans="1:2" x14ac:dyDescent="0.25">
      <c r="A119" s="12" t="s">
        <v>139</v>
      </c>
      <c r="B119" s="13">
        <v>3</v>
      </c>
    </row>
    <row r="120" spans="1:2" x14ac:dyDescent="0.25">
      <c r="A120" s="12" t="s">
        <v>125</v>
      </c>
      <c r="B120" s="13">
        <v>3</v>
      </c>
    </row>
    <row r="121" spans="1:2" x14ac:dyDescent="0.25">
      <c r="A121" s="12" t="s">
        <v>429</v>
      </c>
      <c r="B121" s="13">
        <v>3</v>
      </c>
    </row>
    <row r="122" spans="1:2" x14ac:dyDescent="0.25">
      <c r="A122" s="12" t="s">
        <v>69</v>
      </c>
      <c r="B122" s="13">
        <v>3</v>
      </c>
    </row>
    <row r="123" spans="1:2" x14ac:dyDescent="0.25">
      <c r="A123" s="12" t="s">
        <v>48</v>
      </c>
      <c r="B123" s="13">
        <v>3</v>
      </c>
    </row>
    <row r="124" spans="1:2" x14ac:dyDescent="0.25">
      <c r="A124" s="12" t="s">
        <v>98</v>
      </c>
      <c r="B124" s="13">
        <v>3</v>
      </c>
    </row>
    <row r="125" spans="1:2" x14ac:dyDescent="0.25">
      <c r="A125" s="12" t="s">
        <v>144</v>
      </c>
      <c r="B125" s="13">
        <v>3</v>
      </c>
    </row>
    <row r="126" spans="1:2" x14ac:dyDescent="0.25">
      <c r="A126" s="12" t="s">
        <v>159</v>
      </c>
      <c r="B126" s="13">
        <v>3</v>
      </c>
    </row>
    <row r="127" spans="1:2" x14ac:dyDescent="0.25">
      <c r="A127" s="12" t="s">
        <v>53</v>
      </c>
      <c r="B127" s="13">
        <v>3</v>
      </c>
    </row>
    <row r="128" spans="1:2" x14ac:dyDescent="0.25">
      <c r="A128" s="12" t="s">
        <v>22</v>
      </c>
      <c r="B128" s="13">
        <v>3</v>
      </c>
    </row>
    <row r="129" spans="1:2" x14ac:dyDescent="0.25">
      <c r="A129" s="12" t="s">
        <v>93</v>
      </c>
      <c r="B129" s="13">
        <v>3</v>
      </c>
    </row>
    <row r="130" spans="1:2" x14ac:dyDescent="0.25">
      <c r="A130" s="12" t="s">
        <v>63</v>
      </c>
      <c r="B130" s="13">
        <v>3</v>
      </c>
    </row>
    <row r="131" spans="1:2" x14ac:dyDescent="0.25">
      <c r="A131" s="12" t="s">
        <v>131</v>
      </c>
      <c r="B131" s="13">
        <v>3</v>
      </c>
    </row>
    <row r="132" spans="1:2" x14ac:dyDescent="0.25">
      <c r="A132" s="12" t="s">
        <v>13</v>
      </c>
      <c r="B132" s="13">
        <v>3</v>
      </c>
    </row>
    <row r="133" spans="1:2" x14ac:dyDescent="0.25">
      <c r="A133" s="12" t="s">
        <v>121</v>
      </c>
      <c r="B133" s="13">
        <v>3</v>
      </c>
    </row>
    <row r="134" spans="1:2" x14ac:dyDescent="0.25">
      <c r="A134" s="12" t="s">
        <v>104</v>
      </c>
      <c r="B134" s="13">
        <v>3</v>
      </c>
    </row>
    <row r="135" spans="1:2" x14ac:dyDescent="0.25">
      <c r="A135" s="12" t="s">
        <v>128</v>
      </c>
      <c r="B135" s="13">
        <v>3</v>
      </c>
    </row>
    <row r="136" spans="1:2" x14ac:dyDescent="0.25">
      <c r="A136" s="12" t="s">
        <v>129</v>
      </c>
      <c r="B136" s="13">
        <v>3</v>
      </c>
    </row>
    <row r="137" spans="1:2" x14ac:dyDescent="0.25">
      <c r="A137" s="12" t="s">
        <v>36</v>
      </c>
      <c r="B137" s="13">
        <v>3</v>
      </c>
    </row>
    <row r="138" spans="1:2" x14ac:dyDescent="0.25">
      <c r="A138" s="12" t="s">
        <v>6</v>
      </c>
      <c r="B138" s="13">
        <v>3</v>
      </c>
    </row>
    <row r="139" spans="1:2" x14ac:dyDescent="0.25">
      <c r="A139" s="12" t="s">
        <v>143</v>
      </c>
      <c r="B139" s="13">
        <v>3</v>
      </c>
    </row>
    <row r="140" spans="1:2" x14ac:dyDescent="0.25">
      <c r="A140" s="12" t="s">
        <v>35</v>
      </c>
      <c r="B140" s="13">
        <v>3</v>
      </c>
    </row>
    <row r="141" spans="1:2" x14ac:dyDescent="0.25">
      <c r="A141" s="12" t="s">
        <v>141</v>
      </c>
      <c r="B141" s="13">
        <v>3</v>
      </c>
    </row>
    <row r="142" spans="1:2" x14ac:dyDescent="0.25">
      <c r="A142" s="12" t="s">
        <v>31</v>
      </c>
      <c r="B142" s="13">
        <v>3</v>
      </c>
    </row>
    <row r="143" spans="1:2" x14ac:dyDescent="0.25">
      <c r="A143" s="12" t="s">
        <v>55</v>
      </c>
      <c r="B143" s="13">
        <v>3</v>
      </c>
    </row>
    <row r="144" spans="1:2" x14ac:dyDescent="0.25">
      <c r="A144" s="12" t="s">
        <v>76</v>
      </c>
      <c r="B144" s="13">
        <v>3</v>
      </c>
    </row>
    <row r="145" spans="1:2" x14ac:dyDescent="0.25">
      <c r="A145" s="12" t="s">
        <v>116</v>
      </c>
      <c r="B145" s="13">
        <v>3</v>
      </c>
    </row>
    <row r="146" spans="1:2" x14ac:dyDescent="0.25">
      <c r="A146" s="12" t="s">
        <v>65</v>
      </c>
      <c r="B146" s="13">
        <v>3</v>
      </c>
    </row>
    <row r="147" spans="1:2" x14ac:dyDescent="0.25">
      <c r="A147" s="12" t="s">
        <v>161</v>
      </c>
      <c r="B147" s="13">
        <v>3</v>
      </c>
    </row>
    <row r="148" spans="1:2" x14ac:dyDescent="0.25">
      <c r="A148" s="12" t="s">
        <v>89</v>
      </c>
      <c r="B148" s="13">
        <v>3</v>
      </c>
    </row>
    <row r="149" spans="1:2" x14ac:dyDescent="0.25">
      <c r="A149" s="12" t="s">
        <v>127</v>
      </c>
      <c r="B149" s="13">
        <v>3</v>
      </c>
    </row>
    <row r="150" spans="1:2" x14ac:dyDescent="0.25">
      <c r="A150" s="12" t="s">
        <v>40</v>
      </c>
      <c r="B150" s="13">
        <v>3</v>
      </c>
    </row>
    <row r="151" spans="1:2" x14ac:dyDescent="0.25">
      <c r="A151" s="12" t="s">
        <v>122</v>
      </c>
      <c r="B151" s="13">
        <v>3</v>
      </c>
    </row>
    <row r="152" spans="1:2" x14ac:dyDescent="0.25">
      <c r="A152" s="12" t="s">
        <v>119</v>
      </c>
      <c r="B152" s="13">
        <v>3</v>
      </c>
    </row>
    <row r="153" spans="1:2" x14ac:dyDescent="0.25">
      <c r="A153" s="12" t="s">
        <v>147</v>
      </c>
      <c r="B153" s="13">
        <v>3</v>
      </c>
    </row>
    <row r="154" spans="1:2" x14ac:dyDescent="0.25">
      <c r="A154" s="12" t="s">
        <v>67</v>
      </c>
      <c r="B154" s="13">
        <v>3</v>
      </c>
    </row>
    <row r="155" spans="1:2" x14ac:dyDescent="0.25">
      <c r="A155" s="12" t="s">
        <v>153</v>
      </c>
      <c r="B155" s="13">
        <v>3</v>
      </c>
    </row>
    <row r="156" spans="1:2" x14ac:dyDescent="0.25">
      <c r="A156" s="12" t="s">
        <v>124</v>
      </c>
      <c r="B156" s="13">
        <v>3</v>
      </c>
    </row>
    <row r="157" spans="1:2" x14ac:dyDescent="0.25">
      <c r="A157" s="12" t="s">
        <v>23</v>
      </c>
      <c r="B157" s="13">
        <v>3</v>
      </c>
    </row>
    <row r="158" spans="1:2" x14ac:dyDescent="0.25">
      <c r="A158" s="12" t="s">
        <v>58</v>
      </c>
      <c r="B158" s="13">
        <v>3</v>
      </c>
    </row>
    <row r="159" spans="1:2" x14ac:dyDescent="0.25">
      <c r="A159" s="12" t="s">
        <v>61</v>
      </c>
      <c r="B159" s="13">
        <v>3</v>
      </c>
    </row>
    <row r="160" spans="1:2" x14ac:dyDescent="0.25">
      <c r="A160" s="12" t="s">
        <v>17</v>
      </c>
      <c r="B160" s="13">
        <v>3</v>
      </c>
    </row>
    <row r="161" spans="1:2" x14ac:dyDescent="0.25">
      <c r="A161" s="12" t="s">
        <v>176</v>
      </c>
      <c r="B161" s="13">
        <v>1</v>
      </c>
    </row>
    <row r="162" spans="1:2" x14ac:dyDescent="0.25">
      <c r="A162" s="12" t="s">
        <v>310</v>
      </c>
      <c r="B162" s="13">
        <v>1</v>
      </c>
    </row>
    <row r="163" spans="1:2" x14ac:dyDescent="0.25">
      <c r="A163" s="12" t="s">
        <v>219</v>
      </c>
      <c r="B163" s="13">
        <v>1</v>
      </c>
    </row>
    <row r="164" spans="1:2" x14ac:dyDescent="0.25">
      <c r="A164" s="12" t="s">
        <v>234</v>
      </c>
      <c r="B164" s="13">
        <v>1</v>
      </c>
    </row>
    <row r="165" spans="1:2" x14ac:dyDescent="0.25">
      <c r="A165" s="12" t="s">
        <v>325</v>
      </c>
      <c r="B165" s="13">
        <v>1</v>
      </c>
    </row>
    <row r="166" spans="1:2" x14ac:dyDescent="0.25">
      <c r="A166" s="12" t="s">
        <v>393</v>
      </c>
      <c r="B166" s="13">
        <v>1</v>
      </c>
    </row>
    <row r="167" spans="1:2" x14ac:dyDescent="0.25">
      <c r="A167" s="12" t="s">
        <v>287</v>
      </c>
      <c r="B167" s="13">
        <v>1</v>
      </c>
    </row>
    <row r="168" spans="1:2" x14ac:dyDescent="0.25">
      <c r="A168" s="12" t="s">
        <v>394</v>
      </c>
      <c r="B168" s="13">
        <v>1</v>
      </c>
    </row>
    <row r="169" spans="1:2" x14ac:dyDescent="0.25">
      <c r="A169" s="12" t="s">
        <v>381</v>
      </c>
      <c r="B169" s="13">
        <v>1</v>
      </c>
    </row>
    <row r="170" spans="1:2" x14ac:dyDescent="0.25">
      <c r="A170" s="12" t="s">
        <v>235</v>
      </c>
      <c r="B170" s="13">
        <v>1</v>
      </c>
    </row>
    <row r="171" spans="1:2" x14ac:dyDescent="0.25">
      <c r="A171" s="12" t="s">
        <v>317</v>
      </c>
      <c r="B171" s="13">
        <v>1</v>
      </c>
    </row>
    <row r="172" spans="1:2" x14ac:dyDescent="0.25">
      <c r="A172" s="12" t="s">
        <v>359</v>
      </c>
      <c r="B172" s="13">
        <v>1</v>
      </c>
    </row>
    <row r="173" spans="1:2" x14ac:dyDescent="0.25">
      <c r="A173" s="12" t="s">
        <v>333</v>
      </c>
      <c r="B173" s="13">
        <v>1</v>
      </c>
    </row>
    <row r="174" spans="1:2" x14ac:dyDescent="0.25">
      <c r="A174" s="12" t="s">
        <v>189</v>
      </c>
      <c r="B174" s="13">
        <v>1</v>
      </c>
    </row>
    <row r="175" spans="1:2" x14ac:dyDescent="0.25">
      <c r="A175" s="12" t="s">
        <v>374</v>
      </c>
      <c r="B175" s="13">
        <v>1</v>
      </c>
    </row>
    <row r="176" spans="1:2" x14ac:dyDescent="0.25">
      <c r="A176" s="12" t="s">
        <v>236</v>
      </c>
      <c r="B176" s="13">
        <v>1</v>
      </c>
    </row>
    <row r="177" spans="1:2" x14ac:dyDescent="0.25">
      <c r="A177" s="12" t="s">
        <v>377</v>
      </c>
      <c r="B177" s="13">
        <v>1</v>
      </c>
    </row>
    <row r="178" spans="1:2" x14ac:dyDescent="0.25">
      <c r="A178" s="12" t="s">
        <v>395</v>
      </c>
      <c r="B178" s="13">
        <v>1</v>
      </c>
    </row>
    <row r="179" spans="1:2" x14ac:dyDescent="0.25">
      <c r="A179" s="12" t="s">
        <v>380</v>
      </c>
      <c r="B179" s="13">
        <v>1</v>
      </c>
    </row>
    <row r="180" spans="1:2" x14ac:dyDescent="0.25">
      <c r="A180" s="12" t="s">
        <v>237</v>
      </c>
      <c r="B180" s="13">
        <v>1</v>
      </c>
    </row>
    <row r="181" spans="1:2" x14ac:dyDescent="0.25">
      <c r="A181" s="12" t="s">
        <v>306</v>
      </c>
      <c r="B181" s="13">
        <v>1</v>
      </c>
    </row>
    <row r="182" spans="1:2" x14ac:dyDescent="0.25">
      <c r="A182" s="12" t="s">
        <v>200</v>
      </c>
      <c r="B182" s="13">
        <v>1</v>
      </c>
    </row>
    <row r="183" spans="1:2" x14ac:dyDescent="0.25">
      <c r="A183" s="12" t="s">
        <v>314</v>
      </c>
      <c r="B183" s="13">
        <v>1</v>
      </c>
    </row>
    <row r="184" spans="1:2" x14ac:dyDescent="0.25">
      <c r="A184" s="12" t="s">
        <v>396</v>
      </c>
      <c r="B184" s="13">
        <v>1</v>
      </c>
    </row>
    <row r="185" spans="1:2" x14ac:dyDescent="0.25">
      <c r="A185" s="12" t="s">
        <v>321</v>
      </c>
      <c r="B185" s="13">
        <v>1</v>
      </c>
    </row>
    <row r="186" spans="1:2" x14ac:dyDescent="0.25">
      <c r="A186" s="12" t="s">
        <v>360</v>
      </c>
      <c r="B186" s="13">
        <v>1</v>
      </c>
    </row>
    <row r="187" spans="1:2" x14ac:dyDescent="0.25">
      <c r="A187" s="12" t="s">
        <v>133</v>
      </c>
      <c r="B187" s="13">
        <v>1</v>
      </c>
    </row>
    <row r="188" spans="1:2" x14ac:dyDescent="0.25">
      <c r="A188" s="12" t="s">
        <v>397</v>
      </c>
      <c r="B188" s="13">
        <v>1</v>
      </c>
    </row>
    <row r="189" spans="1:2" x14ac:dyDescent="0.25">
      <c r="A189" s="12" t="s">
        <v>199</v>
      </c>
      <c r="B189" s="13">
        <v>1</v>
      </c>
    </row>
    <row r="190" spans="1:2" x14ac:dyDescent="0.25">
      <c r="A190" s="12" t="s">
        <v>238</v>
      </c>
      <c r="B190" s="13">
        <v>1</v>
      </c>
    </row>
    <row r="191" spans="1:2" x14ac:dyDescent="0.25">
      <c r="A191" s="12" t="s">
        <v>282</v>
      </c>
      <c r="B191" s="13">
        <v>1</v>
      </c>
    </row>
    <row r="192" spans="1:2" x14ac:dyDescent="0.25">
      <c r="A192" s="12" t="s">
        <v>398</v>
      </c>
      <c r="B192" s="13">
        <v>1</v>
      </c>
    </row>
    <row r="193" spans="1:2" x14ac:dyDescent="0.25">
      <c r="A193" s="12" t="s">
        <v>285</v>
      </c>
      <c r="B193" s="13">
        <v>1</v>
      </c>
    </row>
    <row r="194" spans="1:2" x14ac:dyDescent="0.25">
      <c r="A194" s="12" t="s">
        <v>239</v>
      </c>
      <c r="B194" s="13">
        <v>1</v>
      </c>
    </row>
    <row r="195" spans="1:2" x14ac:dyDescent="0.25">
      <c r="A195" s="12" t="s">
        <v>353</v>
      </c>
      <c r="B195" s="13">
        <v>1</v>
      </c>
    </row>
    <row r="196" spans="1:2" x14ac:dyDescent="0.25">
      <c r="A196" s="12" t="s">
        <v>344</v>
      </c>
      <c r="B196" s="13">
        <v>1</v>
      </c>
    </row>
    <row r="197" spans="1:2" x14ac:dyDescent="0.25">
      <c r="A197" s="12" t="s">
        <v>218</v>
      </c>
      <c r="B197" s="13">
        <v>1</v>
      </c>
    </row>
    <row r="198" spans="1:2" x14ac:dyDescent="0.25">
      <c r="A198" s="12" t="s">
        <v>399</v>
      </c>
      <c r="B198" s="13">
        <v>1</v>
      </c>
    </row>
    <row r="199" spans="1:2" x14ac:dyDescent="0.25">
      <c r="A199" s="12" t="s">
        <v>297</v>
      </c>
      <c r="B199" s="13">
        <v>1</v>
      </c>
    </row>
    <row r="200" spans="1:2" x14ac:dyDescent="0.25">
      <c r="A200" s="12" t="s">
        <v>240</v>
      </c>
      <c r="B200" s="13">
        <v>1</v>
      </c>
    </row>
    <row r="201" spans="1:2" x14ac:dyDescent="0.25">
      <c r="A201" s="12" t="s">
        <v>301</v>
      </c>
      <c r="B201" s="13">
        <v>1</v>
      </c>
    </row>
    <row r="202" spans="1:2" x14ac:dyDescent="0.25">
      <c r="A202" s="12" t="s">
        <v>201</v>
      </c>
      <c r="B202" s="13">
        <v>1</v>
      </c>
    </row>
    <row r="203" spans="1:2" x14ac:dyDescent="0.25">
      <c r="A203" s="12" t="s">
        <v>382</v>
      </c>
      <c r="B203" s="13">
        <v>1</v>
      </c>
    </row>
    <row r="204" spans="1:2" x14ac:dyDescent="0.25">
      <c r="A204" s="12" t="s">
        <v>241</v>
      </c>
      <c r="B204" s="13">
        <v>1</v>
      </c>
    </row>
    <row r="205" spans="1:2" x14ac:dyDescent="0.25">
      <c r="A205" s="12" t="s">
        <v>224</v>
      </c>
      <c r="B205" s="13">
        <v>1</v>
      </c>
    </row>
    <row r="206" spans="1:2" x14ac:dyDescent="0.25">
      <c r="A206" s="12" t="s">
        <v>400</v>
      </c>
      <c r="B206" s="13">
        <v>1</v>
      </c>
    </row>
    <row r="207" spans="1:2" x14ac:dyDescent="0.25">
      <c r="A207" s="12" t="s">
        <v>312</v>
      </c>
      <c r="B207" s="13">
        <v>1</v>
      </c>
    </row>
    <row r="208" spans="1:2" x14ac:dyDescent="0.25">
      <c r="A208" s="12" t="s">
        <v>171</v>
      </c>
      <c r="B208" s="13">
        <v>1</v>
      </c>
    </row>
    <row r="209" spans="1:2" x14ac:dyDescent="0.25">
      <c r="A209" s="12" t="s">
        <v>169</v>
      </c>
      <c r="B209" s="13">
        <v>1</v>
      </c>
    </row>
    <row r="210" spans="1:2" x14ac:dyDescent="0.25">
      <c r="A210" s="12" t="s">
        <v>348</v>
      </c>
      <c r="B210" s="13">
        <v>1</v>
      </c>
    </row>
    <row r="211" spans="1:2" x14ac:dyDescent="0.25">
      <c r="A211" s="12" t="s">
        <v>319</v>
      </c>
      <c r="B211" s="13">
        <v>1</v>
      </c>
    </row>
    <row r="212" spans="1:2" x14ac:dyDescent="0.25">
      <c r="A212" s="12" t="s">
        <v>242</v>
      </c>
      <c r="B212" s="13">
        <v>1</v>
      </c>
    </row>
    <row r="213" spans="1:2" x14ac:dyDescent="0.25">
      <c r="A213" s="12" t="s">
        <v>323</v>
      </c>
      <c r="B213" s="13">
        <v>1</v>
      </c>
    </row>
    <row r="214" spans="1:2" x14ac:dyDescent="0.25">
      <c r="A214" s="12" t="s">
        <v>401</v>
      </c>
      <c r="B214" s="13">
        <v>1</v>
      </c>
    </row>
    <row r="215" spans="1:2" x14ac:dyDescent="0.25">
      <c r="A215" s="12" t="s">
        <v>357</v>
      </c>
      <c r="B215" s="13">
        <v>1</v>
      </c>
    </row>
    <row r="216" spans="1:2" x14ac:dyDescent="0.25">
      <c r="A216" s="12" t="s">
        <v>402</v>
      </c>
      <c r="B216" s="13">
        <v>1</v>
      </c>
    </row>
    <row r="217" spans="1:2" x14ac:dyDescent="0.25">
      <c r="A217" s="12" t="s">
        <v>332</v>
      </c>
      <c r="B217" s="13">
        <v>1</v>
      </c>
    </row>
    <row r="218" spans="1:2" x14ac:dyDescent="0.25">
      <c r="A218" s="12" t="s">
        <v>243</v>
      </c>
      <c r="B218" s="13">
        <v>1</v>
      </c>
    </row>
    <row r="219" spans="1:2" x14ac:dyDescent="0.25">
      <c r="A219" s="12" t="s">
        <v>335</v>
      </c>
      <c r="B219" s="13">
        <v>1</v>
      </c>
    </row>
    <row r="220" spans="1:2" x14ac:dyDescent="0.25">
      <c r="A220" s="12" t="s">
        <v>202</v>
      </c>
      <c r="B220" s="13">
        <v>1</v>
      </c>
    </row>
    <row r="221" spans="1:2" x14ac:dyDescent="0.25">
      <c r="A221" s="12" t="s">
        <v>34</v>
      </c>
      <c r="B221" s="13">
        <v>1</v>
      </c>
    </row>
    <row r="222" spans="1:2" x14ac:dyDescent="0.25">
      <c r="A222" s="12" t="s">
        <v>403</v>
      </c>
      <c r="B222" s="13">
        <v>1</v>
      </c>
    </row>
    <row r="223" spans="1:2" x14ac:dyDescent="0.25">
      <c r="A223" s="12" t="s">
        <v>39</v>
      </c>
      <c r="B223" s="13">
        <v>1</v>
      </c>
    </row>
    <row r="224" spans="1:2" x14ac:dyDescent="0.25">
      <c r="A224" s="12" t="s">
        <v>244</v>
      </c>
      <c r="B224" s="13">
        <v>1</v>
      </c>
    </row>
    <row r="225" spans="1:2" x14ac:dyDescent="0.25">
      <c r="A225" s="12" t="s">
        <v>283</v>
      </c>
      <c r="B225" s="13">
        <v>1</v>
      </c>
    </row>
    <row r="226" spans="1:2" x14ac:dyDescent="0.25">
      <c r="A226" s="12" t="s">
        <v>361</v>
      </c>
      <c r="B226" s="13">
        <v>1</v>
      </c>
    </row>
    <row r="227" spans="1:2" x14ac:dyDescent="0.25">
      <c r="A227" s="12" t="s">
        <v>284</v>
      </c>
      <c r="B227" s="13">
        <v>1</v>
      </c>
    </row>
    <row r="228" spans="1:2" x14ac:dyDescent="0.25">
      <c r="A228" s="12" t="s">
        <v>404</v>
      </c>
      <c r="B228" s="13">
        <v>1</v>
      </c>
    </row>
    <row r="229" spans="1:2" x14ac:dyDescent="0.25">
      <c r="A229" s="12" t="s">
        <v>286</v>
      </c>
      <c r="B229" s="13">
        <v>1</v>
      </c>
    </row>
    <row r="230" spans="1:2" x14ac:dyDescent="0.25">
      <c r="A230" s="12" t="s">
        <v>362</v>
      </c>
      <c r="B230" s="13">
        <v>1</v>
      </c>
    </row>
    <row r="231" spans="1:2" x14ac:dyDescent="0.25">
      <c r="A231" s="12" t="s">
        <v>288</v>
      </c>
      <c r="B231" s="13">
        <v>1</v>
      </c>
    </row>
    <row r="232" spans="1:2" x14ac:dyDescent="0.25">
      <c r="A232" s="12" t="s">
        <v>245</v>
      </c>
      <c r="B232" s="13">
        <v>1</v>
      </c>
    </row>
    <row r="233" spans="1:2" x14ac:dyDescent="0.25">
      <c r="A233" s="12" t="s">
        <v>217</v>
      </c>
      <c r="B233" s="13">
        <v>1</v>
      </c>
    </row>
    <row r="234" spans="1:2" x14ac:dyDescent="0.25">
      <c r="A234" s="12" t="s">
        <v>405</v>
      </c>
      <c r="B234" s="13">
        <v>1</v>
      </c>
    </row>
    <row r="235" spans="1:2" x14ac:dyDescent="0.25">
      <c r="A235" s="12" t="s">
        <v>184</v>
      </c>
      <c r="B235" s="13">
        <v>1</v>
      </c>
    </row>
    <row r="236" spans="1:2" x14ac:dyDescent="0.25">
      <c r="A236" s="12" t="s">
        <v>190</v>
      </c>
      <c r="B236" s="13">
        <v>1</v>
      </c>
    </row>
    <row r="237" spans="1:2" x14ac:dyDescent="0.25">
      <c r="A237" s="12" t="s">
        <v>187</v>
      </c>
      <c r="B237" s="13">
        <v>1</v>
      </c>
    </row>
    <row r="238" spans="1:2" x14ac:dyDescent="0.25">
      <c r="A238" s="12" t="s">
        <v>246</v>
      </c>
      <c r="B238" s="13">
        <v>1</v>
      </c>
    </row>
    <row r="239" spans="1:2" x14ac:dyDescent="0.25">
      <c r="A239" s="12" t="s">
        <v>296</v>
      </c>
      <c r="B239" s="13">
        <v>1</v>
      </c>
    </row>
    <row r="240" spans="1:2" x14ac:dyDescent="0.25">
      <c r="A240" s="12" t="s">
        <v>406</v>
      </c>
      <c r="B240" s="13">
        <v>1</v>
      </c>
    </row>
    <row r="241" spans="1:2" x14ac:dyDescent="0.25">
      <c r="A241" s="12" t="s">
        <v>298</v>
      </c>
      <c r="B241" s="13">
        <v>1</v>
      </c>
    </row>
    <row r="242" spans="1:2" x14ac:dyDescent="0.25">
      <c r="A242" s="12" t="s">
        <v>247</v>
      </c>
      <c r="B242" s="13">
        <v>1</v>
      </c>
    </row>
    <row r="243" spans="1:2" x14ac:dyDescent="0.25">
      <c r="A243" s="12" t="s">
        <v>354</v>
      </c>
      <c r="B243" s="13">
        <v>1</v>
      </c>
    </row>
    <row r="244" spans="1:2" x14ac:dyDescent="0.25">
      <c r="A244" s="12" t="s">
        <v>203</v>
      </c>
      <c r="B244" s="13">
        <v>1</v>
      </c>
    </row>
    <row r="245" spans="1:2" x14ac:dyDescent="0.25">
      <c r="A245" s="12" t="s">
        <v>222</v>
      </c>
      <c r="B245" s="13">
        <v>1</v>
      </c>
    </row>
    <row r="246" spans="1:2" x14ac:dyDescent="0.25">
      <c r="A246" s="12" t="s">
        <v>349</v>
      </c>
      <c r="B246" s="13">
        <v>1</v>
      </c>
    </row>
    <row r="247" spans="1:2" x14ac:dyDescent="0.25">
      <c r="A247" s="12" t="s">
        <v>355</v>
      </c>
      <c r="B247" s="13">
        <v>1</v>
      </c>
    </row>
    <row r="248" spans="1:2" x14ac:dyDescent="0.25">
      <c r="A248" s="12" t="s">
        <v>248</v>
      </c>
      <c r="B248" s="13">
        <v>1</v>
      </c>
    </row>
    <row r="249" spans="1:2" x14ac:dyDescent="0.25">
      <c r="A249" s="12" t="s">
        <v>196</v>
      </c>
      <c r="B249" s="13">
        <v>1</v>
      </c>
    </row>
    <row r="250" spans="1:2" x14ac:dyDescent="0.25">
      <c r="A250" s="12" t="s">
        <v>407</v>
      </c>
      <c r="B250" s="13">
        <v>1</v>
      </c>
    </row>
    <row r="251" spans="1:2" x14ac:dyDescent="0.25">
      <c r="A251" s="12" t="s">
        <v>307</v>
      </c>
      <c r="B251" s="13">
        <v>1</v>
      </c>
    </row>
    <row r="252" spans="1:2" x14ac:dyDescent="0.25">
      <c r="A252" s="12" t="s">
        <v>363</v>
      </c>
      <c r="B252" s="13">
        <v>1</v>
      </c>
    </row>
    <row r="253" spans="1:2" x14ac:dyDescent="0.25">
      <c r="A253" s="12" t="s">
        <v>309</v>
      </c>
      <c r="B253" s="13">
        <v>1</v>
      </c>
    </row>
    <row r="254" spans="1:2" x14ac:dyDescent="0.25">
      <c r="A254" s="12" t="s">
        <v>249</v>
      </c>
      <c r="B254" s="13">
        <v>1</v>
      </c>
    </row>
    <row r="255" spans="1:2" x14ac:dyDescent="0.25">
      <c r="A255" s="12" t="s">
        <v>311</v>
      </c>
      <c r="B255" s="13">
        <v>1</v>
      </c>
    </row>
    <row r="256" spans="1:2" x14ac:dyDescent="0.25">
      <c r="A256" s="12" t="s">
        <v>408</v>
      </c>
      <c r="B256" s="13">
        <v>1</v>
      </c>
    </row>
    <row r="257" spans="1:2" x14ac:dyDescent="0.25">
      <c r="A257" s="12" t="s">
        <v>313</v>
      </c>
      <c r="B257" s="13">
        <v>1</v>
      </c>
    </row>
    <row r="258" spans="1:2" x14ac:dyDescent="0.25">
      <c r="A258" s="12" t="s">
        <v>250</v>
      </c>
      <c r="B258" s="13">
        <v>1</v>
      </c>
    </row>
    <row r="259" spans="1:2" x14ac:dyDescent="0.25">
      <c r="A259" s="12" t="s">
        <v>226</v>
      </c>
      <c r="B259" s="13">
        <v>1</v>
      </c>
    </row>
    <row r="260" spans="1:2" x14ac:dyDescent="0.25">
      <c r="A260" s="12" t="s">
        <v>204</v>
      </c>
      <c r="B260" s="13">
        <v>1</v>
      </c>
    </row>
    <row r="261" spans="1:2" x14ac:dyDescent="0.25">
      <c r="A261" s="12" t="s">
        <v>316</v>
      </c>
      <c r="B261" s="13">
        <v>1</v>
      </c>
    </row>
    <row r="262" spans="1:2" x14ac:dyDescent="0.25">
      <c r="A262" s="12" t="s">
        <v>409</v>
      </c>
      <c r="B262" s="13">
        <v>1</v>
      </c>
    </row>
    <row r="263" spans="1:2" x14ac:dyDescent="0.25">
      <c r="A263" s="12" t="s">
        <v>227</v>
      </c>
      <c r="B263" s="13">
        <v>1</v>
      </c>
    </row>
    <row r="264" spans="1:2" x14ac:dyDescent="0.25">
      <c r="A264" s="12" t="s">
        <v>341</v>
      </c>
      <c r="B264" s="13">
        <v>1</v>
      </c>
    </row>
    <row r="265" spans="1:2" x14ac:dyDescent="0.25">
      <c r="A265" s="12" t="s">
        <v>320</v>
      </c>
      <c r="B265" s="13">
        <v>1</v>
      </c>
    </row>
    <row r="266" spans="1:2" x14ac:dyDescent="0.25">
      <c r="A266" s="12" t="s">
        <v>183</v>
      </c>
      <c r="B266" s="13">
        <v>1</v>
      </c>
    </row>
    <row r="267" spans="1:2" x14ac:dyDescent="0.25">
      <c r="A267" s="12" t="s">
        <v>388</v>
      </c>
      <c r="B267" s="13">
        <v>1</v>
      </c>
    </row>
    <row r="268" spans="1:2" x14ac:dyDescent="0.25">
      <c r="A268" s="12" t="s">
        <v>410</v>
      </c>
      <c r="B268" s="13">
        <v>1</v>
      </c>
    </row>
    <row r="269" spans="1:2" x14ac:dyDescent="0.25">
      <c r="A269" s="12" t="s">
        <v>229</v>
      </c>
      <c r="B269" s="13">
        <v>1</v>
      </c>
    </row>
    <row r="270" spans="1:2" x14ac:dyDescent="0.25">
      <c r="A270" s="12" t="s">
        <v>205</v>
      </c>
      <c r="B270" s="13">
        <v>1</v>
      </c>
    </row>
    <row r="271" spans="1:2" x14ac:dyDescent="0.25">
      <c r="A271" s="12" t="s">
        <v>326</v>
      </c>
      <c r="B271" s="13">
        <v>1</v>
      </c>
    </row>
    <row r="272" spans="1:2" x14ac:dyDescent="0.25">
      <c r="A272" s="12" t="s">
        <v>411</v>
      </c>
      <c r="B272" s="13">
        <v>1</v>
      </c>
    </row>
    <row r="273" spans="1:2" x14ac:dyDescent="0.25">
      <c r="A273" s="12" t="s">
        <v>231</v>
      </c>
      <c r="B273" s="13">
        <v>1</v>
      </c>
    </row>
    <row r="274" spans="1:2" x14ac:dyDescent="0.25">
      <c r="A274" s="12" t="s">
        <v>252</v>
      </c>
      <c r="B274" s="13">
        <v>1</v>
      </c>
    </row>
    <row r="275" spans="1:2" x14ac:dyDescent="0.25">
      <c r="A275" s="12" t="s">
        <v>331</v>
      </c>
      <c r="B275" s="13">
        <v>1</v>
      </c>
    </row>
    <row r="276" spans="1:2" x14ac:dyDescent="0.25">
      <c r="A276" s="12" t="s">
        <v>343</v>
      </c>
      <c r="B276" s="13">
        <v>1</v>
      </c>
    </row>
    <row r="277" spans="1:2" x14ac:dyDescent="0.25">
      <c r="A277" s="12" t="s">
        <v>390</v>
      </c>
      <c r="B277" s="13">
        <v>1</v>
      </c>
    </row>
    <row r="278" spans="1:2" x14ac:dyDescent="0.25">
      <c r="A278" s="12" t="s">
        <v>253</v>
      </c>
      <c r="B278" s="13">
        <v>1</v>
      </c>
    </row>
    <row r="279" spans="1:2" x14ac:dyDescent="0.25">
      <c r="A279" s="12" t="s">
        <v>232</v>
      </c>
      <c r="B279" s="13">
        <v>1</v>
      </c>
    </row>
    <row r="280" spans="1:2" x14ac:dyDescent="0.25">
      <c r="A280" s="12" t="s">
        <v>412</v>
      </c>
      <c r="B280" s="13">
        <v>1</v>
      </c>
    </row>
    <row r="281" spans="1:2" x14ac:dyDescent="0.25">
      <c r="A281" s="12" t="s">
        <v>336</v>
      </c>
      <c r="B281" s="13">
        <v>1</v>
      </c>
    </row>
    <row r="282" spans="1:2" x14ac:dyDescent="0.25">
      <c r="A282" s="12" t="s">
        <v>364</v>
      </c>
      <c r="B282" s="13">
        <v>1</v>
      </c>
    </row>
    <row r="283" spans="1:2" x14ac:dyDescent="0.25">
      <c r="A283" s="12" t="s">
        <v>338</v>
      </c>
      <c r="B283" s="13">
        <v>1</v>
      </c>
    </row>
    <row r="284" spans="1:2" x14ac:dyDescent="0.25">
      <c r="A284" s="12" t="s">
        <v>430</v>
      </c>
      <c r="B284" s="13">
        <v>1</v>
      </c>
    </row>
    <row r="285" spans="1:2" x14ac:dyDescent="0.25">
      <c r="A285" s="12" t="s">
        <v>339</v>
      </c>
      <c r="B285" s="13">
        <v>1</v>
      </c>
    </row>
    <row r="286" spans="1:2" x14ac:dyDescent="0.25">
      <c r="A286" s="12" t="s">
        <v>427</v>
      </c>
      <c r="B286" s="13">
        <v>1</v>
      </c>
    </row>
    <row r="287" spans="1:2" x14ac:dyDescent="0.25">
      <c r="A287" s="12" t="s">
        <v>168</v>
      </c>
      <c r="B287" s="13">
        <v>1</v>
      </c>
    </row>
    <row r="288" spans="1:2" x14ac:dyDescent="0.25">
      <c r="A288" s="12" t="s">
        <v>254</v>
      </c>
      <c r="B288" s="13">
        <v>1</v>
      </c>
    </row>
    <row r="289" spans="1:2" x14ac:dyDescent="0.25">
      <c r="A289" s="12" t="s">
        <v>358</v>
      </c>
      <c r="B289" s="13">
        <v>1</v>
      </c>
    </row>
    <row r="290" spans="1:2" x14ac:dyDescent="0.25">
      <c r="A290" s="12" t="s">
        <v>413</v>
      </c>
      <c r="B290" s="13">
        <v>1</v>
      </c>
    </row>
    <row r="291" spans="1:2" x14ac:dyDescent="0.25">
      <c r="A291" s="12" t="s">
        <v>215</v>
      </c>
      <c r="B291" s="13">
        <v>1</v>
      </c>
    </row>
    <row r="292" spans="1:2" x14ac:dyDescent="0.25">
      <c r="A292" s="12" t="s">
        <v>206</v>
      </c>
      <c r="B292" s="13">
        <v>1</v>
      </c>
    </row>
    <row r="293" spans="1:2" x14ac:dyDescent="0.25">
      <c r="A293" s="12" t="s">
        <v>177</v>
      </c>
      <c r="B293" s="13">
        <v>1</v>
      </c>
    </row>
    <row r="294" spans="1:2" x14ac:dyDescent="0.25">
      <c r="A294" s="12" t="s">
        <v>414</v>
      </c>
      <c r="B294" s="13">
        <v>1</v>
      </c>
    </row>
    <row r="295" spans="1:2" x14ac:dyDescent="0.25">
      <c r="A295" s="12" t="s">
        <v>86</v>
      </c>
      <c r="B295" s="13">
        <v>1</v>
      </c>
    </row>
    <row r="296" spans="1:2" x14ac:dyDescent="0.25">
      <c r="A296" s="12" t="s">
        <v>255</v>
      </c>
      <c r="B296" s="13">
        <v>1</v>
      </c>
    </row>
    <row r="297" spans="1:2" x14ac:dyDescent="0.25">
      <c r="A297" s="12" t="s">
        <v>216</v>
      </c>
      <c r="B297" s="13">
        <v>1</v>
      </c>
    </row>
    <row r="298" spans="1:2" x14ac:dyDescent="0.25">
      <c r="A298" s="12" t="s">
        <v>191</v>
      </c>
      <c r="B298" s="13">
        <v>1</v>
      </c>
    </row>
    <row r="299" spans="1:2" x14ac:dyDescent="0.25">
      <c r="A299" s="12" t="s">
        <v>375</v>
      </c>
      <c r="B299" s="13">
        <v>1</v>
      </c>
    </row>
    <row r="300" spans="1:2" x14ac:dyDescent="0.25">
      <c r="A300" s="12" t="s">
        <v>256</v>
      </c>
      <c r="B300" s="13">
        <v>1</v>
      </c>
    </row>
    <row r="301" spans="1:2" x14ac:dyDescent="0.25">
      <c r="A301" s="12" t="s">
        <v>194</v>
      </c>
      <c r="B301" s="13">
        <v>1</v>
      </c>
    </row>
    <row r="302" spans="1:2" x14ac:dyDescent="0.25">
      <c r="A302" s="12" t="s">
        <v>415</v>
      </c>
      <c r="B302" s="13">
        <v>1</v>
      </c>
    </row>
    <row r="303" spans="1:2" x14ac:dyDescent="0.25">
      <c r="A303" s="12" t="s">
        <v>376</v>
      </c>
      <c r="B303" s="13">
        <v>1</v>
      </c>
    </row>
    <row r="304" spans="1:2" x14ac:dyDescent="0.25">
      <c r="A304" s="12" t="s">
        <v>365</v>
      </c>
      <c r="B304" s="13">
        <v>1</v>
      </c>
    </row>
    <row r="305" spans="1:2" x14ac:dyDescent="0.25">
      <c r="A305" s="12" t="s">
        <v>289</v>
      </c>
      <c r="B305" s="13">
        <v>1</v>
      </c>
    </row>
    <row r="306" spans="1:2" x14ac:dyDescent="0.25">
      <c r="A306" s="12" t="s">
        <v>366</v>
      </c>
      <c r="B306" s="13">
        <v>1</v>
      </c>
    </row>
    <row r="307" spans="1:2" x14ac:dyDescent="0.25">
      <c r="A307" s="12" t="s">
        <v>290</v>
      </c>
      <c r="B307" s="13">
        <v>1</v>
      </c>
    </row>
    <row r="308" spans="1:2" x14ac:dyDescent="0.25">
      <c r="A308" s="12" t="s">
        <v>257</v>
      </c>
      <c r="B308" s="13">
        <v>1</v>
      </c>
    </row>
    <row r="309" spans="1:2" x14ac:dyDescent="0.25">
      <c r="A309" s="12" t="s">
        <v>291</v>
      </c>
      <c r="B309" s="13">
        <v>1</v>
      </c>
    </row>
    <row r="310" spans="1:2" x14ac:dyDescent="0.25">
      <c r="A310" s="12" t="s">
        <v>416</v>
      </c>
      <c r="B310" s="13">
        <v>1</v>
      </c>
    </row>
    <row r="311" spans="1:2" x14ac:dyDescent="0.25">
      <c r="A311" s="12" t="s">
        <v>292</v>
      </c>
      <c r="B311" s="13">
        <v>1</v>
      </c>
    </row>
    <row r="312" spans="1:2" x14ac:dyDescent="0.25">
      <c r="A312" s="12" t="s">
        <v>207</v>
      </c>
      <c r="B312" s="13">
        <v>1</v>
      </c>
    </row>
    <row r="313" spans="1:2" x14ac:dyDescent="0.25">
      <c r="A313" s="12" t="s">
        <v>293</v>
      </c>
      <c r="B313" s="13">
        <v>1</v>
      </c>
    </row>
    <row r="314" spans="1:2" x14ac:dyDescent="0.25">
      <c r="A314" s="12" t="s">
        <v>258</v>
      </c>
      <c r="B314" s="13">
        <v>1</v>
      </c>
    </row>
    <row r="315" spans="1:2" x14ac:dyDescent="0.25">
      <c r="A315" s="12" t="s">
        <v>378</v>
      </c>
      <c r="B315" s="13">
        <v>1</v>
      </c>
    </row>
    <row r="316" spans="1:2" x14ac:dyDescent="0.25">
      <c r="A316" s="12" t="s">
        <v>186</v>
      </c>
      <c r="B316" s="13">
        <v>1</v>
      </c>
    </row>
    <row r="317" spans="1:2" x14ac:dyDescent="0.25">
      <c r="A317" s="12" t="s">
        <v>294</v>
      </c>
      <c r="B317" s="13">
        <v>1</v>
      </c>
    </row>
    <row r="318" spans="1:2" x14ac:dyDescent="0.25">
      <c r="A318" s="12" t="s">
        <v>259</v>
      </c>
      <c r="B318" s="13">
        <v>1</v>
      </c>
    </row>
    <row r="319" spans="1:2" x14ac:dyDescent="0.25">
      <c r="A319" s="12" t="s">
        <v>295</v>
      </c>
      <c r="B319" s="13">
        <v>1</v>
      </c>
    </row>
    <row r="320" spans="1:2" x14ac:dyDescent="0.25">
      <c r="A320" s="12" t="s">
        <v>208</v>
      </c>
      <c r="B320" s="13">
        <v>1</v>
      </c>
    </row>
    <row r="321" spans="1:2" x14ac:dyDescent="0.25">
      <c r="A321" s="12" t="s">
        <v>195</v>
      </c>
      <c r="B321" s="13">
        <v>1</v>
      </c>
    </row>
    <row r="322" spans="1:2" x14ac:dyDescent="0.25">
      <c r="A322" s="12" t="s">
        <v>172</v>
      </c>
      <c r="B322" s="13">
        <v>1</v>
      </c>
    </row>
    <row r="323" spans="1:2" x14ac:dyDescent="0.25">
      <c r="A323" s="12" t="s">
        <v>220</v>
      </c>
      <c r="B323" s="13">
        <v>1</v>
      </c>
    </row>
    <row r="324" spans="1:2" x14ac:dyDescent="0.25">
      <c r="A324" s="12" t="s">
        <v>181</v>
      </c>
      <c r="B324" s="13">
        <v>1</v>
      </c>
    </row>
    <row r="325" spans="1:2" x14ac:dyDescent="0.25">
      <c r="A325" s="12" t="s">
        <v>379</v>
      </c>
      <c r="B325" s="13">
        <v>1</v>
      </c>
    </row>
    <row r="326" spans="1:2" x14ac:dyDescent="0.25">
      <c r="A326" s="12" t="s">
        <v>178</v>
      </c>
      <c r="B326" s="13">
        <v>1</v>
      </c>
    </row>
    <row r="327" spans="1:2" x14ac:dyDescent="0.25">
      <c r="A327" s="12" t="s">
        <v>299</v>
      </c>
      <c r="B327" s="13">
        <v>1</v>
      </c>
    </row>
    <row r="328" spans="1:2" x14ac:dyDescent="0.25">
      <c r="A328" s="12" t="s">
        <v>260</v>
      </c>
      <c r="B328" s="13">
        <v>1</v>
      </c>
    </row>
    <row r="329" spans="1:2" x14ac:dyDescent="0.25">
      <c r="A329" s="12" t="s">
        <v>300</v>
      </c>
      <c r="B329" s="13">
        <v>1</v>
      </c>
    </row>
    <row r="330" spans="1:2" x14ac:dyDescent="0.25">
      <c r="A330" s="12" t="s">
        <v>350</v>
      </c>
      <c r="B330" s="13">
        <v>1</v>
      </c>
    </row>
    <row r="331" spans="1:2" x14ac:dyDescent="0.25">
      <c r="A331" s="12" t="s">
        <v>221</v>
      </c>
      <c r="B331" s="13">
        <v>1</v>
      </c>
    </row>
    <row r="332" spans="1:2" x14ac:dyDescent="0.25">
      <c r="A332" s="12" t="s">
        <v>261</v>
      </c>
      <c r="B332" s="13">
        <v>1</v>
      </c>
    </row>
    <row r="333" spans="1:2" x14ac:dyDescent="0.25">
      <c r="A333" s="12" t="s">
        <v>431</v>
      </c>
      <c r="B333" s="13">
        <v>1</v>
      </c>
    </row>
    <row r="334" spans="1:2" x14ac:dyDescent="0.25">
      <c r="A334" s="12" t="s">
        <v>262</v>
      </c>
      <c r="B334" s="13">
        <v>1</v>
      </c>
    </row>
    <row r="335" spans="1:2" x14ac:dyDescent="0.25">
      <c r="A335" s="12" t="s">
        <v>302</v>
      </c>
      <c r="B335" s="13">
        <v>1</v>
      </c>
    </row>
    <row r="336" spans="1:2" x14ac:dyDescent="0.25">
      <c r="A336" s="12" t="s">
        <v>367</v>
      </c>
      <c r="B336" s="13">
        <v>1</v>
      </c>
    </row>
    <row r="337" spans="1:2" x14ac:dyDescent="0.25">
      <c r="A337" s="12" t="s">
        <v>303</v>
      </c>
      <c r="B337" s="13">
        <v>1</v>
      </c>
    </row>
    <row r="338" spans="1:2" x14ac:dyDescent="0.25">
      <c r="A338" s="12" t="s">
        <v>263</v>
      </c>
      <c r="B338" s="13">
        <v>1</v>
      </c>
    </row>
    <row r="339" spans="1:2" x14ac:dyDescent="0.25">
      <c r="A339" s="12" t="s">
        <v>304</v>
      </c>
      <c r="B339" s="13">
        <v>1</v>
      </c>
    </row>
    <row r="340" spans="1:2" x14ac:dyDescent="0.25">
      <c r="A340" s="12" t="s">
        <v>209</v>
      </c>
      <c r="B340" s="13">
        <v>1</v>
      </c>
    </row>
    <row r="341" spans="1:2" x14ac:dyDescent="0.25">
      <c r="A341" s="12" t="s">
        <v>305</v>
      </c>
      <c r="B341" s="13">
        <v>1</v>
      </c>
    </row>
    <row r="342" spans="1:2" x14ac:dyDescent="0.25">
      <c r="A342" s="12" t="s">
        <v>264</v>
      </c>
      <c r="B342" s="13">
        <v>1</v>
      </c>
    </row>
    <row r="343" spans="1:2" x14ac:dyDescent="0.25">
      <c r="A343" s="12" t="s">
        <v>223</v>
      </c>
      <c r="B343" s="13">
        <v>1</v>
      </c>
    </row>
    <row r="344" spans="1:2" x14ac:dyDescent="0.25">
      <c r="A344" s="12" t="s">
        <v>368</v>
      </c>
      <c r="B344" s="13">
        <v>1</v>
      </c>
    </row>
    <row r="345" spans="1:2" x14ac:dyDescent="0.25">
      <c r="A345" s="12" t="s">
        <v>383</v>
      </c>
      <c r="B345" s="13">
        <v>1</v>
      </c>
    </row>
    <row r="346" spans="1:2" x14ac:dyDescent="0.25">
      <c r="A346" s="12" t="s">
        <v>265</v>
      </c>
      <c r="B346" s="13">
        <v>1</v>
      </c>
    </row>
    <row r="347" spans="1:2" x14ac:dyDescent="0.25">
      <c r="A347" s="12" t="s">
        <v>308</v>
      </c>
      <c r="B347" s="13">
        <v>1</v>
      </c>
    </row>
    <row r="348" spans="1:2" x14ac:dyDescent="0.25">
      <c r="A348" s="12" t="s">
        <v>180</v>
      </c>
      <c r="B348" s="13">
        <v>1</v>
      </c>
    </row>
    <row r="349" spans="1:2" x14ac:dyDescent="0.25">
      <c r="A349" s="12" t="s">
        <v>346</v>
      </c>
      <c r="B349" s="13">
        <v>1</v>
      </c>
    </row>
    <row r="350" spans="1:2" x14ac:dyDescent="0.25">
      <c r="A350" s="12" t="s">
        <v>266</v>
      </c>
      <c r="B350" s="13">
        <v>1</v>
      </c>
    </row>
    <row r="351" spans="1:2" x14ac:dyDescent="0.25">
      <c r="A351" s="12" t="s">
        <v>197</v>
      </c>
      <c r="B351" s="13">
        <v>1</v>
      </c>
    </row>
    <row r="352" spans="1:2" x14ac:dyDescent="0.25">
      <c r="A352" s="12" t="s">
        <v>369</v>
      </c>
      <c r="B352" s="13">
        <v>1</v>
      </c>
    </row>
    <row r="353" spans="1:2" x14ac:dyDescent="0.25">
      <c r="A353" s="12" t="s">
        <v>225</v>
      </c>
      <c r="B353" s="13">
        <v>1</v>
      </c>
    </row>
    <row r="354" spans="1:2" x14ac:dyDescent="0.25">
      <c r="A354" s="12" t="s">
        <v>267</v>
      </c>
      <c r="B354" s="13">
        <v>1</v>
      </c>
    </row>
    <row r="355" spans="1:2" x14ac:dyDescent="0.25">
      <c r="A355" s="12" t="s">
        <v>384</v>
      </c>
      <c r="B355" s="13">
        <v>1</v>
      </c>
    </row>
    <row r="356" spans="1:2" x14ac:dyDescent="0.25">
      <c r="A356" s="12" t="s">
        <v>210</v>
      </c>
      <c r="B356" s="13">
        <v>1</v>
      </c>
    </row>
    <row r="357" spans="1:2" x14ac:dyDescent="0.25">
      <c r="A357" s="12" t="s">
        <v>347</v>
      </c>
      <c r="B357" s="13">
        <v>1</v>
      </c>
    </row>
    <row r="358" spans="1:2" x14ac:dyDescent="0.25">
      <c r="A358" s="12" t="s">
        <v>351</v>
      </c>
      <c r="B358" s="13">
        <v>1</v>
      </c>
    </row>
    <row r="359" spans="1:2" x14ac:dyDescent="0.25">
      <c r="A359" s="12" t="s">
        <v>385</v>
      </c>
      <c r="B359" s="13">
        <v>1</v>
      </c>
    </row>
    <row r="360" spans="1:2" x14ac:dyDescent="0.25">
      <c r="A360" s="12" t="s">
        <v>192</v>
      </c>
      <c r="B360" s="13">
        <v>1</v>
      </c>
    </row>
    <row r="361" spans="1:2" x14ac:dyDescent="0.25">
      <c r="A361" s="12" t="s">
        <v>315</v>
      </c>
      <c r="B361" s="13">
        <v>1</v>
      </c>
    </row>
    <row r="362" spans="1:2" x14ac:dyDescent="0.25">
      <c r="A362" s="12" t="s">
        <v>370</v>
      </c>
      <c r="B362" s="13">
        <v>1</v>
      </c>
    </row>
    <row r="363" spans="1:2" x14ac:dyDescent="0.25">
      <c r="A363" s="12" t="s">
        <v>356</v>
      </c>
      <c r="B363" s="13">
        <v>1</v>
      </c>
    </row>
    <row r="364" spans="1:2" x14ac:dyDescent="0.25">
      <c r="A364" s="12" t="s">
        <v>268</v>
      </c>
      <c r="B364" s="13">
        <v>1</v>
      </c>
    </row>
    <row r="365" spans="1:2" x14ac:dyDescent="0.25">
      <c r="A365" s="12" t="s">
        <v>386</v>
      </c>
      <c r="B365" s="13">
        <v>1</v>
      </c>
    </row>
    <row r="366" spans="1:2" x14ac:dyDescent="0.25">
      <c r="A366" s="12" t="s">
        <v>269</v>
      </c>
      <c r="B366" s="13">
        <v>1</v>
      </c>
    </row>
    <row r="367" spans="1:2" x14ac:dyDescent="0.25">
      <c r="A367" s="12" t="s">
        <v>318</v>
      </c>
      <c r="B367" s="13">
        <v>1</v>
      </c>
    </row>
    <row r="368" spans="1:2" x14ac:dyDescent="0.25">
      <c r="A368" s="12" t="s">
        <v>211</v>
      </c>
      <c r="B368" s="13">
        <v>1</v>
      </c>
    </row>
    <row r="369" spans="1:2" x14ac:dyDescent="0.25">
      <c r="A369" s="12" t="s">
        <v>387</v>
      </c>
      <c r="B369" s="13">
        <v>1</v>
      </c>
    </row>
    <row r="370" spans="1:2" x14ac:dyDescent="0.25">
      <c r="A370" s="12" t="s">
        <v>345</v>
      </c>
      <c r="B370" s="13">
        <v>1</v>
      </c>
    </row>
    <row r="371" spans="1:2" x14ac:dyDescent="0.25">
      <c r="A371" s="12" t="s">
        <v>228</v>
      </c>
      <c r="B371" s="13">
        <v>1</v>
      </c>
    </row>
    <row r="372" spans="1:2" x14ac:dyDescent="0.25">
      <c r="A372" s="12" t="s">
        <v>270</v>
      </c>
      <c r="B372" s="13">
        <v>1</v>
      </c>
    </row>
    <row r="373" spans="1:2" x14ac:dyDescent="0.25">
      <c r="A373" s="12" t="s">
        <v>198</v>
      </c>
      <c r="B373" s="13">
        <v>1</v>
      </c>
    </row>
    <row r="374" spans="1:2" x14ac:dyDescent="0.25">
      <c r="A374" s="12" t="s">
        <v>371</v>
      </c>
      <c r="B374" s="13">
        <v>1</v>
      </c>
    </row>
    <row r="375" spans="1:2" x14ac:dyDescent="0.25">
      <c r="A375" s="12" t="s">
        <v>322</v>
      </c>
      <c r="B375" s="13">
        <v>1</v>
      </c>
    </row>
    <row r="376" spans="1:2" x14ac:dyDescent="0.25">
      <c r="A376" s="12" t="s">
        <v>271</v>
      </c>
      <c r="B376" s="13">
        <v>1</v>
      </c>
    </row>
    <row r="377" spans="1:2" x14ac:dyDescent="0.25">
      <c r="A377" s="12" t="s">
        <v>185</v>
      </c>
      <c r="B377" s="13">
        <v>1</v>
      </c>
    </row>
    <row r="378" spans="1:2" x14ac:dyDescent="0.25">
      <c r="A378" s="12" t="s">
        <v>272</v>
      </c>
      <c r="B378" s="13">
        <v>1</v>
      </c>
    </row>
    <row r="379" spans="1:2" x14ac:dyDescent="0.25">
      <c r="A379" s="12" t="s">
        <v>324</v>
      </c>
      <c r="B379" s="13">
        <v>1</v>
      </c>
    </row>
    <row r="380" spans="1:2" x14ac:dyDescent="0.25">
      <c r="A380" s="12" t="s">
        <v>165</v>
      </c>
      <c r="B380" s="13">
        <v>1</v>
      </c>
    </row>
    <row r="381" spans="1:2" x14ac:dyDescent="0.25">
      <c r="A381" s="12" t="s">
        <v>389</v>
      </c>
      <c r="B381" s="13">
        <v>1</v>
      </c>
    </row>
    <row r="382" spans="1:2" x14ac:dyDescent="0.25">
      <c r="A382" s="12" t="s">
        <v>212</v>
      </c>
      <c r="B382" s="13">
        <v>1</v>
      </c>
    </row>
    <row r="383" spans="1:2" x14ac:dyDescent="0.25">
      <c r="A383" s="12" t="s">
        <v>230</v>
      </c>
      <c r="B383" s="13">
        <v>1</v>
      </c>
    </row>
    <row r="384" spans="1:2" x14ac:dyDescent="0.25">
      <c r="A384" s="12" t="s">
        <v>173</v>
      </c>
      <c r="B384" s="13">
        <v>1</v>
      </c>
    </row>
    <row r="385" spans="1:2" x14ac:dyDescent="0.25">
      <c r="A385" s="12" t="s">
        <v>327</v>
      </c>
      <c r="B385" s="13">
        <v>1</v>
      </c>
    </row>
    <row r="386" spans="1:2" x14ac:dyDescent="0.25">
      <c r="A386" s="12" t="s">
        <v>182</v>
      </c>
      <c r="B386" s="13">
        <v>1</v>
      </c>
    </row>
    <row r="387" spans="1:2" x14ac:dyDescent="0.25">
      <c r="A387" s="12" t="s">
        <v>328</v>
      </c>
      <c r="B387" s="13">
        <v>1</v>
      </c>
    </row>
    <row r="388" spans="1:2" x14ac:dyDescent="0.25">
      <c r="A388" s="12" t="s">
        <v>342</v>
      </c>
      <c r="B388" s="13">
        <v>1</v>
      </c>
    </row>
    <row r="389" spans="1:2" x14ac:dyDescent="0.25">
      <c r="A389" s="12" t="s">
        <v>330</v>
      </c>
      <c r="B389" s="13">
        <v>1</v>
      </c>
    </row>
    <row r="390" spans="1:2" x14ac:dyDescent="0.25">
      <c r="A390" s="12" t="s">
        <v>164</v>
      </c>
      <c r="B390" s="13">
        <v>1</v>
      </c>
    </row>
    <row r="391" spans="1:2" x14ac:dyDescent="0.25">
      <c r="A391" s="12" t="s">
        <v>179</v>
      </c>
      <c r="B391" s="13">
        <v>1</v>
      </c>
    </row>
    <row r="392" spans="1:2" x14ac:dyDescent="0.25">
      <c r="A392" s="12" t="s">
        <v>273</v>
      </c>
      <c r="B392" s="13">
        <v>1</v>
      </c>
    </row>
    <row r="393" spans="1:2" x14ac:dyDescent="0.25">
      <c r="A393" s="12" t="s">
        <v>329</v>
      </c>
      <c r="B393" s="13">
        <v>1</v>
      </c>
    </row>
    <row r="394" spans="1:2" x14ac:dyDescent="0.25">
      <c r="A394" s="12" t="s">
        <v>213</v>
      </c>
      <c r="B394" s="13">
        <v>1</v>
      </c>
    </row>
    <row r="395" spans="1:2" x14ac:dyDescent="0.25">
      <c r="A395" s="12" t="s">
        <v>170</v>
      </c>
      <c r="B395" s="13">
        <v>1</v>
      </c>
    </row>
    <row r="396" spans="1:2" x14ac:dyDescent="0.25">
      <c r="A396" s="12" t="s">
        <v>274</v>
      </c>
      <c r="B396" s="13">
        <v>1</v>
      </c>
    </row>
    <row r="397" spans="1:2" x14ac:dyDescent="0.25">
      <c r="A397" s="12" t="s">
        <v>391</v>
      </c>
      <c r="B397" s="13">
        <v>1</v>
      </c>
    </row>
    <row r="398" spans="1:2" x14ac:dyDescent="0.25">
      <c r="A398" s="12" t="s">
        <v>372</v>
      </c>
      <c r="B398" s="13">
        <v>1</v>
      </c>
    </row>
    <row r="399" spans="1:2" x14ac:dyDescent="0.25">
      <c r="A399" s="12" t="s">
        <v>334</v>
      </c>
      <c r="B399" s="13">
        <v>1</v>
      </c>
    </row>
    <row r="400" spans="1:2" x14ac:dyDescent="0.25">
      <c r="A400" s="12" t="s">
        <v>275</v>
      </c>
      <c r="B400" s="13">
        <v>1</v>
      </c>
    </row>
    <row r="401" spans="1:2" x14ac:dyDescent="0.25">
      <c r="A401" s="12" t="s">
        <v>188</v>
      </c>
      <c r="B401" s="13">
        <v>1</v>
      </c>
    </row>
    <row r="402" spans="1:2" x14ac:dyDescent="0.25">
      <c r="A402" s="12" t="s">
        <v>276</v>
      </c>
      <c r="B402" s="13">
        <v>1</v>
      </c>
    </row>
    <row r="403" spans="1:2" x14ac:dyDescent="0.25">
      <c r="A403" s="12" t="s">
        <v>233</v>
      </c>
      <c r="B403" s="13">
        <v>1</v>
      </c>
    </row>
    <row r="404" spans="1:2" x14ac:dyDescent="0.25">
      <c r="A404" s="12" t="s">
        <v>277</v>
      </c>
      <c r="B404" s="13">
        <v>1</v>
      </c>
    </row>
    <row r="405" spans="1:2" x14ac:dyDescent="0.25">
      <c r="A405" s="12" t="s">
        <v>337</v>
      </c>
      <c r="B405" s="13">
        <v>1</v>
      </c>
    </row>
    <row r="406" spans="1:2" x14ac:dyDescent="0.25">
      <c r="A406" s="12" t="s">
        <v>193</v>
      </c>
      <c r="B406" s="13">
        <v>1</v>
      </c>
    </row>
    <row r="407" spans="1:2" x14ac:dyDescent="0.25">
      <c r="A407" s="12" t="s">
        <v>392</v>
      </c>
      <c r="B407" s="13">
        <v>1</v>
      </c>
    </row>
    <row r="408" spans="1:2" x14ac:dyDescent="0.25">
      <c r="A408" s="12" t="s">
        <v>278</v>
      </c>
      <c r="B408" s="13">
        <v>1</v>
      </c>
    </row>
    <row r="409" spans="1:2" x14ac:dyDescent="0.25">
      <c r="A409" s="12" t="s">
        <v>174</v>
      </c>
      <c r="B409" s="13">
        <v>1</v>
      </c>
    </row>
    <row r="410" spans="1:2" x14ac:dyDescent="0.25">
      <c r="A410" s="12" t="s">
        <v>214</v>
      </c>
      <c r="B410" s="13">
        <v>1</v>
      </c>
    </row>
    <row r="411" spans="1:2" x14ac:dyDescent="0.25">
      <c r="A411" s="12" t="s">
        <v>166</v>
      </c>
      <c r="B411" s="13">
        <v>1</v>
      </c>
    </row>
    <row r="412" spans="1:2" x14ac:dyDescent="0.25">
      <c r="A412" s="12" t="s">
        <v>373</v>
      </c>
      <c r="B412" s="13">
        <v>1</v>
      </c>
    </row>
    <row r="413" spans="1:2" x14ac:dyDescent="0.25">
      <c r="A413" s="12" t="s">
        <v>42</v>
      </c>
      <c r="B413" s="13">
        <v>1</v>
      </c>
    </row>
    <row r="414" spans="1:2" x14ac:dyDescent="0.25">
      <c r="A414" s="12" t="s">
        <v>279</v>
      </c>
      <c r="B414" s="13">
        <v>1</v>
      </c>
    </row>
    <row r="415" spans="1:2" x14ac:dyDescent="0.25">
      <c r="A415" s="12" t="s">
        <v>340</v>
      </c>
      <c r="B415" s="13">
        <v>1</v>
      </c>
    </row>
    <row r="416" spans="1:2" x14ac:dyDescent="0.25">
      <c r="A416" s="12" t="s">
        <v>151</v>
      </c>
      <c r="B416" s="13">
        <v>1</v>
      </c>
    </row>
    <row r="417" spans="1:2" x14ac:dyDescent="0.25">
      <c r="A417" s="12" t="s">
        <v>175</v>
      </c>
      <c r="B417" s="13">
        <v>1</v>
      </c>
    </row>
    <row r="418" spans="1:2" x14ac:dyDescent="0.25">
      <c r="A418" s="12" t="s">
        <v>280</v>
      </c>
      <c r="B418" s="13">
        <v>1</v>
      </c>
    </row>
    <row r="419" spans="1:2" x14ac:dyDescent="0.25">
      <c r="A419" s="12" t="s">
        <v>167</v>
      </c>
      <c r="B419" s="13">
        <v>1</v>
      </c>
    </row>
    <row r="420" spans="1:2" x14ac:dyDescent="0.25">
      <c r="A420" s="12" t="s">
        <v>281</v>
      </c>
      <c r="B420" s="13">
        <v>1</v>
      </c>
    </row>
    <row r="421" spans="1:2" x14ac:dyDescent="0.25">
      <c r="A421" s="12" t="s">
        <v>352</v>
      </c>
      <c r="B421" s="13">
        <v>1</v>
      </c>
    </row>
    <row r="422" spans="1:2" x14ac:dyDescent="0.25">
      <c r="A422" s="12" t="s">
        <v>251</v>
      </c>
      <c r="B422" s="13">
        <v>1</v>
      </c>
    </row>
    <row r="423" spans="1:2" x14ac:dyDescent="0.25">
      <c r="A423" s="12" t="s">
        <v>434</v>
      </c>
      <c r="B423" s="13"/>
    </row>
    <row r="424" spans="1:2" x14ac:dyDescent="0.25">
      <c r="A424" s="12" t="s">
        <v>435</v>
      </c>
      <c r="B424" s="1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bestFit="1" customWidth="1"/>
    <col min="5" max="5" width="9.7109375" bestFit="1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1">
        <v>0.121036</v>
      </c>
      <c r="C2" s="1">
        <v>0.12492</v>
      </c>
    </row>
    <row r="3" spans="1:3" x14ac:dyDescent="0.25">
      <c r="A3" s="4" t="s">
        <v>4</v>
      </c>
      <c r="B3" s="1">
        <v>0.92153600000000002</v>
      </c>
      <c r="C3" s="1">
        <v>0.91932400000000003</v>
      </c>
    </row>
    <row r="4" spans="1:3" x14ac:dyDescent="0.25">
      <c r="A4" s="4" t="s">
        <v>5</v>
      </c>
      <c r="B4" s="1">
        <v>0.43023099999999997</v>
      </c>
      <c r="C4" s="1">
        <v>0.43248700000000001</v>
      </c>
    </row>
    <row r="5" spans="1:3" x14ac:dyDescent="0.25">
      <c r="A5" s="4" t="s">
        <v>6</v>
      </c>
      <c r="B5" s="1">
        <v>0.33882099999999998</v>
      </c>
      <c r="C5" s="1">
        <v>0.342389</v>
      </c>
    </row>
    <row r="6" spans="1:3" x14ac:dyDescent="0.25">
      <c r="A6" s="4" t="s">
        <v>7</v>
      </c>
      <c r="B6" s="1">
        <v>0.16389799999999999</v>
      </c>
      <c r="C6" s="1">
        <v>0.16686999999999999</v>
      </c>
    </row>
    <row r="7" spans="1:3" x14ac:dyDescent="0.25">
      <c r="A7" s="4" t="s">
        <v>8</v>
      </c>
      <c r="B7" s="1">
        <v>0.25012200000000001</v>
      </c>
      <c r="C7" s="1">
        <v>0.24668599999999999</v>
      </c>
    </row>
    <row r="8" spans="1:3" x14ac:dyDescent="0.25">
      <c r="A8" s="4" t="s">
        <v>9</v>
      </c>
      <c r="B8" s="1">
        <v>0.20372499999999999</v>
      </c>
      <c r="C8" s="1">
        <v>0.20172899999999999</v>
      </c>
    </row>
    <row r="9" spans="1:3" x14ac:dyDescent="0.25">
      <c r="A9" s="4" t="s">
        <v>10</v>
      </c>
      <c r="B9" s="1">
        <v>0.53941499999999998</v>
      </c>
      <c r="C9" s="1">
        <v>0.53671100000000005</v>
      </c>
    </row>
    <row r="10" spans="1:3" x14ac:dyDescent="0.25">
      <c r="A10" s="4" t="s">
        <v>11</v>
      </c>
      <c r="B10" s="1">
        <v>0.93227400000000005</v>
      </c>
      <c r="C10" s="1">
        <v>0.93418999999999996</v>
      </c>
    </row>
    <row r="11" spans="1:3" x14ac:dyDescent="0.25">
      <c r="A11" s="4" t="s">
        <v>12</v>
      </c>
      <c r="B11" s="1">
        <v>0.65463899999999997</v>
      </c>
      <c r="C11" s="1">
        <v>0.65809899999999999</v>
      </c>
    </row>
    <row r="12" spans="1:3" x14ac:dyDescent="0.25">
      <c r="A12" s="4" t="s">
        <v>13</v>
      </c>
      <c r="B12" s="1">
        <v>0.23710300000000001</v>
      </c>
      <c r="C12" s="1">
        <v>0.23566300000000001</v>
      </c>
    </row>
    <row r="13" spans="1:3" x14ac:dyDescent="0.25">
      <c r="A13" s="4" t="s">
        <v>14</v>
      </c>
      <c r="B13" s="1">
        <v>0.24673800000000001</v>
      </c>
      <c r="C13" s="1">
        <v>0.24312600000000001</v>
      </c>
    </row>
    <row r="14" spans="1:3" x14ac:dyDescent="0.25">
      <c r="A14" s="4" t="s">
        <v>15</v>
      </c>
      <c r="B14" s="1">
        <v>0.66593500000000005</v>
      </c>
      <c r="C14" s="1">
        <v>0.66326300000000005</v>
      </c>
    </row>
    <row r="15" spans="1:3" x14ac:dyDescent="0.25">
      <c r="A15" s="4" t="s">
        <v>16</v>
      </c>
      <c r="B15" s="1">
        <v>0.22825400000000001</v>
      </c>
      <c r="C15" s="1">
        <v>0.22492999999999999</v>
      </c>
    </row>
    <row r="16" spans="1:3" x14ac:dyDescent="0.25">
      <c r="A16" s="4" t="s">
        <v>17</v>
      </c>
      <c r="B16" s="1">
        <v>0.136911</v>
      </c>
      <c r="C16" s="1">
        <v>0.134159</v>
      </c>
    </row>
    <row r="17" spans="1:3" x14ac:dyDescent="0.25">
      <c r="A17" s="4" t="s">
        <v>18</v>
      </c>
      <c r="B17" s="1">
        <v>5.8460999999999999E-2</v>
      </c>
      <c r="C17" s="1">
        <v>6.1785E-2</v>
      </c>
    </row>
    <row r="18" spans="1:3" x14ac:dyDescent="0.25">
      <c r="A18" s="4" t="s">
        <v>19</v>
      </c>
      <c r="B18" s="1">
        <v>0.324683</v>
      </c>
      <c r="C18" s="1">
        <v>0.32151099999999999</v>
      </c>
    </row>
    <row r="19" spans="1:3" x14ac:dyDescent="0.25">
      <c r="A19" s="4" t="s">
        <v>20</v>
      </c>
      <c r="B19" s="1">
        <v>0.127914</v>
      </c>
      <c r="C19" s="1">
        <v>0.12561800000000001</v>
      </c>
    </row>
    <row r="20" spans="1:3" x14ac:dyDescent="0.25">
      <c r="A20" s="4" t="s">
        <v>21</v>
      </c>
      <c r="B20" s="1">
        <v>0.58114299999999997</v>
      </c>
      <c r="C20" s="1">
        <v>0.58296700000000001</v>
      </c>
    </row>
    <row r="21" spans="1:3" x14ac:dyDescent="0.25">
      <c r="A21" s="4" t="s">
        <v>22</v>
      </c>
      <c r="B21" s="1">
        <v>7.6165999999999998E-2</v>
      </c>
      <c r="C21" s="1">
        <v>7.9481999999999997E-2</v>
      </c>
    </row>
    <row r="22" spans="1:3" x14ac:dyDescent="0.25">
      <c r="A22" s="4" t="s">
        <v>23</v>
      </c>
      <c r="B22" s="1">
        <v>0.41572100000000001</v>
      </c>
      <c r="C22" s="1">
        <v>0.414217</v>
      </c>
    </row>
    <row r="23" spans="1:3" x14ac:dyDescent="0.25">
      <c r="A23" s="4" t="s">
        <v>24</v>
      </c>
      <c r="B23" s="1">
        <v>0.72382100000000005</v>
      </c>
      <c r="C23" s="1">
        <v>0.72524900000000003</v>
      </c>
    </row>
    <row r="24" spans="1:3" x14ac:dyDescent="0.25">
      <c r="A24" s="4" t="s">
        <v>25</v>
      </c>
      <c r="B24" s="1">
        <v>0.54693899999999995</v>
      </c>
      <c r="C24" s="1">
        <v>0.550423</v>
      </c>
    </row>
    <row r="25" spans="1:3" x14ac:dyDescent="0.25">
      <c r="A25" s="4" t="s">
        <v>26</v>
      </c>
      <c r="B25" s="1">
        <v>0.32196599999999997</v>
      </c>
      <c r="C25" s="1">
        <v>0.32423800000000003</v>
      </c>
    </row>
    <row r="26" spans="1:3" x14ac:dyDescent="0.25">
      <c r="A26" s="4" t="s">
        <v>27</v>
      </c>
      <c r="B26" s="1">
        <v>0.94908300000000001</v>
      </c>
      <c r="C26" s="1">
        <v>0.94690700000000005</v>
      </c>
    </row>
    <row r="27" spans="1:3" x14ac:dyDescent="0.25">
      <c r="A27" s="4" t="s">
        <v>28</v>
      </c>
      <c r="B27" s="1">
        <v>0.38782699999999998</v>
      </c>
      <c r="C27" s="1">
        <v>0.38494699999999998</v>
      </c>
    </row>
    <row r="28" spans="1:3" x14ac:dyDescent="0.25">
      <c r="A28" s="4" t="s">
        <v>29</v>
      </c>
      <c r="B28" s="1">
        <v>5.8074000000000001E-2</v>
      </c>
      <c r="C28" s="1">
        <v>5.5070000000000001E-2</v>
      </c>
    </row>
    <row r="29" spans="1:3" x14ac:dyDescent="0.25">
      <c r="A29" s="4" t="s">
        <v>30</v>
      </c>
      <c r="B29" s="1">
        <v>7.5792999999999999E-2</v>
      </c>
      <c r="C29" s="1">
        <v>7.8176999999999996E-2</v>
      </c>
    </row>
    <row r="30" spans="1:3" x14ac:dyDescent="0.25">
      <c r="A30" s="4" t="s">
        <v>31</v>
      </c>
      <c r="B30" s="1">
        <v>0.20865400000000001</v>
      </c>
      <c r="C30" s="1">
        <v>0.21079800000000001</v>
      </c>
    </row>
    <row r="31" spans="1:3" x14ac:dyDescent="0.25">
      <c r="A31" s="4" t="s">
        <v>32</v>
      </c>
      <c r="B31" s="1">
        <v>0.959372</v>
      </c>
      <c r="C31" s="1">
        <v>0.956704</v>
      </c>
    </row>
    <row r="32" spans="1:3" x14ac:dyDescent="0.25">
      <c r="A32" s="4" t="s">
        <v>33</v>
      </c>
      <c r="B32" s="1">
        <v>0.92453600000000002</v>
      </c>
      <c r="C32" s="1">
        <v>0.92642400000000003</v>
      </c>
    </row>
    <row r="33" spans="1:3" x14ac:dyDescent="0.25">
      <c r="A33" s="4" t="s">
        <v>34</v>
      </c>
      <c r="B33" s="1">
        <v>0.23633899999999999</v>
      </c>
      <c r="C33" s="1">
        <v>0.23261499999999999</v>
      </c>
    </row>
    <row r="34" spans="1:3" x14ac:dyDescent="0.25">
      <c r="A34" s="4" t="s">
        <v>428</v>
      </c>
      <c r="B34" s="1">
        <v>0.66373000000000004</v>
      </c>
      <c r="C34" s="1">
        <v>0.66111399999999998</v>
      </c>
    </row>
    <row r="35" spans="1:3" x14ac:dyDescent="0.25">
      <c r="A35" s="4" t="s">
        <v>35</v>
      </c>
      <c r="B35" s="1">
        <v>0.220334</v>
      </c>
      <c r="C35" s="1">
        <v>0.22331400000000001</v>
      </c>
    </row>
    <row r="36" spans="1:3" x14ac:dyDescent="0.25">
      <c r="A36" s="4" t="s">
        <v>36</v>
      </c>
      <c r="B36" s="1">
        <v>0.43002600000000002</v>
      </c>
      <c r="C36" s="1">
        <v>0.42713400000000001</v>
      </c>
    </row>
    <row r="37" spans="1:3" x14ac:dyDescent="0.25">
      <c r="A37" s="4" t="s">
        <v>37</v>
      </c>
      <c r="B37" s="1">
        <v>0.62783900000000004</v>
      </c>
      <c r="C37" s="1">
        <v>0.62973500000000004</v>
      </c>
    </row>
    <row r="38" spans="1:3" x14ac:dyDescent="0.25">
      <c r="A38" s="4" t="s">
        <v>38</v>
      </c>
      <c r="B38" s="1">
        <v>0.72344799999999998</v>
      </c>
      <c r="C38" s="1">
        <v>0.72086399999999995</v>
      </c>
    </row>
    <row r="39" spans="1:3" x14ac:dyDescent="0.25">
      <c r="A39" s="4" t="s">
        <v>39</v>
      </c>
      <c r="B39" s="1">
        <v>8.9300000000000004E-2</v>
      </c>
      <c r="C39" s="1">
        <v>9.3151999999999999E-2</v>
      </c>
    </row>
    <row r="40" spans="1:3" x14ac:dyDescent="0.25">
      <c r="A40" s="4" t="s">
        <v>40</v>
      </c>
      <c r="B40" s="1">
        <v>0.89808900000000003</v>
      </c>
      <c r="C40" s="1">
        <v>0.900501</v>
      </c>
    </row>
    <row r="41" spans="1:3" x14ac:dyDescent="0.25">
      <c r="A41" s="4" t="s">
        <v>41</v>
      </c>
      <c r="B41" s="1">
        <v>0.54968600000000001</v>
      </c>
      <c r="C41" s="1">
        <v>0.55359800000000003</v>
      </c>
    </row>
    <row r="42" spans="1:3" x14ac:dyDescent="0.25">
      <c r="A42" s="4" t="s">
        <v>42</v>
      </c>
      <c r="B42" s="1">
        <v>2.5205000000000002E-2</v>
      </c>
      <c r="C42" s="1">
        <v>2.8740999999999999E-2</v>
      </c>
    </row>
    <row r="43" spans="1:3" x14ac:dyDescent="0.25">
      <c r="A43" s="4" t="s">
        <v>43</v>
      </c>
      <c r="B43" s="1">
        <v>0.74113899999999999</v>
      </c>
      <c r="C43" s="1">
        <v>0.74283100000000002</v>
      </c>
    </row>
    <row r="44" spans="1:3" x14ac:dyDescent="0.25">
      <c r="A44" s="4" t="s">
        <v>44</v>
      </c>
      <c r="B44" s="1">
        <v>0.45712199999999997</v>
      </c>
      <c r="C44" s="1">
        <v>0.45935799999999999</v>
      </c>
    </row>
    <row r="45" spans="1:3" x14ac:dyDescent="0.25">
      <c r="A45" s="4" t="s">
        <v>45</v>
      </c>
      <c r="B45" s="1">
        <v>0.26977200000000001</v>
      </c>
      <c r="C45" s="1">
        <v>0.2661</v>
      </c>
    </row>
    <row r="46" spans="1:3" x14ac:dyDescent="0.25">
      <c r="A46" s="4" t="s">
        <v>46</v>
      </c>
      <c r="B46" s="1">
        <v>0.193527</v>
      </c>
      <c r="C46" s="1">
        <v>0.18987100000000001</v>
      </c>
    </row>
    <row r="47" spans="1:3" x14ac:dyDescent="0.25">
      <c r="A47" s="4" t="s">
        <v>47</v>
      </c>
      <c r="B47" s="1">
        <v>0.73745799999999995</v>
      </c>
      <c r="C47" s="1">
        <v>0.73368199999999995</v>
      </c>
    </row>
    <row r="48" spans="1:3" x14ac:dyDescent="0.25">
      <c r="A48" s="4" t="s">
        <v>48</v>
      </c>
      <c r="B48" s="1">
        <v>0.29613200000000001</v>
      </c>
      <c r="C48" s="1">
        <v>0.29450799999999999</v>
      </c>
    </row>
    <row r="49" spans="1:3" x14ac:dyDescent="0.25">
      <c r="A49" s="4" t="s">
        <v>49</v>
      </c>
      <c r="B49" s="1">
        <v>0.55866400000000005</v>
      </c>
      <c r="C49" s="1">
        <v>0.55554400000000004</v>
      </c>
    </row>
    <row r="50" spans="1:3" x14ac:dyDescent="0.25">
      <c r="A50" s="4" t="s">
        <v>50</v>
      </c>
      <c r="B50" s="1">
        <v>0.46306999999999998</v>
      </c>
      <c r="C50" s="1">
        <v>0.466978</v>
      </c>
    </row>
    <row r="51" spans="1:3" x14ac:dyDescent="0.25">
      <c r="A51" s="4" t="s">
        <v>51</v>
      </c>
      <c r="B51" s="1">
        <v>0.20654</v>
      </c>
      <c r="C51" s="1">
        <v>0.20846000000000001</v>
      </c>
    </row>
    <row r="52" spans="1:3" x14ac:dyDescent="0.25">
      <c r="A52" s="4" t="s">
        <v>52</v>
      </c>
      <c r="B52" s="1">
        <v>0.86371399999999998</v>
      </c>
      <c r="C52" s="1">
        <v>0.86516999999999999</v>
      </c>
    </row>
    <row r="53" spans="1:3" x14ac:dyDescent="0.25">
      <c r="A53" s="4" t="s">
        <v>53</v>
      </c>
      <c r="B53" s="1">
        <v>0.83620700000000003</v>
      </c>
      <c r="C53" s="1">
        <v>0.83887500000000004</v>
      </c>
    </row>
    <row r="54" spans="1:3" x14ac:dyDescent="0.25">
      <c r="A54" s="4" t="s">
        <v>54</v>
      </c>
      <c r="B54" s="1">
        <v>0.83164899999999997</v>
      </c>
      <c r="C54" s="1">
        <v>0.82985699999999996</v>
      </c>
    </row>
    <row r="55" spans="1:3" x14ac:dyDescent="0.25">
      <c r="A55" s="4" t="s">
        <v>55</v>
      </c>
      <c r="B55" s="1">
        <v>0.62158000000000002</v>
      </c>
      <c r="C55" s="1">
        <v>0.61829199999999995</v>
      </c>
    </row>
    <row r="56" spans="1:3" x14ac:dyDescent="0.25">
      <c r="A56" s="4" t="s">
        <v>56</v>
      </c>
      <c r="B56" s="1">
        <v>0.34653200000000001</v>
      </c>
      <c r="C56" s="1">
        <v>0.34881600000000001</v>
      </c>
    </row>
    <row r="57" spans="1:3" x14ac:dyDescent="0.25">
      <c r="A57" s="4" t="s">
        <v>57</v>
      </c>
      <c r="B57" s="1">
        <v>0.95849399999999996</v>
      </c>
      <c r="C57" s="1">
        <v>0.96079800000000004</v>
      </c>
    </row>
    <row r="58" spans="1:3" x14ac:dyDescent="0.25">
      <c r="A58" s="4" t="s">
        <v>58</v>
      </c>
      <c r="B58" s="1">
        <v>0.88663099999999995</v>
      </c>
      <c r="C58" s="1">
        <v>0.888683</v>
      </c>
    </row>
    <row r="59" spans="1:3" x14ac:dyDescent="0.25">
      <c r="A59" s="4" t="s">
        <v>59</v>
      </c>
      <c r="B59" s="1">
        <v>0.54649099999999995</v>
      </c>
      <c r="C59" s="1">
        <v>0.54815899999999995</v>
      </c>
    </row>
    <row r="60" spans="1:3" x14ac:dyDescent="0.25">
      <c r="A60" s="4" t="s">
        <v>60</v>
      </c>
      <c r="B60" s="1">
        <v>0.715557</v>
      </c>
      <c r="C60" s="1">
        <v>0.71916100000000005</v>
      </c>
    </row>
    <row r="61" spans="1:3" x14ac:dyDescent="0.25">
      <c r="A61" s="4" t="s">
        <v>61</v>
      </c>
      <c r="B61" s="1">
        <v>0.95039600000000002</v>
      </c>
      <c r="C61" s="1">
        <v>0.95372400000000002</v>
      </c>
    </row>
    <row r="62" spans="1:3" x14ac:dyDescent="0.25">
      <c r="A62" s="4" t="s">
        <v>62</v>
      </c>
      <c r="B62" s="1">
        <v>0.703264</v>
      </c>
      <c r="C62" s="1">
        <v>0.70138800000000001</v>
      </c>
    </row>
    <row r="63" spans="1:3" x14ac:dyDescent="0.25">
      <c r="A63" s="4" t="s">
        <v>63</v>
      </c>
      <c r="B63" s="1">
        <v>0.122056</v>
      </c>
      <c r="C63" s="1">
        <v>0.12371600000000001</v>
      </c>
    </row>
    <row r="64" spans="1:3" x14ac:dyDescent="0.25">
      <c r="A64" s="4" t="s">
        <v>64</v>
      </c>
      <c r="B64" s="1">
        <v>0.21684999999999999</v>
      </c>
      <c r="C64" s="1">
        <v>0.21870999999999999</v>
      </c>
    </row>
    <row r="65" spans="1:3" x14ac:dyDescent="0.25">
      <c r="A65" s="4" t="s">
        <v>65</v>
      </c>
      <c r="B65" s="1">
        <v>0.79385700000000003</v>
      </c>
      <c r="C65" s="1">
        <v>0.79043699999999995</v>
      </c>
    </row>
    <row r="66" spans="1:3" x14ac:dyDescent="0.25">
      <c r="A66" s="4" t="s">
        <v>66</v>
      </c>
      <c r="B66" s="1">
        <v>6.5331E-2</v>
      </c>
      <c r="C66" s="1">
        <v>6.2547000000000005E-2</v>
      </c>
    </row>
    <row r="67" spans="1:3" x14ac:dyDescent="0.25">
      <c r="A67" s="4" t="s">
        <v>67</v>
      </c>
      <c r="B67" s="1">
        <v>0.58044700000000005</v>
      </c>
      <c r="C67" s="1">
        <v>0.58282699999999998</v>
      </c>
    </row>
    <row r="68" spans="1:3" x14ac:dyDescent="0.25">
      <c r="A68" s="4" t="s">
        <v>68</v>
      </c>
      <c r="B68" s="1">
        <v>1.8766999999999999E-2</v>
      </c>
      <c r="C68" s="1">
        <v>2.1031000000000001E-2</v>
      </c>
    </row>
    <row r="69" spans="1:3" x14ac:dyDescent="0.25">
      <c r="A69" s="4" t="s">
        <v>69</v>
      </c>
      <c r="B69" s="1">
        <v>0.51825500000000002</v>
      </c>
      <c r="C69" s="1">
        <v>0.51454299999999997</v>
      </c>
    </row>
    <row r="70" spans="1:3" x14ac:dyDescent="0.25">
      <c r="A70" s="4" t="s">
        <v>70</v>
      </c>
      <c r="B70" s="1">
        <v>0.83702100000000002</v>
      </c>
      <c r="C70" s="1">
        <v>0.83974899999999997</v>
      </c>
    </row>
    <row r="71" spans="1:3" x14ac:dyDescent="0.25">
      <c r="A71" s="4" t="s">
        <v>71</v>
      </c>
      <c r="B71" s="1">
        <v>0.53334199999999998</v>
      </c>
      <c r="C71" s="1">
        <v>0.52953799999999995</v>
      </c>
    </row>
    <row r="72" spans="1:3" x14ac:dyDescent="0.25">
      <c r="A72" s="4" t="s">
        <v>72</v>
      </c>
      <c r="B72" s="1">
        <v>0.73590199999999995</v>
      </c>
      <c r="C72" s="1">
        <v>0.738062</v>
      </c>
    </row>
    <row r="73" spans="1:3" x14ac:dyDescent="0.25">
      <c r="A73" s="4" t="s">
        <v>73</v>
      </c>
      <c r="B73" s="1">
        <v>0.39306200000000002</v>
      </c>
      <c r="C73" s="1">
        <v>0.39612599999999998</v>
      </c>
    </row>
    <row r="74" spans="1:3" x14ac:dyDescent="0.25">
      <c r="A74" s="4" t="s">
        <v>74</v>
      </c>
      <c r="B74" s="1">
        <v>0.57475200000000004</v>
      </c>
      <c r="C74" s="1">
        <v>0.57793600000000001</v>
      </c>
    </row>
    <row r="75" spans="1:3" x14ac:dyDescent="0.25">
      <c r="A75" s="4" t="s">
        <v>75</v>
      </c>
      <c r="B75" s="1">
        <v>0.85006000000000004</v>
      </c>
      <c r="C75" s="1">
        <v>0.85299599999999998</v>
      </c>
    </row>
    <row r="76" spans="1:3" x14ac:dyDescent="0.25">
      <c r="A76" s="4" t="s">
        <v>76</v>
      </c>
      <c r="B76" s="1">
        <v>0.51857500000000001</v>
      </c>
      <c r="C76" s="1">
        <v>0.51999099999999998</v>
      </c>
    </row>
    <row r="77" spans="1:3" x14ac:dyDescent="0.25">
      <c r="A77" s="4" t="s">
        <v>77</v>
      </c>
      <c r="B77" s="1">
        <v>0.86746599999999996</v>
      </c>
      <c r="C77" s="1">
        <v>0.86568199999999995</v>
      </c>
    </row>
    <row r="78" spans="1:3" x14ac:dyDescent="0.25">
      <c r="A78" s="4" t="s">
        <v>78</v>
      </c>
      <c r="B78" s="1">
        <v>0.39455000000000001</v>
      </c>
      <c r="C78" s="1">
        <v>0.39648600000000001</v>
      </c>
    </row>
    <row r="79" spans="1:3" x14ac:dyDescent="0.25">
      <c r="A79" s="4" t="s">
        <v>79</v>
      </c>
      <c r="B79" s="1">
        <v>0.26555499999999999</v>
      </c>
      <c r="C79" s="1">
        <v>0.26725100000000002</v>
      </c>
    </row>
    <row r="80" spans="1:3" x14ac:dyDescent="0.25">
      <c r="A80" s="4" t="s">
        <v>80</v>
      </c>
      <c r="B80" s="1">
        <v>0.73143899999999995</v>
      </c>
      <c r="C80" s="1">
        <v>0.73288699999999996</v>
      </c>
    </row>
    <row r="81" spans="1:3" x14ac:dyDescent="0.25">
      <c r="A81" s="4" t="s">
        <v>81</v>
      </c>
      <c r="B81" s="1">
        <v>0.60814999999999997</v>
      </c>
      <c r="C81" s="1">
        <v>0.61146599999999995</v>
      </c>
    </row>
    <row r="82" spans="1:3" x14ac:dyDescent="0.25">
      <c r="A82" s="4" t="s">
        <v>82</v>
      </c>
      <c r="B82" s="1">
        <v>0.78575300000000003</v>
      </c>
      <c r="C82" s="1">
        <v>0.789157</v>
      </c>
    </row>
    <row r="83" spans="1:3" x14ac:dyDescent="0.25">
      <c r="A83" s="4" t="s">
        <v>83</v>
      </c>
      <c r="B83" s="1">
        <v>0.80414699999999995</v>
      </c>
      <c r="C83" s="1">
        <v>0.80682699999999996</v>
      </c>
    </row>
    <row r="84" spans="1:3" x14ac:dyDescent="0.25">
      <c r="A84" s="4" t="s">
        <v>84</v>
      </c>
      <c r="B84" s="1">
        <v>0.23138</v>
      </c>
      <c r="C84" s="1">
        <v>0.23502799999999999</v>
      </c>
    </row>
    <row r="85" spans="1:3" x14ac:dyDescent="0.25">
      <c r="A85" s="4" t="s">
        <v>85</v>
      </c>
      <c r="B85" s="1">
        <v>0.49402400000000002</v>
      </c>
      <c r="C85" s="1">
        <v>0.49656800000000001</v>
      </c>
    </row>
    <row r="86" spans="1:3" x14ac:dyDescent="0.25">
      <c r="A86" s="4" t="s">
        <v>86</v>
      </c>
      <c r="B86" s="1">
        <v>0.386492</v>
      </c>
      <c r="C86" s="1">
        <v>0.38474799999999998</v>
      </c>
    </row>
    <row r="87" spans="1:3" x14ac:dyDescent="0.25">
      <c r="A87" s="4" t="s">
        <v>87</v>
      </c>
      <c r="B87" s="1">
        <v>0.14188400000000001</v>
      </c>
      <c r="C87" s="1">
        <v>0.14574799999999999</v>
      </c>
    </row>
    <row r="88" spans="1:3" x14ac:dyDescent="0.25">
      <c r="A88" s="4" t="s">
        <v>88</v>
      </c>
      <c r="B88" s="1">
        <v>0.54971199999999998</v>
      </c>
      <c r="C88" s="1">
        <v>0.54660399999999998</v>
      </c>
    </row>
    <row r="89" spans="1:3" x14ac:dyDescent="0.25">
      <c r="A89" s="4" t="s">
        <v>89</v>
      </c>
      <c r="B89" s="1">
        <v>0.90169999999999995</v>
      </c>
      <c r="C89" s="1">
        <v>0.90521200000000002</v>
      </c>
    </row>
    <row r="90" spans="1:3" x14ac:dyDescent="0.25">
      <c r="A90" s="4" t="s">
        <v>90</v>
      </c>
      <c r="B90" s="1">
        <v>2.0478E-2</v>
      </c>
      <c r="C90" s="1">
        <v>1.7805999999999999E-2</v>
      </c>
    </row>
    <row r="91" spans="1:3" x14ac:dyDescent="0.25">
      <c r="A91" s="4" t="s">
        <v>91</v>
      </c>
      <c r="B91" s="1">
        <v>0.52953499999999998</v>
      </c>
      <c r="C91" s="1">
        <v>0.52674299999999996</v>
      </c>
    </row>
    <row r="92" spans="1:3" x14ac:dyDescent="0.25">
      <c r="A92" s="4" t="s">
        <v>92</v>
      </c>
      <c r="B92" s="1">
        <v>0.53350699999999995</v>
      </c>
      <c r="C92" s="1">
        <v>0.53640699999999997</v>
      </c>
    </row>
    <row r="93" spans="1:3" x14ac:dyDescent="0.25">
      <c r="A93" s="4" t="s">
        <v>93</v>
      </c>
      <c r="B93" s="1">
        <v>0.24371599999999999</v>
      </c>
      <c r="C93" s="1">
        <v>0.24526400000000001</v>
      </c>
    </row>
    <row r="94" spans="1:3" x14ac:dyDescent="0.25">
      <c r="A94" s="4" t="s">
        <v>94</v>
      </c>
      <c r="B94" s="1">
        <v>0.94168399999999997</v>
      </c>
      <c r="C94" s="1">
        <v>0.94411999999999996</v>
      </c>
    </row>
    <row r="95" spans="1:3" x14ac:dyDescent="0.25">
      <c r="A95" s="4" t="s">
        <v>95</v>
      </c>
      <c r="B95" s="1">
        <v>2.5318E-2</v>
      </c>
      <c r="C95" s="1">
        <v>2.8625999999999999E-2</v>
      </c>
    </row>
    <row r="96" spans="1:3" x14ac:dyDescent="0.25">
      <c r="A96" s="4" t="s">
        <v>96</v>
      </c>
      <c r="B96" s="1">
        <v>0.116232</v>
      </c>
      <c r="C96" s="1">
        <v>0.11791600000000001</v>
      </c>
    </row>
    <row r="97" spans="1:3" x14ac:dyDescent="0.25">
      <c r="A97" s="4" t="s">
        <v>97</v>
      </c>
      <c r="B97" s="1">
        <v>0.51822299999999999</v>
      </c>
      <c r="C97" s="1">
        <v>0.52104300000000003</v>
      </c>
    </row>
    <row r="98" spans="1:3" x14ac:dyDescent="0.25">
      <c r="A98" s="4" t="s">
        <v>98</v>
      </c>
      <c r="B98" s="1">
        <v>0.56562500000000004</v>
      </c>
      <c r="C98" s="1">
        <v>0.56870900000000002</v>
      </c>
    </row>
    <row r="99" spans="1:3" x14ac:dyDescent="0.25">
      <c r="A99" s="4" t="s">
        <v>99</v>
      </c>
      <c r="B99" s="1">
        <v>0.44529800000000003</v>
      </c>
      <c r="C99" s="1">
        <v>0.44776199999999999</v>
      </c>
    </row>
    <row r="100" spans="1:3" x14ac:dyDescent="0.25">
      <c r="A100" s="4" t="s">
        <v>100</v>
      </c>
      <c r="B100" s="1">
        <v>0.76018399999999997</v>
      </c>
      <c r="C100" s="1">
        <v>0.75855600000000001</v>
      </c>
    </row>
    <row r="101" spans="1:3" x14ac:dyDescent="0.25">
      <c r="A101" s="4" t="s">
        <v>101</v>
      </c>
      <c r="B101" s="1">
        <v>0.84344600000000003</v>
      </c>
      <c r="C101" s="1">
        <v>0.84693399999999996</v>
      </c>
    </row>
    <row r="102" spans="1:3" x14ac:dyDescent="0.25">
      <c r="A102" s="4" t="s">
        <v>102</v>
      </c>
      <c r="B102" s="1">
        <v>0.31938899999999998</v>
      </c>
      <c r="C102" s="1">
        <v>0.31539299999999998</v>
      </c>
    </row>
    <row r="103" spans="1:3" x14ac:dyDescent="0.25">
      <c r="A103" s="4" t="s">
        <v>103</v>
      </c>
      <c r="B103" s="1">
        <v>0.95169999999999999</v>
      </c>
      <c r="C103" s="1">
        <v>0.95000399999999996</v>
      </c>
    </row>
    <row r="104" spans="1:3" x14ac:dyDescent="0.25">
      <c r="A104" s="4" t="s">
        <v>104</v>
      </c>
      <c r="B104" s="1">
        <v>0.59223499999999996</v>
      </c>
      <c r="C104" s="1">
        <v>0.59553500000000004</v>
      </c>
    </row>
    <row r="105" spans="1:3" x14ac:dyDescent="0.25">
      <c r="A105" s="4" t="s">
        <v>105</v>
      </c>
      <c r="B105" s="1">
        <v>0.30809599999999998</v>
      </c>
      <c r="C105" s="1">
        <v>0.30620399999999998</v>
      </c>
    </row>
    <row r="106" spans="1:3" x14ac:dyDescent="0.25">
      <c r="A106" s="4" t="s">
        <v>106</v>
      </c>
      <c r="B106" s="1">
        <v>9.7731999999999999E-2</v>
      </c>
      <c r="C106" s="1">
        <v>9.4488000000000003E-2</v>
      </c>
    </row>
    <row r="107" spans="1:3" x14ac:dyDescent="0.25">
      <c r="A107" s="4" t="s">
        <v>107</v>
      </c>
      <c r="B107" s="1">
        <v>0.66037100000000004</v>
      </c>
      <c r="C107" s="1">
        <v>0.65702700000000003</v>
      </c>
    </row>
    <row r="108" spans="1:3" x14ac:dyDescent="0.25">
      <c r="A108" s="4" t="s">
        <v>108</v>
      </c>
      <c r="B108" s="1">
        <v>2.9668E-2</v>
      </c>
      <c r="C108" s="1">
        <v>3.2876000000000002E-2</v>
      </c>
    </row>
    <row r="109" spans="1:3" x14ac:dyDescent="0.25">
      <c r="A109" s="4" t="s">
        <v>109</v>
      </c>
      <c r="B109" s="1">
        <v>0.73365199999999997</v>
      </c>
      <c r="C109" s="1">
        <v>0.73118000000000005</v>
      </c>
    </row>
    <row r="110" spans="1:3" x14ac:dyDescent="0.25">
      <c r="A110" s="4" t="s">
        <v>110</v>
      </c>
      <c r="B110" s="1">
        <v>0.167017</v>
      </c>
      <c r="C110" s="1">
        <v>0.16538900000000001</v>
      </c>
    </row>
    <row r="111" spans="1:3" x14ac:dyDescent="0.25">
      <c r="A111" s="4" t="s">
        <v>429</v>
      </c>
      <c r="B111" s="1">
        <v>0.85646699999999998</v>
      </c>
      <c r="C111" s="1">
        <v>0.85925499999999999</v>
      </c>
    </row>
    <row r="112" spans="1:3" x14ac:dyDescent="0.25">
      <c r="A112" s="4" t="s">
        <v>111</v>
      </c>
      <c r="B112" s="1">
        <v>0.51173299999999999</v>
      </c>
      <c r="C112" s="1">
        <v>0.51459699999999997</v>
      </c>
    </row>
    <row r="113" spans="1:3" x14ac:dyDescent="0.25">
      <c r="A113" s="4" t="s">
        <v>112</v>
      </c>
      <c r="B113" s="1">
        <v>0.95174099999999995</v>
      </c>
      <c r="C113" s="1">
        <v>0.94936100000000001</v>
      </c>
    </row>
    <row r="114" spans="1:3" x14ac:dyDescent="0.25">
      <c r="A114" s="4" t="s">
        <v>113</v>
      </c>
      <c r="B114" s="1">
        <v>0.81435400000000002</v>
      </c>
      <c r="C114" s="1">
        <v>0.81171800000000005</v>
      </c>
    </row>
    <row r="115" spans="1:3" x14ac:dyDescent="0.25">
      <c r="A115" s="4" t="s">
        <v>114</v>
      </c>
      <c r="B115" s="1">
        <v>0.46311099999999999</v>
      </c>
      <c r="C115" s="1">
        <v>0.45991500000000002</v>
      </c>
    </row>
    <row r="116" spans="1:3" x14ac:dyDescent="0.25">
      <c r="A116" s="4" t="s">
        <v>115</v>
      </c>
      <c r="B116" s="1">
        <v>3.1198E-2</v>
      </c>
      <c r="C116" s="1">
        <v>2.9186E-2</v>
      </c>
    </row>
    <row r="117" spans="1:3" x14ac:dyDescent="0.25">
      <c r="A117" s="4" t="s">
        <v>116</v>
      </c>
      <c r="B117" s="1">
        <v>4.8832E-2</v>
      </c>
      <c r="C117" s="1">
        <v>5.0776000000000002E-2</v>
      </c>
    </row>
    <row r="118" spans="1:3" x14ac:dyDescent="0.25">
      <c r="A118" s="4" t="s">
        <v>75</v>
      </c>
      <c r="B118" s="1">
        <v>0.331623</v>
      </c>
      <c r="C118" s="1">
        <v>0.33379500000000001</v>
      </c>
    </row>
    <row r="119" spans="1:3" x14ac:dyDescent="0.25">
      <c r="A119" s="4" t="s">
        <v>117</v>
      </c>
      <c r="B119" s="1">
        <v>0.28364</v>
      </c>
      <c r="C119" s="1">
        <v>0.27990799999999999</v>
      </c>
    </row>
    <row r="120" spans="1:3" x14ac:dyDescent="0.25">
      <c r="A120" s="4" t="s">
        <v>118</v>
      </c>
      <c r="B120" s="1">
        <v>0.57245400000000002</v>
      </c>
      <c r="C120" s="1">
        <v>0.57566200000000001</v>
      </c>
    </row>
    <row r="121" spans="1:3" x14ac:dyDescent="0.25">
      <c r="A121" s="4" t="s">
        <v>119</v>
      </c>
      <c r="B121" s="1">
        <v>0.797157</v>
      </c>
      <c r="C121" s="1">
        <v>0.79524099999999998</v>
      </c>
    </row>
    <row r="122" spans="1:3" x14ac:dyDescent="0.25">
      <c r="A122" s="4" t="s">
        <v>120</v>
      </c>
      <c r="B122" s="1">
        <v>0.67288400000000004</v>
      </c>
      <c r="C122" s="1">
        <v>0.67135999999999996</v>
      </c>
    </row>
    <row r="123" spans="1:3" x14ac:dyDescent="0.25">
      <c r="A123" s="4" t="s">
        <v>121</v>
      </c>
      <c r="B123" s="1">
        <v>0.62824999999999998</v>
      </c>
      <c r="C123" s="1">
        <v>0.62470999999999999</v>
      </c>
    </row>
    <row r="124" spans="1:3" x14ac:dyDescent="0.25">
      <c r="A124" s="4" t="s">
        <v>122</v>
      </c>
      <c r="B124" s="1">
        <v>0.22853000000000001</v>
      </c>
      <c r="C124" s="1">
        <v>0.23114999999999999</v>
      </c>
    </row>
    <row r="125" spans="1:3" x14ac:dyDescent="0.25">
      <c r="A125" s="4" t="s">
        <v>123</v>
      </c>
      <c r="B125" s="1">
        <v>6.7060999999999996E-2</v>
      </c>
      <c r="C125" s="1">
        <v>7.0060999999999998E-2</v>
      </c>
    </row>
    <row r="126" spans="1:3" x14ac:dyDescent="0.25">
      <c r="A126" s="4" t="s">
        <v>124</v>
      </c>
      <c r="B126" s="1">
        <v>0.25201899999999999</v>
      </c>
      <c r="C126" s="1">
        <v>0.255247</v>
      </c>
    </row>
    <row r="127" spans="1:3" x14ac:dyDescent="0.25">
      <c r="A127" s="4" t="s">
        <v>125</v>
      </c>
      <c r="B127" s="1">
        <v>0.37008999999999997</v>
      </c>
      <c r="C127" s="1">
        <v>0.368454</v>
      </c>
    </row>
    <row r="128" spans="1:3" x14ac:dyDescent="0.25">
      <c r="A128" s="4" t="s">
        <v>87</v>
      </c>
      <c r="B128" s="1">
        <v>0.98247899999999999</v>
      </c>
      <c r="C128" s="1">
        <v>0.98585100000000003</v>
      </c>
    </row>
    <row r="129" spans="1:3" x14ac:dyDescent="0.25">
      <c r="A129" s="4" t="s">
        <v>126</v>
      </c>
      <c r="B129" s="1">
        <v>0.89384600000000003</v>
      </c>
      <c r="C129" s="1">
        <v>0.89706600000000003</v>
      </c>
    </row>
    <row r="130" spans="1:3" x14ac:dyDescent="0.25">
      <c r="A130" s="4" t="s">
        <v>127</v>
      </c>
      <c r="B130" s="1">
        <v>0.658308</v>
      </c>
      <c r="C130" s="1">
        <v>0.65516799999999997</v>
      </c>
    </row>
    <row r="131" spans="1:3" x14ac:dyDescent="0.25">
      <c r="A131" s="4" t="s">
        <v>128</v>
      </c>
      <c r="B131" s="1">
        <v>0.32555600000000001</v>
      </c>
      <c r="C131" s="1">
        <v>0.327264</v>
      </c>
    </row>
    <row r="132" spans="1:3" x14ac:dyDescent="0.25">
      <c r="A132" s="4" t="s">
        <v>129</v>
      </c>
      <c r="B132" s="1">
        <v>0.34697099999999997</v>
      </c>
      <c r="C132" s="1">
        <v>0.34513500000000003</v>
      </c>
    </row>
    <row r="133" spans="1:3" x14ac:dyDescent="0.25">
      <c r="A133" s="4" t="s">
        <v>130</v>
      </c>
      <c r="B133" s="1">
        <v>0.27076499999999998</v>
      </c>
      <c r="C133" s="1">
        <v>0.267621</v>
      </c>
    </row>
    <row r="134" spans="1:3" x14ac:dyDescent="0.25">
      <c r="A134" s="4" t="s">
        <v>131</v>
      </c>
      <c r="B134" s="1">
        <v>0.380658</v>
      </c>
      <c r="C134" s="1">
        <v>0.37909399999999999</v>
      </c>
    </row>
    <row r="135" spans="1:3" x14ac:dyDescent="0.25">
      <c r="A135" s="4" t="s">
        <v>132</v>
      </c>
      <c r="B135" s="1">
        <v>0.19933999999999999</v>
      </c>
      <c r="C135" s="1">
        <v>0.19636400000000001</v>
      </c>
    </row>
    <row r="136" spans="1:3" x14ac:dyDescent="0.25">
      <c r="A136" s="4" t="s">
        <v>133</v>
      </c>
      <c r="B136" s="1">
        <v>0.86760800000000005</v>
      </c>
      <c r="C136" s="1">
        <v>0.87038800000000005</v>
      </c>
    </row>
    <row r="137" spans="1:3" x14ac:dyDescent="0.25">
      <c r="A137" s="4" t="s">
        <v>134</v>
      </c>
      <c r="B137" s="1">
        <v>0.71828700000000001</v>
      </c>
      <c r="C137" s="1">
        <v>0.72052700000000003</v>
      </c>
    </row>
    <row r="138" spans="1:3" x14ac:dyDescent="0.25">
      <c r="A138" s="4" t="s">
        <v>135</v>
      </c>
      <c r="B138" s="1">
        <v>0.41060799999999997</v>
      </c>
      <c r="C138" s="1">
        <v>0.412908</v>
      </c>
    </row>
    <row r="139" spans="1:3" x14ac:dyDescent="0.25">
      <c r="A139" s="4" t="s">
        <v>136</v>
      </c>
      <c r="B139" s="1">
        <v>0.68890700000000005</v>
      </c>
      <c r="C139" s="1">
        <v>0.69249099999999997</v>
      </c>
    </row>
    <row r="140" spans="1:3" x14ac:dyDescent="0.25">
      <c r="A140" s="4" t="s">
        <v>137</v>
      </c>
      <c r="B140" s="1">
        <v>0.24684700000000001</v>
      </c>
      <c r="C140" s="1">
        <v>0.24374699999999999</v>
      </c>
    </row>
    <row r="141" spans="1:3" x14ac:dyDescent="0.25">
      <c r="A141" s="4" t="s">
        <v>138</v>
      </c>
      <c r="B141" s="1">
        <v>0.48477300000000001</v>
      </c>
      <c r="C141" s="1">
        <v>0.48279699999999998</v>
      </c>
    </row>
    <row r="142" spans="1:3" x14ac:dyDescent="0.25">
      <c r="A142" s="4" t="s">
        <v>139</v>
      </c>
      <c r="B142" s="1">
        <v>0.84553900000000004</v>
      </c>
      <c r="C142" s="1">
        <v>0.84697100000000003</v>
      </c>
    </row>
    <row r="143" spans="1:3" x14ac:dyDescent="0.25">
      <c r="A143" s="4" t="s">
        <v>140</v>
      </c>
      <c r="B143" s="1">
        <v>0.16140399999999999</v>
      </c>
      <c r="C143" s="1">
        <v>0.158052</v>
      </c>
    </row>
    <row r="144" spans="1:3" x14ac:dyDescent="0.25">
      <c r="A144" s="4" t="s">
        <v>141</v>
      </c>
      <c r="B144" s="1">
        <v>0.138354</v>
      </c>
      <c r="C144" s="1">
        <v>0.13685</v>
      </c>
    </row>
    <row r="145" spans="1:3" x14ac:dyDescent="0.25">
      <c r="A145" s="4" t="s">
        <v>142</v>
      </c>
      <c r="B145" s="1">
        <v>0.12570400000000001</v>
      </c>
      <c r="C145" s="1">
        <v>0.122964</v>
      </c>
    </row>
    <row r="146" spans="1:3" x14ac:dyDescent="0.25">
      <c r="A146" s="4" t="s">
        <v>143</v>
      </c>
      <c r="B146" s="1">
        <v>0.46729599999999999</v>
      </c>
      <c r="C146" s="1">
        <v>0.46933599999999998</v>
      </c>
    </row>
    <row r="147" spans="1:3" x14ac:dyDescent="0.25">
      <c r="A147" s="4" t="s">
        <v>144</v>
      </c>
      <c r="B147" s="1">
        <v>0.94697500000000001</v>
      </c>
      <c r="C147" s="1">
        <v>0.94982699999999998</v>
      </c>
    </row>
    <row r="148" spans="1:3" x14ac:dyDescent="0.25">
      <c r="A148" s="4" t="s">
        <v>145</v>
      </c>
      <c r="B148" s="1">
        <v>0.86413600000000002</v>
      </c>
      <c r="C148" s="1">
        <v>0.86697999999999997</v>
      </c>
    </row>
    <row r="149" spans="1:3" x14ac:dyDescent="0.25">
      <c r="A149" s="4" t="s">
        <v>146</v>
      </c>
      <c r="B149" s="1">
        <v>6.4591999999999997E-2</v>
      </c>
      <c r="C149" s="1">
        <v>6.1039999999999997E-2</v>
      </c>
    </row>
    <row r="150" spans="1:3" x14ac:dyDescent="0.25">
      <c r="A150" s="4" t="s">
        <v>147</v>
      </c>
      <c r="B150" s="1">
        <v>0.96590299999999996</v>
      </c>
      <c r="C150" s="1">
        <v>0.96327499999999999</v>
      </c>
    </row>
    <row r="151" spans="1:3" x14ac:dyDescent="0.25">
      <c r="A151" s="4" t="s">
        <v>148</v>
      </c>
      <c r="B151" s="1">
        <v>0.359732</v>
      </c>
      <c r="C151" s="1">
        <v>0.35632799999999998</v>
      </c>
    </row>
    <row r="152" spans="1:3" x14ac:dyDescent="0.25">
      <c r="A152" s="4" t="s">
        <v>149</v>
      </c>
      <c r="B152" s="1">
        <v>0.68221900000000002</v>
      </c>
      <c r="C152" s="1">
        <v>0.68393499999999996</v>
      </c>
    </row>
    <row r="153" spans="1:3" x14ac:dyDescent="0.25">
      <c r="A153" s="4" t="s">
        <v>150</v>
      </c>
      <c r="B153" s="1">
        <v>0.92992200000000003</v>
      </c>
      <c r="C153" s="1">
        <v>0.926122</v>
      </c>
    </row>
    <row r="154" spans="1:3" x14ac:dyDescent="0.25">
      <c r="A154" s="4" t="s">
        <v>151</v>
      </c>
      <c r="B154" s="1">
        <v>0.72409299999999999</v>
      </c>
      <c r="C154" s="1">
        <v>0.72649300000000006</v>
      </c>
    </row>
    <row r="155" spans="1:3" x14ac:dyDescent="0.25">
      <c r="A155" s="4" t="s">
        <v>152</v>
      </c>
      <c r="B155" s="1">
        <v>0.86309499999999995</v>
      </c>
      <c r="C155" s="1">
        <v>0.85914699999999999</v>
      </c>
    </row>
    <row r="156" spans="1:3" x14ac:dyDescent="0.25">
      <c r="A156" s="4" t="s">
        <v>153</v>
      </c>
      <c r="B156" s="1">
        <v>0.53429599999999999</v>
      </c>
      <c r="C156" s="1">
        <v>0.53593199999999996</v>
      </c>
    </row>
    <row r="157" spans="1:3" x14ac:dyDescent="0.25">
      <c r="A157" s="4" t="s">
        <v>154</v>
      </c>
      <c r="B157" s="1">
        <v>6.1955999999999997E-2</v>
      </c>
      <c r="C157" s="1">
        <v>5.8571999999999999E-2</v>
      </c>
    </row>
    <row r="158" spans="1:3" x14ac:dyDescent="0.25">
      <c r="A158" s="4" t="s">
        <v>155</v>
      </c>
      <c r="B158" s="1">
        <v>0.73158400000000001</v>
      </c>
      <c r="C158" s="1">
        <v>0.72921199999999997</v>
      </c>
    </row>
    <row r="159" spans="1:3" x14ac:dyDescent="0.25">
      <c r="A159" s="4" t="s">
        <v>156</v>
      </c>
      <c r="B159" s="1">
        <v>0.93236399999999997</v>
      </c>
      <c r="C159" s="1">
        <v>0.93049999999999999</v>
      </c>
    </row>
    <row r="160" spans="1:3" x14ac:dyDescent="0.25">
      <c r="A160" s="4" t="s">
        <v>157</v>
      </c>
      <c r="B160" s="1">
        <v>0.37124299999999999</v>
      </c>
      <c r="C160" s="1">
        <v>0.36984699999999998</v>
      </c>
    </row>
    <row r="161" spans="1:3" x14ac:dyDescent="0.25">
      <c r="A161" s="4" t="s">
        <v>158</v>
      </c>
      <c r="B161" s="1">
        <v>0.82938000000000001</v>
      </c>
      <c r="C161" s="1">
        <v>0.82733199999999996</v>
      </c>
    </row>
    <row r="162" spans="1:3" x14ac:dyDescent="0.25">
      <c r="A162" s="4" t="s">
        <v>159</v>
      </c>
      <c r="B162" s="1">
        <v>0.515621</v>
      </c>
      <c r="C162" s="1">
        <v>0.51379300000000006</v>
      </c>
    </row>
    <row r="163" spans="1:3" x14ac:dyDescent="0.25">
      <c r="A163" s="4" t="s">
        <v>160</v>
      </c>
      <c r="B163" s="1">
        <v>0.46384300000000001</v>
      </c>
      <c r="C163" s="1">
        <v>0.46656300000000001</v>
      </c>
    </row>
    <row r="164" spans="1:3" x14ac:dyDescent="0.25">
      <c r="A164" s="4" t="s">
        <v>161</v>
      </c>
      <c r="B164" s="1">
        <v>0.75155000000000005</v>
      </c>
      <c r="C164" s="1">
        <v>0.75432600000000005</v>
      </c>
    </row>
    <row r="165" spans="1:3" x14ac:dyDescent="0.25">
      <c r="A165" s="4" t="s">
        <v>162</v>
      </c>
      <c r="B165" s="1">
        <v>0.50681100000000001</v>
      </c>
      <c r="C165" s="1">
        <v>0.50492700000000001</v>
      </c>
    </row>
    <row r="166" spans="1:3" x14ac:dyDescent="0.25">
      <c r="A166" s="4" t="s">
        <v>163</v>
      </c>
      <c r="B166" s="1">
        <v>6.4921000000000006E-2</v>
      </c>
      <c r="C166" s="1">
        <v>6.2060999999999998E-2</v>
      </c>
    </row>
    <row r="167" spans="1:3" x14ac:dyDescent="0.25">
      <c r="A167" s="4" t="s">
        <v>107</v>
      </c>
      <c r="B167" s="1">
        <v>0.36874600000000002</v>
      </c>
      <c r="C167" s="1">
        <v>0.37047400000000003</v>
      </c>
    </row>
    <row r="168" spans="1:3" x14ac:dyDescent="0.25">
      <c r="A168" s="4" t="s">
        <v>16</v>
      </c>
      <c r="B168" s="1">
        <v>0.90525999999999995</v>
      </c>
      <c r="C168" s="1">
        <v>0.90354000000000001</v>
      </c>
    </row>
    <row r="169" spans="1:3" x14ac:dyDescent="0.25">
      <c r="A169" s="4" t="s">
        <v>64</v>
      </c>
      <c r="B169" s="1">
        <v>0.75966599999999995</v>
      </c>
      <c r="C169" s="1">
        <v>0.75585800000000003</v>
      </c>
    </row>
    <row r="170" spans="1:3" x14ac:dyDescent="0.25">
      <c r="A170" s="4" t="s">
        <v>155</v>
      </c>
      <c r="B170" s="1">
        <v>0.84710200000000002</v>
      </c>
      <c r="C170" s="1">
        <v>0.84899800000000003</v>
      </c>
    </row>
    <row r="171" spans="1:3" x14ac:dyDescent="0.25">
      <c r="A171" s="4" t="s">
        <v>74</v>
      </c>
      <c r="B171" s="1">
        <v>0.78240200000000004</v>
      </c>
      <c r="C171" s="1">
        <v>0.78495400000000004</v>
      </c>
    </row>
    <row r="172" spans="1:3" x14ac:dyDescent="0.25">
      <c r="A172" s="4" t="s">
        <v>21</v>
      </c>
      <c r="B172" s="1">
        <v>0.84183399999999997</v>
      </c>
      <c r="C172" s="1">
        <v>0.840086</v>
      </c>
    </row>
    <row r="173" spans="1:3" x14ac:dyDescent="0.25">
      <c r="A173" s="4" t="s">
        <v>27</v>
      </c>
      <c r="B173" s="1">
        <v>0.126585</v>
      </c>
      <c r="C173" s="1">
        <v>0.129029</v>
      </c>
    </row>
    <row r="174" spans="1:3" x14ac:dyDescent="0.25">
      <c r="A174" s="4" t="s">
        <v>83</v>
      </c>
      <c r="B174" s="1">
        <v>0.83486300000000002</v>
      </c>
      <c r="C174" s="1">
        <v>0.83299500000000004</v>
      </c>
    </row>
    <row r="175" spans="1:3" x14ac:dyDescent="0.25">
      <c r="A175" s="4" t="s">
        <v>60</v>
      </c>
      <c r="B175" s="1">
        <v>2.2539E-2</v>
      </c>
      <c r="C175" s="1">
        <v>2.0254999999999999E-2</v>
      </c>
    </row>
    <row r="176" spans="1:3" x14ac:dyDescent="0.25">
      <c r="A176" s="4" t="s">
        <v>12</v>
      </c>
      <c r="B176" s="1">
        <v>0.17019400000000001</v>
      </c>
      <c r="C176" s="1">
        <v>0.17386599999999999</v>
      </c>
    </row>
    <row r="177" spans="1:3" x14ac:dyDescent="0.25">
      <c r="A177" s="4" t="s">
        <v>49</v>
      </c>
      <c r="B177" s="1">
        <v>0.52166900000000005</v>
      </c>
      <c r="C177" s="1">
        <v>0.52531700000000003</v>
      </c>
    </row>
    <row r="178" spans="1:3" x14ac:dyDescent="0.25">
      <c r="A178" s="4" t="s">
        <v>47</v>
      </c>
      <c r="B178" s="1">
        <v>5.8332000000000002E-2</v>
      </c>
      <c r="C178" s="1">
        <v>5.5495999999999997E-2</v>
      </c>
    </row>
    <row r="179" spans="1:3" x14ac:dyDescent="0.25">
      <c r="A179" s="4" t="s">
        <v>41</v>
      </c>
      <c r="B179" s="1">
        <v>0.58149399999999996</v>
      </c>
      <c r="C179" s="1">
        <v>0.57857000000000003</v>
      </c>
    </row>
    <row r="180" spans="1:3" x14ac:dyDescent="0.25">
      <c r="A180" s="4" t="s">
        <v>117</v>
      </c>
      <c r="B180" s="1">
        <v>0.91855399999999998</v>
      </c>
      <c r="C180" s="1">
        <v>0.92222999999999999</v>
      </c>
    </row>
    <row r="181" spans="1:3" x14ac:dyDescent="0.25">
      <c r="A181" s="4" t="s">
        <v>162</v>
      </c>
      <c r="B181" s="1">
        <v>0.89708699999999997</v>
      </c>
      <c r="C181" s="1">
        <v>0.89373499999999995</v>
      </c>
    </row>
    <row r="182" spans="1:3" x14ac:dyDescent="0.25">
      <c r="A182" s="4" t="s">
        <v>5</v>
      </c>
      <c r="B182" s="1">
        <v>0.31651800000000002</v>
      </c>
      <c r="C182" s="1">
        <v>0.31273800000000002</v>
      </c>
    </row>
    <row r="183" spans="1:3" x14ac:dyDescent="0.25">
      <c r="A183" s="4" t="s">
        <v>109</v>
      </c>
      <c r="B183" s="1">
        <v>0.87171399999999999</v>
      </c>
      <c r="C183" s="1">
        <v>0.87551800000000002</v>
      </c>
    </row>
    <row r="184" spans="1:3" x14ac:dyDescent="0.25">
      <c r="A184" s="4" t="s">
        <v>75</v>
      </c>
      <c r="B184" s="1">
        <v>0.42321900000000001</v>
      </c>
      <c r="C184" s="1">
        <v>0.42627100000000001</v>
      </c>
    </row>
    <row r="185" spans="1:3" x14ac:dyDescent="0.25">
      <c r="A185" s="4" t="s">
        <v>75</v>
      </c>
      <c r="B185" s="1">
        <v>0.59153599999999995</v>
      </c>
      <c r="C185" s="1">
        <v>0.58769199999999999</v>
      </c>
    </row>
    <row r="186" spans="1:3" x14ac:dyDescent="0.25">
      <c r="A186" s="4" t="s">
        <v>68</v>
      </c>
      <c r="B186" s="1">
        <v>0.87950700000000004</v>
      </c>
      <c r="C186" s="1">
        <v>0.88255499999999998</v>
      </c>
    </row>
    <row r="187" spans="1:3" x14ac:dyDescent="0.25">
      <c r="A187" s="4" t="s">
        <v>72</v>
      </c>
      <c r="B187" s="1">
        <v>0.848275</v>
      </c>
      <c r="C187" s="1">
        <v>0.84999499999999995</v>
      </c>
    </row>
    <row r="188" spans="1:3" x14ac:dyDescent="0.25">
      <c r="A188" s="4" t="s">
        <v>3</v>
      </c>
      <c r="B188" s="1">
        <v>0.29002600000000001</v>
      </c>
      <c r="C188" s="1">
        <v>0.291682</v>
      </c>
    </row>
    <row r="189" spans="1:3" x14ac:dyDescent="0.25">
      <c r="A189" s="4" t="s">
        <v>107</v>
      </c>
      <c r="B189" s="1">
        <v>0.41733100000000001</v>
      </c>
      <c r="C189" s="1">
        <v>0.419491</v>
      </c>
    </row>
    <row r="190" spans="1:3" x14ac:dyDescent="0.25">
      <c r="A190" s="4" t="s">
        <v>16</v>
      </c>
      <c r="B190" s="1">
        <v>8.7446999999999997E-2</v>
      </c>
      <c r="C190" s="1">
        <v>8.5182999999999995E-2</v>
      </c>
    </row>
    <row r="191" spans="1:3" x14ac:dyDescent="0.25">
      <c r="A191" s="4" t="s">
        <v>64</v>
      </c>
      <c r="B191" s="1">
        <v>0.99943800000000005</v>
      </c>
      <c r="C191" s="1">
        <v>0.99675400000000003</v>
      </c>
    </row>
    <row r="192" spans="1:3" x14ac:dyDescent="0.25">
      <c r="A192" s="4" t="s">
        <v>155</v>
      </c>
      <c r="B192" s="1">
        <v>0.57598300000000002</v>
      </c>
      <c r="C192" s="1">
        <v>0.57948699999999997</v>
      </c>
    </row>
    <row r="193" spans="1:3" x14ac:dyDescent="0.25">
      <c r="A193" s="4" t="s">
        <v>74</v>
      </c>
      <c r="B193" s="1">
        <v>0.170068</v>
      </c>
      <c r="C193" s="1">
        <v>0.16739599999999999</v>
      </c>
    </row>
    <row r="194" spans="1:3" x14ac:dyDescent="0.25">
      <c r="A194" s="4" t="s">
        <v>21</v>
      </c>
      <c r="B194" s="1">
        <v>7.4226E-2</v>
      </c>
      <c r="C194" s="1">
        <v>7.5994000000000006E-2</v>
      </c>
    </row>
    <row r="195" spans="1:3" x14ac:dyDescent="0.25">
      <c r="A195" s="4" t="s">
        <v>27</v>
      </c>
      <c r="B195" s="1">
        <v>0.51301399999999997</v>
      </c>
      <c r="C195" s="1">
        <v>0.51158599999999999</v>
      </c>
    </row>
    <row r="196" spans="1:3" x14ac:dyDescent="0.25">
      <c r="A196" s="4" t="s">
        <v>83</v>
      </c>
      <c r="B196" s="1">
        <v>0.99456699999999998</v>
      </c>
      <c r="C196" s="1">
        <v>0.99620699999999995</v>
      </c>
    </row>
    <row r="197" spans="1:3" x14ac:dyDescent="0.25">
      <c r="A197" s="4" t="s">
        <v>60</v>
      </c>
      <c r="B197" s="1">
        <v>0.72680199999999995</v>
      </c>
      <c r="C197" s="1">
        <v>0.72868999999999995</v>
      </c>
    </row>
    <row r="198" spans="1:3" x14ac:dyDescent="0.25">
      <c r="A198" s="4" t="s">
        <v>12</v>
      </c>
      <c r="B198" s="1">
        <v>0.92180200000000001</v>
      </c>
      <c r="C198" s="1">
        <v>0.91994600000000004</v>
      </c>
    </row>
    <row r="199" spans="1:3" x14ac:dyDescent="0.25">
      <c r="A199" s="4" t="s">
        <v>49</v>
      </c>
      <c r="B199" s="1">
        <v>0.73685999999999996</v>
      </c>
      <c r="C199" s="1">
        <v>0.73460400000000003</v>
      </c>
    </row>
    <row r="200" spans="1:3" x14ac:dyDescent="0.25">
      <c r="A200" s="4" t="s">
        <v>47</v>
      </c>
      <c r="B200" s="1">
        <v>0.95486300000000002</v>
      </c>
      <c r="C200" s="1">
        <v>0.95218700000000001</v>
      </c>
    </row>
    <row r="201" spans="1:3" x14ac:dyDescent="0.25">
      <c r="A201" s="4" t="s">
        <v>41</v>
      </c>
      <c r="B201" s="1">
        <v>0.17504700000000001</v>
      </c>
      <c r="C201" s="1">
        <v>0.17893500000000001</v>
      </c>
    </row>
    <row r="202" spans="1:3" x14ac:dyDescent="0.25">
      <c r="A202" s="4" t="s">
        <v>117</v>
      </c>
      <c r="B202" s="1">
        <v>0.42769200000000002</v>
      </c>
      <c r="C202" s="1">
        <v>0.42931599999999998</v>
      </c>
    </row>
    <row r="203" spans="1:3" x14ac:dyDescent="0.25">
      <c r="A203" s="4" t="s">
        <v>162</v>
      </c>
      <c r="B203" s="1">
        <v>0.17679500000000001</v>
      </c>
      <c r="C203" s="1">
        <v>0.17477100000000001</v>
      </c>
    </row>
    <row r="204" spans="1:3" x14ac:dyDescent="0.25">
      <c r="A204" s="4" t="s">
        <v>5</v>
      </c>
      <c r="B204" s="1">
        <v>0.40955399999999997</v>
      </c>
      <c r="C204" s="1">
        <v>0.41143000000000002</v>
      </c>
    </row>
    <row r="205" spans="1:3" x14ac:dyDescent="0.25">
      <c r="A205" s="4" t="s">
        <v>109</v>
      </c>
      <c r="B205" s="1">
        <v>0.68685200000000002</v>
      </c>
      <c r="C205" s="1">
        <v>0.69050400000000001</v>
      </c>
    </row>
    <row r="206" spans="1:3" x14ac:dyDescent="0.25">
      <c r="A206" s="4" t="s">
        <v>75</v>
      </c>
      <c r="B206" s="1">
        <v>0.21182200000000001</v>
      </c>
      <c r="C206" s="1">
        <v>0.20880199999999999</v>
      </c>
    </row>
    <row r="207" spans="1:3" x14ac:dyDescent="0.25">
      <c r="A207" s="4" t="s">
        <v>75</v>
      </c>
      <c r="B207" s="1">
        <v>0.43252099999999999</v>
      </c>
      <c r="C207" s="1">
        <v>0.43110500000000002</v>
      </c>
    </row>
    <row r="208" spans="1:3" x14ac:dyDescent="0.25">
      <c r="A208" s="4" t="s">
        <v>68</v>
      </c>
      <c r="B208" s="1">
        <v>0.398974</v>
      </c>
      <c r="C208" s="1">
        <v>0.40052599999999999</v>
      </c>
    </row>
    <row r="209" spans="1:3" x14ac:dyDescent="0.25">
      <c r="A209" s="4" t="s">
        <v>72</v>
      </c>
      <c r="B209" s="1">
        <v>0.43932300000000002</v>
      </c>
      <c r="C209" s="1">
        <v>0.43679099999999998</v>
      </c>
    </row>
    <row r="210" spans="1:3" x14ac:dyDescent="0.25">
      <c r="A210" s="4" t="s">
        <v>3</v>
      </c>
      <c r="B210" s="1">
        <v>0.141675</v>
      </c>
      <c r="C210" s="1">
        <v>0.138651</v>
      </c>
    </row>
    <row r="211" spans="1:3" x14ac:dyDescent="0.25">
      <c r="A211" s="4" t="s">
        <v>47</v>
      </c>
      <c r="B211" s="1">
        <v>0.85342399999999996</v>
      </c>
      <c r="C211" s="1">
        <v>0.85614800000000002</v>
      </c>
    </row>
    <row r="212" spans="1:3" x14ac:dyDescent="0.25">
      <c r="A212" s="4" t="s">
        <v>41</v>
      </c>
      <c r="B212" s="1">
        <v>0.186281</v>
      </c>
      <c r="C212" s="1">
        <v>0.18371299999999999</v>
      </c>
    </row>
    <row r="213" spans="1:3" x14ac:dyDescent="0.25">
      <c r="A213" s="4" t="s">
        <v>117</v>
      </c>
      <c r="B213" s="1">
        <v>8.9881000000000003E-2</v>
      </c>
      <c r="C213" s="1">
        <v>9.2344999999999997E-2</v>
      </c>
    </row>
    <row r="214" spans="1:3" x14ac:dyDescent="0.25">
      <c r="A214" s="4" t="s">
        <v>162</v>
      </c>
      <c r="B214" s="1">
        <v>2.4351000000000001E-2</v>
      </c>
      <c r="C214" s="1">
        <v>2.6023000000000001E-2</v>
      </c>
    </row>
    <row r="215" spans="1:3" x14ac:dyDescent="0.25">
      <c r="A215" s="4" t="s">
        <v>5</v>
      </c>
      <c r="B215" s="1">
        <v>0.89798900000000004</v>
      </c>
      <c r="C215" s="1">
        <v>0.89986100000000002</v>
      </c>
    </row>
    <row r="216" spans="1:3" x14ac:dyDescent="0.25">
      <c r="A216" s="4" t="s">
        <v>109</v>
      </c>
      <c r="B216" s="1">
        <v>0.869726</v>
      </c>
      <c r="C216" s="1">
        <v>0.86768999999999996</v>
      </c>
    </row>
    <row r="217" spans="1:3" x14ac:dyDescent="0.25">
      <c r="A217" s="4" t="s">
        <v>47</v>
      </c>
      <c r="B217" s="1">
        <v>0.44847399999999998</v>
      </c>
      <c r="C217" s="1">
        <v>0.45169799999999999</v>
      </c>
    </row>
    <row r="218" spans="1:3" x14ac:dyDescent="0.25">
      <c r="A218" s="4" t="s">
        <v>41</v>
      </c>
      <c r="B218" s="1">
        <v>0.58307699999999996</v>
      </c>
      <c r="C218" s="1">
        <v>0.58018099999999995</v>
      </c>
    </row>
    <row r="219" spans="1:3" x14ac:dyDescent="0.25">
      <c r="A219" s="4" t="s">
        <v>117</v>
      </c>
      <c r="B219" s="1">
        <v>0.84016999999999997</v>
      </c>
      <c r="C219" s="1">
        <v>0.84218999999999999</v>
      </c>
    </row>
    <row r="220" spans="1:3" x14ac:dyDescent="0.25">
      <c r="A220" s="4" t="s">
        <v>162</v>
      </c>
      <c r="B220" s="1">
        <v>0.80282699999999996</v>
      </c>
      <c r="C220" s="1">
        <v>0.805091</v>
      </c>
    </row>
    <row r="221" spans="1:3" x14ac:dyDescent="0.25">
      <c r="A221" s="4" t="s">
        <v>5</v>
      </c>
      <c r="B221" s="1">
        <v>7.6984999999999998E-2</v>
      </c>
      <c r="C221" s="1">
        <v>7.3173000000000002E-2</v>
      </c>
    </row>
    <row r="222" spans="1:3" x14ac:dyDescent="0.25">
      <c r="A222" s="4" t="s">
        <v>109</v>
      </c>
      <c r="B222" s="1">
        <v>0.98943999999999999</v>
      </c>
      <c r="C222" s="1">
        <v>0.98772800000000005</v>
      </c>
    </row>
    <row r="223" spans="1:3" x14ac:dyDescent="0.25">
      <c r="A223" s="4" t="s">
        <v>47</v>
      </c>
      <c r="B223" s="1">
        <v>0.38585999999999998</v>
      </c>
      <c r="C223" s="1">
        <v>0.38773999999999997</v>
      </c>
    </row>
    <row r="224" spans="1:3" x14ac:dyDescent="0.25">
      <c r="A224" s="4" t="s">
        <v>41</v>
      </c>
      <c r="B224" s="1">
        <v>0.88634100000000005</v>
      </c>
      <c r="C224" s="1">
        <v>0.88827299999999998</v>
      </c>
    </row>
    <row r="225" spans="1:3" x14ac:dyDescent="0.25">
      <c r="A225" s="4" t="s">
        <v>117</v>
      </c>
      <c r="B225" s="1">
        <v>0.21960199999999999</v>
      </c>
      <c r="C225" s="1">
        <v>0.21732199999999999</v>
      </c>
    </row>
    <row r="226" spans="1:3" x14ac:dyDescent="0.25">
      <c r="A226" s="4" t="s">
        <v>162</v>
      </c>
      <c r="B226" s="1">
        <v>0.14232400000000001</v>
      </c>
      <c r="C226" s="1">
        <v>0.144844</v>
      </c>
    </row>
    <row r="227" spans="1:3" x14ac:dyDescent="0.25">
      <c r="A227" s="4" t="s">
        <v>5</v>
      </c>
      <c r="B227" s="1">
        <v>0.78616900000000001</v>
      </c>
      <c r="C227" s="1">
        <v>0.78911699999999996</v>
      </c>
    </row>
    <row r="228" spans="1:3" x14ac:dyDescent="0.25">
      <c r="A228" s="4" t="s">
        <v>109</v>
      </c>
      <c r="B228" s="1">
        <v>0.116871</v>
      </c>
      <c r="C228" s="1">
        <v>0.114135</v>
      </c>
    </row>
    <row r="229" spans="1:3" x14ac:dyDescent="0.25">
      <c r="A229" s="4" t="s">
        <v>47</v>
      </c>
      <c r="B229" s="1">
        <v>7.4501999999999999E-2</v>
      </c>
      <c r="C229" s="1">
        <v>7.3053999999999994E-2</v>
      </c>
    </row>
    <row r="230" spans="1:3" x14ac:dyDescent="0.25">
      <c r="A230" s="4" t="s">
        <v>41</v>
      </c>
      <c r="B230" s="1">
        <v>0.25088199999999999</v>
      </c>
      <c r="C230" s="1">
        <v>0.24737799999999999</v>
      </c>
    </row>
    <row r="231" spans="1:3" x14ac:dyDescent="0.25">
      <c r="A231" s="4" t="s">
        <v>117</v>
      </c>
      <c r="B231" s="1">
        <v>0.94641600000000004</v>
      </c>
      <c r="C231" s="1">
        <v>0.94965200000000005</v>
      </c>
    </row>
    <row r="232" spans="1:3" x14ac:dyDescent="0.25">
      <c r="A232" s="4" t="s">
        <v>162</v>
      </c>
      <c r="B232" s="1">
        <v>0.110017</v>
      </c>
      <c r="C232" s="1">
        <v>0.108101</v>
      </c>
    </row>
    <row r="233" spans="1:3" x14ac:dyDescent="0.25">
      <c r="A233" s="4" t="s">
        <v>164</v>
      </c>
      <c r="B233" s="1">
        <v>0.27964899999999998</v>
      </c>
      <c r="C233" s="1">
        <v>0.28198499999999999</v>
      </c>
    </row>
    <row r="234" spans="1:3" x14ac:dyDescent="0.25">
      <c r="A234" s="4" t="s">
        <v>109</v>
      </c>
      <c r="B234" s="1">
        <v>0.12549399999999999</v>
      </c>
      <c r="C234" s="1">
        <v>0.121934</v>
      </c>
    </row>
    <row r="235" spans="1:3" x14ac:dyDescent="0.25">
      <c r="A235" s="4" t="s">
        <v>162</v>
      </c>
      <c r="B235" s="1">
        <v>0.459476</v>
      </c>
      <c r="C235" s="1">
        <v>0.45600000000000002</v>
      </c>
    </row>
    <row r="236" spans="1:3" x14ac:dyDescent="0.25">
      <c r="A236" s="4" t="s">
        <v>5</v>
      </c>
      <c r="B236" s="1">
        <v>0.27487200000000001</v>
      </c>
      <c r="C236" s="1">
        <v>0.27720400000000001</v>
      </c>
    </row>
    <row r="237" spans="1:3" x14ac:dyDescent="0.25">
      <c r="A237" s="4" t="s">
        <v>109</v>
      </c>
      <c r="B237" s="1">
        <v>0.67701</v>
      </c>
      <c r="C237" s="1">
        <v>0.67305400000000004</v>
      </c>
    </row>
    <row r="238" spans="1:3" x14ac:dyDescent="0.25">
      <c r="A238" s="4" t="s">
        <v>165</v>
      </c>
      <c r="B238" s="1">
        <v>0.16714200000000001</v>
      </c>
      <c r="C238" s="1">
        <v>0.165106</v>
      </c>
    </row>
    <row r="239" spans="1:3" x14ac:dyDescent="0.25">
      <c r="A239" s="4" t="s">
        <v>5</v>
      </c>
      <c r="B239" s="1">
        <v>0.59608099999999997</v>
      </c>
      <c r="C239" s="1">
        <v>0.59963299999999997</v>
      </c>
    </row>
    <row r="240" spans="1:3" x14ac:dyDescent="0.25">
      <c r="A240" s="4" t="s">
        <v>109</v>
      </c>
      <c r="B240" s="1">
        <v>0.30414799999999997</v>
      </c>
      <c r="C240" s="1">
        <v>0.30221199999999998</v>
      </c>
    </row>
    <row r="241" spans="1:3" x14ac:dyDescent="0.25">
      <c r="A241" s="4" t="s">
        <v>162</v>
      </c>
      <c r="B241" s="1">
        <v>0.576519</v>
      </c>
      <c r="C241" s="1">
        <v>0.57400300000000004</v>
      </c>
    </row>
    <row r="242" spans="1:3" x14ac:dyDescent="0.25">
      <c r="A242" s="4" t="s">
        <v>5</v>
      </c>
      <c r="B242" s="1">
        <v>0.28254000000000001</v>
      </c>
      <c r="C242" s="1">
        <v>0.28488400000000003</v>
      </c>
    </row>
    <row r="243" spans="1:3" x14ac:dyDescent="0.25">
      <c r="A243" s="4" t="s">
        <v>109</v>
      </c>
      <c r="B243" s="1">
        <v>0.23408499999999999</v>
      </c>
      <c r="C243" s="1">
        <v>0.23075300000000001</v>
      </c>
    </row>
    <row r="244" spans="1:3" x14ac:dyDescent="0.25">
      <c r="A244" s="4" t="s">
        <v>87</v>
      </c>
      <c r="B244" s="1">
        <v>0.50998299999999996</v>
      </c>
      <c r="C244" s="1">
        <v>0.50774300000000006</v>
      </c>
    </row>
    <row r="245" spans="1:3" x14ac:dyDescent="0.25">
      <c r="A245" s="4" t="s">
        <v>87</v>
      </c>
      <c r="B245" s="1">
        <v>0.44664599999999999</v>
      </c>
      <c r="C245" s="1">
        <v>0.44944200000000001</v>
      </c>
    </row>
    <row r="246" spans="1:3" x14ac:dyDescent="0.25">
      <c r="A246" s="4" t="s">
        <v>87</v>
      </c>
      <c r="B246" s="1">
        <v>0.61230499999999999</v>
      </c>
      <c r="C246" s="1">
        <v>0.61417299999999997</v>
      </c>
    </row>
    <row r="247" spans="1:3" x14ac:dyDescent="0.25">
      <c r="A247" s="4" t="s">
        <v>87</v>
      </c>
      <c r="B247" s="1">
        <v>0.29541000000000001</v>
      </c>
      <c r="C247" s="1">
        <v>0.29919800000000002</v>
      </c>
    </row>
    <row r="248" spans="1:3" x14ac:dyDescent="0.25">
      <c r="A248" s="4" t="s">
        <v>56</v>
      </c>
      <c r="B248" s="1">
        <v>0.74378100000000003</v>
      </c>
      <c r="C248" s="1">
        <v>0.747197</v>
      </c>
    </row>
    <row r="249" spans="1:3" x14ac:dyDescent="0.25">
      <c r="A249" s="4" t="s">
        <v>132</v>
      </c>
      <c r="B249" s="1">
        <v>0.51571999999999996</v>
      </c>
      <c r="C249" s="1">
        <v>0.51715999999999995</v>
      </c>
    </row>
    <row r="250" spans="1:3" x14ac:dyDescent="0.25">
      <c r="A250" s="4" t="s">
        <v>18</v>
      </c>
      <c r="B250" s="1">
        <v>0.214673</v>
      </c>
      <c r="C250" s="1">
        <v>0.21774499999999999</v>
      </c>
    </row>
    <row r="251" spans="1:3" x14ac:dyDescent="0.25">
      <c r="A251" s="4" t="s">
        <v>85</v>
      </c>
      <c r="B251" s="1">
        <v>0.90568499999999996</v>
      </c>
      <c r="C251" s="1">
        <v>0.90785700000000003</v>
      </c>
    </row>
    <row r="252" spans="1:3" x14ac:dyDescent="0.25">
      <c r="A252" s="4" t="s">
        <v>112</v>
      </c>
      <c r="B252" s="1">
        <v>0.45399299999999998</v>
      </c>
      <c r="C252" s="1">
        <v>0.452185</v>
      </c>
    </row>
    <row r="253" spans="1:3" x14ac:dyDescent="0.25">
      <c r="A253" s="4" t="s">
        <v>103</v>
      </c>
      <c r="B253" s="1">
        <v>0.65021700000000004</v>
      </c>
      <c r="C253" s="1">
        <v>0.64635299999999996</v>
      </c>
    </row>
    <row r="254" spans="1:3" x14ac:dyDescent="0.25">
      <c r="A254" s="4" t="s">
        <v>57</v>
      </c>
      <c r="B254" s="1">
        <v>0.174453</v>
      </c>
      <c r="C254" s="1">
        <v>0.176009</v>
      </c>
    </row>
    <row r="255" spans="1:3" x14ac:dyDescent="0.25">
      <c r="A255" s="4" t="s">
        <v>3</v>
      </c>
      <c r="B255" s="1">
        <v>0.140041</v>
      </c>
      <c r="C255" s="1">
        <v>0.14161699999999999</v>
      </c>
    </row>
    <row r="256" spans="1:3" x14ac:dyDescent="0.25">
      <c r="A256" s="4" t="s">
        <v>4</v>
      </c>
      <c r="B256" s="1">
        <v>0.86221700000000001</v>
      </c>
      <c r="C256" s="1">
        <v>0.85994899999999996</v>
      </c>
    </row>
    <row r="257" spans="1:3" x14ac:dyDescent="0.25">
      <c r="A257" s="4" t="s">
        <v>5</v>
      </c>
      <c r="B257" s="1">
        <v>0.50733099999999998</v>
      </c>
      <c r="C257" s="1">
        <v>0.51071900000000003</v>
      </c>
    </row>
    <row r="258" spans="1:3" x14ac:dyDescent="0.25">
      <c r="A258" s="4" t="s">
        <v>6</v>
      </c>
      <c r="B258" s="1">
        <v>0.89605199999999996</v>
      </c>
      <c r="C258" s="1">
        <v>0.89464399999999999</v>
      </c>
    </row>
    <row r="259" spans="1:3" x14ac:dyDescent="0.25">
      <c r="A259" s="4" t="s">
        <v>7</v>
      </c>
      <c r="B259" s="1">
        <v>0.54949499999999996</v>
      </c>
      <c r="C259" s="1">
        <v>0.54675499999999999</v>
      </c>
    </row>
    <row r="260" spans="1:3" x14ac:dyDescent="0.25">
      <c r="A260" s="4" t="s">
        <v>8</v>
      </c>
      <c r="B260" s="1">
        <v>6.8551000000000001E-2</v>
      </c>
      <c r="C260" s="1">
        <v>6.5270999999999996E-2</v>
      </c>
    </row>
    <row r="261" spans="1:3" x14ac:dyDescent="0.25">
      <c r="A261" s="4" t="s">
        <v>9</v>
      </c>
      <c r="B261" s="1">
        <v>6.9554000000000005E-2</v>
      </c>
      <c r="C261" s="1">
        <v>6.7585999999999993E-2</v>
      </c>
    </row>
    <row r="262" spans="1:3" x14ac:dyDescent="0.25">
      <c r="A262" s="4" t="s">
        <v>10</v>
      </c>
      <c r="B262" s="1">
        <v>0.85223800000000005</v>
      </c>
      <c r="C262" s="1">
        <v>0.84849799999999997</v>
      </c>
    </row>
    <row r="263" spans="1:3" x14ac:dyDescent="0.25">
      <c r="A263" s="4" t="s">
        <v>11</v>
      </c>
      <c r="B263" s="1">
        <v>0.44774900000000001</v>
      </c>
      <c r="C263" s="1">
        <v>0.451573</v>
      </c>
    </row>
    <row r="264" spans="1:3" x14ac:dyDescent="0.25">
      <c r="A264" s="4" t="s">
        <v>12</v>
      </c>
      <c r="B264" s="1">
        <v>0.84136299999999997</v>
      </c>
      <c r="C264" s="1">
        <v>0.83881899999999998</v>
      </c>
    </row>
    <row r="265" spans="1:3" x14ac:dyDescent="0.25">
      <c r="A265" s="4" t="s">
        <v>13</v>
      </c>
      <c r="B265" s="1">
        <v>0.20627400000000001</v>
      </c>
      <c r="C265" s="1">
        <v>0.20369799999999999</v>
      </c>
    </row>
    <row r="266" spans="1:3" x14ac:dyDescent="0.25">
      <c r="A266" s="4" t="s">
        <v>14</v>
      </c>
      <c r="B266" s="1">
        <v>0.53404300000000005</v>
      </c>
      <c r="C266" s="1">
        <v>0.53097899999999998</v>
      </c>
    </row>
    <row r="267" spans="1:3" x14ac:dyDescent="0.25">
      <c r="A267" s="4" t="s">
        <v>15</v>
      </c>
      <c r="B267" s="1">
        <v>0.52019700000000002</v>
      </c>
      <c r="C267" s="1">
        <v>0.52254900000000004</v>
      </c>
    </row>
    <row r="268" spans="1:3" x14ac:dyDescent="0.25">
      <c r="A268" s="4" t="s">
        <v>16</v>
      </c>
      <c r="B268" s="1">
        <v>0.464613</v>
      </c>
      <c r="C268" s="1">
        <v>0.46155299999999999</v>
      </c>
    </row>
    <row r="269" spans="1:3" x14ac:dyDescent="0.25">
      <c r="A269" s="4" t="s">
        <v>17</v>
      </c>
      <c r="B269" s="1">
        <v>0.94928199999999996</v>
      </c>
      <c r="C269" s="1">
        <v>0.94705799999999996</v>
      </c>
    </row>
    <row r="270" spans="1:3" x14ac:dyDescent="0.25">
      <c r="A270" s="4" t="s">
        <v>18</v>
      </c>
      <c r="B270" s="1">
        <v>0.62996300000000005</v>
      </c>
      <c r="C270" s="1">
        <v>0.62636700000000001</v>
      </c>
    </row>
    <row r="271" spans="1:3" x14ac:dyDescent="0.25">
      <c r="A271" s="4" t="s">
        <v>19</v>
      </c>
      <c r="B271" s="1">
        <v>0.76597700000000002</v>
      </c>
      <c r="C271" s="1">
        <v>0.76212500000000005</v>
      </c>
    </row>
    <row r="272" spans="1:3" x14ac:dyDescent="0.25">
      <c r="A272" s="4" t="s">
        <v>20</v>
      </c>
      <c r="B272" s="1">
        <v>0.65905100000000005</v>
      </c>
      <c r="C272" s="1">
        <v>0.662879</v>
      </c>
    </row>
    <row r="273" spans="1:3" x14ac:dyDescent="0.25">
      <c r="A273" s="4" t="s">
        <v>21</v>
      </c>
      <c r="B273" s="1">
        <v>0.88179300000000005</v>
      </c>
      <c r="C273" s="1">
        <v>0.87958099999999995</v>
      </c>
    </row>
    <row r="274" spans="1:3" x14ac:dyDescent="0.25">
      <c r="A274" s="4" t="s">
        <v>22</v>
      </c>
      <c r="B274" s="1">
        <v>0.96188399999999996</v>
      </c>
      <c r="C274" s="1">
        <v>0.95841200000000004</v>
      </c>
    </row>
    <row r="275" spans="1:3" x14ac:dyDescent="0.25">
      <c r="A275" s="4" t="s">
        <v>23</v>
      </c>
      <c r="B275" s="1">
        <v>0.551709</v>
      </c>
      <c r="C275" s="1">
        <v>0.54965699999999995</v>
      </c>
    </row>
    <row r="276" spans="1:3" x14ac:dyDescent="0.25">
      <c r="A276" s="4" t="s">
        <v>24</v>
      </c>
      <c r="B276" s="1">
        <v>0.55516799999999999</v>
      </c>
      <c r="C276" s="1">
        <v>0.55682399999999999</v>
      </c>
    </row>
    <row r="277" spans="1:3" x14ac:dyDescent="0.25">
      <c r="A277" s="4" t="s">
        <v>25</v>
      </c>
      <c r="B277" s="1">
        <v>0.50799799999999995</v>
      </c>
      <c r="C277" s="1">
        <v>0.50580599999999998</v>
      </c>
    </row>
    <row r="278" spans="1:3" x14ac:dyDescent="0.25">
      <c r="A278" s="4" t="s">
        <v>26</v>
      </c>
      <c r="B278" s="1">
        <v>0.29010599999999998</v>
      </c>
      <c r="C278" s="1">
        <v>0.29300599999999999</v>
      </c>
    </row>
    <row r="279" spans="1:3" x14ac:dyDescent="0.25">
      <c r="A279" s="4" t="s">
        <v>27</v>
      </c>
      <c r="B279" s="1">
        <v>0.888069</v>
      </c>
      <c r="C279" s="1">
        <v>0.88534100000000004</v>
      </c>
    </row>
    <row r="280" spans="1:3" x14ac:dyDescent="0.25">
      <c r="A280" s="4" t="s">
        <v>28</v>
      </c>
      <c r="B280" s="1">
        <v>0.29008400000000001</v>
      </c>
      <c r="C280" s="1">
        <v>0.29398800000000003</v>
      </c>
    </row>
    <row r="281" spans="1:3" x14ac:dyDescent="0.25">
      <c r="A281" s="4" t="s">
        <v>29</v>
      </c>
      <c r="B281" s="1">
        <v>0.53885000000000005</v>
      </c>
      <c r="C281" s="1">
        <v>0.53549000000000002</v>
      </c>
    </row>
    <row r="282" spans="1:3" x14ac:dyDescent="0.25">
      <c r="A282" s="4" t="s">
        <v>30</v>
      </c>
      <c r="B282" s="1">
        <v>0.46298299999999998</v>
      </c>
      <c r="C282" s="1">
        <v>0.459231</v>
      </c>
    </row>
    <row r="283" spans="1:3" x14ac:dyDescent="0.25">
      <c r="A283" s="4" t="s">
        <v>31</v>
      </c>
      <c r="B283" s="1">
        <v>7.6189999999999999E-3</v>
      </c>
      <c r="C283" s="1">
        <v>3.8670000000000002E-3</v>
      </c>
    </row>
    <row r="284" spans="1:3" x14ac:dyDescent="0.25">
      <c r="A284" s="4" t="s">
        <v>32</v>
      </c>
      <c r="B284" s="1">
        <v>0.83624799999999999</v>
      </c>
      <c r="C284" s="1">
        <v>0.832376</v>
      </c>
    </row>
    <row r="285" spans="1:3" x14ac:dyDescent="0.25">
      <c r="A285" s="4" t="s">
        <v>33</v>
      </c>
      <c r="B285" s="1">
        <v>0.506386</v>
      </c>
      <c r="C285" s="1">
        <v>0.50263400000000003</v>
      </c>
    </row>
    <row r="286" spans="1:3" x14ac:dyDescent="0.25">
      <c r="A286" s="4" t="s">
        <v>166</v>
      </c>
      <c r="B286" s="1">
        <v>0.30390899999999998</v>
      </c>
      <c r="C286" s="1">
        <v>0.30128100000000002</v>
      </c>
    </row>
    <row r="287" spans="1:3" x14ac:dyDescent="0.25">
      <c r="A287" s="4" t="s">
        <v>428</v>
      </c>
      <c r="B287" s="1">
        <v>0.93484299999999998</v>
      </c>
      <c r="C287" s="1">
        <v>0.93879100000000004</v>
      </c>
    </row>
    <row r="288" spans="1:3" x14ac:dyDescent="0.25">
      <c r="A288" s="4" t="s">
        <v>35</v>
      </c>
      <c r="B288" s="1">
        <v>0.74358000000000002</v>
      </c>
      <c r="C288" s="1">
        <v>0.74584399999999995</v>
      </c>
    </row>
    <row r="289" spans="1:3" x14ac:dyDescent="0.25">
      <c r="A289" s="4" t="s">
        <v>36</v>
      </c>
      <c r="B289" s="1">
        <v>0.89885000000000004</v>
      </c>
      <c r="C289" s="1">
        <v>0.90130200000000005</v>
      </c>
    </row>
    <row r="290" spans="1:3" x14ac:dyDescent="0.25">
      <c r="A290" s="4" t="s">
        <v>37</v>
      </c>
      <c r="B290" s="1">
        <v>0.59133800000000003</v>
      </c>
      <c r="C290" s="1">
        <v>0.59383399999999997</v>
      </c>
    </row>
    <row r="291" spans="1:3" x14ac:dyDescent="0.25">
      <c r="A291" s="4" t="s">
        <v>38</v>
      </c>
      <c r="B291" s="1">
        <v>0.333036</v>
      </c>
      <c r="C291" s="1">
        <v>0.33584799999999998</v>
      </c>
    </row>
    <row r="292" spans="1:3" x14ac:dyDescent="0.25">
      <c r="A292" s="4" t="s">
        <v>167</v>
      </c>
      <c r="B292" s="1">
        <v>0.40695900000000002</v>
      </c>
      <c r="C292" s="1">
        <v>0.40518700000000002</v>
      </c>
    </row>
    <row r="293" spans="1:3" x14ac:dyDescent="0.25">
      <c r="A293" s="4" t="s">
        <v>40</v>
      </c>
      <c r="B293" s="1">
        <v>4.8376000000000002E-2</v>
      </c>
      <c r="C293" s="1">
        <v>4.4811999999999998E-2</v>
      </c>
    </row>
    <row r="294" spans="1:3" x14ac:dyDescent="0.25">
      <c r="A294" s="4" t="s">
        <v>41</v>
      </c>
      <c r="B294" s="1">
        <v>0.93147599999999997</v>
      </c>
      <c r="C294" s="1">
        <v>0.93533999999999995</v>
      </c>
    </row>
    <row r="295" spans="1:3" x14ac:dyDescent="0.25">
      <c r="A295" s="4" t="s">
        <v>168</v>
      </c>
      <c r="B295" s="1">
        <v>0.80745199999999995</v>
      </c>
      <c r="C295" s="1">
        <v>0.80398400000000003</v>
      </c>
    </row>
    <row r="296" spans="1:3" x14ac:dyDescent="0.25">
      <c r="A296" s="4" t="s">
        <v>43</v>
      </c>
      <c r="B296" s="1">
        <v>0.90426899999999999</v>
      </c>
      <c r="C296" s="1">
        <v>0.90110500000000004</v>
      </c>
    </row>
    <row r="297" spans="1:3" x14ac:dyDescent="0.25">
      <c r="A297" s="4" t="s">
        <v>44</v>
      </c>
      <c r="B297" s="1">
        <v>0.35200999999999999</v>
      </c>
      <c r="C297" s="1">
        <v>0.354738</v>
      </c>
    </row>
    <row r="298" spans="1:3" x14ac:dyDescent="0.25">
      <c r="A298" s="4" t="s">
        <v>45</v>
      </c>
      <c r="B298" s="1">
        <v>0.39247599999999999</v>
      </c>
      <c r="C298" s="1">
        <v>0.39583600000000002</v>
      </c>
    </row>
    <row r="299" spans="1:3" x14ac:dyDescent="0.25">
      <c r="A299" s="4" t="s">
        <v>46</v>
      </c>
      <c r="B299" s="1">
        <v>0.42665900000000001</v>
      </c>
      <c r="C299" s="1">
        <v>0.42278300000000002</v>
      </c>
    </row>
    <row r="300" spans="1:3" x14ac:dyDescent="0.25">
      <c r="A300" s="4" t="s">
        <v>47</v>
      </c>
      <c r="B300" s="1">
        <v>0.807975</v>
      </c>
      <c r="C300" s="1">
        <v>0.80529099999999998</v>
      </c>
    </row>
    <row r="301" spans="1:3" x14ac:dyDescent="0.25">
      <c r="A301" s="4" t="s">
        <v>48</v>
      </c>
      <c r="B301" s="1">
        <v>0.79716600000000004</v>
      </c>
      <c r="C301" s="1">
        <v>0.80053399999999997</v>
      </c>
    </row>
    <row r="302" spans="1:3" x14ac:dyDescent="0.25">
      <c r="A302" s="4" t="s">
        <v>49</v>
      </c>
      <c r="B302" s="1">
        <v>0.84440099999999996</v>
      </c>
      <c r="C302" s="1">
        <v>0.84294100000000005</v>
      </c>
    </row>
    <row r="303" spans="1:3" x14ac:dyDescent="0.25">
      <c r="A303" s="4" t="s">
        <v>50</v>
      </c>
      <c r="B303" s="1">
        <v>0.64752100000000001</v>
      </c>
      <c r="C303" s="1">
        <v>0.64468899999999996</v>
      </c>
    </row>
    <row r="304" spans="1:3" x14ac:dyDescent="0.25">
      <c r="A304" s="4" t="s">
        <v>51</v>
      </c>
      <c r="B304" s="1">
        <v>0.61894099999999996</v>
      </c>
      <c r="C304" s="1">
        <v>0.61649299999999996</v>
      </c>
    </row>
    <row r="305" spans="1:3" x14ac:dyDescent="0.25">
      <c r="A305" s="4" t="s">
        <v>52</v>
      </c>
      <c r="B305" s="1">
        <v>0.80732599999999999</v>
      </c>
      <c r="C305" s="1">
        <v>0.80408199999999996</v>
      </c>
    </row>
    <row r="306" spans="1:3" x14ac:dyDescent="0.25">
      <c r="A306" s="4" t="s">
        <v>53</v>
      </c>
      <c r="B306" s="1">
        <v>0.36659199999999997</v>
      </c>
      <c r="C306" s="1">
        <v>0.368896</v>
      </c>
    </row>
    <row r="307" spans="1:3" x14ac:dyDescent="0.25">
      <c r="A307" s="4" t="s">
        <v>54</v>
      </c>
      <c r="B307" s="1">
        <v>0.70056799999999997</v>
      </c>
      <c r="C307" s="1">
        <v>0.70311999999999997</v>
      </c>
    </row>
    <row r="308" spans="1:3" x14ac:dyDescent="0.25">
      <c r="A308" s="4" t="s">
        <v>55</v>
      </c>
      <c r="B308" s="1">
        <v>0.62152399999999997</v>
      </c>
      <c r="C308" s="1">
        <v>0.61756</v>
      </c>
    </row>
    <row r="309" spans="1:3" x14ac:dyDescent="0.25">
      <c r="A309" s="4" t="s">
        <v>56</v>
      </c>
      <c r="B309" s="1">
        <v>5.7780000000000001E-3</v>
      </c>
      <c r="C309" s="1">
        <v>1.7899999999999999E-3</v>
      </c>
    </row>
    <row r="310" spans="1:3" x14ac:dyDescent="0.25">
      <c r="A310" s="4" t="s">
        <v>57</v>
      </c>
      <c r="B310" s="1">
        <v>7.8621999999999997E-2</v>
      </c>
      <c r="C310" s="1">
        <v>7.6165999999999998E-2</v>
      </c>
    </row>
    <row r="311" spans="1:3" x14ac:dyDescent="0.25">
      <c r="A311" s="4" t="s">
        <v>58</v>
      </c>
      <c r="B311" s="1">
        <v>0.314112</v>
      </c>
      <c r="C311" s="1">
        <v>0.31717200000000001</v>
      </c>
    </row>
    <row r="312" spans="1:3" x14ac:dyDescent="0.25">
      <c r="A312" s="4" t="s">
        <v>59</v>
      </c>
      <c r="B312" s="1">
        <v>0.91732499999999995</v>
      </c>
      <c r="C312" s="1">
        <v>0.91552900000000004</v>
      </c>
    </row>
    <row r="313" spans="1:3" x14ac:dyDescent="0.25">
      <c r="A313" s="4" t="s">
        <v>60</v>
      </c>
      <c r="B313" s="1">
        <v>0.56916199999999995</v>
      </c>
      <c r="C313" s="1">
        <v>0.56642999999999999</v>
      </c>
    </row>
    <row r="314" spans="1:3" x14ac:dyDescent="0.25">
      <c r="A314" s="4" t="s">
        <v>61</v>
      </c>
      <c r="B314" s="1">
        <v>0.44656000000000001</v>
      </c>
      <c r="C314" s="1">
        <v>0.449212</v>
      </c>
    </row>
    <row r="315" spans="1:3" x14ac:dyDescent="0.25">
      <c r="A315" s="4" t="s">
        <v>62</v>
      </c>
      <c r="B315" s="1">
        <v>0.61977899999999997</v>
      </c>
      <c r="C315" s="1">
        <v>0.62161100000000002</v>
      </c>
    </row>
    <row r="316" spans="1:3" x14ac:dyDescent="0.25">
      <c r="A316" s="4" t="s">
        <v>63</v>
      </c>
      <c r="B316" s="1">
        <v>0.35734100000000002</v>
      </c>
      <c r="C316" s="1">
        <v>0.355101</v>
      </c>
    </row>
    <row r="317" spans="1:3" x14ac:dyDescent="0.25">
      <c r="A317" s="4" t="s">
        <v>64</v>
      </c>
      <c r="B317" s="1">
        <v>0.31358399999999997</v>
      </c>
      <c r="C317" s="1">
        <v>0.317444</v>
      </c>
    </row>
    <row r="318" spans="1:3" x14ac:dyDescent="0.25">
      <c r="A318" s="4" t="s">
        <v>65</v>
      </c>
      <c r="B318" s="1">
        <v>0.51582700000000004</v>
      </c>
      <c r="C318" s="1">
        <v>0.51399899999999998</v>
      </c>
    </row>
    <row r="319" spans="1:3" x14ac:dyDescent="0.25">
      <c r="A319" s="4" t="s">
        <v>66</v>
      </c>
      <c r="B319" s="1">
        <v>0.336086</v>
      </c>
      <c r="C319" s="1">
        <v>0.33219799999999999</v>
      </c>
    </row>
    <row r="320" spans="1:3" x14ac:dyDescent="0.25">
      <c r="A320" s="4" t="s">
        <v>67</v>
      </c>
      <c r="B320" s="1">
        <v>0.60153500000000004</v>
      </c>
      <c r="C320" s="1">
        <v>0.59848699999999999</v>
      </c>
    </row>
    <row r="321" spans="1:3" x14ac:dyDescent="0.25">
      <c r="A321" s="4" t="s">
        <v>68</v>
      </c>
      <c r="B321" s="1">
        <v>0.52852399999999999</v>
      </c>
      <c r="C321" s="1">
        <v>0.52494399999999997</v>
      </c>
    </row>
    <row r="322" spans="1:3" x14ac:dyDescent="0.25">
      <c r="A322" s="4" t="s">
        <v>69</v>
      </c>
      <c r="B322" s="1">
        <v>0.52150200000000002</v>
      </c>
      <c r="C322" s="1">
        <v>0.517926</v>
      </c>
    </row>
    <row r="323" spans="1:3" x14ac:dyDescent="0.25">
      <c r="A323" s="4" t="s">
        <v>70</v>
      </c>
      <c r="B323" s="1">
        <v>0.55355699999999997</v>
      </c>
      <c r="C323" s="1">
        <v>0.55564499999999994</v>
      </c>
    </row>
    <row r="324" spans="1:3" x14ac:dyDescent="0.25">
      <c r="A324" s="4" t="s">
        <v>71</v>
      </c>
      <c r="B324" s="1">
        <v>0.61365199999999998</v>
      </c>
      <c r="C324" s="1">
        <v>0.61106000000000005</v>
      </c>
    </row>
    <row r="325" spans="1:3" x14ac:dyDescent="0.25">
      <c r="A325" s="4" t="s">
        <v>72</v>
      </c>
      <c r="B325" s="1">
        <v>0.35344900000000001</v>
      </c>
      <c r="C325" s="1">
        <v>0.35718100000000003</v>
      </c>
    </row>
    <row r="326" spans="1:3" x14ac:dyDescent="0.25">
      <c r="A326" s="4" t="s">
        <v>73</v>
      </c>
      <c r="B326" s="1">
        <v>0.31540200000000002</v>
      </c>
      <c r="C326" s="1">
        <v>0.31398599999999999</v>
      </c>
    </row>
    <row r="327" spans="1:3" x14ac:dyDescent="0.25">
      <c r="A327" s="4" t="s">
        <v>74</v>
      </c>
      <c r="B327" s="1">
        <v>0.20558899999999999</v>
      </c>
      <c r="C327" s="1">
        <v>0.20712900000000001</v>
      </c>
    </row>
    <row r="328" spans="1:3" x14ac:dyDescent="0.25">
      <c r="A328" s="4" t="s">
        <v>75</v>
      </c>
      <c r="B328" s="1">
        <v>0.87064699999999995</v>
      </c>
      <c r="C328" s="1">
        <v>0.87361100000000003</v>
      </c>
    </row>
    <row r="329" spans="1:3" x14ac:dyDescent="0.25">
      <c r="A329" s="4" t="s">
        <v>76</v>
      </c>
      <c r="B329" s="1">
        <v>6.5492999999999996E-2</v>
      </c>
      <c r="C329" s="1">
        <v>6.8885000000000002E-2</v>
      </c>
    </row>
    <row r="330" spans="1:3" x14ac:dyDescent="0.25">
      <c r="A330" s="4" t="s">
        <v>77</v>
      </c>
      <c r="B330" s="1">
        <v>0.32361200000000001</v>
      </c>
      <c r="C330" s="1">
        <v>0.31988800000000001</v>
      </c>
    </row>
    <row r="331" spans="1:3" x14ac:dyDescent="0.25">
      <c r="A331" s="4" t="s">
        <v>78</v>
      </c>
      <c r="B331" s="1">
        <v>0.93040699999999998</v>
      </c>
      <c r="C331" s="1">
        <v>0.93328299999999997</v>
      </c>
    </row>
    <row r="332" spans="1:3" x14ac:dyDescent="0.25">
      <c r="A332" s="4" t="s">
        <v>79</v>
      </c>
      <c r="B332" s="1">
        <v>0.22035199999999999</v>
      </c>
      <c r="C332" s="1">
        <v>0.21679999999999999</v>
      </c>
    </row>
    <row r="333" spans="1:3" x14ac:dyDescent="0.25">
      <c r="A333" s="4" t="s">
        <v>80</v>
      </c>
      <c r="B333" s="1">
        <v>0.58458699999999997</v>
      </c>
      <c r="C333" s="1">
        <v>0.58833899999999995</v>
      </c>
    </row>
    <row r="334" spans="1:3" x14ac:dyDescent="0.25">
      <c r="A334" s="4" t="s">
        <v>81</v>
      </c>
      <c r="B334" s="1">
        <v>0.553678</v>
      </c>
      <c r="C334" s="1">
        <v>0.55054599999999998</v>
      </c>
    </row>
    <row r="335" spans="1:3" x14ac:dyDescent="0.25">
      <c r="A335" s="4" t="s">
        <v>82</v>
      </c>
      <c r="B335" s="1">
        <v>0.34303299999999998</v>
      </c>
      <c r="C335" s="1">
        <v>0.34460099999999999</v>
      </c>
    </row>
    <row r="336" spans="1:3" x14ac:dyDescent="0.25">
      <c r="A336" s="4" t="s">
        <v>83</v>
      </c>
      <c r="B336" s="1">
        <v>0.48969400000000002</v>
      </c>
      <c r="C336" s="1">
        <v>0.48625800000000002</v>
      </c>
    </row>
    <row r="337" spans="1:3" x14ac:dyDescent="0.25">
      <c r="A337" s="4" t="s">
        <v>84</v>
      </c>
      <c r="B337" s="1">
        <v>0.51541800000000004</v>
      </c>
      <c r="C337" s="1">
        <v>0.51847399999999999</v>
      </c>
    </row>
    <row r="338" spans="1:3" x14ac:dyDescent="0.25">
      <c r="A338" s="4" t="s">
        <v>85</v>
      </c>
      <c r="B338" s="1">
        <v>0.139958</v>
      </c>
      <c r="C338" s="1">
        <v>0.14291400000000001</v>
      </c>
    </row>
    <row r="339" spans="1:3" x14ac:dyDescent="0.25">
      <c r="A339" s="4" t="s">
        <v>169</v>
      </c>
      <c r="B339" s="1">
        <v>0.60565199999999997</v>
      </c>
      <c r="C339" s="1">
        <v>0.60829999999999995</v>
      </c>
    </row>
    <row r="340" spans="1:3" x14ac:dyDescent="0.25">
      <c r="A340" s="4" t="s">
        <v>87</v>
      </c>
      <c r="B340" s="1">
        <v>0.517347</v>
      </c>
      <c r="C340" s="1">
        <v>0.51533499999999999</v>
      </c>
    </row>
    <row r="341" spans="1:3" x14ac:dyDescent="0.25">
      <c r="A341" s="4" t="s">
        <v>88</v>
      </c>
      <c r="B341" s="1">
        <v>0.48257800000000001</v>
      </c>
      <c r="C341" s="1">
        <v>0.480354</v>
      </c>
    </row>
    <row r="342" spans="1:3" x14ac:dyDescent="0.25">
      <c r="A342" s="4" t="s">
        <v>89</v>
      </c>
      <c r="B342" s="1">
        <v>0.42967</v>
      </c>
      <c r="C342" s="1">
        <v>0.42654599999999998</v>
      </c>
    </row>
    <row r="343" spans="1:3" x14ac:dyDescent="0.25">
      <c r="A343" s="4" t="s">
        <v>90</v>
      </c>
      <c r="B343" s="1">
        <v>0.271982</v>
      </c>
      <c r="C343" s="1">
        <v>0.26878999999999997</v>
      </c>
    </row>
    <row r="344" spans="1:3" x14ac:dyDescent="0.25">
      <c r="A344" s="4" t="s">
        <v>91</v>
      </c>
      <c r="B344" s="1">
        <v>0.97138999999999998</v>
      </c>
      <c r="C344" s="1">
        <v>0.97505799999999998</v>
      </c>
    </row>
    <row r="345" spans="1:3" x14ac:dyDescent="0.25">
      <c r="A345" s="4" t="s">
        <v>92</v>
      </c>
      <c r="B345" s="1">
        <v>0.78457500000000002</v>
      </c>
      <c r="C345" s="1">
        <v>0.78705899999999995</v>
      </c>
    </row>
    <row r="346" spans="1:3" x14ac:dyDescent="0.25">
      <c r="A346" s="4" t="s">
        <v>93</v>
      </c>
      <c r="B346" s="1">
        <v>0.64764299999999997</v>
      </c>
      <c r="C346" s="1">
        <v>0.64919099999999996</v>
      </c>
    </row>
    <row r="347" spans="1:3" x14ac:dyDescent="0.25">
      <c r="A347" s="4" t="s">
        <v>94</v>
      </c>
      <c r="B347" s="1">
        <v>0.44351000000000002</v>
      </c>
      <c r="C347" s="1">
        <v>0.44622200000000001</v>
      </c>
    </row>
    <row r="348" spans="1:3" x14ac:dyDescent="0.25">
      <c r="A348" s="4" t="s">
        <v>95</v>
      </c>
      <c r="B348" s="1">
        <v>0.18242900000000001</v>
      </c>
      <c r="C348" s="1">
        <v>0.18092900000000001</v>
      </c>
    </row>
    <row r="349" spans="1:3" x14ac:dyDescent="0.25">
      <c r="A349" s="4" t="s">
        <v>96</v>
      </c>
      <c r="B349" s="1">
        <v>0.699542</v>
      </c>
      <c r="C349" s="1">
        <v>0.70160199999999995</v>
      </c>
    </row>
    <row r="350" spans="1:3" x14ac:dyDescent="0.25">
      <c r="A350" s="4" t="s">
        <v>97</v>
      </c>
      <c r="B350" s="1">
        <v>0.79618299999999997</v>
      </c>
      <c r="C350" s="1">
        <v>0.79799500000000001</v>
      </c>
    </row>
    <row r="351" spans="1:3" x14ac:dyDescent="0.25">
      <c r="A351" s="4" t="s">
        <v>98</v>
      </c>
      <c r="B351" s="1">
        <v>0.456841</v>
      </c>
      <c r="C351" s="1">
        <v>0.45322499999999999</v>
      </c>
    </row>
    <row r="352" spans="1:3" x14ac:dyDescent="0.25">
      <c r="A352" s="4" t="s">
        <v>99</v>
      </c>
      <c r="B352" s="1">
        <v>0.51575599999999999</v>
      </c>
      <c r="C352" s="1">
        <v>0.51722000000000001</v>
      </c>
    </row>
    <row r="353" spans="1:3" x14ac:dyDescent="0.25">
      <c r="A353" s="4" t="s">
        <v>100</v>
      </c>
      <c r="B353" s="1">
        <v>0.98372400000000004</v>
      </c>
      <c r="C353" s="1">
        <v>0.98587599999999997</v>
      </c>
    </row>
    <row r="354" spans="1:3" x14ac:dyDescent="0.25">
      <c r="A354" s="4" t="s">
        <v>101</v>
      </c>
      <c r="B354" s="1">
        <v>0.37134800000000001</v>
      </c>
      <c r="C354" s="1">
        <v>0.374724</v>
      </c>
    </row>
    <row r="355" spans="1:3" x14ac:dyDescent="0.25">
      <c r="A355" s="4" t="s">
        <v>102</v>
      </c>
      <c r="B355" s="1">
        <v>0.69207300000000005</v>
      </c>
      <c r="C355" s="1">
        <v>0.68920499999999996</v>
      </c>
    </row>
    <row r="356" spans="1:3" x14ac:dyDescent="0.25">
      <c r="A356" s="4" t="s">
        <v>103</v>
      </c>
      <c r="B356" s="1">
        <v>0.28323100000000001</v>
      </c>
      <c r="C356" s="1">
        <v>0.28487099999999999</v>
      </c>
    </row>
    <row r="357" spans="1:3" x14ac:dyDescent="0.25">
      <c r="A357" s="4" t="s">
        <v>104</v>
      </c>
      <c r="B357" s="1">
        <v>0.18839400000000001</v>
      </c>
      <c r="C357" s="1">
        <v>0.191078</v>
      </c>
    </row>
    <row r="358" spans="1:3" x14ac:dyDescent="0.25">
      <c r="A358" s="4" t="s">
        <v>105</v>
      </c>
      <c r="B358" s="1">
        <v>9.3122999999999997E-2</v>
      </c>
      <c r="C358" s="1">
        <v>9.0423000000000003E-2</v>
      </c>
    </row>
    <row r="359" spans="1:3" x14ac:dyDescent="0.25">
      <c r="A359" s="4" t="s">
        <v>106</v>
      </c>
      <c r="B359" s="1">
        <v>0.97974099999999997</v>
      </c>
      <c r="C359" s="1">
        <v>0.98368500000000003</v>
      </c>
    </row>
    <row r="360" spans="1:3" x14ac:dyDescent="0.25">
      <c r="A360" s="4" t="s">
        <v>107</v>
      </c>
      <c r="B360" s="1">
        <v>0.40933199999999997</v>
      </c>
      <c r="C360" s="1">
        <v>0.41129199999999999</v>
      </c>
    </row>
    <row r="361" spans="1:3" x14ac:dyDescent="0.25">
      <c r="A361" s="4" t="s">
        <v>108</v>
      </c>
      <c r="B361" s="1">
        <v>0.39525900000000003</v>
      </c>
      <c r="C361" s="1">
        <v>0.39127499999999998</v>
      </c>
    </row>
    <row r="362" spans="1:3" x14ac:dyDescent="0.25">
      <c r="A362" s="4" t="s">
        <v>109</v>
      </c>
      <c r="B362" s="1">
        <v>0.30027799999999999</v>
      </c>
      <c r="C362" s="1">
        <v>0.30407800000000001</v>
      </c>
    </row>
    <row r="363" spans="1:3" x14ac:dyDescent="0.25">
      <c r="A363" s="4" t="s">
        <v>110</v>
      </c>
      <c r="B363" s="1">
        <v>0.56430000000000002</v>
      </c>
      <c r="C363" s="1">
        <v>0.56179999999999997</v>
      </c>
    </row>
    <row r="364" spans="1:3" x14ac:dyDescent="0.25">
      <c r="A364" s="4" t="s">
        <v>429</v>
      </c>
      <c r="B364" s="1">
        <v>0.192581</v>
      </c>
      <c r="C364" s="1">
        <v>0.18934500000000001</v>
      </c>
    </row>
    <row r="365" spans="1:3" x14ac:dyDescent="0.25">
      <c r="A365" s="4" t="s">
        <v>111</v>
      </c>
      <c r="B365" s="1">
        <v>0.66062200000000004</v>
      </c>
      <c r="C365" s="1">
        <v>0.65834599999999999</v>
      </c>
    </row>
    <row r="366" spans="1:3" x14ac:dyDescent="0.25">
      <c r="A366" s="4" t="s">
        <v>112</v>
      </c>
      <c r="B366" s="1">
        <v>0.85606400000000005</v>
      </c>
      <c r="C366" s="1">
        <v>0.85216400000000003</v>
      </c>
    </row>
    <row r="367" spans="1:3" x14ac:dyDescent="0.25">
      <c r="A367" s="4" t="s">
        <v>113</v>
      </c>
      <c r="B367" s="1">
        <v>0.93603599999999998</v>
      </c>
      <c r="C367" s="1">
        <v>0.93963600000000003</v>
      </c>
    </row>
    <row r="368" spans="1:3" x14ac:dyDescent="0.25">
      <c r="A368" s="4" t="s">
        <v>114</v>
      </c>
      <c r="B368" s="1">
        <v>0.56009799999999998</v>
      </c>
      <c r="C368" s="1">
        <v>0.55808599999999997</v>
      </c>
    </row>
    <row r="369" spans="1:3" x14ac:dyDescent="0.25">
      <c r="A369" s="4" t="s">
        <v>115</v>
      </c>
      <c r="B369" s="1">
        <v>0.98607599999999995</v>
      </c>
      <c r="C369" s="1">
        <v>0.98280400000000001</v>
      </c>
    </row>
    <row r="370" spans="1:3" x14ac:dyDescent="0.25">
      <c r="A370" s="4" t="s">
        <v>116</v>
      </c>
      <c r="B370" s="1">
        <v>0.31276999999999999</v>
      </c>
      <c r="C370" s="1">
        <v>0.31504599999999999</v>
      </c>
    </row>
    <row r="371" spans="1:3" x14ac:dyDescent="0.25">
      <c r="A371" s="4" t="s">
        <v>75</v>
      </c>
      <c r="B371" s="1">
        <v>0.66879599999999995</v>
      </c>
      <c r="C371" s="1">
        <v>0.67200400000000005</v>
      </c>
    </row>
    <row r="372" spans="1:3" x14ac:dyDescent="0.25">
      <c r="A372" s="4" t="s">
        <v>117</v>
      </c>
      <c r="B372" s="1">
        <v>0.26135000000000003</v>
      </c>
      <c r="C372" s="1">
        <v>0.26341399999999998</v>
      </c>
    </row>
    <row r="373" spans="1:3" x14ac:dyDescent="0.25">
      <c r="A373" s="4" t="s">
        <v>118</v>
      </c>
      <c r="B373" s="1">
        <v>0.657829</v>
      </c>
      <c r="C373" s="1">
        <v>0.65565300000000004</v>
      </c>
    </row>
    <row r="374" spans="1:3" x14ac:dyDescent="0.25">
      <c r="A374" s="4" t="s">
        <v>119</v>
      </c>
      <c r="B374" s="1">
        <v>0.80451099999999998</v>
      </c>
      <c r="C374" s="1">
        <v>0.80257900000000004</v>
      </c>
    </row>
    <row r="375" spans="1:3" x14ac:dyDescent="0.25">
      <c r="A375" s="4" t="s">
        <v>120</v>
      </c>
      <c r="B375" s="1">
        <v>0.42249799999999998</v>
      </c>
      <c r="C375" s="1">
        <v>0.42418600000000001</v>
      </c>
    </row>
    <row r="376" spans="1:3" x14ac:dyDescent="0.25">
      <c r="A376" s="4" t="s">
        <v>121</v>
      </c>
      <c r="B376" s="1">
        <v>0.49659500000000001</v>
      </c>
      <c r="C376" s="1">
        <v>0.494703</v>
      </c>
    </row>
    <row r="377" spans="1:3" x14ac:dyDescent="0.25">
      <c r="A377" s="4" t="s">
        <v>122</v>
      </c>
      <c r="B377" s="1">
        <v>3.8954000000000003E-2</v>
      </c>
      <c r="C377" s="1">
        <v>4.0722000000000001E-2</v>
      </c>
    </row>
    <row r="378" spans="1:3" x14ac:dyDescent="0.25">
      <c r="A378" s="4" t="s">
        <v>123</v>
      </c>
      <c r="B378" s="1">
        <v>0.97869200000000001</v>
      </c>
      <c r="C378" s="1">
        <v>0.97506400000000004</v>
      </c>
    </row>
    <row r="379" spans="1:3" x14ac:dyDescent="0.25">
      <c r="A379" s="4" t="s">
        <v>124</v>
      </c>
      <c r="B379" s="1">
        <v>0.37814999999999999</v>
      </c>
      <c r="C379" s="1">
        <v>0.38008599999999998</v>
      </c>
    </row>
    <row r="380" spans="1:3" x14ac:dyDescent="0.25">
      <c r="A380" s="4" t="s">
        <v>125</v>
      </c>
      <c r="B380" s="1">
        <v>0.93394999999999995</v>
      </c>
      <c r="C380" s="1">
        <v>0.93237000000000003</v>
      </c>
    </row>
    <row r="381" spans="1:3" x14ac:dyDescent="0.25">
      <c r="A381" s="4" t="s">
        <v>87</v>
      </c>
      <c r="B381" s="1">
        <v>0.56462000000000001</v>
      </c>
      <c r="C381" s="1">
        <v>0.56223999999999996</v>
      </c>
    </row>
    <row r="382" spans="1:3" x14ac:dyDescent="0.25">
      <c r="A382" s="4" t="s">
        <v>126</v>
      </c>
      <c r="B382" s="1">
        <v>0.63802199999999998</v>
      </c>
      <c r="C382" s="1">
        <v>0.64200199999999996</v>
      </c>
    </row>
    <row r="383" spans="1:3" x14ac:dyDescent="0.25">
      <c r="A383" s="4" t="s">
        <v>127</v>
      </c>
      <c r="B383" s="1">
        <v>0.74746999999999997</v>
      </c>
      <c r="C383" s="1">
        <v>0.74487400000000004</v>
      </c>
    </row>
    <row r="384" spans="1:3" x14ac:dyDescent="0.25">
      <c r="A384" s="4" t="s">
        <v>128</v>
      </c>
      <c r="B384" s="1">
        <v>0.63809400000000005</v>
      </c>
      <c r="C384" s="1">
        <v>0.63576600000000005</v>
      </c>
    </row>
    <row r="385" spans="1:3" x14ac:dyDescent="0.25">
      <c r="A385" s="4" t="s">
        <v>129</v>
      </c>
      <c r="B385" s="1">
        <v>0.30509900000000001</v>
      </c>
      <c r="C385" s="1">
        <v>0.308195</v>
      </c>
    </row>
    <row r="386" spans="1:3" x14ac:dyDescent="0.25">
      <c r="A386" s="4" t="s">
        <v>130</v>
      </c>
      <c r="B386" s="1">
        <v>0.23073199999999999</v>
      </c>
      <c r="C386" s="1">
        <v>0.22701199999999999</v>
      </c>
    </row>
    <row r="387" spans="1:3" x14ac:dyDescent="0.25">
      <c r="A387" s="4" t="s">
        <v>131</v>
      </c>
      <c r="B387" s="1">
        <v>0.64960200000000001</v>
      </c>
      <c r="C387" s="1">
        <v>0.65140200000000004</v>
      </c>
    </row>
    <row r="388" spans="1:3" x14ac:dyDescent="0.25">
      <c r="A388" s="4" t="s">
        <v>132</v>
      </c>
      <c r="B388" s="1">
        <v>0.64908500000000002</v>
      </c>
      <c r="C388" s="1">
        <v>0.65082499999999999</v>
      </c>
    </row>
    <row r="389" spans="1:3" x14ac:dyDescent="0.25">
      <c r="A389" s="4" t="s">
        <v>170</v>
      </c>
      <c r="B389" s="1">
        <v>0.46080500000000002</v>
      </c>
      <c r="C389" s="1">
        <v>0.46401300000000001</v>
      </c>
    </row>
    <row r="390" spans="1:3" x14ac:dyDescent="0.25">
      <c r="A390" s="4" t="s">
        <v>134</v>
      </c>
      <c r="B390" s="1">
        <v>0.86431400000000003</v>
      </c>
      <c r="C390" s="1">
        <v>0.86280199999999996</v>
      </c>
    </row>
    <row r="391" spans="1:3" x14ac:dyDescent="0.25">
      <c r="A391" s="4" t="s">
        <v>135</v>
      </c>
      <c r="B391" s="1">
        <v>0.55270699999999995</v>
      </c>
      <c r="C391" s="1">
        <v>0.55523100000000003</v>
      </c>
    </row>
    <row r="392" spans="1:3" x14ac:dyDescent="0.25">
      <c r="A392" s="4" t="s">
        <v>136</v>
      </c>
      <c r="B392" s="1">
        <v>0.41161799999999998</v>
      </c>
      <c r="C392" s="1">
        <v>0.40927400000000003</v>
      </c>
    </row>
    <row r="393" spans="1:3" x14ac:dyDescent="0.25">
      <c r="A393" s="4" t="s">
        <v>137</v>
      </c>
      <c r="B393" s="1">
        <v>0.15091399999999999</v>
      </c>
      <c r="C393" s="1">
        <v>0.14927399999999999</v>
      </c>
    </row>
    <row r="394" spans="1:3" x14ac:dyDescent="0.25">
      <c r="A394" s="4" t="s">
        <v>138</v>
      </c>
      <c r="B394" s="1">
        <v>0.92752500000000004</v>
      </c>
      <c r="C394" s="1">
        <v>0.92424099999999998</v>
      </c>
    </row>
    <row r="395" spans="1:3" x14ac:dyDescent="0.25">
      <c r="A395" s="4" t="s">
        <v>139</v>
      </c>
      <c r="B395" s="1">
        <v>0.89180499999999996</v>
      </c>
      <c r="C395" s="1">
        <v>0.89452100000000001</v>
      </c>
    </row>
    <row r="396" spans="1:3" x14ac:dyDescent="0.25">
      <c r="A396" s="4" t="s">
        <v>140</v>
      </c>
      <c r="B396" s="1">
        <v>0.94930499999999995</v>
      </c>
      <c r="C396" s="1">
        <v>0.95100099999999999</v>
      </c>
    </row>
    <row r="397" spans="1:3" x14ac:dyDescent="0.25">
      <c r="A397" s="4" t="s">
        <v>141</v>
      </c>
      <c r="B397" s="1">
        <v>0.99470000000000003</v>
      </c>
      <c r="C397" s="1">
        <v>0.99698399999999998</v>
      </c>
    </row>
    <row r="398" spans="1:3" x14ac:dyDescent="0.25">
      <c r="A398" s="4" t="s">
        <v>142</v>
      </c>
      <c r="B398" s="1">
        <v>0.924736</v>
      </c>
      <c r="C398" s="1">
        <v>0.92187600000000003</v>
      </c>
    </row>
    <row r="399" spans="1:3" x14ac:dyDescent="0.25">
      <c r="A399" s="4" t="s">
        <v>143</v>
      </c>
      <c r="B399" s="1">
        <v>0.34360400000000002</v>
      </c>
      <c r="C399" s="1">
        <v>0.345912</v>
      </c>
    </row>
    <row r="400" spans="1:3" x14ac:dyDescent="0.25">
      <c r="A400" s="4" t="s">
        <v>144</v>
      </c>
      <c r="B400" s="1">
        <v>3.9156999999999997E-2</v>
      </c>
      <c r="C400" s="1">
        <v>4.1876999999999998E-2</v>
      </c>
    </row>
    <row r="401" spans="1:3" x14ac:dyDescent="0.25">
      <c r="A401" s="4" t="s">
        <v>145</v>
      </c>
      <c r="B401" s="1">
        <v>0.70873299999999995</v>
      </c>
      <c r="C401" s="1">
        <v>0.71220499999999998</v>
      </c>
    </row>
    <row r="402" spans="1:3" x14ac:dyDescent="0.25">
      <c r="A402" s="4" t="s">
        <v>146</v>
      </c>
      <c r="B402" s="1">
        <v>0.61743499999999996</v>
      </c>
      <c r="C402" s="1">
        <v>0.61920299999999995</v>
      </c>
    </row>
    <row r="403" spans="1:3" x14ac:dyDescent="0.25">
      <c r="A403" s="4" t="s">
        <v>147</v>
      </c>
      <c r="B403" s="1">
        <v>0.75391399999999997</v>
      </c>
      <c r="C403" s="1">
        <v>0.75674200000000003</v>
      </c>
    </row>
    <row r="404" spans="1:3" x14ac:dyDescent="0.25">
      <c r="A404" s="4" t="s">
        <v>148</v>
      </c>
      <c r="B404" s="1">
        <v>0.924647</v>
      </c>
      <c r="C404" s="1">
        <v>0.92724300000000004</v>
      </c>
    </row>
    <row r="405" spans="1:3" x14ac:dyDescent="0.25">
      <c r="A405" s="4" t="s">
        <v>149</v>
      </c>
      <c r="B405" s="1">
        <v>0.13003200000000001</v>
      </c>
      <c r="C405" s="1">
        <v>0.13252800000000001</v>
      </c>
    </row>
    <row r="406" spans="1:3" x14ac:dyDescent="0.25">
      <c r="A406" s="4" t="s">
        <v>150</v>
      </c>
      <c r="B406" s="1">
        <v>0.52590599999999998</v>
      </c>
      <c r="C406" s="1">
        <v>0.52823399999999998</v>
      </c>
    </row>
    <row r="407" spans="1:3" x14ac:dyDescent="0.25">
      <c r="A407" s="4" t="s">
        <v>171</v>
      </c>
      <c r="B407" s="1">
        <v>0.60342499999999999</v>
      </c>
      <c r="C407" s="1">
        <v>0.605105</v>
      </c>
    </row>
    <row r="408" spans="1:3" x14ac:dyDescent="0.25">
      <c r="A408" s="4" t="s">
        <v>152</v>
      </c>
      <c r="B408" s="1">
        <v>1.2241E-2</v>
      </c>
      <c r="C408" s="1">
        <v>1.6216999999999999E-2</v>
      </c>
    </row>
    <row r="409" spans="1:3" x14ac:dyDescent="0.25">
      <c r="A409" s="4" t="s">
        <v>153</v>
      </c>
      <c r="B409" s="1">
        <v>0.13258500000000001</v>
      </c>
      <c r="C409" s="1">
        <v>0.13410900000000001</v>
      </c>
    </row>
    <row r="410" spans="1:3" x14ac:dyDescent="0.25">
      <c r="A410" s="4" t="s">
        <v>154</v>
      </c>
      <c r="B410" s="1">
        <v>0.44955299999999998</v>
      </c>
      <c r="C410" s="1">
        <v>0.447237</v>
      </c>
    </row>
    <row r="411" spans="1:3" x14ac:dyDescent="0.25">
      <c r="A411" s="4" t="s">
        <v>155</v>
      </c>
      <c r="B411" s="1">
        <v>0.113997</v>
      </c>
      <c r="C411" s="1">
        <v>0.117621</v>
      </c>
    </row>
    <row r="412" spans="1:3" x14ac:dyDescent="0.25">
      <c r="A412" s="4" t="s">
        <v>156</v>
      </c>
      <c r="B412" s="1">
        <v>0.77753799999999995</v>
      </c>
      <c r="C412" s="1">
        <v>0.774814</v>
      </c>
    </row>
    <row r="413" spans="1:3" x14ac:dyDescent="0.25">
      <c r="A413" s="4" t="s">
        <v>157</v>
      </c>
      <c r="B413" s="1">
        <v>0.82582299999999997</v>
      </c>
      <c r="C413" s="1">
        <v>0.82754700000000003</v>
      </c>
    </row>
    <row r="414" spans="1:3" x14ac:dyDescent="0.25">
      <c r="A414" s="4" t="s">
        <v>158</v>
      </c>
      <c r="B414" s="1">
        <v>0.20841899999999999</v>
      </c>
      <c r="C414" s="1">
        <v>0.212231</v>
      </c>
    </row>
    <row r="415" spans="1:3" x14ac:dyDescent="0.25">
      <c r="A415" s="4" t="s">
        <v>159</v>
      </c>
      <c r="B415" s="1">
        <v>0.39568500000000001</v>
      </c>
      <c r="C415" s="1">
        <v>0.39231700000000003</v>
      </c>
    </row>
    <row r="416" spans="1:3" x14ac:dyDescent="0.25">
      <c r="A416" s="4" t="s">
        <v>160</v>
      </c>
      <c r="B416" s="1">
        <v>1.9332999999999999E-2</v>
      </c>
      <c r="C416" s="1">
        <v>1.6733000000000001E-2</v>
      </c>
    </row>
    <row r="417" spans="1:3" x14ac:dyDescent="0.25">
      <c r="A417" s="4" t="s">
        <v>161</v>
      </c>
      <c r="B417" s="1">
        <v>0.37874799999999997</v>
      </c>
      <c r="C417" s="1">
        <v>0.382492</v>
      </c>
    </row>
    <row r="418" spans="1:3" x14ac:dyDescent="0.25">
      <c r="A418" s="4" t="s">
        <v>162</v>
      </c>
      <c r="B418" s="1">
        <v>0.72762800000000005</v>
      </c>
      <c r="C418" s="1">
        <v>0.73021999999999998</v>
      </c>
    </row>
    <row r="419" spans="1:3" x14ac:dyDescent="0.25">
      <c r="A419" s="4" t="s">
        <v>163</v>
      </c>
      <c r="B419" s="1">
        <v>0.69269999999999998</v>
      </c>
      <c r="C419" s="1">
        <v>0.69043600000000005</v>
      </c>
    </row>
    <row r="420" spans="1:3" x14ac:dyDescent="0.25">
      <c r="A420" s="4" t="s">
        <v>172</v>
      </c>
      <c r="B420" s="1">
        <v>0.90573400000000004</v>
      </c>
      <c r="C420" s="1">
        <v>0.90789799999999998</v>
      </c>
    </row>
    <row r="421" spans="1:3" x14ac:dyDescent="0.25">
      <c r="A421" s="4" t="s">
        <v>16</v>
      </c>
      <c r="B421" s="1">
        <v>0.376137</v>
      </c>
      <c r="C421" s="1">
        <v>0.37329699999999999</v>
      </c>
    </row>
    <row r="422" spans="1:3" x14ac:dyDescent="0.25">
      <c r="A422" s="4" t="s">
        <v>64</v>
      </c>
      <c r="B422" s="1">
        <v>0.352136</v>
      </c>
      <c r="C422" s="1">
        <v>0.35384399999999999</v>
      </c>
    </row>
    <row r="423" spans="1:3" x14ac:dyDescent="0.25">
      <c r="A423" s="4" t="s">
        <v>155</v>
      </c>
      <c r="B423" s="1">
        <v>0.247169</v>
      </c>
      <c r="C423" s="1">
        <v>0.24446100000000001</v>
      </c>
    </row>
    <row r="424" spans="1:3" x14ac:dyDescent="0.25">
      <c r="A424" s="4" t="s">
        <v>74</v>
      </c>
      <c r="B424" s="1">
        <v>0.64918399999999998</v>
      </c>
      <c r="C424" s="1">
        <v>0.64702800000000005</v>
      </c>
    </row>
    <row r="425" spans="1:3" x14ac:dyDescent="0.25">
      <c r="A425" s="4" t="s">
        <v>21</v>
      </c>
      <c r="B425" s="1">
        <v>0.36847200000000002</v>
      </c>
      <c r="C425" s="1">
        <v>0.364732</v>
      </c>
    </row>
    <row r="426" spans="1:3" x14ac:dyDescent="0.25">
      <c r="A426" s="4" t="s">
        <v>27</v>
      </c>
      <c r="B426" s="1">
        <v>0.15427399999999999</v>
      </c>
      <c r="C426" s="1">
        <v>0.151698</v>
      </c>
    </row>
    <row r="427" spans="1:3" x14ac:dyDescent="0.25">
      <c r="A427" s="4" t="s">
        <v>83</v>
      </c>
      <c r="B427" s="1">
        <v>0.67313500000000004</v>
      </c>
      <c r="C427" s="1">
        <v>0.67577900000000002</v>
      </c>
    </row>
    <row r="428" spans="1:3" x14ac:dyDescent="0.25">
      <c r="A428" s="4" t="s">
        <v>60</v>
      </c>
      <c r="B428" s="1">
        <v>0.97160000000000002</v>
      </c>
      <c r="C428" s="1">
        <v>0.96899999999999997</v>
      </c>
    </row>
    <row r="429" spans="1:3" x14ac:dyDescent="0.25">
      <c r="A429" s="4" t="s">
        <v>12</v>
      </c>
      <c r="B429" s="1">
        <v>0.33185700000000001</v>
      </c>
      <c r="C429" s="1">
        <v>0.33362900000000001</v>
      </c>
    </row>
    <row r="430" spans="1:3" x14ac:dyDescent="0.25">
      <c r="A430" s="4" t="s">
        <v>49</v>
      </c>
      <c r="B430" s="1">
        <v>0.94723900000000005</v>
      </c>
      <c r="C430" s="1">
        <v>0.94938299999999998</v>
      </c>
    </row>
    <row r="431" spans="1:3" x14ac:dyDescent="0.25">
      <c r="A431" s="4" t="s">
        <v>47</v>
      </c>
      <c r="B431" s="1">
        <v>6.2723000000000001E-2</v>
      </c>
      <c r="C431" s="1">
        <v>6.6118999999999997E-2</v>
      </c>
    </row>
    <row r="432" spans="1:3" x14ac:dyDescent="0.25">
      <c r="A432" s="4" t="s">
        <v>41</v>
      </c>
      <c r="B432" s="1">
        <v>0.78174299999999997</v>
      </c>
      <c r="C432" s="1">
        <v>0.78416300000000005</v>
      </c>
    </row>
    <row r="433" spans="1:3" x14ac:dyDescent="0.25">
      <c r="A433" s="4" t="s">
        <v>117</v>
      </c>
      <c r="B433" s="1">
        <v>0.17993500000000001</v>
      </c>
      <c r="C433" s="1">
        <v>0.17603099999999999</v>
      </c>
    </row>
    <row r="434" spans="1:3" x14ac:dyDescent="0.25">
      <c r="A434" s="4" t="s">
        <v>162</v>
      </c>
      <c r="B434" s="1">
        <v>0.29753600000000002</v>
      </c>
      <c r="C434" s="1">
        <v>0.30076399999999998</v>
      </c>
    </row>
    <row r="435" spans="1:3" x14ac:dyDescent="0.25">
      <c r="A435" s="4" t="s">
        <v>5</v>
      </c>
      <c r="B435" s="1">
        <v>0.98460700000000001</v>
      </c>
      <c r="C435" s="1">
        <v>0.98188699999999995</v>
      </c>
    </row>
    <row r="436" spans="1:3" x14ac:dyDescent="0.25">
      <c r="A436" s="4" t="s">
        <v>109</v>
      </c>
      <c r="B436" s="1">
        <v>0.78365300000000004</v>
      </c>
      <c r="C436" s="1">
        <v>0.78609700000000005</v>
      </c>
    </row>
    <row r="437" spans="1:3" x14ac:dyDescent="0.25">
      <c r="A437" s="4" t="s">
        <v>75</v>
      </c>
      <c r="B437" s="1">
        <v>0.169961</v>
      </c>
      <c r="C437" s="1">
        <v>0.17214099999999999</v>
      </c>
    </row>
    <row r="438" spans="1:3" x14ac:dyDescent="0.25">
      <c r="A438" s="4" t="s">
        <v>75</v>
      </c>
      <c r="B438" s="1">
        <v>0.400312</v>
      </c>
      <c r="C438" s="1">
        <v>0.40276000000000001</v>
      </c>
    </row>
    <row r="439" spans="1:3" x14ac:dyDescent="0.25">
      <c r="A439" s="4" t="s">
        <v>68</v>
      </c>
      <c r="B439" s="1">
        <v>0.25546200000000002</v>
      </c>
      <c r="C439" s="1">
        <v>0.25842199999999999</v>
      </c>
    </row>
    <row r="440" spans="1:3" x14ac:dyDescent="0.25">
      <c r="A440" s="4" t="s">
        <v>72</v>
      </c>
      <c r="B440" s="1">
        <v>0.33413399999999999</v>
      </c>
      <c r="C440" s="1">
        <v>0.33112599999999998</v>
      </c>
    </row>
    <row r="441" spans="1:3" x14ac:dyDescent="0.25">
      <c r="A441" s="4" t="s">
        <v>3</v>
      </c>
      <c r="B441" s="1">
        <v>0.83289800000000003</v>
      </c>
      <c r="C441" s="1">
        <v>0.82982199999999995</v>
      </c>
    </row>
    <row r="442" spans="1:3" x14ac:dyDescent="0.25">
      <c r="A442" s="4" t="s">
        <v>107</v>
      </c>
      <c r="B442" s="1">
        <v>0.27387699999999998</v>
      </c>
      <c r="C442" s="1">
        <v>0.271065</v>
      </c>
    </row>
    <row r="443" spans="1:3" x14ac:dyDescent="0.25">
      <c r="A443" s="4" t="s">
        <v>16</v>
      </c>
      <c r="B443" s="1">
        <v>0.82084800000000002</v>
      </c>
      <c r="C443" s="1">
        <v>0.81814399999999998</v>
      </c>
    </row>
    <row r="444" spans="1:3" x14ac:dyDescent="0.25">
      <c r="A444" s="4" t="s">
        <v>64</v>
      </c>
      <c r="B444" s="1">
        <v>0.43862400000000001</v>
      </c>
      <c r="C444" s="1">
        <v>0.43687599999999999</v>
      </c>
    </row>
    <row r="445" spans="1:3" x14ac:dyDescent="0.25">
      <c r="A445" s="4" t="s">
        <v>155</v>
      </c>
      <c r="B445" s="1">
        <v>0.93974999999999997</v>
      </c>
      <c r="C445" s="1">
        <v>0.94196199999999997</v>
      </c>
    </row>
    <row r="446" spans="1:3" x14ac:dyDescent="0.25">
      <c r="A446" s="4" t="s">
        <v>74</v>
      </c>
      <c r="B446" s="1">
        <v>0.27588800000000002</v>
      </c>
      <c r="C446" s="1">
        <v>0.27738800000000002</v>
      </c>
    </row>
    <row r="447" spans="1:3" x14ac:dyDescent="0.25">
      <c r="A447" s="4" t="s">
        <v>21</v>
      </c>
      <c r="B447" s="1">
        <v>0.72038999999999997</v>
      </c>
      <c r="C447" s="1">
        <v>0.722634</v>
      </c>
    </row>
    <row r="448" spans="1:3" x14ac:dyDescent="0.25">
      <c r="A448" s="4" t="s">
        <v>27</v>
      </c>
      <c r="B448" s="1">
        <v>0.19815199999999999</v>
      </c>
      <c r="C448" s="1">
        <v>0.20089599999999999</v>
      </c>
    </row>
    <row r="449" spans="1:3" x14ac:dyDescent="0.25">
      <c r="A449" s="4" t="s">
        <v>83</v>
      </c>
      <c r="B449" s="1">
        <v>0.72719900000000004</v>
      </c>
      <c r="C449" s="1">
        <v>0.72877099999999995</v>
      </c>
    </row>
    <row r="450" spans="1:3" x14ac:dyDescent="0.25">
      <c r="A450" s="4" t="s">
        <v>60</v>
      </c>
      <c r="B450" s="1">
        <v>0.71798300000000004</v>
      </c>
      <c r="C450" s="1">
        <v>0.71585500000000002</v>
      </c>
    </row>
    <row r="451" spans="1:3" x14ac:dyDescent="0.25">
      <c r="A451" s="4" t="s">
        <v>12</v>
      </c>
      <c r="B451" s="1">
        <v>0.74244399999999999</v>
      </c>
      <c r="C451" s="1">
        <v>0.73979200000000001</v>
      </c>
    </row>
    <row r="452" spans="1:3" x14ac:dyDescent="0.25">
      <c r="A452" s="4" t="s">
        <v>49</v>
      </c>
      <c r="B452" s="1">
        <v>0.16655700000000001</v>
      </c>
      <c r="C452" s="1">
        <v>0.168625</v>
      </c>
    </row>
    <row r="453" spans="1:3" x14ac:dyDescent="0.25">
      <c r="A453" s="4" t="s">
        <v>47</v>
      </c>
      <c r="B453" s="1">
        <v>0.138625</v>
      </c>
      <c r="C453" s="1">
        <v>0.14114499999999999</v>
      </c>
    </row>
    <row r="454" spans="1:3" x14ac:dyDescent="0.25">
      <c r="A454" s="4" t="s">
        <v>41</v>
      </c>
      <c r="B454" s="1">
        <v>0.79450500000000002</v>
      </c>
      <c r="C454" s="1">
        <v>0.79184500000000002</v>
      </c>
    </row>
    <row r="455" spans="1:3" x14ac:dyDescent="0.25">
      <c r="A455" s="4" t="s">
        <v>117</v>
      </c>
      <c r="B455" s="1">
        <v>0.97350800000000004</v>
      </c>
      <c r="C455" s="1">
        <v>0.97145199999999998</v>
      </c>
    </row>
    <row r="456" spans="1:3" x14ac:dyDescent="0.25">
      <c r="A456" s="4" t="s">
        <v>162</v>
      </c>
      <c r="B456" s="1">
        <v>0.43030000000000002</v>
      </c>
      <c r="C456" s="1">
        <v>0.432728</v>
      </c>
    </row>
    <row r="457" spans="1:3" x14ac:dyDescent="0.25">
      <c r="A457" s="4" t="s">
        <v>5</v>
      </c>
      <c r="B457" s="1">
        <v>0.42173100000000002</v>
      </c>
      <c r="C457" s="1">
        <v>0.42501100000000003</v>
      </c>
    </row>
    <row r="458" spans="1:3" x14ac:dyDescent="0.25">
      <c r="A458" s="4" t="s">
        <v>109</v>
      </c>
      <c r="B458" s="1">
        <v>0.61124299999999998</v>
      </c>
      <c r="C458" s="1">
        <v>0.61519100000000004</v>
      </c>
    </row>
    <row r="459" spans="1:3" x14ac:dyDescent="0.25">
      <c r="A459" s="4" t="s">
        <v>75</v>
      </c>
      <c r="B459" s="1">
        <v>0.48200599999999999</v>
      </c>
      <c r="C459" s="1">
        <v>0.485122</v>
      </c>
    </row>
    <row r="460" spans="1:3" x14ac:dyDescent="0.25">
      <c r="A460" s="4" t="s">
        <v>75</v>
      </c>
      <c r="B460" s="1">
        <v>0.75184499999999999</v>
      </c>
      <c r="C460" s="1">
        <v>0.75461699999999998</v>
      </c>
    </row>
    <row r="461" spans="1:3" x14ac:dyDescent="0.25">
      <c r="A461" s="4" t="s">
        <v>68</v>
      </c>
      <c r="B461" s="1">
        <v>0.98681600000000003</v>
      </c>
      <c r="C461" s="1">
        <v>0.98857600000000001</v>
      </c>
    </row>
    <row r="462" spans="1:3" x14ac:dyDescent="0.25">
      <c r="A462" s="4" t="s">
        <v>72</v>
      </c>
      <c r="B462" s="1">
        <v>0.22588900000000001</v>
      </c>
      <c r="C462" s="1">
        <v>0.224385</v>
      </c>
    </row>
    <row r="463" spans="1:3" x14ac:dyDescent="0.25">
      <c r="A463" s="4" t="s">
        <v>3</v>
      </c>
      <c r="B463" s="1">
        <v>9.0769000000000002E-2</v>
      </c>
      <c r="C463" s="1">
        <v>9.3213000000000004E-2</v>
      </c>
    </row>
    <row r="464" spans="1:3" x14ac:dyDescent="0.25">
      <c r="A464" s="4" t="s">
        <v>47</v>
      </c>
      <c r="B464" s="1">
        <v>0.76115200000000005</v>
      </c>
      <c r="C464" s="1">
        <v>0.75938799999999995</v>
      </c>
    </row>
    <row r="465" spans="1:3" x14ac:dyDescent="0.25">
      <c r="A465" s="4" t="s">
        <v>41</v>
      </c>
      <c r="B465" s="1">
        <v>0.61574300000000004</v>
      </c>
      <c r="C465" s="1">
        <v>0.61297900000000005</v>
      </c>
    </row>
    <row r="466" spans="1:3" x14ac:dyDescent="0.25">
      <c r="A466" s="4" t="s">
        <v>117</v>
      </c>
      <c r="B466" s="1">
        <v>0.67266300000000001</v>
      </c>
      <c r="C466" s="1">
        <v>0.676651</v>
      </c>
    </row>
    <row r="467" spans="1:3" x14ac:dyDescent="0.25">
      <c r="A467" s="4" t="s">
        <v>173</v>
      </c>
      <c r="B467" s="1">
        <v>0.45782299999999998</v>
      </c>
      <c r="C467" s="1">
        <v>0.45575500000000002</v>
      </c>
    </row>
    <row r="468" spans="1:3" x14ac:dyDescent="0.25">
      <c r="A468" s="4" t="s">
        <v>5</v>
      </c>
      <c r="B468" s="1">
        <v>0.85437099999999999</v>
      </c>
      <c r="C468" s="1">
        <v>0.85165500000000005</v>
      </c>
    </row>
    <row r="469" spans="1:3" x14ac:dyDescent="0.25">
      <c r="A469" s="4" t="s">
        <v>109</v>
      </c>
      <c r="B469" s="1">
        <v>0.59859799999999996</v>
      </c>
      <c r="C469" s="1">
        <v>0.59520600000000001</v>
      </c>
    </row>
    <row r="470" spans="1:3" x14ac:dyDescent="0.25">
      <c r="A470" s="4" t="s">
        <v>47</v>
      </c>
      <c r="B470" s="1">
        <v>0.39534399999999997</v>
      </c>
      <c r="C470" s="1">
        <v>0.39347199999999999</v>
      </c>
    </row>
    <row r="471" spans="1:3" x14ac:dyDescent="0.25">
      <c r="A471" s="4" t="s">
        <v>41</v>
      </c>
      <c r="B471" s="1">
        <v>0.811751</v>
      </c>
      <c r="C471" s="1">
        <v>0.81549499999999997</v>
      </c>
    </row>
    <row r="472" spans="1:3" x14ac:dyDescent="0.25">
      <c r="A472" s="4" t="s">
        <v>117</v>
      </c>
      <c r="B472" s="1">
        <v>0.57271000000000005</v>
      </c>
      <c r="C472" s="1">
        <v>0.57501000000000002</v>
      </c>
    </row>
    <row r="473" spans="1:3" x14ac:dyDescent="0.25">
      <c r="A473" s="4" t="s">
        <v>162</v>
      </c>
      <c r="B473" s="1">
        <v>0.81777500000000003</v>
      </c>
      <c r="C473" s="1">
        <v>0.81406699999999999</v>
      </c>
    </row>
    <row r="474" spans="1:3" x14ac:dyDescent="0.25">
      <c r="A474" s="4" t="s">
        <v>5</v>
      </c>
      <c r="B474" s="1">
        <v>0.72962700000000003</v>
      </c>
      <c r="C474" s="1">
        <v>0.72729500000000002</v>
      </c>
    </row>
    <row r="475" spans="1:3" x14ac:dyDescent="0.25">
      <c r="A475" s="4" t="s">
        <v>109</v>
      </c>
      <c r="B475" s="1">
        <v>0.20138</v>
      </c>
      <c r="C475" s="1">
        <v>0.197932</v>
      </c>
    </row>
    <row r="476" spans="1:3" x14ac:dyDescent="0.25">
      <c r="A476" s="4" t="s">
        <v>47</v>
      </c>
      <c r="B476" s="1">
        <v>0.30973099999999998</v>
      </c>
      <c r="C476" s="1">
        <v>0.31371900000000003</v>
      </c>
    </row>
    <row r="477" spans="1:3" x14ac:dyDescent="0.25">
      <c r="A477" s="4" t="s">
        <v>41</v>
      </c>
      <c r="B477" s="1">
        <v>0.90852699999999997</v>
      </c>
      <c r="C477" s="1">
        <v>0.90690300000000001</v>
      </c>
    </row>
    <row r="478" spans="1:3" x14ac:dyDescent="0.25">
      <c r="A478" s="4" t="s">
        <v>117</v>
      </c>
      <c r="B478" s="1">
        <v>3.3759999999999998E-2</v>
      </c>
      <c r="C478" s="1">
        <v>3.5316E-2</v>
      </c>
    </row>
    <row r="479" spans="1:3" x14ac:dyDescent="0.25">
      <c r="A479" s="4" t="s">
        <v>162</v>
      </c>
      <c r="B479" s="1">
        <v>0.97303899999999999</v>
      </c>
      <c r="C479" s="1">
        <v>0.97464700000000004</v>
      </c>
    </row>
    <row r="480" spans="1:3" x14ac:dyDescent="0.25">
      <c r="A480" s="4" t="s">
        <v>5</v>
      </c>
      <c r="B480" s="1">
        <v>0.14322299999999999</v>
      </c>
      <c r="C480" s="1">
        <v>0.14696300000000001</v>
      </c>
    </row>
    <row r="481" spans="1:3" x14ac:dyDescent="0.25">
      <c r="A481" s="4" t="s">
        <v>109</v>
      </c>
      <c r="B481" s="1">
        <v>0.87870300000000001</v>
      </c>
      <c r="C481" s="1">
        <v>0.87566699999999997</v>
      </c>
    </row>
    <row r="482" spans="1:3" x14ac:dyDescent="0.25">
      <c r="A482" s="4" t="s">
        <v>47</v>
      </c>
      <c r="B482" s="1">
        <v>0.78562500000000002</v>
      </c>
      <c r="C482" s="1">
        <v>0.78268499999999996</v>
      </c>
    </row>
    <row r="483" spans="1:3" x14ac:dyDescent="0.25">
      <c r="A483" s="4" t="s">
        <v>41</v>
      </c>
      <c r="B483" s="1">
        <v>0.86237600000000003</v>
      </c>
      <c r="C483" s="1">
        <v>0.86603200000000002</v>
      </c>
    </row>
    <row r="484" spans="1:3" x14ac:dyDescent="0.25">
      <c r="A484" s="4" t="s">
        <v>117</v>
      </c>
      <c r="B484" s="1">
        <v>0.95934200000000003</v>
      </c>
      <c r="C484" s="1">
        <v>0.95758200000000004</v>
      </c>
    </row>
    <row r="485" spans="1:3" x14ac:dyDescent="0.25">
      <c r="A485" s="4" t="s">
        <v>162</v>
      </c>
      <c r="B485" s="1">
        <v>0.74316700000000002</v>
      </c>
      <c r="C485" s="1">
        <v>0.74651500000000004</v>
      </c>
    </row>
    <row r="486" spans="1:3" x14ac:dyDescent="0.25">
      <c r="A486" s="4" t="s">
        <v>5</v>
      </c>
      <c r="B486" s="1">
        <v>0.74470000000000003</v>
      </c>
      <c r="C486" s="1">
        <v>0.74815600000000004</v>
      </c>
    </row>
    <row r="487" spans="1:3" x14ac:dyDescent="0.25">
      <c r="A487" s="4" t="s">
        <v>109</v>
      </c>
      <c r="B487" s="1">
        <v>0.74424900000000005</v>
      </c>
      <c r="C487" s="1">
        <v>0.74671699999999996</v>
      </c>
    </row>
    <row r="488" spans="1:3" x14ac:dyDescent="0.25">
      <c r="A488" s="4" t="s">
        <v>162</v>
      </c>
      <c r="B488" s="1">
        <v>0.245144</v>
      </c>
      <c r="C488" s="1">
        <v>0.242704</v>
      </c>
    </row>
    <row r="489" spans="1:3" x14ac:dyDescent="0.25">
      <c r="A489" s="4" t="s">
        <v>5</v>
      </c>
      <c r="B489" s="1">
        <v>0.95478200000000002</v>
      </c>
      <c r="C489" s="1">
        <v>0.95157000000000003</v>
      </c>
    </row>
    <row r="490" spans="1:3" x14ac:dyDescent="0.25">
      <c r="A490" s="4" t="s">
        <v>109</v>
      </c>
      <c r="B490" s="1">
        <v>0.19941800000000001</v>
      </c>
      <c r="C490" s="1">
        <v>0.20191799999999999</v>
      </c>
    </row>
    <row r="491" spans="1:3" x14ac:dyDescent="0.25">
      <c r="A491" s="4" t="s">
        <v>162</v>
      </c>
      <c r="B491" s="1">
        <v>0.44693699999999997</v>
      </c>
      <c r="C491" s="1">
        <v>0.44320900000000002</v>
      </c>
    </row>
    <row r="492" spans="1:3" x14ac:dyDescent="0.25">
      <c r="A492" s="4" t="s">
        <v>5</v>
      </c>
      <c r="B492" s="1">
        <v>0.13649500000000001</v>
      </c>
      <c r="C492" s="1">
        <v>0.139319</v>
      </c>
    </row>
    <row r="493" spans="1:3" x14ac:dyDescent="0.25">
      <c r="A493" s="4" t="s">
        <v>109</v>
      </c>
      <c r="B493" s="1">
        <v>0.86325399999999997</v>
      </c>
      <c r="C493" s="1">
        <v>0.86702199999999996</v>
      </c>
    </row>
    <row r="494" spans="1:3" x14ac:dyDescent="0.25">
      <c r="A494" s="4" t="s">
        <v>162</v>
      </c>
      <c r="B494" s="1">
        <v>2.3812E-2</v>
      </c>
      <c r="C494" s="1">
        <v>2.0455999999999998E-2</v>
      </c>
    </row>
    <row r="495" spans="1:3" x14ac:dyDescent="0.25">
      <c r="A495" s="4" t="s">
        <v>5</v>
      </c>
      <c r="B495" s="1">
        <v>0.13581199999999999</v>
      </c>
      <c r="C495" s="1">
        <v>0.13939199999999999</v>
      </c>
    </row>
    <row r="496" spans="1:3" x14ac:dyDescent="0.25">
      <c r="A496" s="4" t="s">
        <v>109</v>
      </c>
      <c r="B496" s="1">
        <v>0.60236199999999995</v>
      </c>
      <c r="C496" s="1">
        <v>0.60606199999999999</v>
      </c>
    </row>
    <row r="497" spans="1:3" x14ac:dyDescent="0.25">
      <c r="A497" s="4" t="s">
        <v>87</v>
      </c>
      <c r="B497" s="1">
        <v>0.74911300000000003</v>
      </c>
      <c r="C497" s="1">
        <v>0.745757</v>
      </c>
    </row>
    <row r="498" spans="1:3" x14ac:dyDescent="0.25">
      <c r="A498" s="4" t="s">
        <v>87</v>
      </c>
      <c r="B498" s="1">
        <v>0.32229000000000002</v>
      </c>
      <c r="C498" s="1">
        <v>0.31961000000000001</v>
      </c>
    </row>
    <row r="499" spans="1:3" x14ac:dyDescent="0.25">
      <c r="A499" s="4" t="s">
        <v>87</v>
      </c>
      <c r="B499" s="1">
        <v>0.25899800000000001</v>
      </c>
      <c r="C499" s="1">
        <v>0.26230599999999998</v>
      </c>
    </row>
    <row r="500" spans="1:3" x14ac:dyDescent="0.25">
      <c r="A500" s="4" t="s">
        <v>87</v>
      </c>
      <c r="B500" s="1">
        <v>0.16008700000000001</v>
      </c>
      <c r="C500" s="1">
        <v>0.15717100000000001</v>
      </c>
    </row>
    <row r="501" spans="1:3" x14ac:dyDescent="0.25">
      <c r="A501" s="4" t="s">
        <v>56</v>
      </c>
      <c r="B501" s="1">
        <v>0.34593800000000002</v>
      </c>
      <c r="C501" s="1">
        <v>0.34431400000000001</v>
      </c>
    </row>
    <row r="502" spans="1:3" x14ac:dyDescent="0.25">
      <c r="A502" s="4" t="s">
        <v>132</v>
      </c>
      <c r="B502" s="1">
        <v>4.0057000000000002E-2</v>
      </c>
      <c r="C502" s="1">
        <v>4.1741E-2</v>
      </c>
    </row>
    <row r="503" spans="1:3" x14ac:dyDescent="0.25">
      <c r="A503" s="4" t="s">
        <v>18</v>
      </c>
      <c r="B503" s="1">
        <v>1.0023960000000001</v>
      </c>
      <c r="C503" s="1">
        <v>0.99877199999999999</v>
      </c>
    </row>
    <row r="504" spans="1:3" x14ac:dyDescent="0.25">
      <c r="A504" s="4" t="s">
        <v>85</v>
      </c>
      <c r="B504" s="1">
        <v>9.6156000000000005E-2</v>
      </c>
      <c r="C504" s="1">
        <v>9.7767999999999994E-2</v>
      </c>
    </row>
    <row r="505" spans="1:3" x14ac:dyDescent="0.25">
      <c r="A505" s="4" t="s">
        <v>112</v>
      </c>
      <c r="B505" s="1">
        <v>0.82941900000000002</v>
      </c>
      <c r="C505" s="1">
        <v>0.82691499999999996</v>
      </c>
    </row>
    <row r="506" spans="1:3" x14ac:dyDescent="0.25">
      <c r="A506" s="4" t="s">
        <v>103</v>
      </c>
      <c r="B506" s="1">
        <v>0.92061899999999997</v>
      </c>
      <c r="C506" s="1">
        <v>0.92293099999999995</v>
      </c>
    </row>
    <row r="507" spans="1:3" x14ac:dyDescent="0.25">
      <c r="A507" s="4" t="s">
        <v>57</v>
      </c>
      <c r="B507" s="1">
        <v>0.66941799999999996</v>
      </c>
      <c r="C507" s="1">
        <v>0.66777399999999998</v>
      </c>
    </row>
    <row r="508" spans="1:3" x14ac:dyDescent="0.25">
      <c r="A508" s="4" t="s">
        <v>3</v>
      </c>
      <c r="B508" s="1">
        <v>0.31244499999999997</v>
      </c>
      <c r="C508" s="1">
        <v>0.31022499999999997</v>
      </c>
    </row>
    <row r="509" spans="1:3" x14ac:dyDescent="0.25">
      <c r="A509" s="4" t="s">
        <v>4</v>
      </c>
      <c r="B509" s="1">
        <v>0.16196199999999999</v>
      </c>
      <c r="C509" s="1">
        <v>0.16370999999999999</v>
      </c>
    </row>
    <row r="510" spans="1:3" x14ac:dyDescent="0.25">
      <c r="A510" s="4" t="s">
        <v>5</v>
      </c>
      <c r="B510" s="1">
        <v>4.0059999999999998E-2</v>
      </c>
      <c r="C510" s="1">
        <v>3.8204000000000002E-2</v>
      </c>
    </row>
    <row r="511" spans="1:3" x14ac:dyDescent="0.25">
      <c r="A511" s="4" t="s">
        <v>6</v>
      </c>
      <c r="B511" s="1">
        <v>0.71089100000000005</v>
      </c>
      <c r="C511" s="1">
        <v>0.71311899999999995</v>
      </c>
    </row>
    <row r="512" spans="1:3" x14ac:dyDescent="0.25">
      <c r="A512" s="4" t="s">
        <v>7</v>
      </c>
      <c r="B512" s="1">
        <v>0.172735</v>
      </c>
      <c r="C512" s="1">
        <v>0.17081499999999999</v>
      </c>
    </row>
    <row r="513" spans="1:3" x14ac:dyDescent="0.25">
      <c r="A513" s="4" t="s">
        <v>8</v>
      </c>
      <c r="B513" s="1">
        <v>0.89442100000000002</v>
      </c>
      <c r="C513" s="1">
        <v>0.89109700000000003</v>
      </c>
    </row>
    <row r="514" spans="1:3" x14ac:dyDescent="0.25">
      <c r="A514" s="4" t="s">
        <v>9</v>
      </c>
      <c r="B514" s="1">
        <v>3.9071000000000002E-2</v>
      </c>
      <c r="C514" s="1">
        <v>4.2567000000000001E-2</v>
      </c>
    </row>
    <row r="515" spans="1:3" x14ac:dyDescent="0.25">
      <c r="A515" s="4" t="s">
        <v>10</v>
      </c>
      <c r="B515" s="1">
        <v>3.9606000000000002E-2</v>
      </c>
      <c r="C515" s="1">
        <v>3.7274000000000002E-2</v>
      </c>
    </row>
    <row r="516" spans="1:3" x14ac:dyDescent="0.25">
      <c r="A516" s="4" t="s">
        <v>11</v>
      </c>
      <c r="B516" s="1">
        <v>0.91238200000000003</v>
      </c>
      <c r="C516" s="1">
        <v>0.91429400000000005</v>
      </c>
    </row>
    <row r="517" spans="1:3" x14ac:dyDescent="0.25">
      <c r="A517" s="4" t="s">
        <v>12</v>
      </c>
      <c r="B517" s="1">
        <v>0.43819900000000001</v>
      </c>
      <c r="C517" s="1">
        <v>0.43998700000000002</v>
      </c>
    </row>
    <row r="518" spans="1:3" x14ac:dyDescent="0.25">
      <c r="A518" s="4" t="s">
        <v>13</v>
      </c>
      <c r="B518" s="1">
        <v>0.188942</v>
      </c>
      <c r="C518" s="1">
        <v>0.186422</v>
      </c>
    </row>
    <row r="519" spans="1:3" x14ac:dyDescent="0.25">
      <c r="A519" s="4" t="s">
        <v>14</v>
      </c>
      <c r="B519" s="1">
        <v>0.63127299999999997</v>
      </c>
      <c r="C519" s="1">
        <v>0.63441700000000001</v>
      </c>
    </row>
    <row r="520" spans="1:3" x14ac:dyDescent="0.25">
      <c r="A520" s="4" t="s">
        <v>15</v>
      </c>
      <c r="B520" s="1">
        <v>5.6968999999999999E-2</v>
      </c>
      <c r="C520" s="1">
        <v>5.4597E-2</v>
      </c>
    </row>
    <row r="521" spans="1:3" x14ac:dyDescent="0.25">
      <c r="A521" s="4" t="s">
        <v>16</v>
      </c>
      <c r="B521" s="1">
        <v>0.129272</v>
      </c>
      <c r="C521" s="1">
        <v>0.12600800000000001</v>
      </c>
    </row>
    <row r="522" spans="1:3" x14ac:dyDescent="0.25">
      <c r="A522" s="4" t="s">
        <v>17</v>
      </c>
      <c r="B522" s="1">
        <v>9.0898999999999994E-2</v>
      </c>
      <c r="C522" s="1">
        <v>9.3718999999999997E-2</v>
      </c>
    </row>
    <row r="523" spans="1:3" x14ac:dyDescent="0.25">
      <c r="A523" s="4" t="s">
        <v>18</v>
      </c>
      <c r="B523" s="1">
        <v>0.77679200000000004</v>
      </c>
      <c r="C523" s="1">
        <v>0.77528799999999998</v>
      </c>
    </row>
    <row r="524" spans="1:3" x14ac:dyDescent="0.25">
      <c r="A524" s="4" t="s">
        <v>19</v>
      </c>
      <c r="B524" s="1">
        <v>0.94621999999999995</v>
      </c>
      <c r="C524" s="1">
        <v>0.948376</v>
      </c>
    </row>
    <row r="525" spans="1:3" x14ac:dyDescent="0.25">
      <c r="A525" s="4" t="s">
        <v>20</v>
      </c>
      <c r="B525" s="1">
        <v>0.262909</v>
      </c>
      <c r="C525" s="1">
        <v>0.26447300000000001</v>
      </c>
    </row>
    <row r="526" spans="1:3" x14ac:dyDescent="0.25">
      <c r="A526" s="4" t="s">
        <v>21</v>
      </c>
      <c r="B526" s="1">
        <v>0.99788299999999996</v>
      </c>
      <c r="C526" s="1">
        <v>0.99948300000000001</v>
      </c>
    </row>
    <row r="527" spans="1:3" x14ac:dyDescent="0.25">
      <c r="A527" s="4" t="s">
        <v>22</v>
      </c>
      <c r="B527" s="1">
        <v>0.96167100000000005</v>
      </c>
      <c r="C527" s="1">
        <v>0.95925099999999996</v>
      </c>
    </row>
    <row r="528" spans="1:3" x14ac:dyDescent="0.25">
      <c r="A528" s="4" t="s">
        <v>23</v>
      </c>
      <c r="B528" s="1">
        <v>0.50349999999999995</v>
      </c>
      <c r="C528" s="1">
        <v>0.50675999999999999</v>
      </c>
    </row>
    <row r="529" spans="1:3" x14ac:dyDescent="0.25">
      <c r="A529" s="4" t="s">
        <v>24</v>
      </c>
      <c r="B529" s="1">
        <v>0.355049</v>
      </c>
      <c r="C529" s="1">
        <v>0.358705</v>
      </c>
    </row>
    <row r="530" spans="1:3" x14ac:dyDescent="0.25">
      <c r="A530" s="4" t="s">
        <v>25</v>
      </c>
      <c r="B530" s="1">
        <v>0.93257800000000002</v>
      </c>
      <c r="C530" s="1">
        <v>0.92980200000000002</v>
      </c>
    </row>
    <row r="531" spans="1:3" x14ac:dyDescent="0.25">
      <c r="A531" s="4" t="s">
        <v>26</v>
      </c>
      <c r="B531" s="1">
        <v>0.34465099999999999</v>
      </c>
      <c r="C531" s="1">
        <v>0.347607</v>
      </c>
    </row>
    <row r="532" spans="1:3" x14ac:dyDescent="0.25">
      <c r="A532" s="4" t="s">
        <v>27</v>
      </c>
      <c r="B532" s="1">
        <v>0.16414500000000001</v>
      </c>
      <c r="C532" s="1">
        <v>0.16232099999999999</v>
      </c>
    </row>
    <row r="533" spans="1:3" x14ac:dyDescent="0.25">
      <c r="A533" s="4" t="s">
        <v>28</v>
      </c>
      <c r="B533" s="1">
        <v>0.52204899999999999</v>
      </c>
      <c r="C533" s="1">
        <v>0.52420900000000004</v>
      </c>
    </row>
    <row r="534" spans="1:3" x14ac:dyDescent="0.25">
      <c r="A534" s="4" t="s">
        <v>29</v>
      </c>
      <c r="B534" s="1">
        <v>0.39477299999999999</v>
      </c>
      <c r="C534" s="1">
        <v>0.39140900000000001</v>
      </c>
    </row>
    <row r="535" spans="1:3" x14ac:dyDescent="0.25">
      <c r="A535" s="4" t="s">
        <v>30</v>
      </c>
      <c r="B535" s="1">
        <v>0.13069600000000001</v>
      </c>
      <c r="C535" s="1">
        <v>0.134684</v>
      </c>
    </row>
    <row r="536" spans="1:3" x14ac:dyDescent="0.25">
      <c r="A536" s="4" t="s">
        <v>31</v>
      </c>
      <c r="B536" s="1">
        <v>0.108847</v>
      </c>
      <c r="C536" s="1">
        <v>0.105555</v>
      </c>
    </row>
    <row r="537" spans="1:3" x14ac:dyDescent="0.25">
      <c r="A537" s="4" t="s">
        <v>32</v>
      </c>
      <c r="B537" s="1">
        <v>0.62104000000000004</v>
      </c>
      <c r="C537" s="1">
        <v>0.62345200000000001</v>
      </c>
    </row>
    <row r="538" spans="1:3" x14ac:dyDescent="0.25">
      <c r="A538" s="4" t="s">
        <v>33</v>
      </c>
      <c r="B538" s="1">
        <v>0.915269</v>
      </c>
      <c r="C538" s="1">
        <v>0.91838500000000001</v>
      </c>
    </row>
    <row r="539" spans="1:3" x14ac:dyDescent="0.25">
      <c r="A539" s="4" t="s">
        <v>174</v>
      </c>
      <c r="B539" s="1">
        <v>0.39857500000000001</v>
      </c>
      <c r="C539" s="1">
        <v>0.40067900000000001</v>
      </c>
    </row>
    <row r="540" spans="1:3" x14ac:dyDescent="0.25">
      <c r="A540" s="4" t="s">
        <v>428</v>
      </c>
      <c r="B540" s="1">
        <v>0.67204299999999995</v>
      </c>
      <c r="C540" s="1">
        <v>0.67345100000000002</v>
      </c>
    </row>
    <row r="541" spans="1:3" x14ac:dyDescent="0.25">
      <c r="A541" s="4" t="s">
        <v>35</v>
      </c>
      <c r="B541" s="1">
        <v>3.5965999999999998E-2</v>
      </c>
      <c r="C541" s="1">
        <v>3.7982000000000002E-2</v>
      </c>
    </row>
    <row r="542" spans="1:3" x14ac:dyDescent="0.25">
      <c r="A542" s="4" t="s">
        <v>36</v>
      </c>
      <c r="B542" s="1">
        <v>0.514571</v>
      </c>
      <c r="C542" s="1">
        <v>0.51262700000000005</v>
      </c>
    </row>
    <row r="543" spans="1:3" x14ac:dyDescent="0.25">
      <c r="A543" s="4" t="s">
        <v>37</v>
      </c>
      <c r="B543" s="1">
        <v>0.923041</v>
      </c>
      <c r="C543" s="1">
        <v>0.92067699999999997</v>
      </c>
    </row>
    <row r="544" spans="1:3" x14ac:dyDescent="0.25">
      <c r="A544" s="4" t="s">
        <v>38</v>
      </c>
      <c r="B544" s="1">
        <v>0.14195199999999999</v>
      </c>
      <c r="C544" s="1">
        <v>0.13925599999999999</v>
      </c>
    </row>
    <row r="545" spans="1:3" x14ac:dyDescent="0.25">
      <c r="A545" s="4" t="s">
        <v>175</v>
      </c>
      <c r="B545" s="1">
        <v>0.832403</v>
      </c>
      <c r="C545" s="1">
        <v>0.83075900000000003</v>
      </c>
    </row>
    <row r="546" spans="1:3" x14ac:dyDescent="0.25">
      <c r="A546" s="4" t="s">
        <v>40</v>
      </c>
      <c r="B546" s="1">
        <v>0.67679900000000004</v>
      </c>
      <c r="C546" s="1">
        <v>0.67894299999999996</v>
      </c>
    </row>
    <row r="547" spans="1:3" x14ac:dyDescent="0.25">
      <c r="A547" s="4" t="s">
        <v>41</v>
      </c>
      <c r="B547" s="1">
        <v>0.33540799999999998</v>
      </c>
      <c r="C547" s="1">
        <v>0.33905200000000002</v>
      </c>
    </row>
    <row r="548" spans="1:3" x14ac:dyDescent="0.25">
      <c r="A548" s="4" t="s">
        <v>176</v>
      </c>
      <c r="B548" s="1">
        <v>0.71115899999999999</v>
      </c>
      <c r="C548" s="1">
        <v>0.70776300000000003</v>
      </c>
    </row>
    <row r="549" spans="1:3" x14ac:dyDescent="0.25">
      <c r="A549" s="4" t="s">
        <v>43</v>
      </c>
      <c r="B549" s="1">
        <v>0.71188700000000005</v>
      </c>
      <c r="C549" s="1">
        <v>0.715611</v>
      </c>
    </row>
    <row r="550" spans="1:3" x14ac:dyDescent="0.25">
      <c r="A550" s="4" t="s">
        <v>44</v>
      </c>
      <c r="B550" s="1">
        <v>0.40304299999999998</v>
      </c>
      <c r="C550" s="1">
        <v>0.399339</v>
      </c>
    </row>
    <row r="551" spans="1:3" x14ac:dyDescent="0.25">
      <c r="A551" s="4" t="s">
        <v>45</v>
      </c>
      <c r="B551" s="1">
        <v>0.90539000000000003</v>
      </c>
      <c r="C551" s="1">
        <v>0.90761800000000004</v>
      </c>
    </row>
    <row r="552" spans="1:3" x14ac:dyDescent="0.25">
      <c r="A552" s="4" t="s">
        <v>46</v>
      </c>
      <c r="B552" s="1">
        <v>0.23264499999999999</v>
      </c>
      <c r="C552" s="1">
        <v>0.235897</v>
      </c>
    </row>
    <row r="553" spans="1:3" x14ac:dyDescent="0.25">
      <c r="A553" s="4" t="s">
        <v>47</v>
      </c>
      <c r="B553" s="1">
        <v>0.23163800000000001</v>
      </c>
      <c r="C553" s="1">
        <v>0.23316999999999999</v>
      </c>
    </row>
    <row r="554" spans="1:3" x14ac:dyDescent="0.25">
      <c r="A554" s="4" t="s">
        <v>48</v>
      </c>
      <c r="B554" s="1">
        <v>0.53415599999999996</v>
      </c>
      <c r="C554" s="1">
        <v>0.53560399999999997</v>
      </c>
    </row>
    <row r="555" spans="1:3" x14ac:dyDescent="0.25">
      <c r="A555" s="4" t="s">
        <v>49</v>
      </c>
      <c r="B555" s="1">
        <v>0.76181600000000005</v>
      </c>
      <c r="C555" s="1">
        <v>0.75960799999999995</v>
      </c>
    </row>
    <row r="556" spans="1:3" x14ac:dyDescent="0.25">
      <c r="A556" s="4" t="s">
        <v>50</v>
      </c>
      <c r="B556" s="1">
        <v>0.14851200000000001</v>
      </c>
      <c r="C556" s="1">
        <v>0.14644799999999999</v>
      </c>
    </row>
    <row r="557" spans="1:3" x14ac:dyDescent="0.25">
      <c r="A557" s="4" t="s">
        <v>51</v>
      </c>
      <c r="B557" s="1">
        <v>0.231432</v>
      </c>
      <c r="C557" s="1">
        <v>0.22759199999999999</v>
      </c>
    </row>
    <row r="558" spans="1:3" x14ac:dyDescent="0.25">
      <c r="A558" s="4" t="s">
        <v>52</v>
      </c>
      <c r="B558" s="1">
        <v>0.86003499999999999</v>
      </c>
      <c r="C558" s="1">
        <v>0.85779499999999997</v>
      </c>
    </row>
    <row r="559" spans="1:3" x14ac:dyDescent="0.25">
      <c r="A559" s="4" t="s">
        <v>53</v>
      </c>
      <c r="B559" s="1">
        <v>0.57415799999999995</v>
      </c>
      <c r="C559" s="1">
        <v>0.57219399999999998</v>
      </c>
    </row>
    <row r="560" spans="1:3" x14ac:dyDescent="0.25">
      <c r="A560" s="4" t="s">
        <v>54</v>
      </c>
      <c r="B560" s="1">
        <v>0.10882</v>
      </c>
      <c r="C560" s="1">
        <v>0.104932</v>
      </c>
    </row>
    <row r="561" spans="1:3" x14ac:dyDescent="0.25">
      <c r="A561" s="4" t="s">
        <v>55</v>
      </c>
      <c r="B561" s="1">
        <v>0.72411499999999995</v>
      </c>
      <c r="C561" s="1">
        <v>0.72764300000000004</v>
      </c>
    </row>
    <row r="562" spans="1:3" x14ac:dyDescent="0.25">
      <c r="A562" s="4" t="s">
        <v>56</v>
      </c>
      <c r="B562" s="1">
        <v>0.45928099999999999</v>
      </c>
      <c r="C562" s="1">
        <v>0.45549299999999998</v>
      </c>
    </row>
    <row r="563" spans="1:3" x14ac:dyDescent="0.25">
      <c r="A563" s="4" t="s">
        <v>57</v>
      </c>
      <c r="B563" s="1">
        <v>0.99172199999999999</v>
      </c>
      <c r="C563" s="1">
        <v>0.99490199999999995</v>
      </c>
    </row>
    <row r="564" spans="1:3" x14ac:dyDescent="0.25">
      <c r="A564" s="4" t="s">
        <v>58</v>
      </c>
      <c r="B564" s="1">
        <v>0.90173300000000001</v>
      </c>
      <c r="C564" s="1">
        <v>0.905613</v>
      </c>
    </row>
    <row r="565" spans="1:3" x14ac:dyDescent="0.25">
      <c r="A565" s="4" t="s">
        <v>59</v>
      </c>
      <c r="B565" s="1">
        <v>0.99075100000000005</v>
      </c>
      <c r="C565" s="1">
        <v>0.98880699999999999</v>
      </c>
    </row>
    <row r="566" spans="1:3" x14ac:dyDescent="0.25">
      <c r="A566" s="4" t="s">
        <v>60</v>
      </c>
      <c r="B566" s="1">
        <v>0.71294500000000005</v>
      </c>
      <c r="C566" s="1">
        <v>0.716229</v>
      </c>
    </row>
    <row r="567" spans="1:3" x14ac:dyDescent="0.25">
      <c r="A567" s="4" t="s">
        <v>61</v>
      </c>
      <c r="B567" s="1">
        <v>0.25781799999999999</v>
      </c>
      <c r="C567" s="1">
        <v>0.25594600000000001</v>
      </c>
    </row>
    <row r="568" spans="1:3" x14ac:dyDescent="0.25">
      <c r="A568" s="4" t="s">
        <v>62</v>
      </c>
      <c r="B568" s="1">
        <v>8.6955000000000005E-2</v>
      </c>
      <c r="C568" s="1">
        <v>8.5378999999999997E-2</v>
      </c>
    </row>
    <row r="569" spans="1:3" x14ac:dyDescent="0.25">
      <c r="A569" s="4" t="s">
        <v>63</v>
      </c>
      <c r="B569" s="1">
        <v>0.35100700000000001</v>
      </c>
      <c r="C569" s="1">
        <v>0.35246300000000003</v>
      </c>
    </row>
    <row r="570" spans="1:3" x14ac:dyDescent="0.25">
      <c r="A570" s="4" t="s">
        <v>64</v>
      </c>
      <c r="B570" s="1">
        <v>0.82595300000000005</v>
      </c>
      <c r="C570" s="1">
        <v>0.82917700000000005</v>
      </c>
    </row>
    <row r="571" spans="1:3" x14ac:dyDescent="0.25">
      <c r="A571" s="4" t="s">
        <v>65</v>
      </c>
      <c r="B571" s="1">
        <v>0.55854400000000004</v>
      </c>
      <c r="C571" s="1">
        <v>0.55462400000000001</v>
      </c>
    </row>
    <row r="572" spans="1:3" x14ac:dyDescent="0.25">
      <c r="A572" s="4" t="s">
        <v>66</v>
      </c>
      <c r="B572" s="1">
        <v>0.21590100000000001</v>
      </c>
      <c r="C572" s="1">
        <v>0.21798100000000001</v>
      </c>
    </row>
    <row r="573" spans="1:3" x14ac:dyDescent="0.25">
      <c r="A573" s="4" t="s">
        <v>67</v>
      </c>
      <c r="B573" s="1">
        <v>0.859155</v>
      </c>
      <c r="C573" s="1">
        <v>0.85716700000000001</v>
      </c>
    </row>
    <row r="574" spans="1:3" x14ac:dyDescent="0.25">
      <c r="A574" s="4" t="s">
        <v>68</v>
      </c>
      <c r="B574" s="1">
        <v>0.67446200000000001</v>
      </c>
      <c r="C574" s="1">
        <v>0.67788999999999999</v>
      </c>
    </row>
    <row r="575" spans="1:3" x14ac:dyDescent="0.25">
      <c r="A575" s="4" t="s">
        <v>69</v>
      </c>
      <c r="B575" s="1">
        <v>0.47924800000000001</v>
      </c>
      <c r="C575" s="1">
        <v>0.47626000000000002</v>
      </c>
    </row>
    <row r="576" spans="1:3" x14ac:dyDescent="0.25">
      <c r="A576" s="4" t="s">
        <v>70</v>
      </c>
      <c r="B576" s="1">
        <v>0.51831700000000003</v>
      </c>
      <c r="C576" s="1">
        <v>0.52147299999999996</v>
      </c>
    </row>
    <row r="577" spans="1:3" x14ac:dyDescent="0.25">
      <c r="A577" s="4" t="s">
        <v>71</v>
      </c>
      <c r="B577" s="1">
        <v>0.69348799999999999</v>
      </c>
      <c r="C577" s="1">
        <v>0.69093599999999999</v>
      </c>
    </row>
    <row r="578" spans="1:3" x14ac:dyDescent="0.25">
      <c r="A578" s="4" t="s">
        <v>72</v>
      </c>
      <c r="B578" s="1">
        <v>0.145533</v>
      </c>
      <c r="C578" s="1">
        <v>0.14855299999999999</v>
      </c>
    </row>
    <row r="579" spans="1:3" x14ac:dyDescent="0.25">
      <c r="A579" s="4" t="s">
        <v>73</v>
      </c>
      <c r="B579" s="1">
        <v>0.94866899999999998</v>
      </c>
      <c r="C579" s="1">
        <v>0.950569</v>
      </c>
    </row>
    <row r="580" spans="1:3" x14ac:dyDescent="0.25">
      <c r="A580" s="4" t="s">
        <v>74</v>
      </c>
      <c r="B580" s="1">
        <v>0.61492599999999997</v>
      </c>
      <c r="C580" s="1">
        <v>0.61283799999999999</v>
      </c>
    </row>
    <row r="581" spans="1:3" x14ac:dyDescent="0.25">
      <c r="A581" s="4" t="s">
        <v>75</v>
      </c>
      <c r="B581" s="1">
        <v>0.80092399999999997</v>
      </c>
      <c r="C581" s="1">
        <v>0.79910400000000004</v>
      </c>
    </row>
    <row r="582" spans="1:3" x14ac:dyDescent="0.25">
      <c r="A582" s="4" t="s">
        <v>76</v>
      </c>
      <c r="B582" s="1">
        <v>0.80892299999999995</v>
      </c>
      <c r="C582" s="1">
        <v>0.806979</v>
      </c>
    </row>
    <row r="583" spans="1:3" x14ac:dyDescent="0.25">
      <c r="A583" s="4" t="s">
        <v>77</v>
      </c>
      <c r="B583" s="1">
        <v>2.6912999999999999E-2</v>
      </c>
      <c r="C583" s="1">
        <v>2.9256999999999998E-2</v>
      </c>
    </row>
    <row r="584" spans="1:3" x14ac:dyDescent="0.25">
      <c r="A584" s="4" t="s">
        <v>78</v>
      </c>
      <c r="B584" s="1">
        <v>0.84384199999999998</v>
      </c>
      <c r="C584" s="1">
        <v>0.845642</v>
      </c>
    </row>
    <row r="585" spans="1:3" x14ac:dyDescent="0.25">
      <c r="A585" s="4" t="s">
        <v>79</v>
      </c>
      <c r="B585" s="1">
        <v>0.81873700000000005</v>
      </c>
      <c r="C585" s="1">
        <v>0.82059300000000002</v>
      </c>
    </row>
    <row r="586" spans="1:3" x14ac:dyDescent="0.25">
      <c r="A586" s="4" t="s">
        <v>80</v>
      </c>
      <c r="B586" s="1">
        <v>0.77809700000000004</v>
      </c>
      <c r="C586" s="1">
        <v>0.77524899999999997</v>
      </c>
    </row>
    <row r="587" spans="1:3" x14ac:dyDescent="0.25">
      <c r="A587" s="4" t="s">
        <v>81</v>
      </c>
      <c r="B587" s="1">
        <v>0.83649600000000002</v>
      </c>
      <c r="C587" s="1">
        <v>0.83909599999999995</v>
      </c>
    </row>
    <row r="588" spans="1:3" x14ac:dyDescent="0.25">
      <c r="A588" s="4" t="s">
        <v>82</v>
      </c>
      <c r="B588" s="1">
        <v>0.63863800000000004</v>
      </c>
      <c r="C588" s="1">
        <v>0.64251000000000003</v>
      </c>
    </row>
    <row r="589" spans="1:3" x14ac:dyDescent="0.25">
      <c r="A589" s="4" t="s">
        <v>83</v>
      </c>
      <c r="B589" s="1">
        <v>0.43880400000000003</v>
      </c>
      <c r="C589" s="1">
        <v>0.435784</v>
      </c>
    </row>
    <row r="590" spans="1:3" x14ac:dyDescent="0.25">
      <c r="A590" s="4" t="s">
        <v>84</v>
      </c>
      <c r="B590" s="1">
        <v>0.20413700000000001</v>
      </c>
      <c r="C590" s="1">
        <v>0.20184099999999999</v>
      </c>
    </row>
    <row r="591" spans="1:3" x14ac:dyDescent="0.25">
      <c r="A591" s="4" t="s">
        <v>85</v>
      </c>
      <c r="B591" s="1">
        <v>0.88788900000000004</v>
      </c>
      <c r="C591" s="1">
        <v>0.88389300000000004</v>
      </c>
    </row>
    <row r="592" spans="1:3" x14ac:dyDescent="0.25">
      <c r="A592" s="4" t="s">
        <v>177</v>
      </c>
      <c r="B592" s="1">
        <v>0.96728700000000001</v>
      </c>
      <c r="C592" s="1">
        <v>0.97079099999999996</v>
      </c>
    </row>
    <row r="593" spans="1:3" x14ac:dyDescent="0.25">
      <c r="A593" s="4" t="s">
        <v>87</v>
      </c>
      <c r="B593" s="1">
        <v>0.121395</v>
      </c>
      <c r="C593" s="1">
        <v>0.124755</v>
      </c>
    </row>
    <row r="594" spans="1:3" x14ac:dyDescent="0.25">
      <c r="A594" s="4" t="s">
        <v>88</v>
      </c>
      <c r="B594" s="1">
        <v>5.8613999999999999E-2</v>
      </c>
      <c r="C594" s="1">
        <v>5.6474000000000003E-2</v>
      </c>
    </row>
    <row r="595" spans="1:3" x14ac:dyDescent="0.25">
      <c r="A595" s="4" t="s">
        <v>89</v>
      </c>
      <c r="B595" s="1">
        <v>0.79559199999999997</v>
      </c>
      <c r="C595" s="1">
        <v>0.792188</v>
      </c>
    </row>
    <row r="596" spans="1:3" x14ac:dyDescent="0.25">
      <c r="A596" s="4" t="s">
        <v>90</v>
      </c>
      <c r="B596" s="1">
        <v>0.63536800000000004</v>
      </c>
      <c r="C596" s="1">
        <v>0.639208</v>
      </c>
    </row>
    <row r="597" spans="1:3" x14ac:dyDescent="0.25">
      <c r="A597" s="4" t="s">
        <v>91</v>
      </c>
      <c r="B597" s="1">
        <v>0.29477999999999999</v>
      </c>
      <c r="C597" s="1">
        <v>0.29804799999999998</v>
      </c>
    </row>
    <row r="598" spans="1:3" x14ac:dyDescent="0.25">
      <c r="A598" s="4" t="s">
        <v>92</v>
      </c>
      <c r="B598" s="1">
        <v>0.312112</v>
      </c>
      <c r="C598" s="1">
        <v>0.31450800000000001</v>
      </c>
    </row>
    <row r="599" spans="1:3" x14ac:dyDescent="0.25">
      <c r="A599" s="4" t="s">
        <v>93</v>
      </c>
      <c r="B599" s="1">
        <v>2.2315999999999999E-2</v>
      </c>
      <c r="C599" s="1">
        <v>1.9543999999999999E-2</v>
      </c>
    </row>
    <row r="600" spans="1:3" x14ac:dyDescent="0.25">
      <c r="A600" s="4" t="s">
        <v>94</v>
      </c>
      <c r="B600" s="1">
        <v>0.65988999999999998</v>
      </c>
      <c r="C600" s="1">
        <v>0.65681</v>
      </c>
    </row>
    <row r="601" spans="1:3" x14ac:dyDescent="0.25">
      <c r="A601" s="4" t="s">
        <v>95</v>
      </c>
      <c r="B601" s="1">
        <v>0.75181399999999998</v>
      </c>
      <c r="C601" s="1">
        <v>0.74925399999999998</v>
      </c>
    </row>
    <row r="602" spans="1:3" x14ac:dyDescent="0.25">
      <c r="A602" s="4" t="s">
        <v>96</v>
      </c>
      <c r="B602" s="1">
        <v>0.69461200000000001</v>
      </c>
      <c r="C602" s="1">
        <v>0.69851200000000002</v>
      </c>
    </row>
    <row r="603" spans="1:3" x14ac:dyDescent="0.25">
      <c r="A603" s="4" t="s">
        <v>97</v>
      </c>
      <c r="B603" s="1">
        <v>0.217417</v>
      </c>
      <c r="C603" s="1">
        <v>0.215721</v>
      </c>
    </row>
    <row r="604" spans="1:3" x14ac:dyDescent="0.25">
      <c r="A604" s="4" t="s">
        <v>98</v>
      </c>
      <c r="B604" s="1">
        <v>0.248913</v>
      </c>
      <c r="C604" s="1">
        <v>0.25204100000000002</v>
      </c>
    </row>
    <row r="605" spans="1:3" x14ac:dyDescent="0.25">
      <c r="A605" s="4" t="s">
        <v>99</v>
      </c>
      <c r="B605" s="1">
        <v>9.5533999999999994E-2</v>
      </c>
      <c r="C605" s="1">
        <v>9.1910000000000006E-2</v>
      </c>
    </row>
    <row r="606" spans="1:3" x14ac:dyDescent="0.25">
      <c r="A606" s="4" t="s">
        <v>100</v>
      </c>
      <c r="B606" s="1">
        <v>0.56021500000000002</v>
      </c>
      <c r="C606" s="1">
        <v>0.56196699999999999</v>
      </c>
    </row>
    <row r="607" spans="1:3" x14ac:dyDescent="0.25">
      <c r="A607" s="4" t="s">
        <v>101</v>
      </c>
      <c r="B607" s="1">
        <v>9.8788000000000001E-2</v>
      </c>
      <c r="C607" s="1">
        <v>9.6680000000000002E-2</v>
      </c>
    </row>
    <row r="608" spans="1:3" x14ac:dyDescent="0.25">
      <c r="A608" s="4" t="s">
        <v>102</v>
      </c>
      <c r="B608" s="1">
        <v>0.66766999999999999</v>
      </c>
      <c r="C608" s="1">
        <v>0.67010999999999998</v>
      </c>
    </row>
    <row r="609" spans="1:3" x14ac:dyDescent="0.25">
      <c r="A609" s="4" t="s">
        <v>103</v>
      </c>
      <c r="B609" s="1">
        <v>0.69916400000000001</v>
      </c>
      <c r="C609" s="1">
        <v>0.70058399999999998</v>
      </c>
    </row>
    <row r="610" spans="1:3" x14ac:dyDescent="0.25">
      <c r="A610" s="4" t="s">
        <v>104</v>
      </c>
      <c r="B610" s="1">
        <v>0.50448999999999999</v>
      </c>
      <c r="C610" s="1">
        <v>0.50298200000000004</v>
      </c>
    </row>
    <row r="611" spans="1:3" x14ac:dyDescent="0.25">
      <c r="A611" s="4" t="s">
        <v>105</v>
      </c>
      <c r="B611" s="1">
        <v>0.70912799999999998</v>
      </c>
      <c r="C611" s="1">
        <v>0.70633199999999996</v>
      </c>
    </row>
    <row r="612" spans="1:3" x14ac:dyDescent="0.25">
      <c r="A612" s="4" t="s">
        <v>106</v>
      </c>
      <c r="B612" s="1">
        <v>0.25471199999999999</v>
      </c>
      <c r="C612" s="1">
        <v>0.25790400000000002</v>
      </c>
    </row>
    <row r="613" spans="1:3" x14ac:dyDescent="0.25">
      <c r="A613" s="4" t="s">
        <v>178</v>
      </c>
      <c r="B613" s="1">
        <v>0.52383800000000003</v>
      </c>
      <c r="C613" s="1">
        <v>0.52654999999999996</v>
      </c>
    </row>
    <row r="614" spans="1:3" x14ac:dyDescent="0.25">
      <c r="A614" s="4" t="s">
        <v>108</v>
      </c>
      <c r="B614" s="1">
        <v>9.1436000000000003E-2</v>
      </c>
      <c r="C614" s="1">
        <v>9.3964000000000006E-2</v>
      </c>
    </row>
    <row r="615" spans="1:3" x14ac:dyDescent="0.25">
      <c r="A615" s="4" t="s">
        <v>109</v>
      </c>
      <c r="B615" s="1">
        <v>0.404277</v>
      </c>
      <c r="C615" s="1">
        <v>0.40759299999999998</v>
      </c>
    </row>
    <row r="616" spans="1:3" x14ac:dyDescent="0.25">
      <c r="A616" s="4" t="s">
        <v>110</v>
      </c>
      <c r="B616" s="1">
        <v>0.11290600000000001</v>
      </c>
      <c r="C616" s="1">
        <v>0.11459</v>
      </c>
    </row>
    <row r="617" spans="1:3" x14ac:dyDescent="0.25">
      <c r="A617" s="4" t="s">
        <v>429</v>
      </c>
      <c r="B617" s="1">
        <v>0.95077199999999995</v>
      </c>
      <c r="C617" s="1">
        <v>0.94779599999999997</v>
      </c>
    </row>
    <row r="618" spans="1:3" x14ac:dyDescent="0.25">
      <c r="A618" s="4" t="s">
        <v>111</v>
      </c>
      <c r="B618" s="1">
        <v>0.37411299999999997</v>
      </c>
      <c r="C618" s="1">
        <v>0.37249300000000002</v>
      </c>
    </row>
    <row r="619" spans="1:3" x14ac:dyDescent="0.25">
      <c r="A619" s="4" t="s">
        <v>112</v>
      </c>
      <c r="B619" s="1">
        <v>0.43324000000000001</v>
      </c>
      <c r="C619" s="1">
        <v>0.43135600000000002</v>
      </c>
    </row>
    <row r="620" spans="1:3" x14ac:dyDescent="0.25">
      <c r="A620" s="4" t="s">
        <v>113</v>
      </c>
      <c r="B620" s="1">
        <v>0.16992399999999999</v>
      </c>
      <c r="C620" s="1">
        <v>0.166296</v>
      </c>
    </row>
    <row r="621" spans="1:3" x14ac:dyDescent="0.25">
      <c r="A621" s="4" t="s">
        <v>114</v>
      </c>
      <c r="B621" s="1">
        <v>0.21842300000000001</v>
      </c>
      <c r="C621" s="1">
        <v>0.21506700000000001</v>
      </c>
    </row>
    <row r="622" spans="1:3" x14ac:dyDescent="0.25">
      <c r="A622" s="4" t="s">
        <v>115</v>
      </c>
      <c r="B622" s="1">
        <v>0.492419</v>
      </c>
      <c r="C622" s="1">
        <v>0.49516300000000002</v>
      </c>
    </row>
    <row r="623" spans="1:3" x14ac:dyDescent="0.25">
      <c r="A623" s="4" t="s">
        <v>116</v>
      </c>
      <c r="B623" s="1">
        <v>0.73995699999999998</v>
      </c>
      <c r="C623" s="1">
        <v>0.74338499999999996</v>
      </c>
    </row>
    <row r="624" spans="1:3" x14ac:dyDescent="0.25">
      <c r="A624" s="4" t="s">
        <v>75</v>
      </c>
      <c r="B624" s="1">
        <v>0.19887299999999999</v>
      </c>
      <c r="C624" s="1">
        <v>0.196909</v>
      </c>
    </row>
    <row r="625" spans="1:3" x14ac:dyDescent="0.25">
      <c r="A625" s="4" t="s">
        <v>117</v>
      </c>
      <c r="B625" s="1">
        <v>0.82010700000000003</v>
      </c>
      <c r="C625" s="1">
        <v>0.82233500000000004</v>
      </c>
    </row>
    <row r="626" spans="1:3" x14ac:dyDescent="0.25">
      <c r="A626" s="4" t="s">
        <v>118</v>
      </c>
      <c r="B626" s="1">
        <v>0.83749799999999996</v>
      </c>
      <c r="C626" s="1">
        <v>0.83599400000000001</v>
      </c>
    </row>
    <row r="627" spans="1:3" x14ac:dyDescent="0.25">
      <c r="A627" s="4" t="s">
        <v>119</v>
      </c>
      <c r="B627" s="1">
        <v>0.71098499999999998</v>
      </c>
      <c r="C627" s="1">
        <v>0.70876899999999998</v>
      </c>
    </row>
    <row r="628" spans="1:3" x14ac:dyDescent="0.25">
      <c r="A628" s="4" t="s">
        <v>120</v>
      </c>
      <c r="B628" s="1">
        <v>2.4251999999999999E-2</v>
      </c>
      <c r="C628" s="1">
        <v>2.2828000000000001E-2</v>
      </c>
    </row>
    <row r="629" spans="1:3" x14ac:dyDescent="0.25">
      <c r="A629" s="4" t="s">
        <v>121</v>
      </c>
      <c r="B629" s="1">
        <v>0.49061199999999999</v>
      </c>
      <c r="C629" s="1">
        <v>0.48800399999999999</v>
      </c>
    </row>
    <row r="630" spans="1:3" x14ac:dyDescent="0.25">
      <c r="A630" s="4" t="s">
        <v>122</v>
      </c>
      <c r="B630" s="1">
        <v>0.68302600000000002</v>
      </c>
      <c r="C630" s="1">
        <v>0.68075799999999997</v>
      </c>
    </row>
    <row r="631" spans="1:3" x14ac:dyDescent="0.25">
      <c r="A631" s="4" t="s">
        <v>123</v>
      </c>
      <c r="B631" s="1">
        <v>0.38374799999999998</v>
      </c>
      <c r="C631" s="1">
        <v>0.38646399999999997</v>
      </c>
    </row>
    <row r="632" spans="1:3" x14ac:dyDescent="0.25">
      <c r="A632" s="4" t="s">
        <v>124</v>
      </c>
      <c r="B632" s="1">
        <v>5.1858000000000001E-2</v>
      </c>
      <c r="C632" s="1">
        <v>5.5253999999999998E-2</v>
      </c>
    </row>
    <row r="633" spans="1:3" x14ac:dyDescent="0.25">
      <c r="A633" s="4" t="s">
        <v>125</v>
      </c>
      <c r="B633" s="1">
        <v>0.56990099999999999</v>
      </c>
      <c r="C633" s="1">
        <v>0.57219699999999996</v>
      </c>
    </row>
    <row r="634" spans="1:3" x14ac:dyDescent="0.25">
      <c r="A634" s="4" t="s">
        <v>87</v>
      </c>
      <c r="B634" s="1">
        <v>0.44867299999999999</v>
      </c>
      <c r="C634" s="1">
        <v>0.45009300000000002</v>
      </c>
    </row>
    <row r="635" spans="1:3" x14ac:dyDescent="0.25">
      <c r="A635" s="4" t="s">
        <v>126</v>
      </c>
      <c r="B635" s="1">
        <v>0.80859300000000001</v>
      </c>
      <c r="C635" s="1">
        <v>0.80629700000000004</v>
      </c>
    </row>
    <row r="636" spans="1:3" x14ac:dyDescent="0.25">
      <c r="A636" s="4" t="s">
        <v>127</v>
      </c>
      <c r="B636" s="1">
        <v>0.82420800000000005</v>
      </c>
      <c r="C636" s="1">
        <v>0.82768799999999998</v>
      </c>
    </row>
    <row r="637" spans="1:3" x14ac:dyDescent="0.25">
      <c r="A637" s="4" t="s">
        <v>128</v>
      </c>
      <c r="B637" s="1">
        <v>6.3480999999999996E-2</v>
      </c>
      <c r="C637" s="1">
        <v>6.6905000000000006E-2</v>
      </c>
    </row>
    <row r="638" spans="1:3" x14ac:dyDescent="0.25">
      <c r="A638" s="4" t="s">
        <v>129</v>
      </c>
      <c r="B638" s="1">
        <v>0.89078199999999996</v>
      </c>
      <c r="C638" s="1">
        <v>0.89239400000000002</v>
      </c>
    </row>
    <row r="639" spans="1:3" x14ac:dyDescent="0.25">
      <c r="A639" s="4" t="s">
        <v>130</v>
      </c>
      <c r="B639" s="1">
        <v>0.54161700000000002</v>
      </c>
      <c r="C639" s="1">
        <v>0.53762900000000002</v>
      </c>
    </row>
    <row r="640" spans="1:3" x14ac:dyDescent="0.25">
      <c r="A640" s="4" t="s">
        <v>131</v>
      </c>
      <c r="B640" s="1">
        <v>5.3295000000000002E-2</v>
      </c>
      <c r="C640" s="1">
        <v>5.0727000000000001E-2</v>
      </c>
    </row>
    <row r="641" spans="1:3" x14ac:dyDescent="0.25">
      <c r="A641" s="4" t="s">
        <v>132</v>
      </c>
      <c r="B641" s="1">
        <v>6.6352999999999995E-2</v>
      </c>
      <c r="C641" s="1">
        <v>6.3589000000000007E-2</v>
      </c>
    </row>
    <row r="642" spans="1:3" x14ac:dyDescent="0.25">
      <c r="A642" s="4" t="s">
        <v>179</v>
      </c>
      <c r="B642" s="1">
        <v>0.92008900000000005</v>
      </c>
      <c r="C642" s="1">
        <v>0.92382900000000001</v>
      </c>
    </row>
    <row r="643" spans="1:3" x14ac:dyDescent="0.25">
      <c r="A643" s="4" t="s">
        <v>134</v>
      </c>
      <c r="B643" s="1">
        <v>0.16026199999999999</v>
      </c>
      <c r="C643" s="1">
        <v>0.16416600000000001</v>
      </c>
    </row>
    <row r="644" spans="1:3" x14ac:dyDescent="0.25">
      <c r="A644" s="4" t="s">
        <v>135</v>
      </c>
      <c r="B644" s="1">
        <v>2.2994000000000001E-2</v>
      </c>
      <c r="C644" s="1">
        <v>2.5885999999999999E-2</v>
      </c>
    </row>
    <row r="645" spans="1:3" x14ac:dyDescent="0.25">
      <c r="A645" s="4" t="s">
        <v>136</v>
      </c>
      <c r="B645" s="1">
        <v>0.67697099999999999</v>
      </c>
      <c r="C645" s="1">
        <v>0.67554700000000001</v>
      </c>
    </row>
    <row r="646" spans="1:3" x14ac:dyDescent="0.25">
      <c r="A646" s="4" t="s">
        <v>137</v>
      </c>
      <c r="B646" s="1">
        <v>0.78898900000000005</v>
      </c>
      <c r="C646" s="1">
        <v>0.78733299999999995</v>
      </c>
    </row>
    <row r="647" spans="1:3" x14ac:dyDescent="0.25">
      <c r="A647" s="4" t="s">
        <v>138</v>
      </c>
      <c r="B647" s="1">
        <v>0.94605499999999998</v>
      </c>
      <c r="C647" s="1">
        <v>0.94314699999999996</v>
      </c>
    </row>
    <row r="648" spans="1:3" x14ac:dyDescent="0.25">
      <c r="A648" s="4" t="s">
        <v>139</v>
      </c>
      <c r="B648" s="1">
        <v>0.28436099999999997</v>
      </c>
      <c r="C648" s="1">
        <v>0.286385</v>
      </c>
    </row>
    <row r="649" spans="1:3" x14ac:dyDescent="0.25">
      <c r="A649" s="4" t="s">
        <v>140</v>
      </c>
      <c r="B649" s="1">
        <v>0.90234800000000004</v>
      </c>
      <c r="C649" s="1">
        <v>0.89943600000000001</v>
      </c>
    </row>
    <row r="650" spans="1:3" x14ac:dyDescent="0.25">
      <c r="A650" s="4" t="s">
        <v>141</v>
      </c>
      <c r="B650" s="1">
        <v>0.85301000000000005</v>
      </c>
      <c r="C650" s="1">
        <v>0.85059799999999997</v>
      </c>
    </row>
    <row r="651" spans="1:3" x14ac:dyDescent="0.25">
      <c r="A651" s="4" t="s">
        <v>142</v>
      </c>
      <c r="B651" s="1">
        <v>0.24293500000000001</v>
      </c>
      <c r="C651" s="1">
        <v>0.24593100000000001</v>
      </c>
    </row>
    <row r="652" spans="1:3" x14ac:dyDescent="0.25">
      <c r="A652" s="4" t="s">
        <v>143</v>
      </c>
      <c r="B652" s="1">
        <v>0.80431299999999994</v>
      </c>
      <c r="C652" s="1">
        <v>0.80078099999999997</v>
      </c>
    </row>
    <row r="653" spans="1:3" x14ac:dyDescent="0.25">
      <c r="A653" s="4" t="s">
        <v>144</v>
      </c>
      <c r="B653" s="1">
        <v>0.73835600000000001</v>
      </c>
      <c r="C653" s="1">
        <v>0.73983200000000005</v>
      </c>
    </row>
    <row r="654" spans="1:3" x14ac:dyDescent="0.25">
      <c r="A654" s="4" t="s">
        <v>145</v>
      </c>
      <c r="B654" s="1">
        <v>0.47162799999999999</v>
      </c>
      <c r="C654" s="1">
        <v>0.46820800000000001</v>
      </c>
    </row>
    <row r="655" spans="1:3" x14ac:dyDescent="0.25">
      <c r="A655" s="4" t="s">
        <v>146</v>
      </c>
      <c r="B655" s="1">
        <v>0.72777400000000003</v>
      </c>
      <c r="C655" s="1">
        <v>0.72487400000000002</v>
      </c>
    </row>
    <row r="656" spans="1:3" x14ac:dyDescent="0.25">
      <c r="A656" s="4" t="s">
        <v>147</v>
      </c>
      <c r="B656" s="1">
        <v>0.42548399999999997</v>
      </c>
      <c r="C656" s="1">
        <v>0.42727199999999999</v>
      </c>
    </row>
    <row r="657" spans="1:3" x14ac:dyDescent="0.25">
      <c r="A657" s="4" t="s">
        <v>148</v>
      </c>
      <c r="B657" s="1">
        <v>0.84191199999999999</v>
      </c>
      <c r="C657" s="1">
        <v>0.84441600000000006</v>
      </c>
    </row>
    <row r="658" spans="1:3" x14ac:dyDescent="0.25">
      <c r="A658" s="4" t="s">
        <v>149</v>
      </c>
      <c r="B658" s="1">
        <v>0.84406099999999995</v>
      </c>
      <c r="C658" s="1">
        <v>0.84692100000000003</v>
      </c>
    </row>
    <row r="659" spans="1:3" x14ac:dyDescent="0.25">
      <c r="A659" s="4" t="s">
        <v>150</v>
      </c>
      <c r="B659" s="1">
        <v>0.71468200000000004</v>
      </c>
      <c r="C659" s="1">
        <v>0.71811000000000003</v>
      </c>
    </row>
    <row r="660" spans="1:3" x14ac:dyDescent="0.25">
      <c r="A660" s="4" t="s">
        <v>180</v>
      </c>
      <c r="B660" s="1">
        <v>0.14814099999999999</v>
      </c>
      <c r="C660" s="1">
        <v>0.14450499999999999</v>
      </c>
    </row>
    <row r="661" spans="1:3" x14ac:dyDescent="0.25">
      <c r="A661" s="4" t="s">
        <v>152</v>
      </c>
      <c r="B661" s="1">
        <v>0.76902999999999999</v>
      </c>
      <c r="C661" s="1">
        <v>0.76503399999999999</v>
      </c>
    </row>
    <row r="662" spans="1:3" x14ac:dyDescent="0.25">
      <c r="A662" s="4" t="s">
        <v>153</v>
      </c>
      <c r="B662" s="1">
        <v>0.36479400000000001</v>
      </c>
      <c r="C662" s="1">
        <v>0.36725799999999997</v>
      </c>
    </row>
    <row r="663" spans="1:3" x14ac:dyDescent="0.25">
      <c r="A663" s="4" t="s">
        <v>154</v>
      </c>
      <c r="B663" s="1">
        <v>0.53641000000000005</v>
      </c>
      <c r="C663" s="1">
        <v>0.53306200000000004</v>
      </c>
    </row>
    <row r="664" spans="1:3" x14ac:dyDescent="0.25">
      <c r="A664" s="4" t="s">
        <v>155</v>
      </c>
      <c r="B664" s="1">
        <v>0.38238299999999997</v>
      </c>
      <c r="C664" s="1">
        <v>0.38064700000000001</v>
      </c>
    </row>
    <row r="665" spans="1:3" x14ac:dyDescent="0.25">
      <c r="A665" s="4" t="s">
        <v>156</v>
      </c>
      <c r="B665" s="1">
        <v>0.47500999999999999</v>
      </c>
      <c r="C665" s="1">
        <v>0.47900199999999998</v>
      </c>
    </row>
    <row r="666" spans="1:3" x14ac:dyDescent="0.25">
      <c r="A666" s="4" t="s">
        <v>157</v>
      </c>
      <c r="B666" s="1">
        <v>0.72528599999999999</v>
      </c>
      <c r="C666" s="1">
        <v>0.72699800000000003</v>
      </c>
    </row>
    <row r="667" spans="1:3" x14ac:dyDescent="0.25">
      <c r="A667" s="4" t="s">
        <v>158</v>
      </c>
      <c r="B667" s="1">
        <v>0.58547800000000005</v>
      </c>
      <c r="C667" s="1">
        <v>0.58823000000000003</v>
      </c>
    </row>
    <row r="668" spans="1:3" x14ac:dyDescent="0.25">
      <c r="A668" s="4" t="s">
        <v>159</v>
      </c>
      <c r="B668" s="1">
        <v>0.37415799999999999</v>
      </c>
      <c r="C668" s="1">
        <v>0.375778</v>
      </c>
    </row>
    <row r="669" spans="1:3" x14ac:dyDescent="0.25">
      <c r="A669" s="4" t="s">
        <v>160</v>
      </c>
      <c r="B669" s="1">
        <v>0.85336199999999995</v>
      </c>
      <c r="C669" s="1">
        <v>0.85630600000000001</v>
      </c>
    </row>
    <row r="670" spans="1:3" x14ac:dyDescent="0.25">
      <c r="A670" s="4" t="s">
        <v>161</v>
      </c>
      <c r="B670" s="1">
        <v>0.87226400000000004</v>
      </c>
      <c r="C670" s="1">
        <v>0.86888399999999999</v>
      </c>
    </row>
    <row r="671" spans="1:3" x14ac:dyDescent="0.25">
      <c r="A671" s="4" t="s">
        <v>162</v>
      </c>
      <c r="B671" s="1">
        <v>0.42178399999999999</v>
      </c>
      <c r="C671" s="1">
        <v>0.42480400000000001</v>
      </c>
    </row>
    <row r="672" spans="1:3" x14ac:dyDescent="0.25">
      <c r="A672" s="4" t="s">
        <v>163</v>
      </c>
      <c r="B672" s="1">
        <v>0.71701300000000001</v>
      </c>
      <c r="C672" s="1">
        <v>0.71365299999999998</v>
      </c>
    </row>
    <row r="673" spans="1:3" x14ac:dyDescent="0.25">
      <c r="A673" s="4" t="s">
        <v>107</v>
      </c>
      <c r="B673" s="1">
        <v>2.9825000000000001E-2</v>
      </c>
      <c r="C673" s="1">
        <v>3.3637E-2</v>
      </c>
    </row>
    <row r="674" spans="1:3" x14ac:dyDescent="0.25">
      <c r="A674" s="4" t="s">
        <v>16</v>
      </c>
      <c r="B674" s="1">
        <v>0.26755400000000001</v>
      </c>
      <c r="C674" s="1">
        <v>0.266042</v>
      </c>
    </row>
    <row r="675" spans="1:3" x14ac:dyDescent="0.25">
      <c r="A675" s="4" t="s">
        <v>64</v>
      </c>
      <c r="B675" s="1">
        <v>0.184341</v>
      </c>
      <c r="C675" s="1">
        <v>0.18803700000000001</v>
      </c>
    </row>
    <row r="676" spans="1:3" x14ac:dyDescent="0.25">
      <c r="A676" s="4" t="s">
        <v>155</v>
      </c>
      <c r="B676" s="1">
        <v>0.55934799999999996</v>
      </c>
      <c r="C676" s="1">
        <v>0.55619200000000002</v>
      </c>
    </row>
    <row r="677" spans="1:3" x14ac:dyDescent="0.25">
      <c r="A677" s="4" t="s">
        <v>74</v>
      </c>
      <c r="B677" s="1">
        <v>0.30348399999999998</v>
      </c>
      <c r="C677" s="1">
        <v>0.30182799999999999</v>
      </c>
    </row>
    <row r="678" spans="1:3" x14ac:dyDescent="0.25">
      <c r="A678" s="4" t="s">
        <v>21</v>
      </c>
      <c r="B678" s="1">
        <v>0.25031599999999998</v>
      </c>
      <c r="C678" s="1">
        <v>0.24890399999999999</v>
      </c>
    </row>
    <row r="679" spans="1:3" x14ac:dyDescent="0.25">
      <c r="A679" s="4" t="s">
        <v>27</v>
      </c>
      <c r="B679" s="1">
        <v>7.0146E-2</v>
      </c>
      <c r="C679" s="1">
        <v>6.633E-2</v>
      </c>
    </row>
    <row r="680" spans="1:3" x14ac:dyDescent="0.25">
      <c r="A680" s="4" t="s">
        <v>83</v>
      </c>
      <c r="B680" s="1">
        <v>6.6768999999999995E-2</v>
      </c>
      <c r="C680" s="1">
        <v>6.9177000000000002E-2</v>
      </c>
    </row>
    <row r="681" spans="1:3" x14ac:dyDescent="0.25">
      <c r="A681" s="4" t="s">
        <v>60</v>
      </c>
      <c r="B681" s="1">
        <v>0.42548900000000001</v>
      </c>
      <c r="C681" s="1">
        <v>0.42702099999999998</v>
      </c>
    </row>
    <row r="682" spans="1:3" x14ac:dyDescent="0.25">
      <c r="A682" s="4" t="s">
        <v>12</v>
      </c>
      <c r="B682" s="1">
        <v>0.67800800000000006</v>
      </c>
      <c r="C682" s="1">
        <v>0.67982399999999998</v>
      </c>
    </row>
    <row r="683" spans="1:3" x14ac:dyDescent="0.25">
      <c r="A683" s="4" t="s">
        <v>49</v>
      </c>
      <c r="B683" s="1">
        <v>0.76098399999999999</v>
      </c>
      <c r="C683" s="1">
        <v>0.75931599999999999</v>
      </c>
    </row>
    <row r="684" spans="1:3" x14ac:dyDescent="0.25">
      <c r="A684" s="4" t="s">
        <v>47</v>
      </c>
      <c r="B684" s="1">
        <v>0.203124</v>
      </c>
      <c r="C684" s="1">
        <v>0.204928</v>
      </c>
    </row>
    <row r="685" spans="1:3" x14ac:dyDescent="0.25">
      <c r="A685" s="4" t="s">
        <v>41</v>
      </c>
      <c r="B685" s="1">
        <v>0.55237700000000001</v>
      </c>
      <c r="C685" s="1">
        <v>0.55376899999999996</v>
      </c>
    </row>
    <row r="686" spans="1:3" x14ac:dyDescent="0.25">
      <c r="A686" s="4" t="s">
        <v>117</v>
      </c>
      <c r="B686" s="1">
        <v>0.184863</v>
      </c>
      <c r="C686" s="1">
        <v>0.181919</v>
      </c>
    </row>
    <row r="687" spans="1:3" x14ac:dyDescent="0.25">
      <c r="A687" s="4" t="s">
        <v>162</v>
      </c>
      <c r="B687" s="1">
        <v>0.15484700000000001</v>
      </c>
      <c r="C687" s="1">
        <v>0.152063</v>
      </c>
    </row>
    <row r="688" spans="1:3" x14ac:dyDescent="0.25">
      <c r="A688" s="4" t="s">
        <v>5</v>
      </c>
      <c r="B688" s="1">
        <v>0.19459099999999999</v>
      </c>
      <c r="C688" s="1">
        <v>0.196183</v>
      </c>
    </row>
    <row r="689" spans="1:3" x14ac:dyDescent="0.25">
      <c r="A689" s="4" t="s">
        <v>109</v>
      </c>
      <c r="B689" s="1">
        <v>0.36385299999999998</v>
      </c>
      <c r="C689" s="1">
        <v>0.36585299999999998</v>
      </c>
    </row>
    <row r="690" spans="1:3" x14ac:dyDescent="0.25">
      <c r="A690" s="4" t="s">
        <v>75</v>
      </c>
      <c r="B690" s="1">
        <v>0.33326600000000001</v>
      </c>
      <c r="C690" s="1">
        <v>0.32928600000000002</v>
      </c>
    </row>
    <row r="691" spans="1:3" x14ac:dyDescent="0.25">
      <c r="A691" s="4" t="s">
        <v>75</v>
      </c>
      <c r="B691" s="1">
        <v>0.75790400000000002</v>
      </c>
      <c r="C691" s="1">
        <v>0.75648000000000004</v>
      </c>
    </row>
    <row r="692" spans="1:3" x14ac:dyDescent="0.25">
      <c r="A692" s="4" t="s">
        <v>68</v>
      </c>
      <c r="B692" s="1">
        <v>0.40887499999999999</v>
      </c>
      <c r="C692" s="1">
        <v>0.40652700000000003</v>
      </c>
    </row>
    <row r="693" spans="1:3" x14ac:dyDescent="0.25">
      <c r="A693" s="4" t="s">
        <v>72</v>
      </c>
      <c r="B693" s="1">
        <v>0.44072499999999998</v>
      </c>
      <c r="C693" s="1">
        <v>0.43829299999999999</v>
      </c>
    </row>
    <row r="694" spans="1:3" x14ac:dyDescent="0.25">
      <c r="A694" s="4" t="s">
        <v>3</v>
      </c>
      <c r="B694" s="1">
        <v>0.640208</v>
      </c>
      <c r="C694" s="1">
        <v>0.64333600000000002</v>
      </c>
    </row>
    <row r="695" spans="1:3" x14ac:dyDescent="0.25">
      <c r="A695" s="4" t="s">
        <v>181</v>
      </c>
      <c r="B695" s="1">
        <v>0.89040600000000003</v>
      </c>
      <c r="C695" s="1">
        <v>0.88888599999999995</v>
      </c>
    </row>
    <row r="696" spans="1:3" x14ac:dyDescent="0.25">
      <c r="A696" s="4" t="s">
        <v>16</v>
      </c>
      <c r="B696" s="1">
        <v>0.25660300000000003</v>
      </c>
      <c r="C696" s="1">
        <v>0.25871100000000002</v>
      </c>
    </row>
    <row r="697" spans="1:3" x14ac:dyDescent="0.25">
      <c r="A697" s="4" t="s">
        <v>64</v>
      </c>
      <c r="B697" s="1">
        <v>0.122706</v>
      </c>
      <c r="C697" s="1">
        <v>0.118814</v>
      </c>
    </row>
    <row r="698" spans="1:3" x14ac:dyDescent="0.25">
      <c r="A698" s="4" t="s">
        <v>155</v>
      </c>
      <c r="B698" s="1">
        <v>0.58026999999999995</v>
      </c>
      <c r="C698" s="1">
        <v>0.58299400000000001</v>
      </c>
    </row>
    <row r="699" spans="1:3" x14ac:dyDescent="0.25">
      <c r="A699" s="4" t="s">
        <v>74</v>
      </c>
      <c r="B699" s="1">
        <v>0.91838799999999998</v>
      </c>
      <c r="C699" s="1">
        <v>0.91548399999999996</v>
      </c>
    </row>
    <row r="700" spans="1:3" x14ac:dyDescent="0.25">
      <c r="A700" s="4" t="s">
        <v>21</v>
      </c>
      <c r="B700" s="1">
        <v>0.54036300000000004</v>
      </c>
      <c r="C700" s="1">
        <v>0.54307099999999997</v>
      </c>
    </row>
    <row r="701" spans="1:3" x14ac:dyDescent="0.25">
      <c r="A701" s="4" t="s">
        <v>27</v>
      </c>
      <c r="B701" s="1">
        <v>0.45537100000000003</v>
      </c>
      <c r="C701" s="1">
        <v>0.45788699999999999</v>
      </c>
    </row>
    <row r="702" spans="1:3" x14ac:dyDescent="0.25">
      <c r="A702" s="4" t="s">
        <v>83</v>
      </c>
      <c r="B702" s="1">
        <v>0.91982600000000003</v>
      </c>
      <c r="C702" s="1">
        <v>0.91775399999999996</v>
      </c>
    </row>
    <row r="703" spans="1:3" x14ac:dyDescent="0.25">
      <c r="A703" s="4" t="s">
        <v>60</v>
      </c>
      <c r="B703" s="1">
        <v>0.22966</v>
      </c>
      <c r="C703" s="1">
        <v>0.23246800000000001</v>
      </c>
    </row>
    <row r="704" spans="1:3" x14ac:dyDescent="0.25">
      <c r="A704" s="4" t="s">
        <v>12</v>
      </c>
      <c r="B704" s="1">
        <v>0.55209399999999997</v>
      </c>
      <c r="C704" s="1">
        <v>0.54861000000000004</v>
      </c>
    </row>
    <row r="705" spans="1:3" x14ac:dyDescent="0.25">
      <c r="A705" s="4" t="s">
        <v>49</v>
      </c>
      <c r="B705" s="1">
        <v>0.558307</v>
      </c>
      <c r="C705" s="1">
        <v>0.55478700000000003</v>
      </c>
    </row>
    <row r="706" spans="1:3" x14ac:dyDescent="0.25">
      <c r="A706" s="4" t="s">
        <v>47</v>
      </c>
      <c r="B706" s="1">
        <v>0.33376899999999998</v>
      </c>
      <c r="C706" s="1">
        <v>0.33111299999999999</v>
      </c>
    </row>
    <row r="707" spans="1:3" x14ac:dyDescent="0.25">
      <c r="A707" s="4" t="s">
        <v>41</v>
      </c>
      <c r="B707" s="1">
        <v>0.57073399999999996</v>
      </c>
      <c r="C707" s="1">
        <v>0.56704200000000005</v>
      </c>
    </row>
    <row r="708" spans="1:3" x14ac:dyDescent="0.25">
      <c r="A708" s="4" t="s">
        <v>117</v>
      </c>
      <c r="B708" s="1">
        <v>0.73974700000000004</v>
      </c>
      <c r="C708" s="1">
        <v>0.74296300000000004</v>
      </c>
    </row>
    <row r="709" spans="1:3" x14ac:dyDescent="0.25">
      <c r="A709" s="4" t="s">
        <v>182</v>
      </c>
      <c r="B709" s="1">
        <v>0.83426</v>
      </c>
      <c r="C709" s="1">
        <v>0.83696800000000005</v>
      </c>
    </row>
    <row r="710" spans="1:3" x14ac:dyDescent="0.25">
      <c r="A710" s="4" t="s">
        <v>5</v>
      </c>
      <c r="B710" s="1">
        <v>0.53817999999999999</v>
      </c>
      <c r="C710" s="1">
        <v>0.53967600000000004</v>
      </c>
    </row>
    <row r="711" spans="1:3" x14ac:dyDescent="0.25">
      <c r="A711" s="4" t="s">
        <v>109</v>
      </c>
      <c r="B711" s="1">
        <v>0.58387299999999998</v>
      </c>
      <c r="C711" s="1">
        <v>0.58202500000000001</v>
      </c>
    </row>
    <row r="712" spans="1:3" x14ac:dyDescent="0.25">
      <c r="A712" s="4" t="s">
        <v>75</v>
      </c>
      <c r="B712" s="1">
        <v>0.55288199999999998</v>
      </c>
      <c r="C712" s="1">
        <v>0.55628200000000005</v>
      </c>
    </row>
    <row r="713" spans="1:3" x14ac:dyDescent="0.25">
      <c r="A713" s="4" t="s">
        <v>75</v>
      </c>
      <c r="B713" s="1">
        <v>0.294576</v>
      </c>
      <c r="C713" s="1">
        <v>0.292016</v>
      </c>
    </row>
    <row r="714" spans="1:3" x14ac:dyDescent="0.25">
      <c r="A714" s="4" t="s">
        <v>68</v>
      </c>
      <c r="B714" s="1">
        <v>0.71384899999999996</v>
      </c>
      <c r="C714" s="1">
        <v>0.71065299999999998</v>
      </c>
    </row>
    <row r="715" spans="1:3" x14ac:dyDescent="0.25">
      <c r="A715" s="4" t="s">
        <v>72</v>
      </c>
      <c r="B715" s="1">
        <v>0.40520400000000001</v>
      </c>
      <c r="C715" s="1">
        <v>0.40260400000000002</v>
      </c>
    </row>
    <row r="716" spans="1:3" x14ac:dyDescent="0.25">
      <c r="A716" s="4" t="s">
        <v>3</v>
      </c>
      <c r="B716" s="1">
        <v>0.59558999999999995</v>
      </c>
      <c r="C716" s="1">
        <v>0.59787400000000002</v>
      </c>
    </row>
    <row r="717" spans="1:3" x14ac:dyDescent="0.25">
      <c r="A717" s="4" t="s">
        <v>47</v>
      </c>
      <c r="B717" s="1">
        <v>0.56683799999999995</v>
      </c>
      <c r="C717" s="1">
        <v>0.56295399999999995</v>
      </c>
    </row>
    <row r="718" spans="1:3" x14ac:dyDescent="0.25">
      <c r="A718" s="4" t="s">
        <v>41</v>
      </c>
      <c r="B718" s="1">
        <v>0.101677</v>
      </c>
      <c r="C718" s="1">
        <v>9.9404999999999993E-2</v>
      </c>
    </row>
    <row r="719" spans="1:3" x14ac:dyDescent="0.25">
      <c r="A719" s="4" t="s">
        <v>117</v>
      </c>
      <c r="B719" s="1">
        <v>0.803373</v>
      </c>
      <c r="C719" s="1">
        <v>0.79982900000000001</v>
      </c>
    </row>
    <row r="720" spans="1:3" x14ac:dyDescent="0.25">
      <c r="A720" s="4" t="s">
        <v>162</v>
      </c>
      <c r="B720" s="1">
        <v>0.57133</v>
      </c>
      <c r="C720" s="1">
        <v>0.57415400000000005</v>
      </c>
    </row>
    <row r="721" spans="1:3" x14ac:dyDescent="0.25">
      <c r="A721" s="4" t="s">
        <v>5</v>
      </c>
      <c r="B721" s="1">
        <v>0.33269399999999999</v>
      </c>
      <c r="C721" s="1">
        <v>0.33667799999999998</v>
      </c>
    </row>
    <row r="722" spans="1:3" x14ac:dyDescent="0.25">
      <c r="A722" s="4" t="s">
        <v>109</v>
      </c>
      <c r="B722" s="1">
        <v>0.23508799999999999</v>
      </c>
      <c r="C722" s="1">
        <v>0.23294000000000001</v>
      </c>
    </row>
    <row r="723" spans="1:3" x14ac:dyDescent="0.25">
      <c r="A723" s="4" t="s">
        <v>47</v>
      </c>
      <c r="B723" s="1">
        <v>0.36631000000000002</v>
      </c>
      <c r="C723" s="1">
        <v>0.36299799999999999</v>
      </c>
    </row>
    <row r="724" spans="1:3" x14ac:dyDescent="0.25">
      <c r="A724" s="4" t="s">
        <v>41</v>
      </c>
      <c r="B724" s="1">
        <v>0.52646300000000001</v>
      </c>
      <c r="C724" s="1">
        <v>0.52316700000000005</v>
      </c>
    </row>
    <row r="725" spans="1:3" x14ac:dyDescent="0.25">
      <c r="A725" s="4" t="s">
        <v>117</v>
      </c>
      <c r="B725" s="1">
        <v>0.93513800000000002</v>
      </c>
      <c r="C725" s="1">
        <v>0.93698199999999998</v>
      </c>
    </row>
    <row r="726" spans="1:3" x14ac:dyDescent="0.25">
      <c r="A726" s="4" t="s">
        <v>162</v>
      </c>
      <c r="B726" s="1">
        <v>0.73413300000000004</v>
      </c>
      <c r="C726" s="1">
        <v>0.73189300000000002</v>
      </c>
    </row>
    <row r="727" spans="1:3" x14ac:dyDescent="0.25">
      <c r="A727" s="4" t="s">
        <v>5</v>
      </c>
      <c r="B727" s="1">
        <v>0.84894400000000003</v>
      </c>
      <c r="C727" s="1">
        <v>0.84666799999999998</v>
      </c>
    </row>
    <row r="728" spans="1:3" x14ac:dyDescent="0.25">
      <c r="A728" s="4" t="s">
        <v>109</v>
      </c>
      <c r="B728" s="1">
        <v>0.38767800000000002</v>
      </c>
      <c r="C728" s="1">
        <v>0.38923000000000002</v>
      </c>
    </row>
    <row r="729" spans="1:3" x14ac:dyDescent="0.25">
      <c r="A729" s="4" t="s">
        <v>47</v>
      </c>
      <c r="B729" s="1">
        <v>4.8843999999999999E-2</v>
      </c>
      <c r="C729" s="1">
        <v>5.1991999999999997E-2</v>
      </c>
    </row>
    <row r="730" spans="1:3" x14ac:dyDescent="0.25">
      <c r="A730" s="4" t="s">
        <v>41</v>
      </c>
      <c r="B730" s="1">
        <v>0.44640400000000002</v>
      </c>
      <c r="C730" s="1">
        <v>0.4481</v>
      </c>
    </row>
    <row r="731" spans="1:3" x14ac:dyDescent="0.25">
      <c r="A731" s="4" t="s">
        <v>117</v>
      </c>
      <c r="B731" s="1">
        <v>0.56385600000000002</v>
      </c>
      <c r="C731" s="1">
        <v>0.56057199999999996</v>
      </c>
    </row>
    <row r="732" spans="1:3" x14ac:dyDescent="0.25">
      <c r="A732" s="4" t="s">
        <v>162</v>
      </c>
      <c r="B732" s="1">
        <v>0.48971599999999998</v>
      </c>
      <c r="C732" s="1">
        <v>0.492728</v>
      </c>
    </row>
    <row r="733" spans="1:3" x14ac:dyDescent="0.25">
      <c r="A733" s="4" t="s">
        <v>5</v>
      </c>
      <c r="B733" s="1">
        <v>0.95572699999999999</v>
      </c>
      <c r="C733" s="1">
        <v>0.95332300000000003</v>
      </c>
    </row>
    <row r="734" spans="1:3" x14ac:dyDescent="0.25">
      <c r="A734" s="4" t="s">
        <v>109</v>
      </c>
      <c r="B734" s="1">
        <v>0.73162199999999999</v>
      </c>
      <c r="C734" s="1">
        <v>0.73468599999999995</v>
      </c>
    </row>
    <row r="735" spans="1:3" x14ac:dyDescent="0.25">
      <c r="A735" s="4" t="s">
        <v>47</v>
      </c>
      <c r="B735" s="1">
        <v>0.35125499999999998</v>
      </c>
      <c r="C735" s="1">
        <v>0.349383</v>
      </c>
    </row>
    <row r="736" spans="1:3" x14ac:dyDescent="0.25">
      <c r="A736" s="4" t="s">
        <v>41</v>
      </c>
      <c r="B736" s="1">
        <v>0.70953299999999997</v>
      </c>
      <c r="C736" s="1">
        <v>0.71285699999999996</v>
      </c>
    </row>
    <row r="737" spans="1:3" x14ac:dyDescent="0.25">
      <c r="A737" s="4" t="s">
        <v>117</v>
      </c>
      <c r="B737" s="1">
        <v>0.54806999999999995</v>
      </c>
      <c r="C737" s="1">
        <v>0.54442199999999996</v>
      </c>
    </row>
    <row r="738" spans="1:3" x14ac:dyDescent="0.25">
      <c r="A738" s="4" t="s">
        <v>162</v>
      </c>
      <c r="B738" s="1">
        <v>0.90659900000000004</v>
      </c>
      <c r="C738" s="1">
        <v>0.90828699999999996</v>
      </c>
    </row>
    <row r="739" spans="1:3" x14ac:dyDescent="0.25">
      <c r="A739" s="4" t="s">
        <v>5</v>
      </c>
      <c r="B739" s="1">
        <v>0.52575099999999997</v>
      </c>
      <c r="C739" s="1">
        <v>0.52411099999999999</v>
      </c>
    </row>
    <row r="740" spans="1:3" x14ac:dyDescent="0.25">
      <c r="A740" s="4" t="s">
        <v>109</v>
      </c>
      <c r="B740" s="1">
        <v>0.114372</v>
      </c>
      <c r="C740" s="1">
        <v>0.116748</v>
      </c>
    </row>
    <row r="741" spans="1:3" x14ac:dyDescent="0.25">
      <c r="A741" s="4" t="s">
        <v>162</v>
      </c>
      <c r="B741" s="1">
        <v>8.4322999999999995E-2</v>
      </c>
      <c r="C741" s="1">
        <v>8.0866999999999994E-2</v>
      </c>
    </row>
    <row r="742" spans="1:3" x14ac:dyDescent="0.25">
      <c r="A742" s="4" t="s">
        <v>5</v>
      </c>
      <c r="B742" s="1">
        <v>0.12634100000000001</v>
      </c>
      <c r="C742" s="1">
        <v>0.122433</v>
      </c>
    </row>
    <row r="743" spans="1:3" x14ac:dyDescent="0.25">
      <c r="A743" s="4" t="s">
        <v>109</v>
      </c>
      <c r="B743" s="1">
        <v>0.44507799999999997</v>
      </c>
      <c r="C743" s="1">
        <v>0.44834600000000002</v>
      </c>
    </row>
    <row r="744" spans="1:3" x14ac:dyDescent="0.25">
      <c r="A744" s="4" t="s">
        <v>162</v>
      </c>
      <c r="B744" s="1">
        <v>1.2021E-2</v>
      </c>
      <c r="C744" s="1">
        <v>1.3877E-2</v>
      </c>
    </row>
    <row r="745" spans="1:3" x14ac:dyDescent="0.25">
      <c r="A745" s="4" t="s">
        <v>5</v>
      </c>
      <c r="B745" s="1">
        <v>0.18615499999999999</v>
      </c>
      <c r="C745" s="1">
        <v>0.18418699999999999</v>
      </c>
    </row>
    <row r="746" spans="1:3" x14ac:dyDescent="0.25">
      <c r="A746" s="4" t="s">
        <v>109</v>
      </c>
      <c r="B746" s="1">
        <v>5.2546000000000002E-2</v>
      </c>
      <c r="C746" s="1">
        <v>5.0361999999999997E-2</v>
      </c>
    </row>
    <row r="747" spans="1:3" x14ac:dyDescent="0.25">
      <c r="A747" s="4" t="s">
        <v>162</v>
      </c>
      <c r="B747" s="1">
        <v>0.33263599999999999</v>
      </c>
      <c r="C747" s="1">
        <v>0.32883600000000002</v>
      </c>
    </row>
    <row r="748" spans="1:3" x14ac:dyDescent="0.25">
      <c r="A748" s="4" t="s">
        <v>5</v>
      </c>
      <c r="B748" s="1">
        <v>0.82136500000000001</v>
      </c>
      <c r="C748" s="1">
        <v>0.82473700000000005</v>
      </c>
    </row>
    <row r="749" spans="1:3" x14ac:dyDescent="0.25">
      <c r="A749" s="4" t="s">
        <v>109</v>
      </c>
      <c r="B749" s="1">
        <v>0.51990700000000001</v>
      </c>
      <c r="C749" s="1">
        <v>0.52331899999999998</v>
      </c>
    </row>
    <row r="750" spans="1:3" x14ac:dyDescent="0.25">
      <c r="A750" s="4" t="s">
        <v>87</v>
      </c>
      <c r="B750" s="1">
        <v>0.193798</v>
      </c>
      <c r="C750" s="1">
        <v>0.19087000000000001</v>
      </c>
    </row>
    <row r="751" spans="1:3" x14ac:dyDescent="0.25">
      <c r="A751" s="4" t="s">
        <v>87</v>
      </c>
      <c r="B751" s="1">
        <v>0.52210599999999996</v>
      </c>
      <c r="C751" s="1">
        <v>0.52360600000000002</v>
      </c>
    </row>
    <row r="752" spans="1:3" x14ac:dyDescent="0.25">
      <c r="A752" s="4" t="s">
        <v>87</v>
      </c>
      <c r="B752" s="1">
        <v>7.9268000000000005E-2</v>
      </c>
      <c r="C752" s="1">
        <v>8.1591999999999998E-2</v>
      </c>
    </row>
    <row r="753" spans="1:3" x14ac:dyDescent="0.25">
      <c r="A753" s="4" t="s">
        <v>87</v>
      </c>
      <c r="B753" s="1">
        <v>0.290101</v>
      </c>
      <c r="C753" s="1">
        <v>0.29200100000000001</v>
      </c>
    </row>
    <row r="754" spans="1:3" x14ac:dyDescent="0.25">
      <c r="A754" s="4" t="s">
        <v>56</v>
      </c>
      <c r="B754" s="1">
        <v>0.76231800000000005</v>
      </c>
      <c r="C754" s="1">
        <v>0.75952200000000003</v>
      </c>
    </row>
    <row r="755" spans="1:3" x14ac:dyDescent="0.25">
      <c r="A755" s="4" t="s">
        <v>132</v>
      </c>
      <c r="B755" s="1">
        <v>2.7099000000000002E-2</v>
      </c>
      <c r="C755" s="1">
        <v>2.2926999999999999E-2</v>
      </c>
    </row>
    <row r="756" spans="1:3" x14ac:dyDescent="0.25">
      <c r="A756" s="4" t="s">
        <v>18</v>
      </c>
      <c r="B756" s="1">
        <v>0.97761100000000001</v>
      </c>
      <c r="C756" s="1">
        <v>0.98051100000000002</v>
      </c>
    </row>
    <row r="757" spans="1:3" x14ac:dyDescent="0.25">
      <c r="A757" s="4" t="s">
        <v>85</v>
      </c>
      <c r="B757" s="1">
        <v>0.85538400000000003</v>
      </c>
      <c r="C757" s="1">
        <v>0.85827600000000004</v>
      </c>
    </row>
    <row r="758" spans="1:3" x14ac:dyDescent="0.25">
      <c r="A758" s="4" t="s">
        <v>112</v>
      </c>
      <c r="B758" s="1">
        <v>8.3103999999999997E-2</v>
      </c>
      <c r="C758" s="1">
        <v>8.0135999999999999E-2</v>
      </c>
    </row>
    <row r="759" spans="1:3" x14ac:dyDescent="0.25">
      <c r="A759" s="4" t="s">
        <v>103</v>
      </c>
      <c r="B759" s="1">
        <v>0.39823199999999997</v>
      </c>
      <c r="C759" s="1">
        <v>0.40016400000000002</v>
      </c>
    </row>
    <row r="760" spans="1:3" x14ac:dyDescent="0.25">
      <c r="A760" s="4" t="s">
        <v>57</v>
      </c>
      <c r="B760" s="1">
        <v>0.885293</v>
      </c>
      <c r="C760" s="1">
        <v>0.88205699999999998</v>
      </c>
    </row>
    <row r="761" spans="1:3" x14ac:dyDescent="0.25">
      <c r="A761" s="4" t="s">
        <v>183</v>
      </c>
      <c r="B761" s="1">
        <v>0.100374</v>
      </c>
      <c r="C761" s="1">
        <v>9.8185999999999996E-2</v>
      </c>
    </row>
    <row r="762" spans="1:3" x14ac:dyDescent="0.25">
      <c r="A762" s="4" t="s">
        <v>184</v>
      </c>
      <c r="B762" s="1">
        <v>0.58142000000000005</v>
      </c>
      <c r="C762" s="1">
        <v>0.58476799999999995</v>
      </c>
    </row>
    <row r="763" spans="1:3" x14ac:dyDescent="0.25">
      <c r="A763" s="4" t="s">
        <v>185</v>
      </c>
      <c r="B763" s="1">
        <v>0.79104600000000003</v>
      </c>
      <c r="C763" s="1">
        <v>0.78865799999999997</v>
      </c>
    </row>
    <row r="764" spans="1:3" x14ac:dyDescent="0.25">
      <c r="A764" s="4" t="s">
        <v>186</v>
      </c>
      <c r="B764" s="1">
        <v>0.53231499999999998</v>
      </c>
      <c r="C764" s="1">
        <v>0.52875499999999998</v>
      </c>
    </row>
    <row r="765" spans="1:3" x14ac:dyDescent="0.25">
      <c r="A765" s="4" t="s">
        <v>187</v>
      </c>
      <c r="B765" s="1">
        <v>0.688388</v>
      </c>
      <c r="C765" s="1">
        <v>0.69217200000000001</v>
      </c>
    </row>
    <row r="766" spans="1:3" x14ac:dyDescent="0.25">
      <c r="A766" s="4" t="s">
        <v>188</v>
      </c>
      <c r="B766" s="1">
        <v>0.28119699999999997</v>
      </c>
      <c r="C766" s="1">
        <v>0.27765699999999999</v>
      </c>
    </row>
    <row r="767" spans="1:3" x14ac:dyDescent="0.25">
      <c r="A767" s="4" t="s">
        <v>189</v>
      </c>
      <c r="B767" s="1">
        <v>0.99743400000000004</v>
      </c>
      <c r="C767" s="1">
        <v>0.99429400000000001</v>
      </c>
    </row>
    <row r="768" spans="1:3" x14ac:dyDescent="0.25">
      <c r="A768" s="4" t="s">
        <v>190</v>
      </c>
      <c r="B768" s="1">
        <v>0.78212599999999999</v>
      </c>
      <c r="C768" s="1">
        <v>0.779918</v>
      </c>
    </row>
    <row r="769" spans="1:3" x14ac:dyDescent="0.25">
      <c r="A769" s="4" t="s">
        <v>191</v>
      </c>
      <c r="B769" s="1">
        <v>0.193879</v>
      </c>
      <c r="C769" s="1">
        <v>0.19175500000000001</v>
      </c>
    </row>
    <row r="770" spans="1:3" x14ac:dyDescent="0.25">
      <c r="A770" s="4" t="s">
        <v>192</v>
      </c>
      <c r="B770" s="1">
        <v>0.23611099999999999</v>
      </c>
      <c r="C770" s="1">
        <v>0.23797099999999999</v>
      </c>
    </row>
    <row r="771" spans="1:3" x14ac:dyDescent="0.25">
      <c r="A771" s="4" t="s">
        <v>193</v>
      </c>
      <c r="B771" s="1">
        <v>0.122076</v>
      </c>
      <c r="C771" s="1">
        <v>0.12460400000000001</v>
      </c>
    </row>
    <row r="772" spans="1:3" x14ac:dyDescent="0.25">
      <c r="A772" s="4" t="s">
        <v>194</v>
      </c>
      <c r="B772" s="1">
        <v>0.59056699999999995</v>
      </c>
      <c r="C772" s="1">
        <v>0.58848299999999998</v>
      </c>
    </row>
    <row r="773" spans="1:3" x14ac:dyDescent="0.25">
      <c r="A773" s="4" t="s">
        <v>195</v>
      </c>
      <c r="B773" s="1">
        <v>0.41790500000000003</v>
      </c>
      <c r="C773" s="1">
        <v>0.415773</v>
      </c>
    </row>
    <row r="774" spans="1:3" x14ac:dyDescent="0.25">
      <c r="A774" s="4" t="s">
        <v>196</v>
      </c>
      <c r="B774" s="1">
        <v>0.73899499999999996</v>
      </c>
      <c r="C774" s="1">
        <v>0.74130700000000005</v>
      </c>
    </row>
    <row r="775" spans="1:3" x14ac:dyDescent="0.25">
      <c r="A775" s="4" t="s">
        <v>197</v>
      </c>
      <c r="B775" s="1">
        <v>0.35936200000000001</v>
      </c>
      <c r="C775" s="1">
        <v>0.35786600000000002</v>
      </c>
    </row>
    <row r="776" spans="1:3" x14ac:dyDescent="0.25">
      <c r="A776" s="4" t="s">
        <v>198</v>
      </c>
      <c r="B776" s="1">
        <v>0.220692</v>
      </c>
      <c r="C776" s="1">
        <v>0.218588</v>
      </c>
    </row>
    <row r="777" spans="1:3" x14ac:dyDescent="0.25">
      <c r="A777" s="4" t="s">
        <v>199</v>
      </c>
      <c r="B777" s="1">
        <v>5.1676E-2</v>
      </c>
      <c r="C777" s="1">
        <v>5.3148000000000001E-2</v>
      </c>
    </row>
    <row r="778" spans="1:3" x14ac:dyDescent="0.25">
      <c r="A778" s="4" t="s">
        <v>200</v>
      </c>
      <c r="B778" s="1">
        <v>0.64594499999999999</v>
      </c>
      <c r="C778" s="1">
        <v>0.649501</v>
      </c>
    </row>
    <row r="779" spans="1:3" x14ac:dyDescent="0.25">
      <c r="A779" s="4" t="s">
        <v>201</v>
      </c>
      <c r="B779" s="1">
        <v>1.3842999999999999E-2</v>
      </c>
      <c r="C779" s="1">
        <v>1.1911E-2</v>
      </c>
    </row>
    <row r="780" spans="1:3" x14ac:dyDescent="0.25">
      <c r="A780" s="4" t="s">
        <v>202</v>
      </c>
      <c r="B780" s="1">
        <v>0.817774</v>
      </c>
      <c r="C780" s="1">
        <v>0.82153799999999999</v>
      </c>
    </row>
    <row r="781" spans="1:3" x14ac:dyDescent="0.25">
      <c r="A781" s="4" t="s">
        <v>203</v>
      </c>
      <c r="B781" s="1">
        <v>0.49404599999999999</v>
      </c>
      <c r="C781" s="1">
        <v>0.49249399999999999</v>
      </c>
    </row>
    <row r="782" spans="1:3" x14ac:dyDescent="0.25">
      <c r="A782" s="4" t="s">
        <v>204</v>
      </c>
      <c r="B782" s="1">
        <v>0.62856599999999996</v>
      </c>
      <c r="C782" s="1">
        <v>0.631602</v>
      </c>
    </row>
    <row r="783" spans="1:3" x14ac:dyDescent="0.25">
      <c r="A783" s="4" t="s">
        <v>205</v>
      </c>
      <c r="B783" s="1">
        <v>0.62204599999999999</v>
      </c>
      <c r="C783" s="1">
        <v>0.62412999999999996</v>
      </c>
    </row>
    <row r="784" spans="1:3" x14ac:dyDescent="0.25">
      <c r="A784" s="4" t="s">
        <v>206</v>
      </c>
      <c r="B784" s="1">
        <v>0.65591200000000005</v>
      </c>
      <c r="C784" s="1">
        <v>0.65336000000000005</v>
      </c>
    </row>
    <row r="785" spans="1:3" x14ac:dyDescent="0.25">
      <c r="A785" s="4" t="s">
        <v>207</v>
      </c>
      <c r="B785" s="1">
        <v>0.68479000000000001</v>
      </c>
      <c r="C785" s="1">
        <v>0.68872999999999995</v>
      </c>
    </row>
    <row r="786" spans="1:3" x14ac:dyDescent="0.25">
      <c r="A786" s="4" t="s">
        <v>208</v>
      </c>
      <c r="B786" s="1">
        <v>0.81711299999999998</v>
      </c>
      <c r="C786" s="1">
        <v>0.81896500000000005</v>
      </c>
    </row>
    <row r="787" spans="1:3" x14ac:dyDescent="0.25">
      <c r="A787" s="4" t="s">
        <v>209</v>
      </c>
      <c r="B787" s="1">
        <v>0.40768100000000002</v>
      </c>
      <c r="C787" s="1">
        <v>0.40382499999999999</v>
      </c>
    </row>
    <row r="788" spans="1:3" x14ac:dyDescent="0.25">
      <c r="A788" s="4" t="s">
        <v>210</v>
      </c>
      <c r="B788" s="1">
        <v>0.32662200000000002</v>
      </c>
      <c r="C788" s="1">
        <v>0.32874599999999998</v>
      </c>
    </row>
    <row r="789" spans="1:3" x14ac:dyDescent="0.25">
      <c r="A789" s="4" t="s">
        <v>211</v>
      </c>
      <c r="B789" s="1">
        <v>0.29138900000000001</v>
      </c>
      <c r="C789" s="1">
        <v>0.29344100000000001</v>
      </c>
    </row>
    <row r="790" spans="1:3" x14ac:dyDescent="0.25">
      <c r="A790" s="4" t="s">
        <v>212</v>
      </c>
      <c r="B790" s="1">
        <v>0.15565499999999999</v>
      </c>
      <c r="C790" s="1">
        <v>0.151727</v>
      </c>
    </row>
    <row r="791" spans="1:3" x14ac:dyDescent="0.25">
      <c r="A791" s="4" t="s">
        <v>213</v>
      </c>
      <c r="B791" s="1">
        <v>0.88904300000000003</v>
      </c>
      <c r="C791" s="1">
        <v>0.88658300000000001</v>
      </c>
    </row>
    <row r="792" spans="1:3" x14ac:dyDescent="0.25">
      <c r="A792" s="4" t="s">
        <v>214</v>
      </c>
      <c r="B792" s="1">
        <v>0.64281900000000003</v>
      </c>
      <c r="C792" s="1">
        <v>0.64061900000000005</v>
      </c>
    </row>
    <row r="793" spans="1:3" x14ac:dyDescent="0.25">
      <c r="A793" s="4" t="s">
        <v>215</v>
      </c>
      <c r="B793" s="1">
        <v>0.92084600000000005</v>
      </c>
      <c r="C793" s="1">
        <v>0.924014</v>
      </c>
    </row>
    <row r="794" spans="1:3" x14ac:dyDescent="0.25">
      <c r="A794" s="4" t="s">
        <v>216</v>
      </c>
      <c r="B794" s="1">
        <v>0.21799099999999999</v>
      </c>
      <c r="C794" s="1">
        <v>0.21532299999999999</v>
      </c>
    </row>
    <row r="795" spans="1:3" x14ac:dyDescent="0.25">
      <c r="A795" s="4" t="s">
        <v>217</v>
      </c>
      <c r="B795" s="1">
        <v>9.6702999999999997E-2</v>
      </c>
      <c r="C795" s="1">
        <v>9.4674999999999995E-2</v>
      </c>
    </row>
    <row r="796" spans="1:3" x14ac:dyDescent="0.25">
      <c r="A796" s="4" t="s">
        <v>218</v>
      </c>
      <c r="B796" s="1">
        <v>4.9180000000000001E-2</v>
      </c>
      <c r="C796" s="1">
        <v>4.5275999999999997E-2</v>
      </c>
    </row>
    <row r="797" spans="1:3" x14ac:dyDescent="0.25">
      <c r="A797" s="4" t="s">
        <v>219</v>
      </c>
      <c r="B797" s="1">
        <v>0.51214999999999999</v>
      </c>
      <c r="C797" s="1">
        <v>0.50854600000000005</v>
      </c>
    </row>
    <row r="798" spans="1:3" x14ac:dyDescent="0.25">
      <c r="A798" s="4" t="s">
        <v>220</v>
      </c>
      <c r="B798" s="1">
        <v>0.56824699999999995</v>
      </c>
      <c r="C798" s="1">
        <v>0.56993099999999997</v>
      </c>
    </row>
    <row r="799" spans="1:3" x14ac:dyDescent="0.25">
      <c r="A799" s="4" t="s">
        <v>221</v>
      </c>
      <c r="B799" s="1">
        <v>0.83130700000000002</v>
      </c>
      <c r="C799" s="1">
        <v>0.82957099999999995</v>
      </c>
    </row>
    <row r="800" spans="1:3" x14ac:dyDescent="0.25">
      <c r="A800" s="4" t="s">
        <v>222</v>
      </c>
      <c r="B800" s="1">
        <v>0.16234899999999999</v>
      </c>
      <c r="C800" s="1">
        <v>0.15942100000000001</v>
      </c>
    </row>
    <row r="801" spans="1:3" x14ac:dyDescent="0.25">
      <c r="A801" s="4" t="s">
        <v>223</v>
      </c>
      <c r="B801" s="1">
        <v>0.66965399999999997</v>
      </c>
      <c r="C801" s="1">
        <v>0.66589399999999999</v>
      </c>
    </row>
    <row r="802" spans="1:3" x14ac:dyDescent="0.25">
      <c r="A802" s="4" t="s">
        <v>224</v>
      </c>
      <c r="B802" s="1">
        <v>0.88523799999999997</v>
      </c>
      <c r="C802" s="1">
        <v>0.88202999999999998</v>
      </c>
    </row>
    <row r="803" spans="1:3" x14ac:dyDescent="0.25">
      <c r="A803" s="4" t="s">
        <v>225</v>
      </c>
      <c r="B803" s="1">
        <v>0.13014400000000001</v>
      </c>
      <c r="C803" s="1">
        <v>0.133712</v>
      </c>
    </row>
    <row r="804" spans="1:3" x14ac:dyDescent="0.25">
      <c r="A804" s="4" t="s">
        <v>226</v>
      </c>
      <c r="B804" s="1">
        <v>0.30818200000000001</v>
      </c>
      <c r="C804" s="1">
        <v>0.30521399999999999</v>
      </c>
    </row>
    <row r="805" spans="1:3" x14ac:dyDescent="0.25">
      <c r="A805" s="4" t="s">
        <v>227</v>
      </c>
      <c r="B805" s="1">
        <v>0.529331</v>
      </c>
      <c r="C805" s="1">
        <v>0.532107</v>
      </c>
    </row>
    <row r="806" spans="1:3" x14ac:dyDescent="0.25">
      <c r="A806" s="4" t="s">
        <v>228</v>
      </c>
      <c r="B806" s="1">
        <v>3.1982999999999998E-2</v>
      </c>
      <c r="C806" s="1">
        <v>3.5730999999999999E-2</v>
      </c>
    </row>
    <row r="807" spans="1:3" x14ac:dyDescent="0.25">
      <c r="A807" s="4" t="s">
        <v>229</v>
      </c>
      <c r="B807" s="1">
        <v>0.119934</v>
      </c>
      <c r="C807" s="1">
        <v>0.11670999999999999</v>
      </c>
    </row>
    <row r="808" spans="1:3" x14ac:dyDescent="0.25">
      <c r="A808" s="4" t="s">
        <v>230</v>
      </c>
      <c r="B808" s="1">
        <v>0.86723899999999998</v>
      </c>
      <c r="C808" s="1">
        <v>0.86434699999999998</v>
      </c>
    </row>
    <row r="809" spans="1:3" x14ac:dyDescent="0.25">
      <c r="A809" s="4" t="s">
        <v>231</v>
      </c>
      <c r="B809" s="1">
        <v>1.7892000000000002E-2</v>
      </c>
      <c r="C809" s="1">
        <v>1.4028000000000001E-2</v>
      </c>
    </row>
    <row r="810" spans="1:3" x14ac:dyDescent="0.25">
      <c r="A810" s="4" t="s">
        <v>232</v>
      </c>
      <c r="B810" s="1">
        <v>0.29889700000000002</v>
      </c>
      <c r="C810" s="1">
        <v>0.29667300000000002</v>
      </c>
    </row>
    <row r="811" spans="1:3" x14ac:dyDescent="0.25">
      <c r="A811" s="4" t="s">
        <v>233</v>
      </c>
      <c r="B811" s="1">
        <v>0.423147</v>
      </c>
      <c r="C811" s="1">
        <v>0.419211</v>
      </c>
    </row>
    <row r="812" spans="1:3" x14ac:dyDescent="0.25">
      <c r="A812" s="4" t="s">
        <v>234</v>
      </c>
      <c r="B812" s="1">
        <v>0.53744899999999995</v>
      </c>
      <c r="C812" s="1">
        <v>0.53895300000000002</v>
      </c>
    </row>
    <row r="813" spans="1:3" x14ac:dyDescent="0.25">
      <c r="A813" s="4" t="s">
        <v>235</v>
      </c>
      <c r="B813" s="1">
        <v>0.24182600000000001</v>
      </c>
      <c r="C813" s="1">
        <v>0.23921000000000001</v>
      </c>
    </row>
    <row r="814" spans="1:3" x14ac:dyDescent="0.25">
      <c r="A814" s="4" t="s">
        <v>236</v>
      </c>
      <c r="B814" s="1">
        <v>0.74470800000000004</v>
      </c>
      <c r="C814" s="1">
        <v>0.74641199999999996</v>
      </c>
    </row>
    <row r="815" spans="1:3" x14ac:dyDescent="0.25">
      <c r="A815" s="4" t="s">
        <v>237</v>
      </c>
      <c r="B815" s="1">
        <v>0.83006999999999997</v>
      </c>
      <c r="C815" s="1">
        <v>0.82670600000000005</v>
      </c>
    </row>
    <row r="816" spans="1:3" x14ac:dyDescent="0.25">
      <c r="A816" s="4" t="s">
        <v>238</v>
      </c>
      <c r="B816" s="1">
        <v>3.8924E-2</v>
      </c>
      <c r="C816" s="1">
        <v>3.7212000000000002E-2</v>
      </c>
    </row>
    <row r="817" spans="1:3" x14ac:dyDescent="0.25">
      <c r="A817" s="4" t="s">
        <v>239</v>
      </c>
      <c r="B817" s="1">
        <v>0.346945</v>
      </c>
      <c r="C817" s="1">
        <v>0.35031299999999999</v>
      </c>
    </row>
    <row r="818" spans="1:3" x14ac:dyDescent="0.25">
      <c r="A818" s="4" t="s">
        <v>240</v>
      </c>
      <c r="B818" s="1">
        <v>0.76658499999999996</v>
      </c>
      <c r="C818" s="1">
        <v>0.763181</v>
      </c>
    </row>
    <row r="819" spans="1:3" x14ac:dyDescent="0.25">
      <c r="A819" s="4" t="s">
        <v>241</v>
      </c>
      <c r="B819" s="1">
        <v>0.12286</v>
      </c>
      <c r="C819" s="1">
        <v>0.12078800000000001</v>
      </c>
    </row>
    <row r="820" spans="1:3" x14ac:dyDescent="0.25">
      <c r="A820" s="4" t="s">
        <v>242</v>
      </c>
      <c r="B820" s="1">
        <v>0.29494700000000001</v>
      </c>
      <c r="C820" s="1">
        <v>0.29311900000000002</v>
      </c>
    </row>
    <row r="821" spans="1:3" x14ac:dyDescent="0.25">
      <c r="A821" s="4" t="s">
        <v>243</v>
      </c>
      <c r="B821" s="1">
        <v>0.32779999999999998</v>
      </c>
      <c r="C821" s="1">
        <v>0.32583200000000001</v>
      </c>
    </row>
    <row r="822" spans="1:3" x14ac:dyDescent="0.25">
      <c r="A822" s="4" t="s">
        <v>244</v>
      </c>
      <c r="B822" s="1">
        <v>0.71818000000000004</v>
      </c>
      <c r="C822" s="1">
        <v>0.714916</v>
      </c>
    </row>
    <row r="823" spans="1:3" x14ac:dyDescent="0.25">
      <c r="A823" s="4" t="s">
        <v>245</v>
      </c>
      <c r="B823" s="1">
        <v>0.57927600000000001</v>
      </c>
      <c r="C823" s="1">
        <v>0.58151200000000003</v>
      </c>
    </row>
    <row r="824" spans="1:3" x14ac:dyDescent="0.25">
      <c r="A824" s="4" t="s">
        <v>246</v>
      </c>
      <c r="B824" s="1">
        <v>0.55222700000000002</v>
      </c>
      <c r="C824" s="1">
        <v>0.550759</v>
      </c>
    </row>
    <row r="825" spans="1:3" x14ac:dyDescent="0.25">
      <c r="A825" s="4" t="s">
        <v>247</v>
      </c>
      <c r="B825" s="1">
        <v>0.30108499999999999</v>
      </c>
      <c r="C825" s="1">
        <v>0.29910100000000001</v>
      </c>
    </row>
    <row r="826" spans="1:3" x14ac:dyDescent="0.25">
      <c r="A826" s="4" t="s">
        <v>248</v>
      </c>
      <c r="B826" s="1">
        <v>0.27788099999999999</v>
      </c>
      <c r="C826" s="1">
        <v>0.280553</v>
      </c>
    </row>
    <row r="827" spans="1:3" x14ac:dyDescent="0.25">
      <c r="A827" s="4" t="s">
        <v>249</v>
      </c>
      <c r="B827" s="1">
        <v>0.261075</v>
      </c>
      <c r="C827" s="1">
        <v>0.257411</v>
      </c>
    </row>
    <row r="828" spans="1:3" x14ac:dyDescent="0.25">
      <c r="A828" s="4" t="s">
        <v>250</v>
      </c>
      <c r="B828" s="1">
        <v>0.69297900000000001</v>
      </c>
      <c r="C828" s="1">
        <v>0.69500300000000004</v>
      </c>
    </row>
    <row r="829" spans="1:3" x14ac:dyDescent="0.25">
      <c r="A829" s="4" t="s">
        <v>251</v>
      </c>
      <c r="B829" s="1">
        <v>5.1720000000000002E-2</v>
      </c>
      <c r="C829" s="1">
        <v>5.4052000000000003E-2</v>
      </c>
    </row>
    <row r="830" spans="1:3" x14ac:dyDescent="0.25">
      <c r="A830" s="4" t="s">
        <v>252</v>
      </c>
      <c r="B830" s="1">
        <v>0.40370400000000001</v>
      </c>
      <c r="C830" s="1">
        <v>0.40213199999999999</v>
      </c>
    </row>
    <row r="831" spans="1:3" x14ac:dyDescent="0.25">
      <c r="A831" s="4" t="s">
        <v>253</v>
      </c>
      <c r="B831" s="1">
        <v>0.56004299999999996</v>
      </c>
      <c r="C831" s="1">
        <v>0.55661499999999997</v>
      </c>
    </row>
    <row r="832" spans="1:3" x14ac:dyDescent="0.25">
      <c r="A832" s="4" t="s">
        <v>430</v>
      </c>
      <c r="B832" s="1">
        <v>0.74694899999999997</v>
      </c>
      <c r="C832" s="1">
        <v>0.74481299999999995</v>
      </c>
    </row>
    <row r="833" spans="1:3" x14ac:dyDescent="0.25">
      <c r="A833" s="4" t="s">
        <v>254</v>
      </c>
      <c r="B833" s="1">
        <v>0.20783799999999999</v>
      </c>
      <c r="C833" s="1">
        <v>0.20622599999999999</v>
      </c>
    </row>
    <row r="834" spans="1:3" x14ac:dyDescent="0.25">
      <c r="A834" s="4" t="s">
        <v>255</v>
      </c>
      <c r="B834" s="1">
        <v>0.25523400000000002</v>
      </c>
      <c r="C834" s="1">
        <v>0.25786199999999998</v>
      </c>
    </row>
    <row r="835" spans="1:3" x14ac:dyDescent="0.25">
      <c r="A835" s="4" t="s">
        <v>256</v>
      </c>
      <c r="B835" s="1">
        <v>0.72481799999999996</v>
      </c>
      <c r="C835" s="1">
        <v>0.72209800000000002</v>
      </c>
    </row>
    <row r="836" spans="1:3" x14ac:dyDescent="0.25">
      <c r="A836" s="4" t="s">
        <v>257</v>
      </c>
      <c r="B836" s="1">
        <v>0.66598000000000002</v>
      </c>
      <c r="C836" s="1">
        <v>0.66393599999999997</v>
      </c>
    </row>
    <row r="837" spans="1:3" x14ac:dyDescent="0.25">
      <c r="A837" s="4" t="s">
        <v>258</v>
      </c>
      <c r="B837" s="1">
        <v>0.75965099999999997</v>
      </c>
      <c r="C837" s="1">
        <v>0.76272300000000004</v>
      </c>
    </row>
    <row r="838" spans="1:3" x14ac:dyDescent="0.25">
      <c r="A838" s="4" t="s">
        <v>259</v>
      </c>
      <c r="B838" s="1">
        <v>0.72672199999999998</v>
      </c>
      <c r="C838" s="1">
        <v>0.72446999999999995</v>
      </c>
    </row>
    <row r="839" spans="1:3" x14ac:dyDescent="0.25">
      <c r="A839" s="4" t="s">
        <v>260</v>
      </c>
      <c r="B839" s="1">
        <v>0.38089400000000001</v>
      </c>
      <c r="C839" s="1">
        <v>0.37707400000000002</v>
      </c>
    </row>
    <row r="840" spans="1:3" x14ac:dyDescent="0.25">
      <c r="A840" s="4" t="s">
        <v>261</v>
      </c>
      <c r="B840" s="1">
        <v>0.34346399999999999</v>
      </c>
      <c r="C840" s="1">
        <v>0.34604400000000002</v>
      </c>
    </row>
    <row r="841" spans="1:3" x14ac:dyDescent="0.25">
      <c r="A841" s="4" t="s">
        <v>262</v>
      </c>
      <c r="B841" s="1">
        <v>6.8135000000000001E-2</v>
      </c>
      <c r="C841" s="1">
        <v>7.0362999999999995E-2</v>
      </c>
    </row>
    <row r="842" spans="1:3" x14ac:dyDescent="0.25">
      <c r="A842" s="4" t="s">
        <v>263</v>
      </c>
      <c r="B842" s="1">
        <v>3.39E-2</v>
      </c>
      <c r="C842" s="1">
        <v>3.2155999999999997E-2</v>
      </c>
    </row>
    <row r="843" spans="1:3" x14ac:dyDescent="0.25">
      <c r="A843" s="4" t="s">
        <v>264</v>
      </c>
      <c r="B843" s="1">
        <v>0.54122899999999996</v>
      </c>
      <c r="C843" s="1">
        <v>0.54350900000000002</v>
      </c>
    </row>
    <row r="844" spans="1:3" x14ac:dyDescent="0.25">
      <c r="A844" s="4" t="s">
        <v>265</v>
      </c>
      <c r="B844" s="1">
        <v>0.34791800000000001</v>
      </c>
      <c r="C844" s="1">
        <v>0.350962</v>
      </c>
    </row>
    <row r="845" spans="1:3" x14ac:dyDescent="0.25">
      <c r="A845" s="4" t="s">
        <v>266</v>
      </c>
      <c r="B845" s="1">
        <v>0.431591</v>
      </c>
      <c r="C845" s="1">
        <v>0.43324699999999999</v>
      </c>
    </row>
    <row r="846" spans="1:3" x14ac:dyDescent="0.25">
      <c r="A846" s="4" t="s">
        <v>267</v>
      </c>
      <c r="B846" s="1">
        <v>0.25780399999999998</v>
      </c>
      <c r="C846" s="1">
        <v>0.25446000000000002</v>
      </c>
    </row>
    <row r="847" spans="1:3" x14ac:dyDescent="0.25">
      <c r="A847" s="4" t="s">
        <v>60</v>
      </c>
      <c r="B847" s="1">
        <v>5.7468999999999999E-2</v>
      </c>
      <c r="C847" s="1">
        <v>5.4021E-2</v>
      </c>
    </row>
    <row r="848" spans="1:3" x14ac:dyDescent="0.25">
      <c r="A848" s="4" t="s">
        <v>12</v>
      </c>
      <c r="B848" s="1">
        <v>0.93074100000000004</v>
      </c>
      <c r="C848" s="1">
        <v>0.92855299999999996</v>
      </c>
    </row>
    <row r="849" spans="1:3" x14ac:dyDescent="0.25">
      <c r="A849" s="4" t="s">
        <v>268</v>
      </c>
      <c r="B849" s="1">
        <v>0.926319</v>
      </c>
      <c r="C849" s="1">
        <v>0.92290700000000003</v>
      </c>
    </row>
    <row r="850" spans="1:3" x14ac:dyDescent="0.25">
      <c r="A850" s="4" t="s">
        <v>269</v>
      </c>
      <c r="B850" s="1">
        <v>0.53266400000000003</v>
      </c>
      <c r="C850" s="1">
        <v>0.534856</v>
      </c>
    </row>
    <row r="851" spans="1:3" x14ac:dyDescent="0.25">
      <c r="A851" s="4" t="s">
        <v>270</v>
      </c>
      <c r="B851" s="1">
        <v>0.88112500000000005</v>
      </c>
      <c r="C851" s="1">
        <v>0.87737299999999996</v>
      </c>
    </row>
    <row r="852" spans="1:3" x14ac:dyDescent="0.25">
      <c r="A852" s="4" t="s">
        <v>271</v>
      </c>
      <c r="B852" s="1">
        <v>0.906107</v>
      </c>
      <c r="C852" s="1">
        <v>0.90796699999999997</v>
      </c>
    </row>
    <row r="853" spans="1:3" x14ac:dyDescent="0.25">
      <c r="A853" s="4" t="s">
        <v>272</v>
      </c>
      <c r="B853" s="1">
        <v>0.52357299999999996</v>
      </c>
      <c r="C853" s="1">
        <v>0.52576100000000003</v>
      </c>
    </row>
    <row r="854" spans="1:3" x14ac:dyDescent="0.25">
      <c r="A854" s="4" t="s">
        <v>273</v>
      </c>
      <c r="B854" s="1">
        <v>0.62061200000000005</v>
      </c>
      <c r="C854" s="1">
        <v>0.62377199999999999</v>
      </c>
    </row>
    <row r="855" spans="1:3" x14ac:dyDescent="0.25">
      <c r="A855" s="4" t="s">
        <v>274</v>
      </c>
      <c r="B855" s="1">
        <v>0.47454200000000002</v>
      </c>
      <c r="C855" s="1">
        <v>0.47071400000000002</v>
      </c>
    </row>
    <row r="856" spans="1:3" x14ac:dyDescent="0.25">
      <c r="A856" s="4" t="s">
        <v>275</v>
      </c>
      <c r="B856" s="1">
        <v>0.94390099999999999</v>
      </c>
      <c r="C856" s="1">
        <v>0.94228100000000004</v>
      </c>
    </row>
    <row r="857" spans="1:3" x14ac:dyDescent="0.25">
      <c r="A857" s="4" t="s">
        <v>276</v>
      </c>
      <c r="B857" s="1">
        <v>0.90642999999999996</v>
      </c>
      <c r="C857" s="1">
        <v>0.90972200000000003</v>
      </c>
    </row>
    <row r="858" spans="1:3" x14ac:dyDescent="0.25">
      <c r="A858" s="4" t="s">
        <v>277</v>
      </c>
      <c r="B858" s="1">
        <v>0.344642</v>
      </c>
      <c r="C858" s="1">
        <v>0.34694999999999998</v>
      </c>
    </row>
    <row r="859" spans="1:3" x14ac:dyDescent="0.25">
      <c r="A859" s="4" t="s">
        <v>278</v>
      </c>
      <c r="B859" s="1">
        <v>0.29603000000000002</v>
      </c>
      <c r="C859" s="1">
        <v>0.29230200000000001</v>
      </c>
    </row>
    <row r="860" spans="1:3" x14ac:dyDescent="0.25">
      <c r="A860" s="4" t="s">
        <v>279</v>
      </c>
      <c r="B860" s="1">
        <v>0.20541999999999999</v>
      </c>
      <c r="C860" s="1">
        <v>0.20174800000000001</v>
      </c>
    </row>
    <row r="861" spans="1:3" x14ac:dyDescent="0.25">
      <c r="A861" s="4" t="s">
        <v>280</v>
      </c>
      <c r="B861" s="1">
        <v>8.2901000000000002E-2</v>
      </c>
      <c r="C861" s="1">
        <v>8.4425E-2</v>
      </c>
    </row>
    <row r="862" spans="1:3" x14ac:dyDescent="0.25">
      <c r="A862" s="4" t="s">
        <v>281</v>
      </c>
      <c r="B862" s="1">
        <v>0.66776400000000002</v>
      </c>
      <c r="C862" s="1">
        <v>0.66424799999999995</v>
      </c>
    </row>
    <row r="863" spans="1:3" x14ac:dyDescent="0.25">
      <c r="A863" s="4" t="s">
        <v>282</v>
      </c>
      <c r="B863" s="1">
        <v>8.2269999999999999E-3</v>
      </c>
      <c r="C863" s="1">
        <v>1.0375000000000001E-2</v>
      </c>
    </row>
    <row r="864" spans="1:3" x14ac:dyDescent="0.25">
      <c r="A864" s="4" t="s">
        <v>283</v>
      </c>
      <c r="B864" s="1">
        <v>0.16709599999999999</v>
      </c>
      <c r="C864" s="1">
        <v>0.16858000000000001</v>
      </c>
    </row>
    <row r="865" spans="1:3" x14ac:dyDescent="0.25">
      <c r="A865" s="4" t="s">
        <v>284</v>
      </c>
      <c r="B865" s="1">
        <v>0.466858</v>
      </c>
      <c r="C865" s="1">
        <v>0.47053</v>
      </c>
    </row>
    <row r="866" spans="1:3" x14ac:dyDescent="0.25">
      <c r="A866" s="4" t="s">
        <v>285</v>
      </c>
      <c r="B866" s="1">
        <v>0.58929100000000001</v>
      </c>
      <c r="C866" s="1">
        <v>0.59181099999999998</v>
      </c>
    </row>
    <row r="867" spans="1:3" x14ac:dyDescent="0.25">
      <c r="A867" s="4" t="s">
        <v>286</v>
      </c>
      <c r="B867" s="1">
        <v>4.9029000000000003E-2</v>
      </c>
      <c r="C867" s="1">
        <v>5.2520999999999998E-2</v>
      </c>
    </row>
    <row r="868" spans="1:3" x14ac:dyDescent="0.25">
      <c r="A868" s="4" t="s">
        <v>287</v>
      </c>
      <c r="B868" s="1">
        <v>0.81754599999999999</v>
      </c>
      <c r="C868" s="1">
        <v>0.814446</v>
      </c>
    </row>
    <row r="869" spans="1:3" x14ac:dyDescent="0.25">
      <c r="A869" s="4" t="s">
        <v>288</v>
      </c>
      <c r="B869" s="1">
        <v>9.7457000000000002E-2</v>
      </c>
      <c r="C869" s="1">
        <v>9.9600999999999995E-2</v>
      </c>
    </row>
    <row r="870" spans="1:3" x14ac:dyDescent="0.25">
      <c r="A870" s="4" t="s">
        <v>289</v>
      </c>
      <c r="B870" s="1">
        <v>0.260156</v>
      </c>
      <c r="C870" s="1">
        <v>0.25726399999999999</v>
      </c>
    </row>
    <row r="871" spans="1:3" x14ac:dyDescent="0.25">
      <c r="A871" s="4" t="s">
        <v>290</v>
      </c>
      <c r="B871" s="1">
        <v>0.78090099999999996</v>
      </c>
      <c r="C871" s="1">
        <v>0.77821700000000005</v>
      </c>
    </row>
    <row r="872" spans="1:3" x14ac:dyDescent="0.25">
      <c r="A872" s="4" t="s">
        <v>291</v>
      </c>
      <c r="B872" s="1">
        <v>0.72183600000000003</v>
      </c>
      <c r="C872" s="1">
        <v>0.72330399999999995</v>
      </c>
    </row>
    <row r="873" spans="1:3" x14ac:dyDescent="0.25">
      <c r="A873" s="4" t="s">
        <v>292</v>
      </c>
      <c r="B873" s="1">
        <v>0.62462799999999996</v>
      </c>
      <c r="C873" s="1">
        <v>0.62682800000000005</v>
      </c>
    </row>
    <row r="874" spans="1:3" x14ac:dyDescent="0.25">
      <c r="A874" s="4" t="s">
        <v>293</v>
      </c>
      <c r="B874" s="1">
        <v>0.55314399999999997</v>
      </c>
      <c r="C874" s="1">
        <v>0.55515999999999999</v>
      </c>
    </row>
    <row r="875" spans="1:3" x14ac:dyDescent="0.25">
      <c r="A875" s="4" t="s">
        <v>87</v>
      </c>
      <c r="B875" s="1">
        <v>0.48994100000000002</v>
      </c>
      <c r="C875" s="1">
        <v>0.49311300000000002</v>
      </c>
    </row>
    <row r="876" spans="1:3" x14ac:dyDescent="0.25">
      <c r="A876" s="4" t="s">
        <v>87</v>
      </c>
      <c r="B876" s="1">
        <v>0.75573800000000002</v>
      </c>
      <c r="C876" s="1">
        <v>0.75292599999999998</v>
      </c>
    </row>
    <row r="877" spans="1:3" x14ac:dyDescent="0.25">
      <c r="A877" s="4" t="s">
        <v>294</v>
      </c>
      <c r="B877" s="1">
        <v>0.956812</v>
      </c>
      <c r="C877" s="1">
        <v>0.95374800000000004</v>
      </c>
    </row>
    <row r="878" spans="1:3" x14ac:dyDescent="0.25">
      <c r="A878" s="4" t="s">
        <v>295</v>
      </c>
      <c r="B878" s="1">
        <v>0.609267</v>
      </c>
      <c r="C878" s="1">
        <v>0.60625099999999998</v>
      </c>
    </row>
    <row r="879" spans="1:3" x14ac:dyDescent="0.25">
      <c r="A879" s="4" t="s">
        <v>296</v>
      </c>
      <c r="B879" s="1">
        <v>0.48624499999999998</v>
      </c>
      <c r="C879" s="1">
        <v>0.48857299999999998</v>
      </c>
    </row>
    <row r="880" spans="1:3" x14ac:dyDescent="0.25">
      <c r="A880" s="4" t="s">
        <v>297</v>
      </c>
      <c r="B880" s="1">
        <v>0.63311200000000001</v>
      </c>
      <c r="C880" s="1">
        <v>0.63467600000000002</v>
      </c>
    </row>
    <row r="881" spans="1:3" x14ac:dyDescent="0.25">
      <c r="A881" s="4" t="s">
        <v>298</v>
      </c>
      <c r="B881" s="1">
        <v>0.71425300000000003</v>
      </c>
      <c r="C881" s="1">
        <v>0.71617299999999995</v>
      </c>
    </row>
    <row r="882" spans="1:3" x14ac:dyDescent="0.25">
      <c r="A882" s="4" t="s">
        <v>299</v>
      </c>
      <c r="B882" s="1">
        <v>0.58881899999999998</v>
      </c>
      <c r="C882" s="1">
        <v>0.58577100000000004</v>
      </c>
    </row>
    <row r="883" spans="1:3" x14ac:dyDescent="0.25">
      <c r="A883" s="4" t="s">
        <v>300</v>
      </c>
      <c r="B883" s="1">
        <v>0.21463699999999999</v>
      </c>
      <c r="C883" s="1">
        <v>0.21702099999999999</v>
      </c>
    </row>
    <row r="884" spans="1:3" x14ac:dyDescent="0.25">
      <c r="A884" s="4" t="s">
        <v>301</v>
      </c>
      <c r="B884" s="1">
        <v>4.1440000000000001E-3</v>
      </c>
      <c r="C884" s="1">
        <v>2.196E-3</v>
      </c>
    </row>
    <row r="885" spans="1:3" x14ac:dyDescent="0.25">
      <c r="A885" s="4" t="s">
        <v>431</v>
      </c>
      <c r="B885" s="1">
        <v>0.38372699999999998</v>
      </c>
      <c r="C885" s="1">
        <v>0.38029099999999999</v>
      </c>
    </row>
    <row r="886" spans="1:3" x14ac:dyDescent="0.25">
      <c r="A886" s="4" t="s">
        <v>302</v>
      </c>
      <c r="B886" s="1">
        <v>0.16837199999999999</v>
      </c>
      <c r="C886" s="1">
        <v>0.17019599999999999</v>
      </c>
    </row>
    <row r="887" spans="1:3" x14ac:dyDescent="0.25">
      <c r="A887" s="4" t="s">
        <v>303</v>
      </c>
      <c r="B887" s="1">
        <v>0.11633300000000001</v>
      </c>
      <c r="C887" s="1">
        <v>0.113373</v>
      </c>
    </row>
    <row r="888" spans="1:3" x14ac:dyDescent="0.25">
      <c r="A888" s="4" t="s">
        <v>304</v>
      </c>
      <c r="B888" s="1">
        <v>0.90426600000000001</v>
      </c>
      <c r="C888" s="1">
        <v>0.90610999999999997</v>
      </c>
    </row>
    <row r="889" spans="1:3" x14ac:dyDescent="0.25">
      <c r="A889" s="4" t="s">
        <v>305</v>
      </c>
      <c r="B889" s="1">
        <v>0.71706700000000001</v>
      </c>
      <c r="C889" s="1">
        <v>0.71400300000000005</v>
      </c>
    </row>
    <row r="890" spans="1:3" x14ac:dyDescent="0.25">
      <c r="A890" s="4" t="s">
        <v>306</v>
      </c>
      <c r="B890" s="1">
        <v>0.97919</v>
      </c>
      <c r="C890" s="1">
        <v>0.97728199999999998</v>
      </c>
    </row>
    <row r="891" spans="1:3" x14ac:dyDescent="0.25">
      <c r="A891" s="4" t="s">
        <v>307</v>
      </c>
      <c r="B891" s="1">
        <v>0.67436099999999999</v>
      </c>
      <c r="C891" s="1">
        <v>0.67042500000000005</v>
      </c>
    </row>
    <row r="892" spans="1:3" x14ac:dyDescent="0.25">
      <c r="A892" s="4" t="s">
        <v>308</v>
      </c>
      <c r="B892" s="1">
        <v>0.25362299999999999</v>
      </c>
      <c r="C892" s="1">
        <v>0.256579</v>
      </c>
    </row>
    <row r="893" spans="1:3" x14ac:dyDescent="0.25">
      <c r="A893" s="4" t="s">
        <v>309</v>
      </c>
      <c r="B893" s="1">
        <v>5.6481999999999997E-2</v>
      </c>
      <c r="C893" s="1">
        <v>5.8942000000000001E-2</v>
      </c>
    </row>
    <row r="894" spans="1:3" x14ac:dyDescent="0.25">
      <c r="A894" s="4" t="s">
        <v>310</v>
      </c>
      <c r="B894" s="1">
        <v>0.870444</v>
      </c>
      <c r="C894" s="1">
        <v>0.86865199999999998</v>
      </c>
    </row>
    <row r="895" spans="1:3" x14ac:dyDescent="0.25">
      <c r="A895" s="4" t="s">
        <v>311</v>
      </c>
      <c r="B895" s="1">
        <v>0.959534</v>
      </c>
      <c r="C895" s="1">
        <v>0.96345000000000003</v>
      </c>
    </row>
    <row r="896" spans="1:3" x14ac:dyDescent="0.25">
      <c r="A896" s="4" t="s">
        <v>312</v>
      </c>
      <c r="B896" s="1">
        <v>5.4336000000000002E-2</v>
      </c>
      <c r="C896" s="1">
        <v>5.8035999999999997E-2</v>
      </c>
    </row>
    <row r="897" spans="1:3" x14ac:dyDescent="0.25">
      <c r="A897" s="4" t="s">
        <v>313</v>
      </c>
      <c r="B897" s="1">
        <v>0.83169999999999999</v>
      </c>
      <c r="C897" s="1">
        <v>0.82974400000000004</v>
      </c>
    </row>
    <row r="898" spans="1:3" x14ac:dyDescent="0.25">
      <c r="A898" s="4" t="s">
        <v>314</v>
      </c>
      <c r="B898" s="1">
        <v>0.62873999999999997</v>
      </c>
      <c r="C898" s="1">
        <v>0.63060400000000005</v>
      </c>
    </row>
    <row r="899" spans="1:3" x14ac:dyDescent="0.25">
      <c r="A899" s="4" t="s">
        <v>315</v>
      </c>
      <c r="B899" s="1">
        <v>0.91733100000000001</v>
      </c>
      <c r="C899" s="1">
        <v>0.91906299999999996</v>
      </c>
    </row>
    <row r="900" spans="1:3" x14ac:dyDescent="0.25">
      <c r="A900" s="4" t="s">
        <v>316</v>
      </c>
      <c r="B900" s="1">
        <v>0.444025</v>
      </c>
      <c r="C900" s="1">
        <v>0.44708500000000001</v>
      </c>
    </row>
    <row r="901" spans="1:3" x14ac:dyDescent="0.25">
      <c r="A901" s="4" t="s">
        <v>317</v>
      </c>
      <c r="B901" s="1">
        <v>0.144228</v>
      </c>
      <c r="C901" s="1">
        <v>0.142376</v>
      </c>
    </row>
    <row r="902" spans="1:3" x14ac:dyDescent="0.25">
      <c r="A902" s="4" t="s">
        <v>318</v>
      </c>
      <c r="B902" s="1">
        <v>0.62203600000000003</v>
      </c>
      <c r="C902" s="1">
        <v>0.620224</v>
      </c>
    </row>
    <row r="903" spans="1:3" x14ac:dyDescent="0.25">
      <c r="A903" s="4" t="s">
        <v>319</v>
      </c>
      <c r="B903" s="1">
        <v>0.126361</v>
      </c>
      <c r="C903" s="1">
        <v>0.130357</v>
      </c>
    </row>
    <row r="904" spans="1:3" x14ac:dyDescent="0.25">
      <c r="A904" s="4" t="s">
        <v>320</v>
      </c>
      <c r="B904" s="1">
        <v>0.476607</v>
      </c>
      <c r="C904" s="1">
        <v>0.47875899999999999</v>
      </c>
    </row>
    <row r="905" spans="1:3" x14ac:dyDescent="0.25">
      <c r="A905" s="4" t="s">
        <v>321</v>
      </c>
      <c r="B905" s="1">
        <v>0.92649000000000004</v>
      </c>
      <c r="C905" s="1">
        <v>0.92508199999999996</v>
      </c>
    </row>
    <row r="906" spans="1:3" x14ac:dyDescent="0.25">
      <c r="A906" s="4" t="s">
        <v>322</v>
      </c>
      <c r="B906" s="1">
        <v>0.91881100000000004</v>
      </c>
      <c r="C906" s="1">
        <v>0.915323</v>
      </c>
    </row>
    <row r="907" spans="1:3" x14ac:dyDescent="0.25">
      <c r="A907" s="4" t="s">
        <v>323</v>
      </c>
      <c r="B907" s="1">
        <v>5.8838000000000001E-2</v>
      </c>
      <c r="C907" s="1">
        <v>5.6753999999999999E-2</v>
      </c>
    </row>
    <row r="908" spans="1:3" x14ac:dyDescent="0.25">
      <c r="A908" s="4" t="s">
        <v>324</v>
      </c>
      <c r="B908" s="1">
        <v>0.49864799999999998</v>
      </c>
      <c r="C908" s="1">
        <v>0.49723600000000001</v>
      </c>
    </row>
    <row r="909" spans="1:3" x14ac:dyDescent="0.25">
      <c r="A909" s="4" t="s">
        <v>325</v>
      </c>
      <c r="B909" s="1">
        <v>0.46205000000000002</v>
      </c>
      <c r="C909" s="1">
        <v>0.45918999999999999</v>
      </c>
    </row>
    <row r="910" spans="1:3" x14ac:dyDescent="0.25">
      <c r="A910" s="4" t="s">
        <v>326</v>
      </c>
      <c r="B910" s="1">
        <v>0.76355799999999996</v>
      </c>
      <c r="C910" s="1">
        <v>0.76023399999999997</v>
      </c>
    </row>
    <row r="911" spans="1:3" x14ac:dyDescent="0.25">
      <c r="A911" s="4" t="s">
        <v>327</v>
      </c>
      <c r="B911" s="1">
        <v>7.5789999999999998E-3</v>
      </c>
      <c r="C911" s="1">
        <v>1.0695E-2</v>
      </c>
    </row>
    <row r="912" spans="1:3" x14ac:dyDescent="0.25">
      <c r="A912" s="4" t="s">
        <v>328</v>
      </c>
      <c r="B912" s="1">
        <v>0.49057000000000001</v>
      </c>
      <c r="C912" s="1">
        <v>0.49304599999999998</v>
      </c>
    </row>
    <row r="913" spans="1:3" x14ac:dyDescent="0.25">
      <c r="A913" s="4" t="s">
        <v>329</v>
      </c>
      <c r="B913" s="1">
        <v>0.12620799999999999</v>
      </c>
      <c r="C913" s="1">
        <v>0.12831600000000001</v>
      </c>
    </row>
    <row r="914" spans="1:3" x14ac:dyDescent="0.25">
      <c r="A914" s="4" t="s">
        <v>330</v>
      </c>
      <c r="B914" s="1">
        <v>3.6773E-2</v>
      </c>
      <c r="C914" s="1">
        <v>3.4508999999999998E-2</v>
      </c>
    </row>
    <row r="915" spans="1:3" x14ac:dyDescent="0.25">
      <c r="A915" s="4" t="s">
        <v>331</v>
      </c>
      <c r="B915" s="1">
        <v>0.10241</v>
      </c>
      <c r="C915" s="1">
        <v>9.9713999999999997E-2</v>
      </c>
    </row>
    <row r="916" spans="1:3" x14ac:dyDescent="0.25">
      <c r="A916" s="4" t="s">
        <v>332</v>
      </c>
      <c r="B916" s="1">
        <v>0.71081099999999997</v>
      </c>
      <c r="C916" s="1">
        <v>0.70738299999999998</v>
      </c>
    </row>
    <row r="917" spans="1:3" x14ac:dyDescent="0.25">
      <c r="A917" s="4" t="s">
        <v>333</v>
      </c>
      <c r="B917" s="1">
        <v>0.288352</v>
      </c>
      <c r="C917" s="1">
        <v>0.29111999999999999</v>
      </c>
    </row>
    <row r="918" spans="1:3" x14ac:dyDescent="0.25">
      <c r="A918" s="4" t="s">
        <v>334</v>
      </c>
      <c r="B918" s="1">
        <v>0.14686399999999999</v>
      </c>
      <c r="C918" s="1">
        <v>0.14951200000000001</v>
      </c>
    </row>
    <row r="919" spans="1:3" x14ac:dyDescent="0.25">
      <c r="A919" s="4" t="s">
        <v>335</v>
      </c>
      <c r="B919" s="1">
        <v>0.42368600000000001</v>
      </c>
      <c r="C919" s="1">
        <v>0.42081000000000002</v>
      </c>
    </row>
    <row r="920" spans="1:3" x14ac:dyDescent="0.25">
      <c r="A920" s="4" t="s">
        <v>336</v>
      </c>
      <c r="B920" s="1">
        <v>0.96765500000000004</v>
      </c>
      <c r="C920" s="1">
        <v>0.96437899999999999</v>
      </c>
    </row>
    <row r="921" spans="1:3" x14ac:dyDescent="0.25">
      <c r="A921" s="4" t="s">
        <v>337</v>
      </c>
      <c r="B921" s="1">
        <v>5.2663000000000001E-2</v>
      </c>
      <c r="C921" s="1">
        <v>4.8890999999999997E-2</v>
      </c>
    </row>
    <row r="922" spans="1:3" x14ac:dyDescent="0.25">
      <c r="A922" s="4" t="s">
        <v>338</v>
      </c>
      <c r="B922" s="1">
        <v>0.114995</v>
      </c>
      <c r="C922" s="1">
        <v>0.113023</v>
      </c>
    </row>
    <row r="923" spans="1:3" x14ac:dyDescent="0.25">
      <c r="A923" s="4" t="s">
        <v>339</v>
      </c>
      <c r="B923" s="1">
        <v>0.55148399999999997</v>
      </c>
      <c r="C923" s="1">
        <v>0.55299600000000004</v>
      </c>
    </row>
    <row r="924" spans="1:3" x14ac:dyDescent="0.25">
      <c r="A924" s="4" t="s">
        <v>340</v>
      </c>
      <c r="B924" s="1">
        <v>0.91144700000000001</v>
      </c>
      <c r="C924" s="1">
        <v>0.91473099999999996</v>
      </c>
    </row>
    <row r="925" spans="1:3" x14ac:dyDescent="0.25">
      <c r="A925" s="4" t="s">
        <v>341</v>
      </c>
      <c r="B925" s="1">
        <v>0.70019799999999999</v>
      </c>
      <c r="C925" s="1">
        <v>0.70295399999999997</v>
      </c>
    </row>
    <row r="926" spans="1:3" x14ac:dyDescent="0.25">
      <c r="A926" s="4" t="s">
        <v>342</v>
      </c>
      <c r="B926" s="1">
        <v>0.52615599999999996</v>
      </c>
      <c r="C926" s="1">
        <v>0.52922000000000002</v>
      </c>
    </row>
    <row r="927" spans="1:3" x14ac:dyDescent="0.25">
      <c r="A927" s="4" t="s">
        <v>343</v>
      </c>
      <c r="B927" s="1">
        <v>0.68652000000000002</v>
      </c>
      <c r="C927" s="1">
        <v>0.68868399999999996</v>
      </c>
    </row>
    <row r="928" spans="1:3" x14ac:dyDescent="0.25">
      <c r="A928" s="4" t="s">
        <v>344</v>
      </c>
      <c r="B928" s="1">
        <v>0.35687200000000002</v>
      </c>
      <c r="C928" s="1">
        <v>0.3594</v>
      </c>
    </row>
    <row r="929" spans="1:3" x14ac:dyDescent="0.25">
      <c r="A929" s="4" t="s">
        <v>345</v>
      </c>
      <c r="B929" s="1">
        <v>0.77340900000000001</v>
      </c>
      <c r="C929" s="1">
        <v>0.77552900000000002</v>
      </c>
    </row>
    <row r="930" spans="1:3" x14ac:dyDescent="0.25">
      <c r="A930" s="4" t="s">
        <v>346</v>
      </c>
      <c r="B930" s="1">
        <v>0.11723</v>
      </c>
      <c r="C930" s="1">
        <v>0.115522</v>
      </c>
    </row>
    <row r="931" spans="1:3" x14ac:dyDescent="0.25">
      <c r="A931" s="4" t="s">
        <v>347</v>
      </c>
      <c r="B931" s="1">
        <v>0.24433299999999999</v>
      </c>
      <c r="C931" s="1">
        <v>0.24707699999999999</v>
      </c>
    </row>
    <row r="932" spans="1:3" x14ac:dyDescent="0.25">
      <c r="A932" s="4" t="s">
        <v>348</v>
      </c>
      <c r="B932" s="1">
        <v>1.4217E-2</v>
      </c>
      <c r="C932" s="1">
        <v>1.1981E-2</v>
      </c>
    </row>
    <row r="933" spans="1:3" x14ac:dyDescent="0.25">
      <c r="A933" s="4" t="s">
        <v>349</v>
      </c>
      <c r="B933" s="1">
        <v>0.62740099999999999</v>
      </c>
      <c r="C933" s="1">
        <v>0.62578100000000003</v>
      </c>
    </row>
    <row r="934" spans="1:3" x14ac:dyDescent="0.25">
      <c r="A934" s="4" t="s">
        <v>350</v>
      </c>
      <c r="B934" s="1">
        <v>0.93858200000000003</v>
      </c>
      <c r="C934" s="1">
        <v>0.94195799999999996</v>
      </c>
    </row>
    <row r="935" spans="1:3" x14ac:dyDescent="0.25">
      <c r="A935" s="4" t="s">
        <v>351</v>
      </c>
      <c r="B935" s="1">
        <v>0.69694299999999998</v>
      </c>
      <c r="C935" s="1">
        <v>0.698627</v>
      </c>
    </row>
    <row r="936" spans="1:3" x14ac:dyDescent="0.25">
      <c r="A936" s="4" t="s">
        <v>352</v>
      </c>
      <c r="B936" s="1">
        <v>0.13768</v>
      </c>
      <c r="C936" s="1">
        <v>0.134328</v>
      </c>
    </row>
    <row r="937" spans="1:3" x14ac:dyDescent="0.25">
      <c r="A937" s="4" t="s">
        <v>353</v>
      </c>
      <c r="B937" s="1">
        <v>0.74910699999999997</v>
      </c>
      <c r="C937" s="1">
        <v>0.753027</v>
      </c>
    </row>
    <row r="938" spans="1:3" x14ac:dyDescent="0.25">
      <c r="A938" s="4" t="s">
        <v>354</v>
      </c>
      <c r="B938" s="1">
        <v>0.58568299999999995</v>
      </c>
      <c r="C938" s="1">
        <v>0.58726699999999998</v>
      </c>
    </row>
    <row r="939" spans="1:3" x14ac:dyDescent="0.25">
      <c r="A939" s="4" t="s">
        <v>355</v>
      </c>
      <c r="B939" s="1">
        <v>0.59084800000000004</v>
      </c>
      <c r="C939" s="1">
        <v>0.59326400000000001</v>
      </c>
    </row>
    <row r="940" spans="1:3" x14ac:dyDescent="0.25">
      <c r="A940" s="4" t="s">
        <v>356</v>
      </c>
      <c r="B940" s="1">
        <v>0.14568999999999999</v>
      </c>
      <c r="C940" s="1">
        <v>0.14307400000000001</v>
      </c>
    </row>
    <row r="941" spans="1:3" x14ac:dyDescent="0.25">
      <c r="A941" s="4" t="s">
        <v>357</v>
      </c>
      <c r="B941" s="1">
        <v>0.63840600000000003</v>
      </c>
      <c r="C941" s="1">
        <v>0.64005400000000001</v>
      </c>
    </row>
    <row r="942" spans="1:3" x14ac:dyDescent="0.25">
      <c r="A942" s="4" t="s">
        <v>358</v>
      </c>
      <c r="B942" s="1">
        <v>0.76871599999999995</v>
      </c>
      <c r="C942" s="1">
        <v>0.77248799999999995</v>
      </c>
    </row>
    <row r="943" spans="1:3" x14ac:dyDescent="0.25">
      <c r="A943" s="4" t="s">
        <v>359</v>
      </c>
      <c r="B943" s="1">
        <v>0.81716200000000005</v>
      </c>
      <c r="C943" s="1">
        <v>0.81427000000000005</v>
      </c>
    </row>
    <row r="944" spans="1:3" x14ac:dyDescent="0.25">
      <c r="A944" s="4" t="s">
        <v>360</v>
      </c>
      <c r="B944" s="1">
        <v>0.85678500000000002</v>
      </c>
      <c r="C944" s="1">
        <v>0.85369300000000004</v>
      </c>
    </row>
    <row r="945" spans="1:3" x14ac:dyDescent="0.25">
      <c r="A945" s="4" t="s">
        <v>361</v>
      </c>
      <c r="B945" s="1">
        <v>0.45169599999999999</v>
      </c>
      <c r="C945" s="1">
        <v>0.45416800000000002</v>
      </c>
    </row>
    <row r="946" spans="1:3" x14ac:dyDescent="0.25">
      <c r="A946" s="4" t="s">
        <v>362</v>
      </c>
      <c r="B946" s="1">
        <v>0.61457899999999999</v>
      </c>
      <c r="C946" s="1">
        <v>0.61297100000000004</v>
      </c>
    </row>
    <row r="947" spans="1:3" x14ac:dyDescent="0.25">
      <c r="A947" s="4" t="s">
        <v>363</v>
      </c>
      <c r="B947" s="1">
        <v>0.58136100000000002</v>
      </c>
      <c r="C947" s="1">
        <v>0.57852499999999996</v>
      </c>
    </row>
    <row r="948" spans="1:3" x14ac:dyDescent="0.25">
      <c r="A948" s="4" t="s">
        <v>364</v>
      </c>
      <c r="B948" s="1">
        <v>0.96552199999999999</v>
      </c>
      <c r="C948" s="1">
        <v>0.96191400000000005</v>
      </c>
    </row>
    <row r="949" spans="1:3" x14ac:dyDescent="0.25">
      <c r="A949" s="4" t="s">
        <v>365</v>
      </c>
      <c r="B949" s="1">
        <v>0.429481</v>
      </c>
      <c r="C949" s="1">
        <v>0.426261</v>
      </c>
    </row>
    <row r="950" spans="1:3" x14ac:dyDescent="0.25">
      <c r="A950" s="4" t="s">
        <v>366</v>
      </c>
      <c r="B950" s="1">
        <v>0.64231899999999997</v>
      </c>
      <c r="C950" s="1">
        <v>0.64493900000000004</v>
      </c>
    </row>
    <row r="951" spans="1:3" x14ac:dyDescent="0.25">
      <c r="A951" s="4" t="s">
        <v>367</v>
      </c>
      <c r="B951" s="1">
        <v>0.64812400000000003</v>
      </c>
      <c r="C951" s="1">
        <v>0.64603600000000005</v>
      </c>
    </row>
    <row r="952" spans="1:3" x14ac:dyDescent="0.25">
      <c r="A952" s="4" t="s">
        <v>368</v>
      </c>
      <c r="B952" s="1">
        <v>3.1189999999999999E-2</v>
      </c>
      <c r="C952" s="1">
        <v>2.8662E-2</v>
      </c>
    </row>
    <row r="953" spans="1:3" x14ac:dyDescent="0.25">
      <c r="A953" s="4" t="s">
        <v>369</v>
      </c>
      <c r="B953" s="1">
        <v>0.78395599999999999</v>
      </c>
      <c r="C953" s="1">
        <v>0.78256400000000004</v>
      </c>
    </row>
    <row r="954" spans="1:3" x14ac:dyDescent="0.25">
      <c r="A954" s="4" t="s">
        <v>370</v>
      </c>
      <c r="B954" s="1">
        <v>0.77186999999999995</v>
      </c>
      <c r="C954" s="1">
        <v>0.76852600000000004</v>
      </c>
    </row>
    <row r="955" spans="1:3" x14ac:dyDescent="0.25">
      <c r="A955" s="4" t="s">
        <v>371</v>
      </c>
      <c r="B955" s="1">
        <v>0.99620900000000001</v>
      </c>
      <c r="C955" s="1">
        <v>0.99318499999999998</v>
      </c>
    </row>
    <row r="956" spans="1:3" x14ac:dyDescent="0.25">
      <c r="A956" s="4" t="s">
        <v>372</v>
      </c>
      <c r="B956" s="1">
        <v>0.26910400000000001</v>
      </c>
      <c r="C956" s="1">
        <v>0.27073199999999997</v>
      </c>
    </row>
    <row r="957" spans="1:3" x14ac:dyDescent="0.25">
      <c r="A957" s="4" t="s">
        <v>373</v>
      </c>
      <c r="B957" s="1">
        <v>0.79386299999999999</v>
      </c>
      <c r="C957" s="1">
        <v>0.797763</v>
      </c>
    </row>
    <row r="958" spans="1:3" x14ac:dyDescent="0.25">
      <c r="A958" s="4" t="s">
        <v>374</v>
      </c>
      <c r="B958" s="1">
        <v>0.92735400000000001</v>
      </c>
      <c r="C958" s="1">
        <v>0.93079400000000001</v>
      </c>
    </row>
    <row r="959" spans="1:3" x14ac:dyDescent="0.25">
      <c r="A959" s="4" t="s">
        <v>375</v>
      </c>
      <c r="B959" s="1">
        <v>0.41383199999999998</v>
      </c>
      <c r="C959" s="1">
        <v>0.41626000000000002</v>
      </c>
    </row>
    <row r="960" spans="1:3" x14ac:dyDescent="0.25">
      <c r="A960" s="4" t="s">
        <v>376</v>
      </c>
      <c r="B960" s="1">
        <v>0.74587599999999998</v>
      </c>
      <c r="C960" s="1">
        <v>0.74849200000000005</v>
      </c>
    </row>
    <row r="961" spans="1:3" x14ac:dyDescent="0.25">
      <c r="A961" s="4" t="s">
        <v>377</v>
      </c>
      <c r="B961" s="1">
        <v>0.65303999999999995</v>
      </c>
      <c r="C961" s="1">
        <v>0.64914400000000005</v>
      </c>
    </row>
    <row r="962" spans="1:3" x14ac:dyDescent="0.25">
      <c r="A962" s="4" t="s">
        <v>378</v>
      </c>
      <c r="B962" s="1">
        <v>0.62776399999999999</v>
      </c>
      <c r="C962" s="1">
        <v>0.62426800000000005</v>
      </c>
    </row>
    <row r="963" spans="1:3" x14ac:dyDescent="0.25">
      <c r="A963" s="4" t="s">
        <v>379</v>
      </c>
      <c r="B963" s="1">
        <v>0.880853</v>
      </c>
      <c r="C963" s="1">
        <v>0.88298100000000002</v>
      </c>
    </row>
    <row r="964" spans="1:3" x14ac:dyDescent="0.25">
      <c r="A964" s="4" t="s">
        <v>380</v>
      </c>
      <c r="B964" s="1">
        <v>0.64335699999999996</v>
      </c>
      <c r="C964" s="1">
        <v>0.63941700000000001</v>
      </c>
    </row>
    <row r="965" spans="1:3" x14ac:dyDescent="0.25">
      <c r="A965" s="4" t="s">
        <v>381</v>
      </c>
      <c r="B965" s="1">
        <v>0.89447600000000005</v>
      </c>
      <c r="C965" s="1">
        <v>0.89619199999999999</v>
      </c>
    </row>
    <row r="966" spans="1:3" x14ac:dyDescent="0.25">
      <c r="A966" s="4" t="s">
        <v>382</v>
      </c>
      <c r="B966" s="1">
        <v>0.59115099999999998</v>
      </c>
      <c r="C966" s="1">
        <v>0.58769899999999997</v>
      </c>
    </row>
    <row r="967" spans="1:3" x14ac:dyDescent="0.25">
      <c r="A967" s="4" t="s">
        <v>383</v>
      </c>
      <c r="B967" s="1">
        <v>5.2143000000000002E-2</v>
      </c>
      <c r="C967" s="1">
        <v>5.0654999999999999E-2</v>
      </c>
    </row>
    <row r="968" spans="1:3" x14ac:dyDescent="0.25">
      <c r="A968" s="4" t="s">
        <v>384</v>
      </c>
      <c r="B968" s="1">
        <v>0.78184600000000004</v>
      </c>
      <c r="C968" s="1">
        <v>0.78475399999999995</v>
      </c>
    </row>
    <row r="969" spans="1:3" x14ac:dyDescent="0.25">
      <c r="A969" s="4" t="s">
        <v>385</v>
      </c>
      <c r="B969" s="1">
        <v>0.626494</v>
      </c>
      <c r="C969" s="1">
        <v>0.62833399999999995</v>
      </c>
    </row>
    <row r="970" spans="1:3" x14ac:dyDescent="0.25">
      <c r="A970" s="4" t="s">
        <v>386</v>
      </c>
      <c r="B970" s="1">
        <v>0.71810700000000005</v>
      </c>
      <c r="C970" s="1">
        <v>0.71969899999999998</v>
      </c>
    </row>
    <row r="971" spans="1:3" x14ac:dyDescent="0.25">
      <c r="A971" s="4" t="s">
        <v>387</v>
      </c>
      <c r="B971" s="1">
        <v>0.59238800000000003</v>
      </c>
      <c r="C971" s="1">
        <v>0.58874800000000005</v>
      </c>
    </row>
    <row r="972" spans="1:3" x14ac:dyDescent="0.25">
      <c r="A972" s="4" t="s">
        <v>388</v>
      </c>
      <c r="B972" s="1">
        <v>0.68928500000000004</v>
      </c>
      <c r="C972" s="1">
        <v>0.68787699999999996</v>
      </c>
    </row>
    <row r="973" spans="1:3" x14ac:dyDescent="0.25">
      <c r="A973" s="4" t="s">
        <v>389</v>
      </c>
      <c r="B973" s="1">
        <v>0.62056900000000004</v>
      </c>
      <c r="C973" s="1">
        <v>0.623081</v>
      </c>
    </row>
    <row r="974" spans="1:3" x14ac:dyDescent="0.25">
      <c r="A974" s="4" t="s">
        <v>390</v>
      </c>
      <c r="B974" s="1">
        <v>0.30533100000000002</v>
      </c>
      <c r="C974" s="1">
        <v>0.30848700000000001</v>
      </c>
    </row>
    <row r="975" spans="1:3" x14ac:dyDescent="0.25">
      <c r="A975" s="4" t="s">
        <v>391</v>
      </c>
      <c r="B975" s="1">
        <v>8.7454000000000004E-2</v>
      </c>
      <c r="C975" s="1">
        <v>8.9934E-2</v>
      </c>
    </row>
    <row r="976" spans="1:3" x14ac:dyDescent="0.25">
      <c r="A976" s="4" t="s">
        <v>392</v>
      </c>
      <c r="B976" s="1">
        <v>0.27104099999999998</v>
      </c>
      <c r="C976" s="1">
        <v>0.27402900000000002</v>
      </c>
    </row>
    <row r="977" spans="1:3" x14ac:dyDescent="0.25">
      <c r="A977" s="4" t="s">
        <v>393</v>
      </c>
      <c r="B977" s="1">
        <v>0.93926699999999996</v>
      </c>
      <c r="C977" s="1">
        <v>0.941751</v>
      </c>
    </row>
    <row r="978" spans="1:3" x14ac:dyDescent="0.25">
      <c r="A978" s="4" t="s">
        <v>394</v>
      </c>
      <c r="B978" s="1">
        <v>0.78683000000000003</v>
      </c>
      <c r="C978" s="1">
        <v>0.78496600000000005</v>
      </c>
    </row>
    <row r="979" spans="1:3" x14ac:dyDescent="0.25">
      <c r="A979" s="4" t="s">
        <v>395</v>
      </c>
      <c r="B979" s="1">
        <v>0.42941800000000002</v>
      </c>
      <c r="C979" s="1">
        <v>0.42563400000000001</v>
      </c>
    </row>
    <row r="980" spans="1:3" x14ac:dyDescent="0.25">
      <c r="A980" s="4" t="s">
        <v>396</v>
      </c>
      <c r="B980" s="1">
        <v>0.14202300000000001</v>
      </c>
      <c r="C980" s="1">
        <v>0.13999500000000001</v>
      </c>
    </row>
    <row r="981" spans="1:3" x14ac:dyDescent="0.25">
      <c r="A981" s="4" t="s">
        <v>397</v>
      </c>
      <c r="B981" s="1">
        <v>0.62391700000000005</v>
      </c>
      <c r="C981" s="1">
        <v>0.62759699999999996</v>
      </c>
    </row>
    <row r="982" spans="1:3" x14ac:dyDescent="0.25">
      <c r="A982" s="4" t="s">
        <v>398</v>
      </c>
      <c r="B982" s="1">
        <v>0.62443000000000004</v>
      </c>
      <c r="C982" s="1">
        <v>0.62149799999999999</v>
      </c>
    </row>
    <row r="983" spans="1:3" x14ac:dyDescent="0.25">
      <c r="A983" s="4" t="s">
        <v>399</v>
      </c>
      <c r="B983" s="1">
        <v>0.86035300000000003</v>
      </c>
      <c r="C983" s="1">
        <v>0.86306099999999997</v>
      </c>
    </row>
    <row r="984" spans="1:3" x14ac:dyDescent="0.25">
      <c r="A984" s="4" t="s">
        <v>400</v>
      </c>
      <c r="B984" s="1">
        <v>0.50423899999999999</v>
      </c>
      <c r="C984" s="1">
        <v>0.502799</v>
      </c>
    </row>
    <row r="985" spans="1:3" x14ac:dyDescent="0.25">
      <c r="A985" s="4" t="s">
        <v>401</v>
      </c>
      <c r="B985" s="1">
        <v>0.35245900000000002</v>
      </c>
      <c r="C985" s="1">
        <v>0.35557899999999998</v>
      </c>
    </row>
    <row r="986" spans="1:3" x14ac:dyDescent="0.25">
      <c r="A986" s="4" t="s">
        <v>402</v>
      </c>
      <c r="B986" s="1">
        <v>0.54644499999999996</v>
      </c>
      <c r="C986" s="1">
        <v>0.544157</v>
      </c>
    </row>
    <row r="987" spans="1:3" x14ac:dyDescent="0.25">
      <c r="A987" s="4" t="s">
        <v>403</v>
      </c>
      <c r="B987" s="1">
        <v>0.53043799999999997</v>
      </c>
      <c r="C987" s="1">
        <v>0.53306600000000004</v>
      </c>
    </row>
    <row r="988" spans="1:3" x14ac:dyDescent="0.25">
      <c r="A988" s="4" t="s">
        <v>404</v>
      </c>
      <c r="B988" s="1">
        <v>0.56015199999999998</v>
      </c>
      <c r="C988" s="1">
        <v>0.55632400000000004</v>
      </c>
    </row>
    <row r="989" spans="1:3" x14ac:dyDescent="0.25">
      <c r="A989" s="4" t="s">
        <v>405</v>
      </c>
      <c r="B989" s="1">
        <v>0.90301600000000004</v>
      </c>
      <c r="C989" s="1">
        <v>0.90554000000000001</v>
      </c>
    </row>
    <row r="990" spans="1:3" x14ac:dyDescent="0.25">
      <c r="A990" s="4" t="s">
        <v>406</v>
      </c>
      <c r="B990" s="1">
        <v>0.23919599999999999</v>
      </c>
      <c r="C990" s="1">
        <v>0.24299999999999999</v>
      </c>
    </row>
    <row r="991" spans="1:3" x14ac:dyDescent="0.25">
      <c r="A991" s="4" t="s">
        <v>407</v>
      </c>
      <c r="B991" s="1">
        <v>0.80954700000000002</v>
      </c>
      <c r="C991" s="1">
        <v>0.81194299999999997</v>
      </c>
    </row>
    <row r="992" spans="1:3" x14ac:dyDescent="0.25">
      <c r="A992" s="4" t="s">
        <v>408</v>
      </c>
      <c r="B992" s="1">
        <v>9.325E-3</v>
      </c>
      <c r="C992" s="1">
        <v>7.417E-3</v>
      </c>
    </row>
    <row r="993" spans="1:3" x14ac:dyDescent="0.25">
      <c r="A993" s="4" t="s">
        <v>409</v>
      </c>
      <c r="B993" s="1">
        <v>0.92164199999999996</v>
      </c>
      <c r="C993" s="1">
        <v>0.92475799999999997</v>
      </c>
    </row>
    <row r="994" spans="1:3" x14ac:dyDescent="0.25">
      <c r="A994" s="4" t="s">
        <v>410</v>
      </c>
      <c r="B994" s="1">
        <v>0.94211</v>
      </c>
      <c r="C994" s="1">
        <v>0.94560599999999995</v>
      </c>
    </row>
    <row r="995" spans="1:3" x14ac:dyDescent="0.25">
      <c r="A995" s="4" t="s">
        <v>411</v>
      </c>
      <c r="B995" s="1">
        <v>0.51790700000000001</v>
      </c>
      <c r="C995" s="1">
        <v>0.51618299999999995</v>
      </c>
    </row>
    <row r="996" spans="1:3" x14ac:dyDescent="0.25">
      <c r="A996" s="4" t="s">
        <v>412</v>
      </c>
      <c r="B996" s="1">
        <v>0.16583700000000001</v>
      </c>
      <c r="C996" s="1">
        <v>0.16724900000000001</v>
      </c>
    </row>
    <row r="997" spans="1:3" x14ac:dyDescent="0.25">
      <c r="A997" s="4" t="s">
        <v>427</v>
      </c>
      <c r="B997" s="1">
        <v>2.5694999999999999E-2</v>
      </c>
      <c r="C997" s="1">
        <v>2.3115E-2</v>
      </c>
    </row>
    <row r="998" spans="1:3" x14ac:dyDescent="0.25">
      <c r="A998" s="4" t="s">
        <v>413</v>
      </c>
      <c r="B998" s="1">
        <v>0.91312199999999999</v>
      </c>
      <c r="C998" s="1">
        <v>0.91059800000000002</v>
      </c>
    </row>
    <row r="999" spans="1:3" x14ac:dyDescent="0.25">
      <c r="A999" s="4" t="s">
        <v>414</v>
      </c>
      <c r="B999" s="1">
        <v>0.58483099999999999</v>
      </c>
      <c r="C999" s="1">
        <v>0.58725899999999998</v>
      </c>
    </row>
    <row r="1000" spans="1:3" x14ac:dyDescent="0.25">
      <c r="A1000" s="4" t="s">
        <v>415</v>
      </c>
      <c r="B1000" s="1">
        <v>0.80934099999999998</v>
      </c>
      <c r="C1000" s="1">
        <v>0.81267299999999998</v>
      </c>
    </row>
    <row r="1001" spans="1:3" x14ac:dyDescent="0.25">
      <c r="A1001" s="4" t="s">
        <v>416</v>
      </c>
      <c r="B1001" s="1">
        <v>0.84869399999999995</v>
      </c>
      <c r="C1001" s="1">
        <v>0.85199800000000003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I1048576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6.5703125" bestFit="1" customWidth="1"/>
    <col min="9" max="9" width="11.5703125" bestFit="1" customWidth="1"/>
    <col min="10" max="10" width="19.28515625" bestFit="1" customWidth="1"/>
    <col min="11" max="11" width="13.140625" bestFit="1" customWidth="1"/>
  </cols>
  <sheetData>
    <row r="1" spans="1:11" x14ac:dyDescent="0.25">
      <c r="A1" s="8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1" t="s">
        <v>423</v>
      </c>
      <c r="H1" s="1" t="s">
        <v>424</v>
      </c>
      <c r="I1" s="9" t="s">
        <v>425</v>
      </c>
      <c r="J1" s="1" t="s">
        <v>426</v>
      </c>
      <c r="K1" s="1" t="s">
        <v>432</v>
      </c>
    </row>
    <row r="2" spans="1:11" x14ac:dyDescent="0.25">
      <c r="A2" s="7" t="s">
        <v>41</v>
      </c>
      <c r="B2" s="1">
        <v>0.55237700000000001</v>
      </c>
      <c r="C2" s="1">
        <v>0.55376899999999996</v>
      </c>
      <c r="D2" s="1">
        <f t="shared" ref="D2:D65" si="0">IF(B2&gt;C2,B2-C2,C2-B2)</f>
        <v>1.3919999999999488E-3</v>
      </c>
      <c r="E2">
        <f t="shared" ref="E2:E65" si="1">MINUTE(D2)</f>
        <v>2</v>
      </c>
      <c r="F2">
        <f t="shared" ref="F2:F65" si="2">SECOND(D2)</f>
        <v>0</v>
      </c>
      <c r="G2">
        <f t="shared" ref="G2:G65" si="3">ROUND(E2+F2/60,2)</f>
        <v>2</v>
      </c>
      <c r="H2">
        <f t="shared" ref="H2:H65" si="4">60*E2+F2</f>
        <v>120</v>
      </c>
      <c r="I2" s="6">
        <f t="shared" ref="I2:I65" si="5">5*(3600/H2)</f>
        <v>150</v>
      </c>
      <c r="J2" t="str">
        <f t="shared" ref="J2:J65" si="6">IF(MID(A2,3,2)="18","T","F")</f>
        <v>F</v>
      </c>
      <c r="K2" s="3">
        <f>MAX(I2:I1001)</f>
        <v>150</v>
      </c>
    </row>
    <row r="3" spans="1:11" x14ac:dyDescent="0.25">
      <c r="A3" s="7" t="s">
        <v>369</v>
      </c>
      <c r="B3" s="1">
        <v>0.78395599999999999</v>
      </c>
      <c r="C3" s="1">
        <v>0.78256400000000004</v>
      </c>
      <c r="D3" s="1">
        <f t="shared" si="0"/>
        <v>1.3919999999999488E-3</v>
      </c>
      <c r="E3">
        <f t="shared" si="1"/>
        <v>2</v>
      </c>
      <c r="F3">
        <f t="shared" si="2"/>
        <v>0</v>
      </c>
      <c r="G3">
        <f t="shared" si="3"/>
        <v>2</v>
      </c>
      <c r="H3">
        <f t="shared" si="4"/>
        <v>120</v>
      </c>
      <c r="I3" s="6">
        <f t="shared" si="5"/>
        <v>150</v>
      </c>
      <c r="J3" t="str">
        <f t="shared" si="6"/>
        <v>F</v>
      </c>
    </row>
    <row r="4" spans="1:11" x14ac:dyDescent="0.25">
      <c r="A4" s="4" t="s">
        <v>157</v>
      </c>
      <c r="B4" s="1">
        <v>0.37124299999999999</v>
      </c>
      <c r="C4" s="1">
        <v>0.36984699999999998</v>
      </c>
      <c r="D4" s="1">
        <f t="shared" si="0"/>
        <v>1.3960000000000083E-3</v>
      </c>
      <c r="E4">
        <f t="shared" si="1"/>
        <v>2</v>
      </c>
      <c r="F4">
        <f t="shared" si="2"/>
        <v>1</v>
      </c>
      <c r="G4">
        <f t="shared" si="3"/>
        <v>2.02</v>
      </c>
      <c r="H4">
        <f t="shared" si="4"/>
        <v>121</v>
      </c>
      <c r="I4" s="3">
        <f t="shared" si="5"/>
        <v>148.7603305785124</v>
      </c>
      <c r="J4" t="str">
        <f t="shared" si="6"/>
        <v>F</v>
      </c>
    </row>
    <row r="5" spans="1:11" x14ac:dyDescent="0.25">
      <c r="A5" s="4" t="s">
        <v>76</v>
      </c>
      <c r="B5" s="1">
        <v>0.51857500000000001</v>
      </c>
      <c r="C5" s="1">
        <v>0.51999099999999998</v>
      </c>
      <c r="D5" s="1">
        <f t="shared" si="0"/>
        <v>1.4159999999999728E-3</v>
      </c>
      <c r="E5">
        <f t="shared" si="1"/>
        <v>2</v>
      </c>
      <c r="F5">
        <f t="shared" si="2"/>
        <v>2</v>
      </c>
      <c r="G5">
        <f t="shared" si="3"/>
        <v>2.0299999999999998</v>
      </c>
      <c r="H5">
        <f t="shared" si="4"/>
        <v>122</v>
      </c>
      <c r="I5" s="3">
        <f t="shared" si="5"/>
        <v>147.54098360655738</v>
      </c>
      <c r="J5" t="str">
        <f t="shared" si="6"/>
        <v>F</v>
      </c>
    </row>
    <row r="6" spans="1:11" x14ac:dyDescent="0.25">
      <c r="A6" s="4" t="s">
        <v>75</v>
      </c>
      <c r="B6" s="1">
        <v>0.43252099999999999</v>
      </c>
      <c r="C6" s="1">
        <v>0.43110500000000002</v>
      </c>
      <c r="D6" s="1">
        <f t="shared" si="0"/>
        <v>1.4159999999999728E-3</v>
      </c>
      <c r="E6">
        <f t="shared" si="1"/>
        <v>2</v>
      </c>
      <c r="F6">
        <f t="shared" si="2"/>
        <v>2</v>
      </c>
      <c r="G6">
        <f t="shared" si="3"/>
        <v>2.0299999999999998</v>
      </c>
      <c r="H6">
        <f t="shared" si="4"/>
        <v>122</v>
      </c>
      <c r="I6" s="3">
        <f t="shared" si="5"/>
        <v>147.54098360655738</v>
      </c>
      <c r="J6" t="str">
        <f t="shared" si="6"/>
        <v>F</v>
      </c>
    </row>
    <row r="7" spans="1:11" x14ac:dyDescent="0.25">
      <c r="A7" s="4" t="s">
        <v>6</v>
      </c>
      <c r="B7" s="1">
        <v>0.89605199999999996</v>
      </c>
      <c r="C7" s="1">
        <v>0.89464399999999999</v>
      </c>
      <c r="D7" s="1">
        <f t="shared" si="0"/>
        <v>1.4079999999999648E-3</v>
      </c>
      <c r="E7">
        <f t="shared" si="1"/>
        <v>2</v>
      </c>
      <c r="F7">
        <f t="shared" si="2"/>
        <v>2</v>
      </c>
      <c r="G7">
        <f t="shared" si="3"/>
        <v>2.0299999999999998</v>
      </c>
      <c r="H7">
        <f t="shared" si="4"/>
        <v>122</v>
      </c>
      <c r="I7" s="3">
        <f t="shared" si="5"/>
        <v>147.54098360655738</v>
      </c>
      <c r="J7" t="str">
        <f t="shared" si="6"/>
        <v>F</v>
      </c>
    </row>
    <row r="8" spans="1:11" x14ac:dyDescent="0.25">
      <c r="A8" s="4" t="s">
        <v>73</v>
      </c>
      <c r="B8" s="1">
        <v>0.31540200000000002</v>
      </c>
      <c r="C8" s="1">
        <v>0.31398599999999999</v>
      </c>
      <c r="D8" s="1">
        <f t="shared" si="0"/>
        <v>1.4160000000000283E-3</v>
      </c>
      <c r="E8">
        <f t="shared" si="1"/>
        <v>2</v>
      </c>
      <c r="F8">
        <f t="shared" si="2"/>
        <v>2</v>
      </c>
      <c r="G8">
        <f t="shared" si="3"/>
        <v>2.0299999999999998</v>
      </c>
      <c r="H8">
        <f t="shared" si="4"/>
        <v>122</v>
      </c>
      <c r="I8" s="3">
        <f t="shared" si="5"/>
        <v>147.54098360655738</v>
      </c>
      <c r="J8" t="str">
        <f t="shared" si="6"/>
        <v>F</v>
      </c>
    </row>
    <row r="9" spans="1:11" x14ac:dyDescent="0.25">
      <c r="A9" s="4" t="s">
        <v>428</v>
      </c>
      <c r="B9" s="1">
        <v>0.67204299999999995</v>
      </c>
      <c r="C9" s="1">
        <v>0.67345100000000002</v>
      </c>
      <c r="D9" s="1">
        <f t="shared" si="0"/>
        <v>1.4080000000000759E-3</v>
      </c>
      <c r="E9">
        <f t="shared" si="1"/>
        <v>2</v>
      </c>
      <c r="F9">
        <f t="shared" si="2"/>
        <v>2</v>
      </c>
      <c r="G9">
        <f t="shared" si="3"/>
        <v>2.0299999999999998</v>
      </c>
      <c r="H9">
        <f t="shared" si="4"/>
        <v>122</v>
      </c>
      <c r="I9" s="3">
        <f t="shared" si="5"/>
        <v>147.54098360655738</v>
      </c>
      <c r="J9" t="str">
        <f t="shared" si="6"/>
        <v>F</v>
      </c>
    </row>
    <row r="10" spans="1:11" x14ac:dyDescent="0.25">
      <c r="A10" s="4" t="s">
        <v>21</v>
      </c>
      <c r="B10" s="1">
        <v>0.25031599999999998</v>
      </c>
      <c r="C10" s="1">
        <v>0.24890399999999999</v>
      </c>
      <c r="D10" s="1">
        <f t="shared" si="0"/>
        <v>1.4119999999999966E-3</v>
      </c>
      <c r="E10">
        <f t="shared" si="1"/>
        <v>2</v>
      </c>
      <c r="F10">
        <f t="shared" si="2"/>
        <v>2</v>
      </c>
      <c r="G10">
        <f t="shared" si="3"/>
        <v>2.0299999999999998</v>
      </c>
      <c r="H10">
        <f t="shared" si="4"/>
        <v>122</v>
      </c>
      <c r="I10" s="3">
        <f t="shared" si="5"/>
        <v>147.54098360655738</v>
      </c>
      <c r="J10" t="str">
        <f t="shared" si="6"/>
        <v>F</v>
      </c>
    </row>
    <row r="11" spans="1:11" x14ac:dyDescent="0.25">
      <c r="A11" s="4" t="s">
        <v>321</v>
      </c>
      <c r="B11" s="1">
        <v>0.92649000000000004</v>
      </c>
      <c r="C11" s="1">
        <v>0.92508199999999996</v>
      </c>
      <c r="D11" s="1">
        <f t="shared" si="0"/>
        <v>1.4080000000000759E-3</v>
      </c>
      <c r="E11">
        <f t="shared" si="1"/>
        <v>2</v>
      </c>
      <c r="F11">
        <f t="shared" si="2"/>
        <v>2</v>
      </c>
      <c r="G11">
        <f t="shared" si="3"/>
        <v>2.0299999999999998</v>
      </c>
      <c r="H11">
        <f t="shared" si="4"/>
        <v>122</v>
      </c>
      <c r="I11" s="3">
        <f t="shared" si="5"/>
        <v>147.54098360655738</v>
      </c>
      <c r="J11" t="str">
        <f t="shared" si="6"/>
        <v>F</v>
      </c>
    </row>
    <row r="12" spans="1:11" x14ac:dyDescent="0.25">
      <c r="A12" s="4" t="s">
        <v>324</v>
      </c>
      <c r="B12" s="1">
        <v>0.49864799999999998</v>
      </c>
      <c r="C12" s="1">
        <v>0.49723600000000001</v>
      </c>
      <c r="D12" s="1">
        <f t="shared" si="0"/>
        <v>1.4119999999999688E-3</v>
      </c>
      <c r="E12">
        <f t="shared" si="1"/>
        <v>2</v>
      </c>
      <c r="F12">
        <f t="shared" si="2"/>
        <v>2</v>
      </c>
      <c r="G12">
        <f t="shared" si="3"/>
        <v>2.0299999999999998</v>
      </c>
      <c r="H12">
        <f t="shared" si="4"/>
        <v>122</v>
      </c>
      <c r="I12" s="3">
        <f t="shared" si="5"/>
        <v>147.54098360655738</v>
      </c>
      <c r="J12" t="str">
        <f t="shared" si="6"/>
        <v>F</v>
      </c>
    </row>
    <row r="13" spans="1:11" x14ac:dyDescent="0.25">
      <c r="A13" s="4" t="s">
        <v>388</v>
      </c>
      <c r="B13" s="1">
        <v>0.68928500000000004</v>
      </c>
      <c r="C13" s="1">
        <v>0.68787699999999996</v>
      </c>
      <c r="D13" s="1">
        <f t="shared" si="0"/>
        <v>1.4080000000000759E-3</v>
      </c>
      <c r="E13">
        <f t="shared" si="1"/>
        <v>2</v>
      </c>
      <c r="F13">
        <f t="shared" si="2"/>
        <v>2</v>
      </c>
      <c r="G13">
        <f t="shared" si="3"/>
        <v>2.0299999999999998</v>
      </c>
      <c r="H13">
        <f t="shared" si="4"/>
        <v>122</v>
      </c>
      <c r="I13" s="3">
        <f t="shared" si="5"/>
        <v>147.54098360655738</v>
      </c>
      <c r="J13" t="str">
        <f t="shared" si="6"/>
        <v>F</v>
      </c>
    </row>
    <row r="14" spans="1:11" x14ac:dyDescent="0.25">
      <c r="A14" s="4" t="s">
        <v>412</v>
      </c>
      <c r="B14" s="1">
        <v>0.16583700000000001</v>
      </c>
      <c r="C14" s="1">
        <v>0.16724900000000001</v>
      </c>
      <c r="D14" s="1">
        <f t="shared" si="0"/>
        <v>1.4119999999999966E-3</v>
      </c>
      <c r="E14">
        <f t="shared" si="1"/>
        <v>2</v>
      </c>
      <c r="F14">
        <f t="shared" si="2"/>
        <v>2</v>
      </c>
      <c r="G14">
        <f t="shared" si="3"/>
        <v>2.0299999999999998</v>
      </c>
      <c r="H14">
        <f t="shared" si="4"/>
        <v>122</v>
      </c>
      <c r="I14" s="3">
        <f t="shared" si="5"/>
        <v>147.54098360655738</v>
      </c>
      <c r="J14" t="str">
        <f t="shared" si="6"/>
        <v>F</v>
      </c>
    </row>
    <row r="15" spans="1:11" x14ac:dyDescent="0.25">
      <c r="A15" s="4" t="s">
        <v>24</v>
      </c>
      <c r="B15" s="1">
        <v>0.72382100000000005</v>
      </c>
      <c r="C15" s="1">
        <v>0.72524900000000003</v>
      </c>
      <c r="D15" s="1">
        <f t="shared" si="0"/>
        <v>1.4279999999999848E-3</v>
      </c>
      <c r="E15">
        <f t="shared" si="1"/>
        <v>2</v>
      </c>
      <c r="F15">
        <f t="shared" si="2"/>
        <v>3</v>
      </c>
      <c r="G15">
        <f t="shared" si="3"/>
        <v>2.0499999999999998</v>
      </c>
      <c r="H15">
        <f t="shared" si="4"/>
        <v>123</v>
      </c>
      <c r="I15" s="3">
        <f t="shared" si="5"/>
        <v>146.34146341463415</v>
      </c>
      <c r="J15" t="str">
        <f t="shared" si="6"/>
        <v>F</v>
      </c>
    </row>
    <row r="16" spans="1:11" x14ac:dyDescent="0.25">
      <c r="A16" s="4" t="s">
        <v>27</v>
      </c>
      <c r="B16" s="1">
        <v>0.51301399999999997</v>
      </c>
      <c r="C16" s="1">
        <v>0.51158599999999999</v>
      </c>
      <c r="D16" s="1">
        <f t="shared" si="0"/>
        <v>1.4279999999999848E-3</v>
      </c>
      <c r="E16">
        <f t="shared" si="1"/>
        <v>2</v>
      </c>
      <c r="F16">
        <f t="shared" si="2"/>
        <v>3</v>
      </c>
      <c r="G16">
        <f t="shared" si="3"/>
        <v>2.0499999999999998</v>
      </c>
      <c r="H16">
        <f t="shared" si="4"/>
        <v>123</v>
      </c>
      <c r="I16" s="3">
        <f t="shared" si="5"/>
        <v>146.34146341463415</v>
      </c>
      <c r="J16" t="str">
        <f t="shared" si="6"/>
        <v>F</v>
      </c>
    </row>
    <row r="17" spans="1:10" x14ac:dyDescent="0.25">
      <c r="A17" s="4" t="s">
        <v>103</v>
      </c>
      <c r="B17" s="1">
        <v>0.69916400000000001</v>
      </c>
      <c r="C17" s="1">
        <v>0.70058399999999998</v>
      </c>
      <c r="D17" s="1">
        <f t="shared" si="0"/>
        <v>1.4199999999999768E-3</v>
      </c>
      <c r="E17">
        <f t="shared" si="1"/>
        <v>2</v>
      </c>
      <c r="F17">
        <f t="shared" si="2"/>
        <v>3</v>
      </c>
      <c r="G17">
        <f t="shared" si="3"/>
        <v>2.0499999999999998</v>
      </c>
      <c r="H17">
        <f t="shared" si="4"/>
        <v>123</v>
      </c>
      <c r="I17" s="3">
        <f t="shared" si="5"/>
        <v>146.34146341463415</v>
      </c>
      <c r="J17" t="str">
        <f t="shared" si="6"/>
        <v>F</v>
      </c>
    </row>
    <row r="18" spans="1:10" x14ac:dyDescent="0.25">
      <c r="A18" s="4" t="s">
        <v>120</v>
      </c>
      <c r="B18" s="1">
        <v>2.4251999999999999E-2</v>
      </c>
      <c r="C18" s="1">
        <v>2.2828000000000001E-2</v>
      </c>
      <c r="D18" s="1">
        <f t="shared" si="0"/>
        <v>1.4239999999999982E-3</v>
      </c>
      <c r="E18">
        <f t="shared" si="1"/>
        <v>2</v>
      </c>
      <c r="F18">
        <f t="shared" si="2"/>
        <v>3</v>
      </c>
      <c r="G18">
        <f t="shared" si="3"/>
        <v>2.0499999999999998</v>
      </c>
      <c r="H18">
        <f t="shared" si="4"/>
        <v>123</v>
      </c>
      <c r="I18" s="3">
        <f t="shared" si="5"/>
        <v>146.34146341463415</v>
      </c>
      <c r="J18" t="str">
        <f t="shared" si="6"/>
        <v>F</v>
      </c>
    </row>
    <row r="19" spans="1:10" x14ac:dyDescent="0.25">
      <c r="A19" s="4" t="s">
        <v>87</v>
      </c>
      <c r="B19" s="1">
        <v>0.44867299999999999</v>
      </c>
      <c r="C19" s="1">
        <v>0.45009300000000002</v>
      </c>
      <c r="D19" s="1">
        <f t="shared" si="0"/>
        <v>1.4200000000000323E-3</v>
      </c>
      <c r="E19">
        <f t="shared" si="1"/>
        <v>2</v>
      </c>
      <c r="F19">
        <f t="shared" si="2"/>
        <v>3</v>
      </c>
      <c r="G19">
        <f t="shared" si="3"/>
        <v>2.0499999999999998</v>
      </c>
      <c r="H19">
        <f t="shared" si="4"/>
        <v>123</v>
      </c>
      <c r="I19" s="3">
        <f t="shared" si="5"/>
        <v>146.34146341463415</v>
      </c>
      <c r="J19" t="str">
        <f t="shared" si="6"/>
        <v>F</v>
      </c>
    </row>
    <row r="20" spans="1:10" x14ac:dyDescent="0.25">
      <c r="A20" s="4" t="s">
        <v>136</v>
      </c>
      <c r="B20" s="1">
        <v>0.67697099999999999</v>
      </c>
      <c r="C20" s="1">
        <v>0.67554700000000001</v>
      </c>
      <c r="D20" s="1">
        <f t="shared" si="0"/>
        <v>1.4239999999999808E-3</v>
      </c>
      <c r="E20">
        <f t="shared" si="1"/>
        <v>2</v>
      </c>
      <c r="F20">
        <f t="shared" si="2"/>
        <v>3</v>
      </c>
      <c r="G20">
        <f t="shared" si="3"/>
        <v>2.0499999999999998</v>
      </c>
      <c r="H20">
        <f t="shared" si="4"/>
        <v>123</v>
      </c>
      <c r="I20" s="3">
        <f t="shared" si="5"/>
        <v>146.34146341463415</v>
      </c>
      <c r="J20" t="str">
        <f t="shared" si="6"/>
        <v>F</v>
      </c>
    </row>
    <row r="21" spans="1:10" x14ac:dyDescent="0.25">
      <c r="A21" s="4" t="s">
        <v>75</v>
      </c>
      <c r="B21" s="1">
        <v>0.75790400000000002</v>
      </c>
      <c r="C21" s="1">
        <v>0.75648000000000004</v>
      </c>
      <c r="D21" s="1">
        <f t="shared" si="0"/>
        <v>1.4239999999999808E-3</v>
      </c>
      <c r="E21">
        <f t="shared" si="1"/>
        <v>2</v>
      </c>
      <c r="F21">
        <f t="shared" si="2"/>
        <v>3</v>
      </c>
      <c r="G21">
        <f t="shared" si="3"/>
        <v>2.0499999999999998</v>
      </c>
      <c r="H21">
        <f t="shared" si="4"/>
        <v>123</v>
      </c>
      <c r="I21" s="3">
        <f t="shared" si="5"/>
        <v>146.34146341463415</v>
      </c>
      <c r="J21" t="str">
        <f t="shared" si="6"/>
        <v>F</v>
      </c>
    </row>
    <row r="22" spans="1:10" x14ac:dyDescent="0.25">
      <c r="A22" s="4" t="s">
        <v>13</v>
      </c>
      <c r="B22" s="1">
        <v>0.23710300000000001</v>
      </c>
      <c r="C22" s="1">
        <v>0.23566300000000001</v>
      </c>
      <c r="D22" s="1">
        <f t="shared" si="0"/>
        <v>1.4399999999999968E-3</v>
      </c>
      <c r="E22">
        <f t="shared" si="1"/>
        <v>2</v>
      </c>
      <c r="F22">
        <f t="shared" si="2"/>
        <v>4</v>
      </c>
      <c r="G22">
        <f t="shared" si="3"/>
        <v>2.0699999999999998</v>
      </c>
      <c r="H22">
        <f t="shared" si="4"/>
        <v>124</v>
      </c>
      <c r="I22" s="3">
        <f t="shared" si="5"/>
        <v>145.16129032258064</v>
      </c>
      <c r="J22" t="str">
        <f t="shared" si="6"/>
        <v>F</v>
      </c>
    </row>
    <row r="23" spans="1:10" x14ac:dyDescent="0.25">
      <c r="A23" s="4" t="s">
        <v>139</v>
      </c>
      <c r="B23" s="1">
        <v>0.84553900000000004</v>
      </c>
      <c r="C23" s="1">
        <v>0.84697100000000003</v>
      </c>
      <c r="D23" s="1">
        <f t="shared" si="0"/>
        <v>1.4319999999999888E-3</v>
      </c>
      <c r="E23">
        <f t="shared" si="1"/>
        <v>2</v>
      </c>
      <c r="F23">
        <f t="shared" si="2"/>
        <v>4</v>
      </c>
      <c r="G23">
        <f t="shared" si="3"/>
        <v>2.0699999999999998</v>
      </c>
      <c r="H23">
        <f t="shared" si="4"/>
        <v>124</v>
      </c>
      <c r="I23" s="3">
        <f t="shared" si="5"/>
        <v>145.16129032258064</v>
      </c>
      <c r="J23" t="str">
        <f t="shared" si="6"/>
        <v>F</v>
      </c>
    </row>
    <row r="24" spans="1:10" x14ac:dyDescent="0.25">
      <c r="A24" s="4" t="s">
        <v>132</v>
      </c>
      <c r="B24" s="1">
        <v>0.51571999999999996</v>
      </c>
      <c r="C24" s="1">
        <v>0.51715999999999995</v>
      </c>
      <c r="D24" s="1">
        <f t="shared" si="0"/>
        <v>1.4399999999999968E-3</v>
      </c>
      <c r="E24">
        <f t="shared" si="1"/>
        <v>2</v>
      </c>
      <c r="F24">
        <f t="shared" si="2"/>
        <v>4</v>
      </c>
      <c r="G24">
        <f t="shared" si="3"/>
        <v>2.0699999999999998</v>
      </c>
      <c r="H24">
        <f t="shared" si="4"/>
        <v>124</v>
      </c>
      <c r="I24" s="3">
        <f t="shared" si="5"/>
        <v>145.16129032258064</v>
      </c>
      <c r="J24" t="str">
        <f t="shared" si="6"/>
        <v>F</v>
      </c>
    </row>
    <row r="25" spans="1:10" x14ac:dyDescent="0.25">
      <c r="A25" s="4" t="s">
        <v>400</v>
      </c>
      <c r="B25" s="1">
        <v>0.50423899999999999</v>
      </c>
      <c r="C25" s="1">
        <v>0.502799</v>
      </c>
      <c r="D25" s="1">
        <f t="shared" si="0"/>
        <v>1.4399999999999968E-3</v>
      </c>
      <c r="E25">
        <f t="shared" si="1"/>
        <v>2</v>
      </c>
      <c r="F25">
        <f t="shared" si="2"/>
        <v>4</v>
      </c>
      <c r="G25">
        <f t="shared" si="3"/>
        <v>2.0699999999999998</v>
      </c>
      <c r="H25">
        <f t="shared" si="4"/>
        <v>124</v>
      </c>
      <c r="I25" s="3">
        <f t="shared" si="5"/>
        <v>145.16129032258064</v>
      </c>
      <c r="J25" t="str">
        <f t="shared" si="6"/>
        <v>F</v>
      </c>
    </row>
    <row r="26" spans="1:10" x14ac:dyDescent="0.25">
      <c r="A26" s="4" t="s">
        <v>80</v>
      </c>
      <c r="B26" s="1">
        <v>0.73143899999999995</v>
      </c>
      <c r="C26" s="1">
        <v>0.73288699999999996</v>
      </c>
      <c r="D26" s="1">
        <f t="shared" si="0"/>
        <v>1.4480000000000048E-3</v>
      </c>
      <c r="E26">
        <f t="shared" si="1"/>
        <v>2</v>
      </c>
      <c r="F26">
        <f t="shared" si="2"/>
        <v>5</v>
      </c>
      <c r="G26">
        <f t="shared" si="3"/>
        <v>2.08</v>
      </c>
      <c r="H26">
        <f t="shared" si="4"/>
        <v>125</v>
      </c>
      <c r="I26" s="3">
        <f t="shared" si="5"/>
        <v>144</v>
      </c>
      <c r="J26" t="str">
        <f t="shared" si="6"/>
        <v>F</v>
      </c>
    </row>
    <row r="27" spans="1:10" x14ac:dyDescent="0.25">
      <c r="A27" s="4" t="s">
        <v>47</v>
      </c>
      <c r="B27" s="1">
        <v>7.4501999999999999E-2</v>
      </c>
      <c r="C27" s="1">
        <v>7.3053999999999994E-2</v>
      </c>
      <c r="D27" s="1">
        <f t="shared" si="0"/>
        <v>1.4480000000000048E-3</v>
      </c>
      <c r="E27">
        <f t="shared" si="1"/>
        <v>2</v>
      </c>
      <c r="F27">
        <f t="shared" si="2"/>
        <v>5</v>
      </c>
      <c r="G27">
        <f t="shared" si="3"/>
        <v>2.08</v>
      </c>
      <c r="H27">
        <f t="shared" si="4"/>
        <v>125</v>
      </c>
      <c r="I27" s="3">
        <f t="shared" si="5"/>
        <v>144</v>
      </c>
      <c r="J27" t="str">
        <f t="shared" si="6"/>
        <v>F</v>
      </c>
    </row>
    <row r="28" spans="1:10" x14ac:dyDescent="0.25">
      <c r="A28" s="4" t="s">
        <v>48</v>
      </c>
      <c r="B28" s="1">
        <v>0.53415599999999996</v>
      </c>
      <c r="C28" s="1">
        <v>0.53560399999999997</v>
      </c>
      <c r="D28" s="1">
        <f t="shared" si="0"/>
        <v>1.4480000000000048E-3</v>
      </c>
      <c r="E28">
        <f t="shared" si="1"/>
        <v>2</v>
      </c>
      <c r="F28">
        <f t="shared" si="2"/>
        <v>5</v>
      </c>
      <c r="G28">
        <f t="shared" si="3"/>
        <v>2.08</v>
      </c>
      <c r="H28">
        <f t="shared" si="4"/>
        <v>125</v>
      </c>
      <c r="I28" s="3">
        <f t="shared" si="5"/>
        <v>144</v>
      </c>
      <c r="J28" t="str">
        <f t="shared" si="6"/>
        <v>F</v>
      </c>
    </row>
    <row r="29" spans="1:10" x14ac:dyDescent="0.25">
      <c r="A29" s="4" t="s">
        <v>52</v>
      </c>
      <c r="B29" s="1">
        <v>0.86371399999999998</v>
      </c>
      <c r="C29" s="1">
        <v>0.86516999999999999</v>
      </c>
      <c r="D29" s="1">
        <f t="shared" si="0"/>
        <v>1.4560000000000128E-3</v>
      </c>
      <c r="E29">
        <f t="shared" si="1"/>
        <v>2</v>
      </c>
      <c r="F29">
        <f t="shared" si="2"/>
        <v>6</v>
      </c>
      <c r="G29">
        <f t="shared" si="3"/>
        <v>2.1</v>
      </c>
      <c r="H29">
        <f t="shared" si="4"/>
        <v>126</v>
      </c>
      <c r="I29" s="3">
        <f t="shared" si="5"/>
        <v>142.85714285714286</v>
      </c>
      <c r="J29" t="str">
        <f t="shared" si="6"/>
        <v>F</v>
      </c>
    </row>
    <row r="30" spans="1:10" x14ac:dyDescent="0.25">
      <c r="A30" s="4" t="s">
        <v>49</v>
      </c>
      <c r="B30" s="1">
        <v>0.84440099999999996</v>
      </c>
      <c r="C30" s="1">
        <v>0.84294100000000005</v>
      </c>
      <c r="D30" s="1">
        <f t="shared" si="0"/>
        <v>1.4599999999999058E-3</v>
      </c>
      <c r="E30">
        <f t="shared" si="1"/>
        <v>2</v>
      </c>
      <c r="F30">
        <f t="shared" si="2"/>
        <v>6</v>
      </c>
      <c r="G30">
        <f t="shared" si="3"/>
        <v>2.1</v>
      </c>
      <c r="H30">
        <f t="shared" si="4"/>
        <v>126</v>
      </c>
      <c r="I30" s="3">
        <f t="shared" si="5"/>
        <v>142.85714285714286</v>
      </c>
      <c r="J30" t="str">
        <f t="shared" si="6"/>
        <v>F</v>
      </c>
    </row>
    <row r="31" spans="1:10" x14ac:dyDescent="0.25">
      <c r="A31" s="4" t="s">
        <v>99</v>
      </c>
      <c r="B31" s="1">
        <v>0.51575599999999999</v>
      </c>
      <c r="C31" s="1">
        <v>0.51722000000000001</v>
      </c>
      <c r="D31" s="1">
        <f t="shared" si="0"/>
        <v>1.4640000000000208E-3</v>
      </c>
      <c r="E31">
        <f t="shared" si="1"/>
        <v>2</v>
      </c>
      <c r="F31">
        <f t="shared" si="2"/>
        <v>6</v>
      </c>
      <c r="G31">
        <f t="shared" si="3"/>
        <v>2.1</v>
      </c>
      <c r="H31">
        <f t="shared" si="4"/>
        <v>126</v>
      </c>
      <c r="I31" s="3">
        <f t="shared" si="5"/>
        <v>142.85714285714286</v>
      </c>
      <c r="J31" t="str">
        <f t="shared" si="6"/>
        <v>F</v>
      </c>
    </row>
    <row r="32" spans="1:10" x14ac:dyDescent="0.25">
      <c r="A32" s="4" t="s">
        <v>63</v>
      </c>
      <c r="B32" s="1">
        <v>0.35100700000000001</v>
      </c>
      <c r="C32" s="1">
        <v>0.35246300000000003</v>
      </c>
      <c r="D32" s="1">
        <f t="shared" si="0"/>
        <v>1.4560000000000128E-3</v>
      </c>
      <c r="E32">
        <f t="shared" si="1"/>
        <v>2</v>
      </c>
      <c r="F32">
        <f t="shared" si="2"/>
        <v>6</v>
      </c>
      <c r="G32">
        <f t="shared" si="3"/>
        <v>2.1</v>
      </c>
      <c r="H32">
        <f t="shared" si="4"/>
        <v>126</v>
      </c>
      <c r="I32" s="3">
        <f t="shared" si="5"/>
        <v>142.85714285714286</v>
      </c>
      <c r="J32" t="str">
        <f t="shared" si="6"/>
        <v>F</v>
      </c>
    </row>
    <row r="33" spans="1:10" x14ac:dyDescent="0.25">
      <c r="A33" s="4" t="s">
        <v>199</v>
      </c>
      <c r="B33" s="1">
        <v>5.1676E-2</v>
      </c>
      <c r="C33" s="1">
        <v>5.3148000000000001E-2</v>
      </c>
      <c r="D33" s="1">
        <f t="shared" si="0"/>
        <v>1.4720000000000011E-3</v>
      </c>
      <c r="E33">
        <f t="shared" si="1"/>
        <v>2</v>
      </c>
      <c r="F33">
        <f t="shared" si="2"/>
        <v>7</v>
      </c>
      <c r="G33">
        <f t="shared" si="3"/>
        <v>2.12</v>
      </c>
      <c r="H33">
        <f t="shared" si="4"/>
        <v>127</v>
      </c>
      <c r="I33" s="3">
        <f t="shared" si="5"/>
        <v>141.73228346456693</v>
      </c>
      <c r="J33" t="str">
        <f t="shared" si="6"/>
        <v>F</v>
      </c>
    </row>
    <row r="34" spans="1:10" x14ac:dyDescent="0.25">
      <c r="A34" s="4" t="s">
        <v>246</v>
      </c>
      <c r="B34" s="1">
        <v>0.55222700000000002</v>
      </c>
      <c r="C34" s="1">
        <v>0.550759</v>
      </c>
      <c r="D34" s="1">
        <f t="shared" si="0"/>
        <v>1.4680000000000248E-3</v>
      </c>
      <c r="E34">
        <f t="shared" si="1"/>
        <v>2</v>
      </c>
      <c r="F34">
        <f t="shared" si="2"/>
        <v>7</v>
      </c>
      <c r="G34">
        <f t="shared" si="3"/>
        <v>2.12</v>
      </c>
      <c r="H34">
        <f t="shared" si="4"/>
        <v>127</v>
      </c>
      <c r="I34" s="3">
        <f t="shared" si="5"/>
        <v>141.73228346456693</v>
      </c>
      <c r="J34" t="str">
        <f t="shared" si="6"/>
        <v>F</v>
      </c>
    </row>
    <row r="35" spans="1:10" x14ac:dyDescent="0.25">
      <c r="A35" s="4" t="s">
        <v>291</v>
      </c>
      <c r="B35" s="1">
        <v>0.72183600000000003</v>
      </c>
      <c r="C35" s="1">
        <v>0.72330399999999995</v>
      </c>
      <c r="D35" s="1">
        <f t="shared" si="0"/>
        <v>1.4679999999999138E-3</v>
      </c>
      <c r="E35">
        <f t="shared" si="1"/>
        <v>2</v>
      </c>
      <c r="F35">
        <f t="shared" si="2"/>
        <v>7</v>
      </c>
      <c r="G35">
        <f t="shared" si="3"/>
        <v>2.12</v>
      </c>
      <c r="H35">
        <f t="shared" si="4"/>
        <v>127</v>
      </c>
      <c r="I35" s="3">
        <f t="shared" si="5"/>
        <v>141.73228346456693</v>
      </c>
      <c r="J35" t="str">
        <f t="shared" si="6"/>
        <v>F</v>
      </c>
    </row>
    <row r="36" spans="1:10" x14ac:dyDescent="0.25">
      <c r="A36" s="4" t="s">
        <v>144</v>
      </c>
      <c r="B36" s="1">
        <v>0.73835600000000001</v>
      </c>
      <c r="C36" s="1">
        <v>0.73983200000000005</v>
      </c>
      <c r="D36" s="1">
        <f t="shared" si="0"/>
        <v>1.4760000000000328E-3</v>
      </c>
      <c r="E36">
        <f t="shared" si="1"/>
        <v>2</v>
      </c>
      <c r="F36">
        <f t="shared" si="2"/>
        <v>8</v>
      </c>
      <c r="G36">
        <f t="shared" si="3"/>
        <v>2.13</v>
      </c>
      <c r="H36">
        <f t="shared" si="4"/>
        <v>128</v>
      </c>
      <c r="I36" s="3">
        <f t="shared" si="5"/>
        <v>140.625</v>
      </c>
      <c r="J36" t="str">
        <f t="shared" si="6"/>
        <v>F</v>
      </c>
    </row>
    <row r="37" spans="1:10" x14ac:dyDescent="0.25">
      <c r="A37" s="4" t="s">
        <v>283</v>
      </c>
      <c r="B37" s="1">
        <v>0.16709599999999999</v>
      </c>
      <c r="C37" s="1">
        <v>0.16858000000000001</v>
      </c>
      <c r="D37" s="1">
        <f t="shared" si="0"/>
        <v>1.4840000000000131E-3</v>
      </c>
      <c r="E37">
        <f t="shared" si="1"/>
        <v>2</v>
      </c>
      <c r="F37">
        <f t="shared" si="2"/>
        <v>8</v>
      </c>
      <c r="G37">
        <f t="shared" si="3"/>
        <v>2.13</v>
      </c>
      <c r="H37">
        <f t="shared" si="4"/>
        <v>128</v>
      </c>
      <c r="I37" s="3">
        <f t="shared" si="5"/>
        <v>140.625</v>
      </c>
      <c r="J37" t="str">
        <f t="shared" si="6"/>
        <v>F</v>
      </c>
    </row>
    <row r="38" spans="1:10" x14ac:dyDescent="0.25">
      <c r="A38" s="4" t="s">
        <v>5</v>
      </c>
      <c r="B38" s="1">
        <v>0.53817999999999999</v>
      </c>
      <c r="C38" s="1">
        <v>0.53967600000000004</v>
      </c>
      <c r="D38" s="1">
        <f t="shared" si="0"/>
        <v>1.4960000000000528E-3</v>
      </c>
      <c r="E38">
        <f t="shared" si="1"/>
        <v>2</v>
      </c>
      <c r="F38">
        <f t="shared" si="2"/>
        <v>9</v>
      </c>
      <c r="G38">
        <f t="shared" si="3"/>
        <v>2.15</v>
      </c>
      <c r="H38">
        <f t="shared" si="4"/>
        <v>129</v>
      </c>
      <c r="I38" s="3">
        <f t="shared" si="5"/>
        <v>139.53488372093022</v>
      </c>
      <c r="J38" t="str">
        <f t="shared" si="6"/>
        <v>F</v>
      </c>
    </row>
    <row r="39" spans="1:10" x14ac:dyDescent="0.25">
      <c r="A39" s="4" t="s">
        <v>197</v>
      </c>
      <c r="B39" s="1">
        <v>0.35936200000000001</v>
      </c>
      <c r="C39" s="1">
        <v>0.35786600000000002</v>
      </c>
      <c r="D39" s="1">
        <f t="shared" si="0"/>
        <v>1.4959999999999973E-3</v>
      </c>
      <c r="E39">
        <f t="shared" si="1"/>
        <v>2</v>
      </c>
      <c r="F39">
        <f t="shared" si="2"/>
        <v>9</v>
      </c>
      <c r="G39">
        <f t="shared" si="3"/>
        <v>2.15</v>
      </c>
      <c r="H39">
        <f t="shared" si="4"/>
        <v>129</v>
      </c>
      <c r="I39" s="3">
        <f t="shared" si="5"/>
        <v>139.53488372093022</v>
      </c>
      <c r="J39" t="str">
        <f t="shared" si="6"/>
        <v>F</v>
      </c>
    </row>
    <row r="40" spans="1:10" x14ac:dyDescent="0.25">
      <c r="A40" s="4" t="s">
        <v>383</v>
      </c>
      <c r="B40" s="1">
        <v>5.2143000000000002E-2</v>
      </c>
      <c r="C40" s="1">
        <v>5.0654999999999999E-2</v>
      </c>
      <c r="D40" s="1">
        <f t="shared" si="0"/>
        <v>1.4880000000000032E-3</v>
      </c>
      <c r="E40">
        <f t="shared" si="1"/>
        <v>2</v>
      </c>
      <c r="F40">
        <f t="shared" si="2"/>
        <v>9</v>
      </c>
      <c r="G40">
        <f t="shared" si="3"/>
        <v>2.15</v>
      </c>
      <c r="H40">
        <f t="shared" si="4"/>
        <v>129</v>
      </c>
      <c r="I40" s="3">
        <f t="shared" si="5"/>
        <v>139.53488372093022</v>
      </c>
      <c r="J40" t="str">
        <f t="shared" si="6"/>
        <v>F</v>
      </c>
    </row>
    <row r="41" spans="1:10" x14ac:dyDescent="0.25">
      <c r="A41" s="4" t="s">
        <v>23</v>
      </c>
      <c r="B41" s="1">
        <v>0.41572100000000001</v>
      </c>
      <c r="C41" s="1">
        <v>0.414217</v>
      </c>
      <c r="D41" s="1">
        <f t="shared" si="0"/>
        <v>1.5040000000000053E-3</v>
      </c>
      <c r="E41">
        <f t="shared" si="1"/>
        <v>2</v>
      </c>
      <c r="F41">
        <f t="shared" si="2"/>
        <v>10</v>
      </c>
      <c r="G41">
        <f t="shared" si="3"/>
        <v>2.17</v>
      </c>
      <c r="H41">
        <f t="shared" si="4"/>
        <v>130</v>
      </c>
      <c r="I41" s="3">
        <f t="shared" si="5"/>
        <v>138.46153846153845</v>
      </c>
      <c r="J41" t="str">
        <f t="shared" si="6"/>
        <v>F</v>
      </c>
    </row>
    <row r="42" spans="1:10" x14ac:dyDescent="0.25">
      <c r="A42" s="4" t="s">
        <v>141</v>
      </c>
      <c r="B42" s="1">
        <v>0.138354</v>
      </c>
      <c r="C42" s="1">
        <v>0.13685</v>
      </c>
      <c r="D42" s="1">
        <f t="shared" si="0"/>
        <v>1.5040000000000053E-3</v>
      </c>
      <c r="E42">
        <f t="shared" si="1"/>
        <v>2</v>
      </c>
      <c r="F42">
        <f t="shared" si="2"/>
        <v>10</v>
      </c>
      <c r="G42">
        <f t="shared" si="3"/>
        <v>2.17</v>
      </c>
      <c r="H42">
        <f t="shared" si="4"/>
        <v>130</v>
      </c>
      <c r="I42" s="3">
        <f t="shared" si="5"/>
        <v>138.46153846153845</v>
      </c>
      <c r="J42" t="str">
        <f t="shared" si="6"/>
        <v>F</v>
      </c>
    </row>
    <row r="43" spans="1:10" x14ac:dyDescent="0.25">
      <c r="A43" s="4" t="s">
        <v>95</v>
      </c>
      <c r="B43" s="1">
        <v>0.18242900000000001</v>
      </c>
      <c r="C43" s="1">
        <v>0.18092900000000001</v>
      </c>
      <c r="D43" s="1">
        <f t="shared" si="0"/>
        <v>1.5000000000000013E-3</v>
      </c>
      <c r="E43">
        <f t="shared" si="1"/>
        <v>2</v>
      </c>
      <c r="F43">
        <f t="shared" si="2"/>
        <v>10</v>
      </c>
      <c r="G43">
        <f t="shared" si="3"/>
        <v>2.17</v>
      </c>
      <c r="H43">
        <f t="shared" si="4"/>
        <v>130</v>
      </c>
      <c r="I43" s="3">
        <f t="shared" si="5"/>
        <v>138.46153846153845</v>
      </c>
      <c r="J43" t="str">
        <f t="shared" si="6"/>
        <v>F</v>
      </c>
    </row>
    <row r="44" spans="1:10" x14ac:dyDescent="0.25">
      <c r="A44" s="4" t="s">
        <v>74</v>
      </c>
      <c r="B44" s="1">
        <v>0.27588800000000002</v>
      </c>
      <c r="C44" s="1">
        <v>0.27738800000000002</v>
      </c>
      <c r="D44" s="1">
        <f t="shared" si="0"/>
        <v>1.5000000000000013E-3</v>
      </c>
      <c r="E44">
        <f t="shared" si="1"/>
        <v>2</v>
      </c>
      <c r="F44">
        <f t="shared" si="2"/>
        <v>10</v>
      </c>
      <c r="G44">
        <f t="shared" si="3"/>
        <v>2.17</v>
      </c>
      <c r="H44">
        <f t="shared" si="4"/>
        <v>130</v>
      </c>
      <c r="I44" s="3">
        <f t="shared" si="5"/>
        <v>138.46153846153845</v>
      </c>
      <c r="J44" t="str">
        <f t="shared" si="6"/>
        <v>F</v>
      </c>
    </row>
    <row r="45" spans="1:10" x14ac:dyDescent="0.25">
      <c r="A45" s="4" t="s">
        <v>72</v>
      </c>
      <c r="B45" s="1">
        <v>0.22588900000000001</v>
      </c>
      <c r="C45" s="1">
        <v>0.224385</v>
      </c>
      <c r="D45" s="1">
        <f t="shared" si="0"/>
        <v>1.5040000000000053E-3</v>
      </c>
      <c r="E45">
        <f t="shared" si="1"/>
        <v>2</v>
      </c>
      <c r="F45">
        <f t="shared" si="2"/>
        <v>10</v>
      </c>
      <c r="G45">
        <f t="shared" si="3"/>
        <v>2.17</v>
      </c>
      <c r="H45">
        <f t="shared" si="4"/>
        <v>130</v>
      </c>
      <c r="I45" s="3">
        <f t="shared" si="5"/>
        <v>138.46153846153845</v>
      </c>
      <c r="J45" t="str">
        <f t="shared" si="6"/>
        <v>F</v>
      </c>
    </row>
    <row r="46" spans="1:10" x14ac:dyDescent="0.25">
      <c r="A46" s="4" t="s">
        <v>18</v>
      </c>
      <c r="B46" s="1">
        <v>0.77679200000000004</v>
      </c>
      <c r="C46" s="1">
        <v>0.77528799999999998</v>
      </c>
      <c r="D46" s="1">
        <f t="shared" si="0"/>
        <v>1.5040000000000608E-3</v>
      </c>
      <c r="E46">
        <f t="shared" si="1"/>
        <v>2</v>
      </c>
      <c r="F46">
        <f t="shared" si="2"/>
        <v>10</v>
      </c>
      <c r="G46">
        <f t="shared" si="3"/>
        <v>2.17</v>
      </c>
      <c r="H46">
        <f t="shared" si="4"/>
        <v>130</v>
      </c>
      <c r="I46" s="3">
        <f t="shared" si="5"/>
        <v>138.46153846153845</v>
      </c>
      <c r="J46" t="str">
        <f t="shared" si="6"/>
        <v>F</v>
      </c>
    </row>
    <row r="47" spans="1:10" x14ac:dyDescent="0.25">
      <c r="A47" s="4" t="s">
        <v>104</v>
      </c>
      <c r="B47" s="1">
        <v>0.50448999999999999</v>
      </c>
      <c r="C47" s="1">
        <v>0.50298200000000004</v>
      </c>
      <c r="D47" s="1">
        <f t="shared" si="0"/>
        <v>1.5079999999999538E-3</v>
      </c>
      <c r="E47">
        <f t="shared" si="1"/>
        <v>2</v>
      </c>
      <c r="F47">
        <f t="shared" si="2"/>
        <v>10</v>
      </c>
      <c r="G47">
        <f t="shared" si="3"/>
        <v>2.17</v>
      </c>
      <c r="H47">
        <f t="shared" si="4"/>
        <v>130</v>
      </c>
      <c r="I47" s="3">
        <f t="shared" si="5"/>
        <v>138.46153846153845</v>
      </c>
      <c r="J47" t="str">
        <f t="shared" si="6"/>
        <v>F</v>
      </c>
    </row>
    <row r="48" spans="1:10" x14ac:dyDescent="0.25">
      <c r="A48" s="4" t="s">
        <v>118</v>
      </c>
      <c r="B48" s="1">
        <v>0.83749799999999996</v>
      </c>
      <c r="C48" s="1">
        <v>0.83599400000000001</v>
      </c>
      <c r="D48" s="1">
        <f t="shared" si="0"/>
        <v>1.5039999999999498E-3</v>
      </c>
      <c r="E48">
        <f t="shared" si="1"/>
        <v>2</v>
      </c>
      <c r="F48">
        <f t="shared" si="2"/>
        <v>10</v>
      </c>
      <c r="G48">
        <f t="shared" si="3"/>
        <v>2.17</v>
      </c>
      <c r="H48">
        <f t="shared" si="4"/>
        <v>130</v>
      </c>
      <c r="I48" s="3">
        <f t="shared" si="5"/>
        <v>138.46153846153845</v>
      </c>
      <c r="J48" t="str">
        <f t="shared" si="6"/>
        <v>F</v>
      </c>
    </row>
    <row r="49" spans="1:10" x14ac:dyDescent="0.25">
      <c r="A49" s="4" t="s">
        <v>87</v>
      </c>
      <c r="B49" s="1">
        <v>0.52210599999999996</v>
      </c>
      <c r="C49" s="1">
        <v>0.52360600000000002</v>
      </c>
      <c r="D49" s="1">
        <f t="shared" si="0"/>
        <v>1.5000000000000568E-3</v>
      </c>
      <c r="E49">
        <f t="shared" si="1"/>
        <v>2</v>
      </c>
      <c r="F49">
        <f t="shared" si="2"/>
        <v>10</v>
      </c>
      <c r="G49">
        <f t="shared" si="3"/>
        <v>2.17</v>
      </c>
      <c r="H49">
        <f t="shared" si="4"/>
        <v>130</v>
      </c>
      <c r="I49" s="3">
        <f t="shared" si="5"/>
        <v>138.46153846153845</v>
      </c>
      <c r="J49" t="str">
        <f t="shared" si="6"/>
        <v>F</v>
      </c>
    </row>
    <row r="50" spans="1:10" x14ac:dyDescent="0.25">
      <c r="A50" s="4" t="s">
        <v>234</v>
      </c>
      <c r="B50" s="1">
        <v>0.53744899999999995</v>
      </c>
      <c r="C50" s="1">
        <v>0.53895300000000002</v>
      </c>
      <c r="D50" s="1">
        <f t="shared" si="0"/>
        <v>1.5040000000000608E-3</v>
      </c>
      <c r="E50">
        <f t="shared" si="1"/>
        <v>2</v>
      </c>
      <c r="F50">
        <f t="shared" si="2"/>
        <v>10</v>
      </c>
      <c r="G50">
        <f t="shared" si="3"/>
        <v>2.17</v>
      </c>
      <c r="H50">
        <f t="shared" si="4"/>
        <v>130</v>
      </c>
      <c r="I50" s="3">
        <f t="shared" si="5"/>
        <v>138.46153846153845</v>
      </c>
      <c r="J50" t="str">
        <f t="shared" si="6"/>
        <v>F</v>
      </c>
    </row>
    <row r="51" spans="1:10" x14ac:dyDescent="0.25">
      <c r="A51" s="4" t="s">
        <v>134</v>
      </c>
      <c r="B51" s="1">
        <v>0.86431400000000003</v>
      </c>
      <c r="C51" s="1">
        <v>0.86280199999999996</v>
      </c>
      <c r="D51" s="1">
        <f t="shared" si="0"/>
        <v>1.5120000000000688E-3</v>
      </c>
      <c r="E51">
        <f t="shared" si="1"/>
        <v>2</v>
      </c>
      <c r="F51">
        <f t="shared" si="2"/>
        <v>11</v>
      </c>
      <c r="G51">
        <f t="shared" si="3"/>
        <v>2.1800000000000002</v>
      </c>
      <c r="H51">
        <f t="shared" si="4"/>
        <v>131</v>
      </c>
      <c r="I51" s="3">
        <f t="shared" si="5"/>
        <v>137.40458015267177</v>
      </c>
      <c r="J51" t="str">
        <f t="shared" si="6"/>
        <v>F</v>
      </c>
    </row>
    <row r="52" spans="1:10" x14ac:dyDescent="0.25">
      <c r="A52" s="4" t="s">
        <v>16</v>
      </c>
      <c r="B52" s="1">
        <v>0.26755400000000001</v>
      </c>
      <c r="C52" s="1">
        <v>0.266042</v>
      </c>
      <c r="D52" s="1">
        <f t="shared" si="0"/>
        <v>1.5120000000000133E-3</v>
      </c>
      <c r="E52">
        <f t="shared" si="1"/>
        <v>2</v>
      </c>
      <c r="F52">
        <f t="shared" si="2"/>
        <v>11</v>
      </c>
      <c r="G52">
        <f t="shared" si="3"/>
        <v>2.1800000000000002</v>
      </c>
      <c r="H52">
        <f t="shared" si="4"/>
        <v>131</v>
      </c>
      <c r="I52" s="3">
        <f t="shared" si="5"/>
        <v>137.40458015267177</v>
      </c>
      <c r="J52" t="str">
        <f t="shared" si="6"/>
        <v>F</v>
      </c>
    </row>
    <row r="53" spans="1:10" x14ac:dyDescent="0.25">
      <c r="A53" s="4" t="s">
        <v>181</v>
      </c>
      <c r="B53" s="1">
        <v>0.89040600000000003</v>
      </c>
      <c r="C53" s="1">
        <v>0.88888599999999995</v>
      </c>
      <c r="D53" s="1">
        <f t="shared" si="0"/>
        <v>1.5200000000000768E-3</v>
      </c>
      <c r="E53">
        <f t="shared" si="1"/>
        <v>2</v>
      </c>
      <c r="F53">
        <f t="shared" si="2"/>
        <v>11</v>
      </c>
      <c r="G53">
        <f t="shared" si="3"/>
        <v>2.1800000000000002</v>
      </c>
      <c r="H53">
        <f t="shared" si="4"/>
        <v>131</v>
      </c>
      <c r="I53" s="3">
        <f t="shared" si="5"/>
        <v>137.40458015267177</v>
      </c>
      <c r="J53" t="str">
        <f t="shared" si="6"/>
        <v>F</v>
      </c>
    </row>
    <row r="54" spans="1:10" x14ac:dyDescent="0.25">
      <c r="A54" s="4" t="s">
        <v>339</v>
      </c>
      <c r="B54" s="1">
        <v>0.55148399999999997</v>
      </c>
      <c r="C54" s="1">
        <v>0.55299600000000004</v>
      </c>
      <c r="D54" s="1">
        <f t="shared" si="0"/>
        <v>1.5120000000000688E-3</v>
      </c>
      <c r="E54">
        <f t="shared" si="1"/>
        <v>2</v>
      </c>
      <c r="F54">
        <f t="shared" si="2"/>
        <v>11</v>
      </c>
      <c r="G54">
        <f t="shared" si="3"/>
        <v>2.1800000000000002</v>
      </c>
      <c r="H54">
        <f t="shared" si="4"/>
        <v>131</v>
      </c>
      <c r="I54" s="3">
        <f t="shared" si="5"/>
        <v>137.40458015267177</v>
      </c>
      <c r="J54" t="str">
        <f t="shared" si="6"/>
        <v>F</v>
      </c>
    </row>
    <row r="55" spans="1:10" x14ac:dyDescent="0.25">
      <c r="A55" s="4" t="s">
        <v>120</v>
      </c>
      <c r="B55" s="1">
        <v>0.67288400000000004</v>
      </c>
      <c r="C55" s="1">
        <v>0.67135999999999996</v>
      </c>
      <c r="D55" s="1">
        <f t="shared" si="0"/>
        <v>1.5240000000000808E-3</v>
      </c>
      <c r="E55">
        <f t="shared" si="1"/>
        <v>2</v>
      </c>
      <c r="F55">
        <f t="shared" si="2"/>
        <v>12</v>
      </c>
      <c r="G55">
        <f t="shared" si="3"/>
        <v>2.2000000000000002</v>
      </c>
      <c r="H55">
        <f t="shared" si="4"/>
        <v>132</v>
      </c>
      <c r="I55" s="3">
        <f t="shared" si="5"/>
        <v>136.36363636363637</v>
      </c>
      <c r="J55" t="str">
        <f t="shared" si="6"/>
        <v>F</v>
      </c>
    </row>
    <row r="56" spans="1:10" x14ac:dyDescent="0.25">
      <c r="A56" s="4" t="s">
        <v>153</v>
      </c>
      <c r="B56" s="1">
        <v>0.13258500000000001</v>
      </c>
      <c r="C56" s="1">
        <v>0.13410900000000001</v>
      </c>
      <c r="D56" s="1">
        <f t="shared" si="0"/>
        <v>1.5239999999999976E-3</v>
      </c>
      <c r="E56">
        <f t="shared" si="1"/>
        <v>2</v>
      </c>
      <c r="F56">
        <f t="shared" si="2"/>
        <v>12</v>
      </c>
      <c r="G56">
        <f t="shared" si="3"/>
        <v>2.2000000000000002</v>
      </c>
      <c r="H56">
        <f t="shared" si="4"/>
        <v>132</v>
      </c>
      <c r="I56" s="3">
        <f t="shared" si="5"/>
        <v>136.36363636363637</v>
      </c>
      <c r="J56" t="str">
        <f t="shared" si="6"/>
        <v>F</v>
      </c>
    </row>
    <row r="57" spans="1:10" x14ac:dyDescent="0.25">
      <c r="A57" s="4" t="s">
        <v>47</v>
      </c>
      <c r="B57" s="1">
        <v>0.23163800000000001</v>
      </c>
      <c r="C57" s="1">
        <v>0.23316999999999999</v>
      </c>
      <c r="D57" s="1">
        <f t="shared" si="0"/>
        <v>1.5319999999999778E-3</v>
      </c>
      <c r="E57">
        <f t="shared" si="1"/>
        <v>2</v>
      </c>
      <c r="F57">
        <f t="shared" si="2"/>
        <v>12</v>
      </c>
      <c r="G57">
        <f t="shared" si="3"/>
        <v>2.2000000000000002</v>
      </c>
      <c r="H57">
        <f t="shared" si="4"/>
        <v>132</v>
      </c>
      <c r="I57" s="3">
        <f t="shared" si="5"/>
        <v>136.36363636363637</v>
      </c>
      <c r="J57" t="str">
        <f t="shared" si="6"/>
        <v>F</v>
      </c>
    </row>
    <row r="58" spans="1:10" x14ac:dyDescent="0.25">
      <c r="A58" s="4" t="s">
        <v>60</v>
      </c>
      <c r="B58" s="1">
        <v>0.42548900000000001</v>
      </c>
      <c r="C58" s="1">
        <v>0.42702099999999998</v>
      </c>
      <c r="D58" s="1">
        <f t="shared" si="0"/>
        <v>1.5319999999999778E-3</v>
      </c>
      <c r="E58">
        <f t="shared" si="1"/>
        <v>2</v>
      </c>
      <c r="F58">
        <f t="shared" si="2"/>
        <v>12</v>
      </c>
      <c r="G58">
        <f t="shared" si="3"/>
        <v>2.2000000000000002</v>
      </c>
      <c r="H58">
        <f t="shared" si="4"/>
        <v>132</v>
      </c>
      <c r="I58" s="3">
        <f t="shared" si="5"/>
        <v>136.36363636363637</v>
      </c>
      <c r="J58" t="str">
        <f t="shared" si="6"/>
        <v>F</v>
      </c>
    </row>
    <row r="59" spans="1:10" x14ac:dyDescent="0.25">
      <c r="A59" s="4" t="s">
        <v>280</v>
      </c>
      <c r="B59" s="1">
        <v>8.2901000000000002E-2</v>
      </c>
      <c r="C59" s="1">
        <v>8.4425E-2</v>
      </c>
      <c r="D59" s="1">
        <f t="shared" si="0"/>
        <v>1.5239999999999976E-3</v>
      </c>
      <c r="E59">
        <f t="shared" si="1"/>
        <v>2</v>
      </c>
      <c r="F59">
        <f t="shared" si="2"/>
        <v>12</v>
      </c>
      <c r="G59">
        <f t="shared" si="3"/>
        <v>2.2000000000000002</v>
      </c>
      <c r="H59">
        <f t="shared" si="4"/>
        <v>132</v>
      </c>
      <c r="I59" s="3">
        <f t="shared" si="5"/>
        <v>136.36363636363637</v>
      </c>
      <c r="J59" t="str">
        <f t="shared" si="6"/>
        <v>F</v>
      </c>
    </row>
    <row r="60" spans="1:10" x14ac:dyDescent="0.25">
      <c r="A60" s="4" t="s">
        <v>74</v>
      </c>
      <c r="B60" s="1">
        <v>0.20558899999999999</v>
      </c>
      <c r="C60" s="1">
        <v>0.20712900000000001</v>
      </c>
      <c r="D60" s="1">
        <f t="shared" si="0"/>
        <v>1.5400000000000136E-3</v>
      </c>
      <c r="E60">
        <f t="shared" si="1"/>
        <v>2</v>
      </c>
      <c r="F60">
        <f t="shared" si="2"/>
        <v>13</v>
      </c>
      <c r="G60">
        <f t="shared" si="3"/>
        <v>2.2200000000000002</v>
      </c>
      <c r="H60">
        <f t="shared" si="4"/>
        <v>133</v>
      </c>
      <c r="I60" s="3">
        <f t="shared" si="5"/>
        <v>135.33834586466165</v>
      </c>
      <c r="J60" t="str">
        <f t="shared" si="6"/>
        <v>F</v>
      </c>
    </row>
    <row r="61" spans="1:10" x14ac:dyDescent="0.25">
      <c r="A61" s="4" t="s">
        <v>93</v>
      </c>
      <c r="B61" s="1">
        <v>0.24371599999999999</v>
      </c>
      <c r="C61" s="1">
        <v>0.24526400000000001</v>
      </c>
      <c r="D61" s="1">
        <f t="shared" si="0"/>
        <v>1.5480000000000216E-3</v>
      </c>
      <c r="E61">
        <f t="shared" si="1"/>
        <v>2</v>
      </c>
      <c r="F61">
        <f t="shared" si="2"/>
        <v>14</v>
      </c>
      <c r="G61">
        <f t="shared" si="3"/>
        <v>2.23</v>
      </c>
      <c r="H61">
        <f t="shared" si="4"/>
        <v>134</v>
      </c>
      <c r="I61" s="3">
        <f t="shared" si="5"/>
        <v>134.32835820895522</v>
      </c>
      <c r="J61" t="str">
        <f t="shared" si="6"/>
        <v>F</v>
      </c>
    </row>
    <row r="62" spans="1:10" x14ac:dyDescent="0.25">
      <c r="A62" s="4" t="s">
        <v>68</v>
      </c>
      <c r="B62" s="1">
        <v>0.398974</v>
      </c>
      <c r="C62" s="1">
        <v>0.40052599999999999</v>
      </c>
      <c r="D62" s="1">
        <f t="shared" si="0"/>
        <v>1.5519999999999978E-3</v>
      </c>
      <c r="E62">
        <f t="shared" si="1"/>
        <v>2</v>
      </c>
      <c r="F62">
        <f t="shared" si="2"/>
        <v>14</v>
      </c>
      <c r="G62">
        <f t="shared" si="3"/>
        <v>2.23</v>
      </c>
      <c r="H62">
        <f t="shared" si="4"/>
        <v>134</v>
      </c>
      <c r="I62" s="3">
        <f t="shared" si="5"/>
        <v>134.32835820895522</v>
      </c>
      <c r="J62" t="str">
        <f t="shared" si="6"/>
        <v>F</v>
      </c>
    </row>
    <row r="63" spans="1:10" x14ac:dyDescent="0.25">
      <c r="A63" s="4" t="s">
        <v>57</v>
      </c>
      <c r="B63" s="1">
        <v>0.174453</v>
      </c>
      <c r="C63" s="1">
        <v>0.176009</v>
      </c>
      <c r="D63" s="1">
        <f t="shared" si="0"/>
        <v>1.5560000000000018E-3</v>
      </c>
      <c r="E63">
        <f t="shared" si="1"/>
        <v>2</v>
      </c>
      <c r="F63">
        <f t="shared" si="2"/>
        <v>14</v>
      </c>
      <c r="G63">
        <f t="shared" si="3"/>
        <v>2.23</v>
      </c>
      <c r="H63">
        <f t="shared" si="4"/>
        <v>134</v>
      </c>
      <c r="I63" s="3">
        <f t="shared" si="5"/>
        <v>134.32835820895522</v>
      </c>
      <c r="J63" t="str">
        <f t="shared" si="6"/>
        <v>F</v>
      </c>
    </row>
    <row r="64" spans="1:10" x14ac:dyDescent="0.25">
      <c r="A64" s="4" t="s">
        <v>93</v>
      </c>
      <c r="B64" s="1">
        <v>0.64764299999999997</v>
      </c>
      <c r="C64" s="1">
        <v>0.64919099999999996</v>
      </c>
      <c r="D64" s="1">
        <f t="shared" si="0"/>
        <v>1.5479999999999938E-3</v>
      </c>
      <c r="E64">
        <f t="shared" si="1"/>
        <v>2</v>
      </c>
      <c r="F64">
        <f t="shared" si="2"/>
        <v>14</v>
      </c>
      <c r="G64">
        <f t="shared" si="3"/>
        <v>2.23</v>
      </c>
      <c r="H64">
        <f t="shared" si="4"/>
        <v>134</v>
      </c>
      <c r="I64" s="3">
        <f t="shared" si="5"/>
        <v>134.32835820895522</v>
      </c>
      <c r="J64" t="str">
        <f t="shared" si="6"/>
        <v>F</v>
      </c>
    </row>
    <row r="65" spans="1:10" x14ac:dyDescent="0.25">
      <c r="A65" s="4" t="s">
        <v>117</v>
      </c>
      <c r="B65" s="1">
        <v>3.3759999999999998E-2</v>
      </c>
      <c r="C65" s="1">
        <v>3.5316E-2</v>
      </c>
      <c r="D65" s="1">
        <f t="shared" si="0"/>
        <v>1.5560000000000018E-3</v>
      </c>
      <c r="E65">
        <f t="shared" si="1"/>
        <v>2</v>
      </c>
      <c r="F65">
        <f t="shared" si="2"/>
        <v>14</v>
      </c>
      <c r="G65">
        <f t="shared" si="3"/>
        <v>2.23</v>
      </c>
      <c r="H65">
        <f t="shared" si="4"/>
        <v>134</v>
      </c>
      <c r="I65" s="3">
        <f t="shared" si="5"/>
        <v>134.32835820895522</v>
      </c>
      <c r="J65" t="str">
        <f t="shared" si="6"/>
        <v>F</v>
      </c>
    </row>
    <row r="66" spans="1:10" x14ac:dyDescent="0.25">
      <c r="A66" s="4" t="s">
        <v>109</v>
      </c>
      <c r="B66" s="1">
        <v>0.38767800000000002</v>
      </c>
      <c r="C66" s="1">
        <v>0.38923000000000002</v>
      </c>
      <c r="D66" s="1">
        <f t="shared" ref="D66:D129" si="7">IF(B66&gt;C66,B66-C66,C66-B66)</f>
        <v>1.5519999999999978E-3</v>
      </c>
      <c r="E66">
        <f t="shared" ref="E66:E129" si="8">MINUTE(D66)</f>
        <v>2</v>
      </c>
      <c r="F66">
        <f t="shared" ref="F66:F129" si="9">SECOND(D66)</f>
        <v>14</v>
      </c>
      <c r="G66">
        <f t="shared" ref="G66:G129" si="10">ROUND(E66+F66/60,2)</f>
        <v>2.23</v>
      </c>
      <c r="H66">
        <f t="shared" ref="H66:H129" si="11">60*E66+F66</f>
        <v>134</v>
      </c>
      <c r="I66" s="3">
        <f t="shared" ref="I66:I129" si="12">5*(3600/H66)</f>
        <v>134.32835820895522</v>
      </c>
      <c r="J66" t="str">
        <f t="shared" ref="J66:J129" si="13">IF(MID(A66,3,2)="18","T","F")</f>
        <v>F</v>
      </c>
    </row>
    <row r="67" spans="1:10" x14ac:dyDescent="0.25">
      <c r="A67" s="4" t="s">
        <v>203</v>
      </c>
      <c r="B67" s="1">
        <v>0.49404599999999999</v>
      </c>
      <c r="C67" s="1">
        <v>0.49249399999999999</v>
      </c>
      <c r="D67" s="1">
        <f t="shared" si="7"/>
        <v>1.5519999999999978E-3</v>
      </c>
      <c r="E67">
        <f t="shared" si="8"/>
        <v>2</v>
      </c>
      <c r="F67">
        <f t="shared" si="9"/>
        <v>14</v>
      </c>
      <c r="G67">
        <f t="shared" si="10"/>
        <v>2.23</v>
      </c>
      <c r="H67">
        <f t="shared" si="11"/>
        <v>134</v>
      </c>
      <c r="I67" s="3">
        <f t="shared" si="12"/>
        <v>134.32835820895522</v>
      </c>
      <c r="J67" t="str">
        <f t="shared" si="13"/>
        <v>F</v>
      </c>
    </row>
    <row r="68" spans="1:10" x14ac:dyDescent="0.25">
      <c r="A68" s="4" t="s">
        <v>131</v>
      </c>
      <c r="B68" s="1">
        <v>0.380658</v>
      </c>
      <c r="C68" s="1">
        <v>0.37909399999999999</v>
      </c>
      <c r="D68" s="1">
        <f t="shared" si="7"/>
        <v>1.5640000000000098E-3</v>
      </c>
      <c r="E68">
        <f t="shared" si="8"/>
        <v>2</v>
      </c>
      <c r="F68">
        <f t="shared" si="9"/>
        <v>15</v>
      </c>
      <c r="G68">
        <f t="shared" si="10"/>
        <v>2.25</v>
      </c>
      <c r="H68">
        <f t="shared" si="11"/>
        <v>135</v>
      </c>
      <c r="I68" s="3">
        <f t="shared" si="12"/>
        <v>133.33333333333334</v>
      </c>
      <c r="J68" t="str">
        <f t="shared" si="13"/>
        <v>F</v>
      </c>
    </row>
    <row r="69" spans="1:10" x14ac:dyDescent="0.25">
      <c r="A69" s="4" t="s">
        <v>82</v>
      </c>
      <c r="B69" s="1">
        <v>0.34303299999999998</v>
      </c>
      <c r="C69" s="1">
        <v>0.34460099999999999</v>
      </c>
      <c r="D69" s="1">
        <f t="shared" si="7"/>
        <v>1.5680000000000138E-3</v>
      </c>
      <c r="E69">
        <f t="shared" si="8"/>
        <v>2</v>
      </c>
      <c r="F69">
        <f t="shared" si="9"/>
        <v>15</v>
      </c>
      <c r="G69">
        <f t="shared" si="10"/>
        <v>2.25</v>
      </c>
      <c r="H69">
        <f t="shared" si="11"/>
        <v>135</v>
      </c>
      <c r="I69" s="3">
        <f t="shared" si="12"/>
        <v>133.33333333333334</v>
      </c>
      <c r="J69" t="str">
        <f t="shared" si="13"/>
        <v>F</v>
      </c>
    </row>
    <row r="70" spans="1:10" x14ac:dyDescent="0.25">
      <c r="A70" s="4" t="s">
        <v>20</v>
      </c>
      <c r="B70" s="1">
        <v>0.262909</v>
      </c>
      <c r="C70" s="1">
        <v>0.26447300000000001</v>
      </c>
      <c r="D70" s="1">
        <f t="shared" si="7"/>
        <v>1.5640000000000098E-3</v>
      </c>
      <c r="E70">
        <f t="shared" si="8"/>
        <v>2</v>
      </c>
      <c r="F70">
        <f t="shared" si="9"/>
        <v>15</v>
      </c>
      <c r="G70">
        <f t="shared" si="10"/>
        <v>2.25</v>
      </c>
      <c r="H70">
        <f t="shared" si="11"/>
        <v>135</v>
      </c>
      <c r="I70" s="3">
        <f t="shared" si="12"/>
        <v>133.33333333333334</v>
      </c>
      <c r="J70" t="str">
        <f t="shared" si="13"/>
        <v>F</v>
      </c>
    </row>
    <row r="71" spans="1:10" x14ac:dyDescent="0.25">
      <c r="A71" s="4" t="s">
        <v>297</v>
      </c>
      <c r="B71" s="1">
        <v>0.63311200000000001</v>
      </c>
      <c r="C71" s="1">
        <v>0.63467600000000002</v>
      </c>
      <c r="D71" s="1">
        <f t="shared" si="7"/>
        <v>1.5640000000000098E-3</v>
      </c>
      <c r="E71">
        <f t="shared" si="8"/>
        <v>2</v>
      </c>
      <c r="F71">
        <f t="shared" si="9"/>
        <v>15</v>
      </c>
      <c r="G71">
        <f t="shared" si="10"/>
        <v>2.25</v>
      </c>
      <c r="H71">
        <f t="shared" si="11"/>
        <v>135</v>
      </c>
      <c r="I71" s="3">
        <f t="shared" si="12"/>
        <v>133.33333333333334</v>
      </c>
      <c r="J71" t="str">
        <f t="shared" si="13"/>
        <v>F</v>
      </c>
    </row>
    <row r="72" spans="1:10" x14ac:dyDescent="0.25">
      <c r="A72" s="4" t="s">
        <v>3</v>
      </c>
      <c r="B72" s="1">
        <v>0.140041</v>
      </c>
      <c r="C72" s="1">
        <v>0.14161699999999999</v>
      </c>
      <c r="D72" s="1">
        <f t="shared" si="7"/>
        <v>1.5759999999999941E-3</v>
      </c>
      <c r="E72">
        <f t="shared" si="8"/>
        <v>2</v>
      </c>
      <c r="F72">
        <f t="shared" si="9"/>
        <v>16</v>
      </c>
      <c r="G72">
        <f t="shared" si="10"/>
        <v>2.27</v>
      </c>
      <c r="H72">
        <f t="shared" si="11"/>
        <v>136</v>
      </c>
      <c r="I72" s="3">
        <f t="shared" si="12"/>
        <v>132.35294117647058</v>
      </c>
      <c r="J72" t="str">
        <f t="shared" si="13"/>
        <v>F</v>
      </c>
    </row>
    <row r="73" spans="1:10" x14ac:dyDescent="0.25">
      <c r="A73" s="4" t="s">
        <v>83</v>
      </c>
      <c r="B73" s="1">
        <v>0.72719900000000004</v>
      </c>
      <c r="C73" s="1">
        <v>0.72877099999999995</v>
      </c>
      <c r="D73" s="1">
        <f t="shared" si="7"/>
        <v>1.5719999999999068E-3</v>
      </c>
      <c r="E73">
        <f t="shared" si="8"/>
        <v>2</v>
      </c>
      <c r="F73">
        <f t="shared" si="9"/>
        <v>16</v>
      </c>
      <c r="G73">
        <f t="shared" si="10"/>
        <v>2.27</v>
      </c>
      <c r="H73">
        <f t="shared" si="11"/>
        <v>136</v>
      </c>
      <c r="I73" s="3">
        <f t="shared" si="12"/>
        <v>132.35294117647058</v>
      </c>
      <c r="J73" t="str">
        <f t="shared" si="13"/>
        <v>F</v>
      </c>
    </row>
    <row r="74" spans="1:10" x14ac:dyDescent="0.25">
      <c r="A74" s="4" t="s">
        <v>62</v>
      </c>
      <c r="B74" s="1">
        <v>8.6955000000000005E-2</v>
      </c>
      <c r="C74" s="1">
        <v>8.5378999999999997E-2</v>
      </c>
      <c r="D74" s="1">
        <f t="shared" si="7"/>
        <v>1.576000000000008E-3</v>
      </c>
      <c r="E74">
        <f t="shared" si="8"/>
        <v>2</v>
      </c>
      <c r="F74">
        <f t="shared" si="9"/>
        <v>16</v>
      </c>
      <c r="G74">
        <f t="shared" si="10"/>
        <v>2.27</v>
      </c>
      <c r="H74">
        <f t="shared" si="11"/>
        <v>136</v>
      </c>
      <c r="I74" s="3">
        <f t="shared" si="12"/>
        <v>132.35294117647058</v>
      </c>
      <c r="J74" t="str">
        <f t="shared" si="13"/>
        <v>F</v>
      </c>
    </row>
    <row r="75" spans="1:10" x14ac:dyDescent="0.25">
      <c r="A75" s="4" t="s">
        <v>252</v>
      </c>
      <c r="B75" s="1">
        <v>0.40370400000000001</v>
      </c>
      <c r="C75" s="1">
        <v>0.40213199999999999</v>
      </c>
      <c r="D75" s="1">
        <f t="shared" si="7"/>
        <v>1.5720000000000178E-3</v>
      </c>
      <c r="E75">
        <f t="shared" si="8"/>
        <v>2</v>
      </c>
      <c r="F75">
        <f t="shared" si="9"/>
        <v>16</v>
      </c>
      <c r="G75">
        <f t="shared" si="10"/>
        <v>2.27</v>
      </c>
      <c r="H75">
        <f t="shared" si="11"/>
        <v>136</v>
      </c>
      <c r="I75" s="3">
        <f t="shared" si="12"/>
        <v>132.35294117647058</v>
      </c>
      <c r="J75" t="str">
        <f t="shared" si="13"/>
        <v>F</v>
      </c>
    </row>
    <row r="76" spans="1:10" x14ac:dyDescent="0.25">
      <c r="A76" s="4" t="s">
        <v>125</v>
      </c>
      <c r="B76" s="1">
        <v>0.93394999999999995</v>
      </c>
      <c r="C76" s="1">
        <v>0.93237000000000003</v>
      </c>
      <c r="D76" s="1">
        <f t="shared" si="7"/>
        <v>1.5799999999999148E-3</v>
      </c>
      <c r="E76">
        <f t="shared" si="8"/>
        <v>2</v>
      </c>
      <c r="F76">
        <f t="shared" si="9"/>
        <v>17</v>
      </c>
      <c r="G76">
        <f t="shared" si="10"/>
        <v>2.2799999999999998</v>
      </c>
      <c r="H76">
        <f t="shared" si="11"/>
        <v>137</v>
      </c>
      <c r="I76" s="3">
        <f t="shared" si="12"/>
        <v>131.38686131386862</v>
      </c>
      <c r="J76" t="str">
        <f t="shared" si="13"/>
        <v>F</v>
      </c>
    </row>
    <row r="77" spans="1:10" x14ac:dyDescent="0.25">
      <c r="A77" s="4" t="s">
        <v>354</v>
      </c>
      <c r="B77" s="1">
        <v>0.58568299999999995</v>
      </c>
      <c r="C77" s="1">
        <v>0.58726699999999998</v>
      </c>
      <c r="D77" s="1">
        <f t="shared" si="7"/>
        <v>1.5840000000000298E-3</v>
      </c>
      <c r="E77">
        <f t="shared" si="8"/>
        <v>2</v>
      </c>
      <c r="F77">
        <f t="shared" si="9"/>
        <v>17</v>
      </c>
      <c r="G77">
        <f t="shared" si="10"/>
        <v>2.2799999999999998</v>
      </c>
      <c r="H77">
        <f t="shared" si="11"/>
        <v>137</v>
      </c>
      <c r="I77" s="3">
        <f t="shared" si="12"/>
        <v>131.38686131386862</v>
      </c>
      <c r="J77" t="str">
        <f t="shared" si="13"/>
        <v>F</v>
      </c>
    </row>
    <row r="78" spans="1:10" x14ac:dyDescent="0.25">
      <c r="A78" s="4" t="s">
        <v>21</v>
      </c>
      <c r="B78" s="1">
        <v>0.99788299999999996</v>
      </c>
      <c r="C78" s="1">
        <v>0.99948300000000001</v>
      </c>
      <c r="D78" s="1">
        <f t="shared" si="7"/>
        <v>1.6000000000000458E-3</v>
      </c>
      <c r="E78">
        <f t="shared" si="8"/>
        <v>2</v>
      </c>
      <c r="F78">
        <f t="shared" si="9"/>
        <v>18</v>
      </c>
      <c r="G78">
        <f t="shared" si="10"/>
        <v>2.2999999999999998</v>
      </c>
      <c r="H78">
        <f t="shared" si="11"/>
        <v>138</v>
      </c>
      <c r="I78" s="3">
        <f t="shared" si="12"/>
        <v>130.43478260869566</v>
      </c>
      <c r="J78" t="str">
        <f t="shared" si="13"/>
        <v>F</v>
      </c>
    </row>
    <row r="79" spans="1:10" x14ac:dyDescent="0.25">
      <c r="A79" s="4" t="s">
        <v>5</v>
      </c>
      <c r="B79" s="1">
        <v>0.19459099999999999</v>
      </c>
      <c r="C79" s="1">
        <v>0.196183</v>
      </c>
      <c r="D79" s="1">
        <f t="shared" si="7"/>
        <v>1.5920000000000101E-3</v>
      </c>
      <c r="E79">
        <f t="shared" si="8"/>
        <v>2</v>
      </c>
      <c r="F79">
        <f t="shared" si="9"/>
        <v>18</v>
      </c>
      <c r="G79">
        <f t="shared" si="10"/>
        <v>2.2999999999999998</v>
      </c>
      <c r="H79">
        <f t="shared" si="11"/>
        <v>138</v>
      </c>
      <c r="I79" s="3">
        <f t="shared" si="12"/>
        <v>130.43478260869566</v>
      </c>
      <c r="J79" t="str">
        <f t="shared" si="13"/>
        <v>F</v>
      </c>
    </row>
    <row r="80" spans="1:10" x14ac:dyDescent="0.25">
      <c r="A80" s="4" t="s">
        <v>386</v>
      </c>
      <c r="B80" s="1">
        <v>0.71810700000000005</v>
      </c>
      <c r="C80" s="1">
        <v>0.71969899999999998</v>
      </c>
      <c r="D80" s="1">
        <f t="shared" si="7"/>
        <v>1.5919999999999268E-3</v>
      </c>
      <c r="E80">
        <f t="shared" si="8"/>
        <v>2</v>
      </c>
      <c r="F80">
        <f t="shared" si="9"/>
        <v>18</v>
      </c>
      <c r="G80">
        <f t="shared" si="10"/>
        <v>2.2999999999999998</v>
      </c>
      <c r="H80">
        <f t="shared" si="11"/>
        <v>138</v>
      </c>
      <c r="I80" s="3">
        <f t="shared" si="12"/>
        <v>130.43478260869566</v>
      </c>
      <c r="J80" t="str">
        <f t="shared" si="13"/>
        <v>F</v>
      </c>
    </row>
    <row r="81" spans="1:10" x14ac:dyDescent="0.25">
      <c r="A81" s="4" t="s">
        <v>162</v>
      </c>
      <c r="B81" s="1">
        <v>0.97303899999999999</v>
      </c>
      <c r="C81" s="1">
        <v>0.97464700000000004</v>
      </c>
      <c r="D81" s="1">
        <f t="shared" si="7"/>
        <v>1.6080000000000538E-3</v>
      </c>
      <c r="E81">
        <f t="shared" si="8"/>
        <v>2</v>
      </c>
      <c r="F81">
        <f t="shared" si="9"/>
        <v>19</v>
      </c>
      <c r="G81">
        <f t="shared" si="10"/>
        <v>2.3199999999999998</v>
      </c>
      <c r="H81">
        <f t="shared" si="11"/>
        <v>139</v>
      </c>
      <c r="I81" s="3">
        <f t="shared" si="12"/>
        <v>129.49640287769785</v>
      </c>
      <c r="J81" t="str">
        <f t="shared" si="13"/>
        <v>F</v>
      </c>
    </row>
    <row r="82" spans="1:10" x14ac:dyDescent="0.25">
      <c r="A82" s="4" t="s">
        <v>85</v>
      </c>
      <c r="B82" s="1">
        <v>9.6156000000000005E-2</v>
      </c>
      <c r="C82" s="1">
        <v>9.7767999999999994E-2</v>
      </c>
      <c r="D82" s="1">
        <f t="shared" si="7"/>
        <v>1.6119999999999884E-3</v>
      </c>
      <c r="E82">
        <f t="shared" si="8"/>
        <v>2</v>
      </c>
      <c r="F82">
        <f t="shared" si="9"/>
        <v>19</v>
      </c>
      <c r="G82">
        <f t="shared" si="10"/>
        <v>2.3199999999999998</v>
      </c>
      <c r="H82">
        <f t="shared" si="11"/>
        <v>139</v>
      </c>
      <c r="I82" s="3">
        <f t="shared" si="12"/>
        <v>129.49640287769785</v>
      </c>
      <c r="J82" t="str">
        <f t="shared" si="13"/>
        <v>F</v>
      </c>
    </row>
    <row r="83" spans="1:10" x14ac:dyDescent="0.25">
      <c r="A83" s="4" t="s">
        <v>129</v>
      </c>
      <c r="B83" s="1">
        <v>0.89078199999999996</v>
      </c>
      <c r="C83" s="1">
        <v>0.89239400000000002</v>
      </c>
      <c r="D83" s="1">
        <f t="shared" si="7"/>
        <v>1.6120000000000578E-3</v>
      </c>
      <c r="E83">
        <f t="shared" si="8"/>
        <v>2</v>
      </c>
      <c r="F83">
        <f t="shared" si="9"/>
        <v>19</v>
      </c>
      <c r="G83">
        <f t="shared" si="10"/>
        <v>2.3199999999999998</v>
      </c>
      <c r="H83">
        <f t="shared" si="11"/>
        <v>139</v>
      </c>
      <c r="I83" s="3">
        <f t="shared" si="12"/>
        <v>129.49640287769785</v>
      </c>
      <c r="J83" t="str">
        <f t="shared" si="13"/>
        <v>F</v>
      </c>
    </row>
    <row r="84" spans="1:10" x14ac:dyDescent="0.25">
      <c r="A84" s="4" t="s">
        <v>254</v>
      </c>
      <c r="B84" s="1">
        <v>0.20783799999999999</v>
      </c>
      <c r="C84" s="1">
        <v>0.20622599999999999</v>
      </c>
      <c r="D84" s="1">
        <f t="shared" si="7"/>
        <v>1.6120000000000023E-3</v>
      </c>
      <c r="E84">
        <f t="shared" si="8"/>
        <v>2</v>
      </c>
      <c r="F84">
        <f t="shared" si="9"/>
        <v>19</v>
      </c>
      <c r="G84">
        <f t="shared" si="10"/>
        <v>2.3199999999999998</v>
      </c>
      <c r="H84">
        <f t="shared" si="11"/>
        <v>139</v>
      </c>
      <c r="I84" s="3">
        <f t="shared" si="12"/>
        <v>129.49640287769785</v>
      </c>
      <c r="J84" t="str">
        <f t="shared" si="13"/>
        <v>F</v>
      </c>
    </row>
    <row r="85" spans="1:10" x14ac:dyDescent="0.25">
      <c r="A85" s="4" t="s">
        <v>362</v>
      </c>
      <c r="B85" s="1">
        <v>0.61457899999999999</v>
      </c>
      <c r="C85" s="1">
        <v>0.61297100000000004</v>
      </c>
      <c r="D85" s="1">
        <f t="shared" si="7"/>
        <v>1.6079999999999428E-3</v>
      </c>
      <c r="E85">
        <f t="shared" si="8"/>
        <v>2</v>
      </c>
      <c r="F85">
        <f t="shared" si="9"/>
        <v>19</v>
      </c>
      <c r="G85">
        <f t="shared" si="10"/>
        <v>2.3199999999999998</v>
      </c>
      <c r="H85">
        <f t="shared" si="11"/>
        <v>139</v>
      </c>
      <c r="I85" s="3">
        <f t="shared" si="12"/>
        <v>129.49640287769785</v>
      </c>
      <c r="J85" t="str">
        <f t="shared" si="13"/>
        <v>F</v>
      </c>
    </row>
    <row r="86" spans="1:10" x14ac:dyDescent="0.25">
      <c r="A86" s="4" t="s">
        <v>48</v>
      </c>
      <c r="B86" s="1">
        <v>0.29613200000000001</v>
      </c>
      <c r="C86" s="1">
        <v>0.29450799999999999</v>
      </c>
      <c r="D86" s="1">
        <f t="shared" si="7"/>
        <v>1.6240000000000143E-3</v>
      </c>
      <c r="E86">
        <f t="shared" si="8"/>
        <v>2</v>
      </c>
      <c r="F86">
        <f t="shared" si="9"/>
        <v>20</v>
      </c>
      <c r="G86">
        <f t="shared" si="10"/>
        <v>2.33</v>
      </c>
      <c r="H86">
        <f t="shared" si="11"/>
        <v>140</v>
      </c>
      <c r="I86" s="3">
        <f t="shared" si="12"/>
        <v>128.57142857142858</v>
      </c>
      <c r="J86" t="str">
        <f t="shared" si="13"/>
        <v>F</v>
      </c>
    </row>
    <row r="87" spans="1:10" x14ac:dyDescent="0.25">
      <c r="A87" s="4" t="s">
        <v>117</v>
      </c>
      <c r="B87" s="1">
        <v>0.42769200000000002</v>
      </c>
      <c r="C87" s="1">
        <v>0.42931599999999998</v>
      </c>
      <c r="D87" s="1">
        <f t="shared" si="7"/>
        <v>1.6239999999999588E-3</v>
      </c>
      <c r="E87">
        <f t="shared" si="8"/>
        <v>2</v>
      </c>
      <c r="F87">
        <f t="shared" si="9"/>
        <v>20</v>
      </c>
      <c r="G87">
        <f t="shared" si="10"/>
        <v>2.33</v>
      </c>
      <c r="H87">
        <f t="shared" si="11"/>
        <v>140</v>
      </c>
      <c r="I87" s="3">
        <f t="shared" si="12"/>
        <v>128.57142857142858</v>
      </c>
      <c r="J87" t="str">
        <f t="shared" si="13"/>
        <v>F</v>
      </c>
    </row>
    <row r="88" spans="1:10" x14ac:dyDescent="0.25">
      <c r="A88" s="4" t="s">
        <v>41</v>
      </c>
      <c r="B88" s="1">
        <v>0.90852699999999997</v>
      </c>
      <c r="C88" s="1">
        <v>0.90690300000000001</v>
      </c>
      <c r="D88" s="1">
        <f t="shared" si="7"/>
        <v>1.6239999999999588E-3</v>
      </c>
      <c r="E88">
        <f t="shared" si="8"/>
        <v>2</v>
      </c>
      <c r="F88">
        <f t="shared" si="9"/>
        <v>20</v>
      </c>
      <c r="G88">
        <f t="shared" si="10"/>
        <v>2.33</v>
      </c>
      <c r="H88">
        <f t="shared" si="11"/>
        <v>140</v>
      </c>
      <c r="I88" s="3">
        <f t="shared" si="12"/>
        <v>128.57142857142858</v>
      </c>
      <c r="J88" t="str">
        <f t="shared" si="13"/>
        <v>F</v>
      </c>
    </row>
    <row r="89" spans="1:10" x14ac:dyDescent="0.25">
      <c r="A89" s="4" t="s">
        <v>56</v>
      </c>
      <c r="B89" s="1">
        <v>0.34593800000000002</v>
      </c>
      <c r="C89" s="1">
        <v>0.34431400000000001</v>
      </c>
      <c r="D89" s="1">
        <f t="shared" si="7"/>
        <v>1.6240000000000143E-3</v>
      </c>
      <c r="E89">
        <f t="shared" si="8"/>
        <v>2</v>
      </c>
      <c r="F89">
        <f t="shared" si="9"/>
        <v>20</v>
      </c>
      <c r="G89">
        <f t="shared" si="10"/>
        <v>2.33</v>
      </c>
      <c r="H89">
        <f t="shared" si="11"/>
        <v>140</v>
      </c>
      <c r="I89" s="3">
        <f t="shared" si="12"/>
        <v>128.57142857142858</v>
      </c>
      <c r="J89" t="str">
        <f t="shared" si="13"/>
        <v>F</v>
      </c>
    </row>
    <row r="90" spans="1:10" x14ac:dyDescent="0.25">
      <c r="A90" s="4" t="s">
        <v>111</v>
      </c>
      <c r="B90" s="1">
        <v>0.37411299999999997</v>
      </c>
      <c r="C90" s="1">
        <v>0.37249300000000002</v>
      </c>
      <c r="D90" s="1">
        <f t="shared" si="7"/>
        <v>1.6199999999999548E-3</v>
      </c>
      <c r="E90">
        <f t="shared" si="8"/>
        <v>2</v>
      </c>
      <c r="F90">
        <f t="shared" si="9"/>
        <v>20</v>
      </c>
      <c r="G90">
        <f t="shared" si="10"/>
        <v>2.33</v>
      </c>
      <c r="H90">
        <f t="shared" si="11"/>
        <v>140</v>
      </c>
      <c r="I90" s="3">
        <f t="shared" si="12"/>
        <v>128.57142857142858</v>
      </c>
      <c r="J90" t="str">
        <f t="shared" si="13"/>
        <v>F</v>
      </c>
    </row>
    <row r="91" spans="1:10" x14ac:dyDescent="0.25">
      <c r="A91" s="4" t="s">
        <v>159</v>
      </c>
      <c r="B91" s="1">
        <v>0.37415799999999999</v>
      </c>
      <c r="C91" s="1">
        <v>0.375778</v>
      </c>
      <c r="D91" s="1">
        <f t="shared" si="7"/>
        <v>1.6200000000000103E-3</v>
      </c>
      <c r="E91">
        <f t="shared" si="8"/>
        <v>2</v>
      </c>
      <c r="F91">
        <f t="shared" si="9"/>
        <v>20</v>
      </c>
      <c r="G91">
        <f t="shared" si="10"/>
        <v>2.33</v>
      </c>
      <c r="H91">
        <f t="shared" si="11"/>
        <v>140</v>
      </c>
      <c r="I91" s="3">
        <f t="shared" si="12"/>
        <v>128.57142857142858</v>
      </c>
      <c r="J91" t="str">
        <f t="shared" si="13"/>
        <v>F</v>
      </c>
    </row>
    <row r="92" spans="1:10" x14ac:dyDescent="0.25">
      <c r="A92" s="4" t="s">
        <v>275</v>
      </c>
      <c r="B92" s="1">
        <v>0.94390099999999999</v>
      </c>
      <c r="C92" s="1">
        <v>0.94228100000000004</v>
      </c>
      <c r="D92" s="1">
        <f t="shared" si="7"/>
        <v>1.6199999999999548E-3</v>
      </c>
      <c r="E92">
        <f t="shared" si="8"/>
        <v>2</v>
      </c>
      <c r="F92">
        <f t="shared" si="9"/>
        <v>20</v>
      </c>
      <c r="G92">
        <f t="shared" si="10"/>
        <v>2.33</v>
      </c>
      <c r="H92">
        <f t="shared" si="11"/>
        <v>140</v>
      </c>
      <c r="I92" s="3">
        <f t="shared" si="12"/>
        <v>128.57142857142858</v>
      </c>
      <c r="J92" t="str">
        <f t="shared" si="13"/>
        <v>F</v>
      </c>
    </row>
    <row r="93" spans="1:10" x14ac:dyDescent="0.25">
      <c r="A93" s="4" t="s">
        <v>349</v>
      </c>
      <c r="B93" s="1">
        <v>0.62740099999999999</v>
      </c>
      <c r="C93" s="1">
        <v>0.62578100000000003</v>
      </c>
      <c r="D93" s="1">
        <f t="shared" si="7"/>
        <v>1.6199999999999548E-3</v>
      </c>
      <c r="E93">
        <f t="shared" si="8"/>
        <v>2</v>
      </c>
      <c r="F93">
        <f t="shared" si="9"/>
        <v>20</v>
      </c>
      <c r="G93">
        <f t="shared" si="10"/>
        <v>2.33</v>
      </c>
      <c r="H93">
        <f t="shared" si="11"/>
        <v>140</v>
      </c>
      <c r="I93" s="3">
        <f t="shared" si="12"/>
        <v>128.57142857142858</v>
      </c>
      <c r="J93" t="str">
        <f t="shared" si="13"/>
        <v>F</v>
      </c>
    </row>
    <row r="94" spans="1:10" x14ac:dyDescent="0.25">
      <c r="A94" s="4" t="s">
        <v>100</v>
      </c>
      <c r="B94" s="1">
        <v>0.76018399999999997</v>
      </c>
      <c r="C94" s="1">
        <v>0.75855600000000001</v>
      </c>
      <c r="D94" s="1">
        <f t="shared" si="7"/>
        <v>1.6279999999999628E-3</v>
      </c>
      <c r="E94">
        <f t="shared" si="8"/>
        <v>2</v>
      </c>
      <c r="F94">
        <f t="shared" si="9"/>
        <v>21</v>
      </c>
      <c r="G94">
        <f t="shared" si="10"/>
        <v>2.35</v>
      </c>
      <c r="H94">
        <f t="shared" si="11"/>
        <v>141</v>
      </c>
      <c r="I94" s="3">
        <f t="shared" si="12"/>
        <v>127.65957446808511</v>
      </c>
      <c r="J94" t="str">
        <f t="shared" si="13"/>
        <v>F</v>
      </c>
    </row>
    <row r="95" spans="1:10" x14ac:dyDescent="0.25">
      <c r="A95" s="4" t="s">
        <v>110</v>
      </c>
      <c r="B95" s="1">
        <v>0.167017</v>
      </c>
      <c r="C95" s="1">
        <v>0.16538900000000001</v>
      </c>
      <c r="D95" s="1">
        <f t="shared" si="7"/>
        <v>1.6279999999999906E-3</v>
      </c>
      <c r="E95">
        <f t="shared" si="8"/>
        <v>2</v>
      </c>
      <c r="F95">
        <f t="shared" si="9"/>
        <v>21</v>
      </c>
      <c r="G95">
        <f t="shared" si="10"/>
        <v>2.35</v>
      </c>
      <c r="H95">
        <f t="shared" si="11"/>
        <v>141</v>
      </c>
      <c r="I95" s="3">
        <f t="shared" si="12"/>
        <v>127.65957446808511</v>
      </c>
      <c r="J95" t="str">
        <f t="shared" si="13"/>
        <v>F</v>
      </c>
    </row>
    <row r="96" spans="1:10" x14ac:dyDescent="0.25">
      <c r="A96" s="4" t="s">
        <v>125</v>
      </c>
      <c r="B96" s="1">
        <v>0.37008999999999997</v>
      </c>
      <c r="C96" s="1">
        <v>0.368454</v>
      </c>
      <c r="D96" s="1">
        <f t="shared" si="7"/>
        <v>1.6359999999999708E-3</v>
      </c>
      <c r="E96">
        <f t="shared" si="8"/>
        <v>2</v>
      </c>
      <c r="F96">
        <f t="shared" si="9"/>
        <v>21</v>
      </c>
      <c r="G96">
        <f t="shared" si="10"/>
        <v>2.35</v>
      </c>
      <c r="H96">
        <f t="shared" si="11"/>
        <v>141</v>
      </c>
      <c r="I96" s="3">
        <f t="shared" si="12"/>
        <v>127.65957446808511</v>
      </c>
      <c r="J96" t="str">
        <f t="shared" si="13"/>
        <v>F</v>
      </c>
    </row>
    <row r="97" spans="1:10" x14ac:dyDescent="0.25">
      <c r="A97" s="4" t="s">
        <v>153</v>
      </c>
      <c r="B97" s="1">
        <v>0.53429599999999999</v>
      </c>
      <c r="C97" s="1">
        <v>0.53593199999999996</v>
      </c>
      <c r="D97" s="1">
        <f t="shared" si="7"/>
        <v>1.6359999999999708E-3</v>
      </c>
      <c r="E97">
        <f t="shared" si="8"/>
        <v>2</v>
      </c>
      <c r="F97">
        <f t="shared" si="9"/>
        <v>21</v>
      </c>
      <c r="G97">
        <f t="shared" si="10"/>
        <v>2.35</v>
      </c>
      <c r="H97">
        <f t="shared" si="11"/>
        <v>141</v>
      </c>
      <c r="I97" s="3">
        <f t="shared" si="12"/>
        <v>127.65957446808511</v>
      </c>
      <c r="J97" t="str">
        <f t="shared" si="13"/>
        <v>F</v>
      </c>
    </row>
    <row r="98" spans="1:10" x14ac:dyDescent="0.25">
      <c r="A98" s="4" t="s">
        <v>372</v>
      </c>
      <c r="B98" s="1">
        <v>0.26910400000000001</v>
      </c>
      <c r="C98" s="1">
        <v>0.27073199999999997</v>
      </c>
      <c r="D98" s="1">
        <f t="shared" si="7"/>
        <v>1.6279999999999628E-3</v>
      </c>
      <c r="E98">
        <f t="shared" si="8"/>
        <v>2</v>
      </c>
      <c r="F98">
        <f t="shared" si="9"/>
        <v>21</v>
      </c>
      <c r="G98">
        <f t="shared" si="10"/>
        <v>2.35</v>
      </c>
      <c r="H98">
        <f t="shared" si="11"/>
        <v>141</v>
      </c>
      <c r="I98" s="3">
        <f t="shared" si="12"/>
        <v>127.65957446808511</v>
      </c>
      <c r="J98" t="str">
        <f t="shared" si="13"/>
        <v>F</v>
      </c>
    </row>
    <row r="99" spans="1:10" x14ac:dyDescent="0.25">
      <c r="A99" s="4" t="s">
        <v>83</v>
      </c>
      <c r="B99" s="1">
        <v>0.99456699999999998</v>
      </c>
      <c r="C99" s="1">
        <v>0.99620699999999995</v>
      </c>
      <c r="D99" s="1">
        <f t="shared" si="7"/>
        <v>1.6399999999999748E-3</v>
      </c>
      <c r="E99">
        <f t="shared" si="8"/>
        <v>2</v>
      </c>
      <c r="F99">
        <f t="shared" si="9"/>
        <v>22</v>
      </c>
      <c r="G99">
        <f t="shared" si="10"/>
        <v>2.37</v>
      </c>
      <c r="H99">
        <f t="shared" si="11"/>
        <v>142</v>
      </c>
      <c r="I99" s="3">
        <f t="shared" si="12"/>
        <v>126.7605633802817</v>
      </c>
      <c r="J99" t="str">
        <f t="shared" si="13"/>
        <v>F</v>
      </c>
    </row>
    <row r="100" spans="1:10" x14ac:dyDescent="0.25">
      <c r="A100" s="4" t="s">
        <v>103</v>
      </c>
      <c r="B100" s="1">
        <v>0.28323100000000001</v>
      </c>
      <c r="C100" s="1">
        <v>0.28487099999999999</v>
      </c>
      <c r="D100" s="1">
        <f t="shared" si="7"/>
        <v>1.6399999999999748E-3</v>
      </c>
      <c r="E100">
        <f t="shared" si="8"/>
        <v>2</v>
      </c>
      <c r="F100">
        <f t="shared" si="9"/>
        <v>22</v>
      </c>
      <c r="G100">
        <f t="shared" si="10"/>
        <v>2.37</v>
      </c>
      <c r="H100">
        <f t="shared" si="11"/>
        <v>142</v>
      </c>
      <c r="I100" s="3">
        <f t="shared" si="12"/>
        <v>126.7605633802817</v>
      </c>
      <c r="J100" t="str">
        <f t="shared" si="13"/>
        <v>F</v>
      </c>
    </row>
    <row r="101" spans="1:10" x14ac:dyDescent="0.25">
      <c r="A101" s="4" t="s">
        <v>137</v>
      </c>
      <c r="B101" s="1">
        <v>0.15091399999999999</v>
      </c>
      <c r="C101" s="1">
        <v>0.14927399999999999</v>
      </c>
      <c r="D101" s="1">
        <f t="shared" si="7"/>
        <v>1.6400000000000026E-3</v>
      </c>
      <c r="E101">
        <f t="shared" si="8"/>
        <v>2</v>
      </c>
      <c r="F101">
        <f t="shared" si="9"/>
        <v>22</v>
      </c>
      <c r="G101">
        <f t="shared" si="10"/>
        <v>2.37</v>
      </c>
      <c r="H101">
        <f t="shared" si="11"/>
        <v>142</v>
      </c>
      <c r="I101" s="3">
        <f t="shared" si="12"/>
        <v>126.7605633802817</v>
      </c>
      <c r="J101" t="str">
        <f t="shared" si="13"/>
        <v>F</v>
      </c>
    </row>
    <row r="102" spans="1:10" x14ac:dyDescent="0.25">
      <c r="A102" s="4" t="s">
        <v>57</v>
      </c>
      <c r="B102" s="1">
        <v>0.66941799999999996</v>
      </c>
      <c r="C102" s="1">
        <v>0.66777399999999998</v>
      </c>
      <c r="D102" s="1">
        <f t="shared" si="7"/>
        <v>1.6439999999999788E-3</v>
      </c>
      <c r="E102">
        <f t="shared" si="8"/>
        <v>2</v>
      </c>
      <c r="F102">
        <f t="shared" si="9"/>
        <v>22</v>
      </c>
      <c r="G102">
        <f t="shared" si="10"/>
        <v>2.37</v>
      </c>
      <c r="H102">
        <f t="shared" si="11"/>
        <v>142</v>
      </c>
      <c r="I102" s="3">
        <f t="shared" si="12"/>
        <v>126.7605633802817</v>
      </c>
      <c r="J102" t="str">
        <f t="shared" si="13"/>
        <v>F</v>
      </c>
    </row>
    <row r="103" spans="1:10" x14ac:dyDescent="0.25">
      <c r="A103" s="4" t="s">
        <v>175</v>
      </c>
      <c r="B103" s="1">
        <v>0.832403</v>
      </c>
      <c r="C103" s="1">
        <v>0.83075900000000003</v>
      </c>
      <c r="D103" s="1">
        <f t="shared" si="7"/>
        <v>1.6439999999999788E-3</v>
      </c>
      <c r="E103">
        <f t="shared" si="8"/>
        <v>2</v>
      </c>
      <c r="F103">
        <f t="shared" si="9"/>
        <v>22</v>
      </c>
      <c r="G103">
        <f t="shared" si="10"/>
        <v>2.37</v>
      </c>
      <c r="H103">
        <f t="shared" si="11"/>
        <v>142</v>
      </c>
      <c r="I103" s="3">
        <f t="shared" si="12"/>
        <v>126.7605633802817</v>
      </c>
      <c r="J103" t="str">
        <f t="shared" si="13"/>
        <v>F</v>
      </c>
    </row>
    <row r="104" spans="1:10" x14ac:dyDescent="0.25">
      <c r="A104" s="4" t="s">
        <v>5</v>
      </c>
      <c r="B104" s="1">
        <v>0.52575099999999997</v>
      </c>
      <c r="C104" s="1">
        <v>0.52411099999999999</v>
      </c>
      <c r="D104" s="1">
        <f t="shared" si="7"/>
        <v>1.6399999999999748E-3</v>
      </c>
      <c r="E104">
        <f t="shared" si="8"/>
        <v>2</v>
      </c>
      <c r="F104">
        <f t="shared" si="9"/>
        <v>22</v>
      </c>
      <c r="G104">
        <f t="shared" si="10"/>
        <v>2.37</v>
      </c>
      <c r="H104">
        <f t="shared" si="11"/>
        <v>142</v>
      </c>
      <c r="I104" s="3">
        <f t="shared" si="12"/>
        <v>126.7605633802817</v>
      </c>
      <c r="J104" t="str">
        <f t="shared" si="13"/>
        <v>F</v>
      </c>
    </row>
    <row r="105" spans="1:10" x14ac:dyDescent="0.25">
      <c r="A105" s="4" t="s">
        <v>357</v>
      </c>
      <c r="B105" s="1">
        <v>0.63840600000000003</v>
      </c>
      <c r="C105" s="1">
        <v>0.64005400000000001</v>
      </c>
      <c r="D105" s="1">
        <f t="shared" si="7"/>
        <v>1.6479999999999828E-3</v>
      </c>
      <c r="E105">
        <f t="shared" si="8"/>
        <v>2</v>
      </c>
      <c r="F105">
        <f t="shared" si="9"/>
        <v>22</v>
      </c>
      <c r="G105">
        <f t="shared" si="10"/>
        <v>2.37</v>
      </c>
      <c r="H105">
        <f t="shared" si="11"/>
        <v>142</v>
      </c>
      <c r="I105" s="3">
        <f t="shared" si="12"/>
        <v>126.7605633802817</v>
      </c>
      <c r="J105" t="str">
        <f t="shared" si="13"/>
        <v>F</v>
      </c>
    </row>
    <row r="106" spans="1:10" x14ac:dyDescent="0.25">
      <c r="A106" s="4" t="s">
        <v>63</v>
      </c>
      <c r="B106" s="1">
        <v>0.122056</v>
      </c>
      <c r="C106" s="1">
        <v>0.12371600000000001</v>
      </c>
      <c r="D106" s="1">
        <f t="shared" si="7"/>
        <v>1.6600000000000087E-3</v>
      </c>
      <c r="E106">
        <f t="shared" si="8"/>
        <v>2</v>
      </c>
      <c r="F106">
        <f t="shared" si="9"/>
        <v>23</v>
      </c>
      <c r="G106">
        <f t="shared" si="10"/>
        <v>2.38</v>
      </c>
      <c r="H106">
        <f t="shared" si="11"/>
        <v>143</v>
      </c>
      <c r="I106" s="3">
        <f t="shared" si="12"/>
        <v>125.87412587412587</v>
      </c>
      <c r="J106" t="str">
        <f t="shared" si="13"/>
        <v>F</v>
      </c>
    </row>
    <row r="107" spans="1:10" x14ac:dyDescent="0.25">
      <c r="A107" s="4" t="s">
        <v>3</v>
      </c>
      <c r="B107" s="1">
        <v>0.29002600000000001</v>
      </c>
      <c r="C107" s="1">
        <v>0.291682</v>
      </c>
      <c r="D107" s="1">
        <f t="shared" si="7"/>
        <v>1.6559999999999908E-3</v>
      </c>
      <c r="E107">
        <f t="shared" si="8"/>
        <v>2</v>
      </c>
      <c r="F107">
        <f t="shared" si="9"/>
        <v>23</v>
      </c>
      <c r="G107">
        <f t="shared" si="10"/>
        <v>2.38</v>
      </c>
      <c r="H107">
        <f t="shared" si="11"/>
        <v>143</v>
      </c>
      <c r="I107" s="3">
        <f t="shared" si="12"/>
        <v>125.87412587412587</v>
      </c>
      <c r="J107" t="str">
        <f t="shared" si="13"/>
        <v>F</v>
      </c>
    </row>
    <row r="108" spans="1:10" x14ac:dyDescent="0.25">
      <c r="A108" s="4" t="s">
        <v>24</v>
      </c>
      <c r="B108" s="1">
        <v>0.55516799999999999</v>
      </c>
      <c r="C108" s="1">
        <v>0.55682399999999999</v>
      </c>
      <c r="D108" s="1">
        <f t="shared" si="7"/>
        <v>1.6559999999999908E-3</v>
      </c>
      <c r="E108">
        <f t="shared" si="8"/>
        <v>2</v>
      </c>
      <c r="F108">
        <f t="shared" si="9"/>
        <v>23</v>
      </c>
      <c r="G108">
        <f t="shared" si="10"/>
        <v>2.38</v>
      </c>
      <c r="H108">
        <f t="shared" si="11"/>
        <v>143</v>
      </c>
      <c r="I108" s="3">
        <f t="shared" si="12"/>
        <v>125.87412587412587</v>
      </c>
      <c r="J108" t="str">
        <f t="shared" si="13"/>
        <v>F</v>
      </c>
    </row>
    <row r="109" spans="1:10" x14ac:dyDescent="0.25">
      <c r="A109" s="4" t="s">
        <v>137</v>
      </c>
      <c r="B109" s="1">
        <v>0.78898900000000005</v>
      </c>
      <c r="C109" s="1">
        <v>0.78733299999999995</v>
      </c>
      <c r="D109" s="1">
        <f t="shared" si="7"/>
        <v>1.6560000000001018E-3</v>
      </c>
      <c r="E109">
        <f t="shared" si="8"/>
        <v>2</v>
      </c>
      <c r="F109">
        <f t="shared" si="9"/>
        <v>23</v>
      </c>
      <c r="G109">
        <f t="shared" si="10"/>
        <v>2.38</v>
      </c>
      <c r="H109">
        <f t="shared" si="11"/>
        <v>143</v>
      </c>
      <c r="I109" s="3">
        <f t="shared" si="12"/>
        <v>125.87412587412587</v>
      </c>
      <c r="J109" t="str">
        <f t="shared" si="13"/>
        <v>F</v>
      </c>
    </row>
    <row r="110" spans="1:10" x14ac:dyDescent="0.25">
      <c r="A110" s="4" t="s">
        <v>74</v>
      </c>
      <c r="B110" s="1">
        <v>0.30348399999999998</v>
      </c>
      <c r="C110" s="1">
        <v>0.30182799999999999</v>
      </c>
      <c r="D110" s="1">
        <f t="shared" si="7"/>
        <v>1.6559999999999908E-3</v>
      </c>
      <c r="E110">
        <f t="shared" si="8"/>
        <v>2</v>
      </c>
      <c r="F110">
        <f t="shared" si="9"/>
        <v>23</v>
      </c>
      <c r="G110">
        <f t="shared" si="10"/>
        <v>2.38</v>
      </c>
      <c r="H110">
        <f t="shared" si="11"/>
        <v>143</v>
      </c>
      <c r="I110" s="3">
        <f t="shared" si="12"/>
        <v>125.87412587412587</v>
      </c>
      <c r="J110" t="str">
        <f t="shared" si="13"/>
        <v>F</v>
      </c>
    </row>
    <row r="111" spans="1:10" x14ac:dyDescent="0.25">
      <c r="A111" s="4" t="s">
        <v>266</v>
      </c>
      <c r="B111" s="1">
        <v>0.431591</v>
      </c>
      <c r="C111" s="1">
        <v>0.43324699999999999</v>
      </c>
      <c r="D111" s="1">
        <f t="shared" si="7"/>
        <v>1.6559999999999908E-3</v>
      </c>
      <c r="E111">
        <f t="shared" si="8"/>
        <v>2</v>
      </c>
      <c r="F111">
        <f t="shared" si="9"/>
        <v>23</v>
      </c>
      <c r="G111">
        <f t="shared" si="10"/>
        <v>2.38</v>
      </c>
      <c r="H111">
        <f t="shared" si="11"/>
        <v>143</v>
      </c>
      <c r="I111" s="3">
        <f t="shared" si="12"/>
        <v>125.87412587412587</v>
      </c>
      <c r="J111" t="str">
        <f t="shared" si="13"/>
        <v>F</v>
      </c>
    </row>
    <row r="112" spans="1:10" x14ac:dyDescent="0.25">
      <c r="A112" s="4" t="s">
        <v>59</v>
      </c>
      <c r="B112" s="1">
        <v>0.54649099999999995</v>
      </c>
      <c r="C112" s="1">
        <v>0.54815899999999995</v>
      </c>
      <c r="D112" s="1">
        <f t="shared" si="7"/>
        <v>1.6680000000000028E-3</v>
      </c>
      <c r="E112">
        <f t="shared" si="8"/>
        <v>2</v>
      </c>
      <c r="F112">
        <f t="shared" si="9"/>
        <v>24</v>
      </c>
      <c r="G112">
        <f t="shared" si="10"/>
        <v>2.4</v>
      </c>
      <c r="H112">
        <f t="shared" si="11"/>
        <v>144</v>
      </c>
      <c r="I112" s="3">
        <f t="shared" si="12"/>
        <v>125</v>
      </c>
      <c r="J112" t="str">
        <f t="shared" si="13"/>
        <v>F</v>
      </c>
    </row>
    <row r="113" spans="1:10" x14ac:dyDescent="0.25">
      <c r="A113" s="4" t="s">
        <v>162</v>
      </c>
      <c r="B113" s="1">
        <v>2.4351000000000001E-2</v>
      </c>
      <c r="C113" s="1">
        <v>2.6023000000000001E-2</v>
      </c>
      <c r="D113" s="1">
        <f t="shared" si="7"/>
        <v>1.6719999999999999E-3</v>
      </c>
      <c r="E113">
        <f t="shared" si="8"/>
        <v>2</v>
      </c>
      <c r="F113">
        <f t="shared" si="9"/>
        <v>24</v>
      </c>
      <c r="G113">
        <f t="shared" si="10"/>
        <v>2.4</v>
      </c>
      <c r="H113">
        <f t="shared" si="11"/>
        <v>144</v>
      </c>
      <c r="I113" s="3">
        <f t="shared" si="12"/>
        <v>125</v>
      </c>
      <c r="J113" t="str">
        <f t="shared" si="13"/>
        <v>F</v>
      </c>
    </row>
    <row r="114" spans="1:10" x14ac:dyDescent="0.25">
      <c r="A114" s="4" t="s">
        <v>49</v>
      </c>
      <c r="B114" s="1">
        <v>0.76098399999999999</v>
      </c>
      <c r="C114" s="1">
        <v>0.75931599999999999</v>
      </c>
      <c r="D114" s="1">
        <f t="shared" si="7"/>
        <v>1.6680000000000028E-3</v>
      </c>
      <c r="E114">
        <f t="shared" si="8"/>
        <v>2</v>
      </c>
      <c r="F114">
        <f t="shared" si="9"/>
        <v>24</v>
      </c>
      <c r="G114">
        <f t="shared" si="10"/>
        <v>2.4</v>
      </c>
      <c r="H114">
        <f t="shared" si="11"/>
        <v>144</v>
      </c>
      <c r="I114" s="3">
        <f t="shared" si="12"/>
        <v>125</v>
      </c>
      <c r="J114" t="str">
        <f t="shared" si="13"/>
        <v>F</v>
      </c>
    </row>
    <row r="115" spans="1:10" x14ac:dyDescent="0.25">
      <c r="A115" s="4" t="s">
        <v>96</v>
      </c>
      <c r="B115" s="1">
        <v>0.116232</v>
      </c>
      <c r="C115" s="1">
        <v>0.11791600000000001</v>
      </c>
      <c r="D115" s="1">
        <f t="shared" si="7"/>
        <v>1.6840000000000049E-3</v>
      </c>
      <c r="E115">
        <f t="shared" si="8"/>
        <v>2</v>
      </c>
      <c r="F115">
        <f t="shared" si="9"/>
        <v>25</v>
      </c>
      <c r="G115">
        <f t="shared" si="10"/>
        <v>2.42</v>
      </c>
      <c r="H115">
        <f t="shared" si="11"/>
        <v>145</v>
      </c>
      <c r="I115" s="3">
        <f t="shared" si="12"/>
        <v>124.13793103448276</v>
      </c>
      <c r="J115" t="str">
        <f t="shared" si="13"/>
        <v>F</v>
      </c>
    </row>
    <row r="116" spans="1:10" x14ac:dyDescent="0.25">
      <c r="A116" s="8" t="s">
        <v>171</v>
      </c>
      <c r="B116" s="1">
        <v>0.60342499999999999</v>
      </c>
      <c r="C116" s="1">
        <v>0.605105</v>
      </c>
      <c r="D116" s="1">
        <f t="shared" si="7"/>
        <v>1.6800000000000148E-3</v>
      </c>
      <c r="E116">
        <f t="shared" si="8"/>
        <v>2</v>
      </c>
      <c r="F116">
        <f t="shared" si="9"/>
        <v>25</v>
      </c>
      <c r="G116">
        <f t="shared" si="10"/>
        <v>2.42</v>
      </c>
      <c r="H116">
        <f t="shared" si="11"/>
        <v>145</v>
      </c>
      <c r="I116" s="10">
        <f t="shared" si="12"/>
        <v>124.13793103448276</v>
      </c>
      <c r="J116" t="str">
        <f t="shared" si="13"/>
        <v>T</v>
      </c>
    </row>
    <row r="117" spans="1:10" x14ac:dyDescent="0.25">
      <c r="A117" s="4" t="s">
        <v>132</v>
      </c>
      <c r="B117" s="1">
        <v>4.0057000000000002E-2</v>
      </c>
      <c r="C117" s="1">
        <v>4.1741E-2</v>
      </c>
      <c r="D117" s="1">
        <f t="shared" si="7"/>
        <v>1.683999999999998E-3</v>
      </c>
      <c r="E117">
        <f t="shared" si="8"/>
        <v>2</v>
      </c>
      <c r="F117">
        <f t="shared" si="9"/>
        <v>25</v>
      </c>
      <c r="G117">
        <f t="shared" si="10"/>
        <v>2.42</v>
      </c>
      <c r="H117">
        <f t="shared" si="11"/>
        <v>145</v>
      </c>
      <c r="I117" s="3">
        <f t="shared" si="12"/>
        <v>124.13793103448276</v>
      </c>
      <c r="J117" t="str">
        <f t="shared" si="13"/>
        <v>F</v>
      </c>
    </row>
    <row r="118" spans="1:10" x14ac:dyDescent="0.25">
      <c r="A118" s="4" t="s">
        <v>110</v>
      </c>
      <c r="B118" s="1">
        <v>0.11290600000000001</v>
      </c>
      <c r="C118" s="1">
        <v>0.11459</v>
      </c>
      <c r="D118" s="1">
        <f t="shared" si="7"/>
        <v>1.6839999999999911E-3</v>
      </c>
      <c r="E118">
        <f t="shared" si="8"/>
        <v>2</v>
      </c>
      <c r="F118">
        <f t="shared" si="9"/>
        <v>25</v>
      </c>
      <c r="G118">
        <f t="shared" si="10"/>
        <v>2.42</v>
      </c>
      <c r="H118">
        <f t="shared" si="11"/>
        <v>145</v>
      </c>
      <c r="I118" s="3">
        <f t="shared" si="12"/>
        <v>124.13793103448276</v>
      </c>
      <c r="J118" t="str">
        <f t="shared" si="13"/>
        <v>F</v>
      </c>
    </row>
    <row r="119" spans="1:10" x14ac:dyDescent="0.25">
      <c r="A119" s="4" t="s">
        <v>220</v>
      </c>
      <c r="B119" s="1">
        <v>0.56824699999999995</v>
      </c>
      <c r="C119" s="1">
        <v>0.56993099999999997</v>
      </c>
      <c r="D119" s="1">
        <f t="shared" si="7"/>
        <v>1.6840000000000188E-3</v>
      </c>
      <c r="E119">
        <f t="shared" si="8"/>
        <v>2</v>
      </c>
      <c r="F119">
        <f t="shared" si="9"/>
        <v>25</v>
      </c>
      <c r="G119">
        <f t="shared" si="10"/>
        <v>2.42</v>
      </c>
      <c r="H119">
        <f t="shared" si="11"/>
        <v>145</v>
      </c>
      <c r="I119" s="3">
        <f t="shared" si="12"/>
        <v>124.13793103448276</v>
      </c>
      <c r="J119" t="str">
        <f t="shared" si="13"/>
        <v>F</v>
      </c>
    </row>
    <row r="120" spans="1:10" x14ac:dyDescent="0.25">
      <c r="A120" s="4" t="s">
        <v>351</v>
      </c>
      <c r="B120" s="1">
        <v>0.69694299999999998</v>
      </c>
      <c r="C120" s="1">
        <v>0.698627</v>
      </c>
      <c r="D120" s="1">
        <f t="shared" si="7"/>
        <v>1.6840000000000188E-3</v>
      </c>
      <c r="E120">
        <f t="shared" si="8"/>
        <v>2</v>
      </c>
      <c r="F120">
        <f t="shared" si="9"/>
        <v>25</v>
      </c>
      <c r="G120">
        <f t="shared" si="10"/>
        <v>2.42</v>
      </c>
      <c r="H120">
        <f t="shared" si="11"/>
        <v>145</v>
      </c>
      <c r="I120" s="3">
        <f t="shared" si="12"/>
        <v>124.13793103448276</v>
      </c>
      <c r="J120" t="str">
        <f t="shared" si="13"/>
        <v>F</v>
      </c>
    </row>
    <row r="121" spans="1:10" x14ac:dyDescent="0.25">
      <c r="A121" s="4" t="s">
        <v>43</v>
      </c>
      <c r="B121" s="1">
        <v>0.74113899999999999</v>
      </c>
      <c r="C121" s="1">
        <v>0.74283100000000002</v>
      </c>
      <c r="D121" s="1">
        <f t="shared" si="7"/>
        <v>1.6920000000000268E-3</v>
      </c>
      <c r="E121">
        <f t="shared" si="8"/>
        <v>2</v>
      </c>
      <c r="F121">
        <f t="shared" si="9"/>
        <v>26</v>
      </c>
      <c r="G121">
        <f t="shared" si="10"/>
        <v>2.4300000000000002</v>
      </c>
      <c r="H121">
        <f t="shared" si="11"/>
        <v>146</v>
      </c>
      <c r="I121" s="3">
        <f t="shared" si="12"/>
        <v>123.2876712328767</v>
      </c>
      <c r="J121" t="str">
        <f t="shared" si="13"/>
        <v>F</v>
      </c>
    </row>
    <row r="122" spans="1:10" x14ac:dyDescent="0.25">
      <c r="A122" s="4" t="s">
        <v>120</v>
      </c>
      <c r="B122" s="1">
        <v>0.42249799999999998</v>
      </c>
      <c r="C122" s="1">
        <v>0.42418600000000001</v>
      </c>
      <c r="D122" s="1">
        <f t="shared" si="7"/>
        <v>1.6880000000000228E-3</v>
      </c>
      <c r="E122">
        <f t="shared" si="8"/>
        <v>2</v>
      </c>
      <c r="F122">
        <f t="shared" si="9"/>
        <v>26</v>
      </c>
      <c r="G122">
        <f t="shared" si="10"/>
        <v>2.4300000000000002</v>
      </c>
      <c r="H122">
        <f t="shared" si="11"/>
        <v>146</v>
      </c>
      <c r="I122" s="3">
        <f t="shared" si="12"/>
        <v>123.2876712328767</v>
      </c>
      <c r="J122" t="str">
        <f t="shared" si="13"/>
        <v>F</v>
      </c>
    </row>
    <row r="123" spans="1:10" x14ac:dyDescent="0.25">
      <c r="A123" s="4" t="s">
        <v>162</v>
      </c>
      <c r="B123" s="1">
        <v>0.90659900000000004</v>
      </c>
      <c r="C123" s="1">
        <v>0.90828699999999996</v>
      </c>
      <c r="D123" s="1">
        <f t="shared" si="7"/>
        <v>1.6879999999999118E-3</v>
      </c>
      <c r="E123">
        <f t="shared" si="8"/>
        <v>2</v>
      </c>
      <c r="F123">
        <f t="shared" si="9"/>
        <v>26</v>
      </c>
      <c r="G123">
        <f t="shared" si="10"/>
        <v>2.4300000000000002</v>
      </c>
      <c r="H123">
        <f t="shared" si="11"/>
        <v>146</v>
      </c>
      <c r="I123" s="3">
        <f t="shared" si="12"/>
        <v>123.2876712328767</v>
      </c>
      <c r="J123" t="str">
        <f t="shared" si="13"/>
        <v>F</v>
      </c>
    </row>
    <row r="124" spans="1:10" x14ac:dyDescent="0.25">
      <c r="A124" s="4" t="s">
        <v>79</v>
      </c>
      <c r="B124" s="1">
        <v>0.26555499999999999</v>
      </c>
      <c r="C124" s="1">
        <v>0.26725100000000002</v>
      </c>
      <c r="D124" s="1">
        <f t="shared" si="7"/>
        <v>1.6960000000000308E-3</v>
      </c>
      <c r="E124">
        <f t="shared" si="8"/>
        <v>2</v>
      </c>
      <c r="F124">
        <f t="shared" si="9"/>
        <v>27</v>
      </c>
      <c r="G124">
        <f t="shared" si="10"/>
        <v>2.4500000000000002</v>
      </c>
      <c r="H124">
        <f t="shared" si="11"/>
        <v>147</v>
      </c>
      <c r="I124" s="3">
        <f t="shared" si="12"/>
        <v>122.44897959183673</v>
      </c>
      <c r="J124" t="str">
        <f t="shared" si="13"/>
        <v>F</v>
      </c>
    </row>
    <row r="125" spans="1:10" x14ac:dyDescent="0.25">
      <c r="A125" s="4" t="s">
        <v>103</v>
      </c>
      <c r="B125" s="1">
        <v>0.95169999999999999</v>
      </c>
      <c r="C125" s="1">
        <v>0.95000399999999996</v>
      </c>
      <c r="D125" s="1">
        <f t="shared" si="7"/>
        <v>1.6960000000000308E-3</v>
      </c>
      <c r="E125">
        <f t="shared" si="8"/>
        <v>2</v>
      </c>
      <c r="F125">
        <f t="shared" si="9"/>
        <v>27</v>
      </c>
      <c r="G125">
        <f t="shared" si="10"/>
        <v>2.4500000000000002</v>
      </c>
      <c r="H125">
        <f t="shared" si="11"/>
        <v>147</v>
      </c>
      <c r="I125" s="3">
        <f t="shared" si="12"/>
        <v>122.44897959183673</v>
      </c>
      <c r="J125" t="str">
        <f t="shared" si="13"/>
        <v>F</v>
      </c>
    </row>
    <row r="126" spans="1:10" x14ac:dyDescent="0.25">
      <c r="A126" s="4" t="s">
        <v>140</v>
      </c>
      <c r="B126" s="1">
        <v>0.94930499999999995</v>
      </c>
      <c r="C126" s="1">
        <v>0.95100099999999999</v>
      </c>
      <c r="D126" s="1">
        <f t="shared" si="7"/>
        <v>1.6960000000000308E-3</v>
      </c>
      <c r="E126">
        <f t="shared" si="8"/>
        <v>2</v>
      </c>
      <c r="F126">
        <f t="shared" si="9"/>
        <v>27</v>
      </c>
      <c r="G126">
        <f t="shared" si="10"/>
        <v>2.4500000000000002</v>
      </c>
      <c r="H126">
        <f t="shared" si="11"/>
        <v>147</v>
      </c>
      <c r="I126" s="3">
        <f t="shared" si="12"/>
        <v>122.44897959183673</v>
      </c>
      <c r="J126" t="str">
        <f t="shared" si="13"/>
        <v>F</v>
      </c>
    </row>
    <row r="127" spans="1:10" x14ac:dyDescent="0.25">
      <c r="A127" s="4" t="s">
        <v>97</v>
      </c>
      <c r="B127" s="1">
        <v>0.217417</v>
      </c>
      <c r="C127" s="1">
        <v>0.215721</v>
      </c>
      <c r="D127" s="1">
        <f t="shared" si="7"/>
        <v>1.6960000000000031E-3</v>
      </c>
      <c r="E127">
        <f t="shared" si="8"/>
        <v>2</v>
      </c>
      <c r="F127">
        <f t="shared" si="9"/>
        <v>27</v>
      </c>
      <c r="G127">
        <f t="shared" si="10"/>
        <v>2.4500000000000002</v>
      </c>
      <c r="H127">
        <f t="shared" si="11"/>
        <v>147</v>
      </c>
      <c r="I127" s="3">
        <f t="shared" si="12"/>
        <v>122.44897959183673</v>
      </c>
      <c r="J127" t="str">
        <f t="shared" si="13"/>
        <v>F</v>
      </c>
    </row>
    <row r="128" spans="1:10" x14ac:dyDescent="0.25">
      <c r="A128" s="4" t="s">
        <v>41</v>
      </c>
      <c r="B128" s="1">
        <v>0.44640400000000002</v>
      </c>
      <c r="C128" s="1">
        <v>0.4481</v>
      </c>
      <c r="D128" s="1">
        <f t="shared" si="7"/>
        <v>1.6959999999999753E-3</v>
      </c>
      <c r="E128">
        <f t="shared" si="8"/>
        <v>2</v>
      </c>
      <c r="F128">
        <f t="shared" si="9"/>
        <v>27</v>
      </c>
      <c r="G128">
        <f t="shared" si="10"/>
        <v>2.4500000000000002</v>
      </c>
      <c r="H128">
        <f t="shared" si="11"/>
        <v>147</v>
      </c>
      <c r="I128" s="3">
        <f t="shared" si="12"/>
        <v>122.44897959183673</v>
      </c>
      <c r="J128" t="str">
        <f t="shared" si="13"/>
        <v>F</v>
      </c>
    </row>
    <row r="129" spans="1:10" x14ac:dyDescent="0.25">
      <c r="A129" s="4" t="s">
        <v>236</v>
      </c>
      <c r="B129" s="1">
        <v>0.74470800000000004</v>
      </c>
      <c r="C129" s="1">
        <v>0.74641199999999996</v>
      </c>
      <c r="D129" s="1">
        <f t="shared" si="7"/>
        <v>1.7039999999999278E-3</v>
      </c>
      <c r="E129">
        <f t="shared" si="8"/>
        <v>2</v>
      </c>
      <c r="F129">
        <f t="shared" si="9"/>
        <v>27</v>
      </c>
      <c r="G129">
        <f t="shared" si="10"/>
        <v>2.4500000000000002</v>
      </c>
      <c r="H129">
        <f t="shared" si="11"/>
        <v>147</v>
      </c>
      <c r="I129" s="3">
        <f t="shared" si="12"/>
        <v>122.44897959183673</v>
      </c>
      <c r="J129" t="str">
        <f t="shared" si="13"/>
        <v>F</v>
      </c>
    </row>
    <row r="130" spans="1:10" x14ac:dyDescent="0.25">
      <c r="A130" s="4" t="s">
        <v>128</v>
      </c>
      <c r="B130" s="1">
        <v>0.32555600000000001</v>
      </c>
      <c r="C130" s="1">
        <v>0.327264</v>
      </c>
      <c r="D130" s="1">
        <f t="shared" ref="D130:D193" si="14">IF(B130&gt;C130,B130-C130,C130-B130)</f>
        <v>1.7079999999999873E-3</v>
      </c>
      <c r="E130">
        <f t="shared" ref="E130:E193" si="15">MINUTE(D130)</f>
        <v>2</v>
      </c>
      <c r="F130">
        <f t="shared" ref="F130:F193" si="16">SECOND(D130)</f>
        <v>28</v>
      </c>
      <c r="G130">
        <f t="shared" ref="G130:G193" si="17">ROUND(E130+F130/60,2)</f>
        <v>2.4700000000000002</v>
      </c>
      <c r="H130">
        <f t="shared" ref="H130:H193" si="18">60*E130+F130</f>
        <v>148</v>
      </c>
      <c r="I130" s="3">
        <f t="shared" ref="I130:I193" si="19">5*(3600/H130)</f>
        <v>121.62162162162161</v>
      </c>
      <c r="J130" t="str">
        <f t="shared" ref="J130:J193" si="20">IF(MID(A130,3,2)="18","T","F")</f>
        <v>F</v>
      </c>
    </row>
    <row r="131" spans="1:10" x14ac:dyDescent="0.25">
      <c r="A131" s="4" t="s">
        <v>149</v>
      </c>
      <c r="B131" s="1">
        <v>0.68221900000000002</v>
      </c>
      <c r="C131" s="1">
        <v>0.68393499999999996</v>
      </c>
      <c r="D131" s="1">
        <f t="shared" si="14"/>
        <v>1.7159999999999398E-3</v>
      </c>
      <c r="E131">
        <f t="shared" si="15"/>
        <v>2</v>
      </c>
      <c r="F131">
        <f t="shared" si="16"/>
        <v>28</v>
      </c>
      <c r="G131">
        <f t="shared" si="17"/>
        <v>2.4700000000000002</v>
      </c>
      <c r="H131">
        <f t="shared" si="18"/>
        <v>148</v>
      </c>
      <c r="I131" s="3">
        <f t="shared" si="19"/>
        <v>121.62162162162161</v>
      </c>
      <c r="J131" t="str">
        <f t="shared" si="20"/>
        <v>F</v>
      </c>
    </row>
    <row r="132" spans="1:10" x14ac:dyDescent="0.25">
      <c r="A132" s="4" t="s">
        <v>109</v>
      </c>
      <c r="B132" s="1">
        <v>0.98943999999999999</v>
      </c>
      <c r="C132" s="1">
        <v>0.98772800000000005</v>
      </c>
      <c r="D132" s="1">
        <f t="shared" si="14"/>
        <v>1.7119999999999358E-3</v>
      </c>
      <c r="E132">
        <f t="shared" si="15"/>
        <v>2</v>
      </c>
      <c r="F132">
        <f t="shared" si="16"/>
        <v>28</v>
      </c>
      <c r="G132">
        <f t="shared" si="17"/>
        <v>2.4700000000000002</v>
      </c>
      <c r="H132">
        <f t="shared" si="18"/>
        <v>148</v>
      </c>
      <c r="I132" s="3">
        <f t="shared" si="19"/>
        <v>121.62162162162161</v>
      </c>
      <c r="J132" t="str">
        <f t="shared" si="20"/>
        <v>F</v>
      </c>
    </row>
    <row r="133" spans="1:10" x14ac:dyDescent="0.25">
      <c r="A133" s="4" t="s">
        <v>64</v>
      </c>
      <c r="B133" s="1">
        <v>0.352136</v>
      </c>
      <c r="C133" s="1">
        <v>0.35384399999999999</v>
      </c>
      <c r="D133" s="1">
        <f t="shared" si="14"/>
        <v>1.7079999999999873E-3</v>
      </c>
      <c r="E133">
        <f t="shared" si="15"/>
        <v>2</v>
      </c>
      <c r="F133">
        <f t="shared" si="16"/>
        <v>28</v>
      </c>
      <c r="G133">
        <f t="shared" si="17"/>
        <v>2.4700000000000002</v>
      </c>
      <c r="H133">
        <f t="shared" si="18"/>
        <v>148</v>
      </c>
      <c r="I133" s="3">
        <f t="shared" si="19"/>
        <v>121.62162162162161</v>
      </c>
      <c r="J133" t="str">
        <f t="shared" si="20"/>
        <v>F</v>
      </c>
    </row>
    <row r="134" spans="1:10" x14ac:dyDescent="0.25">
      <c r="A134" s="4" t="s">
        <v>157</v>
      </c>
      <c r="B134" s="1">
        <v>0.72528599999999999</v>
      </c>
      <c r="C134" s="1">
        <v>0.72699800000000003</v>
      </c>
      <c r="D134" s="1">
        <f t="shared" si="14"/>
        <v>1.7120000000000468E-3</v>
      </c>
      <c r="E134">
        <f t="shared" si="15"/>
        <v>2</v>
      </c>
      <c r="F134">
        <f t="shared" si="16"/>
        <v>28</v>
      </c>
      <c r="G134">
        <f t="shared" si="17"/>
        <v>2.4700000000000002</v>
      </c>
      <c r="H134">
        <f t="shared" si="18"/>
        <v>148</v>
      </c>
      <c r="I134" s="3">
        <f t="shared" si="19"/>
        <v>121.62162162162161</v>
      </c>
      <c r="J134" t="str">
        <f t="shared" si="20"/>
        <v>F</v>
      </c>
    </row>
    <row r="135" spans="1:10" x14ac:dyDescent="0.25">
      <c r="A135" s="4" t="s">
        <v>238</v>
      </c>
      <c r="B135" s="1">
        <v>3.8924E-2</v>
      </c>
      <c r="C135" s="1">
        <v>3.7212000000000002E-2</v>
      </c>
      <c r="D135" s="1">
        <f t="shared" si="14"/>
        <v>1.7119999999999982E-3</v>
      </c>
      <c r="E135">
        <f t="shared" si="15"/>
        <v>2</v>
      </c>
      <c r="F135">
        <f t="shared" si="16"/>
        <v>28</v>
      </c>
      <c r="G135">
        <f t="shared" si="17"/>
        <v>2.4700000000000002</v>
      </c>
      <c r="H135">
        <f t="shared" si="18"/>
        <v>148</v>
      </c>
      <c r="I135" s="3">
        <f t="shared" si="19"/>
        <v>121.62162162162161</v>
      </c>
      <c r="J135" t="str">
        <f t="shared" si="20"/>
        <v>F</v>
      </c>
    </row>
    <row r="136" spans="1:10" x14ac:dyDescent="0.25">
      <c r="A136" s="4" t="s">
        <v>346</v>
      </c>
      <c r="B136" s="1">
        <v>0.11723</v>
      </c>
      <c r="C136" s="1">
        <v>0.115522</v>
      </c>
      <c r="D136" s="1">
        <f t="shared" si="14"/>
        <v>1.7080000000000012E-3</v>
      </c>
      <c r="E136">
        <f t="shared" si="15"/>
        <v>2</v>
      </c>
      <c r="F136">
        <f t="shared" si="16"/>
        <v>28</v>
      </c>
      <c r="G136">
        <f t="shared" si="17"/>
        <v>2.4700000000000002</v>
      </c>
      <c r="H136">
        <f t="shared" si="18"/>
        <v>148</v>
      </c>
      <c r="I136" s="3">
        <f t="shared" si="19"/>
        <v>121.62162162162161</v>
      </c>
      <c r="J136" t="str">
        <f t="shared" si="20"/>
        <v>F</v>
      </c>
    </row>
    <row r="137" spans="1:10" x14ac:dyDescent="0.25">
      <c r="A137" s="4" t="s">
        <v>381</v>
      </c>
      <c r="B137" s="1">
        <v>0.89447600000000005</v>
      </c>
      <c r="C137" s="1">
        <v>0.89619199999999999</v>
      </c>
      <c r="D137" s="1">
        <f t="shared" si="14"/>
        <v>1.7159999999999398E-3</v>
      </c>
      <c r="E137">
        <f t="shared" si="15"/>
        <v>2</v>
      </c>
      <c r="F137">
        <f t="shared" si="16"/>
        <v>28</v>
      </c>
      <c r="G137">
        <f t="shared" si="17"/>
        <v>2.4700000000000002</v>
      </c>
      <c r="H137">
        <f t="shared" si="18"/>
        <v>148</v>
      </c>
      <c r="I137" s="3">
        <f t="shared" si="19"/>
        <v>121.62162162162161</v>
      </c>
      <c r="J137" t="str">
        <f t="shared" si="20"/>
        <v>F</v>
      </c>
    </row>
    <row r="138" spans="1:10" x14ac:dyDescent="0.25">
      <c r="A138" s="4" t="s">
        <v>107</v>
      </c>
      <c r="B138" s="1">
        <v>0.36874600000000002</v>
      </c>
      <c r="C138" s="1">
        <v>0.37047400000000003</v>
      </c>
      <c r="D138" s="1">
        <f t="shared" si="14"/>
        <v>1.7280000000000073E-3</v>
      </c>
      <c r="E138">
        <f t="shared" si="15"/>
        <v>2</v>
      </c>
      <c r="F138">
        <f t="shared" si="16"/>
        <v>29</v>
      </c>
      <c r="G138">
        <f t="shared" si="17"/>
        <v>2.48</v>
      </c>
      <c r="H138">
        <f t="shared" si="18"/>
        <v>149</v>
      </c>
      <c r="I138" s="3">
        <f t="shared" si="19"/>
        <v>120.80536912751677</v>
      </c>
      <c r="J138" t="str">
        <f t="shared" si="20"/>
        <v>F</v>
      </c>
    </row>
    <row r="139" spans="1:10" x14ac:dyDescent="0.25">
      <c r="A139" s="4" t="s">
        <v>16</v>
      </c>
      <c r="B139" s="1">
        <v>0.90525999999999995</v>
      </c>
      <c r="C139" s="1">
        <v>0.90354000000000001</v>
      </c>
      <c r="D139" s="1">
        <f t="shared" si="14"/>
        <v>1.7199999999999438E-3</v>
      </c>
      <c r="E139">
        <f t="shared" si="15"/>
        <v>2</v>
      </c>
      <c r="F139">
        <f t="shared" si="16"/>
        <v>29</v>
      </c>
      <c r="G139">
        <f t="shared" si="17"/>
        <v>2.48</v>
      </c>
      <c r="H139">
        <f t="shared" si="18"/>
        <v>149</v>
      </c>
      <c r="I139" s="3">
        <f t="shared" si="19"/>
        <v>120.80536912751677</v>
      </c>
      <c r="J139" t="str">
        <f t="shared" si="20"/>
        <v>F</v>
      </c>
    </row>
    <row r="140" spans="1:10" x14ac:dyDescent="0.25">
      <c r="A140" s="4" t="s">
        <v>72</v>
      </c>
      <c r="B140" s="1">
        <v>0.848275</v>
      </c>
      <c r="C140" s="1">
        <v>0.84999499999999995</v>
      </c>
      <c r="D140" s="1">
        <f t="shared" si="14"/>
        <v>1.7199999999999438E-3</v>
      </c>
      <c r="E140">
        <f t="shared" si="15"/>
        <v>2</v>
      </c>
      <c r="F140">
        <f t="shared" si="16"/>
        <v>29</v>
      </c>
      <c r="G140">
        <f t="shared" si="17"/>
        <v>2.48</v>
      </c>
      <c r="H140">
        <f t="shared" si="18"/>
        <v>149</v>
      </c>
      <c r="I140" s="3">
        <f t="shared" si="19"/>
        <v>120.80536912751677</v>
      </c>
      <c r="J140" t="str">
        <f t="shared" si="20"/>
        <v>F</v>
      </c>
    </row>
    <row r="141" spans="1:10" x14ac:dyDescent="0.25">
      <c r="A141" s="4" t="s">
        <v>157</v>
      </c>
      <c r="B141" s="1">
        <v>0.82582299999999997</v>
      </c>
      <c r="C141" s="1">
        <v>0.82754700000000003</v>
      </c>
      <c r="D141" s="1">
        <f t="shared" si="14"/>
        <v>1.7240000000000588E-3</v>
      </c>
      <c r="E141">
        <f t="shared" si="15"/>
        <v>2</v>
      </c>
      <c r="F141">
        <f t="shared" si="16"/>
        <v>29</v>
      </c>
      <c r="G141">
        <f t="shared" si="17"/>
        <v>2.48</v>
      </c>
      <c r="H141">
        <f t="shared" si="18"/>
        <v>149</v>
      </c>
      <c r="I141" s="3">
        <f t="shared" si="19"/>
        <v>120.80536912751677</v>
      </c>
      <c r="J141" t="str">
        <f t="shared" si="20"/>
        <v>F</v>
      </c>
    </row>
    <row r="142" spans="1:10" x14ac:dyDescent="0.25">
      <c r="A142" s="4" t="s">
        <v>411</v>
      </c>
      <c r="B142" s="1">
        <v>0.51790700000000001</v>
      </c>
      <c r="C142" s="1">
        <v>0.51618299999999995</v>
      </c>
      <c r="D142" s="1">
        <f t="shared" si="14"/>
        <v>1.7240000000000588E-3</v>
      </c>
      <c r="E142">
        <f t="shared" si="15"/>
        <v>2</v>
      </c>
      <c r="F142">
        <f t="shared" si="16"/>
        <v>29</v>
      </c>
      <c r="G142">
        <f t="shared" si="17"/>
        <v>2.48</v>
      </c>
      <c r="H142">
        <f t="shared" si="18"/>
        <v>149</v>
      </c>
      <c r="I142" s="3">
        <f t="shared" si="19"/>
        <v>120.80536912751677</v>
      </c>
      <c r="J142" t="str">
        <f t="shared" si="20"/>
        <v>F</v>
      </c>
    </row>
    <row r="143" spans="1:10" x14ac:dyDescent="0.25">
      <c r="A143" s="4" t="s">
        <v>132</v>
      </c>
      <c r="B143" s="1">
        <v>0.64908500000000002</v>
      </c>
      <c r="C143" s="1">
        <v>0.65082499999999999</v>
      </c>
      <c r="D143" s="1">
        <f t="shared" si="14"/>
        <v>1.7399999999999638E-3</v>
      </c>
      <c r="E143">
        <f t="shared" si="15"/>
        <v>2</v>
      </c>
      <c r="F143">
        <f t="shared" si="16"/>
        <v>30</v>
      </c>
      <c r="G143">
        <f t="shared" si="17"/>
        <v>2.5</v>
      </c>
      <c r="H143">
        <f t="shared" si="18"/>
        <v>150</v>
      </c>
      <c r="I143" s="3">
        <f t="shared" si="19"/>
        <v>120</v>
      </c>
      <c r="J143" t="str">
        <f t="shared" si="20"/>
        <v>F</v>
      </c>
    </row>
    <row r="144" spans="1:10" x14ac:dyDescent="0.25">
      <c r="A144" s="4" t="s">
        <v>155</v>
      </c>
      <c r="B144" s="1">
        <v>0.38238299999999997</v>
      </c>
      <c r="C144" s="1">
        <v>0.38064700000000001</v>
      </c>
      <c r="D144" s="1">
        <f t="shared" si="14"/>
        <v>1.7359999999999598E-3</v>
      </c>
      <c r="E144">
        <f t="shared" si="15"/>
        <v>2</v>
      </c>
      <c r="F144">
        <f t="shared" si="16"/>
        <v>30</v>
      </c>
      <c r="G144">
        <f t="shared" si="17"/>
        <v>2.5</v>
      </c>
      <c r="H144">
        <f t="shared" si="18"/>
        <v>150</v>
      </c>
      <c r="I144" s="3">
        <f t="shared" si="19"/>
        <v>120</v>
      </c>
      <c r="J144" t="str">
        <f t="shared" si="20"/>
        <v>F</v>
      </c>
    </row>
    <row r="145" spans="1:10" x14ac:dyDescent="0.25">
      <c r="A145" s="4" t="s">
        <v>221</v>
      </c>
      <c r="B145" s="1">
        <v>0.83130700000000002</v>
      </c>
      <c r="C145" s="1">
        <v>0.82957099999999995</v>
      </c>
      <c r="D145" s="1">
        <f t="shared" si="14"/>
        <v>1.7360000000000708E-3</v>
      </c>
      <c r="E145">
        <f t="shared" si="15"/>
        <v>2</v>
      </c>
      <c r="F145">
        <f t="shared" si="16"/>
        <v>30</v>
      </c>
      <c r="G145">
        <f t="shared" si="17"/>
        <v>2.5</v>
      </c>
      <c r="H145">
        <f t="shared" si="18"/>
        <v>150</v>
      </c>
      <c r="I145" s="3">
        <f t="shared" si="19"/>
        <v>120</v>
      </c>
      <c r="J145" t="str">
        <f t="shared" si="20"/>
        <v>F</v>
      </c>
    </row>
    <row r="146" spans="1:10" x14ac:dyDescent="0.25">
      <c r="A146" s="4" t="s">
        <v>315</v>
      </c>
      <c r="B146" s="1">
        <v>0.91733100000000001</v>
      </c>
      <c r="C146" s="1">
        <v>0.91906299999999996</v>
      </c>
      <c r="D146" s="1">
        <f t="shared" si="14"/>
        <v>1.7319999999999558E-3</v>
      </c>
      <c r="E146">
        <f t="shared" si="15"/>
        <v>2</v>
      </c>
      <c r="F146">
        <f t="shared" si="16"/>
        <v>30</v>
      </c>
      <c r="G146">
        <f t="shared" si="17"/>
        <v>2.5</v>
      </c>
      <c r="H146">
        <f t="shared" si="18"/>
        <v>150</v>
      </c>
      <c r="I146" s="3">
        <f t="shared" si="19"/>
        <v>120</v>
      </c>
      <c r="J146" t="str">
        <f t="shared" si="20"/>
        <v>F</v>
      </c>
    </row>
    <row r="147" spans="1:10" x14ac:dyDescent="0.25">
      <c r="A147" s="8" t="s">
        <v>86</v>
      </c>
      <c r="B147" s="1">
        <v>0.386492</v>
      </c>
      <c r="C147" s="1">
        <v>0.38474799999999998</v>
      </c>
      <c r="D147" s="1">
        <f t="shared" si="14"/>
        <v>1.7440000000000233E-3</v>
      </c>
      <c r="E147">
        <f t="shared" si="15"/>
        <v>2</v>
      </c>
      <c r="F147">
        <f t="shared" si="16"/>
        <v>31</v>
      </c>
      <c r="G147">
        <f t="shared" si="17"/>
        <v>2.52</v>
      </c>
      <c r="H147">
        <f t="shared" si="18"/>
        <v>151</v>
      </c>
      <c r="I147" s="10">
        <f t="shared" si="19"/>
        <v>119.20529801324504</v>
      </c>
      <c r="J147" t="str">
        <f t="shared" si="20"/>
        <v>T</v>
      </c>
    </row>
    <row r="148" spans="1:10" x14ac:dyDescent="0.25">
      <c r="A148" s="4" t="s">
        <v>21</v>
      </c>
      <c r="B148" s="1">
        <v>0.84183399999999997</v>
      </c>
      <c r="C148" s="1">
        <v>0.840086</v>
      </c>
      <c r="D148" s="1">
        <f t="shared" si="14"/>
        <v>1.7479999999999718E-3</v>
      </c>
      <c r="E148">
        <f t="shared" si="15"/>
        <v>2</v>
      </c>
      <c r="F148">
        <f t="shared" si="16"/>
        <v>31</v>
      </c>
      <c r="G148">
        <f t="shared" si="17"/>
        <v>2.52</v>
      </c>
      <c r="H148">
        <f t="shared" si="18"/>
        <v>151</v>
      </c>
      <c r="I148" s="3">
        <f t="shared" si="19"/>
        <v>119.20529801324504</v>
      </c>
      <c r="J148" t="str">
        <f t="shared" si="20"/>
        <v>F</v>
      </c>
    </row>
    <row r="149" spans="1:10" x14ac:dyDescent="0.25">
      <c r="A149" s="4" t="s">
        <v>64</v>
      </c>
      <c r="B149" s="1">
        <v>0.43862400000000001</v>
      </c>
      <c r="C149" s="1">
        <v>0.43687599999999999</v>
      </c>
      <c r="D149" s="1">
        <f t="shared" si="14"/>
        <v>1.7480000000000273E-3</v>
      </c>
      <c r="E149">
        <f t="shared" si="15"/>
        <v>2</v>
      </c>
      <c r="F149">
        <f t="shared" si="16"/>
        <v>31</v>
      </c>
      <c r="G149">
        <f t="shared" si="17"/>
        <v>2.52</v>
      </c>
      <c r="H149">
        <f t="shared" si="18"/>
        <v>151</v>
      </c>
      <c r="I149" s="3">
        <f t="shared" si="19"/>
        <v>119.20529801324504</v>
      </c>
      <c r="J149" t="str">
        <f t="shared" si="20"/>
        <v>F</v>
      </c>
    </row>
    <row r="150" spans="1:10" x14ac:dyDescent="0.25">
      <c r="A150" s="4" t="s">
        <v>4</v>
      </c>
      <c r="B150" s="1">
        <v>0.16196199999999999</v>
      </c>
      <c r="C150" s="1">
        <v>0.16370999999999999</v>
      </c>
      <c r="D150" s="1">
        <f t="shared" si="14"/>
        <v>1.7479999999999996E-3</v>
      </c>
      <c r="E150">
        <f t="shared" si="15"/>
        <v>2</v>
      </c>
      <c r="F150">
        <f t="shared" si="16"/>
        <v>31</v>
      </c>
      <c r="G150">
        <f t="shared" si="17"/>
        <v>2.52</v>
      </c>
      <c r="H150">
        <f t="shared" si="18"/>
        <v>151</v>
      </c>
      <c r="I150" s="3">
        <f t="shared" si="19"/>
        <v>119.20529801324504</v>
      </c>
      <c r="J150" t="str">
        <f t="shared" si="20"/>
        <v>F</v>
      </c>
    </row>
    <row r="151" spans="1:10" x14ac:dyDescent="0.25">
      <c r="A151" s="4" t="s">
        <v>100</v>
      </c>
      <c r="B151" s="1">
        <v>0.56021500000000002</v>
      </c>
      <c r="C151" s="1">
        <v>0.56196699999999999</v>
      </c>
      <c r="D151" s="1">
        <f t="shared" si="14"/>
        <v>1.7519999999999758E-3</v>
      </c>
      <c r="E151">
        <f t="shared" si="15"/>
        <v>2</v>
      </c>
      <c r="F151">
        <f t="shared" si="16"/>
        <v>31</v>
      </c>
      <c r="G151">
        <f t="shared" si="17"/>
        <v>2.52</v>
      </c>
      <c r="H151">
        <f t="shared" si="18"/>
        <v>151</v>
      </c>
      <c r="I151" s="3">
        <f t="shared" si="19"/>
        <v>119.20529801324504</v>
      </c>
      <c r="J151" t="str">
        <f t="shared" si="20"/>
        <v>F</v>
      </c>
    </row>
    <row r="152" spans="1:10" x14ac:dyDescent="0.25">
      <c r="A152" s="4" t="s">
        <v>263</v>
      </c>
      <c r="B152" s="1">
        <v>3.39E-2</v>
      </c>
      <c r="C152" s="1">
        <v>3.2155999999999997E-2</v>
      </c>
      <c r="D152" s="1">
        <f t="shared" si="14"/>
        <v>1.7440000000000025E-3</v>
      </c>
      <c r="E152">
        <f t="shared" si="15"/>
        <v>2</v>
      </c>
      <c r="F152">
        <f t="shared" si="16"/>
        <v>31</v>
      </c>
      <c r="G152">
        <f t="shared" si="17"/>
        <v>2.52</v>
      </c>
      <c r="H152">
        <f t="shared" si="18"/>
        <v>151</v>
      </c>
      <c r="I152" s="3">
        <f t="shared" si="19"/>
        <v>119.20529801324504</v>
      </c>
      <c r="J152" t="str">
        <f t="shared" si="20"/>
        <v>F</v>
      </c>
    </row>
    <row r="153" spans="1:10" x14ac:dyDescent="0.25">
      <c r="A153" s="4" t="s">
        <v>68</v>
      </c>
      <c r="B153" s="1">
        <v>0.98681600000000003</v>
      </c>
      <c r="C153" s="1">
        <v>0.98857600000000001</v>
      </c>
      <c r="D153" s="1">
        <f t="shared" si="14"/>
        <v>1.7599999999999838E-3</v>
      </c>
      <c r="E153">
        <f t="shared" si="15"/>
        <v>2</v>
      </c>
      <c r="F153">
        <f t="shared" si="16"/>
        <v>32</v>
      </c>
      <c r="G153">
        <f t="shared" si="17"/>
        <v>2.5299999999999998</v>
      </c>
      <c r="H153">
        <f t="shared" si="18"/>
        <v>152</v>
      </c>
      <c r="I153" s="3">
        <f t="shared" si="19"/>
        <v>118.42105263157896</v>
      </c>
      <c r="J153" t="str">
        <f t="shared" si="20"/>
        <v>F</v>
      </c>
    </row>
    <row r="154" spans="1:10" x14ac:dyDescent="0.25">
      <c r="A154" s="4" t="s">
        <v>47</v>
      </c>
      <c r="B154" s="1">
        <v>0.76115200000000005</v>
      </c>
      <c r="C154" s="1">
        <v>0.75938799999999995</v>
      </c>
      <c r="D154" s="1">
        <f t="shared" si="14"/>
        <v>1.7640000000000988E-3</v>
      </c>
      <c r="E154">
        <f t="shared" si="15"/>
        <v>2</v>
      </c>
      <c r="F154">
        <f t="shared" si="16"/>
        <v>32</v>
      </c>
      <c r="G154">
        <f t="shared" si="17"/>
        <v>2.5299999999999998</v>
      </c>
      <c r="H154">
        <f t="shared" si="18"/>
        <v>152</v>
      </c>
      <c r="I154" s="3">
        <f t="shared" si="19"/>
        <v>118.42105263157896</v>
      </c>
      <c r="J154" t="str">
        <f t="shared" si="20"/>
        <v>F</v>
      </c>
    </row>
    <row r="155" spans="1:10" x14ac:dyDescent="0.25">
      <c r="A155" s="4" t="s">
        <v>117</v>
      </c>
      <c r="B155" s="1">
        <v>0.95934200000000003</v>
      </c>
      <c r="C155" s="1">
        <v>0.95758200000000004</v>
      </c>
      <c r="D155" s="1">
        <f t="shared" si="14"/>
        <v>1.7599999999999838E-3</v>
      </c>
      <c r="E155">
        <f t="shared" si="15"/>
        <v>2</v>
      </c>
      <c r="F155">
        <f t="shared" si="16"/>
        <v>32</v>
      </c>
      <c r="G155">
        <f t="shared" si="17"/>
        <v>2.5299999999999998</v>
      </c>
      <c r="H155">
        <f t="shared" si="18"/>
        <v>152</v>
      </c>
      <c r="I155" s="3">
        <f t="shared" si="19"/>
        <v>118.42105263157896</v>
      </c>
      <c r="J155" t="str">
        <f t="shared" si="20"/>
        <v>F</v>
      </c>
    </row>
    <row r="156" spans="1:10" x14ac:dyDescent="0.25">
      <c r="A156" s="4" t="s">
        <v>21</v>
      </c>
      <c r="B156" s="1">
        <v>7.4226E-2</v>
      </c>
      <c r="C156" s="1">
        <v>7.5994000000000006E-2</v>
      </c>
      <c r="D156" s="1">
        <f t="shared" si="14"/>
        <v>1.7680000000000057E-3</v>
      </c>
      <c r="E156">
        <f t="shared" si="15"/>
        <v>2</v>
      </c>
      <c r="F156">
        <f t="shared" si="16"/>
        <v>33</v>
      </c>
      <c r="G156">
        <f t="shared" si="17"/>
        <v>2.5499999999999998</v>
      </c>
      <c r="H156">
        <f t="shared" si="18"/>
        <v>153</v>
      </c>
      <c r="I156" s="3">
        <f t="shared" si="19"/>
        <v>117.64705882352942</v>
      </c>
      <c r="J156" t="str">
        <f t="shared" si="20"/>
        <v>F</v>
      </c>
    </row>
    <row r="157" spans="1:10" x14ac:dyDescent="0.25">
      <c r="A157" s="4" t="s">
        <v>167</v>
      </c>
      <c r="B157" s="1">
        <v>0.40695900000000002</v>
      </c>
      <c r="C157" s="1">
        <v>0.40518700000000002</v>
      </c>
      <c r="D157" s="1">
        <f t="shared" si="14"/>
        <v>1.7719999999999958E-3</v>
      </c>
      <c r="E157">
        <f t="shared" si="15"/>
        <v>2</v>
      </c>
      <c r="F157">
        <f t="shared" si="16"/>
        <v>33</v>
      </c>
      <c r="G157">
        <f t="shared" si="17"/>
        <v>2.5499999999999998</v>
      </c>
      <c r="H157">
        <f t="shared" si="18"/>
        <v>153</v>
      </c>
      <c r="I157" s="3">
        <f t="shared" si="19"/>
        <v>117.64705882352942</v>
      </c>
      <c r="J157" t="str">
        <f t="shared" si="20"/>
        <v>F</v>
      </c>
    </row>
    <row r="158" spans="1:10" x14ac:dyDescent="0.25">
      <c r="A158" s="4" t="s">
        <v>122</v>
      </c>
      <c r="B158" s="1">
        <v>3.8954000000000003E-2</v>
      </c>
      <c r="C158" s="1">
        <v>4.0722000000000001E-2</v>
      </c>
      <c r="D158" s="1">
        <f t="shared" si="14"/>
        <v>1.7679999999999987E-3</v>
      </c>
      <c r="E158">
        <f t="shared" si="15"/>
        <v>2</v>
      </c>
      <c r="F158">
        <f t="shared" si="16"/>
        <v>33</v>
      </c>
      <c r="G158">
        <f t="shared" si="17"/>
        <v>2.5499999999999998</v>
      </c>
      <c r="H158">
        <f t="shared" si="18"/>
        <v>153</v>
      </c>
      <c r="I158" s="3">
        <f t="shared" si="19"/>
        <v>117.64705882352942</v>
      </c>
      <c r="J158" t="str">
        <f t="shared" si="20"/>
        <v>F</v>
      </c>
    </row>
    <row r="159" spans="1:10" x14ac:dyDescent="0.25">
      <c r="A159" s="4" t="s">
        <v>146</v>
      </c>
      <c r="B159" s="1">
        <v>0.61743499999999996</v>
      </c>
      <c r="C159" s="1">
        <v>0.61920299999999995</v>
      </c>
      <c r="D159" s="1">
        <f t="shared" si="14"/>
        <v>1.7679999999999918E-3</v>
      </c>
      <c r="E159">
        <f t="shared" si="15"/>
        <v>2</v>
      </c>
      <c r="F159">
        <f t="shared" si="16"/>
        <v>33</v>
      </c>
      <c r="G159">
        <f t="shared" si="17"/>
        <v>2.5499999999999998</v>
      </c>
      <c r="H159">
        <f t="shared" si="18"/>
        <v>153</v>
      </c>
      <c r="I159" s="3">
        <f t="shared" si="19"/>
        <v>117.64705882352942</v>
      </c>
      <c r="J159" t="str">
        <f t="shared" si="20"/>
        <v>F</v>
      </c>
    </row>
    <row r="160" spans="1:10" x14ac:dyDescent="0.25">
      <c r="A160" s="4" t="s">
        <v>12</v>
      </c>
      <c r="B160" s="1">
        <v>0.33185700000000001</v>
      </c>
      <c r="C160" s="1">
        <v>0.33362900000000001</v>
      </c>
      <c r="D160" s="1">
        <f t="shared" si="14"/>
        <v>1.7719999999999958E-3</v>
      </c>
      <c r="E160">
        <f t="shared" si="15"/>
        <v>2</v>
      </c>
      <c r="F160">
        <f t="shared" si="16"/>
        <v>33</v>
      </c>
      <c r="G160">
        <f t="shared" si="17"/>
        <v>2.5499999999999998</v>
      </c>
      <c r="H160">
        <f t="shared" si="18"/>
        <v>153</v>
      </c>
      <c r="I160" s="3">
        <f t="shared" si="19"/>
        <v>117.64705882352942</v>
      </c>
      <c r="J160" t="str">
        <f t="shared" si="20"/>
        <v>F</v>
      </c>
    </row>
    <row r="161" spans="1:10" x14ac:dyDescent="0.25">
      <c r="A161" s="4" t="s">
        <v>77</v>
      </c>
      <c r="B161" s="1">
        <v>0.86746599999999996</v>
      </c>
      <c r="C161" s="1">
        <v>0.86568199999999995</v>
      </c>
      <c r="D161" s="1">
        <f t="shared" si="14"/>
        <v>1.7840000000000078E-3</v>
      </c>
      <c r="E161">
        <f t="shared" si="15"/>
        <v>2</v>
      </c>
      <c r="F161">
        <f t="shared" si="16"/>
        <v>34</v>
      </c>
      <c r="G161">
        <f t="shared" si="17"/>
        <v>2.57</v>
      </c>
      <c r="H161">
        <f t="shared" si="18"/>
        <v>154</v>
      </c>
      <c r="I161" s="3">
        <f t="shared" si="19"/>
        <v>116.88311688311688</v>
      </c>
      <c r="J161" t="str">
        <f t="shared" si="20"/>
        <v>F</v>
      </c>
    </row>
    <row r="162" spans="1:10" x14ac:dyDescent="0.25">
      <c r="A162" s="4" t="s">
        <v>12</v>
      </c>
      <c r="B162" s="1">
        <v>0.43819900000000001</v>
      </c>
      <c r="C162" s="1">
        <v>0.43998700000000002</v>
      </c>
      <c r="D162" s="1">
        <f t="shared" si="14"/>
        <v>1.7880000000000118E-3</v>
      </c>
      <c r="E162">
        <f t="shared" si="15"/>
        <v>2</v>
      </c>
      <c r="F162">
        <f t="shared" si="16"/>
        <v>34</v>
      </c>
      <c r="G162">
        <f t="shared" si="17"/>
        <v>2.57</v>
      </c>
      <c r="H162">
        <f t="shared" si="18"/>
        <v>154</v>
      </c>
      <c r="I162" s="3">
        <f t="shared" si="19"/>
        <v>116.88311688311688</v>
      </c>
      <c r="J162" t="str">
        <f t="shared" si="20"/>
        <v>F</v>
      </c>
    </row>
    <row r="163" spans="1:10" x14ac:dyDescent="0.25">
      <c r="A163" s="4" t="s">
        <v>147</v>
      </c>
      <c r="B163" s="1">
        <v>0.42548399999999997</v>
      </c>
      <c r="C163" s="1">
        <v>0.42727199999999999</v>
      </c>
      <c r="D163" s="1">
        <f t="shared" si="14"/>
        <v>1.7880000000000118E-3</v>
      </c>
      <c r="E163">
        <f t="shared" si="15"/>
        <v>2</v>
      </c>
      <c r="F163">
        <f t="shared" si="16"/>
        <v>34</v>
      </c>
      <c r="G163">
        <f t="shared" si="17"/>
        <v>2.57</v>
      </c>
      <c r="H163">
        <f t="shared" si="18"/>
        <v>154</v>
      </c>
      <c r="I163" s="3">
        <f t="shared" si="19"/>
        <v>116.88311688311688</v>
      </c>
      <c r="J163" t="str">
        <f t="shared" si="20"/>
        <v>F</v>
      </c>
    </row>
    <row r="164" spans="1:10" x14ac:dyDescent="0.25">
      <c r="A164" s="4" t="s">
        <v>54</v>
      </c>
      <c r="B164" s="1">
        <v>0.83164899999999997</v>
      </c>
      <c r="C164" s="1">
        <v>0.82985699999999996</v>
      </c>
      <c r="D164" s="1">
        <f t="shared" si="14"/>
        <v>1.7920000000000158E-3</v>
      </c>
      <c r="E164">
        <f t="shared" si="15"/>
        <v>2</v>
      </c>
      <c r="F164">
        <f t="shared" si="16"/>
        <v>35</v>
      </c>
      <c r="G164">
        <f t="shared" si="17"/>
        <v>2.58</v>
      </c>
      <c r="H164">
        <f t="shared" si="18"/>
        <v>155</v>
      </c>
      <c r="I164" s="3">
        <f t="shared" si="19"/>
        <v>116.12903225806451</v>
      </c>
      <c r="J164" t="str">
        <f t="shared" si="20"/>
        <v>F</v>
      </c>
    </row>
    <row r="165" spans="1:10" x14ac:dyDescent="0.25">
      <c r="A165" s="4" t="s">
        <v>59</v>
      </c>
      <c r="B165" s="1">
        <v>0.91732499999999995</v>
      </c>
      <c r="C165" s="1">
        <v>0.91552900000000004</v>
      </c>
      <c r="D165" s="1">
        <f t="shared" si="14"/>
        <v>1.7959999999999088E-3</v>
      </c>
      <c r="E165">
        <f t="shared" si="15"/>
        <v>2</v>
      </c>
      <c r="F165">
        <f t="shared" si="16"/>
        <v>35</v>
      </c>
      <c r="G165">
        <f t="shared" si="17"/>
        <v>2.58</v>
      </c>
      <c r="H165">
        <f t="shared" si="18"/>
        <v>155</v>
      </c>
      <c r="I165" s="3">
        <f t="shared" si="19"/>
        <v>116.12903225806451</v>
      </c>
      <c r="J165" t="str">
        <f t="shared" si="20"/>
        <v>F</v>
      </c>
    </row>
    <row r="166" spans="1:10" x14ac:dyDescent="0.25">
      <c r="A166" s="4" t="s">
        <v>310</v>
      </c>
      <c r="B166" s="1">
        <v>0.870444</v>
      </c>
      <c r="C166" s="1">
        <v>0.86865199999999998</v>
      </c>
      <c r="D166" s="1">
        <f t="shared" si="14"/>
        <v>1.7920000000000158E-3</v>
      </c>
      <c r="E166">
        <f t="shared" si="15"/>
        <v>2</v>
      </c>
      <c r="F166">
        <f t="shared" si="16"/>
        <v>35</v>
      </c>
      <c r="G166">
        <f t="shared" si="17"/>
        <v>2.58</v>
      </c>
      <c r="H166">
        <f t="shared" si="18"/>
        <v>155</v>
      </c>
      <c r="I166" s="3">
        <f t="shared" si="19"/>
        <v>116.12903225806451</v>
      </c>
      <c r="J166" t="str">
        <f t="shared" si="20"/>
        <v>F</v>
      </c>
    </row>
    <row r="167" spans="1:10" x14ac:dyDescent="0.25">
      <c r="A167" s="4" t="s">
        <v>112</v>
      </c>
      <c r="B167" s="1">
        <v>0.45399299999999998</v>
      </c>
      <c r="C167" s="1">
        <v>0.452185</v>
      </c>
      <c r="D167" s="1">
        <f t="shared" si="14"/>
        <v>1.8079999999999763E-3</v>
      </c>
      <c r="E167">
        <f t="shared" si="15"/>
        <v>2</v>
      </c>
      <c r="F167">
        <f t="shared" si="16"/>
        <v>36</v>
      </c>
      <c r="G167">
        <f t="shared" si="17"/>
        <v>2.6</v>
      </c>
      <c r="H167">
        <f t="shared" si="18"/>
        <v>156</v>
      </c>
      <c r="I167" s="3">
        <f t="shared" si="19"/>
        <v>115.38461538461539</v>
      </c>
      <c r="J167" t="str">
        <f t="shared" si="20"/>
        <v>F</v>
      </c>
    </row>
    <row r="168" spans="1:10" x14ac:dyDescent="0.25">
      <c r="A168" s="4" t="s">
        <v>131</v>
      </c>
      <c r="B168" s="1">
        <v>0.64960200000000001</v>
      </c>
      <c r="C168" s="1">
        <v>0.65140200000000004</v>
      </c>
      <c r="D168" s="1">
        <f t="shared" si="14"/>
        <v>1.8000000000000238E-3</v>
      </c>
      <c r="E168">
        <f t="shared" si="15"/>
        <v>2</v>
      </c>
      <c r="F168">
        <f t="shared" si="16"/>
        <v>36</v>
      </c>
      <c r="G168">
        <f t="shared" si="17"/>
        <v>2.6</v>
      </c>
      <c r="H168">
        <f t="shared" si="18"/>
        <v>156</v>
      </c>
      <c r="I168" s="3">
        <f t="shared" si="19"/>
        <v>115.38461538461539</v>
      </c>
      <c r="J168" t="str">
        <f t="shared" si="20"/>
        <v>F</v>
      </c>
    </row>
    <row r="169" spans="1:10" x14ac:dyDescent="0.25">
      <c r="A169" s="4" t="s">
        <v>78</v>
      </c>
      <c r="B169" s="1">
        <v>0.84384199999999998</v>
      </c>
      <c r="C169" s="1">
        <v>0.845642</v>
      </c>
      <c r="D169" s="1">
        <f t="shared" si="14"/>
        <v>1.8000000000000238E-3</v>
      </c>
      <c r="E169">
        <f t="shared" si="15"/>
        <v>2</v>
      </c>
      <c r="F169">
        <f t="shared" si="16"/>
        <v>36</v>
      </c>
      <c r="G169">
        <f t="shared" si="17"/>
        <v>2.6</v>
      </c>
      <c r="H169">
        <f t="shared" si="18"/>
        <v>156</v>
      </c>
      <c r="I169" s="3">
        <f t="shared" si="19"/>
        <v>115.38461538461539</v>
      </c>
      <c r="J169" t="str">
        <f t="shared" si="20"/>
        <v>F</v>
      </c>
    </row>
    <row r="170" spans="1:10" x14ac:dyDescent="0.25">
      <c r="A170" s="4" t="s">
        <v>47</v>
      </c>
      <c r="B170" s="1">
        <v>0.203124</v>
      </c>
      <c r="C170" s="1">
        <v>0.204928</v>
      </c>
      <c r="D170" s="1">
        <f t="shared" si="14"/>
        <v>1.804E-3</v>
      </c>
      <c r="E170">
        <f t="shared" si="15"/>
        <v>2</v>
      </c>
      <c r="F170">
        <f t="shared" si="16"/>
        <v>36</v>
      </c>
      <c r="G170">
        <f t="shared" si="17"/>
        <v>2.6</v>
      </c>
      <c r="H170">
        <f t="shared" si="18"/>
        <v>156</v>
      </c>
      <c r="I170" s="3">
        <f t="shared" si="19"/>
        <v>115.38461538461539</v>
      </c>
      <c r="J170" t="str">
        <f t="shared" si="20"/>
        <v>F</v>
      </c>
    </row>
    <row r="171" spans="1:10" x14ac:dyDescent="0.25">
      <c r="A171" s="4" t="s">
        <v>97</v>
      </c>
      <c r="B171" s="1">
        <v>0.79618299999999997</v>
      </c>
      <c r="C171" s="1">
        <v>0.79799500000000001</v>
      </c>
      <c r="D171" s="1">
        <f t="shared" si="14"/>
        <v>1.8120000000000358E-3</v>
      </c>
      <c r="E171">
        <f t="shared" si="15"/>
        <v>2</v>
      </c>
      <c r="F171">
        <f t="shared" si="16"/>
        <v>37</v>
      </c>
      <c r="G171">
        <f t="shared" si="17"/>
        <v>2.62</v>
      </c>
      <c r="H171">
        <f t="shared" si="18"/>
        <v>157</v>
      </c>
      <c r="I171" s="3">
        <f t="shared" si="19"/>
        <v>114.64968152866241</v>
      </c>
      <c r="J171" t="str">
        <f t="shared" si="20"/>
        <v>F</v>
      </c>
    </row>
    <row r="172" spans="1:10" x14ac:dyDescent="0.25">
      <c r="A172" s="4" t="s">
        <v>75</v>
      </c>
      <c r="B172" s="1">
        <v>0.80092399999999997</v>
      </c>
      <c r="C172" s="1">
        <v>0.79910400000000004</v>
      </c>
      <c r="D172" s="1">
        <f t="shared" si="14"/>
        <v>1.8199999999999328E-3</v>
      </c>
      <c r="E172">
        <f t="shared" si="15"/>
        <v>2</v>
      </c>
      <c r="F172">
        <f t="shared" si="16"/>
        <v>37</v>
      </c>
      <c r="G172">
        <f t="shared" si="17"/>
        <v>2.62</v>
      </c>
      <c r="H172">
        <f t="shared" si="18"/>
        <v>157</v>
      </c>
      <c r="I172" s="3">
        <f t="shared" si="19"/>
        <v>114.64968152866241</v>
      </c>
      <c r="J172" t="str">
        <f t="shared" si="20"/>
        <v>F</v>
      </c>
    </row>
    <row r="173" spans="1:10" x14ac:dyDescent="0.25">
      <c r="A173" s="4" t="s">
        <v>12</v>
      </c>
      <c r="B173" s="1">
        <v>0.67800800000000006</v>
      </c>
      <c r="C173" s="1">
        <v>0.67982399999999998</v>
      </c>
      <c r="D173" s="1">
        <f t="shared" si="14"/>
        <v>1.8159999999999288E-3</v>
      </c>
      <c r="E173">
        <f t="shared" si="15"/>
        <v>2</v>
      </c>
      <c r="F173">
        <f t="shared" si="16"/>
        <v>37</v>
      </c>
      <c r="G173">
        <f t="shared" si="17"/>
        <v>2.62</v>
      </c>
      <c r="H173">
        <f t="shared" si="18"/>
        <v>157</v>
      </c>
      <c r="I173" s="3">
        <f t="shared" si="19"/>
        <v>114.64968152866241</v>
      </c>
      <c r="J173" t="str">
        <f t="shared" si="20"/>
        <v>F</v>
      </c>
    </row>
    <row r="174" spans="1:10" x14ac:dyDescent="0.25">
      <c r="A174" s="4" t="s">
        <v>318</v>
      </c>
      <c r="B174" s="1">
        <v>0.62203600000000003</v>
      </c>
      <c r="C174" s="1">
        <v>0.620224</v>
      </c>
      <c r="D174" s="1">
        <f t="shared" si="14"/>
        <v>1.8120000000000358E-3</v>
      </c>
      <c r="E174">
        <f t="shared" si="15"/>
        <v>2</v>
      </c>
      <c r="F174">
        <f t="shared" si="16"/>
        <v>37</v>
      </c>
      <c r="G174">
        <f t="shared" si="17"/>
        <v>2.62</v>
      </c>
      <c r="H174">
        <f t="shared" si="18"/>
        <v>157</v>
      </c>
      <c r="I174" s="3">
        <f t="shared" si="19"/>
        <v>114.64968152866241</v>
      </c>
      <c r="J174" t="str">
        <f t="shared" si="20"/>
        <v>F</v>
      </c>
    </row>
    <row r="175" spans="1:10" x14ac:dyDescent="0.25">
      <c r="A175" s="4" t="s">
        <v>21</v>
      </c>
      <c r="B175" s="1">
        <v>0.58114299999999997</v>
      </c>
      <c r="C175" s="1">
        <v>0.58296700000000001</v>
      </c>
      <c r="D175" s="1">
        <f t="shared" si="14"/>
        <v>1.8240000000000478E-3</v>
      </c>
      <c r="E175">
        <f t="shared" si="15"/>
        <v>2</v>
      </c>
      <c r="F175">
        <f t="shared" si="16"/>
        <v>38</v>
      </c>
      <c r="G175">
        <f t="shared" si="17"/>
        <v>2.63</v>
      </c>
      <c r="H175">
        <f t="shared" si="18"/>
        <v>158</v>
      </c>
      <c r="I175" s="3">
        <f t="shared" si="19"/>
        <v>113.92405063291139</v>
      </c>
      <c r="J175" t="str">
        <f t="shared" si="20"/>
        <v>F</v>
      </c>
    </row>
    <row r="176" spans="1:10" x14ac:dyDescent="0.25">
      <c r="A176" s="4" t="s">
        <v>159</v>
      </c>
      <c r="B176" s="1">
        <v>0.515621</v>
      </c>
      <c r="C176" s="1">
        <v>0.51379300000000006</v>
      </c>
      <c r="D176" s="1">
        <f t="shared" si="14"/>
        <v>1.8279999999999408E-3</v>
      </c>
      <c r="E176">
        <f t="shared" si="15"/>
        <v>2</v>
      </c>
      <c r="F176">
        <f t="shared" si="16"/>
        <v>38</v>
      </c>
      <c r="G176">
        <f t="shared" si="17"/>
        <v>2.63</v>
      </c>
      <c r="H176">
        <f t="shared" si="18"/>
        <v>158</v>
      </c>
      <c r="I176" s="3">
        <f t="shared" si="19"/>
        <v>113.92405063291139</v>
      </c>
      <c r="J176" t="str">
        <f t="shared" si="20"/>
        <v>F</v>
      </c>
    </row>
    <row r="177" spans="1:10" x14ac:dyDescent="0.25">
      <c r="A177" s="4" t="s">
        <v>62</v>
      </c>
      <c r="B177" s="1">
        <v>0.61977899999999997</v>
      </c>
      <c r="C177" s="1">
        <v>0.62161100000000002</v>
      </c>
      <c r="D177" s="1">
        <f t="shared" si="14"/>
        <v>1.8320000000000558E-3</v>
      </c>
      <c r="E177">
        <f t="shared" si="15"/>
        <v>2</v>
      </c>
      <c r="F177">
        <f t="shared" si="16"/>
        <v>38</v>
      </c>
      <c r="G177">
        <f t="shared" si="17"/>
        <v>2.63</v>
      </c>
      <c r="H177">
        <f t="shared" si="18"/>
        <v>158</v>
      </c>
      <c r="I177" s="3">
        <f t="shared" si="19"/>
        <v>113.92405063291139</v>
      </c>
      <c r="J177" t="str">
        <f t="shared" si="20"/>
        <v>F</v>
      </c>
    </row>
    <row r="178" spans="1:10" x14ac:dyDescent="0.25">
      <c r="A178" s="4" t="s">
        <v>65</v>
      </c>
      <c r="B178" s="1">
        <v>0.51582700000000004</v>
      </c>
      <c r="C178" s="1">
        <v>0.51399899999999998</v>
      </c>
      <c r="D178" s="1">
        <f t="shared" si="14"/>
        <v>1.8280000000000518E-3</v>
      </c>
      <c r="E178">
        <f t="shared" si="15"/>
        <v>2</v>
      </c>
      <c r="F178">
        <f t="shared" si="16"/>
        <v>38</v>
      </c>
      <c r="G178">
        <f t="shared" si="17"/>
        <v>2.63</v>
      </c>
      <c r="H178">
        <f t="shared" si="18"/>
        <v>158</v>
      </c>
      <c r="I178" s="3">
        <f t="shared" si="19"/>
        <v>113.92405063291139</v>
      </c>
      <c r="J178" t="str">
        <f t="shared" si="20"/>
        <v>F</v>
      </c>
    </row>
    <row r="179" spans="1:10" x14ac:dyDescent="0.25">
      <c r="A179" s="4" t="s">
        <v>27</v>
      </c>
      <c r="B179" s="1">
        <v>0.16414500000000001</v>
      </c>
      <c r="C179" s="1">
        <v>0.16232099999999999</v>
      </c>
      <c r="D179" s="1">
        <f t="shared" si="14"/>
        <v>1.82400000000002E-3</v>
      </c>
      <c r="E179">
        <f t="shared" si="15"/>
        <v>2</v>
      </c>
      <c r="F179">
        <f t="shared" si="16"/>
        <v>38</v>
      </c>
      <c r="G179">
        <f t="shared" si="17"/>
        <v>2.63</v>
      </c>
      <c r="H179">
        <f t="shared" si="18"/>
        <v>158</v>
      </c>
      <c r="I179" s="3">
        <f t="shared" si="19"/>
        <v>113.92405063291139</v>
      </c>
      <c r="J179" t="str">
        <f t="shared" si="20"/>
        <v>F</v>
      </c>
    </row>
    <row r="180" spans="1:10" x14ac:dyDescent="0.25">
      <c r="A180" s="4" t="s">
        <v>242</v>
      </c>
      <c r="B180" s="1">
        <v>0.29494700000000001</v>
      </c>
      <c r="C180" s="1">
        <v>0.29311900000000002</v>
      </c>
      <c r="D180" s="1">
        <f t="shared" si="14"/>
        <v>1.8279999999999963E-3</v>
      </c>
      <c r="E180">
        <f t="shared" si="15"/>
        <v>2</v>
      </c>
      <c r="F180">
        <f t="shared" si="16"/>
        <v>38</v>
      </c>
      <c r="G180">
        <f t="shared" si="17"/>
        <v>2.63</v>
      </c>
      <c r="H180">
        <f t="shared" si="18"/>
        <v>158</v>
      </c>
      <c r="I180" s="3">
        <f t="shared" si="19"/>
        <v>113.92405063291139</v>
      </c>
      <c r="J180" t="str">
        <f t="shared" si="20"/>
        <v>F</v>
      </c>
    </row>
    <row r="181" spans="1:10" x14ac:dyDescent="0.25">
      <c r="A181" s="4" t="s">
        <v>302</v>
      </c>
      <c r="B181" s="1">
        <v>0.16837199999999999</v>
      </c>
      <c r="C181" s="1">
        <v>0.17019599999999999</v>
      </c>
      <c r="D181" s="1">
        <f t="shared" si="14"/>
        <v>1.8239999999999923E-3</v>
      </c>
      <c r="E181">
        <f t="shared" si="15"/>
        <v>2</v>
      </c>
      <c r="F181">
        <f t="shared" si="16"/>
        <v>38</v>
      </c>
      <c r="G181">
        <f t="shared" si="17"/>
        <v>2.63</v>
      </c>
      <c r="H181">
        <f t="shared" si="18"/>
        <v>158</v>
      </c>
      <c r="I181" s="3">
        <f t="shared" si="19"/>
        <v>113.92405063291139</v>
      </c>
      <c r="J181" t="str">
        <f t="shared" si="20"/>
        <v>F</v>
      </c>
    </row>
    <row r="182" spans="1:10" x14ac:dyDescent="0.25">
      <c r="A182" s="4" t="s">
        <v>129</v>
      </c>
      <c r="B182" s="1">
        <v>0.34697099999999997</v>
      </c>
      <c r="C182" s="1">
        <v>0.34513500000000003</v>
      </c>
      <c r="D182" s="1">
        <f t="shared" si="14"/>
        <v>1.8359999999999488E-3</v>
      </c>
      <c r="E182">
        <f t="shared" si="15"/>
        <v>2</v>
      </c>
      <c r="F182">
        <f t="shared" si="16"/>
        <v>39</v>
      </c>
      <c r="G182">
        <f t="shared" si="17"/>
        <v>2.65</v>
      </c>
      <c r="H182">
        <f t="shared" si="18"/>
        <v>159</v>
      </c>
      <c r="I182" s="3">
        <f t="shared" si="19"/>
        <v>113.20754716981131</v>
      </c>
      <c r="J182" t="str">
        <f t="shared" si="20"/>
        <v>F</v>
      </c>
    </row>
    <row r="183" spans="1:10" x14ac:dyDescent="0.25">
      <c r="A183" s="4" t="s">
        <v>117</v>
      </c>
      <c r="B183" s="1">
        <v>0.93513800000000002</v>
      </c>
      <c r="C183" s="1">
        <v>0.93698199999999998</v>
      </c>
      <c r="D183" s="1">
        <f t="shared" si="14"/>
        <v>1.8439999999999568E-3</v>
      </c>
      <c r="E183">
        <f t="shared" si="15"/>
        <v>2</v>
      </c>
      <c r="F183">
        <f t="shared" si="16"/>
        <v>39</v>
      </c>
      <c r="G183">
        <f t="shared" si="17"/>
        <v>2.65</v>
      </c>
      <c r="H183">
        <f t="shared" si="18"/>
        <v>159</v>
      </c>
      <c r="I183" s="3">
        <f t="shared" si="19"/>
        <v>113.20754716981131</v>
      </c>
      <c r="J183" t="str">
        <f t="shared" si="20"/>
        <v>F</v>
      </c>
    </row>
    <row r="184" spans="1:10" x14ac:dyDescent="0.25">
      <c r="A184" s="4" t="s">
        <v>304</v>
      </c>
      <c r="B184" s="1">
        <v>0.90426600000000001</v>
      </c>
      <c r="C184" s="1">
        <v>0.90610999999999997</v>
      </c>
      <c r="D184" s="1">
        <f t="shared" si="14"/>
        <v>1.8439999999999568E-3</v>
      </c>
      <c r="E184">
        <f t="shared" si="15"/>
        <v>2</v>
      </c>
      <c r="F184">
        <f t="shared" si="16"/>
        <v>39</v>
      </c>
      <c r="G184">
        <f t="shared" si="17"/>
        <v>2.65</v>
      </c>
      <c r="H184">
        <f t="shared" si="18"/>
        <v>159</v>
      </c>
      <c r="I184" s="3">
        <f t="shared" si="19"/>
        <v>113.20754716981131</v>
      </c>
      <c r="J184" t="str">
        <f t="shared" si="20"/>
        <v>F</v>
      </c>
    </row>
    <row r="185" spans="1:10" x14ac:dyDescent="0.25">
      <c r="A185" s="4" t="s">
        <v>385</v>
      </c>
      <c r="B185" s="1">
        <v>0.626494</v>
      </c>
      <c r="C185" s="1">
        <v>0.62833399999999995</v>
      </c>
      <c r="D185" s="1">
        <f t="shared" si="14"/>
        <v>1.8399999999999528E-3</v>
      </c>
      <c r="E185">
        <f t="shared" si="15"/>
        <v>2</v>
      </c>
      <c r="F185">
        <f t="shared" si="16"/>
        <v>39</v>
      </c>
      <c r="G185">
        <f t="shared" si="17"/>
        <v>2.65</v>
      </c>
      <c r="H185">
        <f t="shared" si="18"/>
        <v>159</v>
      </c>
      <c r="I185" s="3">
        <f t="shared" si="19"/>
        <v>113.20754716981131</v>
      </c>
      <c r="J185" t="str">
        <f t="shared" si="20"/>
        <v>F</v>
      </c>
    </row>
    <row r="186" spans="1:10" x14ac:dyDescent="0.25">
      <c r="A186" s="4" t="s">
        <v>12</v>
      </c>
      <c r="B186" s="1">
        <v>0.92180200000000001</v>
      </c>
      <c r="C186" s="1">
        <v>0.91994600000000004</v>
      </c>
      <c r="D186" s="1">
        <f t="shared" si="14"/>
        <v>1.8559999999999688E-3</v>
      </c>
      <c r="E186">
        <f t="shared" si="15"/>
        <v>2</v>
      </c>
      <c r="F186">
        <f t="shared" si="16"/>
        <v>40</v>
      </c>
      <c r="G186">
        <f t="shared" si="17"/>
        <v>2.67</v>
      </c>
      <c r="H186">
        <f t="shared" si="18"/>
        <v>160</v>
      </c>
      <c r="I186" s="3">
        <f t="shared" si="19"/>
        <v>112.5</v>
      </c>
      <c r="J186" t="str">
        <f t="shared" si="20"/>
        <v>F</v>
      </c>
    </row>
    <row r="187" spans="1:10" x14ac:dyDescent="0.25">
      <c r="A187" s="4" t="s">
        <v>5</v>
      </c>
      <c r="B187" s="1">
        <v>4.0059999999999998E-2</v>
      </c>
      <c r="C187" s="1">
        <v>3.8204000000000002E-2</v>
      </c>
      <c r="D187" s="1">
        <f t="shared" si="14"/>
        <v>1.8559999999999965E-3</v>
      </c>
      <c r="E187">
        <f t="shared" si="15"/>
        <v>2</v>
      </c>
      <c r="F187">
        <f t="shared" si="16"/>
        <v>40</v>
      </c>
      <c r="G187">
        <f t="shared" si="17"/>
        <v>2.67</v>
      </c>
      <c r="H187">
        <f t="shared" si="18"/>
        <v>160</v>
      </c>
      <c r="I187" s="3">
        <f t="shared" si="19"/>
        <v>112.5</v>
      </c>
      <c r="J187" t="str">
        <f t="shared" si="20"/>
        <v>F</v>
      </c>
    </row>
    <row r="188" spans="1:10" x14ac:dyDescent="0.25">
      <c r="A188" s="4" t="s">
        <v>79</v>
      </c>
      <c r="B188" s="1">
        <v>0.81873700000000005</v>
      </c>
      <c r="C188" s="1">
        <v>0.82059300000000002</v>
      </c>
      <c r="D188" s="1">
        <f t="shared" si="14"/>
        <v>1.8559999999999688E-3</v>
      </c>
      <c r="E188">
        <f t="shared" si="15"/>
        <v>2</v>
      </c>
      <c r="F188">
        <f t="shared" si="16"/>
        <v>40</v>
      </c>
      <c r="G188">
        <f t="shared" si="17"/>
        <v>2.67</v>
      </c>
      <c r="H188">
        <f t="shared" si="18"/>
        <v>160</v>
      </c>
      <c r="I188" s="3">
        <f t="shared" si="19"/>
        <v>112.5</v>
      </c>
      <c r="J188" t="str">
        <f t="shared" si="20"/>
        <v>F</v>
      </c>
    </row>
    <row r="189" spans="1:10" x14ac:dyDescent="0.25">
      <c r="A189" s="4" t="s">
        <v>109</v>
      </c>
      <c r="B189" s="1">
        <v>0.58387299999999998</v>
      </c>
      <c r="C189" s="1">
        <v>0.58202500000000001</v>
      </c>
      <c r="D189" s="1">
        <f t="shared" si="14"/>
        <v>1.8479999999999608E-3</v>
      </c>
      <c r="E189">
        <f t="shared" si="15"/>
        <v>2</v>
      </c>
      <c r="F189">
        <f t="shared" si="16"/>
        <v>40</v>
      </c>
      <c r="G189">
        <f t="shared" si="17"/>
        <v>2.67</v>
      </c>
      <c r="H189">
        <f t="shared" si="18"/>
        <v>160</v>
      </c>
      <c r="I189" s="3">
        <f t="shared" si="19"/>
        <v>112.5</v>
      </c>
      <c r="J189" t="str">
        <f t="shared" si="20"/>
        <v>F</v>
      </c>
    </row>
    <row r="190" spans="1:10" x14ac:dyDescent="0.25">
      <c r="A190" s="4" t="s">
        <v>162</v>
      </c>
      <c r="B190" s="1">
        <v>1.2021E-2</v>
      </c>
      <c r="C190" s="1">
        <v>1.3877E-2</v>
      </c>
      <c r="D190" s="1">
        <f t="shared" si="14"/>
        <v>1.856E-3</v>
      </c>
      <c r="E190">
        <f t="shared" si="15"/>
        <v>2</v>
      </c>
      <c r="F190">
        <f t="shared" si="16"/>
        <v>40</v>
      </c>
      <c r="G190">
        <f t="shared" si="17"/>
        <v>2.67</v>
      </c>
      <c r="H190">
        <f t="shared" si="18"/>
        <v>160</v>
      </c>
      <c r="I190" s="3">
        <f t="shared" si="19"/>
        <v>112.5</v>
      </c>
      <c r="J190" t="str">
        <f t="shared" si="20"/>
        <v>F</v>
      </c>
    </row>
    <row r="191" spans="1:10" x14ac:dyDescent="0.25">
      <c r="A191" s="4" t="s">
        <v>208</v>
      </c>
      <c r="B191" s="1">
        <v>0.81711299999999998</v>
      </c>
      <c r="C191" s="1">
        <v>0.81896500000000005</v>
      </c>
      <c r="D191" s="1">
        <f t="shared" si="14"/>
        <v>1.8520000000000758E-3</v>
      </c>
      <c r="E191">
        <f t="shared" si="15"/>
        <v>2</v>
      </c>
      <c r="F191">
        <f t="shared" si="16"/>
        <v>40</v>
      </c>
      <c r="G191">
        <f t="shared" si="17"/>
        <v>2.67</v>
      </c>
      <c r="H191">
        <f t="shared" si="18"/>
        <v>160</v>
      </c>
      <c r="I191" s="3">
        <f t="shared" si="19"/>
        <v>112.5</v>
      </c>
      <c r="J191" t="str">
        <f t="shared" si="20"/>
        <v>F</v>
      </c>
    </row>
    <row r="192" spans="1:10" x14ac:dyDescent="0.25">
      <c r="A192" s="4" t="s">
        <v>317</v>
      </c>
      <c r="B192" s="1">
        <v>0.144228</v>
      </c>
      <c r="C192" s="1">
        <v>0.142376</v>
      </c>
      <c r="D192" s="1">
        <f t="shared" si="14"/>
        <v>1.8519999999999925E-3</v>
      </c>
      <c r="E192">
        <f t="shared" si="15"/>
        <v>2</v>
      </c>
      <c r="F192">
        <f t="shared" si="16"/>
        <v>40</v>
      </c>
      <c r="G192">
        <f t="shared" si="17"/>
        <v>2.67</v>
      </c>
      <c r="H192">
        <f t="shared" si="18"/>
        <v>160</v>
      </c>
      <c r="I192" s="3">
        <f t="shared" si="19"/>
        <v>112.5</v>
      </c>
      <c r="J192" t="str">
        <f t="shared" si="20"/>
        <v>F</v>
      </c>
    </row>
    <row r="193" spans="1:10" x14ac:dyDescent="0.25">
      <c r="A193" s="4" t="s">
        <v>64</v>
      </c>
      <c r="B193" s="1">
        <v>0.21684999999999999</v>
      </c>
      <c r="C193" s="1">
        <v>0.21870999999999999</v>
      </c>
      <c r="D193" s="1">
        <f t="shared" si="14"/>
        <v>1.8600000000000005E-3</v>
      </c>
      <c r="E193">
        <f t="shared" si="15"/>
        <v>2</v>
      </c>
      <c r="F193">
        <f t="shared" si="16"/>
        <v>41</v>
      </c>
      <c r="G193">
        <f t="shared" si="17"/>
        <v>2.68</v>
      </c>
      <c r="H193">
        <f t="shared" si="18"/>
        <v>161</v>
      </c>
      <c r="I193" s="3">
        <f t="shared" si="19"/>
        <v>111.80124223602485</v>
      </c>
      <c r="J193" t="str">
        <f t="shared" si="20"/>
        <v>F</v>
      </c>
    </row>
    <row r="194" spans="1:10" x14ac:dyDescent="0.25">
      <c r="A194" s="4" t="s">
        <v>156</v>
      </c>
      <c r="B194" s="1">
        <v>0.93236399999999997</v>
      </c>
      <c r="C194" s="1">
        <v>0.93049999999999999</v>
      </c>
      <c r="D194" s="1">
        <f t="shared" ref="D194:D257" si="21">IF(B194&gt;C194,B194-C194,C194-B194)</f>
        <v>1.8639999999999768E-3</v>
      </c>
      <c r="E194">
        <f t="shared" ref="E194:E257" si="22">MINUTE(D194)</f>
        <v>2</v>
      </c>
      <c r="F194">
        <f t="shared" ref="F194:F257" si="23">SECOND(D194)</f>
        <v>41</v>
      </c>
      <c r="G194">
        <f t="shared" ref="G194:G257" si="24">ROUND(E194+F194/60,2)</f>
        <v>2.68</v>
      </c>
      <c r="H194">
        <f t="shared" ref="H194:H257" si="25">60*E194+F194</f>
        <v>161</v>
      </c>
      <c r="I194" s="3">
        <f t="shared" ref="I194:I257" si="26">5*(3600/H194)</f>
        <v>111.80124223602485</v>
      </c>
      <c r="J194" t="str">
        <f t="shared" ref="J194:J257" si="27">IF(MID(A194,3,2)="18","T","F")</f>
        <v>F</v>
      </c>
    </row>
    <row r="195" spans="1:10" x14ac:dyDescent="0.25">
      <c r="A195" s="4" t="s">
        <v>83</v>
      </c>
      <c r="B195" s="1">
        <v>0.83486300000000002</v>
      </c>
      <c r="C195" s="1">
        <v>0.83299500000000004</v>
      </c>
      <c r="D195" s="1">
        <f t="shared" si="21"/>
        <v>1.8679999999999808E-3</v>
      </c>
      <c r="E195">
        <f t="shared" si="22"/>
        <v>2</v>
      </c>
      <c r="F195">
        <f t="shared" si="23"/>
        <v>41</v>
      </c>
      <c r="G195">
        <f t="shared" si="24"/>
        <v>2.68</v>
      </c>
      <c r="H195">
        <f t="shared" si="25"/>
        <v>161</v>
      </c>
      <c r="I195" s="3">
        <f t="shared" si="26"/>
        <v>111.80124223602485</v>
      </c>
      <c r="J195" t="str">
        <f t="shared" si="27"/>
        <v>F</v>
      </c>
    </row>
    <row r="196" spans="1:10" x14ac:dyDescent="0.25">
      <c r="A196" s="4" t="s">
        <v>87</v>
      </c>
      <c r="B196" s="1">
        <v>0.61230499999999999</v>
      </c>
      <c r="C196" s="1">
        <v>0.61417299999999997</v>
      </c>
      <c r="D196" s="1">
        <f t="shared" si="21"/>
        <v>1.8679999999999808E-3</v>
      </c>
      <c r="E196">
        <f t="shared" si="22"/>
        <v>2</v>
      </c>
      <c r="F196">
        <f t="shared" si="23"/>
        <v>41</v>
      </c>
      <c r="G196">
        <f t="shared" si="24"/>
        <v>2.68</v>
      </c>
      <c r="H196">
        <f t="shared" si="25"/>
        <v>161</v>
      </c>
      <c r="I196" s="3">
        <f t="shared" si="26"/>
        <v>111.80124223602485</v>
      </c>
      <c r="J196" t="str">
        <f t="shared" si="27"/>
        <v>F</v>
      </c>
    </row>
    <row r="197" spans="1:10" x14ac:dyDescent="0.25">
      <c r="A197" s="4" t="s">
        <v>192</v>
      </c>
      <c r="B197" s="1">
        <v>0.23611099999999999</v>
      </c>
      <c r="C197" s="1">
        <v>0.23797099999999999</v>
      </c>
      <c r="D197" s="1">
        <f t="shared" si="21"/>
        <v>1.8600000000000005E-3</v>
      </c>
      <c r="E197">
        <f t="shared" si="22"/>
        <v>2</v>
      </c>
      <c r="F197">
        <f t="shared" si="23"/>
        <v>41</v>
      </c>
      <c r="G197">
        <f t="shared" si="24"/>
        <v>2.68</v>
      </c>
      <c r="H197">
        <f t="shared" si="25"/>
        <v>161</v>
      </c>
      <c r="I197" s="3">
        <f t="shared" si="26"/>
        <v>111.80124223602485</v>
      </c>
      <c r="J197" t="str">
        <f t="shared" si="27"/>
        <v>F</v>
      </c>
    </row>
    <row r="198" spans="1:10" x14ac:dyDescent="0.25">
      <c r="A198" s="4" t="s">
        <v>271</v>
      </c>
      <c r="B198" s="1">
        <v>0.906107</v>
      </c>
      <c r="C198" s="1">
        <v>0.90796699999999997</v>
      </c>
      <c r="D198" s="1">
        <f t="shared" si="21"/>
        <v>1.8599999999999728E-3</v>
      </c>
      <c r="E198">
        <f t="shared" si="22"/>
        <v>2</v>
      </c>
      <c r="F198">
        <f t="shared" si="23"/>
        <v>41</v>
      </c>
      <c r="G198">
        <f t="shared" si="24"/>
        <v>2.68</v>
      </c>
      <c r="H198">
        <f t="shared" si="25"/>
        <v>161</v>
      </c>
      <c r="I198" s="3">
        <f t="shared" si="26"/>
        <v>111.80124223602485</v>
      </c>
      <c r="J198" t="str">
        <f t="shared" si="27"/>
        <v>F</v>
      </c>
    </row>
    <row r="199" spans="1:10" x14ac:dyDescent="0.25">
      <c r="A199" s="4" t="s">
        <v>314</v>
      </c>
      <c r="B199" s="1">
        <v>0.62873999999999997</v>
      </c>
      <c r="C199" s="1">
        <v>0.63060400000000005</v>
      </c>
      <c r="D199" s="1">
        <f t="shared" si="21"/>
        <v>1.8640000000000878E-3</v>
      </c>
      <c r="E199">
        <f t="shared" si="22"/>
        <v>2</v>
      </c>
      <c r="F199">
        <f t="shared" si="23"/>
        <v>41</v>
      </c>
      <c r="G199">
        <f t="shared" si="24"/>
        <v>2.68</v>
      </c>
      <c r="H199">
        <f t="shared" si="25"/>
        <v>161</v>
      </c>
      <c r="I199" s="3">
        <f t="shared" si="26"/>
        <v>111.80124223602485</v>
      </c>
      <c r="J199" t="str">
        <f t="shared" si="27"/>
        <v>F</v>
      </c>
    </row>
    <row r="200" spans="1:10" x14ac:dyDescent="0.25">
      <c r="A200" s="4" t="s">
        <v>394</v>
      </c>
      <c r="B200" s="1">
        <v>0.78683000000000003</v>
      </c>
      <c r="C200" s="1">
        <v>0.78496600000000005</v>
      </c>
      <c r="D200" s="1">
        <f t="shared" si="21"/>
        <v>1.8639999999999768E-3</v>
      </c>
      <c r="E200">
        <f t="shared" si="22"/>
        <v>2</v>
      </c>
      <c r="F200">
        <f t="shared" si="23"/>
        <v>41</v>
      </c>
      <c r="G200">
        <f t="shared" si="24"/>
        <v>2.68</v>
      </c>
      <c r="H200">
        <f t="shared" si="25"/>
        <v>161</v>
      </c>
      <c r="I200" s="3">
        <f t="shared" si="26"/>
        <v>111.80124223602485</v>
      </c>
      <c r="J200" t="str">
        <f t="shared" si="27"/>
        <v>F</v>
      </c>
    </row>
    <row r="201" spans="1:10" x14ac:dyDescent="0.25">
      <c r="A201" s="4" t="s">
        <v>62</v>
      </c>
      <c r="B201" s="1">
        <v>0.703264</v>
      </c>
      <c r="C201" s="1">
        <v>0.70138800000000001</v>
      </c>
      <c r="D201" s="1">
        <f t="shared" si="21"/>
        <v>1.8759999999999888E-3</v>
      </c>
      <c r="E201">
        <f t="shared" si="22"/>
        <v>2</v>
      </c>
      <c r="F201">
        <f t="shared" si="23"/>
        <v>42</v>
      </c>
      <c r="G201">
        <f t="shared" si="24"/>
        <v>2.7</v>
      </c>
      <c r="H201">
        <f t="shared" si="25"/>
        <v>162</v>
      </c>
      <c r="I201" s="3">
        <f t="shared" si="26"/>
        <v>111.11111111111111</v>
      </c>
      <c r="J201" t="str">
        <f t="shared" si="27"/>
        <v>F</v>
      </c>
    </row>
    <row r="202" spans="1:10" x14ac:dyDescent="0.25">
      <c r="A202" s="4" t="s">
        <v>5</v>
      </c>
      <c r="B202" s="1">
        <v>0.40955399999999997</v>
      </c>
      <c r="C202" s="1">
        <v>0.41143000000000002</v>
      </c>
      <c r="D202" s="1">
        <f t="shared" si="21"/>
        <v>1.8760000000000443E-3</v>
      </c>
      <c r="E202">
        <f t="shared" si="22"/>
        <v>2</v>
      </c>
      <c r="F202">
        <f t="shared" si="23"/>
        <v>42</v>
      </c>
      <c r="G202">
        <f t="shared" si="24"/>
        <v>2.7</v>
      </c>
      <c r="H202">
        <f t="shared" si="25"/>
        <v>162</v>
      </c>
      <c r="I202" s="3">
        <f t="shared" si="26"/>
        <v>111.11111111111111</v>
      </c>
      <c r="J202" t="str">
        <f t="shared" si="27"/>
        <v>F</v>
      </c>
    </row>
    <row r="203" spans="1:10" x14ac:dyDescent="0.25">
      <c r="A203" s="4" t="s">
        <v>5</v>
      </c>
      <c r="B203" s="1">
        <v>0.89798900000000004</v>
      </c>
      <c r="C203" s="1">
        <v>0.89986100000000002</v>
      </c>
      <c r="D203" s="1">
        <f t="shared" si="21"/>
        <v>1.8719999999999848E-3</v>
      </c>
      <c r="E203">
        <f t="shared" si="22"/>
        <v>2</v>
      </c>
      <c r="F203">
        <f t="shared" si="23"/>
        <v>42</v>
      </c>
      <c r="G203">
        <f t="shared" si="24"/>
        <v>2.7</v>
      </c>
      <c r="H203">
        <f t="shared" si="25"/>
        <v>162</v>
      </c>
      <c r="I203" s="3">
        <f t="shared" si="26"/>
        <v>111.11111111111111</v>
      </c>
      <c r="J203" t="str">
        <f t="shared" si="27"/>
        <v>F</v>
      </c>
    </row>
    <row r="204" spans="1:10" x14ac:dyDescent="0.25">
      <c r="A204" s="4" t="s">
        <v>47</v>
      </c>
      <c r="B204" s="1">
        <v>0.38585999999999998</v>
      </c>
      <c r="C204" s="1">
        <v>0.38773999999999997</v>
      </c>
      <c r="D204" s="1">
        <f t="shared" si="21"/>
        <v>1.8799999999999928E-3</v>
      </c>
      <c r="E204">
        <f t="shared" si="22"/>
        <v>2</v>
      </c>
      <c r="F204">
        <f t="shared" si="23"/>
        <v>42</v>
      </c>
      <c r="G204">
        <f t="shared" si="24"/>
        <v>2.7</v>
      </c>
      <c r="H204">
        <f t="shared" si="25"/>
        <v>162</v>
      </c>
      <c r="I204" s="3">
        <f t="shared" si="26"/>
        <v>111.11111111111111</v>
      </c>
      <c r="J204" t="str">
        <f t="shared" si="27"/>
        <v>F</v>
      </c>
    </row>
    <row r="205" spans="1:10" x14ac:dyDescent="0.25">
      <c r="A205" s="4" t="s">
        <v>47</v>
      </c>
      <c r="B205" s="1">
        <v>0.39534399999999997</v>
      </c>
      <c r="C205" s="1">
        <v>0.39347199999999999</v>
      </c>
      <c r="D205" s="1">
        <f t="shared" si="21"/>
        <v>1.8719999999999848E-3</v>
      </c>
      <c r="E205">
        <f t="shared" si="22"/>
        <v>2</v>
      </c>
      <c r="F205">
        <f t="shared" si="23"/>
        <v>42</v>
      </c>
      <c r="G205">
        <f t="shared" si="24"/>
        <v>2.7</v>
      </c>
      <c r="H205">
        <f t="shared" si="25"/>
        <v>162</v>
      </c>
      <c r="I205" s="3">
        <f t="shared" si="26"/>
        <v>111.11111111111111</v>
      </c>
      <c r="J205" t="str">
        <f t="shared" si="27"/>
        <v>F</v>
      </c>
    </row>
    <row r="206" spans="1:10" x14ac:dyDescent="0.25">
      <c r="A206" s="4" t="s">
        <v>61</v>
      </c>
      <c r="B206" s="1">
        <v>0.25781799999999999</v>
      </c>
      <c r="C206" s="1">
        <v>0.25594600000000001</v>
      </c>
      <c r="D206" s="1">
        <f t="shared" si="21"/>
        <v>1.8719999999999848E-3</v>
      </c>
      <c r="E206">
        <f t="shared" si="22"/>
        <v>2</v>
      </c>
      <c r="F206">
        <f t="shared" si="23"/>
        <v>42</v>
      </c>
      <c r="G206">
        <f t="shared" si="24"/>
        <v>2.7</v>
      </c>
      <c r="H206">
        <f t="shared" si="25"/>
        <v>162</v>
      </c>
      <c r="I206" s="3">
        <f t="shared" si="26"/>
        <v>111.11111111111111</v>
      </c>
      <c r="J206" t="str">
        <f t="shared" si="27"/>
        <v>F</v>
      </c>
    </row>
    <row r="207" spans="1:10" x14ac:dyDescent="0.25">
      <c r="A207" s="4" t="s">
        <v>47</v>
      </c>
      <c r="B207" s="1">
        <v>0.35125499999999998</v>
      </c>
      <c r="C207" s="1">
        <v>0.349383</v>
      </c>
      <c r="D207" s="1">
        <f t="shared" si="21"/>
        <v>1.8719999999999848E-3</v>
      </c>
      <c r="E207">
        <f t="shared" si="22"/>
        <v>2</v>
      </c>
      <c r="F207">
        <f t="shared" si="23"/>
        <v>42</v>
      </c>
      <c r="G207">
        <f t="shared" si="24"/>
        <v>2.7</v>
      </c>
      <c r="H207">
        <f t="shared" si="25"/>
        <v>162</v>
      </c>
      <c r="I207" s="3">
        <f t="shared" si="26"/>
        <v>111.11111111111111</v>
      </c>
      <c r="J207" t="str">
        <f t="shared" si="27"/>
        <v>F</v>
      </c>
    </row>
    <row r="208" spans="1:10" x14ac:dyDescent="0.25">
      <c r="A208" s="4" t="s">
        <v>33</v>
      </c>
      <c r="B208" s="1">
        <v>0.92453600000000002</v>
      </c>
      <c r="C208" s="1">
        <v>0.92642400000000003</v>
      </c>
      <c r="D208" s="1">
        <f t="shared" si="21"/>
        <v>1.8880000000000008E-3</v>
      </c>
      <c r="E208">
        <f t="shared" si="22"/>
        <v>2</v>
      </c>
      <c r="F208">
        <f t="shared" si="23"/>
        <v>43</v>
      </c>
      <c r="G208">
        <f t="shared" si="24"/>
        <v>2.72</v>
      </c>
      <c r="H208">
        <f t="shared" si="25"/>
        <v>163</v>
      </c>
      <c r="I208" s="3">
        <f t="shared" si="26"/>
        <v>110.42944785276075</v>
      </c>
      <c r="J208" t="str">
        <f t="shared" si="27"/>
        <v>F</v>
      </c>
    </row>
    <row r="209" spans="1:10" x14ac:dyDescent="0.25">
      <c r="A209" s="4" t="s">
        <v>105</v>
      </c>
      <c r="B209" s="1">
        <v>0.30809599999999998</v>
      </c>
      <c r="C209" s="1">
        <v>0.30620399999999998</v>
      </c>
      <c r="D209" s="1">
        <f t="shared" si="21"/>
        <v>1.8920000000000048E-3</v>
      </c>
      <c r="E209">
        <f t="shared" si="22"/>
        <v>2</v>
      </c>
      <c r="F209">
        <f t="shared" si="23"/>
        <v>43</v>
      </c>
      <c r="G209">
        <f t="shared" si="24"/>
        <v>2.72</v>
      </c>
      <c r="H209">
        <f t="shared" si="25"/>
        <v>163</v>
      </c>
      <c r="I209" s="3">
        <f t="shared" si="26"/>
        <v>110.42944785276075</v>
      </c>
      <c r="J209" t="str">
        <f t="shared" si="27"/>
        <v>F</v>
      </c>
    </row>
    <row r="210" spans="1:10" x14ac:dyDescent="0.25">
      <c r="A210" s="4" t="s">
        <v>162</v>
      </c>
      <c r="B210" s="1">
        <v>0.50681100000000001</v>
      </c>
      <c r="C210" s="1">
        <v>0.50492700000000001</v>
      </c>
      <c r="D210" s="1">
        <f t="shared" si="21"/>
        <v>1.8839999999999968E-3</v>
      </c>
      <c r="E210">
        <f t="shared" si="22"/>
        <v>2</v>
      </c>
      <c r="F210">
        <f t="shared" si="23"/>
        <v>43</v>
      </c>
      <c r="G210">
        <f t="shared" si="24"/>
        <v>2.72</v>
      </c>
      <c r="H210">
        <f t="shared" si="25"/>
        <v>163</v>
      </c>
      <c r="I210" s="3">
        <f t="shared" si="26"/>
        <v>110.42944785276075</v>
      </c>
      <c r="J210" t="str">
        <f t="shared" si="27"/>
        <v>F</v>
      </c>
    </row>
    <row r="211" spans="1:10" x14ac:dyDescent="0.25">
      <c r="A211" s="4" t="s">
        <v>60</v>
      </c>
      <c r="B211" s="1">
        <v>0.72680199999999995</v>
      </c>
      <c r="C211" s="1">
        <v>0.72868999999999995</v>
      </c>
      <c r="D211" s="1">
        <f t="shared" si="21"/>
        <v>1.8880000000000008E-3</v>
      </c>
      <c r="E211">
        <f t="shared" si="22"/>
        <v>2</v>
      </c>
      <c r="F211">
        <f t="shared" si="23"/>
        <v>43</v>
      </c>
      <c r="G211">
        <f t="shared" si="24"/>
        <v>2.72</v>
      </c>
      <c r="H211">
        <f t="shared" si="25"/>
        <v>163</v>
      </c>
      <c r="I211" s="3">
        <f t="shared" si="26"/>
        <v>110.42944785276075</v>
      </c>
      <c r="J211" t="str">
        <f t="shared" si="27"/>
        <v>F</v>
      </c>
    </row>
    <row r="212" spans="1:10" x14ac:dyDescent="0.25">
      <c r="A212" s="4" t="s">
        <v>121</v>
      </c>
      <c r="B212" s="1">
        <v>0.49659500000000001</v>
      </c>
      <c r="C212" s="1">
        <v>0.494703</v>
      </c>
      <c r="D212" s="1">
        <f t="shared" si="21"/>
        <v>1.8920000000000048E-3</v>
      </c>
      <c r="E212">
        <f t="shared" si="22"/>
        <v>2</v>
      </c>
      <c r="F212">
        <f t="shared" si="23"/>
        <v>43</v>
      </c>
      <c r="G212">
        <f t="shared" si="24"/>
        <v>2.72</v>
      </c>
      <c r="H212">
        <f t="shared" si="25"/>
        <v>163</v>
      </c>
      <c r="I212" s="3">
        <f t="shared" si="26"/>
        <v>110.42944785276075</v>
      </c>
      <c r="J212" t="str">
        <f t="shared" si="27"/>
        <v>F</v>
      </c>
    </row>
    <row r="213" spans="1:10" x14ac:dyDescent="0.25">
      <c r="A213" s="4" t="s">
        <v>112</v>
      </c>
      <c r="B213" s="1">
        <v>0.43324000000000001</v>
      </c>
      <c r="C213" s="1">
        <v>0.43135600000000002</v>
      </c>
      <c r="D213" s="1">
        <f t="shared" si="21"/>
        <v>1.8839999999999968E-3</v>
      </c>
      <c r="E213">
        <f t="shared" si="22"/>
        <v>2</v>
      </c>
      <c r="F213">
        <f t="shared" si="23"/>
        <v>43</v>
      </c>
      <c r="G213">
        <f t="shared" si="24"/>
        <v>2.72</v>
      </c>
      <c r="H213">
        <f t="shared" si="25"/>
        <v>163</v>
      </c>
      <c r="I213" s="3">
        <f t="shared" si="26"/>
        <v>110.42944785276075</v>
      </c>
      <c r="J213" t="str">
        <f t="shared" si="27"/>
        <v>F</v>
      </c>
    </row>
    <row r="214" spans="1:10" x14ac:dyDescent="0.25">
      <c r="A214" s="4" t="s">
        <v>37</v>
      </c>
      <c r="B214" s="1">
        <v>0.62783900000000004</v>
      </c>
      <c r="C214" s="1">
        <v>0.62973500000000004</v>
      </c>
      <c r="D214" s="1">
        <f t="shared" si="21"/>
        <v>1.8960000000000088E-3</v>
      </c>
      <c r="E214">
        <f t="shared" si="22"/>
        <v>2</v>
      </c>
      <c r="F214">
        <f t="shared" si="23"/>
        <v>44</v>
      </c>
      <c r="G214">
        <f t="shared" si="24"/>
        <v>2.73</v>
      </c>
      <c r="H214">
        <f t="shared" si="25"/>
        <v>164</v>
      </c>
      <c r="I214" s="3">
        <f t="shared" si="26"/>
        <v>109.75609756097562</v>
      </c>
      <c r="J214" t="str">
        <f t="shared" si="27"/>
        <v>F</v>
      </c>
    </row>
    <row r="215" spans="1:10" x14ac:dyDescent="0.25">
      <c r="A215" s="4" t="s">
        <v>155</v>
      </c>
      <c r="B215" s="1">
        <v>0.84710200000000002</v>
      </c>
      <c r="C215" s="1">
        <v>0.84899800000000003</v>
      </c>
      <c r="D215" s="1">
        <f t="shared" si="21"/>
        <v>1.8960000000000088E-3</v>
      </c>
      <c r="E215">
        <f t="shared" si="22"/>
        <v>2</v>
      </c>
      <c r="F215">
        <f t="shared" si="23"/>
        <v>44</v>
      </c>
      <c r="G215">
        <f t="shared" si="24"/>
        <v>2.73</v>
      </c>
      <c r="H215">
        <f t="shared" si="25"/>
        <v>164</v>
      </c>
      <c r="I215" s="3">
        <f t="shared" si="26"/>
        <v>109.75609756097562</v>
      </c>
      <c r="J215" t="str">
        <f t="shared" si="27"/>
        <v>F</v>
      </c>
    </row>
    <row r="216" spans="1:10" x14ac:dyDescent="0.25">
      <c r="A216" s="4" t="s">
        <v>73</v>
      </c>
      <c r="B216" s="1">
        <v>0.94866899999999998</v>
      </c>
      <c r="C216" s="1">
        <v>0.950569</v>
      </c>
      <c r="D216" s="1">
        <f t="shared" si="21"/>
        <v>1.9000000000000128E-3</v>
      </c>
      <c r="E216">
        <f t="shared" si="22"/>
        <v>2</v>
      </c>
      <c r="F216">
        <f t="shared" si="23"/>
        <v>44</v>
      </c>
      <c r="G216">
        <f t="shared" si="24"/>
        <v>2.73</v>
      </c>
      <c r="H216">
        <f t="shared" si="25"/>
        <v>164</v>
      </c>
      <c r="I216" s="3">
        <f t="shared" si="26"/>
        <v>109.75609756097562</v>
      </c>
      <c r="J216" t="str">
        <f t="shared" si="27"/>
        <v>F</v>
      </c>
    </row>
    <row r="217" spans="1:10" x14ac:dyDescent="0.25">
      <c r="A217" s="4" t="s">
        <v>87</v>
      </c>
      <c r="B217" s="1">
        <v>0.290101</v>
      </c>
      <c r="C217" s="1">
        <v>0.29200100000000001</v>
      </c>
      <c r="D217" s="1">
        <f t="shared" si="21"/>
        <v>1.9000000000000128E-3</v>
      </c>
      <c r="E217">
        <f t="shared" si="22"/>
        <v>2</v>
      </c>
      <c r="F217">
        <f t="shared" si="23"/>
        <v>44</v>
      </c>
      <c r="G217">
        <f t="shared" si="24"/>
        <v>2.73</v>
      </c>
      <c r="H217">
        <f t="shared" si="25"/>
        <v>164</v>
      </c>
      <c r="I217" s="3">
        <f t="shared" si="26"/>
        <v>109.75609756097562</v>
      </c>
      <c r="J217" t="str">
        <f t="shared" si="27"/>
        <v>F</v>
      </c>
    </row>
    <row r="218" spans="1:10" x14ac:dyDescent="0.25">
      <c r="A218" s="4" t="s">
        <v>11</v>
      </c>
      <c r="B218" s="1">
        <v>0.91238200000000003</v>
      </c>
      <c r="C218" s="1">
        <v>0.91429400000000005</v>
      </c>
      <c r="D218" s="1">
        <f t="shared" si="21"/>
        <v>1.9120000000000248E-3</v>
      </c>
      <c r="E218">
        <f t="shared" si="22"/>
        <v>2</v>
      </c>
      <c r="F218">
        <f t="shared" si="23"/>
        <v>45</v>
      </c>
      <c r="G218">
        <f t="shared" si="24"/>
        <v>2.75</v>
      </c>
      <c r="H218">
        <f t="shared" si="25"/>
        <v>165</v>
      </c>
      <c r="I218" s="3">
        <f t="shared" si="26"/>
        <v>109.09090909090908</v>
      </c>
      <c r="J218" t="str">
        <f t="shared" si="27"/>
        <v>F</v>
      </c>
    </row>
    <row r="219" spans="1:10" x14ac:dyDescent="0.25">
      <c r="A219" s="4" t="s">
        <v>306</v>
      </c>
      <c r="B219" s="1">
        <v>0.97919</v>
      </c>
      <c r="C219" s="1">
        <v>0.97728199999999998</v>
      </c>
      <c r="D219" s="1">
        <f t="shared" si="21"/>
        <v>1.9080000000000208E-3</v>
      </c>
      <c r="E219">
        <f t="shared" si="22"/>
        <v>2</v>
      </c>
      <c r="F219">
        <f t="shared" si="23"/>
        <v>45</v>
      </c>
      <c r="G219">
        <f t="shared" si="24"/>
        <v>2.75</v>
      </c>
      <c r="H219">
        <f t="shared" si="25"/>
        <v>165</v>
      </c>
      <c r="I219" s="3">
        <f t="shared" si="26"/>
        <v>109.09090909090908</v>
      </c>
      <c r="J219" t="str">
        <f t="shared" si="27"/>
        <v>F</v>
      </c>
    </row>
    <row r="220" spans="1:10" x14ac:dyDescent="0.25">
      <c r="A220" s="4" t="s">
        <v>408</v>
      </c>
      <c r="B220" s="1">
        <v>9.325E-3</v>
      </c>
      <c r="C220" s="1">
        <v>7.417E-3</v>
      </c>
      <c r="D220" s="1">
        <f t="shared" si="21"/>
        <v>1.908E-3</v>
      </c>
      <c r="E220">
        <f t="shared" si="22"/>
        <v>2</v>
      </c>
      <c r="F220">
        <f t="shared" si="23"/>
        <v>45</v>
      </c>
      <c r="G220">
        <f t="shared" si="24"/>
        <v>2.75</v>
      </c>
      <c r="H220">
        <f t="shared" si="25"/>
        <v>165</v>
      </c>
      <c r="I220" s="3">
        <f t="shared" si="26"/>
        <v>109.09090909090908</v>
      </c>
      <c r="J220" t="str">
        <f t="shared" si="27"/>
        <v>F</v>
      </c>
    </row>
    <row r="221" spans="1:10" x14ac:dyDescent="0.25">
      <c r="A221" s="4" t="s">
        <v>11</v>
      </c>
      <c r="B221" s="1">
        <v>0.93227400000000005</v>
      </c>
      <c r="C221" s="1">
        <v>0.93418999999999996</v>
      </c>
      <c r="D221" s="1">
        <f t="shared" si="21"/>
        <v>1.9159999999999178E-3</v>
      </c>
      <c r="E221">
        <f t="shared" si="22"/>
        <v>2</v>
      </c>
      <c r="F221">
        <f t="shared" si="23"/>
        <v>46</v>
      </c>
      <c r="G221">
        <f t="shared" si="24"/>
        <v>2.77</v>
      </c>
      <c r="H221">
        <f t="shared" si="25"/>
        <v>166</v>
      </c>
      <c r="I221" s="3">
        <f t="shared" si="26"/>
        <v>108.43373493975903</v>
      </c>
      <c r="J221" t="str">
        <f t="shared" si="27"/>
        <v>F</v>
      </c>
    </row>
    <row r="222" spans="1:10" x14ac:dyDescent="0.25">
      <c r="A222" s="4" t="s">
        <v>51</v>
      </c>
      <c r="B222" s="1">
        <v>0.20654</v>
      </c>
      <c r="C222" s="1">
        <v>0.20846000000000001</v>
      </c>
      <c r="D222" s="1">
        <f t="shared" si="21"/>
        <v>1.920000000000005E-3</v>
      </c>
      <c r="E222">
        <f t="shared" si="22"/>
        <v>2</v>
      </c>
      <c r="F222">
        <f t="shared" si="23"/>
        <v>46</v>
      </c>
      <c r="G222">
        <f t="shared" si="24"/>
        <v>2.77</v>
      </c>
      <c r="H222">
        <f t="shared" si="25"/>
        <v>166</v>
      </c>
      <c r="I222" s="3">
        <f t="shared" si="26"/>
        <v>108.43373493975903</v>
      </c>
      <c r="J222" t="str">
        <f t="shared" si="27"/>
        <v>F</v>
      </c>
    </row>
    <row r="223" spans="1:10" x14ac:dyDescent="0.25">
      <c r="A223" s="4" t="s">
        <v>119</v>
      </c>
      <c r="B223" s="1">
        <v>0.797157</v>
      </c>
      <c r="C223" s="1">
        <v>0.79524099999999998</v>
      </c>
      <c r="D223" s="1">
        <f t="shared" si="21"/>
        <v>1.9160000000000288E-3</v>
      </c>
      <c r="E223">
        <f t="shared" si="22"/>
        <v>2</v>
      </c>
      <c r="F223">
        <f t="shared" si="23"/>
        <v>46</v>
      </c>
      <c r="G223">
        <f t="shared" si="24"/>
        <v>2.77</v>
      </c>
      <c r="H223">
        <f t="shared" si="25"/>
        <v>166</v>
      </c>
      <c r="I223" s="3">
        <f t="shared" si="26"/>
        <v>108.43373493975903</v>
      </c>
      <c r="J223" t="str">
        <f t="shared" si="27"/>
        <v>F</v>
      </c>
    </row>
    <row r="224" spans="1:10" x14ac:dyDescent="0.25">
      <c r="A224" s="4" t="s">
        <v>162</v>
      </c>
      <c r="B224" s="1">
        <v>0.110017</v>
      </c>
      <c r="C224" s="1">
        <v>0.108101</v>
      </c>
      <c r="D224" s="1">
        <f t="shared" si="21"/>
        <v>1.916000000000001E-3</v>
      </c>
      <c r="E224">
        <f t="shared" si="22"/>
        <v>2</v>
      </c>
      <c r="F224">
        <f t="shared" si="23"/>
        <v>46</v>
      </c>
      <c r="G224">
        <f t="shared" si="24"/>
        <v>2.77</v>
      </c>
      <c r="H224">
        <f t="shared" si="25"/>
        <v>166</v>
      </c>
      <c r="I224" s="3">
        <f t="shared" si="26"/>
        <v>108.43373493975903</v>
      </c>
      <c r="J224" t="str">
        <f t="shared" si="27"/>
        <v>F</v>
      </c>
    </row>
    <row r="225" spans="1:10" x14ac:dyDescent="0.25">
      <c r="A225" s="4" t="s">
        <v>7</v>
      </c>
      <c r="B225" s="1">
        <v>0.172735</v>
      </c>
      <c r="C225" s="1">
        <v>0.17081499999999999</v>
      </c>
      <c r="D225" s="1">
        <f t="shared" si="21"/>
        <v>1.920000000000005E-3</v>
      </c>
      <c r="E225">
        <f t="shared" si="22"/>
        <v>2</v>
      </c>
      <c r="F225">
        <f t="shared" si="23"/>
        <v>46</v>
      </c>
      <c r="G225">
        <f t="shared" si="24"/>
        <v>2.77</v>
      </c>
      <c r="H225">
        <f t="shared" si="25"/>
        <v>166</v>
      </c>
      <c r="I225" s="3">
        <f t="shared" si="26"/>
        <v>108.43373493975903</v>
      </c>
      <c r="J225" t="str">
        <f t="shared" si="27"/>
        <v>F</v>
      </c>
    </row>
    <row r="226" spans="1:10" x14ac:dyDescent="0.25">
      <c r="A226" s="4" t="s">
        <v>298</v>
      </c>
      <c r="B226" s="1">
        <v>0.71425300000000003</v>
      </c>
      <c r="C226" s="1">
        <v>0.71617299999999995</v>
      </c>
      <c r="D226" s="1">
        <f t="shared" si="21"/>
        <v>1.9199999999999218E-3</v>
      </c>
      <c r="E226">
        <f t="shared" si="22"/>
        <v>2</v>
      </c>
      <c r="F226">
        <f t="shared" si="23"/>
        <v>46</v>
      </c>
      <c r="G226">
        <f t="shared" si="24"/>
        <v>2.77</v>
      </c>
      <c r="H226">
        <f t="shared" si="25"/>
        <v>166</v>
      </c>
      <c r="I226" s="3">
        <f t="shared" si="26"/>
        <v>108.43373493975903</v>
      </c>
      <c r="J226" t="str">
        <f t="shared" si="27"/>
        <v>F</v>
      </c>
    </row>
    <row r="227" spans="1:10" x14ac:dyDescent="0.25">
      <c r="A227" s="4" t="s">
        <v>78</v>
      </c>
      <c r="B227" s="1">
        <v>0.39455000000000001</v>
      </c>
      <c r="C227" s="1">
        <v>0.39648600000000001</v>
      </c>
      <c r="D227" s="1">
        <f t="shared" si="21"/>
        <v>1.9359999999999933E-3</v>
      </c>
      <c r="E227">
        <f t="shared" si="22"/>
        <v>2</v>
      </c>
      <c r="F227">
        <f t="shared" si="23"/>
        <v>47</v>
      </c>
      <c r="G227">
        <f t="shared" si="24"/>
        <v>2.78</v>
      </c>
      <c r="H227">
        <f t="shared" si="25"/>
        <v>167</v>
      </c>
      <c r="I227" s="3">
        <f t="shared" si="26"/>
        <v>107.78443113772455</v>
      </c>
      <c r="J227" t="str">
        <f t="shared" si="27"/>
        <v>F</v>
      </c>
    </row>
    <row r="228" spans="1:10" x14ac:dyDescent="0.25">
      <c r="A228" s="4" t="s">
        <v>41</v>
      </c>
      <c r="B228" s="1">
        <v>0.88634100000000005</v>
      </c>
      <c r="C228" s="1">
        <v>0.88827299999999998</v>
      </c>
      <c r="D228" s="1">
        <f t="shared" si="21"/>
        <v>1.9319999999999338E-3</v>
      </c>
      <c r="E228">
        <f t="shared" si="22"/>
        <v>2</v>
      </c>
      <c r="F228">
        <f t="shared" si="23"/>
        <v>47</v>
      </c>
      <c r="G228">
        <f t="shared" si="24"/>
        <v>2.78</v>
      </c>
      <c r="H228">
        <f t="shared" si="25"/>
        <v>167</v>
      </c>
      <c r="I228" s="3">
        <f t="shared" si="26"/>
        <v>107.78443113772455</v>
      </c>
      <c r="J228" t="str">
        <f t="shared" si="27"/>
        <v>F</v>
      </c>
    </row>
    <row r="229" spans="1:10" x14ac:dyDescent="0.25">
      <c r="A229" s="4" t="s">
        <v>109</v>
      </c>
      <c r="B229" s="1">
        <v>0.30414799999999997</v>
      </c>
      <c r="C229" s="1">
        <v>0.30221199999999998</v>
      </c>
      <c r="D229" s="1">
        <f t="shared" si="21"/>
        <v>1.9359999999999933E-3</v>
      </c>
      <c r="E229">
        <f t="shared" si="22"/>
        <v>2</v>
      </c>
      <c r="F229">
        <f t="shared" si="23"/>
        <v>47</v>
      </c>
      <c r="G229">
        <f t="shared" si="24"/>
        <v>2.78</v>
      </c>
      <c r="H229">
        <f t="shared" si="25"/>
        <v>167</v>
      </c>
      <c r="I229" s="3">
        <f t="shared" si="26"/>
        <v>107.78443113772455</v>
      </c>
      <c r="J229" t="str">
        <f t="shared" si="27"/>
        <v>F</v>
      </c>
    </row>
    <row r="230" spans="1:10" x14ac:dyDescent="0.25">
      <c r="A230" s="4" t="s">
        <v>119</v>
      </c>
      <c r="B230" s="1">
        <v>0.80451099999999998</v>
      </c>
      <c r="C230" s="1">
        <v>0.80257900000000004</v>
      </c>
      <c r="D230" s="1">
        <f t="shared" si="21"/>
        <v>1.9319999999999338E-3</v>
      </c>
      <c r="E230">
        <f t="shared" si="22"/>
        <v>2</v>
      </c>
      <c r="F230">
        <f t="shared" si="23"/>
        <v>47</v>
      </c>
      <c r="G230">
        <f t="shared" si="24"/>
        <v>2.78</v>
      </c>
      <c r="H230">
        <f t="shared" si="25"/>
        <v>167</v>
      </c>
      <c r="I230" s="3">
        <f t="shared" si="26"/>
        <v>107.78443113772455</v>
      </c>
      <c r="J230" t="str">
        <f t="shared" si="27"/>
        <v>F</v>
      </c>
    </row>
    <row r="231" spans="1:10" x14ac:dyDescent="0.25">
      <c r="A231" s="4" t="s">
        <v>124</v>
      </c>
      <c r="B231" s="1">
        <v>0.37814999999999999</v>
      </c>
      <c r="C231" s="1">
        <v>0.38008599999999998</v>
      </c>
      <c r="D231" s="1">
        <f t="shared" si="21"/>
        <v>1.9359999999999933E-3</v>
      </c>
      <c r="E231">
        <f t="shared" si="22"/>
        <v>2</v>
      </c>
      <c r="F231">
        <f t="shared" si="23"/>
        <v>47</v>
      </c>
      <c r="G231">
        <f t="shared" si="24"/>
        <v>2.78</v>
      </c>
      <c r="H231">
        <f t="shared" si="25"/>
        <v>167</v>
      </c>
      <c r="I231" s="3">
        <f t="shared" si="26"/>
        <v>107.78443113772455</v>
      </c>
      <c r="J231" t="str">
        <f t="shared" si="27"/>
        <v>F</v>
      </c>
    </row>
    <row r="232" spans="1:10" x14ac:dyDescent="0.25">
      <c r="A232" s="4" t="s">
        <v>103</v>
      </c>
      <c r="B232" s="1">
        <v>0.39823199999999997</v>
      </c>
      <c r="C232" s="1">
        <v>0.40016400000000002</v>
      </c>
      <c r="D232" s="1">
        <f t="shared" si="21"/>
        <v>1.9320000000000448E-3</v>
      </c>
      <c r="E232">
        <f t="shared" si="22"/>
        <v>2</v>
      </c>
      <c r="F232">
        <f t="shared" si="23"/>
        <v>47</v>
      </c>
      <c r="G232">
        <f t="shared" si="24"/>
        <v>2.78</v>
      </c>
      <c r="H232">
        <f t="shared" si="25"/>
        <v>167</v>
      </c>
      <c r="I232" s="3">
        <f t="shared" si="26"/>
        <v>107.78443113772455</v>
      </c>
      <c r="J232" t="str">
        <f t="shared" si="27"/>
        <v>F</v>
      </c>
    </row>
    <row r="233" spans="1:10" x14ac:dyDescent="0.25">
      <c r="A233" s="4" t="s">
        <v>201</v>
      </c>
      <c r="B233" s="1">
        <v>1.3842999999999999E-2</v>
      </c>
      <c r="C233" s="1">
        <v>1.1911E-2</v>
      </c>
      <c r="D233" s="1">
        <f t="shared" si="21"/>
        <v>1.9319999999999997E-3</v>
      </c>
      <c r="E233">
        <f t="shared" si="22"/>
        <v>2</v>
      </c>
      <c r="F233">
        <f t="shared" si="23"/>
        <v>47</v>
      </c>
      <c r="G233">
        <f t="shared" si="24"/>
        <v>2.78</v>
      </c>
      <c r="H233">
        <f t="shared" si="25"/>
        <v>167</v>
      </c>
      <c r="I233" s="3">
        <f t="shared" si="26"/>
        <v>107.78443113772455</v>
      </c>
      <c r="J233" t="str">
        <f t="shared" si="27"/>
        <v>F</v>
      </c>
    </row>
    <row r="234" spans="1:10" x14ac:dyDescent="0.25">
      <c r="A234" s="4" t="s">
        <v>116</v>
      </c>
      <c r="B234" s="1">
        <v>4.8832E-2</v>
      </c>
      <c r="C234" s="1">
        <v>5.0776000000000002E-2</v>
      </c>
      <c r="D234" s="1">
        <f t="shared" si="21"/>
        <v>1.9440000000000013E-3</v>
      </c>
      <c r="E234">
        <f t="shared" si="22"/>
        <v>2</v>
      </c>
      <c r="F234">
        <f t="shared" si="23"/>
        <v>48</v>
      </c>
      <c r="G234">
        <f t="shared" si="24"/>
        <v>2.8</v>
      </c>
      <c r="H234">
        <f t="shared" si="25"/>
        <v>168</v>
      </c>
      <c r="I234" s="3">
        <f t="shared" si="26"/>
        <v>107.14285714285714</v>
      </c>
      <c r="J234" t="str">
        <f t="shared" si="27"/>
        <v>F</v>
      </c>
    </row>
    <row r="235" spans="1:10" x14ac:dyDescent="0.25">
      <c r="A235" s="4" t="s">
        <v>36</v>
      </c>
      <c r="B235" s="1">
        <v>0.514571</v>
      </c>
      <c r="C235" s="1">
        <v>0.51262700000000005</v>
      </c>
      <c r="D235" s="1">
        <f t="shared" si="21"/>
        <v>1.9439999999999458E-3</v>
      </c>
      <c r="E235">
        <f t="shared" si="22"/>
        <v>2</v>
      </c>
      <c r="F235">
        <f t="shared" si="23"/>
        <v>48</v>
      </c>
      <c r="G235">
        <f t="shared" si="24"/>
        <v>2.8</v>
      </c>
      <c r="H235">
        <f t="shared" si="25"/>
        <v>168</v>
      </c>
      <c r="I235" s="3">
        <f t="shared" si="26"/>
        <v>107.14285714285714</v>
      </c>
      <c r="J235" t="str">
        <f t="shared" si="27"/>
        <v>F</v>
      </c>
    </row>
    <row r="236" spans="1:10" x14ac:dyDescent="0.25">
      <c r="A236" s="4" t="s">
        <v>59</v>
      </c>
      <c r="B236" s="1">
        <v>0.99075100000000005</v>
      </c>
      <c r="C236" s="1">
        <v>0.98880699999999999</v>
      </c>
      <c r="D236" s="1">
        <f t="shared" si="21"/>
        <v>1.9440000000000568E-3</v>
      </c>
      <c r="E236">
        <f t="shared" si="22"/>
        <v>2</v>
      </c>
      <c r="F236">
        <f t="shared" si="23"/>
        <v>48</v>
      </c>
      <c r="G236">
        <f t="shared" si="24"/>
        <v>2.8</v>
      </c>
      <c r="H236">
        <f t="shared" si="25"/>
        <v>168</v>
      </c>
      <c r="I236" s="3">
        <f t="shared" si="26"/>
        <v>107.14285714285714</v>
      </c>
      <c r="J236" t="str">
        <f t="shared" si="27"/>
        <v>F</v>
      </c>
    </row>
    <row r="237" spans="1:10" x14ac:dyDescent="0.25">
      <c r="A237" s="4" t="s">
        <v>76</v>
      </c>
      <c r="B237" s="1">
        <v>0.80892299999999995</v>
      </c>
      <c r="C237" s="1">
        <v>0.806979</v>
      </c>
      <c r="D237" s="1">
        <f t="shared" si="21"/>
        <v>1.9439999999999458E-3</v>
      </c>
      <c r="E237">
        <f t="shared" si="22"/>
        <v>2</v>
      </c>
      <c r="F237">
        <f t="shared" si="23"/>
        <v>48</v>
      </c>
      <c r="G237">
        <f t="shared" si="24"/>
        <v>2.8</v>
      </c>
      <c r="H237">
        <f t="shared" si="25"/>
        <v>168</v>
      </c>
      <c r="I237" s="3">
        <f t="shared" si="26"/>
        <v>107.14285714285714</v>
      </c>
      <c r="J237" t="str">
        <f t="shared" si="27"/>
        <v>F</v>
      </c>
    </row>
    <row r="238" spans="1:10" x14ac:dyDescent="0.25">
      <c r="A238" s="4" t="s">
        <v>301</v>
      </c>
      <c r="B238" s="1">
        <v>4.1440000000000001E-3</v>
      </c>
      <c r="C238" s="1">
        <v>2.196E-3</v>
      </c>
      <c r="D238" s="1">
        <f t="shared" si="21"/>
        <v>1.9480000000000001E-3</v>
      </c>
      <c r="E238">
        <f t="shared" si="22"/>
        <v>2</v>
      </c>
      <c r="F238">
        <f t="shared" si="23"/>
        <v>48</v>
      </c>
      <c r="G238">
        <f t="shared" si="24"/>
        <v>2.8</v>
      </c>
      <c r="H238">
        <f t="shared" si="25"/>
        <v>168</v>
      </c>
      <c r="I238" s="3">
        <f t="shared" si="26"/>
        <v>107.14285714285714</v>
      </c>
      <c r="J238" t="str">
        <f t="shared" si="27"/>
        <v>F</v>
      </c>
    </row>
    <row r="239" spans="1:10" x14ac:dyDescent="0.25">
      <c r="A239" s="4" t="s">
        <v>107</v>
      </c>
      <c r="B239" s="1">
        <v>0.40933199999999997</v>
      </c>
      <c r="C239" s="1">
        <v>0.41129199999999999</v>
      </c>
      <c r="D239" s="1">
        <f t="shared" si="21"/>
        <v>1.9600000000000173E-3</v>
      </c>
      <c r="E239">
        <f t="shared" si="22"/>
        <v>2</v>
      </c>
      <c r="F239">
        <f t="shared" si="23"/>
        <v>49</v>
      </c>
      <c r="G239">
        <f t="shared" si="24"/>
        <v>2.82</v>
      </c>
      <c r="H239">
        <f t="shared" si="25"/>
        <v>169</v>
      </c>
      <c r="I239" s="3">
        <f t="shared" si="26"/>
        <v>106.50887573964496</v>
      </c>
      <c r="J239" t="str">
        <f t="shared" si="27"/>
        <v>F</v>
      </c>
    </row>
    <row r="240" spans="1:10" x14ac:dyDescent="0.25">
      <c r="A240" s="4" t="s">
        <v>313</v>
      </c>
      <c r="B240" s="1">
        <v>0.83169999999999999</v>
      </c>
      <c r="C240" s="1">
        <v>0.82974400000000004</v>
      </c>
      <c r="D240" s="1">
        <f t="shared" si="21"/>
        <v>1.9559999999999578E-3</v>
      </c>
      <c r="E240">
        <f t="shared" si="22"/>
        <v>2</v>
      </c>
      <c r="F240">
        <f t="shared" si="23"/>
        <v>49</v>
      </c>
      <c r="G240">
        <f t="shared" si="24"/>
        <v>2.82</v>
      </c>
      <c r="H240">
        <f t="shared" si="25"/>
        <v>169</v>
      </c>
      <c r="I240" s="3">
        <f t="shared" si="26"/>
        <v>106.50887573964496</v>
      </c>
      <c r="J240" t="str">
        <f t="shared" si="27"/>
        <v>F</v>
      </c>
    </row>
    <row r="241" spans="1:10" x14ac:dyDescent="0.25">
      <c r="A241" s="4" t="s">
        <v>9</v>
      </c>
      <c r="B241" s="1">
        <v>6.9554000000000005E-2</v>
      </c>
      <c r="C241" s="1">
        <v>6.7585999999999993E-2</v>
      </c>
      <c r="D241" s="1">
        <f t="shared" si="21"/>
        <v>1.9680000000000114E-3</v>
      </c>
      <c r="E241">
        <f t="shared" si="22"/>
        <v>2</v>
      </c>
      <c r="F241">
        <f t="shared" si="23"/>
        <v>50</v>
      </c>
      <c r="G241">
        <f t="shared" si="24"/>
        <v>2.83</v>
      </c>
      <c r="H241">
        <f t="shared" si="25"/>
        <v>170</v>
      </c>
      <c r="I241" s="3">
        <f t="shared" si="26"/>
        <v>105.88235294117646</v>
      </c>
      <c r="J241" t="str">
        <f t="shared" si="27"/>
        <v>F</v>
      </c>
    </row>
    <row r="242" spans="1:10" x14ac:dyDescent="0.25">
      <c r="A242" s="4" t="s">
        <v>53</v>
      </c>
      <c r="B242" s="1">
        <v>0.57415799999999995</v>
      </c>
      <c r="C242" s="1">
        <v>0.57219399999999998</v>
      </c>
      <c r="D242" s="1">
        <f t="shared" si="21"/>
        <v>1.9639999999999658E-3</v>
      </c>
      <c r="E242">
        <f t="shared" si="22"/>
        <v>2</v>
      </c>
      <c r="F242">
        <f t="shared" si="23"/>
        <v>50</v>
      </c>
      <c r="G242">
        <f t="shared" si="24"/>
        <v>2.83</v>
      </c>
      <c r="H242">
        <f t="shared" si="25"/>
        <v>170</v>
      </c>
      <c r="I242" s="3">
        <f t="shared" si="26"/>
        <v>105.88235294117646</v>
      </c>
      <c r="J242" t="str">
        <f t="shared" si="27"/>
        <v>F</v>
      </c>
    </row>
    <row r="243" spans="1:10" x14ac:dyDescent="0.25">
      <c r="A243" s="4" t="s">
        <v>75</v>
      </c>
      <c r="B243" s="1">
        <v>0.19887299999999999</v>
      </c>
      <c r="C243" s="1">
        <v>0.196909</v>
      </c>
      <c r="D243" s="1">
        <f t="shared" si="21"/>
        <v>1.9639999999999935E-3</v>
      </c>
      <c r="E243">
        <f t="shared" si="22"/>
        <v>2</v>
      </c>
      <c r="F243">
        <f t="shared" si="23"/>
        <v>50</v>
      </c>
      <c r="G243">
        <f t="shared" si="24"/>
        <v>2.83</v>
      </c>
      <c r="H243">
        <f t="shared" si="25"/>
        <v>170</v>
      </c>
      <c r="I243" s="3">
        <f t="shared" si="26"/>
        <v>105.88235294117646</v>
      </c>
      <c r="J243" t="str">
        <f t="shared" si="27"/>
        <v>F</v>
      </c>
    </row>
    <row r="244" spans="1:10" x14ac:dyDescent="0.25">
      <c r="A244" s="4" t="s">
        <v>5</v>
      </c>
      <c r="B244" s="1">
        <v>0.18615499999999999</v>
      </c>
      <c r="C244" s="1">
        <v>0.18418699999999999</v>
      </c>
      <c r="D244" s="1">
        <f t="shared" si="21"/>
        <v>1.9679999999999975E-3</v>
      </c>
      <c r="E244">
        <f t="shared" si="22"/>
        <v>2</v>
      </c>
      <c r="F244">
        <f t="shared" si="23"/>
        <v>50</v>
      </c>
      <c r="G244">
        <f t="shared" si="24"/>
        <v>2.83</v>
      </c>
      <c r="H244">
        <f t="shared" si="25"/>
        <v>170</v>
      </c>
      <c r="I244" s="3">
        <f t="shared" si="26"/>
        <v>105.88235294117646</v>
      </c>
      <c r="J244" t="str">
        <f t="shared" si="27"/>
        <v>F</v>
      </c>
    </row>
    <row r="245" spans="1:10" x14ac:dyDescent="0.25">
      <c r="A245" s="4" t="s">
        <v>243</v>
      </c>
      <c r="B245" s="1">
        <v>0.32779999999999998</v>
      </c>
      <c r="C245" s="1">
        <v>0.32583200000000001</v>
      </c>
      <c r="D245" s="1">
        <f t="shared" si="21"/>
        <v>1.9679999999999698E-3</v>
      </c>
      <c r="E245">
        <f t="shared" si="22"/>
        <v>2</v>
      </c>
      <c r="F245">
        <f t="shared" si="23"/>
        <v>50</v>
      </c>
      <c r="G245">
        <f t="shared" si="24"/>
        <v>2.83</v>
      </c>
      <c r="H245">
        <f t="shared" si="25"/>
        <v>170</v>
      </c>
      <c r="I245" s="3">
        <f t="shared" si="26"/>
        <v>105.88235294117646</v>
      </c>
      <c r="J245" t="str">
        <f t="shared" si="27"/>
        <v>F</v>
      </c>
    </row>
    <row r="246" spans="1:10" x14ac:dyDescent="0.25">
      <c r="A246" s="4" t="s">
        <v>338</v>
      </c>
      <c r="B246" s="1">
        <v>0.114995</v>
      </c>
      <c r="C246" s="1">
        <v>0.113023</v>
      </c>
      <c r="D246" s="1">
        <f t="shared" si="21"/>
        <v>1.9720000000000015E-3</v>
      </c>
      <c r="E246">
        <f t="shared" si="22"/>
        <v>2</v>
      </c>
      <c r="F246">
        <f t="shared" si="23"/>
        <v>50</v>
      </c>
      <c r="G246">
        <f t="shared" si="24"/>
        <v>2.83</v>
      </c>
      <c r="H246">
        <f t="shared" si="25"/>
        <v>170</v>
      </c>
      <c r="I246" s="3">
        <f t="shared" si="26"/>
        <v>105.88235294117646</v>
      </c>
      <c r="J246" t="str">
        <f t="shared" si="27"/>
        <v>F</v>
      </c>
    </row>
    <row r="247" spans="1:10" x14ac:dyDescent="0.25">
      <c r="A247" s="4" t="s">
        <v>138</v>
      </c>
      <c r="B247" s="1">
        <v>0.48477300000000001</v>
      </c>
      <c r="C247" s="1">
        <v>0.48279699999999998</v>
      </c>
      <c r="D247" s="1">
        <f t="shared" si="21"/>
        <v>1.9760000000000333E-3</v>
      </c>
      <c r="E247">
        <f t="shared" si="22"/>
        <v>2</v>
      </c>
      <c r="F247">
        <f t="shared" si="23"/>
        <v>51</v>
      </c>
      <c r="G247">
        <f t="shared" si="24"/>
        <v>2.85</v>
      </c>
      <c r="H247">
        <f t="shared" si="25"/>
        <v>171</v>
      </c>
      <c r="I247" s="3">
        <f t="shared" si="26"/>
        <v>105.26315789473685</v>
      </c>
      <c r="J247" t="str">
        <f t="shared" si="27"/>
        <v>F</v>
      </c>
    </row>
    <row r="248" spans="1:10" x14ac:dyDescent="0.25">
      <c r="A248" s="4" t="s">
        <v>247</v>
      </c>
      <c r="B248" s="1">
        <v>0.30108499999999999</v>
      </c>
      <c r="C248" s="1">
        <v>0.29910100000000001</v>
      </c>
      <c r="D248" s="1">
        <f t="shared" si="21"/>
        <v>1.9839999999999858E-3</v>
      </c>
      <c r="E248">
        <f t="shared" si="22"/>
        <v>2</v>
      </c>
      <c r="F248">
        <f t="shared" si="23"/>
        <v>51</v>
      </c>
      <c r="G248">
        <f t="shared" si="24"/>
        <v>2.85</v>
      </c>
      <c r="H248">
        <f t="shared" si="25"/>
        <v>171</v>
      </c>
      <c r="I248" s="3">
        <f t="shared" si="26"/>
        <v>105.26315789473685</v>
      </c>
      <c r="J248" t="str">
        <f t="shared" si="27"/>
        <v>F</v>
      </c>
    </row>
    <row r="249" spans="1:10" x14ac:dyDescent="0.25">
      <c r="A249" s="4" t="s">
        <v>9</v>
      </c>
      <c r="B249" s="1">
        <v>0.20372499999999999</v>
      </c>
      <c r="C249" s="1">
        <v>0.20172899999999999</v>
      </c>
      <c r="D249" s="1">
        <f t="shared" si="21"/>
        <v>1.9959999999999978E-3</v>
      </c>
      <c r="E249">
        <f t="shared" si="22"/>
        <v>2</v>
      </c>
      <c r="F249">
        <f t="shared" si="23"/>
        <v>52</v>
      </c>
      <c r="G249">
        <f t="shared" si="24"/>
        <v>2.87</v>
      </c>
      <c r="H249">
        <f t="shared" si="25"/>
        <v>172</v>
      </c>
      <c r="I249" s="3">
        <f t="shared" si="26"/>
        <v>104.65116279069768</v>
      </c>
      <c r="J249" t="str">
        <f t="shared" si="27"/>
        <v>F</v>
      </c>
    </row>
    <row r="250" spans="1:10" x14ac:dyDescent="0.25">
      <c r="A250" s="4" t="s">
        <v>67</v>
      </c>
      <c r="B250" s="1">
        <v>0.859155</v>
      </c>
      <c r="C250" s="1">
        <v>0.85716700000000001</v>
      </c>
      <c r="D250" s="1">
        <f t="shared" si="21"/>
        <v>1.9879999999999898E-3</v>
      </c>
      <c r="E250">
        <f t="shared" si="22"/>
        <v>2</v>
      </c>
      <c r="F250">
        <f t="shared" si="23"/>
        <v>52</v>
      </c>
      <c r="G250">
        <f t="shared" si="24"/>
        <v>2.87</v>
      </c>
      <c r="H250">
        <f t="shared" si="25"/>
        <v>172</v>
      </c>
      <c r="I250" s="3">
        <f t="shared" si="26"/>
        <v>104.65116279069768</v>
      </c>
      <c r="J250" t="str">
        <f t="shared" si="27"/>
        <v>F</v>
      </c>
    </row>
    <row r="251" spans="1:10" x14ac:dyDescent="0.25">
      <c r="A251" s="4" t="s">
        <v>109</v>
      </c>
      <c r="B251" s="1">
        <v>0.36385299999999998</v>
      </c>
      <c r="C251" s="1">
        <v>0.36585299999999998</v>
      </c>
      <c r="D251" s="1">
        <f t="shared" si="21"/>
        <v>2.0000000000000018E-3</v>
      </c>
      <c r="E251">
        <f t="shared" si="22"/>
        <v>2</v>
      </c>
      <c r="F251">
        <f t="shared" si="23"/>
        <v>53</v>
      </c>
      <c r="G251">
        <f t="shared" si="24"/>
        <v>2.88</v>
      </c>
      <c r="H251">
        <f t="shared" si="25"/>
        <v>173</v>
      </c>
      <c r="I251" s="3">
        <f t="shared" si="26"/>
        <v>104.04624277456648</v>
      </c>
      <c r="J251" t="str">
        <f t="shared" si="27"/>
        <v>F</v>
      </c>
    </row>
    <row r="252" spans="1:10" x14ac:dyDescent="0.25">
      <c r="A252" s="4" t="s">
        <v>115</v>
      </c>
      <c r="B252" s="1">
        <v>3.1198E-2</v>
      </c>
      <c r="C252" s="1">
        <v>2.9186E-2</v>
      </c>
      <c r="D252" s="1">
        <f t="shared" si="21"/>
        <v>2.0119999999999999E-3</v>
      </c>
      <c r="E252">
        <f t="shared" si="22"/>
        <v>2</v>
      </c>
      <c r="F252">
        <f t="shared" si="23"/>
        <v>54</v>
      </c>
      <c r="G252">
        <f t="shared" si="24"/>
        <v>2.9</v>
      </c>
      <c r="H252">
        <f t="shared" si="25"/>
        <v>174</v>
      </c>
      <c r="I252" s="3">
        <f t="shared" si="26"/>
        <v>103.44827586206897</v>
      </c>
      <c r="J252" t="str">
        <f t="shared" si="27"/>
        <v>F</v>
      </c>
    </row>
    <row r="253" spans="1:10" x14ac:dyDescent="0.25">
      <c r="A253" s="4" t="s">
        <v>87</v>
      </c>
      <c r="B253" s="1">
        <v>0.517347</v>
      </c>
      <c r="C253" s="1">
        <v>0.51533499999999999</v>
      </c>
      <c r="D253" s="1">
        <f t="shared" si="21"/>
        <v>2.0120000000000138E-3</v>
      </c>
      <c r="E253">
        <f t="shared" si="22"/>
        <v>2</v>
      </c>
      <c r="F253">
        <f t="shared" si="23"/>
        <v>54</v>
      </c>
      <c r="G253">
        <f t="shared" si="24"/>
        <v>2.9</v>
      </c>
      <c r="H253">
        <f t="shared" si="25"/>
        <v>174</v>
      </c>
      <c r="I253" s="3">
        <f t="shared" si="26"/>
        <v>103.44827586206897</v>
      </c>
      <c r="J253" t="str">
        <f t="shared" si="27"/>
        <v>F</v>
      </c>
    </row>
    <row r="254" spans="1:10" x14ac:dyDescent="0.25">
      <c r="A254" s="4" t="s">
        <v>114</v>
      </c>
      <c r="B254" s="1">
        <v>0.56009799999999998</v>
      </c>
      <c r="C254" s="1">
        <v>0.55808599999999997</v>
      </c>
      <c r="D254" s="1">
        <f t="shared" si="21"/>
        <v>2.0120000000000138E-3</v>
      </c>
      <c r="E254">
        <f t="shared" si="22"/>
        <v>2</v>
      </c>
      <c r="F254">
        <f t="shared" si="23"/>
        <v>54</v>
      </c>
      <c r="G254">
        <f t="shared" si="24"/>
        <v>2.9</v>
      </c>
      <c r="H254">
        <f t="shared" si="25"/>
        <v>174</v>
      </c>
      <c r="I254" s="3">
        <f t="shared" si="26"/>
        <v>103.44827586206897</v>
      </c>
      <c r="J254" t="str">
        <f t="shared" si="27"/>
        <v>F</v>
      </c>
    </row>
    <row r="255" spans="1:10" x14ac:dyDescent="0.25">
      <c r="A255" s="4" t="s">
        <v>35</v>
      </c>
      <c r="B255" s="1">
        <v>3.5965999999999998E-2</v>
      </c>
      <c r="C255" s="1">
        <v>3.7982000000000002E-2</v>
      </c>
      <c r="D255" s="1">
        <f t="shared" si="21"/>
        <v>2.0160000000000039E-3</v>
      </c>
      <c r="E255">
        <f t="shared" si="22"/>
        <v>2</v>
      </c>
      <c r="F255">
        <f t="shared" si="23"/>
        <v>54</v>
      </c>
      <c r="G255">
        <f t="shared" si="24"/>
        <v>2.9</v>
      </c>
      <c r="H255">
        <f t="shared" si="25"/>
        <v>174</v>
      </c>
      <c r="I255" s="3">
        <f t="shared" si="26"/>
        <v>103.44827586206897</v>
      </c>
      <c r="J255" t="str">
        <f t="shared" si="27"/>
        <v>F</v>
      </c>
    </row>
    <row r="256" spans="1:10" x14ac:dyDescent="0.25">
      <c r="A256" s="4" t="s">
        <v>293</v>
      </c>
      <c r="B256" s="1">
        <v>0.55314399999999997</v>
      </c>
      <c r="C256" s="1">
        <v>0.55515999999999999</v>
      </c>
      <c r="D256" s="1">
        <f t="shared" si="21"/>
        <v>2.0160000000000178E-3</v>
      </c>
      <c r="E256">
        <f t="shared" si="22"/>
        <v>2</v>
      </c>
      <c r="F256">
        <f t="shared" si="23"/>
        <v>54</v>
      </c>
      <c r="G256">
        <f t="shared" si="24"/>
        <v>2.9</v>
      </c>
      <c r="H256">
        <f t="shared" si="25"/>
        <v>174</v>
      </c>
      <c r="I256" s="3">
        <f t="shared" si="26"/>
        <v>103.44827586206897</v>
      </c>
      <c r="J256" t="str">
        <f t="shared" si="27"/>
        <v>F</v>
      </c>
    </row>
    <row r="257" spans="1:10" x14ac:dyDescent="0.25">
      <c r="A257" s="4" t="s">
        <v>162</v>
      </c>
      <c r="B257" s="1">
        <v>0.17679500000000001</v>
      </c>
      <c r="C257" s="1">
        <v>0.17477100000000001</v>
      </c>
      <c r="D257" s="1">
        <f t="shared" si="21"/>
        <v>2.023999999999998E-3</v>
      </c>
      <c r="E257">
        <f t="shared" si="22"/>
        <v>2</v>
      </c>
      <c r="F257">
        <f t="shared" si="23"/>
        <v>55</v>
      </c>
      <c r="G257">
        <f t="shared" si="24"/>
        <v>2.92</v>
      </c>
      <c r="H257">
        <f t="shared" si="25"/>
        <v>175</v>
      </c>
      <c r="I257" s="3">
        <f t="shared" si="26"/>
        <v>102.85714285714286</v>
      </c>
      <c r="J257" t="str">
        <f t="shared" si="27"/>
        <v>F</v>
      </c>
    </row>
    <row r="258" spans="1:10" x14ac:dyDescent="0.25">
      <c r="A258" s="4" t="s">
        <v>117</v>
      </c>
      <c r="B258" s="1">
        <v>0.84016999999999997</v>
      </c>
      <c r="C258" s="1">
        <v>0.84218999999999999</v>
      </c>
      <c r="D258" s="1">
        <f t="shared" ref="D258:D321" si="28">IF(B258&gt;C258,B258-C258,C258-B258)</f>
        <v>2.0200000000000218E-3</v>
      </c>
      <c r="E258">
        <f t="shared" ref="E258:E321" si="29">MINUTE(D258)</f>
        <v>2</v>
      </c>
      <c r="F258">
        <f t="shared" ref="F258:F321" si="30">SECOND(D258)</f>
        <v>55</v>
      </c>
      <c r="G258">
        <f t="shared" ref="G258:G321" si="31">ROUND(E258+F258/60,2)</f>
        <v>2.92</v>
      </c>
      <c r="H258">
        <f t="shared" ref="H258:H321" si="32">60*E258+F258</f>
        <v>175</v>
      </c>
      <c r="I258" s="3">
        <f t="shared" ref="I258:I321" si="33">5*(3600/H258)</f>
        <v>102.85714285714286</v>
      </c>
      <c r="J258" t="str">
        <f t="shared" ref="J258:J321" si="34">IF(MID(A258,3,2)="18","T","F")</f>
        <v>F</v>
      </c>
    </row>
    <row r="259" spans="1:10" x14ac:dyDescent="0.25">
      <c r="A259" s="4" t="s">
        <v>139</v>
      </c>
      <c r="B259" s="1">
        <v>0.28436099999999997</v>
      </c>
      <c r="C259" s="1">
        <v>0.286385</v>
      </c>
      <c r="D259" s="1">
        <f t="shared" si="28"/>
        <v>2.0240000000000258E-3</v>
      </c>
      <c r="E259">
        <f t="shared" si="29"/>
        <v>2</v>
      </c>
      <c r="F259">
        <f t="shared" si="30"/>
        <v>55</v>
      </c>
      <c r="G259">
        <f t="shared" si="31"/>
        <v>2.92</v>
      </c>
      <c r="H259">
        <f t="shared" si="32"/>
        <v>175</v>
      </c>
      <c r="I259" s="3">
        <f t="shared" si="33"/>
        <v>102.85714285714286</v>
      </c>
      <c r="J259" t="str">
        <f t="shared" si="34"/>
        <v>F</v>
      </c>
    </row>
    <row r="260" spans="1:10" x14ac:dyDescent="0.25">
      <c r="A260" s="4" t="s">
        <v>217</v>
      </c>
      <c r="B260" s="1">
        <v>9.6702999999999997E-2</v>
      </c>
      <c r="C260" s="1">
        <v>9.4674999999999995E-2</v>
      </c>
      <c r="D260" s="1">
        <f t="shared" si="28"/>
        <v>2.028000000000002E-3</v>
      </c>
      <c r="E260">
        <f t="shared" si="29"/>
        <v>2</v>
      </c>
      <c r="F260">
        <f t="shared" si="30"/>
        <v>55</v>
      </c>
      <c r="G260">
        <f t="shared" si="31"/>
        <v>2.92</v>
      </c>
      <c r="H260">
        <f t="shared" si="32"/>
        <v>175</v>
      </c>
      <c r="I260" s="3">
        <f t="shared" si="33"/>
        <v>102.85714285714286</v>
      </c>
      <c r="J260" t="str">
        <f t="shared" si="34"/>
        <v>F</v>
      </c>
    </row>
    <row r="261" spans="1:10" x14ac:dyDescent="0.25">
      <c r="A261" s="4" t="s">
        <v>250</v>
      </c>
      <c r="B261" s="1">
        <v>0.69297900000000001</v>
      </c>
      <c r="C261" s="1">
        <v>0.69500300000000004</v>
      </c>
      <c r="D261" s="1">
        <f t="shared" si="28"/>
        <v>2.0240000000000258E-3</v>
      </c>
      <c r="E261">
        <f t="shared" si="29"/>
        <v>2</v>
      </c>
      <c r="F261">
        <f t="shared" si="30"/>
        <v>55</v>
      </c>
      <c r="G261">
        <f t="shared" si="31"/>
        <v>2.92</v>
      </c>
      <c r="H261">
        <f t="shared" si="32"/>
        <v>175</v>
      </c>
      <c r="I261" s="3">
        <f t="shared" si="33"/>
        <v>102.85714285714286</v>
      </c>
      <c r="J261" t="str">
        <f t="shared" si="34"/>
        <v>F</v>
      </c>
    </row>
    <row r="262" spans="1:10" x14ac:dyDescent="0.25">
      <c r="A262" s="4" t="s">
        <v>396</v>
      </c>
      <c r="B262" s="1">
        <v>0.14202300000000001</v>
      </c>
      <c r="C262" s="1">
        <v>0.13999500000000001</v>
      </c>
      <c r="D262" s="1">
        <f t="shared" si="28"/>
        <v>2.028000000000002E-3</v>
      </c>
      <c r="E262">
        <f t="shared" si="29"/>
        <v>2</v>
      </c>
      <c r="F262">
        <f t="shared" si="30"/>
        <v>55</v>
      </c>
      <c r="G262">
        <f t="shared" si="31"/>
        <v>2.92</v>
      </c>
      <c r="H262">
        <f t="shared" si="32"/>
        <v>175</v>
      </c>
      <c r="I262" s="3">
        <f t="shared" si="33"/>
        <v>102.85714285714286</v>
      </c>
      <c r="J262" t="str">
        <f t="shared" si="34"/>
        <v>F</v>
      </c>
    </row>
    <row r="263" spans="1:10" x14ac:dyDescent="0.25">
      <c r="A263" s="4" t="s">
        <v>143</v>
      </c>
      <c r="B263" s="1">
        <v>0.46729599999999999</v>
      </c>
      <c r="C263" s="1">
        <v>0.46933599999999998</v>
      </c>
      <c r="D263" s="1">
        <f t="shared" si="28"/>
        <v>2.0399999999999863E-3</v>
      </c>
      <c r="E263">
        <f t="shared" si="29"/>
        <v>2</v>
      </c>
      <c r="F263">
        <f t="shared" si="30"/>
        <v>56</v>
      </c>
      <c r="G263">
        <f t="shared" si="31"/>
        <v>2.93</v>
      </c>
      <c r="H263">
        <f t="shared" si="32"/>
        <v>176</v>
      </c>
      <c r="I263" s="3">
        <f t="shared" si="33"/>
        <v>102.27272727272727</v>
      </c>
      <c r="J263" t="str">
        <f t="shared" si="34"/>
        <v>F</v>
      </c>
    </row>
    <row r="264" spans="1:10" x14ac:dyDescent="0.25">
      <c r="A264" s="4" t="s">
        <v>109</v>
      </c>
      <c r="B264" s="1">
        <v>0.869726</v>
      </c>
      <c r="C264" s="1">
        <v>0.86768999999999996</v>
      </c>
      <c r="D264" s="1">
        <f t="shared" si="28"/>
        <v>2.0360000000000378E-3</v>
      </c>
      <c r="E264">
        <f t="shared" si="29"/>
        <v>2</v>
      </c>
      <c r="F264">
        <f t="shared" si="30"/>
        <v>56</v>
      </c>
      <c r="G264">
        <f t="shared" si="31"/>
        <v>2.93</v>
      </c>
      <c r="H264">
        <f t="shared" si="32"/>
        <v>176</v>
      </c>
      <c r="I264" s="3">
        <f t="shared" si="33"/>
        <v>102.27272727272727</v>
      </c>
      <c r="J264" t="str">
        <f t="shared" si="34"/>
        <v>F</v>
      </c>
    </row>
    <row r="265" spans="1:10" x14ac:dyDescent="0.25">
      <c r="A265" s="4" t="s">
        <v>165</v>
      </c>
      <c r="B265" s="1">
        <v>0.16714200000000001</v>
      </c>
      <c r="C265" s="1">
        <v>0.165106</v>
      </c>
      <c r="D265" s="1">
        <f t="shared" si="28"/>
        <v>2.03600000000001E-3</v>
      </c>
      <c r="E265">
        <f t="shared" si="29"/>
        <v>2</v>
      </c>
      <c r="F265">
        <f t="shared" si="30"/>
        <v>56</v>
      </c>
      <c r="G265">
        <f t="shared" si="31"/>
        <v>2.93</v>
      </c>
      <c r="H265">
        <f t="shared" si="32"/>
        <v>176</v>
      </c>
      <c r="I265" s="3">
        <f t="shared" si="33"/>
        <v>102.27272727272727</v>
      </c>
      <c r="J265" t="str">
        <f t="shared" si="34"/>
        <v>F</v>
      </c>
    </row>
    <row r="266" spans="1:10" x14ac:dyDescent="0.25">
      <c r="A266" s="4" t="s">
        <v>58</v>
      </c>
      <c r="B266" s="1">
        <v>0.88663099999999995</v>
      </c>
      <c r="C266" s="1">
        <v>0.888683</v>
      </c>
      <c r="D266" s="1">
        <f t="shared" si="28"/>
        <v>2.0520000000000538E-3</v>
      </c>
      <c r="E266">
        <f t="shared" si="29"/>
        <v>2</v>
      </c>
      <c r="F266">
        <f t="shared" si="30"/>
        <v>57</v>
      </c>
      <c r="G266">
        <f t="shared" si="31"/>
        <v>2.95</v>
      </c>
      <c r="H266">
        <f t="shared" si="32"/>
        <v>177</v>
      </c>
      <c r="I266" s="3">
        <f t="shared" si="33"/>
        <v>101.69491525423729</v>
      </c>
      <c r="J266" t="str">
        <f t="shared" si="34"/>
        <v>F</v>
      </c>
    </row>
    <row r="267" spans="1:10" x14ac:dyDescent="0.25">
      <c r="A267" s="4" t="s">
        <v>158</v>
      </c>
      <c r="B267" s="1">
        <v>0.82938000000000001</v>
      </c>
      <c r="C267" s="1">
        <v>0.82733199999999996</v>
      </c>
      <c r="D267" s="1">
        <f t="shared" si="28"/>
        <v>2.0480000000000498E-3</v>
      </c>
      <c r="E267">
        <f t="shared" si="29"/>
        <v>2</v>
      </c>
      <c r="F267">
        <f t="shared" si="30"/>
        <v>57</v>
      </c>
      <c r="G267">
        <f t="shared" si="31"/>
        <v>2.95</v>
      </c>
      <c r="H267">
        <f t="shared" si="32"/>
        <v>177</v>
      </c>
      <c r="I267" s="3">
        <f t="shared" si="33"/>
        <v>101.69491525423729</v>
      </c>
      <c r="J267" t="str">
        <f t="shared" si="34"/>
        <v>F</v>
      </c>
    </row>
    <row r="268" spans="1:10" x14ac:dyDescent="0.25">
      <c r="A268" s="4" t="s">
        <v>23</v>
      </c>
      <c r="B268" s="1">
        <v>0.551709</v>
      </c>
      <c r="C268" s="1">
        <v>0.54965699999999995</v>
      </c>
      <c r="D268" s="1">
        <f t="shared" si="28"/>
        <v>2.0520000000000538E-3</v>
      </c>
      <c r="E268">
        <f t="shared" si="29"/>
        <v>2</v>
      </c>
      <c r="F268">
        <f t="shared" si="30"/>
        <v>57</v>
      </c>
      <c r="G268">
        <f t="shared" si="31"/>
        <v>2.95</v>
      </c>
      <c r="H268">
        <f t="shared" si="32"/>
        <v>177</v>
      </c>
      <c r="I268" s="3">
        <f t="shared" si="33"/>
        <v>101.69491525423729</v>
      </c>
      <c r="J268" t="str">
        <f t="shared" si="34"/>
        <v>F</v>
      </c>
    </row>
    <row r="269" spans="1:10" x14ac:dyDescent="0.25">
      <c r="A269" s="4" t="s">
        <v>211</v>
      </c>
      <c r="B269" s="1">
        <v>0.29138900000000001</v>
      </c>
      <c r="C269" s="1">
        <v>0.29344100000000001</v>
      </c>
      <c r="D269" s="1">
        <f t="shared" si="28"/>
        <v>2.0519999999999983E-3</v>
      </c>
      <c r="E269">
        <f t="shared" si="29"/>
        <v>2</v>
      </c>
      <c r="F269">
        <f t="shared" si="30"/>
        <v>57</v>
      </c>
      <c r="G269">
        <f t="shared" si="31"/>
        <v>2.95</v>
      </c>
      <c r="H269">
        <f t="shared" si="32"/>
        <v>177</v>
      </c>
      <c r="I269" s="3">
        <f t="shared" si="33"/>
        <v>101.69491525423729</v>
      </c>
      <c r="J269" t="str">
        <f t="shared" si="34"/>
        <v>F</v>
      </c>
    </row>
    <row r="270" spans="1:10" x14ac:dyDescent="0.25">
      <c r="A270" s="4" t="s">
        <v>257</v>
      </c>
      <c r="B270" s="1">
        <v>0.66598000000000002</v>
      </c>
      <c r="C270" s="1">
        <v>0.66393599999999997</v>
      </c>
      <c r="D270" s="1">
        <f t="shared" si="28"/>
        <v>2.0440000000000458E-3</v>
      </c>
      <c r="E270">
        <f t="shared" si="29"/>
        <v>2</v>
      </c>
      <c r="F270">
        <f t="shared" si="30"/>
        <v>57</v>
      </c>
      <c r="G270">
        <f t="shared" si="31"/>
        <v>2.95</v>
      </c>
      <c r="H270">
        <f t="shared" si="32"/>
        <v>177</v>
      </c>
      <c r="I270" s="3">
        <f t="shared" si="33"/>
        <v>101.69491525423729</v>
      </c>
      <c r="J270" t="str">
        <f t="shared" si="34"/>
        <v>F</v>
      </c>
    </row>
    <row r="271" spans="1:10" x14ac:dyDescent="0.25">
      <c r="A271" s="4" t="s">
        <v>96</v>
      </c>
      <c r="B271" s="1">
        <v>0.699542</v>
      </c>
      <c r="C271" s="1">
        <v>0.70160199999999995</v>
      </c>
      <c r="D271" s="1">
        <f t="shared" si="28"/>
        <v>2.0599999999999508E-3</v>
      </c>
      <c r="E271">
        <f t="shared" si="29"/>
        <v>2</v>
      </c>
      <c r="F271">
        <f t="shared" si="30"/>
        <v>58</v>
      </c>
      <c r="G271">
        <f t="shared" si="31"/>
        <v>2.97</v>
      </c>
      <c r="H271">
        <f t="shared" si="32"/>
        <v>178</v>
      </c>
      <c r="I271" s="3">
        <f t="shared" si="33"/>
        <v>101.12359550561798</v>
      </c>
      <c r="J271" t="str">
        <f t="shared" si="34"/>
        <v>F</v>
      </c>
    </row>
    <row r="272" spans="1:10" x14ac:dyDescent="0.25">
      <c r="A272" s="4" t="s">
        <v>117</v>
      </c>
      <c r="B272" s="1">
        <v>0.26135000000000003</v>
      </c>
      <c r="C272" s="1">
        <v>0.26341399999999998</v>
      </c>
      <c r="D272" s="1">
        <f t="shared" si="28"/>
        <v>2.0639999999999548E-3</v>
      </c>
      <c r="E272">
        <f t="shared" si="29"/>
        <v>2</v>
      </c>
      <c r="F272">
        <f t="shared" si="30"/>
        <v>58</v>
      </c>
      <c r="G272">
        <f t="shared" si="31"/>
        <v>2.97</v>
      </c>
      <c r="H272">
        <f t="shared" si="32"/>
        <v>178</v>
      </c>
      <c r="I272" s="3">
        <f t="shared" si="33"/>
        <v>101.12359550561798</v>
      </c>
      <c r="J272" t="str">
        <f t="shared" si="34"/>
        <v>F</v>
      </c>
    </row>
    <row r="273" spans="1:10" x14ac:dyDescent="0.25">
      <c r="A273" s="4" t="s">
        <v>117</v>
      </c>
      <c r="B273" s="1">
        <v>0.97350800000000004</v>
      </c>
      <c r="C273" s="1">
        <v>0.97145199999999998</v>
      </c>
      <c r="D273" s="1">
        <f t="shared" si="28"/>
        <v>2.0560000000000578E-3</v>
      </c>
      <c r="E273">
        <f t="shared" si="29"/>
        <v>2</v>
      </c>
      <c r="F273">
        <f t="shared" si="30"/>
        <v>58</v>
      </c>
      <c r="G273">
        <f t="shared" si="31"/>
        <v>2.97</v>
      </c>
      <c r="H273">
        <f t="shared" si="32"/>
        <v>178</v>
      </c>
      <c r="I273" s="3">
        <f t="shared" si="33"/>
        <v>101.12359550561798</v>
      </c>
      <c r="J273" t="str">
        <f t="shared" si="34"/>
        <v>F</v>
      </c>
    </row>
    <row r="274" spans="1:10" x14ac:dyDescent="0.25">
      <c r="A274" s="4" t="s">
        <v>50</v>
      </c>
      <c r="B274" s="1">
        <v>0.14851200000000001</v>
      </c>
      <c r="C274" s="1">
        <v>0.14644799999999999</v>
      </c>
      <c r="D274" s="1">
        <f t="shared" si="28"/>
        <v>2.0640000000000103E-3</v>
      </c>
      <c r="E274">
        <f t="shared" si="29"/>
        <v>2</v>
      </c>
      <c r="F274">
        <f t="shared" si="30"/>
        <v>58</v>
      </c>
      <c r="G274">
        <f t="shared" si="31"/>
        <v>2.97</v>
      </c>
      <c r="H274">
        <f t="shared" si="32"/>
        <v>178</v>
      </c>
      <c r="I274" s="3">
        <f t="shared" si="33"/>
        <v>101.12359550561798</v>
      </c>
      <c r="J274" t="str">
        <f t="shared" si="34"/>
        <v>F</v>
      </c>
    </row>
    <row r="275" spans="1:10" x14ac:dyDescent="0.25">
      <c r="A275" s="4" t="s">
        <v>49</v>
      </c>
      <c r="B275" s="1">
        <v>0.16655700000000001</v>
      </c>
      <c r="C275" s="1">
        <v>0.168625</v>
      </c>
      <c r="D275" s="1">
        <f t="shared" si="28"/>
        <v>2.0679999999999865E-3</v>
      </c>
      <c r="E275">
        <f t="shared" si="29"/>
        <v>2</v>
      </c>
      <c r="F275">
        <f t="shared" si="30"/>
        <v>59</v>
      </c>
      <c r="G275">
        <f t="shared" si="31"/>
        <v>2.98</v>
      </c>
      <c r="H275">
        <f t="shared" si="32"/>
        <v>179</v>
      </c>
      <c r="I275" s="3">
        <f t="shared" si="33"/>
        <v>100.55865921787711</v>
      </c>
      <c r="J275" t="str">
        <f t="shared" si="34"/>
        <v>F</v>
      </c>
    </row>
    <row r="276" spans="1:10" x14ac:dyDescent="0.25">
      <c r="A276" s="4" t="s">
        <v>173</v>
      </c>
      <c r="B276" s="1">
        <v>0.45782299999999998</v>
      </c>
      <c r="C276" s="1">
        <v>0.45575500000000002</v>
      </c>
      <c r="D276" s="1">
        <f t="shared" si="28"/>
        <v>2.0679999999999588E-3</v>
      </c>
      <c r="E276">
        <f t="shared" si="29"/>
        <v>2</v>
      </c>
      <c r="F276">
        <f t="shared" si="30"/>
        <v>59</v>
      </c>
      <c r="G276">
        <f t="shared" si="31"/>
        <v>2.98</v>
      </c>
      <c r="H276">
        <f t="shared" si="32"/>
        <v>179</v>
      </c>
      <c r="I276" s="3">
        <f t="shared" si="33"/>
        <v>100.55865921787711</v>
      </c>
      <c r="J276" t="str">
        <f t="shared" si="34"/>
        <v>F</v>
      </c>
    </row>
    <row r="277" spans="1:10" x14ac:dyDescent="0.25">
      <c r="A277" s="4" t="s">
        <v>83</v>
      </c>
      <c r="B277" s="1">
        <v>0.91982600000000003</v>
      </c>
      <c r="C277" s="1">
        <v>0.91775399999999996</v>
      </c>
      <c r="D277" s="1">
        <f t="shared" si="28"/>
        <v>2.0720000000000738E-3</v>
      </c>
      <c r="E277">
        <f t="shared" si="29"/>
        <v>2</v>
      </c>
      <c r="F277">
        <f t="shared" si="30"/>
        <v>59</v>
      </c>
      <c r="G277">
        <f t="shared" si="31"/>
        <v>2.98</v>
      </c>
      <c r="H277">
        <f t="shared" si="32"/>
        <v>179</v>
      </c>
      <c r="I277" s="3">
        <f t="shared" si="33"/>
        <v>100.55865921787711</v>
      </c>
      <c r="J277" t="str">
        <f t="shared" si="34"/>
        <v>F</v>
      </c>
    </row>
    <row r="278" spans="1:10" x14ac:dyDescent="0.25">
      <c r="A278" s="4" t="s">
        <v>241</v>
      </c>
      <c r="B278" s="1">
        <v>0.12286</v>
      </c>
      <c r="C278" s="1">
        <v>0.12078800000000001</v>
      </c>
      <c r="D278" s="1">
        <f t="shared" si="28"/>
        <v>2.0719999999999905E-3</v>
      </c>
      <c r="E278">
        <f t="shared" si="29"/>
        <v>2</v>
      </c>
      <c r="F278">
        <f t="shared" si="30"/>
        <v>59</v>
      </c>
      <c r="G278">
        <f t="shared" si="31"/>
        <v>2.98</v>
      </c>
      <c r="H278">
        <f t="shared" si="32"/>
        <v>179</v>
      </c>
      <c r="I278" s="3">
        <f t="shared" si="33"/>
        <v>100.55865921787711</v>
      </c>
      <c r="J278" t="str">
        <f t="shared" si="34"/>
        <v>F</v>
      </c>
    </row>
    <row r="279" spans="1:10" x14ac:dyDescent="0.25">
      <c r="A279" s="4" t="s">
        <v>70</v>
      </c>
      <c r="B279" s="1">
        <v>0.55355699999999997</v>
      </c>
      <c r="C279" s="1">
        <v>0.55564499999999994</v>
      </c>
      <c r="D279" s="1">
        <f t="shared" si="28"/>
        <v>2.0879999999999788E-3</v>
      </c>
      <c r="E279">
        <f t="shared" si="29"/>
        <v>3</v>
      </c>
      <c r="F279">
        <f t="shared" si="30"/>
        <v>0</v>
      </c>
      <c r="G279">
        <f t="shared" si="31"/>
        <v>3</v>
      </c>
      <c r="H279">
        <f t="shared" si="32"/>
        <v>180</v>
      </c>
      <c r="I279" s="3">
        <f t="shared" si="33"/>
        <v>100</v>
      </c>
      <c r="J279" t="str">
        <f t="shared" si="34"/>
        <v>F</v>
      </c>
    </row>
    <row r="280" spans="1:10" x14ac:dyDescent="0.25">
      <c r="A280" s="4" t="s">
        <v>66</v>
      </c>
      <c r="B280" s="1">
        <v>0.21590100000000001</v>
      </c>
      <c r="C280" s="1">
        <v>0.21798100000000001</v>
      </c>
      <c r="D280" s="1">
        <f t="shared" si="28"/>
        <v>2.0799999999999985E-3</v>
      </c>
      <c r="E280">
        <f t="shared" si="29"/>
        <v>3</v>
      </c>
      <c r="F280">
        <f t="shared" si="30"/>
        <v>0</v>
      </c>
      <c r="G280">
        <f t="shared" si="31"/>
        <v>3</v>
      </c>
      <c r="H280">
        <f t="shared" si="32"/>
        <v>180</v>
      </c>
      <c r="I280" s="3">
        <f t="shared" si="33"/>
        <v>100</v>
      </c>
      <c r="J280" t="str">
        <f t="shared" si="34"/>
        <v>F</v>
      </c>
    </row>
    <row r="281" spans="1:10" x14ac:dyDescent="0.25">
      <c r="A281" s="4" t="s">
        <v>74</v>
      </c>
      <c r="B281" s="1">
        <v>0.61492599999999997</v>
      </c>
      <c r="C281" s="1">
        <v>0.61283799999999999</v>
      </c>
      <c r="D281" s="1">
        <f t="shared" si="28"/>
        <v>2.0879999999999788E-3</v>
      </c>
      <c r="E281">
        <f t="shared" si="29"/>
        <v>3</v>
      </c>
      <c r="F281">
        <f t="shared" si="30"/>
        <v>0</v>
      </c>
      <c r="G281">
        <f t="shared" si="31"/>
        <v>3</v>
      </c>
      <c r="H281">
        <f t="shared" si="32"/>
        <v>180</v>
      </c>
      <c r="I281" s="3">
        <f t="shared" si="33"/>
        <v>100</v>
      </c>
      <c r="J281" t="str">
        <f t="shared" si="34"/>
        <v>F</v>
      </c>
    </row>
    <row r="282" spans="1:10" x14ac:dyDescent="0.25">
      <c r="A282" s="4" t="s">
        <v>194</v>
      </c>
      <c r="B282" s="1">
        <v>0.59056699999999995</v>
      </c>
      <c r="C282" s="1">
        <v>0.58848299999999998</v>
      </c>
      <c r="D282" s="1">
        <f t="shared" si="28"/>
        <v>2.0839999999999748E-3</v>
      </c>
      <c r="E282">
        <f t="shared" si="29"/>
        <v>3</v>
      </c>
      <c r="F282">
        <f t="shared" si="30"/>
        <v>0</v>
      </c>
      <c r="G282">
        <f t="shared" si="31"/>
        <v>3</v>
      </c>
      <c r="H282">
        <f t="shared" si="32"/>
        <v>180</v>
      </c>
      <c r="I282" s="3">
        <f t="shared" si="33"/>
        <v>100</v>
      </c>
      <c r="J282" t="str">
        <f t="shared" si="34"/>
        <v>F</v>
      </c>
    </row>
    <row r="283" spans="1:10" x14ac:dyDescent="0.25">
      <c r="A283" s="4" t="s">
        <v>205</v>
      </c>
      <c r="B283" s="1">
        <v>0.62204599999999999</v>
      </c>
      <c r="C283" s="1">
        <v>0.62412999999999996</v>
      </c>
      <c r="D283" s="1">
        <f t="shared" si="28"/>
        <v>2.0839999999999748E-3</v>
      </c>
      <c r="E283">
        <f t="shared" si="29"/>
        <v>3</v>
      </c>
      <c r="F283">
        <f t="shared" si="30"/>
        <v>0</v>
      </c>
      <c r="G283">
        <f t="shared" si="31"/>
        <v>3</v>
      </c>
      <c r="H283">
        <f t="shared" si="32"/>
        <v>180</v>
      </c>
      <c r="I283" s="3">
        <f t="shared" si="33"/>
        <v>100</v>
      </c>
      <c r="J283" t="str">
        <f t="shared" si="34"/>
        <v>F</v>
      </c>
    </row>
    <row r="284" spans="1:10" x14ac:dyDescent="0.25">
      <c r="A284" s="4" t="s">
        <v>323</v>
      </c>
      <c r="B284" s="1">
        <v>5.8838000000000001E-2</v>
      </c>
      <c r="C284" s="1">
        <v>5.6753999999999999E-2</v>
      </c>
      <c r="D284" s="1">
        <f t="shared" si="28"/>
        <v>2.0840000000000025E-3</v>
      </c>
      <c r="E284">
        <f t="shared" si="29"/>
        <v>3</v>
      </c>
      <c r="F284">
        <f t="shared" si="30"/>
        <v>0</v>
      </c>
      <c r="G284">
        <f t="shared" si="31"/>
        <v>3</v>
      </c>
      <c r="H284">
        <f t="shared" si="32"/>
        <v>180</v>
      </c>
      <c r="I284" s="3">
        <f t="shared" si="33"/>
        <v>100</v>
      </c>
      <c r="J284" t="str">
        <f t="shared" si="34"/>
        <v>F</v>
      </c>
    </row>
    <row r="285" spans="1:10" x14ac:dyDescent="0.25">
      <c r="A285" s="4" t="s">
        <v>367</v>
      </c>
      <c r="B285" s="1">
        <v>0.64812400000000003</v>
      </c>
      <c r="C285" s="1">
        <v>0.64603600000000005</v>
      </c>
      <c r="D285" s="1">
        <f t="shared" si="28"/>
        <v>2.0879999999999788E-3</v>
      </c>
      <c r="E285">
        <f t="shared" si="29"/>
        <v>3</v>
      </c>
      <c r="F285">
        <f t="shared" si="30"/>
        <v>0</v>
      </c>
      <c r="G285">
        <f t="shared" si="31"/>
        <v>3</v>
      </c>
      <c r="H285">
        <f t="shared" si="32"/>
        <v>180</v>
      </c>
      <c r="I285" s="3">
        <f t="shared" si="33"/>
        <v>100</v>
      </c>
      <c r="J285" t="str">
        <f t="shared" si="34"/>
        <v>F</v>
      </c>
    </row>
    <row r="286" spans="1:10" x14ac:dyDescent="0.25">
      <c r="A286" s="4" t="s">
        <v>174</v>
      </c>
      <c r="B286" s="1">
        <v>0.39857500000000001</v>
      </c>
      <c r="C286" s="1">
        <v>0.40067900000000001</v>
      </c>
      <c r="D286" s="1">
        <f t="shared" si="28"/>
        <v>2.1039999999999948E-3</v>
      </c>
      <c r="E286">
        <f t="shared" si="29"/>
        <v>3</v>
      </c>
      <c r="F286">
        <f t="shared" si="30"/>
        <v>2</v>
      </c>
      <c r="G286">
        <f t="shared" si="31"/>
        <v>3.03</v>
      </c>
      <c r="H286">
        <f t="shared" si="32"/>
        <v>182</v>
      </c>
      <c r="I286" s="3">
        <f t="shared" si="33"/>
        <v>98.901098901098905</v>
      </c>
      <c r="J286" t="str">
        <f t="shared" si="34"/>
        <v>F</v>
      </c>
    </row>
    <row r="287" spans="1:10" x14ac:dyDescent="0.25">
      <c r="A287" s="4" t="s">
        <v>101</v>
      </c>
      <c r="B287" s="1">
        <v>9.8788000000000001E-2</v>
      </c>
      <c r="C287" s="1">
        <v>9.6680000000000002E-2</v>
      </c>
      <c r="D287" s="1">
        <f t="shared" si="28"/>
        <v>2.1079999999999988E-3</v>
      </c>
      <c r="E287">
        <f t="shared" si="29"/>
        <v>3</v>
      </c>
      <c r="F287">
        <f t="shared" si="30"/>
        <v>2</v>
      </c>
      <c r="G287">
        <f t="shared" si="31"/>
        <v>3.03</v>
      </c>
      <c r="H287">
        <f t="shared" si="32"/>
        <v>182</v>
      </c>
      <c r="I287" s="3">
        <f t="shared" si="33"/>
        <v>98.901098901098905</v>
      </c>
      <c r="J287" t="str">
        <f t="shared" si="34"/>
        <v>F</v>
      </c>
    </row>
    <row r="288" spans="1:10" x14ac:dyDescent="0.25">
      <c r="A288" s="4" t="s">
        <v>16</v>
      </c>
      <c r="B288" s="1">
        <v>0.25660300000000003</v>
      </c>
      <c r="C288" s="1">
        <v>0.25871100000000002</v>
      </c>
      <c r="D288" s="1">
        <f t="shared" si="28"/>
        <v>2.1079999999999988E-3</v>
      </c>
      <c r="E288">
        <f t="shared" si="29"/>
        <v>3</v>
      </c>
      <c r="F288">
        <f t="shared" si="30"/>
        <v>2</v>
      </c>
      <c r="G288">
        <f t="shared" si="31"/>
        <v>3.03</v>
      </c>
      <c r="H288">
        <f t="shared" si="32"/>
        <v>182</v>
      </c>
      <c r="I288" s="3">
        <f t="shared" si="33"/>
        <v>98.901098901098905</v>
      </c>
      <c r="J288" t="str">
        <f t="shared" si="34"/>
        <v>F</v>
      </c>
    </row>
    <row r="289" spans="1:10" x14ac:dyDescent="0.25">
      <c r="A289" s="4" t="s">
        <v>198</v>
      </c>
      <c r="B289" s="1">
        <v>0.220692</v>
      </c>
      <c r="C289" s="1">
        <v>0.218588</v>
      </c>
      <c r="D289" s="1">
        <f t="shared" si="28"/>
        <v>2.1039999999999948E-3</v>
      </c>
      <c r="E289">
        <f t="shared" si="29"/>
        <v>3</v>
      </c>
      <c r="F289">
        <f t="shared" si="30"/>
        <v>2</v>
      </c>
      <c r="G289">
        <f t="shared" si="31"/>
        <v>3.03</v>
      </c>
      <c r="H289">
        <f t="shared" si="32"/>
        <v>182</v>
      </c>
      <c r="I289" s="3">
        <f t="shared" si="33"/>
        <v>98.901098901098905</v>
      </c>
      <c r="J289" t="str">
        <f t="shared" si="34"/>
        <v>F</v>
      </c>
    </row>
    <row r="290" spans="1:10" x14ac:dyDescent="0.25">
      <c r="A290" s="4" t="s">
        <v>329</v>
      </c>
      <c r="B290" s="1">
        <v>0.12620799999999999</v>
      </c>
      <c r="C290" s="1">
        <v>0.12831600000000001</v>
      </c>
      <c r="D290" s="1">
        <f t="shared" si="28"/>
        <v>2.1080000000000265E-3</v>
      </c>
      <c r="E290">
        <f t="shared" si="29"/>
        <v>3</v>
      </c>
      <c r="F290">
        <f t="shared" si="30"/>
        <v>2</v>
      </c>
      <c r="G290">
        <f t="shared" si="31"/>
        <v>3.03</v>
      </c>
      <c r="H290">
        <f t="shared" si="32"/>
        <v>182</v>
      </c>
      <c r="I290" s="3">
        <f t="shared" si="33"/>
        <v>98.901098901098905</v>
      </c>
      <c r="J290" t="str">
        <f t="shared" si="34"/>
        <v>F</v>
      </c>
    </row>
    <row r="291" spans="1:10" x14ac:dyDescent="0.25">
      <c r="A291" s="4" t="s">
        <v>345</v>
      </c>
      <c r="B291" s="1">
        <v>0.77340900000000001</v>
      </c>
      <c r="C291" s="1">
        <v>0.77552900000000002</v>
      </c>
      <c r="D291" s="1">
        <f t="shared" si="28"/>
        <v>2.1200000000000108E-3</v>
      </c>
      <c r="E291">
        <f t="shared" si="29"/>
        <v>3</v>
      </c>
      <c r="F291">
        <f t="shared" si="30"/>
        <v>3</v>
      </c>
      <c r="G291">
        <f t="shared" si="31"/>
        <v>3.05</v>
      </c>
      <c r="H291">
        <f t="shared" si="32"/>
        <v>183</v>
      </c>
      <c r="I291" s="3">
        <f t="shared" si="33"/>
        <v>98.360655737704917</v>
      </c>
      <c r="J291" t="str">
        <f t="shared" si="34"/>
        <v>F</v>
      </c>
    </row>
    <row r="292" spans="1:10" x14ac:dyDescent="0.25">
      <c r="A292" s="4" t="s">
        <v>60</v>
      </c>
      <c r="B292" s="1">
        <v>0.71798300000000004</v>
      </c>
      <c r="C292" s="1">
        <v>0.71585500000000002</v>
      </c>
      <c r="D292" s="1">
        <f t="shared" si="28"/>
        <v>2.1280000000000188E-3</v>
      </c>
      <c r="E292">
        <f t="shared" si="29"/>
        <v>3</v>
      </c>
      <c r="F292">
        <f t="shared" si="30"/>
        <v>4</v>
      </c>
      <c r="G292">
        <f t="shared" si="31"/>
        <v>3.07</v>
      </c>
      <c r="H292">
        <f t="shared" si="32"/>
        <v>184</v>
      </c>
      <c r="I292" s="3">
        <f t="shared" si="33"/>
        <v>97.826086956521735</v>
      </c>
      <c r="J292" t="str">
        <f t="shared" si="34"/>
        <v>F</v>
      </c>
    </row>
    <row r="293" spans="1:10" x14ac:dyDescent="0.25">
      <c r="A293" s="4" t="s">
        <v>191</v>
      </c>
      <c r="B293" s="1">
        <v>0.193879</v>
      </c>
      <c r="C293" s="1">
        <v>0.19175500000000001</v>
      </c>
      <c r="D293" s="1">
        <f t="shared" si="28"/>
        <v>2.123999999999987E-3</v>
      </c>
      <c r="E293">
        <f t="shared" si="29"/>
        <v>3</v>
      </c>
      <c r="F293">
        <f t="shared" si="30"/>
        <v>4</v>
      </c>
      <c r="G293">
        <f t="shared" si="31"/>
        <v>3.07</v>
      </c>
      <c r="H293">
        <f t="shared" si="32"/>
        <v>184</v>
      </c>
      <c r="I293" s="3">
        <f t="shared" si="33"/>
        <v>97.826086956521735</v>
      </c>
      <c r="J293" t="str">
        <f t="shared" si="34"/>
        <v>F</v>
      </c>
    </row>
    <row r="294" spans="1:10" x14ac:dyDescent="0.25">
      <c r="A294" s="4" t="s">
        <v>195</v>
      </c>
      <c r="B294" s="1">
        <v>0.41790500000000003</v>
      </c>
      <c r="C294" s="1">
        <v>0.415773</v>
      </c>
      <c r="D294" s="1">
        <f t="shared" si="28"/>
        <v>2.1320000000000228E-3</v>
      </c>
      <c r="E294">
        <f t="shared" si="29"/>
        <v>3</v>
      </c>
      <c r="F294">
        <f t="shared" si="30"/>
        <v>4</v>
      </c>
      <c r="G294">
        <f t="shared" si="31"/>
        <v>3.07</v>
      </c>
      <c r="H294">
        <f t="shared" si="32"/>
        <v>184</v>
      </c>
      <c r="I294" s="3">
        <f t="shared" si="33"/>
        <v>97.826086956521735</v>
      </c>
      <c r="J294" t="str">
        <f t="shared" si="34"/>
        <v>F</v>
      </c>
    </row>
    <row r="295" spans="1:10" x14ac:dyDescent="0.25">
      <c r="A295" s="4" t="s">
        <v>210</v>
      </c>
      <c r="B295" s="1">
        <v>0.32662200000000002</v>
      </c>
      <c r="C295" s="1">
        <v>0.32874599999999998</v>
      </c>
      <c r="D295" s="1">
        <f t="shared" si="28"/>
        <v>2.1239999999999593E-3</v>
      </c>
      <c r="E295">
        <f t="shared" si="29"/>
        <v>3</v>
      </c>
      <c r="F295">
        <f t="shared" si="30"/>
        <v>4</v>
      </c>
      <c r="G295">
        <f t="shared" si="31"/>
        <v>3.07</v>
      </c>
      <c r="H295">
        <f t="shared" si="32"/>
        <v>184</v>
      </c>
      <c r="I295" s="3">
        <f t="shared" si="33"/>
        <v>97.826086956521735</v>
      </c>
      <c r="J295" t="str">
        <f t="shared" si="34"/>
        <v>F</v>
      </c>
    </row>
    <row r="296" spans="1:10" x14ac:dyDescent="0.25">
      <c r="A296" s="4" t="s">
        <v>379</v>
      </c>
      <c r="B296" s="1">
        <v>0.880853</v>
      </c>
      <c r="C296" s="1">
        <v>0.88298100000000002</v>
      </c>
      <c r="D296" s="1">
        <f t="shared" si="28"/>
        <v>2.1280000000000188E-3</v>
      </c>
      <c r="E296">
        <f t="shared" si="29"/>
        <v>3</v>
      </c>
      <c r="F296">
        <f t="shared" si="30"/>
        <v>4</v>
      </c>
      <c r="G296">
        <f t="shared" si="31"/>
        <v>3.07</v>
      </c>
      <c r="H296">
        <f t="shared" si="32"/>
        <v>184</v>
      </c>
      <c r="I296" s="3">
        <f t="shared" si="33"/>
        <v>97.826086956521735</v>
      </c>
      <c r="J296" t="str">
        <f t="shared" si="34"/>
        <v>F</v>
      </c>
    </row>
    <row r="297" spans="1:10" x14ac:dyDescent="0.25">
      <c r="A297" s="4" t="s">
        <v>31</v>
      </c>
      <c r="B297" s="1">
        <v>0.20865400000000001</v>
      </c>
      <c r="C297" s="1">
        <v>0.21079800000000001</v>
      </c>
      <c r="D297" s="1">
        <f t="shared" si="28"/>
        <v>2.144000000000007E-3</v>
      </c>
      <c r="E297">
        <f t="shared" si="29"/>
        <v>3</v>
      </c>
      <c r="F297">
        <f t="shared" si="30"/>
        <v>5</v>
      </c>
      <c r="G297">
        <f t="shared" si="31"/>
        <v>3.08</v>
      </c>
      <c r="H297">
        <f t="shared" si="32"/>
        <v>185</v>
      </c>
      <c r="I297" s="3">
        <f t="shared" si="33"/>
        <v>97.297297297297291</v>
      </c>
      <c r="J297" t="str">
        <f t="shared" si="34"/>
        <v>F</v>
      </c>
    </row>
    <row r="298" spans="1:10" x14ac:dyDescent="0.25">
      <c r="A298" s="4" t="s">
        <v>49</v>
      </c>
      <c r="B298" s="1">
        <v>0.94723900000000005</v>
      </c>
      <c r="C298" s="1">
        <v>0.94938299999999998</v>
      </c>
      <c r="D298" s="1">
        <f t="shared" si="28"/>
        <v>2.1439999999999237E-3</v>
      </c>
      <c r="E298">
        <f t="shared" si="29"/>
        <v>3</v>
      </c>
      <c r="F298">
        <f t="shared" si="30"/>
        <v>5</v>
      </c>
      <c r="G298">
        <f t="shared" si="31"/>
        <v>3.08</v>
      </c>
      <c r="H298">
        <f t="shared" si="32"/>
        <v>185</v>
      </c>
      <c r="I298" s="3">
        <f t="shared" si="33"/>
        <v>97.297297297297291</v>
      </c>
      <c r="J298" t="str">
        <f t="shared" si="34"/>
        <v>F</v>
      </c>
    </row>
    <row r="299" spans="1:10" x14ac:dyDescent="0.25">
      <c r="A299" s="4" t="s">
        <v>40</v>
      </c>
      <c r="B299" s="1">
        <v>0.67679900000000004</v>
      </c>
      <c r="C299" s="1">
        <v>0.67894299999999996</v>
      </c>
      <c r="D299" s="1">
        <f t="shared" si="28"/>
        <v>2.1439999999999237E-3</v>
      </c>
      <c r="E299">
        <f t="shared" si="29"/>
        <v>3</v>
      </c>
      <c r="F299">
        <f t="shared" si="30"/>
        <v>5</v>
      </c>
      <c r="G299">
        <f t="shared" si="31"/>
        <v>3.08</v>
      </c>
      <c r="H299">
        <f t="shared" si="32"/>
        <v>185</v>
      </c>
      <c r="I299" s="3">
        <f t="shared" si="33"/>
        <v>97.297297297297291</v>
      </c>
      <c r="J299" t="str">
        <f t="shared" si="34"/>
        <v>F</v>
      </c>
    </row>
    <row r="300" spans="1:10" x14ac:dyDescent="0.25">
      <c r="A300" s="4" t="s">
        <v>88</v>
      </c>
      <c r="B300" s="1">
        <v>5.8613999999999999E-2</v>
      </c>
      <c r="C300" s="1">
        <v>5.6474000000000003E-2</v>
      </c>
      <c r="D300" s="1">
        <f t="shared" si="28"/>
        <v>2.1399999999999961E-3</v>
      </c>
      <c r="E300">
        <f t="shared" si="29"/>
        <v>3</v>
      </c>
      <c r="F300">
        <f t="shared" si="30"/>
        <v>5</v>
      </c>
      <c r="G300">
        <f t="shared" si="31"/>
        <v>3.08</v>
      </c>
      <c r="H300">
        <f t="shared" si="32"/>
        <v>185</v>
      </c>
      <c r="I300" s="3">
        <f t="shared" si="33"/>
        <v>97.297297297297291</v>
      </c>
      <c r="J300" t="str">
        <f t="shared" si="34"/>
        <v>F</v>
      </c>
    </row>
    <row r="301" spans="1:10" x14ac:dyDescent="0.25">
      <c r="A301" s="4" t="s">
        <v>430</v>
      </c>
      <c r="B301" s="1">
        <v>0.74694899999999997</v>
      </c>
      <c r="C301" s="1">
        <v>0.74481299999999995</v>
      </c>
      <c r="D301" s="1">
        <f t="shared" si="28"/>
        <v>2.1360000000000268E-3</v>
      </c>
      <c r="E301">
        <f t="shared" si="29"/>
        <v>3</v>
      </c>
      <c r="F301">
        <f t="shared" si="30"/>
        <v>5</v>
      </c>
      <c r="G301">
        <f t="shared" si="31"/>
        <v>3.08</v>
      </c>
      <c r="H301">
        <f t="shared" si="32"/>
        <v>185</v>
      </c>
      <c r="I301" s="3">
        <f t="shared" si="33"/>
        <v>97.297297297297291</v>
      </c>
      <c r="J301" t="str">
        <f t="shared" si="34"/>
        <v>F</v>
      </c>
    </row>
    <row r="302" spans="1:10" x14ac:dyDescent="0.25">
      <c r="A302" s="4" t="s">
        <v>288</v>
      </c>
      <c r="B302" s="1">
        <v>9.7457000000000002E-2</v>
      </c>
      <c r="C302" s="1">
        <v>9.9600999999999995E-2</v>
      </c>
      <c r="D302" s="1">
        <f t="shared" si="28"/>
        <v>2.1439999999999931E-3</v>
      </c>
      <c r="E302">
        <f t="shared" si="29"/>
        <v>3</v>
      </c>
      <c r="F302">
        <f t="shared" si="30"/>
        <v>5</v>
      </c>
      <c r="G302">
        <f t="shared" si="31"/>
        <v>3.08</v>
      </c>
      <c r="H302">
        <f t="shared" si="32"/>
        <v>185</v>
      </c>
      <c r="I302" s="3">
        <f t="shared" si="33"/>
        <v>97.297297297297291</v>
      </c>
      <c r="J302" t="str">
        <f t="shared" si="34"/>
        <v>F</v>
      </c>
    </row>
    <row r="303" spans="1:10" x14ac:dyDescent="0.25">
      <c r="A303" s="4" t="s">
        <v>100</v>
      </c>
      <c r="B303" s="1">
        <v>0.98372400000000004</v>
      </c>
      <c r="C303" s="1">
        <v>0.98587599999999997</v>
      </c>
      <c r="D303" s="1">
        <f t="shared" si="28"/>
        <v>2.1519999999999317E-3</v>
      </c>
      <c r="E303">
        <f t="shared" si="29"/>
        <v>3</v>
      </c>
      <c r="F303">
        <f t="shared" si="30"/>
        <v>6</v>
      </c>
      <c r="G303">
        <f t="shared" si="31"/>
        <v>3.1</v>
      </c>
      <c r="H303">
        <f t="shared" si="32"/>
        <v>186</v>
      </c>
      <c r="I303" s="3">
        <f t="shared" si="33"/>
        <v>96.774193548387103</v>
      </c>
      <c r="J303" t="str">
        <f t="shared" si="34"/>
        <v>F</v>
      </c>
    </row>
    <row r="304" spans="1:10" x14ac:dyDescent="0.25">
      <c r="A304" s="4" t="s">
        <v>74</v>
      </c>
      <c r="B304" s="1">
        <v>0.64918399999999998</v>
      </c>
      <c r="C304" s="1">
        <v>0.64702800000000005</v>
      </c>
      <c r="D304" s="1">
        <f t="shared" si="28"/>
        <v>2.1559999999999357E-3</v>
      </c>
      <c r="E304">
        <f t="shared" si="29"/>
        <v>3</v>
      </c>
      <c r="F304">
        <f t="shared" si="30"/>
        <v>6</v>
      </c>
      <c r="G304">
        <f t="shared" si="31"/>
        <v>3.1</v>
      </c>
      <c r="H304">
        <f t="shared" si="32"/>
        <v>186</v>
      </c>
      <c r="I304" s="3">
        <f t="shared" si="33"/>
        <v>96.774193548387103</v>
      </c>
      <c r="J304" t="str">
        <f t="shared" si="34"/>
        <v>F</v>
      </c>
    </row>
    <row r="305" spans="1:10" x14ac:dyDescent="0.25">
      <c r="A305" s="4" t="s">
        <v>19</v>
      </c>
      <c r="B305" s="1">
        <v>0.94621999999999995</v>
      </c>
      <c r="C305" s="1">
        <v>0.948376</v>
      </c>
      <c r="D305" s="1">
        <f t="shared" si="28"/>
        <v>2.1560000000000468E-3</v>
      </c>
      <c r="E305">
        <f t="shared" si="29"/>
        <v>3</v>
      </c>
      <c r="F305">
        <f t="shared" si="30"/>
        <v>6</v>
      </c>
      <c r="G305">
        <f t="shared" si="31"/>
        <v>3.1</v>
      </c>
      <c r="H305">
        <f t="shared" si="32"/>
        <v>186</v>
      </c>
      <c r="I305" s="3">
        <f t="shared" si="33"/>
        <v>96.774193548387103</v>
      </c>
      <c r="J305" t="str">
        <f t="shared" si="34"/>
        <v>F</v>
      </c>
    </row>
    <row r="306" spans="1:10" x14ac:dyDescent="0.25">
      <c r="A306" s="4" t="s">
        <v>109</v>
      </c>
      <c r="B306" s="1">
        <v>0.23508799999999999</v>
      </c>
      <c r="C306" s="1">
        <v>0.23294000000000001</v>
      </c>
      <c r="D306" s="1">
        <f t="shared" si="28"/>
        <v>2.1479999999999833E-3</v>
      </c>
      <c r="E306">
        <f t="shared" si="29"/>
        <v>3</v>
      </c>
      <c r="F306">
        <f t="shared" si="30"/>
        <v>6</v>
      </c>
      <c r="G306">
        <f t="shared" si="31"/>
        <v>3.1</v>
      </c>
      <c r="H306">
        <f t="shared" si="32"/>
        <v>186</v>
      </c>
      <c r="I306" s="3">
        <f t="shared" si="33"/>
        <v>96.774193548387103</v>
      </c>
      <c r="J306" t="str">
        <f t="shared" si="34"/>
        <v>F</v>
      </c>
    </row>
    <row r="307" spans="1:10" x14ac:dyDescent="0.25">
      <c r="A307" s="4" t="s">
        <v>282</v>
      </c>
      <c r="B307" s="1">
        <v>8.2269999999999999E-3</v>
      </c>
      <c r="C307" s="1">
        <v>1.0375000000000001E-2</v>
      </c>
      <c r="D307" s="1">
        <f t="shared" si="28"/>
        <v>2.1480000000000006E-3</v>
      </c>
      <c r="E307">
        <f t="shared" si="29"/>
        <v>3</v>
      </c>
      <c r="F307">
        <f t="shared" si="30"/>
        <v>6</v>
      </c>
      <c r="G307">
        <f t="shared" si="31"/>
        <v>3.1</v>
      </c>
      <c r="H307">
        <f t="shared" si="32"/>
        <v>186</v>
      </c>
      <c r="I307" s="3">
        <f t="shared" si="33"/>
        <v>96.774193548387103</v>
      </c>
      <c r="J307" t="str">
        <f t="shared" si="34"/>
        <v>F</v>
      </c>
    </row>
    <row r="308" spans="1:10" x14ac:dyDescent="0.25">
      <c r="A308" s="4" t="s">
        <v>320</v>
      </c>
      <c r="B308" s="1">
        <v>0.476607</v>
      </c>
      <c r="C308" s="1">
        <v>0.47875899999999999</v>
      </c>
      <c r="D308" s="1">
        <f t="shared" si="28"/>
        <v>2.1519999999999873E-3</v>
      </c>
      <c r="E308">
        <f t="shared" si="29"/>
        <v>3</v>
      </c>
      <c r="F308">
        <f t="shared" si="30"/>
        <v>6</v>
      </c>
      <c r="G308">
        <f t="shared" si="31"/>
        <v>3.1</v>
      </c>
      <c r="H308">
        <f t="shared" si="32"/>
        <v>186</v>
      </c>
      <c r="I308" s="3">
        <f t="shared" si="33"/>
        <v>96.774193548387103</v>
      </c>
      <c r="J308" t="str">
        <f t="shared" si="34"/>
        <v>F</v>
      </c>
    </row>
    <row r="309" spans="1:10" x14ac:dyDescent="0.25">
      <c r="A309" s="4" t="s">
        <v>72</v>
      </c>
      <c r="B309" s="1">
        <v>0.73590199999999995</v>
      </c>
      <c r="C309" s="1">
        <v>0.738062</v>
      </c>
      <c r="D309" s="1">
        <f t="shared" si="28"/>
        <v>2.1600000000000508E-3</v>
      </c>
      <c r="E309">
        <f t="shared" si="29"/>
        <v>3</v>
      </c>
      <c r="F309">
        <f t="shared" si="30"/>
        <v>7</v>
      </c>
      <c r="G309">
        <f t="shared" si="31"/>
        <v>3.12</v>
      </c>
      <c r="H309">
        <f t="shared" si="32"/>
        <v>187</v>
      </c>
      <c r="I309" s="3">
        <f t="shared" si="33"/>
        <v>96.256684491978604</v>
      </c>
      <c r="J309" t="str">
        <f t="shared" si="34"/>
        <v>F</v>
      </c>
    </row>
    <row r="310" spans="1:10" x14ac:dyDescent="0.25">
      <c r="A310" s="4" t="s">
        <v>107</v>
      </c>
      <c r="B310" s="1">
        <v>0.41733100000000001</v>
      </c>
      <c r="C310" s="1">
        <v>0.419491</v>
      </c>
      <c r="D310" s="1">
        <f t="shared" si="28"/>
        <v>2.1599999999999953E-3</v>
      </c>
      <c r="E310">
        <f t="shared" si="29"/>
        <v>3</v>
      </c>
      <c r="F310">
        <f t="shared" si="30"/>
        <v>7</v>
      </c>
      <c r="G310">
        <f t="shared" si="31"/>
        <v>3.12</v>
      </c>
      <c r="H310">
        <f t="shared" si="32"/>
        <v>187</v>
      </c>
      <c r="I310" s="3">
        <f t="shared" si="33"/>
        <v>96.256684491978604</v>
      </c>
      <c r="J310" t="str">
        <f t="shared" si="34"/>
        <v>F</v>
      </c>
    </row>
    <row r="311" spans="1:10" x14ac:dyDescent="0.25">
      <c r="A311" s="4" t="s">
        <v>172</v>
      </c>
      <c r="B311" s="1">
        <v>0.90573400000000004</v>
      </c>
      <c r="C311" s="1">
        <v>0.90789799999999998</v>
      </c>
      <c r="D311" s="1">
        <f t="shared" si="28"/>
        <v>2.1639999999999437E-3</v>
      </c>
      <c r="E311">
        <f t="shared" si="29"/>
        <v>3</v>
      </c>
      <c r="F311">
        <f t="shared" si="30"/>
        <v>7</v>
      </c>
      <c r="G311">
        <f t="shared" si="31"/>
        <v>3.12</v>
      </c>
      <c r="H311">
        <f t="shared" si="32"/>
        <v>187</v>
      </c>
      <c r="I311" s="3">
        <f t="shared" si="33"/>
        <v>96.256684491978604</v>
      </c>
      <c r="J311" t="str">
        <f t="shared" si="34"/>
        <v>F</v>
      </c>
    </row>
    <row r="312" spans="1:10" x14ac:dyDescent="0.25">
      <c r="A312" s="4" t="s">
        <v>28</v>
      </c>
      <c r="B312" s="1">
        <v>0.52204899999999999</v>
      </c>
      <c r="C312" s="1">
        <v>0.52420900000000004</v>
      </c>
      <c r="D312" s="1">
        <f t="shared" si="28"/>
        <v>2.1600000000000508E-3</v>
      </c>
      <c r="E312">
        <f t="shared" si="29"/>
        <v>3</v>
      </c>
      <c r="F312">
        <f t="shared" si="30"/>
        <v>7</v>
      </c>
      <c r="G312">
        <f t="shared" si="31"/>
        <v>3.12</v>
      </c>
      <c r="H312">
        <f t="shared" si="32"/>
        <v>187</v>
      </c>
      <c r="I312" s="3">
        <f t="shared" si="33"/>
        <v>96.256684491978604</v>
      </c>
      <c r="J312" t="str">
        <f t="shared" si="34"/>
        <v>F</v>
      </c>
    </row>
    <row r="313" spans="1:10" x14ac:dyDescent="0.25">
      <c r="A313" s="4" t="s">
        <v>343</v>
      </c>
      <c r="B313" s="1">
        <v>0.68652000000000002</v>
      </c>
      <c r="C313" s="1">
        <v>0.68868399999999996</v>
      </c>
      <c r="D313" s="1">
        <f t="shared" si="28"/>
        <v>2.1639999999999437E-3</v>
      </c>
      <c r="E313">
        <f t="shared" si="29"/>
        <v>3</v>
      </c>
      <c r="F313">
        <f t="shared" si="30"/>
        <v>7</v>
      </c>
      <c r="G313">
        <f t="shared" si="31"/>
        <v>3.12</v>
      </c>
      <c r="H313">
        <f t="shared" si="32"/>
        <v>187</v>
      </c>
      <c r="I313" s="3">
        <f t="shared" si="33"/>
        <v>96.256684491978604</v>
      </c>
      <c r="J313" t="str">
        <f t="shared" si="34"/>
        <v>F</v>
      </c>
    </row>
    <row r="314" spans="1:10" x14ac:dyDescent="0.25">
      <c r="A314" s="4" t="s">
        <v>27</v>
      </c>
      <c r="B314" s="1">
        <v>0.94908300000000001</v>
      </c>
      <c r="C314" s="1">
        <v>0.94690700000000005</v>
      </c>
      <c r="D314" s="1">
        <f t="shared" si="28"/>
        <v>2.1759999999999557E-3</v>
      </c>
      <c r="E314">
        <f t="shared" si="29"/>
        <v>3</v>
      </c>
      <c r="F314">
        <f t="shared" si="30"/>
        <v>8</v>
      </c>
      <c r="G314">
        <f t="shared" si="31"/>
        <v>3.13</v>
      </c>
      <c r="H314">
        <f t="shared" si="32"/>
        <v>188</v>
      </c>
      <c r="I314" s="3">
        <f t="shared" si="33"/>
        <v>95.744680851063833</v>
      </c>
      <c r="J314" t="str">
        <f t="shared" si="34"/>
        <v>F</v>
      </c>
    </row>
    <row r="315" spans="1:10" x14ac:dyDescent="0.25">
      <c r="A315" s="4" t="s">
        <v>75</v>
      </c>
      <c r="B315" s="1">
        <v>0.331623</v>
      </c>
      <c r="C315" s="1">
        <v>0.33379500000000001</v>
      </c>
      <c r="D315" s="1">
        <f t="shared" si="28"/>
        <v>2.1720000000000073E-3</v>
      </c>
      <c r="E315">
        <f t="shared" si="29"/>
        <v>3</v>
      </c>
      <c r="F315">
        <f t="shared" si="30"/>
        <v>8</v>
      </c>
      <c r="G315">
        <f t="shared" si="31"/>
        <v>3.13</v>
      </c>
      <c r="H315">
        <f t="shared" si="32"/>
        <v>188</v>
      </c>
      <c r="I315" s="3">
        <f t="shared" si="33"/>
        <v>95.744680851063833</v>
      </c>
      <c r="J315" t="str">
        <f t="shared" si="34"/>
        <v>F</v>
      </c>
    </row>
    <row r="316" spans="1:10" x14ac:dyDescent="0.25">
      <c r="A316" s="4" t="s">
        <v>85</v>
      </c>
      <c r="B316" s="1">
        <v>0.90568499999999996</v>
      </c>
      <c r="C316" s="1">
        <v>0.90785700000000003</v>
      </c>
      <c r="D316" s="1">
        <f t="shared" si="28"/>
        <v>2.1720000000000628E-3</v>
      </c>
      <c r="E316">
        <f t="shared" si="29"/>
        <v>3</v>
      </c>
      <c r="F316">
        <f t="shared" si="30"/>
        <v>8</v>
      </c>
      <c r="G316">
        <f t="shared" si="31"/>
        <v>3.13</v>
      </c>
      <c r="H316">
        <f t="shared" si="32"/>
        <v>188</v>
      </c>
      <c r="I316" s="3">
        <f t="shared" si="33"/>
        <v>95.744680851063833</v>
      </c>
      <c r="J316" t="str">
        <f t="shared" si="34"/>
        <v>F</v>
      </c>
    </row>
    <row r="317" spans="1:10" x14ac:dyDescent="0.25">
      <c r="A317" s="4" t="s">
        <v>118</v>
      </c>
      <c r="B317" s="1">
        <v>0.657829</v>
      </c>
      <c r="C317" s="1">
        <v>0.65565300000000004</v>
      </c>
      <c r="D317" s="1">
        <f t="shared" si="28"/>
        <v>2.1759999999999557E-3</v>
      </c>
      <c r="E317">
        <f t="shared" si="29"/>
        <v>3</v>
      </c>
      <c r="F317">
        <f t="shared" si="30"/>
        <v>8</v>
      </c>
      <c r="G317">
        <f t="shared" si="31"/>
        <v>3.13</v>
      </c>
      <c r="H317">
        <f t="shared" si="32"/>
        <v>188</v>
      </c>
      <c r="I317" s="3">
        <f t="shared" si="33"/>
        <v>95.744680851063833</v>
      </c>
      <c r="J317" t="str">
        <f t="shared" si="34"/>
        <v>F</v>
      </c>
    </row>
    <row r="318" spans="1:10" x14ac:dyDescent="0.25">
      <c r="A318" s="4" t="s">
        <v>75</v>
      </c>
      <c r="B318" s="1">
        <v>0.169961</v>
      </c>
      <c r="C318" s="1">
        <v>0.17214099999999999</v>
      </c>
      <c r="D318" s="1">
        <f t="shared" si="28"/>
        <v>2.1799999999999875E-3</v>
      </c>
      <c r="E318">
        <f t="shared" si="29"/>
        <v>3</v>
      </c>
      <c r="F318">
        <f t="shared" si="30"/>
        <v>8</v>
      </c>
      <c r="G318">
        <f t="shared" si="31"/>
        <v>3.13</v>
      </c>
      <c r="H318">
        <f t="shared" si="32"/>
        <v>188</v>
      </c>
      <c r="I318" s="3">
        <f t="shared" si="33"/>
        <v>95.744680851063833</v>
      </c>
      <c r="J318" t="str">
        <f t="shared" si="34"/>
        <v>F</v>
      </c>
    </row>
    <row r="319" spans="1:10" x14ac:dyDescent="0.25">
      <c r="A319" s="4" t="s">
        <v>25</v>
      </c>
      <c r="B319" s="1">
        <v>0.50799799999999995</v>
      </c>
      <c r="C319" s="1">
        <v>0.50580599999999998</v>
      </c>
      <c r="D319" s="1">
        <f t="shared" si="28"/>
        <v>2.1919999999999717E-3</v>
      </c>
      <c r="E319">
        <f t="shared" si="29"/>
        <v>3</v>
      </c>
      <c r="F319">
        <f t="shared" si="30"/>
        <v>9</v>
      </c>
      <c r="G319">
        <f t="shared" si="31"/>
        <v>3.15</v>
      </c>
      <c r="H319">
        <f t="shared" si="32"/>
        <v>189</v>
      </c>
      <c r="I319" s="3">
        <f t="shared" si="33"/>
        <v>95.238095238095241</v>
      </c>
      <c r="J319" t="str">
        <f t="shared" si="34"/>
        <v>F</v>
      </c>
    </row>
    <row r="320" spans="1:10" x14ac:dyDescent="0.25">
      <c r="A320" s="4" t="s">
        <v>109</v>
      </c>
      <c r="B320" s="1">
        <v>5.2546000000000002E-2</v>
      </c>
      <c r="C320" s="1">
        <v>5.0361999999999997E-2</v>
      </c>
      <c r="D320" s="1">
        <f t="shared" si="28"/>
        <v>2.1840000000000054E-3</v>
      </c>
      <c r="E320">
        <f t="shared" si="29"/>
        <v>3</v>
      </c>
      <c r="F320">
        <f t="shared" si="30"/>
        <v>9</v>
      </c>
      <c r="G320">
        <f t="shared" si="31"/>
        <v>3.15</v>
      </c>
      <c r="H320">
        <f t="shared" si="32"/>
        <v>189</v>
      </c>
      <c r="I320" s="3">
        <f t="shared" si="33"/>
        <v>95.238095238095241</v>
      </c>
      <c r="J320" t="str">
        <f t="shared" si="34"/>
        <v>F</v>
      </c>
    </row>
    <row r="321" spans="1:10" x14ac:dyDescent="0.25">
      <c r="A321" s="4" t="s">
        <v>183</v>
      </c>
      <c r="B321" s="1">
        <v>0.100374</v>
      </c>
      <c r="C321" s="1">
        <v>9.8185999999999996E-2</v>
      </c>
      <c r="D321" s="1">
        <f t="shared" si="28"/>
        <v>2.1880000000000094E-3</v>
      </c>
      <c r="E321">
        <f t="shared" si="29"/>
        <v>3</v>
      </c>
      <c r="F321">
        <f t="shared" si="30"/>
        <v>9</v>
      </c>
      <c r="G321">
        <f t="shared" si="31"/>
        <v>3.15</v>
      </c>
      <c r="H321">
        <f t="shared" si="32"/>
        <v>189</v>
      </c>
      <c r="I321" s="3">
        <f t="shared" si="33"/>
        <v>95.238095238095241</v>
      </c>
      <c r="J321" t="str">
        <f t="shared" si="34"/>
        <v>F</v>
      </c>
    </row>
    <row r="322" spans="1:10" x14ac:dyDescent="0.25">
      <c r="A322" s="4" t="s">
        <v>12</v>
      </c>
      <c r="B322" s="1">
        <v>0.93074100000000004</v>
      </c>
      <c r="C322" s="1">
        <v>0.92855299999999996</v>
      </c>
      <c r="D322" s="1">
        <f t="shared" ref="D322:D385" si="35">IF(B322&gt;C322,B322-C322,C322-B322)</f>
        <v>2.1880000000000788E-3</v>
      </c>
      <c r="E322">
        <f t="shared" ref="E322:E385" si="36">MINUTE(D322)</f>
        <v>3</v>
      </c>
      <c r="F322">
        <f t="shared" ref="F322:F385" si="37">SECOND(D322)</f>
        <v>9</v>
      </c>
      <c r="G322">
        <f t="shared" ref="G322:G385" si="38">ROUND(E322+F322/60,2)</f>
        <v>3.15</v>
      </c>
      <c r="H322">
        <f t="shared" ref="H322:H385" si="39">60*E322+F322</f>
        <v>189</v>
      </c>
      <c r="I322" s="3">
        <f t="shared" ref="I322:I385" si="40">5*(3600/H322)</f>
        <v>95.238095238095241</v>
      </c>
      <c r="J322" t="str">
        <f t="shared" ref="J322:J385" si="41">IF(MID(A322,3,2)="18","T","F")</f>
        <v>F</v>
      </c>
    </row>
    <row r="323" spans="1:10" x14ac:dyDescent="0.25">
      <c r="A323" s="4" t="s">
        <v>269</v>
      </c>
      <c r="B323" s="1">
        <v>0.53266400000000003</v>
      </c>
      <c r="C323" s="1">
        <v>0.534856</v>
      </c>
      <c r="D323" s="1">
        <f t="shared" si="35"/>
        <v>2.1919999999999717E-3</v>
      </c>
      <c r="E323">
        <f t="shared" si="36"/>
        <v>3</v>
      </c>
      <c r="F323">
        <f t="shared" si="37"/>
        <v>9</v>
      </c>
      <c r="G323">
        <f t="shared" si="38"/>
        <v>3.15</v>
      </c>
      <c r="H323">
        <f t="shared" si="39"/>
        <v>189</v>
      </c>
      <c r="I323" s="3">
        <f t="shared" si="40"/>
        <v>95.238095238095241</v>
      </c>
      <c r="J323" t="str">
        <f t="shared" si="41"/>
        <v>F</v>
      </c>
    </row>
    <row r="324" spans="1:10" x14ac:dyDescent="0.25">
      <c r="A324" s="4" t="s">
        <v>272</v>
      </c>
      <c r="B324" s="1">
        <v>0.52357299999999996</v>
      </c>
      <c r="C324" s="1">
        <v>0.52576100000000003</v>
      </c>
      <c r="D324" s="1">
        <f t="shared" si="35"/>
        <v>2.1880000000000788E-3</v>
      </c>
      <c r="E324">
        <f t="shared" si="36"/>
        <v>3</v>
      </c>
      <c r="F324">
        <f t="shared" si="37"/>
        <v>9</v>
      </c>
      <c r="G324">
        <f t="shared" si="38"/>
        <v>3.15</v>
      </c>
      <c r="H324">
        <f t="shared" si="39"/>
        <v>189</v>
      </c>
      <c r="I324" s="3">
        <f t="shared" si="40"/>
        <v>95.238095238095241</v>
      </c>
      <c r="J324" t="str">
        <f t="shared" si="41"/>
        <v>F</v>
      </c>
    </row>
    <row r="325" spans="1:10" x14ac:dyDescent="0.25">
      <c r="A325" s="4" t="s">
        <v>214</v>
      </c>
      <c r="B325" s="1">
        <v>0.64281900000000003</v>
      </c>
      <c r="C325" s="1">
        <v>0.64061900000000005</v>
      </c>
      <c r="D325" s="1">
        <f t="shared" si="35"/>
        <v>2.1999999999999797E-3</v>
      </c>
      <c r="E325">
        <f t="shared" si="36"/>
        <v>3</v>
      </c>
      <c r="F325">
        <f t="shared" si="37"/>
        <v>10</v>
      </c>
      <c r="G325">
        <f t="shared" si="38"/>
        <v>3.17</v>
      </c>
      <c r="H325">
        <f t="shared" si="39"/>
        <v>190</v>
      </c>
      <c r="I325" s="3">
        <f t="shared" si="40"/>
        <v>94.73684210526315</v>
      </c>
      <c r="J325" t="str">
        <f t="shared" si="41"/>
        <v>F</v>
      </c>
    </row>
    <row r="326" spans="1:10" x14ac:dyDescent="0.25">
      <c r="A326" s="4" t="s">
        <v>292</v>
      </c>
      <c r="B326" s="1">
        <v>0.62462799999999996</v>
      </c>
      <c r="C326" s="1">
        <v>0.62682800000000005</v>
      </c>
      <c r="D326" s="1">
        <f t="shared" si="35"/>
        <v>2.2000000000000908E-3</v>
      </c>
      <c r="E326">
        <f t="shared" si="36"/>
        <v>3</v>
      </c>
      <c r="F326">
        <f t="shared" si="37"/>
        <v>10</v>
      </c>
      <c r="G326">
        <f t="shared" si="38"/>
        <v>3.17</v>
      </c>
      <c r="H326">
        <f t="shared" si="39"/>
        <v>190</v>
      </c>
      <c r="I326" s="3">
        <f t="shared" si="40"/>
        <v>94.73684210526315</v>
      </c>
      <c r="J326" t="str">
        <f t="shared" si="41"/>
        <v>F</v>
      </c>
    </row>
    <row r="327" spans="1:10" x14ac:dyDescent="0.25">
      <c r="A327" s="4" t="s">
        <v>4</v>
      </c>
      <c r="B327" s="1">
        <v>0.92153600000000002</v>
      </c>
      <c r="C327" s="1">
        <v>0.91932400000000003</v>
      </c>
      <c r="D327" s="1">
        <f t="shared" si="35"/>
        <v>2.2119999999999918E-3</v>
      </c>
      <c r="E327">
        <f t="shared" si="36"/>
        <v>3</v>
      </c>
      <c r="F327">
        <f t="shared" si="37"/>
        <v>11</v>
      </c>
      <c r="G327">
        <f t="shared" si="38"/>
        <v>3.18</v>
      </c>
      <c r="H327">
        <f t="shared" si="39"/>
        <v>191</v>
      </c>
      <c r="I327" s="3">
        <f t="shared" si="40"/>
        <v>94.240837696335092</v>
      </c>
      <c r="J327" t="str">
        <f t="shared" si="41"/>
        <v>F</v>
      </c>
    </row>
    <row r="328" spans="1:10" x14ac:dyDescent="0.25">
      <c r="A328" s="4" t="s">
        <v>21</v>
      </c>
      <c r="B328" s="1">
        <v>0.88179300000000005</v>
      </c>
      <c r="C328" s="1">
        <v>0.87958099999999995</v>
      </c>
      <c r="D328" s="1">
        <f t="shared" si="35"/>
        <v>2.2120000000001028E-3</v>
      </c>
      <c r="E328">
        <f t="shared" si="36"/>
        <v>3</v>
      </c>
      <c r="F328">
        <f t="shared" si="37"/>
        <v>11</v>
      </c>
      <c r="G328">
        <f t="shared" si="38"/>
        <v>3.18</v>
      </c>
      <c r="H328">
        <f t="shared" si="39"/>
        <v>191</v>
      </c>
      <c r="I328" s="3">
        <f t="shared" si="40"/>
        <v>94.240837696335092</v>
      </c>
      <c r="J328" t="str">
        <f t="shared" si="41"/>
        <v>F</v>
      </c>
    </row>
    <row r="329" spans="1:10" x14ac:dyDescent="0.25">
      <c r="A329" s="4" t="s">
        <v>155</v>
      </c>
      <c r="B329" s="1">
        <v>0.93974999999999997</v>
      </c>
      <c r="C329" s="1">
        <v>0.94196199999999997</v>
      </c>
      <c r="D329" s="1">
        <f t="shared" si="35"/>
        <v>2.2119999999999918E-3</v>
      </c>
      <c r="E329">
        <f t="shared" si="36"/>
        <v>3</v>
      </c>
      <c r="F329">
        <f t="shared" si="37"/>
        <v>11</v>
      </c>
      <c r="G329">
        <f t="shared" si="38"/>
        <v>3.18</v>
      </c>
      <c r="H329">
        <f t="shared" si="39"/>
        <v>191</v>
      </c>
      <c r="I329" s="3">
        <f t="shared" si="40"/>
        <v>94.240837696335092</v>
      </c>
      <c r="J329" t="str">
        <f t="shared" si="41"/>
        <v>F</v>
      </c>
    </row>
    <row r="330" spans="1:10" x14ac:dyDescent="0.25">
      <c r="A330" s="4" t="s">
        <v>49</v>
      </c>
      <c r="B330" s="1">
        <v>0.76181600000000005</v>
      </c>
      <c r="C330" s="1">
        <v>0.75960799999999995</v>
      </c>
      <c r="D330" s="1">
        <f t="shared" si="35"/>
        <v>2.2080000000000988E-3</v>
      </c>
      <c r="E330">
        <f t="shared" si="36"/>
        <v>3</v>
      </c>
      <c r="F330">
        <f t="shared" si="37"/>
        <v>11</v>
      </c>
      <c r="G330">
        <f t="shared" si="38"/>
        <v>3.18</v>
      </c>
      <c r="H330">
        <f t="shared" si="39"/>
        <v>191</v>
      </c>
      <c r="I330" s="3">
        <f t="shared" si="40"/>
        <v>94.240837696335092</v>
      </c>
      <c r="J330" t="str">
        <f t="shared" si="41"/>
        <v>F</v>
      </c>
    </row>
    <row r="331" spans="1:10" x14ac:dyDescent="0.25">
      <c r="A331" s="4" t="s">
        <v>119</v>
      </c>
      <c r="B331" s="1">
        <v>0.71098499999999998</v>
      </c>
      <c r="C331" s="1">
        <v>0.70876899999999998</v>
      </c>
      <c r="D331" s="1">
        <f t="shared" si="35"/>
        <v>2.2159999999999958E-3</v>
      </c>
      <c r="E331">
        <f t="shared" si="36"/>
        <v>3</v>
      </c>
      <c r="F331">
        <f t="shared" si="37"/>
        <v>11</v>
      </c>
      <c r="G331">
        <f t="shared" si="38"/>
        <v>3.18</v>
      </c>
      <c r="H331">
        <f t="shared" si="39"/>
        <v>191</v>
      </c>
      <c r="I331" s="3">
        <f t="shared" si="40"/>
        <v>94.240837696335092</v>
      </c>
      <c r="J331" t="str">
        <f t="shared" si="41"/>
        <v>F</v>
      </c>
    </row>
    <row r="332" spans="1:10" x14ac:dyDescent="0.25">
      <c r="A332" s="4" t="s">
        <v>190</v>
      </c>
      <c r="B332" s="1">
        <v>0.78212599999999999</v>
      </c>
      <c r="C332" s="1">
        <v>0.779918</v>
      </c>
      <c r="D332" s="1">
        <f t="shared" si="35"/>
        <v>2.2079999999999878E-3</v>
      </c>
      <c r="E332">
        <f t="shared" si="36"/>
        <v>3</v>
      </c>
      <c r="F332">
        <f t="shared" si="37"/>
        <v>11</v>
      </c>
      <c r="G332">
        <f t="shared" si="38"/>
        <v>3.18</v>
      </c>
      <c r="H332">
        <f t="shared" si="39"/>
        <v>191</v>
      </c>
      <c r="I332" s="3">
        <f t="shared" si="40"/>
        <v>94.240837696335092</v>
      </c>
      <c r="J332" t="str">
        <f t="shared" si="41"/>
        <v>F</v>
      </c>
    </row>
    <row r="333" spans="1:10" x14ac:dyDescent="0.25">
      <c r="A333" s="4" t="s">
        <v>17</v>
      </c>
      <c r="B333" s="1">
        <v>0.94928199999999996</v>
      </c>
      <c r="C333" s="1">
        <v>0.94705799999999996</v>
      </c>
      <c r="D333" s="1">
        <f t="shared" si="35"/>
        <v>2.2240000000000038E-3</v>
      </c>
      <c r="E333">
        <f t="shared" si="36"/>
        <v>3</v>
      </c>
      <c r="F333">
        <f t="shared" si="37"/>
        <v>12</v>
      </c>
      <c r="G333">
        <f t="shared" si="38"/>
        <v>3.2</v>
      </c>
      <c r="H333">
        <f t="shared" si="39"/>
        <v>192</v>
      </c>
      <c r="I333" s="3">
        <f t="shared" si="40"/>
        <v>93.75</v>
      </c>
      <c r="J333" t="str">
        <f t="shared" si="41"/>
        <v>F</v>
      </c>
    </row>
    <row r="334" spans="1:10" x14ac:dyDescent="0.25">
      <c r="A334" s="4" t="s">
        <v>88</v>
      </c>
      <c r="B334" s="1">
        <v>0.48257800000000001</v>
      </c>
      <c r="C334" s="1">
        <v>0.480354</v>
      </c>
      <c r="D334" s="1">
        <f t="shared" si="35"/>
        <v>2.2240000000000038E-3</v>
      </c>
      <c r="E334">
        <f t="shared" si="36"/>
        <v>3</v>
      </c>
      <c r="F334">
        <f t="shared" si="37"/>
        <v>12</v>
      </c>
      <c r="G334">
        <f t="shared" si="38"/>
        <v>3.2</v>
      </c>
      <c r="H334">
        <f t="shared" si="39"/>
        <v>192</v>
      </c>
      <c r="I334" s="3">
        <f t="shared" si="40"/>
        <v>93.75</v>
      </c>
      <c r="J334" t="str">
        <f t="shared" si="41"/>
        <v>F</v>
      </c>
    </row>
    <row r="335" spans="1:10" x14ac:dyDescent="0.25">
      <c r="A335" s="4" t="s">
        <v>3</v>
      </c>
      <c r="B335" s="1">
        <v>0.31244499999999997</v>
      </c>
      <c r="C335" s="1">
        <v>0.31022499999999997</v>
      </c>
      <c r="D335" s="1">
        <f t="shared" si="35"/>
        <v>2.2199999999999998E-3</v>
      </c>
      <c r="E335">
        <f t="shared" si="36"/>
        <v>3</v>
      </c>
      <c r="F335">
        <f t="shared" si="37"/>
        <v>12</v>
      </c>
      <c r="G335">
        <f t="shared" si="38"/>
        <v>3.2</v>
      </c>
      <c r="H335">
        <f t="shared" si="39"/>
        <v>192</v>
      </c>
      <c r="I335" s="3">
        <f t="shared" si="40"/>
        <v>93.75</v>
      </c>
      <c r="J335" t="str">
        <f t="shared" si="41"/>
        <v>F</v>
      </c>
    </row>
    <row r="336" spans="1:10" x14ac:dyDescent="0.25">
      <c r="A336" s="4" t="s">
        <v>6</v>
      </c>
      <c r="B336" s="1">
        <v>0.71089100000000005</v>
      </c>
      <c r="C336" s="1">
        <v>0.71311899999999995</v>
      </c>
      <c r="D336" s="1">
        <f t="shared" si="35"/>
        <v>2.2279999999998967E-3</v>
      </c>
      <c r="E336">
        <f t="shared" si="36"/>
        <v>3</v>
      </c>
      <c r="F336">
        <f t="shared" si="37"/>
        <v>12</v>
      </c>
      <c r="G336">
        <f t="shared" si="38"/>
        <v>3.2</v>
      </c>
      <c r="H336">
        <f t="shared" si="39"/>
        <v>192</v>
      </c>
      <c r="I336" s="3">
        <f t="shared" si="40"/>
        <v>93.75</v>
      </c>
      <c r="J336" t="str">
        <f t="shared" si="41"/>
        <v>F</v>
      </c>
    </row>
    <row r="337" spans="1:10" x14ac:dyDescent="0.25">
      <c r="A337" s="4" t="s">
        <v>45</v>
      </c>
      <c r="B337" s="1">
        <v>0.90539000000000003</v>
      </c>
      <c r="C337" s="1">
        <v>0.90761800000000004</v>
      </c>
      <c r="D337" s="1">
        <f t="shared" si="35"/>
        <v>2.2280000000000078E-3</v>
      </c>
      <c r="E337">
        <f t="shared" si="36"/>
        <v>3</v>
      </c>
      <c r="F337">
        <f t="shared" si="37"/>
        <v>12</v>
      </c>
      <c r="G337">
        <f t="shared" si="38"/>
        <v>3.2</v>
      </c>
      <c r="H337">
        <f t="shared" si="39"/>
        <v>192</v>
      </c>
      <c r="I337" s="3">
        <f t="shared" si="40"/>
        <v>93.75</v>
      </c>
      <c r="J337" t="str">
        <f t="shared" si="41"/>
        <v>F</v>
      </c>
    </row>
    <row r="338" spans="1:10" x14ac:dyDescent="0.25">
      <c r="A338" s="4" t="s">
        <v>117</v>
      </c>
      <c r="B338" s="1">
        <v>0.82010700000000003</v>
      </c>
      <c r="C338" s="1">
        <v>0.82233500000000004</v>
      </c>
      <c r="D338" s="1">
        <f t="shared" si="35"/>
        <v>2.2280000000000078E-3</v>
      </c>
      <c r="E338">
        <f t="shared" si="36"/>
        <v>3</v>
      </c>
      <c r="F338">
        <f t="shared" si="37"/>
        <v>12</v>
      </c>
      <c r="G338">
        <f t="shared" si="38"/>
        <v>3.2</v>
      </c>
      <c r="H338">
        <f t="shared" si="39"/>
        <v>192</v>
      </c>
      <c r="I338" s="3">
        <f t="shared" si="40"/>
        <v>93.75</v>
      </c>
      <c r="J338" t="str">
        <f t="shared" si="41"/>
        <v>F</v>
      </c>
    </row>
    <row r="339" spans="1:10" x14ac:dyDescent="0.25">
      <c r="A339" s="4" t="s">
        <v>232</v>
      </c>
      <c r="B339" s="1">
        <v>0.29889700000000002</v>
      </c>
      <c r="C339" s="1">
        <v>0.29667300000000002</v>
      </c>
      <c r="D339" s="1">
        <f t="shared" si="35"/>
        <v>2.2240000000000038E-3</v>
      </c>
      <c r="E339">
        <f t="shared" si="36"/>
        <v>3</v>
      </c>
      <c r="F339">
        <f t="shared" si="37"/>
        <v>12</v>
      </c>
      <c r="G339">
        <f t="shared" si="38"/>
        <v>3.2</v>
      </c>
      <c r="H339">
        <f t="shared" si="39"/>
        <v>192</v>
      </c>
      <c r="I339" s="3">
        <f t="shared" si="40"/>
        <v>93.75</v>
      </c>
      <c r="J339" t="str">
        <f t="shared" si="41"/>
        <v>F</v>
      </c>
    </row>
    <row r="340" spans="1:10" x14ac:dyDescent="0.25">
      <c r="A340" s="4" t="s">
        <v>262</v>
      </c>
      <c r="B340" s="1">
        <v>6.8135000000000001E-2</v>
      </c>
      <c r="C340" s="1">
        <v>7.0362999999999995E-2</v>
      </c>
      <c r="D340" s="1">
        <f t="shared" si="35"/>
        <v>2.2279999999999939E-3</v>
      </c>
      <c r="E340">
        <f t="shared" si="36"/>
        <v>3</v>
      </c>
      <c r="F340">
        <f t="shared" si="37"/>
        <v>12</v>
      </c>
      <c r="G340">
        <f t="shared" si="38"/>
        <v>3.2</v>
      </c>
      <c r="H340">
        <f t="shared" si="39"/>
        <v>192</v>
      </c>
      <c r="I340" s="3">
        <f t="shared" si="40"/>
        <v>93.75</v>
      </c>
      <c r="J340" t="str">
        <f t="shared" si="41"/>
        <v>F</v>
      </c>
    </row>
    <row r="341" spans="1:10" x14ac:dyDescent="0.25">
      <c r="A341" s="4" t="s">
        <v>44</v>
      </c>
      <c r="B341" s="1">
        <v>0.45712199999999997</v>
      </c>
      <c r="C341" s="1">
        <v>0.45935799999999999</v>
      </c>
      <c r="D341" s="1">
        <f t="shared" si="35"/>
        <v>2.2360000000000158E-3</v>
      </c>
      <c r="E341">
        <f t="shared" si="36"/>
        <v>3</v>
      </c>
      <c r="F341">
        <f t="shared" si="37"/>
        <v>13</v>
      </c>
      <c r="G341">
        <f t="shared" si="38"/>
        <v>3.22</v>
      </c>
      <c r="H341">
        <f t="shared" si="39"/>
        <v>193</v>
      </c>
      <c r="I341" s="3">
        <f t="shared" si="40"/>
        <v>93.264248704663203</v>
      </c>
      <c r="J341" t="str">
        <f t="shared" si="41"/>
        <v>F</v>
      </c>
    </row>
    <row r="342" spans="1:10" x14ac:dyDescent="0.25">
      <c r="A342" s="4" t="s">
        <v>245</v>
      </c>
      <c r="B342" s="1">
        <v>0.57927600000000001</v>
      </c>
      <c r="C342" s="1">
        <v>0.58151200000000003</v>
      </c>
      <c r="D342" s="1">
        <f t="shared" si="35"/>
        <v>2.2360000000000158E-3</v>
      </c>
      <c r="E342">
        <f t="shared" si="36"/>
        <v>3</v>
      </c>
      <c r="F342">
        <f t="shared" si="37"/>
        <v>13</v>
      </c>
      <c r="G342">
        <f t="shared" si="38"/>
        <v>3.22</v>
      </c>
      <c r="H342">
        <f t="shared" si="39"/>
        <v>193</v>
      </c>
      <c r="I342" s="3">
        <f t="shared" si="40"/>
        <v>93.264248704663203</v>
      </c>
      <c r="J342" t="str">
        <f t="shared" si="41"/>
        <v>F</v>
      </c>
    </row>
    <row r="343" spans="1:10" x14ac:dyDescent="0.25">
      <c r="A343" s="4" t="s">
        <v>348</v>
      </c>
      <c r="B343" s="1">
        <v>1.4217E-2</v>
      </c>
      <c r="C343" s="1">
        <v>1.1981E-2</v>
      </c>
      <c r="D343" s="1">
        <f t="shared" si="35"/>
        <v>2.2360000000000001E-3</v>
      </c>
      <c r="E343">
        <f t="shared" si="36"/>
        <v>3</v>
      </c>
      <c r="F343">
        <f t="shared" si="37"/>
        <v>13</v>
      </c>
      <c r="G343">
        <f t="shared" si="38"/>
        <v>3.22</v>
      </c>
      <c r="H343">
        <f t="shared" si="39"/>
        <v>193</v>
      </c>
      <c r="I343" s="3">
        <f t="shared" si="40"/>
        <v>93.264248704663203</v>
      </c>
      <c r="J343" t="str">
        <f t="shared" si="41"/>
        <v>F</v>
      </c>
    </row>
    <row r="344" spans="1:10" x14ac:dyDescent="0.25">
      <c r="A344" s="4" t="s">
        <v>134</v>
      </c>
      <c r="B344" s="1">
        <v>0.71828700000000001</v>
      </c>
      <c r="C344" s="1">
        <v>0.72052700000000003</v>
      </c>
      <c r="D344" s="1">
        <f t="shared" si="35"/>
        <v>2.2400000000000198E-3</v>
      </c>
      <c r="E344">
        <f t="shared" si="36"/>
        <v>3</v>
      </c>
      <c r="F344">
        <f t="shared" si="37"/>
        <v>14</v>
      </c>
      <c r="G344">
        <f t="shared" si="38"/>
        <v>3.23</v>
      </c>
      <c r="H344">
        <f t="shared" si="39"/>
        <v>194</v>
      </c>
      <c r="I344" s="3">
        <f t="shared" si="40"/>
        <v>92.783505154639187</v>
      </c>
      <c r="J344" t="str">
        <f t="shared" si="41"/>
        <v>F</v>
      </c>
    </row>
    <row r="345" spans="1:10" x14ac:dyDescent="0.25">
      <c r="A345" s="4" t="s">
        <v>87</v>
      </c>
      <c r="B345" s="1">
        <v>0.50998299999999996</v>
      </c>
      <c r="C345" s="1">
        <v>0.50774300000000006</v>
      </c>
      <c r="D345" s="1">
        <f t="shared" si="35"/>
        <v>2.2399999999999087E-3</v>
      </c>
      <c r="E345">
        <f t="shared" si="36"/>
        <v>3</v>
      </c>
      <c r="F345">
        <f t="shared" si="37"/>
        <v>14</v>
      </c>
      <c r="G345">
        <f t="shared" si="38"/>
        <v>3.23</v>
      </c>
      <c r="H345">
        <f t="shared" si="39"/>
        <v>194</v>
      </c>
      <c r="I345" s="3">
        <f t="shared" si="40"/>
        <v>92.783505154639187</v>
      </c>
      <c r="J345" t="str">
        <f t="shared" si="41"/>
        <v>F</v>
      </c>
    </row>
    <row r="346" spans="1:10" x14ac:dyDescent="0.25">
      <c r="A346" s="4" t="s">
        <v>63</v>
      </c>
      <c r="B346" s="1">
        <v>0.35734100000000002</v>
      </c>
      <c r="C346" s="1">
        <v>0.355101</v>
      </c>
      <c r="D346" s="1">
        <f t="shared" si="35"/>
        <v>2.2400000000000198E-3</v>
      </c>
      <c r="E346">
        <f t="shared" si="36"/>
        <v>3</v>
      </c>
      <c r="F346">
        <f t="shared" si="37"/>
        <v>14</v>
      </c>
      <c r="G346">
        <f t="shared" si="38"/>
        <v>3.23</v>
      </c>
      <c r="H346">
        <f t="shared" si="39"/>
        <v>194</v>
      </c>
      <c r="I346" s="3">
        <f t="shared" si="40"/>
        <v>92.783505154639187</v>
      </c>
      <c r="J346" t="str">
        <f t="shared" si="41"/>
        <v>F</v>
      </c>
    </row>
    <row r="347" spans="1:10" x14ac:dyDescent="0.25">
      <c r="A347" s="4" t="s">
        <v>21</v>
      </c>
      <c r="B347" s="1">
        <v>0.72038999999999997</v>
      </c>
      <c r="C347" s="1">
        <v>0.722634</v>
      </c>
      <c r="D347" s="1">
        <f t="shared" si="35"/>
        <v>2.2440000000000238E-3</v>
      </c>
      <c r="E347">
        <f t="shared" si="36"/>
        <v>3</v>
      </c>
      <c r="F347">
        <f t="shared" si="37"/>
        <v>14</v>
      </c>
      <c r="G347">
        <f t="shared" si="38"/>
        <v>3.23</v>
      </c>
      <c r="H347">
        <f t="shared" si="39"/>
        <v>194</v>
      </c>
      <c r="I347" s="3">
        <f t="shared" si="40"/>
        <v>92.783505154639187</v>
      </c>
      <c r="J347" t="str">
        <f t="shared" si="41"/>
        <v>F</v>
      </c>
    </row>
    <row r="348" spans="1:10" x14ac:dyDescent="0.25">
      <c r="A348" s="4" t="s">
        <v>52</v>
      </c>
      <c r="B348" s="1">
        <v>0.86003499999999999</v>
      </c>
      <c r="C348" s="1">
        <v>0.85779499999999997</v>
      </c>
      <c r="D348" s="1">
        <f t="shared" si="35"/>
        <v>2.2400000000000198E-3</v>
      </c>
      <c r="E348">
        <f t="shared" si="36"/>
        <v>3</v>
      </c>
      <c r="F348">
        <f t="shared" si="37"/>
        <v>14</v>
      </c>
      <c r="G348">
        <f t="shared" si="38"/>
        <v>3.23</v>
      </c>
      <c r="H348">
        <f t="shared" si="39"/>
        <v>194</v>
      </c>
      <c r="I348" s="3">
        <f t="shared" si="40"/>
        <v>92.783505154639187</v>
      </c>
      <c r="J348" t="str">
        <f t="shared" si="41"/>
        <v>F</v>
      </c>
    </row>
    <row r="349" spans="1:10" x14ac:dyDescent="0.25">
      <c r="A349" s="4" t="s">
        <v>162</v>
      </c>
      <c r="B349" s="1">
        <v>0.73413300000000004</v>
      </c>
      <c r="C349" s="1">
        <v>0.73189300000000002</v>
      </c>
      <c r="D349" s="1">
        <f t="shared" si="35"/>
        <v>2.2400000000000198E-3</v>
      </c>
      <c r="E349">
        <f t="shared" si="36"/>
        <v>3</v>
      </c>
      <c r="F349">
        <f t="shared" si="37"/>
        <v>14</v>
      </c>
      <c r="G349">
        <f t="shared" si="38"/>
        <v>3.23</v>
      </c>
      <c r="H349">
        <f t="shared" si="39"/>
        <v>194</v>
      </c>
      <c r="I349" s="3">
        <f t="shared" si="40"/>
        <v>92.783505154639187</v>
      </c>
      <c r="J349" t="str">
        <f t="shared" si="41"/>
        <v>F</v>
      </c>
    </row>
    <row r="350" spans="1:10" x14ac:dyDescent="0.25">
      <c r="A350" s="4" t="s">
        <v>5</v>
      </c>
      <c r="B350" s="1">
        <v>0.43023099999999997</v>
      </c>
      <c r="C350" s="1">
        <v>0.43248700000000001</v>
      </c>
      <c r="D350" s="1">
        <f t="shared" si="35"/>
        <v>2.2560000000000358E-3</v>
      </c>
      <c r="E350">
        <f t="shared" si="36"/>
        <v>3</v>
      </c>
      <c r="F350">
        <f t="shared" si="37"/>
        <v>15</v>
      </c>
      <c r="G350">
        <f t="shared" si="38"/>
        <v>3.25</v>
      </c>
      <c r="H350">
        <f t="shared" si="39"/>
        <v>195</v>
      </c>
      <c r="I350" s="3">
        <f t="shared" si="40"/>
        <v>92.307692307692292</v>
      </c>
      <c r="J350" t="str">
        <f t="shared" si="41"/>
        <v>F</v>
      </c>
    </row>
    <row r="351" spans="1:10" x14ac:dyDescent="0.25">
      <c r="A351" s="4" t="s">
        <v>49</v>
      </c>
      <c r="B351" s="1">
        <v>0.73685999999999996</v>
      </c>
      <c r="C351" s="1">
        <v>0.73460400000000003</v>
      </c>
      <c r="D351" s="1">
        <f t="shared" si="35"/>
        <v>2.2559999999999247E-3</v>
      </c>
      <c r="E351">
        <f t="shared" si="36"/>
        <v>3</v>
      </c>
      <c r="F351">
        <f t="shared" si="37"/>
        <v>15</v>
      </c>
      <c r="G351">
        <f t="shared" si="38"/>
        <v>3.25</v>
      </c>
      <c r="H351">
        <f t="shared" si="39"/>
        <v>195</v>
      </c>
      <c r="I351" s="3">
        <f t="shared" si="40"/>
        <v>92.307692307692292</v>
      </c>
      <c r="J351" t="str">
        <f t="shared" si="41"/>
        <v>F</v>
      </c>
    </row>
    <row r="352" spans="1:10" x14ac:dyDescent="0.25">
      <c r="A352" s="4" t="s">
        <v>259</v>
      </c>
      <c r="B352" s="1">
        <v>0.72672199999999998</v>
      </c>
      <c r="C352" s="1">
        <v>0.72446999999999995</v>
      </c>
      <c r="D352" s="1">
        <f t="shared" si="35"/>
        <v>2.2520000000000318E-3</v>
      </c>
      <c r="E352">
        <f t="shared" si="36"/>
        <v>3</v>
      </c>
      <c r="F352">
        <f t="shared" si="37"/>
        <v>15</v>
      </c>
      <c r="G352">
        <f t="shared" si="38"/>
        <v>3.25</v>
      </c>
      <c r="H352">
        <f t="shared" si="39"/>
        <v>195</v>
      </c>
      <c r="I352" s="3">
        <f t="shared" si="40"/>
        <v>92.307692307692292</v>
      </c>
      <c r="J352" t="str">
        <f t="shared" si="41"/>
        <v>F</v>
      </c>
    </row>
    <row r="353" spans="1:10" x14ac:dyDescent="0.25">
      <c r="A353" s="4" t="s">
        <v>26</v>
      </c>
      <c r="B353" s="1">
        <v>0.32196599999999997</v>
      </c>
      <c r="C353" s="1">
        <v>0.32423800000000003</v>
      </c>
      <c r="D353" s="1">
        <f t="shared" si="35"/>
        <v>2.2720000000000518E-3</v>
      </c>
      <c r="E353">
        <f t="shared" si="36"/>
        <v>3</v>
      </c>
      <c r="F353">
        <f t="shared" si="37"/>
        <v>16</v>
      </c>
      <c r="G353">
        <f t="shared" si="38"/>
        <v>3.27</v>
      </c>
      <c r="H353">
        <f t="shared" si="39"/>
        <v>196</v>
      </c>
      <c r="I353" s="3">
        <f t="shared" si="40"/>
        <v>91.83673469387756</v>
      </c>
      <c r="J353" t="str">
        <f t="shared" si="41"/>
        <v>F</v>
      </c>
    </row>
    <row r="354" spans="1:10" x14ac:dyDescent="0.25">
      <c r="A354" s="4" t="s">
        <v>68</v>
      </c>
      <c r="B354" s="1">
        <v>1.8766999999999999E-2</v>
      </c>
      <c r="C354" s="1">
        <v>2.1031000000000001E-2</v>
      </c>
      <c r="D354" s="1">
        <f t="shared" si="35"/>
        <v>2.2640000000000021E-3</v>
      </c>
      <c r="E354">
        <f t="shared" si="36"/>
        <v>3</v>
      </c>
      <c r="F354">
        <f t="shared" si="37"/>
        <v>16</v>
      </c>
      <c r="G354">
        <f t="shared" si="38"/>
        <v>3.27</v>
      </c>
      <c r="H354">
        <f t="shared" si="39"/>
        <v>196</v>
      </c>
      <c r="I354" s="3">
        <f t="shared" si="40"/>
        <v>91.83673469387756</v>
      </c>
      <c r="J354" t="str">
        <f t="shared" si="41"/>
        <v>F</v>
      </c>
    </row>
    <row r="355" spans="1:10" x14ac:dyDescent="0.25">
      <c r="A355" s="4" t="s">
        <v>16</v>
      </c>
      <c r="B355" s="1">
        <v>8.7446999999999997E-2</v>
      </c>
      <c r="C355" s="1">
        <v>8.5182999999999995E-2</v>
      </c>
      <c r="D355" s="1">
        <f t="shared" si="35"/>
        <v>2.2640000000000021E-3</v>
      </c>
      <c r="E355">
        <f t="shared" si="36"/>
        <v>3</v>
      </c>
      <c r="F355">
        <f t="shared" si="37"/>
        <v>16</v>
      </c>
      <c r="G355">
        <f t="shared" si="38"/>
        <v>3.27</v>
      </c>
      <c r="H355">
        <f t="shared" si="39"/>
        <v>196</v>
      </c>
      <c r="I355" s="3">
        <f t="shared" si="40"/>
        <v>91.83673469387756</v>
      </c>
      <c r="J355" t="str">
        <f t="shared" si="41"/>
        <v>F</v>
      </c>
    </row>
    <row r="356" spans="1:10" x14ac:dyDescent="0.25">
      <c r="A356" s="4" t="s">
        <v>162</v>
      </c>
      <c r="B356" s="1">
        <v>0.80282699999999996</v>
      </c>
      <c r="C356" s="1">
        <v>0.805091</v>
      </c>
      <c r="D356" s="1">
        <f t="shared" si="35"/>
        <v>2.2640000000000438E-3</v>
      </c>
      <c r="E356">
        <f t="shared" si="36"/>
        <v>3</v>
      </c>
      <c r="F356">
        <f t="shared" si="37"/>
        <v>16</v>
      </c>
      <c r="G356">
        <f t="shared" si="38"/>
        <v>3.27</v>
      </c>
      <c r="H356">
        <f t="shared" si="39"/>
        <v>196</v>
      </c>
      <c r="I356" s="3">
        <f t="shared" si="40"/>
        <v>91.83673469387756</v>
      </c>
      <c r="J356" t="str">
        <f t="shared" si="41"/>
        <v>F</v>
      </c>
    </row>
    <row r="357" spans="1:10" x14ac:dyDescent="0.25">
      <c r="A357" s="4" t="s">
        <v>4</v>
      </c>
      <c r="B357" s="1">
        <v>0.86221700000000001</v>
      </c>
      <c r="C357" s="1">
        <v>0.85994899999999996</v>
      </c>
      <c r="D357" s="1">
        <f t="shared" si="35"/>
        <v>2.2680000000000478E-3</v>
      </c>
      <c r="E357">
        <f t="shared" si="36"/>
        <v>3</v>
      </c>
      <c r="F357">
        <f t="shared" si="37"/>
        <v>16</v>
      </c>
      <c r="G357">
        <f t="shared" si="38"/>
        <v>3.27</v>
      </c>
      <c r="H357">
        <f t="shared" si="39"/>
        <v>196</v>
      </c>
      <c r="I357" s="3">
        <f t="shared" si="40"/>
        <v>91.83673469387756</v>
      </c>
      <c r="J357" t="str">
        <f t="shared" si="41"/>
        <v>F</v>
      </c>
    </row>
    <row r="358" spans="1:10" x14ac:dyDescent="0.25">
      <c r="A358" s="4" t="s">
        <v>35</v>
      </c>
      <c r="B358" s="1">
        <v>0.74358000000000002</v>
      </c>
      <c r="C358" s="1">
        <v>0.74584399999999995</v>
      </c>
      <c r="D358" s="1">
        <f t="shared" si="35"/>
        <v>2.2639999999999327E-3</v>
      </c>
      <c r="E358">
        <f t="shared" si="36"/>
        <v>3</v>
      </c>
      <c r="F358">
        <f t="shared" si="37"/>
        <v>16</v>
      </c>
      <c r="G358">
        <f t="shared" si="38"/>
        <v>3.27</v>
      </c>
      <c r="H358">
        <f t="shared" si="39"/>
        <v>196</v>
      </c>
      <c r="I358" s="3">
        <f t="shared" si="40"/>
        <v>91.83673469387756</v>
      </c>
      <c r="J358" t="str">
        <f t="shared" si="41"/>
        <v>F</v>
      </c>
    </row>
    <row r="359" spans="1:10" x14ac:dyDescent="0.25">
      <c r="A359" s="4" t="s">
        <v>163</v>
      </c>
      <c r="B359" s="1">
        <v>0.69269999999999998</v>
      </c>
      <c r="C359" s="1">
        <v>0.69043600000000005</v>
      </c>
      <c r="D359" s="1">
        <f t="shared" si="35"/>
        <v>2.2639999999999327E-3</v>
      </c>
      <c r="E359">
        <f t="shared" si="36"/>
        <v>3</v>
      </c>
      <c r="F359">
        <f t="shared" si="37"/>
        <v>16</v>
      </c>
      <c r="G359">
        <f t="shared" si="38"/>
        <v>3.27</v>
      </c>
      <c r="H359">
        <f t="shared" si="39"/>
        <v>196</v>
      </c>
      <c r="I359" s="3">
        <f t="shared" si="40"/>
        <v>91.83673469387756</v>
      </c>
      <c r="J359" t="str">
        <f t="shared" si="41"/>
        <v>F</v>
      </c>
    </row>
    <row r="360" spans="1:10" x14ac:dyDescent="0.25">
      <c r="A360" s="4" t="s">
        <v>122</v>
      </c>
      <c r="B360" s="1">
        <v>0.68302600000000002</v>
      </c>
      <c r="C360" s="1">
        <v>0.68075799999999997</v>
      </c>
      <c r="D360" s="1">
        <f t="shared" si="35"/>
        <v>2.2680000000000478E-3</v>
      </c>
      <c r="E360">
        <f t="shared" si="36"/>
        <v>3</v>
      </c>
      <c r="F360">
        <f t="shared" si="37"/>
        <v>16</v>
      </c>
      <c r="G360">
        <f t="shared" si="38"/>
        <v>3.27</v>
      </c>
      <c r="H360">
        <f t="shared" si="39"/>
        <v>196</v>
      </c>
      <c r="I360" s="3">
        <f t="shared" si="40"/>
        <v>91.83673469387756</v>
      </c>
      <c r="J360" t="str">
        <f t="shared" si="41"/>
        <v>F</v>
      </c>
    </row>
    <row r="361" spans="1:10" x14ac:dyDescent="0.25">
      <c r="A361" s="4" t="s">
        <v>41</v>
      </c>
      <c r="B361" s="1">
        <v>0.101677</v>
      </c>
      <c r="C361" s="1">
        <v>9.9404999999999993E-2</v>
      </c>
      <c r="D361" s="1">
        <f t="shared" si="35"/>
        <v>2.2720000000000101E-3</v>
      </c>
      <c r="E361">
        <f t="shared" si="36"/>
        <v>3</v>
      </c>
      <c r="F361">
        <f t="shared" si="37"/>
        <v>16</v>
      </c>
      <c r="G361">
        <f t="shared" si="38"/>
        <v>3.27</v>
      </c>
      <c r="H361">
        <f t="shared" si="39"/>
        <v>196</v>
      </c>
      <c r="I361" s="3">
        <f t="shared" si="40"/>
        <v>91.83673469387756</v>
      </c>
      <c r="J361" t="str">
        <f t="shared" si="41"/>
        <v>F</v>
      </c>
    </row>
    <row r="362" spans="1:10" x14ac:dyDescent="0.25">
      <c r="A362" s="4" t="s">
        <v>330</v>
      </c>
      <c r="B362" s="1">
        <v>3.6773E-2</v>
      </c>
      <c r="C362" s="1">
        <v>3.4508999999999998E-2</v>
      </c>
      <c r="D362" s="1">
        <f t="shared" si="35"/>
        <v>2.2640000000000021E-3</v>
      </c>
      <c r="E362">
        <f t="shared" si="36"/>
        <v>3</v>
      </c>
      <c r="F362">
        <f t="shared" si="37"/>
        <v>16</v>
      </c>
      <c r="G362">
        <f t="shared" si="38"/>
        <v>3.27</v>
      </c>
      <c r="H362">
        <f t="shared" si="39"/>
        <v>196</v>
      </c>
      <c r="I362" s="3">
        <f t="shared" si="40"/>
        <v>91.83673469387756</v>
      </c>
      <c r="J362" t="str">
        <f t="shared" si="41"/>
        <v>F</v>
      </c>
    </row>
    <row r="363" spans="1:10" x14ac:dyDescent="0.25">
      <c r="A363" s="4" t="s">
        <v>56</v>
      </c>
      <c r="B363" s="1">
        <v>0.34653200000000001</v>
      </c>
      <c r="C363" s="1">
        <v>0.34881600000000001</v>
      </c>
      <c r="D363" s="1">
        <f t="shared" si="35"/>
        <v>2.2840000000000082E-3</v>
      </c>
      <c r="E363">
        <f t="shared" si="36"/>
        <v>3</v>
      </c>
      <c r="F363">
        <f t="shared" si="37"/>
        <v>17</v>
      </c>
      <c r="G363">
        <f t="shared" si="38"/>
        <v>3.28</v>
      </c>
      <c r="H363">
        <f t="shared" si="39"/>
        <v>197</v>
      </c>
      <c r="I363" s="3">
        <f t="shared" si="40"/>
        <v>91.370558375634516</v>
      </c>
      <c r="J363" t="str">
        <f t="shared" si="41"/>
        <v>F</v>
      </c>
    </row>
    <row r="364" spans="1:10" x14ac:dyDescent="0.25">
      <c r="A364" s="4" t="s">
        <v>60</v>
      </c>
      <c r="B364" s="1">
        <v>2.2539E-2</v>
      </c>
      <c r="C364" s="1">
        <v>2.0254999999999999E-2</v>
      </c>
      <c r="D364" s="1">
        <f t="shared" si="35"/>
        <v>2.2840000000000013E-3</v>
      </c>
      <c r="E364">
        <f t="shared" si="36"/>
        <v>3</v>
      </c>
      <c r="F364">
        <f t="shared" si="37"/>
        <v>17</v>
      </c>
      <c r="G364">
        <f t="shared" si="38"/>
        <v>3.28</v>
      </c>
      <c r="H364">
        <f t="shared" si="39"/>
        <v>197</v>
      </c>
      <c r="I364" s="3">
        <f t="shared" si="40"/>
        <v>91.370558375634516</v>
      </c>
      <c r="J364" t="str">
        <f t="shared" si="41"/>
        <v>F</v>
      </c>
    </row>
    <row r="365" spans="1:10" x14ac:dyDescent="0.25">
      <c r="A365" s="4" t="s">
        <v>117</v>
      </c>
      <c r="B365" s="1">
        <v>0.21960199999999999</v>
      </c>
      <c r="C365" s="1">
        <v>0.21732199999999999</v>
      </c>
      <c r="D365" s="1">
        <f t="shared" si="35"/>
        <v>2.2800000000000042E-3</v>
      </c>
      <c r="E365">
        <f t="shared" si="36"/>
        <v>3</v>
      </c>
      <c r="F365">
        <f t="shared" si="37"/>
        <v>17</v>
      </c>
      <c r="G365">
        <f t="shared" si="38"/>
        <v>3.28</v>
      </c>
      <c r="H365">
        <f t="shared" si="39"/>
        <v>197</v>
      </c>
      <c r="I365" s="3">
        <f t="shared" si="40"/>
        <v>91.370558375634516</v>
      </c>
      <c r="J365" t="str">
        <f t="shared" si="41"/>
        <v>F</v>
      </c>
    </row>
    <row r="366" spans="1:10" x14ac:dyDescent="0.25">
      <c r="A366" s="4" t="s">
        <v>111</v>
      </c>
      <c r="B366" s="1">
        <v>0.66062200000000004</v>
      </c>
      <c r="C366" s="1">
        <v>0.65834599999999999</v>
      </c>
      <c r="D366" s="1">
        <f t="shared" si="35"/>
        <v>2.2760000000000558E-3</v>
      </c>
      <c r="E366">
        <f t="shared" si="36"/>
        <v>3</v>
      </c>
      <c r="F366">
        <f t="shared" si="37"/>
        <v>17</v>
      </c>
      <c r="G366">
        <f t="shared" si="38"/>
        <v>3.28</v>
      </c>
      <c r="H366">
        <f t="shared" si="39"/>
        <v>197</v>
      </c>
      <c r="I366" s="3">
        <f t="shared" si="40"/>
        <v>91.370558375634516</v>
      </c>
      <c r="J366" t="str">
        <f t="shared" si="41"/>
        <v>F</v>
      </c>
    </row>
    <row r="367" spans="1:10" x14ac:dyDescent="0.25">
      <c r="A367" s="4" t="s">
        <v>116</v>
      </c>
      <c r="B367" s="1">
        <v>0.31276999999999999</v>
      </c>
      <c r="C367" s="1">
        <v>0.31504599999999999</v>
      </c>
      <c r="D367" s="1">
        <f t="shared" si="35"/>
        <v>2.2760000000000002E-3</v>
      </c>
      <c r="E367">
        <f t="shared" si="36"/>
        <v>3</v>
      </c>
      <c r="F367">
        <f t="shared" si="37"/>
        <v>17</v>
      </c>
      <c r="G367">
        <f t="shared" si="38"/>
        <v>3.28</v>
      </c>
      <c r="H367">
        <f t="shared" si="39"/>
        <v>197</v>
      </c>
      <c r="I367" s="3">
        <f t="shared" si="40"/>
        <v>91.370558375634516</v>
      </c>
      <c r="J367" t="str">
        <f t="shared" si="41"/>
        <v>F</v>
      </c>
    </row>
    <row r="368" spans="1:10" x14ac:dyDescent="0.25">
      <c r="A368" s="4" t="s">
        <v>141</v>
      </c>
      <c r="B368" s="1">
        <v>0.99470000000000003</v>
      </c>
      <c r="C368" s="1">
        <v>0.99698399999999998</v>
      </c>
      <c r="D368" s="1">
        <f t="shared" si="35"/>
        <v>2.2839999999999527E-3</v>
      </c>
      <c r="E368">
        <f t="shared" si="36"/>
        <v>3</v>
      </c>
      <c r="F368">
        <f t="shared" si="37"/>
        <v>17</v>
      </c>
      <c r="G368">
        <f t="shared" si="38"/>
        <v>3.28</v>
      </c>
      <c r="H368">
        <f t="shared" si="39"/>
        <v>197</v>
      </c>
      <c r="I368" s="3">
        <f t="shared" si="40"/>
        <v>91.370558375634516</v>
      </c>
      <c r="J368" t="str">
        <f t="shared" si="41"/>
        <v>F</v>
      </c>
    </row>
    <row r="369" spans="1:10" x14ac:dyDescent="0.25">
      <c r="A369" s="4" t="s">
        <v>3</v>
      </c>
      <c r="B369" s="1">
        <v>0.59558999999999995</v>
      </c>
      <c r="C369" s="1">
        <v>0.59787400000000002</v>
      </c>
      <c r="D369" s="1">
        <f t="shared" si="35"/>
        <v>2.2840000000000638E-3</v>
      </c>
      <c r="E369">
        <f t="shared" si="36"/>
        <v>3</v>
      </c>
      <c r="F369">
        <f t="shared" si="37"/>
        <v>17</v>
      </c>
      <c r="G369">
        <f t="shared" si="38"/>
        <v>3.28</v>
      </c>
      <c r="H369">
        <f t="shared" si="39"/>
        <v>197</v>
      </c>
      <c r="I369" s="3">
        <f t="shared" si="40"/>
        <v>91.370558375634516</v>
      </c>
      <c r="J369" t="str">
        <f t="shared" si="41"/>
        <v>F</v>
      </c>
    </row>
    <row r="370" spans="1:10" x14ac:dyDescent="0.25">
      <c r="A370" s="4" t="s">
        <v>5</v>
      </c>
      <c r="B370" s="1">
        <v>0.84894400000000003</v>
      </c>
      <c r="C370" s="1">
        <v>0.84666799999999998</v>
      </c>
      <c r="D370" s="1">
        <f t="shared" si="35"/>
        <v>2.2760000000000558E-3</v>
      </c>
      <c r="E370">
        <f t="shared" si="36"/>
        <v>3</v>
      </c>
      <c r="F370">
        <f t="shared" si="37"/>
        <v>17</v>
      </c>
      <c r="G370">
        <f t="shared" si="38"/>
        <v>3.28</v>
      </c>
      <c r="H370">
        <f t="shared" si="39"/>
        <v>197</v>
      </c>
      <c r="I370" s="3">
        <f t="shared" si="40"/>
        <v>91.370558375634516</v>
      </c>
      <c r="J370" t="str">
        <f t="shared" si="41"/>
        <v>F</v>
      </c>
    </row>
    <row r="371" spans="1:10" x14ac:dyDescent="0.25">
      <c r="A371" s="4" t="s">
        <v>264</v>
      </c>
      <c r="B371" s="1">
        <v>0.54122899999999996</v>
      </c>
      <c r="C371" s="1">
        <v>0.54350900000000002</v>
      </c>
      <c r="D371" s="1">
        <f t="shared" si="35"/>
        <v>2.2800000000000598E-3</v>
      </c>
      <c r="E371">
        <f t="shared" si="36"/>
        <v>3</v>
      </c>
      <c r="F371">
        <f t="shared" si="37"/>
        <v>17</v>
      </c>
      <c r="G371">
        <f t="shared" si="38"/>
        <v>3.28</v>
      </c>
      <c r="H371">
        <f t="shared" si="39"/>
        <v>197</v>
      </c>
      <c r="I371" s="3">
        <f t="shared" si="40"/>
        <v>91.370558375634516</v>
      </c>
      <c r="J371" t="str">
        <f t="shared" si="41"/>
        <v>F</v>
      </c>
    </row>
    <row r="372" spans="1:10" x14ac:dyDescent="0.25">
      <c r="A372" s="4" t="s">
        <v>20</v>
      </c>
      <c r="B372" s="1">
        <v>0.127914</v>
      </c>
      <c r="C372" s="1">
        <v>0.12561800000000001</v>
      </c>
      <c r="D372" s="1">
        <f t="shared" si="35"/>
        <v>2.2959999999999925E-3</v>
      </c>
      <c r="E372">
        <f t="shared" si="36"/>
        <v>3</v>
      </c>
      <c r="F372">
        <f t="shared" si="37"/>
        <v>18</v>
      </c>
      <c r="G372">
        <f t="shared" si="38"/>
        <v>3.3</v>
      </c>
      <c r="H372">
        <f t="shared" si="39"/>
        <v>198</v>
      </c>
      <c r="I372" s="3">
        <f t="shared" si="40"/>
        <v>90.909090909090921</v>
      </c>
      <c r="J372" t="str">
        <f t="shared" si="41"/>
        <v>F</v>
      </c>
    </row>
    <row r="373" spans="1:10" x14ac:dyDescent="0.25">
      <c r="A373" s="4" t="s">
        <v>84</v>
      </c>
      <c r="B373" s="1">
        <v>0.20413700000000001</v>
      </c>
      <c r="C373" s="1">
        <v>0.20184099999999999</v>
      </c>
      <c r="D373" s="1">
        <f t="shared" si="35"/>
        <v>2.2960000000000202E-3</v>
      </c>
      <c r="E373">
        <f t="shared" si="36"/>
        <v>3</v>
      </c>
      <c r="F373">
        <f t="shared" si="37"/>
        <v>18</v>
      </c>
      <c r="G373">
        <f t="shared" si="38"/>
        <v>3.3</v>
      </c>
      <c r="H373">
        <f t="shared" si="39"/>
        <v>198</v>
      </c>
      <c r="I373" s="3">
        <f t="shared" si="40"/>
        <v>90.909090909090921</v>
      </c>
      <c r="J373" t="str">
        <f t="shared" si="41"/>
        <v>F</v>
      </c>
    </row>
    <row r="374" spans="1:10" x14ac:dyDescent="0.25">
      <c r="A374" s="4" t="s">
        <v>125</v>
      </c>
      <c r="B374" s="1">
        <v>0.56990099999999999</v>
      </c>
      <c r="C374" s="1">
        <v>0.57219699999999996</v>
      </c>
      <c r="D374" s="1">
        <f t="shared" si="35"/>
        <v>2.2959999999999647E-3</v>
      </c>
      <c r="E374">
        <f t="shared" si="36"/>
        <v>3</v>
      </c>
      <c r="F374">
        <f t="shared" si="37"/>
        <v>18</v>
      </c>
      <c r="G374">
        <f t="shared" si="38"/>
        <v>3.3</v>
      </c>
      <c r="H374">
        <f t="shared" si="39"/>
        <v>198</v>
      </c>
      <c r="I374" s="3">
        <f t="shared" si="40"/>
        <v>90.909090909090921</v>
      </c>
      <c r="J374" t="str">
        <f t="shared" si="41"/>
        <v>F</v>
      </c>
    </row>
    <row r="375" spans="1:10" x14ac:dyDescent="0.25">
      <c r="A375" s="4" t="s">
        <v>126</v>
      </c>
      <c r="B375" s="1">
        <v>0.80859300000000001</v>
      </c>
      <c r="C375" s="1">
        <v>0.80629700000000004</v>
      </c>
      <c r="D375" s="1">
        <f t="shared" si="35"/>
        <v>2.2959999999999647E-3</v>
      </c>
      <c r="E375">
        <f t="shared" si="36"/>
        <v>3</v>
      </c>
      <c r="F375">
        <f t="shared" si="37"/>
        <v>18</v>
      </c>
      <c r="G375">
        <f t="shared" si="38"/>
        <v>3.3</v>
      </c>
      <c r="H375">
        <f t="shared" si="39"/>
        <v>198</v>
      </c>
      <c r="I375" s="3">
        <f t="shared" si="40"/>
        <v>90.909090909090921</v>
      </c>
      <c r="J375" t="str">
        <f t="shared" si="41"/>
        <v>F</v>
      </c>
    </row>
    <row r="376" spans="1:10" x14ac:dyDescent="0.25">
      <c r="A376" s="4" t="s">
        <v>402</v>
      </c>
      <c r="B376" s="1">
        <v>0.54644499999999996</v>
      </c>
      <c r="C376" s="1">
        <v>0.544157</v>
      </c>
      <c r="D376" s="1">
        <f t="shared" si="35"/>
        <v>2.2879999999999567E-3</v>
      </c>
      <c r="E376">
        <f t="shared" si="36"/>
        <v>3</v>
      </c>
      <c r="F376">
        <f t="shared" si="37"/>
        <v>18</v>
      </c>
      <c r="G376">
        <f t="shared" si="38"/>
        <v>3.3</v>
      </c>
      <c r="H376">
        <f t="shared" si="39"/>
        <v>198</v>
      </c>
      <c r="I376" s="3">
        <f t="shared" si="40"/>
        <v>90.909090909090921</v>
      </c>
      <c r="J376" t="str">
        <f t="shared" si="41"/>
        <v>F</v>
      </c>
    </row>
    <row r="377" spans="1:10" x14ac:dyDescent="0.25">
      <c r="A377" s="4" t="s">
        <v>57</v>
      </c>
      <c r="B377" s="1">
        <v>0.95849399999999996</v>
      </c>
      <c r="C377" s="1">
        <v>0.96079800000000004</v>
      </c>
      <c r="D377" s="1">
        <f t="shared" si="35"/>
        <v>2.3040000000000838E-3</v>
      </c>
      <c r="E377">
        <f t="shared" si="36"/>
        <v>3</v>
      </c>
      <c r="F377">
        <f t="shared" si="37"/>
        <v>19</v>
      </c>
      <c r="G377">
        <f t="shared" si="38"/>
        <v>3.32</v>
      </c>
      <c r="H377">
        <f t="shared" si="39"/>
        <v>199</v>
      </c>
      <c r="I377" s="3">
        <f t="shared" si="40"/>
        <v>90.452261306532648</v>
      </c>
      <c r="J377" t="str">
        <f t="shared" si="41"/>
        <v>F</v>
      </c>
    </row>
    <row r="378" spans="1:10" x14ac:dyDescent="0.25">
      <c r="A378" s="4" t="s">
        <v>135</v>
      </c>
      <c r="B378" s="1">
        <v>0.41060799999999997</v>
      </c>
      <c r="C378" s="1">
        <v>0.412908</v>
      </c>
      <c r="D378" s="1">
        <f t="shared" si="35"/>
        <v>2.3000000000000242E-3</v>
      </c>
      <c r="E378">
        <f t="shared" si="36"/>
        <v>3</v>
      </c>
      <c r="F378">
        <f t="shared" si="37"/>
        <v>19</v>
      </c>
      <c r="G378">
        <f t="shared" si="38"/>
        <v>3.32</v>
      </c>
      <c r="H378">
        <f t="shared" si="39"/>
        <v>199</v>
      </c>
      <c r="I378" s="3">
        <f t="shared" si="40"/>
        <v>90.452261306532648</v>
      </c>
      <c r="J378" t="str">
        <f t="shared" si="41"/>
        <v>F</v>
      </c>
    </row>
    <row r="379" spans="1:10" x14ac:dyDescent="0.25">
      <c r="A379" s="4" t="s">
        <v>53</v>
      </c>
      <c r="B379" s="1">
        <v>0.36659199999999997</v>
      </c>
      <c r="C379" s="1">
        <v>0.368896</v>
      </c>
      <c r="D379" s="1">
        <f t="shared" si="35"/>
        <v>2.3040000000000282E-3</v>
      </c>
      <c r="E379">
        <f t="shared" si="36"/>
        <v>3</v>
      </c>
      <c r="F379">
        <f t="shared" si="37"/>
        <v>19</v>
      </c>
      <c r="G379">
        <f t="shared" si="38"/>
        <v>3.32</v>
      </c>
      <c r="H379">
        <f t="shared" si="39"/>
        <v>199</v>
      </c>
      <c r="I379" s="3">
        <f t="shared" si="40"/>
        <v>90.452261306532648</v>
      </c>
      <c r="J379" t="str">
        <f t="shared" si="41"/>
        <v>F</v>
      </c>
    </row>
    <row r="380" spans="1:10" x14ac:dyDescent="0.25">
      <c r="A380" s="4" t="s">
        <v>143</v>
      </c>
      <c r="B380" s="1">
        <v>0.34360400000000002</v>
      </c>
      <c r="C380" s="1">
        <v>0.345912</v>
      </c>
      <c r="D380" s="1">
        <f t="shared" si="35"/>
        <v>2.3079999999999767E-3</v>
      </c>
      <c r="E380">
        <f t="shared" si="36"/>
        <v>3</v>
      </c>
      <c r="F380">
        <f t="shared" si="37"/>
        <v>19</v>
      </c>
      <c r="G380">
        <f t="shared" si="38"/>
        <v>3.32</v>
      </c>
      <c r="H380">
        <f t="shared" si="39"/>
        <v>199</v>
      </c>
      <c r="I380" s="3">
        <f t="shared" si="40"/>
        <v>90.452261306532648</v>
      </c>
      <c r="J380" t="str">
        <f t="shared" si="41"/>
        <v>F</v>
      </c>
    </row>
    <row r="381" spans="1:10" x14ac:dyDescent="0.25">
      <c r="A381" s="4" t="s">
        <v>117</v>
      </c>
      <c r="B381" s="1">
        <v>0.57271000000000005</v>
      </c>
      <c r="C381" s="1">
        <v>0.57501000000000002</v>
      </c>
      <c r="D381" s="1">
        <f t="shared" si="35"/>
        <v>2.2999999999999687E-3</v>
      </c>
      <c r="E381">
        <f t="shared" si="36"/>
        <v>3</v>
      </c>
      <c r="F381">
        <f t="shared" si="37"/>
        <v>19</v>
      </c>
      <c r="G381">
        <f t="shared" si="38"/>
        <v>3.32</v>
      </c>
      <c r="H381">
        <f t="shared" si="39"/>
        <v>199</v>
      </c>
      <c r="I381" s="3">
        <f t="shared" si="40"/>
        <v>90.452261306532648</v>
      </c>
      <c r="J381" t="str">
        <f t="shared" si="41"/>
        <v>F</v>
      </c>
    </row>
    <row r="382" spans="1:10" x14ac:dyDescent="0.25">
      <c r="A382" s="4" t="s">
        <v>277</v>
      </c>
      <c r="B382" s="1">
        <v>0.344642</v>
      </c>
      <c r="C382" s="1">
        <v>0.34694999999999998</v>
      </c>
      <c r="D382" s="1">
        <f t="shared" si="35"/>
        <v>2.3079999999999767E-3</v>
      </c>
      <c r="E382">
        <f t="shared" si="36"/>
        <v>3</v>
      </c>
      <c r="F382">
        <f t="shared" si="37"/>
        <v>19</v>
      </c>
      <c r="G382">
        <f t="shared" si="38"/>
        <v>3.32</v>
      </c>
      <c r="H382">
        <f t="shared" si="39"/>
        <v>199</v>
      </c>
      <c r="I382" s="3">
        <f t="shared" si="40"/>
        <v>90.452261306532648</v>
      </c>
      <c r="J382" t="str">
        <f t="shared" si="41"/>
        <v>F</v>
      </c>
    </row>
    <row r="383" spans="1:10" x14ac:dyDescent="0.25">
      <c r="A383" s="4" t="s">
        <v>154</v>
      </c>
      <c r="B383" s="1">
        <v>0.44955299999999998</v>
      </c>
      <c r="C383" s="1">
        <v>0.447237</v>
      </c>
      <c r="D383" s="1">
        <f t="shared" si="35"/>
        <v>2.3159999999999847E-3</v>
      </c>
      <c r="E383">
        <f t="shared" si="36"/>
        <v>3</v>
      </c>
      <c r="F383">
        <f t="shared" si="37"/>
        <v>20</v>
      </c>
      <c r="G383">
        <f t="shared" si="38"/>
        <v>3.33</v>
      </c>
      <c r="H383">
        <f t="shared" si="39"/>
        <v>200</v>
      </c>
      <c r="I383" s="3">
        <f t="shared" si="40"/>
        <v>90</v>
      </c>
      <c r="J383" t="str">
        <f t="shared" si="41"/>
        <v>F</v>
      </c>
    </row>
    <row r="384" spans="1:10" x14ac:dyDescent="0.25">
      <c r="A384" s="4" t="s">
        <v>103</v>
      </c>
      <c r="B384" s="1">
        <v>0.92061899999999997</v>
      </c>
      <c r="C384" s="1">
        <v>0.92293099999999995</v>
      </c>
      <c r="D384" s="1">
        <f t="shared" si="35"/>
        <v>2.3119999999999807E-3</v>
      </c>
      <c r="E384">
        <f t="shared" si="36"/>
        <v>3</v>
      </c>
      <c r="F384">
        <f t="shared" si="37"/>
        <v>20</v>
      </c>
      <c r="G384">
        <f t="shared" si="38"/>
        <v>3.33</v>
      </c>
      <c r="H384">
        <f t="shared" si="39"/>
        <v>200</v>
      </c>
      <c r="I384" s="3">
        <f t="shared" si="40"/>
        <v>90</v>
      </c>
      <c r="J384" t="str">
        <f t="shared" si="41"/>
        <v>F</v>
      </c>
    </row>
    <row r="385" spans="1:10" x14ac:dyDescent="0.25">
      <c r="A385" s="4" t="s">
        <v>196</v>
      </c>
      <c r="B385" s="1">
        <v>0.73899499999999996</v>
      </c>
      <c r="C385" s="1">
        <v>0.74130700000000005</v>
      </c>
      <c r="D385" s="1">
        <f t="shared" si="35"/>
        <v>2.3120000000000918E-3</v>
      </c>
      <c r="E385">
        <f t="shared" si="36"/>
        <v>3</v>
      </c>
      <c r="F385">
        <f t="shared" si="37"/>
        <v>20</v>
      </c>
      <c r="G385">
        <f t="shared" si="38"/>
        <v>3.33</v>
      </c>
      <c r="H385">
        <f t="shared" si="39"/>
        <v>200</v>
      </c>
      <c r="I385" s="3">
        <f t="shared" si="40"/>
        <v>90</v>
      </c>
      <c r="J385" t="str">
        <f t="shared" si="41"/>
        <v>F</v>
      </c>
    </row>
    <row r="386" spans="1:10" x14ac:dyDescent="0.25">
      <c r="A386" s="4" t="s">
        <v>5</v>
      </c>
      <c r="B386" s="1">
        <v>0.27487200000000001</v>
      </c>
      <c r="C386" s="1">
        <v>0.27720400000000001</v>
      </c>
      <c r="D386" s="1">
        <f t="shared" ref="D386:D449" si="42">IF(B386&gt;C386,B386-C386,C386-B386)</f>
        <v>2.3320000000000007E-3</v>
      </c>
      <c r="E386">
        <f t="shared" ref="E386:E449" si="43">MINUTE(D386)</f>
        <v>3</v>
      </c>
      <c r="F386">
        <f t="shared" ref="F386:F449" si="44">SECOND(D386)</f>
        <v>21</v>
      </c>
      <c r="G386">
        <f t="shared" ref="G386:G449" si="45">ROUND(E386+F386/60,2)</f>
        <v>3.35</v>
      </c>
      <c r="H386">
        <f t="shared" ref="H386:H449" si="46">60*E386+F386</f>
        <v>201</v>
      </c>
      <c r="I386" s="3">
        <f t="shared" ref="I386:I449" si="47">5*(3600/H386)</f>
        <v>89.552238805970148</v>
      </c>
      <c r="J386" t="str">
        <f t="shared" ref="J386:J449" si="48">IF(MID(A386,3,2)="18","T","F")</f>
        <v>F</v>
      </c>
    </row>
    <row r="387" spans="1:10" x14ac:dyDescent="0.25">
      <c r="A387" s="4" t="s">
        <v>128</v>
      </c>
      <c r="B387" s="1">
        <v>0.63809400000000005</v>
      </c>
      <c r="C387" s="1">
        <v>0.63576600000000005</v>
      </c>
      <c r="D387" s="1">
        <f t="shared" si="42"/>
        <v>2.3279999999999967E-3</v>
      </c>
      <c r="E387">
        <f t="shared" si="43"/>
        <v>3</v>
      </c>
      <c r="F387">
        <f t="shared" si="44"/>
        <v>21</v>
      </c>
      <c r="G387">
        <f t="shared" si="45"/>
        <v>3.35</v>
      </c>
      <c r="H387">
        <f t="shared" si="46"/>
        <v>201</v>
      </c>
      <c r="I387" s="3">
        <f t="shared" si="47"/>
        <v>89.552238805970148</v>
      </c>
      <c r="J387" t="str">
        <f t="shared" si="48"/>
        <v>F</v>
      </c>
    </row>
    <row r="388" spans="1:10" x14ac:dyDescent="0.25">
      <c r="A388" s="4" t="s">
        <v>150</v>
      </c>
      <c r="B388" s="1">
        <v>0.52590599999999998</v>
      </c>
      <c r="C388" s="1">
        <v>0.52823399999999998</v>
      </c>
      <c r="D388" s="1">
        <f t="shared" si="42"/>
        <v>2.3279999999999967E-3</v>
      </c>
      <c r="E388">
        <f t="shared" si="43"/>
        <v>3</v>
      </c>
      <c r="F388">
        <f t="shared" si="44"/>
        <v>21</v>
      </c>
      <c r="G388">
        <f t="shared" si="45"/>
        <v>3.35</v>
      </c>
      <c r="H388">
        <f t="shared" si="46"/>
        <v>201</v>
      </c>
      <c r="I388" s="3">
        <f t="shared" si="47"/>
        <v>89.552238805970148</v>
      </c>
      <c r="J388" t="str">
        <f t="shared" si="48"/>
        <v>F</v>
      </c>
    </row>
    <row r="389" spans="1:10" x14ac:dyDescent="0.25">
      <c r="A389" s="4" t="s">
        <v>5</v>
      </c>
      <c r="B389" s="1">
        <v>0.72962700000000003</v>
      </c>
      <c r="C389" s="1">
        <v>0.72729500000000002</v>
      </c>
      <c r="D389" s="1">
        <f t="shared" si="42"/>
        <v>2.3320000000000007E-3</v>
      </c>
      <c r="E389">
        <f t="shared" si="43"/>
        <v>3</v>
      </c>
      <c r="F389">
        <f t="shared" si="44"/>
        <v>21</v>
      </c>
      <c r="G389">
        <f t="shared" si="45"/>
        <v>3.35</v>
      </c>
      <c r="H389">
        <f t="shared" si="46"/>
        <v>201</v>
      </c>
      <c r="I389" s="3">
        <f t="shared" si="47"/>
        <v>89.552238805970148</v>
      </c>
      <c r="J389" t="str">
        <f t="shared" si="48"/>
        <v>F</v>
      </c>
    </row>
    <row r="390" spans="1:10" x14ac:dyDescent="0.25">
      <c r="A390" s="4" t="s">
        <v>10</v>
      </c>
      <c r="B390" s="1">
        <v>3.9606000000000002E-2</v>
      </c>
      <c r="C390" s="1">
        <v>3.7274000000000002E-2</v>
      </c>
      <c r="D390" s="1">
        <f t="shared" si="42"/>
        <v>2.3320000000000007E-3</v>
      </c>
      <c r="E390">
        <f t="shared" si="43"/>
        <v>3</v>
      </c>
      <c r="F390">
        <f t="shared" si="44"/>
        <v>21</v>
      </c>
      <c r="G390">
        <f t="shared" si="45"/>
        <v>3.35</v>
      </c>
      <c r="H390">
        <f t="shared" si="46"/>
        <v>201</v>
      </c>
      <c r="I390" s="3">
        <f t="shared" si="47"/>
        <v>89.552238805970148</v>
      </c>
      <c r="J390" t="str">
        <f t="shared" si="48"/>
        <v>F</v>
      </c>
    </row>
    <row r="391" spans="1:10" x14ac:dyDescent="0.25">
      <c r="A391" s="4" t="s">
        <v>87</v>
      </c>
      <c r="B391" s="1">
        <v>7.9268000000000005E-2</v>
      </c>
      <c r="C391" s="1">
        <v>8.1591999999999998E-2</v>
      </c>
      <c r="D391" s="1">
        <f t="shared" si="42"/>
        <v>2.3239999999999927E-3</v>
      </c>
      <c r="E391">
        <f t="shared" si="43"/>
        <v>3</v>
      </c>
      <c r="F391">
        <f t="shared" si="44"/>
        <v>21</v>
      </c>
      <c r="G391">
        <f t="shared" si="45"/>
        <v>3.35</v>
      </c>
      <c r="H391">
        <f t="shared" si="46"/>
        <v>201</v>
      </c>
      <c r="I391" s="3">
        <f t="shared" si="47"/>
        <v>89.552238805970148</v>
      </c>
      <c r="J391" t="str">
        <f t="shared" si="48"/>
        <v>F</v>
      </c>
    </row>
    <row r="392" spans="1:10" x14ac:dyDescent="0.25">
      <c r="A392" s="4" t="s">
        <v>251</v>
      </c>
      <c r="B392" s="1">
        <v>5.1720000000000002E-2</v>
      </c>
      <c r="C392" s="1">
        <v>5.4052000000000003E-2</v>
      </c>
      <c r="D392" s="1">
        <f t="shared" si="42"/>
        <v>2.3320000000000007E-3</v>
      </c>
      <c r="E392">
        <f t="shared" si="43"/>
        <v>3</v>
      </c>
      <c r="F392">
        <f t="shared" si="44"/>
        <v>21</v>
      </c>
      <c r="G392">
        <f t="shared" si="45"/>
        <v>3.35</v>
      </c>
      <c r="H392">
        <f t="shared" si="46"/>
        <v>201</v>
      </c>
      <c r="I392" s="3">
        <f t="shared" si="47"/>
        <v>89.552238805970148</v>
      </c>
      <c r="J392" t="str">
        <f t="shared" si="48"/>
        <v>F</v>
      </c>
    </row>
    <row r="393" spans="1:10" x14ac:dyDescent="0.25">
      <c r="A393" s="4" t="s">
        <v>296</v>
      </c>
      <c r="B393" s="1">
        <v>0.48624499999999998</v>
      </c>
      <c r="C393" s="1">
        <v>0.48857299999999998</v>
      </c>
      <c r="D393" s="1">
        <f t="shared" si="42"/>
        <v>2.3279999999999967E-3</v>
      </c>
      <c r="E393">
        <f t="shared" si="43"/>
        <v>3</v>
      </c>
      <c r="F393">
        <f t="shared" si="44"/>
        <v>21</v>
      </c>
      <c r="G393">
        <f t="shared" si="45"/>
        <v>3.35</v>
      </c>
      <c r="H393">
        <f t="shared" si="46"/>
        <v>201</v>
      </c>
      <c r="I393" s="3">
        <f t="shared" si="47"/>
        <v>89.552238805970148</v>
      </c>
      <c r="J393" t="str">
        <f t="shared" si="48"/>
        <v>F</v>
      </c>
    </row>
    <row r="394" spans="1:10" x14ac:dyDescent="0.25">
      <c r="A394" s="4" t="s">
        <v>164</v>
      </c>
      <c r="B394" s="1">
        <v>0.27964899999999998</v>
      </c>
      <c r="C394" s="1">
        <v>0.28198499999999999</v>
      </c>
      <c r="D394" s="1">
        <f t="shared" si="42"/>
        <v>2.3360000000000047E-3</v>
      </c>
      <c r="E394">
        <f t="shared" si="43"/>
        <v>3</v>
      </c>
      <c r="F394">
        <f t="shared" si="44"/>
        <v>22</v>
      </c>
      <c r="G394">
        <f t="shared" si="45"/>
        <v>3.37</v>
      </c>
      <c r="H394">
        <f t="shared" si="46"/>
        <v>202</v>
      </c>
      <c r="I394" s="3">
        <f t="shared" si="47"/>
        <v>89.108910891089124</v>
      </c>
      <c r="J394" t="str">
        <f t="shared" si="48"/>
        <v>F</v>
      </c>
    </row>
    <row r="395" spans="1:10" x14ac:dyDescent="0.25">
      <c r="A395" s="4" t="s">
        <v>5</v>
      </c>
      <c r="B395" s="1">
        <v>0.28254000000000001</v>
      </c>
      <c r="C395" s="1">
        <v>0.28488400000000003</v>
      </c>
      <c r="D395" s="1">
        <f t="shared" si="42"/>
        <v>2.3440000000000127E-3</v>
      </c>
      <c r="E395">
        <f t="shared" si="43"/>
        <v>3</v>
      </c>
      <c r="F395">
        <f t="shared" si="44"/>
        <v>23</v>
      </c>
      <c r="G395">
        <f t="shared" si="45"/>
        <v>3.38</v>
      </c>
      <c r="H395">
        <f t="shared" si="46"/>
        <v>203</v>
      </c>
      <c r="I395" s="3">
        <f t="shared" si="47"/>
        <v>88.66995073891627</v>
      </c>
      <c r="J395" t="str">
        <f t="shared" si="48"/>
        <v>F</v>
      </c>
    </row>
    <row r="396" spans="1:10" x14ac:dyDescent="0.25">
      <c r="A396" s="4" t="s">
        <v>15</v>
      </c>
      <c r="B396" s="1">
        <v>0.52019700000000002</v>
      </c>
      <c r="C396" s="1">
        <v>0.52254900000000004</v>
      </c>
      <c r="D396" s="1">
        <f t="shared" si="42"/>
        <v>2.3520000000000207E-3</v>
      </c>
      <c r="E396">
        <f t="shared" si="43"/>
        <v>3</v>
      </c>
      <c r="F396">
        <f t="shared" si="44"/>
        <v>23</v>
      </c>
      <c r="G396">
        <f t="shared" si="45"/>
        <v>3.38</v>
      </c>
      <c r="H396">
        <f t="shared" si="46"/>
        <v>203</v>
      </c>
      <c r="I396" s="3">
        <f t="shared" si="47"/>
        <v>88.66995073891627</v>
      </c>
      <c r="J396" t="str">
        <f t="shared" si="48"/>
        <v>F</v>
      </c>
    </row>
    <row r="397" spans="1:10" x14ac:dyDescent="0.25">
      <c r="A397" s="4" t="s">
        <v>136</v>
      </c>
      <c r="B397" s="1">
        <v>0.41161799999999998</v>
      </c>
      <c r="C397" s="1">
        <v>0.40927400000000003</v>
      </c>
      <c r="D397" s="1">
        <f t="shared" si="42"/>
        <v>2.3439999999999572E-3</v>
      </c>
      <c r="E397">
        <f t="shared" si="43"/>
        <v>3</v>
      </c>
      <c r="F397">
        <f t="shared" si="44"/>
        <v>23</v>
      </c>
      <c r="G397">
        <f t="shared" si="45"/>
        <v>3.38</v>
      </c>
      <c r="H397">
        <f t="shared" si="46"/>
        <v>203</v>
      </c>
      <c r="I397" s="3">
        <f t="shared" si="47"/>
        <v>88.66995073891627</v>
      </c>
      <c r="J397" t="str">
        <f t="shared" si="48"/>
        <v>F</v>
      </c>
    </row>
    <row r="398" spans="1:10" x14ac:dyDescent="0.25">
      <c r="A398" s="4" t="s">
        <v>77</v>
      </c>
      <c r="B398" s="1">
        <v>2.6912999999999999E-2</v>
      </c>
      <c r="C398" s="1">
        <v>2.9256999999999998E-2</v>
      </c>
      <c r="D398" s="1">
        <f t="shared" si="42"/>
        <v>2.3439999999999989E-3</v>
      </c>
      <c r="E398">
        <f t="shared" si="43"/>
        <v>3</v>
      </c>
      <c r="F398">
        <f t="shared" si="44"/>
        <v>23</v>
      </c>
      <c r="G398">
        <f t="shared" si="45"/>
        <v>3.38</v>
      </c>
      <c r="H398">
        <f t="shared" si="46"/>
        <v>203</v>
      </c>
      <c r="I398" s="3">
        <f t="shared" si="47"/>
        <v>88.66995073891627</v>
      </c>
      <c r="J398" t="str">
        <f t="shared" si="48"/>
        <v>F</v>
      </c>
    </row>
    <row r="399" spans="1:10" x14ac:dyDescent="0.25">
      <c r="A399" s="4" t="s">
        <v>68</v>
      </c>
      <c r="B399" s="1">
        <v>0.40887499999999999</v>
      </c>
      <c r="C399" s="1">
        <v>0.40652700000000003</v>
      </c>
      <c r="D399" s="1">
        <f t="shared" si="42"/>
        <v>2.3479999999999612E-3</v>
      </c>
      <c r="E399">
        <f t="shared" si="43"/>
        <v>3</v>
      </c>
      <c r="F399">
        <f t="shared" si="44"/>
        <v>23</v>
      </c>
      <c r="G399">
        <f t="shared" si="45"/>
        <v>3.38</v>
      </c>
      <c r="H399">
        <f t="shared" si="46"/>
        <v>203</v>
      </c>
      <c r="I399" s="3">
        <f t="shared" si="47"/>
        <v>88.66995073891627</v>
      </c>
      <c r="J399" t="str">
        <f t="shared" si="48"/>
        <v>F</v>
      </c>
    </row>
    <row r="400" spans="1:10" x14ac:dyDescent="0.25">
      <c r="A400" s="4" t="s">
        <v>37</v>
      </c>
      <c r="B400" s="1">
        <v>0.923041</v>
      </c>
      <c r="C400" s="1">
        <v>0.92067699999999997</v>
      </c>
      <c r="D400" s="1">
        <f t="shared" si="42"/>
        <v>2.3640000000000327E-3</v>
      </c>
      <c r="E400">
        <f t="shared" si="43"/>
        <v>3</v>
      </c>
      <c r="F400">
        <f t="shared" si="44"/>
        <v>24</v>
      </c>
      <c r="G400">
        <f t="shared" si="45"/>
        <v>3.4</v>
      </c>
      <c r="H400">
        <f t="shared" si="46"/>
        <v>204</v>
      </c>
      <c r="I400" s="3">
        <f t="shared" si="47"/>
        <v>88.235294117647072</v>
      </c>
      <c r="J400" t="str">
        <f t="shared" si="48"/>
        <v>F</v>
      </c>
    </row>
    <row r="401" spans="1:10" x14ac:dyDescent="0.25">
      <c r="A401" s="4" t="s">
        <v>155</v>
      </c>
      <c r="B401" s="1">
        <v>0.73158400000000001</v>
      </c>
      <c r="C401" s="1">
        <v>0.72921199999999997</v>
      </c>
      <c r="D401" s="1">
        <f t="shared" si="42"/>
        <v>2.3720000000000407E-3</v>
      </c>
      <c r="E401">
        <f t="shared" si="43"/>
        <v>3</v>
      </c>
      <c r="F401">
        <f t="shared" si="44"/>
        <v>25</v>
      </c>
      <c r="G401">
        <f t="shared" si="45"/>
        <v>3.42</v>
      </c>
      <c r="H401">
        <f t="shared" si="46"/>
        <v>205</v>
      </c>
      <c r="I401" s="3">
        <f t="shared" si="47"/>
        <v>87.804878048780495</v>
      </c>
      <c r="J401" t="str">
        <f t="shared" si="48"/>
        <v>F</v>
      </c>
    </row>
    <row r="402" spans="1:10" x14ac:dyDescent="0.25">
      <c r="A402" s="4" t="s">
        <v>15</v>
      </c>
      <c r="B402" s="1">
        <v>5.6968999999999999E-2</v>
      </c>
      <c r="C402" s="1">
        <v>5.4597E-2</v>
      </c>
      <c r="D402" s="1">
        <f t="shared" si="42"/>
        <v>2.3719999999999991E-3</v>
      </c>
      <c r="E402">
        <f t="shared" si="43"/>
        <v>3</v>
      </c>
      <c r="F402">
        <f t="shared" si="44"/>
        <v>25</v>
      </c>
      <c r="G402">
        <f t="shared" si="45"/>
        <v>3.42</v>
      </c>
      <c r="H402">
        <f t="shared" si="46"/>
        <v>205</v>
      </c>
      <c r="I402" s="3">
        <f t="shared" si="47"/>
        <v>87.804878048780495</v>
      </c>
      <c r="J402" t="str">
        <f t="shared" si="48"/>
        <v>F</v>
      </c>
    </row>
    <row r="403" spans="1:10" x14ac:dyDescent="0.25">
      <c r="A403" s="4" t="s">
        <v>109</v>
      </c>
      <c r="B403" s="1">
        <v>0.114372</v>
      </c>
      <c r="C403" s="1">
        <v>0.116748</v>
      </c>
      <c r="D403" s="1">
        <f t="shared" si="42"/>
        <v>2.3760000000000031E-3</v>
      </c>
      <c r="E403">
        <f t="shared" si="43"/>
        <v>3</v>
      </c>
      <c r="F403">
        <f t="shared" si="44"/>
        <v>25</v>
      </c>
      <c r="G403">
        <f t="shared" si="45"/>
        <v>3.42</v>
      </c>
      <c r="H403">
        <f t="shared" si="46"/>
        <v>205</v>
      </c>
      <c r="I403" s="3">
        <f t="shared" si="47"/>
        <v>87.804878048780495</v>
      </c>
      <c r="J403" t="str">
        <f t="shared" si="48"/>
        <v>F</v>
      </c>
    </row>
    <row r="404" spans="1:10" x14ac:dyDescent="0.25">
      <c r="A404" s="4" t="s">
        <v>30</v>
      </c>
      <c r="B404" s="1">
        <v>7.5792999999999999E-2</v>
      </c>
      <c r="C404" s="1">
        <v>7.8176999999999996E-2</v>
      </c>
      <c r="D404" s="1">
        <f t="shared" si="42"/>
        <v>2.3839999999999972E-3</v>
      </c>
      <c r="E404">
        <f t="shared" si="43"/>
        <v>3</v>
      </c>
      <c r="F404">
        <f t="shared" si="44"/>
        <v>26</v>
      </c>
      <c r="G404">
        <f t="shared" si="45"/>
        <v>3.43</v>
      </c>
      <c r="H404">
        <f t="shared" si="46"/>
        <v>206</v>
      </c>
      <c r="I404" s="3">
        <f t="shared" si="47"/>
        <v>87.378640776699029</v>
      </c>
      <c r="J404" t="str">
        <f t="shared" si="48"/>
        <v>F</v>
      </c>
    </row>
    <row r="405" spans="1:10" x14ac:dyDescent="0.25">
      <c r="A405" s="4" t="s">
        <v>67</v>
      </c>
      <c r="B405" s="1">
        <v>0.58044700000000005</v>
      </c>
      <c r="C405" s="1">
        <v>0.58282699999999998</v>
      </c>
      <c r="D405" s="1">
        <f t="shared" si="42"/>
        <v>2.3799999999999377E-3</v>
      </c>
      <c r="E405">
        <f t="shared" si="43"/>
        <v>3</v>
      </c>
      <c r="F405">
        <f t="shared" si="44"/>
        <v>26</v>
      </c>
      <c r="G405">
        <f t="shared" si="45"/>
        <v>3.43</v>
      </c>
      <c r="H405">
        <f t="shared" si="46"/>
        <v>206</v>
      </c>
      <c r="I405" s="3">
        <f t="shared" si="47"/>
        <v>87.378640776699029</v>
      </c>
      <c r="J405" t="str">
        <f t="shared" si="48"/>
        <v>F</v>
      </c>
    </row>
    <row r="406" spans="1:10" x14ac:dyDescent="0.25">
      <c r="A406" s="4" t="s">
        <v>112</v>
      </c>
      <c r="B406" s="1">
        <v>0.95174099999999995</v>
      </c>
      <c r="C406" s="1">
        <v>0.94936100000000001</v>
      </c>
      <c r="D406" s="1">
        <f t="shared" si="42"/>
        <v>2.3799999999999377E-3</v>
      </c>
      <c r="E406">
        <f t="shared" si="43"/>
        <v>3</v>
      </c>
      <c r="F406">
        <f t="shared" si="44"/>
        <v>26</v>
      </c>
      <c r="G406">
        <f t="shared" si="45"/>
        <v>3.43</v>
      </c>
      <c r="H406">
        <f t="shared" si="46"/>
        <v>206</v>
      </c>
      <c r="I406" s="3">
        <f t="shared" si="47"/>
        <v>87.378640776699029</v>
      </c>
      <c r="J406" t="str">
        <f t="shared" si="48"/>
        <v>F</v>
      </c>
    </row>
    <row r="407" spans="1:10" x14ac:dyDescent="0.25">
      <c r="A407" s="4" t="s">
        <v>87</v>
      </c>
      <c r="B407" s="1">
        <v>0.56462000000000001</v>
      </c>
      <c r="C407" s="1">
        <v>0.56223999999999996</v>
      </c>
      <c r="D407" s="1">
        <f t="shared" si="42"/>
        <v>2.3800000000000487E-3</v>
      </c>
      <c r="E407">
        <f t="shared" si="43"/>
        <v>3</v>
      </c>
      <c r="F407">
        <f t="shared" si="44"/>
        <v>26</v>
      </c>
      <c r="G407">
        <f t="shared" si="45"/>
        <v>3.43</v>
      </c>
      <c r="H407">
        <f t="shared" si="46"/>
        <v>206</v>
      </c>
      <c r="I407" s="3">
        <f t="shared" si="47"/>
        <v>87.378640776699029</v>
      </c>
      <c r="J407" t="str">
        <f t="shared" si="48"/>
        <v>F</v>
      </c>
    </row>
    <row r="408" spans="1:10" x14ac:dyDescent="0.25">
      <c r="A408" s="4" t="s">
        <v>185</v>
      </c>
      <c r="B408" s="1">
        <v>0.79104600000000003</v>
      </c>
      <c r="C408" s="1">
        <v>0.78865799999999997</v>
      </c>
      <c r="D408" s="1">
        <f t="shared" si="42"/>
        <v>2.3880000000000567E-3</v>
      </c>
      <c r="E408">
        <f t="shared" si="43"/>
        <v>3</v>
      </c>
      <c r="F408">
        <f t="shared" si="44"/>
        <v>26</v>
      </c>
      <c r="G408">
        <f t="shared" si="45"/>
        <v>3.43</v>
      </c>
      <c r="H408">
        <f t="shared" si="46"/>
        <v>206</v>
      </c>
      <c r="I408" s="3">
        <f t="shared" si="47"/>
        <v>87.378640776699029</v>
      </c>
      <c r="J408" t="str">
        <f t="shared" si="48"/>
        <v>F</v>
      </c>
    </row>
    <row r="409" spans="1:10" x14ac:dyDescent="0.25">
      <c r="A409" s="4" t="s">
        <v>300</v>
      </c>
      <c r="B409" s="1">
        <v>0.21463699999999999</v>
      </c>
      <c r="C409" s="1">
        <v>0.21702099999999999</v>
      </c>
      <c r="D409" s="1">
        <f t="shared" si="42"/>
        <v>2.3839999999999972E-3</v>
      </c>
      <c r="E409">
        <f t="shared" si="43"/>
        <v>3</v>
      </c>
      <c r="F409">
        <f t="shared" si="44"/>
        <v>26</v>
      </c>
      <c r="G409">
        <f t="shared" si="45"/>
        <v>3.43</v>
      </c>
      <c r="H409">
        <f t="shared" si="46"/>
        <v>206</v>
      </c>
      <c r="I409" s="3">
        <f t="shared" si="47"/>
        <v>87.378640776699029</v>
      </c>
      <c r="J409" t="str">
        <f t="shared" si="48"/>
        <v>F</v>
      </c>
    </row>
    <row r="410" spans="1:10" x14ac:dyDescent="0.25">
      <c r="A410" s="8" t="s">
        <v>151</v>
      </c>
      <c r="B410" s="1">
        <v>0.72409299999999999</v>
      </c>
      <c r="C410" s="1">
        <v>0.72649300000000006</v>
      </c>
      <c r="D410" s="1">
        <f t="shared" si="42"/>
        <v>2.4000000000000687E-3</v>
      </c>
      <c r="E410">
        <f t="shared" si="43"/>
        <v>3</v>
      </c>
      <c r="F410">
        <f t="shared" si="44"/>
        <v>27</v>
      </c>
      <c r="G410">
        <f t="shared" si="45"/>
        <v>3.45</v>
      </c>
      <c r="H410">
        <f t="shared" si="46"/>
        <v>207</v>
      </c>
      <c r="I410" s="10">
        <f t="shared" si="47"/>
        <v>86.956521739130437</v>
      </c>
      <c r="J410" t="str">
        <f t="shared" si="48"/>
        <v>T</v>
      </c>
    </row>
    <row r="411" spans="1:10" x14ac:dyDescent="0.25">
      <c r="A411" s="4" t="s">
        <v>92</v>
      </c>
      <c r="B411" s="1">
        <v>0.312112</v>
      </c>
      <c r="C411" s="1">
        <v>0.31450800000000001</v>
      </c>
      <c r="D411" s="1">
        <f t="shared" si="42"/>
        <v>2.3960000000000092E-3</v>
      </c>
      <c r="E411">
        <f t="shared" si="43"/>
        <v>3</v>
      </c>
      <c r="F411">
        <f t="shared" si="44"/>
        <v>27</v>
      </c>
      <c r="G411">
        <f t="shared" si="45"/>
        <v>3.45</v>
      </c>
      <c r="H411">
        <f t="shared" si="46"/>
        <v>207</v>
      </c>
      <c r="I411" s="3">
        <f t="shared" si="47"/>
        <v>86.956521739130437</v>
      </c>
      <c r="J411" t="str">
        <f t="shared" si="48"/>
        <v>F</v>
      </c>
    </row>
    <row r="412" spans="1:10" x14ac:dyDescent="0.25">
      <c r="A412" s="4" t="s">
        <v>407</v>
      </c>
      <c r="B412" s="1">
        <v>0.80954700000000002</v>
      </c>
      <c r="C412" s="1">
        <v>0.81194299999999997</v>
      </c>
      <c r="D412" s="1">
        <f t="shared" si="42"/>
        <v>2.3959999999999537E-3</v>
      </c>
      <c r="E412">
        <f t="shared" si="43"/>
        <v>3</v>
      </c>
      <c r="F412">
        <f t="shared" si="44"/>
        <v>27</v>
      </c>
      <c r="G412">
        <f t="shared" si="45"/>
        <v>3.45</v>
      </c>
      <c r="H412">
        <f t="shared" si="46"/>
        <v>207</v>
      </c>
      <c r="I412" s="3">
        <f t="shared" si="47"/>
        <v>86.956521739130437</v>
      </c>
      <c r="J412" t="str">
        <f t="shared" si="48"/>
        <v>F</v>
      </c>
    </row>
    <row r="413" spans="1:10" x14ac:dyDescent="0.25">
      <c r="A413" s="4" t="s">
        <v>40</v>
      </c>
      <c r="B413" s="1">
        <v>0.89808900000000003</v>
      </c>
      <c r="C413" s="1">
        <v>0.900501</v>
      </c>
      <c r="D413" s="1">
        <f t="shared" si="42"/>
        <v>2.4119999999999697E-3</v>
      </c>
      <c r="E413">
        <f t="shared" si="43"/>
        <v>3</v>
      </c>
      <c r="F413">
        <f t="shared" si="44"/>
        <v>28</v>
      </c>
      <c r="G413">
        <f t="shared" si="45"/>
        <v>3.47</v>
      </c>
      <c r="H413">
        <f t="shared" si="46"/>
        <v>208</v>
      </c>
      <c r="I413" s="3">
        <f t="shared" si="47"/>
        <v>86.538461538461533</v>
      </c>
      <c r="J413" t="str">
        <f t="shared" si="48"/>
        <v>F</v>
      </c>
    </row>
    <row r="414" spans="1:10" x14ac:dyDescent="0.25">
      <c r="A414" s="4" t="s">
        <v>32</v>
      </c>
      <c r="B414" s="1">
        <v>0.62104000000000004</v>
      </c>
      <c r="C414" s="1">
        <v>0.62345200000000001</v>
      </c>
      <c r="D414" s="1">
        <f t="shared" si="42"/>
        <v>2.4119999999999697E-3</v>
      </c>
      <c r="E414">
        <f t="shared" si="43"/>
        <v>3</v>
      </c>
      <c r="F414">
        <f t="shared" si="44"/>
        <v>28</v>
      </c>
      <c r="G414">
        <f t="shared" si="45"/>
        <v>3.47</v>
      </c>
      <c r="H414">
        <f t="shared" si="46"/>
        <v>208</v>
      </c>
      <c r="I414" s="3">
        <f t="shared" si="47"/>
        <v>86.538461538461533</v>
      </c>
      <c r="J414" t="str">
        <f t="shared" si="48"/>
        <v>F</v>
      </c>
    </row>
    <row r="415" spans="1:10" x14ac:dyDescent="0.25">
      <c r="A415" s="4" t="s">
        <v>141</v>
      </c>
      <c r="B415" s="1">
        <v>0.85301000000000005</v>
      </c>
      <c r="C415" s="1">
        <v>0.85059799999999997</v>
      </c>
      <c r="D415" s="1">
        <f t="shared" si="42"/>
        <v>2.4120000000000807E-3</v>
      </c>
      <c r="E415">
        <f t="shared" si="43"/>
        <v>3</v>
      </c>
      <c r="F415">
        <f t="shared" si="44"/>
        <v>28</v>
      </c>
      <c r="G415">
        <f t="shared" si="45"/>
        <v>3.47</v>
      </c>
      <c r="H415">
        <f t="shared" si="46"/>
        <v>208</v>
      </c>
      <c r="I415" s="3">
        <f t="shared" si="47"/>
        <v>86.538461538461533</v>
      </c>
      <c r="J415" t="str">
        <f t="shared" si="48"/>
        <v>F</v>
      </c>
    </row>
    <row r="416" spans="1:10" x14ac:dyDescent="0.25">
      <c r="A416" s="4" t="s">
        <v>83</v>
      </c>
      <c r="B416" s="1">
        <v>6.6768999999999995E-2</v>
      </c>
      <c r="C416" s="1">
        <v>6.9177000000000002E-2</v>
      </c>
      <c r="D416" s="1">
        <f t="shared" si="42"/>
        <v>2.4080000000000074E-3</v>
      </c>
      <c r="E416">
        <f t="shared" si="43"/>
        <v>3</v>
      </c>
      <c r="F416">
        <f t="shared" si="44"/>
        <v>28</v>
      </c>
      <c r="G416">
        <f t="shared" si="45"/>
        <v>3.47</v>
      </c>
      <c r="H416">
        <f t="shared" si="46"/>
        <v>208</v>
      </c>
      <c r="I416" s="3">
        <f t="shared" si="47"/>
        <v>86.538461538461533</v>
      </c>
      <c r="J416" t="str">
        <f t="shared" si="48"/>
        <v>F</v>
      </c>
    </row>
    <row r="417" spans="1:10" x14ac:dyDescent="0.25">
      <c r="A417" s="4" t="s">
        <v>5</v>
      </c>
      <c r="B417" s="1">
        <v>0.95572699999999999</v>
      </c>
      <c r="C417" s="1">
        <v>0.95332300000000003</v>
      </c>
      <c r="D417" s="1">
        <f t="shared" si="42"/>
        <v>2.4039999999999617E-3</v>
      </c>
      <c r="E417">
        <f t="shared" si="43"/>
        <v>3</v>
      </c>
      <c r="F417">
        <f t="shared" si="44"/>
        <v>28</v>
      </c>
      <c r="G417">
        <f t="shared" si="45"/>
        <v>3.47</v>
      </c>
      <c r="H417">
        <f t="shared" si="46"/>
        <v>208</v>
      </c>
      <c r="I417" s="3">
        <f t="shared" si="47"/>
        <v>86.538461538461533</v>
      </c>
      <c r="J417" t="str">
        <f t="shared" si="48"/>
        <v>F</v>
      </c>
    </row>
    <row r="418" spans="1:10" x14ac:dyDescent="0.25">
      <c r="A418" s="4" t="s">
        <v>41</v>
      </c>
      <c r="B418" s="1">
        <v>0.78174299999999997</v>
      </c>
      <c r="C418" s="1">
        <v>0.78416300000000005</v>
      </c>
      <c r="D418" s="1">
        <f t="shared" si="42"/>
        <v>2.4200000000000887E-3</v>
      </c>
      <c r="E418">
        <f t="shared" si="43"/>
        <v>3</v>
      </c>
      <c r="F418">
        <f t="shared" si="44"/>
        <v>29</v>
      </c>
      <c r="G418">
        <f t="shared" si="45"/>
        <v>3.48</v>
      </c>
      <c r="H418">
        <f t="shared" si="46"/>
        <v>209</v>
      </c>
      <c r="I418" s="3">
        <f t="shared" si="47"/>
        <v>86.124401913875602</v>
      </c>
      <c r="J418" t="str">
        <f t="shared" si="48"/>
        <v>F</v>
      </c>
    </row>
    <row r="419" spans="1:10" x14ac:dyDescent="0.25">
      <c r="A419" s="4" t="s">
        <v>22</v>
      </c>
      <c r="B419" s="1">
        <v>0.96167100000000005</v>
      </c>
      <c r="C419" s="1">
        <v>0.95925099999999996</v>
      </c>
      <c r="D419" s="1">
        <f t="shared" si="42"/>
        <v>2.4200000000000887E-3</v>
      </c>
      <c r="E419">
        <f t="shared" si="43"/>
        <v>3</v>
      </c>
      <c r="F419">
        <f t="shared" si="44"/>
        <v>29</v>
      </c>
      <c r="G419">
        <f t="shared" si="45"/>
        <v>3.48</v>
      </c>
      <c r="H419">
        <f t="shared" si="46"/>
        <v>209</v>
      </c>
      <c r="I419" s="3">
        <f t="shared" si="47"/>
        <v>86.124401913875602</v>
      </c>
      <c r="J419" t="str">
        <f t="shared" si="48"/>
        <v>F</v>
      </c>
    </row>
    <row r="420" spans="1:10" x14ac:dyDescent="0.25">
      <c r="A420" s="4" t="s">
        <v>355</v>
      </c>
      <c r="B420" s="1">
        <v>0.59084800000000004</v>
      </c>
      <c r="C420" s="1">
        <v>0.59326400000000001</v>
      </c>
      <c r="D420" s="1">
        <f t="shared" si="42"/>
        <v>2.4159999999999737E-3</v>
      </c>
      <c r="E420">
        <f t="shared" si="43"/>
        <v>3</v>
      </c>
      <c r="F420">
        <f t="shared" si="44"/>
        <v>29</v>
      </c>
      <c r="G420">
        <f t="shared" si="45"/>
        <v>3.48</v>
      </c>
      <c r="H420">
        <f t="shared" si="46"/>
        <v>209</v>
      </c>
      <c r="I420" s="3">
        <f t="shared" si="47"/>
        <v>86.124401913875602</v>
      </c>
      <c r="J420" t="str">
        <f t="shared" si="48"/>
        <v>F</v>
      </c>
    </row>
    <row r="421" spans="1:10" x14ac:dyDescent="0.25">
      <c r="A421" s="4" t="s">
        <v>94</v>
      </c>
      <c r="B421" s="1">
        <v>0.94168399999999997</v>
      </c>
      <c r="C421" s="1">
        <v>0.94411999999999996</v>
      </c>
      <c r="D421" s="1">
        <f t="shared" si="42"/>
        <v>2.4359999999999937E-3</v>
      </c>
      <c r="E421">
        <f t="shared" si="43"/>
        <v>3</v>
      </c>
      <c r="F421">
        <f t="shared" si="44"/>
        <v>30</v>
      </c>
      <c r="G421">
        <f t="shared" si="45"/>
        <v>3.5</v>
      </c>
      <c r="H421">
        <f t="shared" si="46"/>
        <v>210</v>
      </c>
      <c r="I421" s="3">
        <f t="shared" si="47"/>
        <v>85.714285714285708</v>
      </c>
      <c r="J421" t="str">
        <f t="shared" si="48"/>
        <v>F</v>
      </c>
    </row>
    <row r="422" spans="1:10" x14ac:dyDescent="0.25">
      <c r="A422" s="4" t="s">
        <v>162</v>
      </c>
      <c r="B422" s="1">
        <v>0.43030000000000002</v>
      </c>
      <c r="C422" s="1">
        <v>0.432728</v>
      </c>
      <c r="D422" s="1">
        <f t="shared" si="42"/>
        <v>2.4279999999999857E-3</v>
      </c>
      <c r="E422">
        <f t="shared" si="43"/>
        <v>3</v>
      </c>
      <c r="F422">
        <f t="shared" si="44"/>
        <v>30</v>
      </c>
      <c r="G422">
        <f t="shared" si="45"/>
        <v>3.5</v>
      </c>
      <c r="H422">
        <f t="shared" si="46"/>
        <v>210</v>
      </c>
      <c r="I422" s="3">
        <f t="shared" si="47"/>
        <v>85.714285714285708</v>
      </c>
      <c r="J422" t="str">
        <f t="shared" si="48"/>
        <v>F</v>
      </c>
    </row>
    <row r="423" spans="1:10" x14ac:dyDescent="0.25">
      <c r="A423" s="4" t="s">
        <v>72</v>
      </c>
      <c r="B423" s="1">
        <v>0.44072499999999998</v>
      </c>
      <c r="C423" s="1">
        <v>0.43829299999999999</v>
      </c>
      <c r="D423" s="1">
        <f t="shared" si="42"/>
        <v>2.4319999999999897E-3</v>
      </c>
      <c r="E423">
        <f t="shared" si="43"/>
        <v>3</v>
      </c>
      <c r="F423">
        <f t="shared" si="44"/>
        <v>30</v>
      </c>
      <c r="G423">
        <f t="shared" si="45"/>
        <v>3.5</v>
      </c>
      <c r="H423">
        <f t="shared" si="46"/>
        <v>210</v>
      </c>
      <c r="I423" s="3">
        <f t="shared" si="47"/>
        <v>85.714285714285708</v>
      </c>
      <c r="J423" t="str">
        <f t="shared" si="48"/>
        <v>F</v>
      </c>
    </row>
    <row r="424" spans="1:10" x14ac:dyDescent="0.25">
      <c r="A424" s="4" t="s">
        <v>375</v>
      </c>
      <c r="B424" s="1">
        <v>0.41383199999999998</v>
      </c>
      <c r="C424" s="1">
        <v>0.41626000000000002</v>
      </c>
      <c r="D424" s="1">
        <f t="shared" si="42"/>
        <v>2.4280000000000412E-3</v>
      </c>
      <c r="E424">
        <f t="shared" si="43"/>
        <v>3</v>
      </c>
      <c r="F424">
        <f t="shared" si="44"/>
        <v>30</v>
      </c>
      <c r="G424">
        <f t="shared" si="45"/>
        <v>3.5</v>
      </c>
      <c r="H424">
        <f t="shared" si="46"/>
        <v>210</v>
      </c>
      <c r="I424" s="3">
        <f t="shared" si="47"/>
        <v>85.714285714285708</v>
      </c>
      <c r="J424" t="str">
        <f t="shared" si="48"/>
        <v>F</v>
      </c>
    </row>
    <row r="425" spans="1:10" x14ac:dyDescent="0.25">
      <c r="A425" s="4" t="s">
        <v>414</v>
      </c>
      <c r="B425" s="1">
        <v>0.58483099999999999</v>
      </c>
      <c r="C425" s="1">
        <v>0.58725899999999998</v>
      </c>
      <c r="D425" s="1">
        <f t="shared" si="42"/>
        <v>2.4279999999999857E-3</v>
      </c>
      <c r="E425">
        <f t="shared" si="43"/>
        <v>3</v>
      </c>
      <c r="F425">
        <f t="shared" si="44"/>
        <v>30</v>
      </c>
      <c r="G425">
        <f t="shared" si="45"/>
        <v>3.5</v>
      </c>
      <c r="H425">
        <f t="shared" si="46"/>
        <v>210</v>
      </c>
      <c r="I425" s="3">
        <f t="shared" si="47"/>
        <v>85.714285714285708</v>
      </c>
      <c r="J425" t="str">
        <f t="shared" si="48"/>
        <v>F</v>
      </c>
    </row>
    <row r="426" spans="1:10" x14ac:dyDescent="0.25">
      <c r="A426" s="4" t="s">
        <v>27</v>
      </c>
      <c r="B426" s="1">
        <v>0.126585</v>
      </c>
      <c r="C426" s="1">
        <v>0.129029</v>
      </c>
      <c r="D426" s="1">
        <f t="shared" si="42"/>
        <v>2.4440000000000017E-3</v>
      </c>
      <c r="E426">
        <f t="shared" si="43"/>
        <v>3</v>
      </c>
      <c r="F426">
        <f t="shared" si="44"/>
        <v>31</v>
      </c>
      <c r="G426">
        <f t="shared" si="45"/>
        <v>3.52</v>
      </c>
      <c r="H426">
        <f t="shared" si="46"/>
        <v>211</v>
      </c>
      <c r="I426" s="3">
        <f t="shared" si="47"/>
        <v>85.308056872037923</v>
      </c>
      <c r="J426" t="str">
        <f t="shared" si="48"/>
        <v>F</v>
      </c>
    </row>
    <row r="427" spans="1:10" x14ac:dyDescent="0.25">
      <c r="A427" s="4" t="s">
        <v>109</v>
      </c>
      <c r="B427" s="1">
        <v>0.78365300000000004</v>
      </c>
      <c r="C427" s="1">
        <v>0.78609700000000005</v>
      </c>
      <c r="D427" s="1">
        <f t="shared" si="42"/>
        <v>2.4440000000000017E-3</v>
      </c>
      <c r="E427">
        <f t="shared" si="43"/>
        <v>3</v>
      </c>
      <c r="F427">
        <f t="shared" si="44"/>
        <v>31</v>
      </c>
      <c r="G427">
        <f t="shared" si="45"/>
        <v>3.52</v>
      </c>
      <c r="H427">
        <f t="shared" si="46"/>
        <v>211</v>
      </c>
      <c r="I427" s="3">
        <f t="shared" si="47"/>
        <v>85.308056872037923</v>
      </c>
      <c r="J427" t="str">
        <f t="shared" si="48"/>
        <v>F</v>
      </c>
    </row>
    <row r="428" spans="1:10" x14ac:dyDescent="0.25">
      <c r="A428" s="4" t="s">
        <v>3</v>
      </c>
      <c r="B428" s="1">
        <v>9.0769000000000002E-2</v>
      </c>
      <c r="C428" s="1">
        <v>9.3213000000000004E-2</v>
      </c>
      <c r="D428" s="1">
        <f t="shared" si="42"/>
        <v>2.4440000000000017E-3</v>
      </c>
      <c r="E428">
        <f t="shared" si="43"/>
        <v>3</v>
      </c>
      <c r="F428">
        <f t="shared" si="44"/>
        <v>31</v>
      </c>
      <c r="G428">
        <f t="shared" si="45"/>
        <v>3.52</v>
      </c>
      <c r="H428">
        <f t="shared" si="46"/>
        <v>211</v>
      </c>
      <c r="I428" s="3">
        <f t="shared" si="47"/>
        <v>85.308056872037923</v>
      </c>
      <c r="J428" t="str">
        <f t="shared" si="48"/>
        <v>F</v>
      </c>
    </row>
    <row r="429" spans="1:10" x14ac:dyDescent="0.25">
      <c r="A429" s="4" t="s">
        <v>162</v>
      </c>
      <c r="B429" s="1">
        <v>0.245144</v>
      </c>
      <c r="C429" s="1">
        <v>0.242704</v>
      </c>
      <c r="D429" s="1">
        <f t="shared" si="42"/>
        <v>2.4399999999999977E-3</v>
      </c>
      <c r="E429">
        <f t="shared" si="43"/>
        <v>3</v>
      </c>
      <c r="F429">
        <f t="shared" si="44"/>
        <v>31</v>
      </c>
      <c r="G429">
        <f t="shared" si="45"/>
        <v>3.52</v>
      </c>
      <c r="H429">
        <f t="shared" si="46"/>
        <v>211</v>
      </c>
      <c r="I429" s="3">
        <f t="shared" si="47"/>
        <v>85.308056872037923</v>
      </c>
      <c r="J429" t="str">
        <f t="shared" si="48"/>
        <v>F</v>
      </c>
    </row>
    <row r="430" spans="1:10" x14ac:dyDescent="0.25">
      <c r="A430" s="4" t="s">
        <v>102</v>
      </c>
      <c r="B430" s="1">
        <v>0.66766999999999999</v>
      </c>
      <c r="C430" s="1">
        <v>0.67010999999999998</v>
      </c>
      <c r="D430" s="1">
        <f t="shared" si="42"/>
        <v>2.4399999999999977E-3</v>
      </c>
      <c r="E430">
        <f t="shared" si="43"/>
        <v>3</v>
      </c>
      <c r="F430">
        <f t="shared" si="44"/>
        <v>31</v>
      </c>
      <c r="G430">
        <f t="shared" si="45"/>
        <v>3.52</v>
      </c>
      <c r="H430">
        <f t="shared" si="46"/>
        <v>211</v>
      </c>
      <c r="I430" s="3">
        <f t="shared" si="47"/>
        <v>85.308056872037923</v>
      </c>
      <c r="J430" t="str">
        <f t="shared" si="48"/>
        <v>F</v>
      </c>
    </row>
    <row r="431" spans="1:10" x14ac:dyDescent="0.25">
      <c r="A431" s="4" t="s">
        <v>36</v>
      </c>
      <c r="B431" s="1">
        <v>0.89885000000000004</v>
      </c>
      <c r="C431" s="1">
        <v>0.90130200000000005</v>
      </c>
      <c r="D431" s="1">
        <f t="shared" si="42"/>
        <v>2.4520000000000097E-3</v>
      </c>
      <c r="E431">
        <f t="shared" si="43"/>
        <v>3</v>
      </c>
      <c r="F431">
        <f t="shared" si="44"/>
        <v>32</v>
      </c>
      <c r="G431">
        <f t="shared" si="45"/>
        <v>3.53</v>
      </c>
      <c r="H431">
        <f t="shared" si="46"/>
        <v>212</v>
      </c>
      <c r="I431" s="3">
        <f t="shared" si="47"/>
        <v>84.905660377358487</v>
      </c>
      <c r="J431" t="str">
        <f t="shared" si="48"/>
        <v>F</v>
      </c>
    </row>
    <row r="432" spans="1:10" x14ac:dyDescent="0.25">
      <c r="A432" s="4" t="s">
        <v>51</v>
      </c>
      <c r="B432" s="1">
        <v>0.61894099999999996</v>
      </c>
      <c r="C432" s="1">
        <v>0.61649299999999996</v>
      </c>
      <c r="D432" s="1">
        <f t="shared" si="42"/>
        <v>2.4480000000000057E-3</v>
      </c>
      <c r="E432">
        <f t="shared" si="43"/>
        <v>3</v>
      </c>
      <c r="F432">
        <f t="shared" si="44"/>
        <v>32</v>
      </c>
      <c r="G432">
        <f t="shared" si="45"/>
        <v>3.53</v>
      </c>
      <c r="H432">
        <f t="shared" si="46"/>
        <v>212</v>
      </c>
      <c r="I432" s="3">
        <f t="shared" si="47"/>
        <v>84.905660377358487</v>
      </c>
      <c r="J432" t="str">
        <f t="shared" si="48"/>
        <v>F</v>
      </c>
    </row>
    <row r="433" spans="1:10" x14ac:dyDescent="0.25">
      <c r="A433" s="4" t="s">
        <v>57</v>
      </c>
      <c r="B433" s="1">
        <v>7.8621999999999997E-2</v>
      </c>
      <c r="C433" s="1">
        <v>7.6165999999999998E-2</v>
      </c>
      <c r="D433" s="1">
        <f t="shared" si="42"/>
        <v>2.4559999999999998E-3</v>
      </c>
      <c r="E433">
        <f t="shared" si="43"/>
        <v>3</v>
      </c>
      <c r="F433">
        <f t="shared" si="44"/>
        <v>32</v>
      </c>
      <c r="G433">
        <f t="shared" si="45"/>
        <v>3.53</v>
      </c>
      <c r="H433">
        <f t="shared" si="46"/>
        <v>212</v>
      </c>
      <c r="I433" s="3">
        <f t="shared" si="47"/>
        <v>84.905660377358487</v>
      </c>
      <c r="J433" t="str">
        <f t="shared" si="48"/>
        <v>F</v>
      </c>
    </row>
    <row r="434" spans="1:10" x14ac:dyDescent="0.25">
      <c r="A434" s="4" t="s">
        <v>75</v>
      </c>
      <c r="B434" s="1">
        <v>0.400312</v>
      </c>
      <c r="C434" s="1">
        <v>0.40276000000000001</v>
      </c>
      <c r="D434" s="1">
        <f t="shared" si="42"/>
        <v>2.4480000000000057E-3</v>
      </c>
      <c r="E434">
        <f t="shared" si="43"/>
        <v>3</v>
      </c>
      <c r="F434">
        <f t="shared" si="44"/>
        <v>32</v>
      </c>
      <c r="G434">
        <f t="shared" si="45"/>
        <v>3.53</v>
      </c>
      <c r="H434">
        <f t="shared" si="46"/>
        <v>212</v>
      </c>
      <c r="I434" s="3">
        <f t="shared" si="47"/>
        <v>84.905660377358487</v>
      </c>
      <c r="J434" t="str">
        <f t="shared" si="48"/>
        <v>F</v>
      </c>
    </row>
    <row r="435" spans="1:10" x14ac:dyDescent="0.25">
      <c r="A435" s="4" t="s">
        <v>99</v>
      </c>
      <c r="B435" s="1">
        <v>0.44529800000000003</v>
      </c>
      <c r="C435" s="1">
        <v>0.44776199999999999</v>
      </c>
      <c r="D435" s="1">
        <f t="shared" si="42"/>
        <v>2.4639999999999662E-3</v>
      </c>
      <c r="E435">
        <f t="shared" si="43"/>
        <v>3</v>
      </c>
      <c r="F435">
        <f t="shared" si="44"/>
        <v>33</v>
      </c>
      <c r="G435">
        <f t="shared" si="45"/>
        <v>3.55</v>
      </c>
      <c r="H435">
        <f t="shared" si="46"/>
        <v>213</v>
      </c>
      <c r="I435" s="3">
        <f t="shared" si="47"/>
        <v>84.507042253521121</v>
      </c>
      <c r="J435" t="str">
        <f t="shared" si="48"/>
        <v>F</v>
      </c>
    </row>
    <row r="436" spans="1:10" x14ac:dyDescent="0.25">
      <c r="A436" s="4" t="s">
        <v>117</v>
      </c>
      <c r="B436" s="1">
        <v>8.9881000000000003E-2</v>
      </c>
      <c r="C436" s="1">
        <v>9.2344999999999997E-2</v>
      </c>
      <c r="D436" s="1">
        <f t="shared" si="42"/>
        <v>2.463999999999994E-3</v>
      </c>
      <c r="E436">
        <f t="shared" si="43"/>
        <v>3</v>
      </c>
      <c r="F436">
        <f t="shared" si="44"/>
        <v>33</v>
      </c>
      <c r="G436">
        <f t="shared" si="45"/>
        <v>3.55</v>
      </c>
      <c r="H436">
        <f t="shared" si="46"/>
        <v>213</v>
      </c>
      <c r="I436" s="3">
        <f t="shared" si="47"/>
        <v>84.507042253521121</v>
      </c>
      <c r="J436" t="str">
        <f t="shared" si="48"/>
        <v>F</v>
      </c>
    </row>
    <row r="437" spans="1:10" x14ac:dyDescent="0.25">
      <c r="A437" s="4" t="s">
        <v>109</v>
      </c>
      <c r="B437" s="1">
        <v>0.74424900000000005</v>
      </c>
      <c r="C437" s="1">
        <v>0.74671699999999996</v>
      </c>
      <c r="D437" s="1">
        <f t="shared" si="42"/>
        <v>2.4679999999999147E-3</v>
      </c>
      <c r="E437">
        <f t="shared" si="43"/>
        <v>3</v>
      </c>
      <c r="F437">
        <f t="shared" si="44"/>
        <v>33</v>
      </c>
      <c r="G437">
        <f t="shared" si="45"/>
        <v>3.55</v>
      </c>
      <c r="H437">
        <f t="shared" si="46"/>
        <v>213</v>
      </c>
      <c r="I437" s="3">
        <f t="shared" si="47"/>
        <v>84.507042253521121</v>
      </c>
      <c r="J437" t="str">
        <f t="shared" si="48"/>
        <v>F</v>
      </c>
    </row>
    <row r="438" spans="1:10" x14ac:dyDescent="0.25">
      <c r="A438" s="4" t="s">
        <v>153</v>
      </c>
      <c r="B438" s="1">
        <v>0.36479400000000001</v>
      </c>
      <c r="C438" s="1">
        <v>0.36725799999999997</v>
      </c>
      <c r="D438" s="1">
        <f t="shared" si="42"/>
        <v>2.4639999999999662E-3</v>
      </c>
      <c r="E438">
        <f t="shared" si="43"/>
        <v>3</v>
      </c>
      <c r="F438">
        <f t="shared" si="44"/>
        <v>33</v>
      </c>
      <c r="G438">
        <f t="shared" si="45"/>
        <v>3.55</v>
      </c>
      <c r="H438">
        <f t="shared" si="46"/>
        <v>213</v>
      </c>
      <c r="I438" s="3">
        <f t="shared" si="47"/>
        <v>84.507042253521121</v>
      </c>
      <c r="J438" t="str">
        <f t="shared" si="48"/>
        <v>F</v>
      </c>
    </row>
    <row r="439" spans="1:10" x14ac:dyDescent="0.25">
      <c r="A439" s="4" t="s">
        <v>213</v>
      </c>
      <c r="B439" s="1">
        <v>0.88904300000000003</v>
      </c>
      <c r="C439" s="1">
        <v>0.88658300000000001</v>
      </c>
      <c r="D439" s="1">
        <f t="shared" si="42"/>
        <v>2.4600000000000177E-3</v>
      </c>
      <c r="E439">
        <f t="shared" si="43"/>
        <v>3</v>
      </c>
      <c r="F439">
        <f t="shared" si="44"/>
        <v>33</v>
      </c>
      <c r="G439">
        <f t="shared" si="45"/>
        <v>3.55</v>
      </c>
      <c r="H439">
        <f t="shared" si="46"/>
        <v>213</v>
      </c>
      <c r="I439" s="3">
        <f t="shared" si="47"/>
        <v>84.507042253521121</v>
      </c>
      <c r="J439" t="str">
        <f t="shared" si="48"/>
        <v>F</v>
      </c>
    </row>
    <row r="440" spans="1:10" x14ac:dyDescent="0.25">
      <c r="A440" s="4" t="s">
        <v>309</v>
      </c>
      <c r="B440" s="1">
        <v>5.6481999999999997E-2</v>
      </c>
      <c r="C440" s="1">
        <v>5.8942000000000001E-2</v>
      </c>
      <c r="D440" s="1">
        <f t="shared" si="42"/>
        <v>2.4600000000000039E-3</v>
      </c>
      <c r="E440">
        <f t="shared" si="43"/>
        <v>3</v>
      </c>
      <c r="F440">
        <f t="shared" si="44"/>
        <v>33</v>
      </c>
      <c r="G440">
        <f t="shared" si="45"/>
        <v>3.55</v>
      </c>
      <c r="H440">
        <f t="shared" si="46"/>
        <v>213</v>
      </c>
      <c r="I440" s="3">
        <f t="shared" si="47"/>
        <v>84.507042253521121</v>
      </c>
      <c r="J440" t="str">
        <f t="shared" si="48"/>
        <v>F</v>
      </c>
    </row>
    <row r="441" spans="1:10" x14ac:dyDescent="0.25">
      <c r="A441" s="4" t="s">
        <v>109</v>
      </c>
      <c r="B441" s="1">
        <v>0.73365199999999997</v>
      </c>
      <c r="C441" s="1">
        <v>0.73118000000000005</v>
      </c>
      <c r="D441" s="1">
        <f t="shared" si="42"/>
        <v>2.4719999999999187E-3</v>
      </c>
      <c r="E441">
        <f t="shared" si="43"/>
        <v>3</v>
      </c>
      <c r="F441">
        <f t="shared" si="44"/>
        <v>34</v>
      </c>
      <c r="G441">
        <f t="shared" si="45"/>
        <v>3.57</v>
      </c>
      <c r="H441">
        <f t="shared" si="46"/>
        <v>214</v>
      </c>
      <c r="I441" s="3">
        <f t="shared" si="47"/>
        <v>84.112149532710276</v>
      </c>
      <c r="J441" t="str">
        <f t="shared" si="48"/>
        <v>F</v>
      </c>
    </row>
    <row r="442" spans="1:10" x14ac:dyDescent="0.25">
      <c r="A442" s="4" t="s">
        <v>328</v>
      </c>
      <c r="B442" s="1">
        <v>0.49057000000000001</v>
      </c>
      <c r="C442" s="1">
        <v>0.49304599999999998</v>
      </c>
      <c r="D442" s="1">
        <f t="shared" si="42"/>
        <v>2.4759999999999782E-3</v>
      </c>
      <c r="E442">
        <f t="shared" si="43"/>
        <v>3</v>
      </c>
      <c r="F442">
        <f t="shared" si="44"/>
        <v>34</v>
      </c>
      <c r="G442">
        <f t="shared" si="45"/>
        <v>3.57</v>
      </c>
      <c r="H442">
        <f t="shared" si="46"/>
        <v>214</v>
      </c>
      <c r="I442" s="3">
        <f t="shared" si="47"/>
        <v>84.112149532710276</v>
      </c>
      <c r="J442" t="str">
        <f t="shared" si="48"/>
        <v>F</v>
      </c>
    </row>
    <row r="443" spans="1:10" x14ac:dyDescent="0.25">
      <c r="A443" s="4" t="s">
        <v>361</v>
      </c>
      <c r="B443" s="1">
        <v>0.45169599999999999</v>
      </c>
      <c r="C443" s="1">
        <v>0.45416800000000002</v>
      </c>
      <c r="D443" s="1">
        <f t="shared" si="42"/>
        <v>2.4720000000000297E-3</v>
      </c>
      <c r="E443">
        <f t="shared" si="43"/>
        <v>3</v>
      </c>
      <c r="F443">
        <f t="shared" si="44"/>
        <v>34</v>
      </c>
      <c r="G443">
        <f t="shared" si="45"/>
        <v>3.57</v>
      </c>
      <c r="H443">
        <f t="shared" si="46"/>
        <v>214</v>
      </c>
      <c r="I443" s="3">
        <f t="shared" si="47"/>
        <v>84.112149532710276</v>
      </c>
      <c r="J443" t="str">
        <f t="shared" si="48"/>
        <v>F</v>
      </c>
    </row>
    <row r="444" spans="1:10" x14ac:dyDescent="0.25">
      <c r="A444" s="4" t="s">
        <v>391</v>
      </c>
      <c r="B444" s="1">
        <v>8.7454000000000004E-2</v>
      </c>
      <c r="C444" s="1">
        <v>8.9934E-2</v>
      </c>
      <c r="D444" s="1">
        <f t="shared" si="42"/>
        <v>2.4799999999999961E-3</v>
      </c>
      <c r="E444">
        <f t="shared" si="43"/>
        <v>3</v>
      </c>
      <c r="F444">
        <f t="shared" si="44"/>
        <v>34</v>
      </c>
      <c r="G444">
        <f t="shared" si="45"/>
        <v>3.57</v>
      </c>
      <c r="H444">
        <f t="shared" si="46"/>
        <v>214</v>
      </c>
      <c r="I444" s="3">
        <f t="shared" si="47"/>
        <v>84.112149532710276</v>
      </c>
      <c r="J444" t="str">
        <f t="shared" si="48"/>
        <v>F</v>
      </c>
    </row>
    <row r="445" spans="1:10" x14ac:dyDescent="0.25">
      <c r="A445" s="4" t="s">
        <v>92</v>
      </c>
      <c r="B445" s="1">
        <v>0.78457500000000002</v>
      </c>
      <c r="C445" s="1">
        <v>0.78705899999999995</v>
      </c>
      <c r="D445" s="1">
        <f t="shared" si="42"/>
        <v>2.4839999999999307E-3</v>
      </c>
      <c r="E445">
        <f t="shared" si="43"/>
        <v>3</v>
      </c>
      <c r="F445">
        <f t="shared" si="44"/>
        <v>35</v>
      </c>
      <c r="G445">
        <f t="shared" si="45"/>
        <v>3.58</v>
      </c>
      <c r="H445">
        <f t="shared" si="46"/>
        <v>215</v>
      </c>
      <c r="I445" s="3">
        <f t="shared" si="47"/>
        <v>83.720930232558146</v>
      </c>
      <c r="J445" t="str">
        <f t="shared" si="48"/>
        <v>F</v>
      </c>
    </row>
    <row r="446" spans="1:10" x14ac:dyDescent="0.25">
      <c r="A446" s="4" t="s">
        <v>393</v>
      </c>
      <c r="B446" s="1">
        <v>0.93926699999999996</v>
      </c>
      <c r="C446" s="1">
        <v>0.941751</v>
      </c>
      <c r="D446" s="1">
        <f t="shared" si="42"/>
        <v>2.4840000000000417E-3</v>
      </c>
      <c r="E446">
        <f t="shared" si="43"/>
        <v>3</v>
      </c>
      <c r="F446">
        <f t="shared" si="44"/>
        <v>35</v>
      </c>
      <c r="G446">
        <f t="shared" si="45"/>
        <v>3.58</v>
      </c>
      <c r="H446">
        <f t="shared" si="46"/>
        <v>215</v>
      </c>
      <c r="I446" s="3">
        <f t="shared" si="47"/>
        <v>83.720930232558146</v>
      </c>
      <c r="J446" t="str">
        <f t="shared" si="48"/>
        <v>F</v>
      </c>
    </row>
    <row r="447" spans="1:10" x14ac:dyDescent="0.25">
      <c r="A447" s="4" t="s">
        <v>37</v>
      </c>
      <c r="B447" s="1">
        <v>0.59133800000000003</v>
      </c>
      <c r="C447" s="1">
        <v>0.59383399999999997</v>
      </c>
      <c r="D447" s="1">
        <f t="shared" si="42"/>
        <v>2.4959999999999427E-3</v>
      </c>
      <c r="E447">
        <f t="shared" si="43"/>
        <v>3</v>
      </c>
      <c r="F447">
        <f t="shared" si="44"/>
        <v>36</v>
      </c>
      <c r="G447">
        <f t="shared" si="45"/>
        <v>3.6</v>
      </c>
      <c r="H447">
        <f t="shared" si="46"/>
        <v>216</v>
      </c>
      <c r="I447" s="3">
        <f t="shared" si="47"/>
        <v>83.333333333333343</v>
      </c>
      <c r="J447" t="str">
        <f t="shared" si="48"/>
        <v>F</v>
      </c>
    </row>
    <row r="448" spans="1:10" x14ac:dyDescent="0.25">
      <c r="A448" s="4" t="s">
        <v>110</v>
      </c>
      <c r="B448" s="1">
        <v>0.56430000000000002</v>
      </c>
      <c r="C448" s="1">
        <v>0.56179999999999997</v>
      </c>
      <c r="D448" s="1">
        <f t="shared" si="42"/>
        <v>2.5000000000000577E-3</v>
      </c>
      <c r="E448">
        <f t="shared" si="43"/>
        <v>3</v>
      </c>
      <c r="F448">
        <f t="shared" si="44"/>
        <v>36</v>
      </c>
      <c r="G448">
        <f t="shared" si="45"/>
        <v>3.6</v>
      </c>
      <c r="H448">
        <f t="shared" si="46"/>
        <v>216</v>
      </c>
      <c r="I448" s="3">
        <f t="shared" si="47"/>
        <v>83.333333333333343</v>
      </c>
      <c r="J448" t="str">
        <f t="shared" si="48"/>
        <v>F</v>
      </c>
    </row>
    <row r="449" spans="1:10" x14ac:dyDescent="0.25">
      <c r="A449" s="4" t="s">
        <v>149</v>
      </c>
      <c r="B449" s="1">
        <v>0.13003200000000001</v>
      </c>
      <c r="C449" s="1">
        <v>0.13252800000000001</v>
      </c>
      <c r="D449" s="1">
        <f t="shared" si="42"/>
        <v>2.4959999999999982E-3</v>
      </c>
      <c r="E449">
        <f t="shared" si="43"/>
        <v>3</v>
      </c>
      <c r="F449">
        <f t="shared" si="44"/>
        <v>36</v>
      </c>
      <c r="G449">
        <f t="shared" si="45"/>
        <v>3.6</v>
      </c>
      <c r="H449">
        <f t="shared" si="46"/>
        <v>216</v>
      </c>
      <c r="I449" s="3">
        <f t="shared" si="47"/>
        <v>83.333333333333343</v>
      </c>
      <c r="J449" t="str">
        <f t="shared" si="48"/>
        <v>F</v>
      </c>
    </row>
    <row r="450" spans="1:10" x14ac:dyDescent="0.25">
      <c r="A450" s="4" t="s">
        <v>109</v>
      </c>
      <c r="B450" s="1">
        <v>0.19941800000000001</v>
      </c>
      <c r="C450" s="1">
        <v>0.20191799999999999</v>
      </c>
      <c r="D450" s="1">
        <f t="shared" ref="D450:D513" si="49">IF(B450&gt;C450,B450-C450,C450-B450)</f>
        <v>2.4999999999999745E-3</v>
      </c>
      <c r="E450">
        <f t="shared" ref="E450:E513" si="50">MINUTE(D450)</f>
        <v>3</v>
      </c>
      <c r="F450">
        <f t="shared" ref="F450:F513" si="51">SECOND(D450)</f>
        <v>36</v>
      </c>
      <c r="G450">
        <f t="shared" ref="G450:G513" si="52">ROUND(E450+F450/60,2)</f>
        <v>3.6</v>
      </c>
      <c r="H450">
        <f t="shared" ref="H450:H513" si="53">60*E450+F450</f>
        <v>216</v>
      </c>
      <c r="I450" s="3">
        <f t="shared" ref="I450:I513" si="54">5*(3600/H450)</f>
        <v>83.333333333333343</v>
      </c>
      <c r="J450" t="str">
        <f t="shared" ref="J450:J513" si="55">IF(MID(A450,3,2)="18","T","F")</f>
        <v>F</v>
      </c>
    </row>
    <row r="451" spans="1:10" x14ac:dyDescent="0.25">
      <c r="A451" s="4" t="s">
        <v>112</v>
      </c>
      <c r="B451" s="1">
        <v>0.82941900000000002</v>
      </c>
      <c r="C451" s="1">
        <v>0.82691499999999996</v>
      </c>
      <c r="D451" s="1">
        <f t="shared" si="49"/>
        <v>2.5040000000000617E-3</v>
      </c>
      <c r="E451">
        <f t="shared" si="50"/>
        <v>3</v>
      </c>
      <c r="F451">
        <f t="shared" si="51"/>
        <v>36</v>
      </c>
      <c r="G451">
        <f t="shared" si="52"/>
        <v>3.6</v>
      </c>
      <c r="H451">
        <f t="shared" si="53"/>
        <v>216</v>
      </c>
      <c r="I451" s="3">
        <f t="shared" si="54"/>
        <v>83.333333333333343</v>
      </c>
      <c r="J451" t="str">
        <f t="shared" si="55"/>
        <v>F</v>
      </c>
    </row>
    <row r="452" spans="1:10" x14ac:dyDescent="0.25">
      <c r="A452" s="4" t="s">
        <v>148</v>
      </c>
      <c r="B452" s="1">
        <v>0.84191199999999999</v>
      </c>
      <c r="C452" s="1">
        <v>0.84441600000000006</v>
      </c>
      <c r="D452" s="1">
        <f t="shared" si="49"/>
        <v>2.5040000000000617E-3</v>
      </c>
      <c r="E452">
        <f t="shared" si="50"/>
        <v>3</v>
      </c>
      <c r="F452">
        <f t="shared" si="51"/>
        <v>36</v>
      </c>
      <c r="G452">
        <f t="shared" si="52"/>
        <v>3.6</v>
      </c>
      <c r="H452">
        <f t="shared" si="53"/>
        <v>216</v>
      </c>
      <c r="I452" s="3">
        <f t="shared" si="54"/>
        <v>83.333333333333343</v>
      </c>
      <c r="J452" t="str">
        <f t="shared" si="55"/>
        <v>F</v>
      </c>
    </row>
    <row r="453" spans="1:10" x14ac:dyDescent="0.25">
      <c r="A453" s="4" t="s">
        <v>162</v>
      </c>
      <c r="B453" s="1">
        <v>0.576519</v>
      </c>
      <c r="C453" s="1">
        <v>0.57400300000000004</v>
      </c>
      <c r="D453" s="1">
        <f t="shared" si="49"/>
        <v>2.5159999999999627E-3</v>
      </c>
      <c r="E453">
        <f t="shared" si="50"/>
        <v>3</v>
      </c>
      <c r="F453">
        <f t="shared" si="51"/>
        <v>37</v>
      </c>
      <c r="G453">
        <f t="shared" si="52"/>
        <v>3.62</v>
      </c>
      <c r="H453">
        <f t="shared" si="53"/>
        <v>217</v>
      </c>
      <c r="I453" s="3">
        <f t="shared" si="54"/>
        <v>82.94930875576037</v>
      </c>
      <c r="J453" t="str">
        <f t="shared" si="55"/>
        <v>F</v>
      </c>
    </row>
    <row r="454" spans="1:10" x14ac:dyDescent="0.25">
      <c r="A454" s="4" t="s">
        <v>27</v>
      </c>
      <c r="B454" s="1">
        <v>0.45537100000000003</v>
      </c>
      <c r="C454" s="1">
        <v>0.45788699999999999</v>
      </c>
      <c r="D454" s="1">
        <f t="shared" si="49"/>
        <v>2.5159999999999627E-3</v>
      </c>
      <c r="E454">
        <f t="shared" si="50"/>
        <v>3</v>
      </c>
      <c r="F454">
        <f t="shared" si="51"/>
        <v>37</v>
      </c>
      <c r="G454">
        <f t="shared" si="52"/>
        <v>3.62</v>
      </c>
      <c r="H454">
        <f t="shared" si="53"/>
        <v>217</v>
      </c>
      <c r="I454" s="3">
        <f t="shared" si="54"/>
        <v>82.94930875576037</v>
      </c>
      <c r="J454" t="str">
        <f t="shared" si="55"/>
        <v>F</v>
      </c>
    </row>
    <row r="455" spans="1:10" x14ac:dyDescent="0.25">
      <c r="A455" s="4" t="s">
        <v>389</v>
      </c>
      <c r="B455" s="1">
        <v>0.62056900000000004</v>
      </c>
      <c r="C455" s="1">
        <v>0.623081</v>
      </c>
      <c r="D455" s="1">
        <f t="shared" si="49"/>
        <v>2.5119999999999587E-3</v>
      </c>
      <c r="E455">
        <f t="shared" si="50"/>
        <v>3</v>
      </c>
      <c r="F455">
        <f t="shared" si="51"/>
        <v>37</v>
      </c>
      <c r="G455">
        <f t="shared" si="52"/>
        <v>3.62</v>
      </c>
      <c r="H455">
        <f t="shared" si="53"/>
        <v>217</v>
      </c>
      <c r="I455" s="3">
        <f t="shared" si="54"/>
        <v>82.94930875576037</v>
      </c>
      <c r="J455" t="str">
        <f t="shared" si="55"/>
        <v>F</v>
      </c>
    </row>
    <row r="456" spans="1:10" x14ac:dyDescent="0.25">
      <c r="A456" s="4" t="s">
        <v>162</v>
      </c>
      <c r="B456" s="1">
        <v>0.14232400000000001</v>
      </c>
      <c r="C456" s="1">
        <v>0.144844</v>
      </c>
      <c r="D456" s="1">
        <f t="shared" si="49"/>
        <v>2.5199999999999945E-3</v>
      </c>
      <c r="E456">
        <f t="shared" si="50"/>
        <v>3</v>
      </c>
      <c r="F456">
        <f t="shared" si="51"/>
        <v>38</v>
      </c>
      <c r="G456">
        <f t="shared" si="52"/>
        <v>3.63</v>
      </c>
      <c r="H456">
        <f t="shared" si="53"/>
        <v>218</v>
      </c>
      <c r="I456" s="3">
        <f t="shared" si="54"/>
        <v>82.568807339449535</v>
      </c>
      <c r="J456" t="str">
        <f t="shared" si="55"/>
        <v>F</v>
      </c>
    </row>
    <row r="457" spans="1:10" x14ac:dyDescent="0.25">
      <c r="A457" s="4" t="s">
        <v>135</v>
      </c>
      <c r="B457" s="1">
        <v>0.55270699999999995</v>
      </c>
      <c r="C457" s="1">
        <v>0.55523100000000003</v>
      </c>
      <c r="D457" s="1">
        <f t="shared" si="49"/>
        <v>2.5240000000000817E-3</v>
      </c>
      <c r="E457">
        <f t="shared" si="50"/>
        <v>3</v>
      </c>
      <c r="F457">
        <f t="shared" si="51"/>
        <v>38</v>
      </c>
      <c r="G457">
        <f t="shared" si="52"/>
        <v>3.63</v>
      </c>
      <c r="H457">
        <f t="shared" si="53"/>
        <v>218</v>
      </c>
      <c r="I457" s="3">
        <f t="shared" si="54"/>
        <v>82.568807339449535</v>
      </c>
      <c r="J457" t="str">
        <f t="shared" si="55"/>
        <v>F</v>
      </c>
    </row>
    <row r="458" spans="1:10" x14ac:dyDescent="0.25">
      <c r="A458" s="4" t="s">
        <v>47</v>
      </c>
      <c r="B458" s="1">
        <v>0.138625</v>
      </c>
      <c r="C458" s="1">
        <v>0.14114499999999999</v>
      </c>
      <c r="D458" s="1">
        <f t="shared" si="49"/>
        <v>2.5199999999999945E-3</v>
      </c>
      <c r="E458">
        <f t="shared" si="50"/>
        <v>3</v>
      </c>
      <c r="F458">
        <f t="shared" si="51"/>
        <v>38</v>
      </c>
      <c r="G458">
        <f t="shared" si="52"/>
        <v>3.63</v>
      </c>
      <c r="H458">
        <f t="shared" si="53"/>
        <v>218</v>
      </c>
      <c r="I458" s="3">
        <f t="shared" si="54"/>
        <v>82.568807339449535</v>
      </c>
      <c r="J458" t="str">
        <f t="shared" si="55"/>
        <v>F</v>
      </c>
    </row>
    <row r="459" spans="1:10" x14ac:dyDescent="0.25">
      <c r="A459" s="4" t="s">
        <v>13</v>
      </c>
      <c r="B459" s="1">
        <v>0.188942</v>
      </c>
      <c r="C459" s="1">
        <v>0.186422</v>
      </c>
      <c r="D459" s="1">
        <f t="shared" si="49"/>
        <v>2.5199999999999945E-3</v>
      </c>
      <c r="E459">
        <f t="shared" si="50"/>
        <v>3</v>
      </c>
      <c r="F459">
        <f t="shared" si="51"/>
        <v>38</v>
      </c>
      <c r="G459">
        <f t="shared" si="52"/>
        <v>3.63</v>
      </c>
      <c r="H459">
        <f t="shared" si="53"/>
        <v>218</v>
      </c>
      <c r="I459" s="3">
        <f t="shared" si="54"/>
        <v>82.568807339449535</v>
      </c>
      <c r="J459" t="str">
        <f t="shared" si="55"/>
        <v>F</v>
      </c>
    </row>
    <row r="460" spans="1:10" x14ac:dyDescent="0.25">
      <c r="A460" s="4" t="s">
        <v>108</v>
      </c>
      <c r="B460" s="1">
        <v>9.1436000000000003E-2</v>
      </c>
      <c r="C460" s="1">
        <v>9.3964000000000006E-2</v>
      </c>
      <c r="D460" s="1">
        <f t="shared" si="49"/>
        <v>2.5280000000000025E-3</v>
      </c>
      <c r="E460">
        <f t="shared" si="50"/>
        <v>3</v>
      </c>
      <c r="F460">
        <f t="shared" si="51"/>
        <v>38</v>
      </c>
      <c r="G460">
        <f t="shared" si="52"/>
        <v>3.63</v>
      </c>
      <c r="H460">
        <f t="shared" si="53"/>
        <v>218</v>
      </c>
      <c r="I460" s="3">
        <f t="shared" si="54"/>
        <v>82.568807339449535</v>
      </c>
      <c r="J460" t="str">
        <f t="shared" si="55"/>
        <v>F</v>
      </c>
    </row>
    <row r="461" spans="1:10" x14ac:dyDescent="0.25">
      <c r="A461" s="4" t="s">
        <v>193</v>
      </c>
      <c r="B461" s="1">
        <v>0.122076</v>
      </c>
      <c r="C461" s="1">
        <v>0.12460400000000001</v>
      </c>
      <c r="D461" s="1">
        <f t="shared" si="49"/>
        <v>2.5280000000000025E-3</v>
      </c>
      <c r="E461">
        <f t="shared" si="50"/>
        <v>3</v>
      </c>
      <c r="F461">
        <f t="shared" si="51"/>
        <v>38</v>
      </c>
      <c r="G461">
        <f t="shared" si="52"/>
        <v>3.63</v>
      </c>
      <c r="H461">
        <f t="shared" si="53"/>
        <v>218</v>
      </c>
      <c r="I461" s="3">
        <f t="shared" si="54"/>
        <v>82.568807339449535</v>
      </c>
      <c r="J461" t="str">
        <f t="shared" si="55"/>
        <v>F</v>
      </c>
    </row>
    <row r="462" spans="1:10" x14ac:dyDescent="0.25">
      <c r="A462" s="4" t="s">
        <v>285</v>
      </c>
      <c r="B462" s="1">
        <v>0.58929100000000001</v>
      </c>
      <c r="C462" s="1">
        <v>0.59181099999999998</v>
      </c>
      <c r="D462" s="1">
        <f t="shared" si="49"/>
        <v>2.5199999999999667E-3</v>
      </c>
      <c r="E462">
        <f t="shared" si="50"/>
        <v>3</v>
      </c>
      <c r="F462">
        <f t="shared" si="51"/>
        <v>38</v>
      </c>
      <c r="G462">
        <f t="shared" si="52"/>
        <v>3.63</v>
      </c>
      <c r="H462">
        <f t="shared" si="53"/>
        <v>218</v>
      </c>
      <c r="I462" s="3">
        <f t="shared" si="54"/>
        <v>82.568807339449535</v>
      </c>
      <c r="J462" t="str">
        <f t="shared" si="55"/>
        <v>F</v>
      </c>
    </row>
    <row r="463" spans="1:10" x14ac:dyDescent="0.25">
      <c r="A463" s="4" t="s">
        <v>344</v>
      </c>
      <c r="B463" s="1">
        <v>0.35687200000000002</v>
      </c>
      <c r="C463" s="1">
        <v>0.3594</v>
      </c>
      <c r="D463" s="1">
        <f t="shared" si="49"/>
        <v>2.5279999999999747E-3</v>
      </c>
      <c r="E463">
        <f t="shared" si="50"/>
        <v>3</v>
      </c>
      <c r="F463">
        <f t="shared" si="51"/>
        <v>38</v>
      </c>
      <c r="G463">
        <f t="shared" si="52"/>
        <v>3.63</v>
      </c>
      <c r="H463">
        <f t="shared" si="53"/>
        <v>218</v>
      </c>
      <c r="I463" s="3">
        <f t="shared" si="54"/>
        <v>82.568807339449535</v>
      </c>
      <c r="J463" t="str">
        <f t="shared" si="55"/>
        <v>F</v>
      </c>
    </row>
    <row r="464" spans="1:10" x14ac:dyDescent="0.25">
      <c r="A464" s="4" t="s">
        <v>368</v>
      </c>
      <c r="B464" s="1">
        <v>3.1189999999999999E-2</v>
      </c>
      <c r="C464" s="1">
        <v>2.8662E-2</v>
      </c>
      <c r="D464" s="1">
        <f t="shared" si="49"/>
        <v>2.527999999999999E-3</v>
      </c>
      <c r="E464">
        <f t="shared" si="50"/>
        <v>3</v>
      </c>
      <c r="F464">
        <f t="shared" si="51"/>
        <v>38</v>
      </c>
      <c r="G464">
        <f t="shared" si="52"/>
        <v>3.63</v>
      </c>
      <c r="H464">
        <f t="shared" si="53"/>
        <v>218</v>
      </c>
      <c r="I464" s="3">
        <f t="shared" si="54"/>
        <v>82.568807339449535</v>
      </c>
      <c r="J464" t="str">
        <f t="shared" si="55"/>
        <v>F</v>
      </c>
    </row>
    <row r="465" spans="1:10" x14ac:dyDescent="0.25">
      <c r="A465" s="4" t="s">
        <v>405</v>
      </c>
      <c r="B465" s="1">
        <v>0.90301600000000004</v>
      </c>
      <c r="C465" s="1">
        <v>0.90554000000000001</v>
      </c>
      <c r="D465" s="1">
        <f t="shared" si="49"/>
        <v>2.5239999999999707E-3</v>
      </c>
      <c r="E465">
        <f t="shared" si="50"/>
        <v>3</v>
      </c>
      <c r="F465">
        <f t="shared" si="51"/>
        <v>38</v>
      </c>
      <c r="G465">
        <f t="shared" si="52"/>
        <v>3.63</v>
      </c>
      <c r="H465">
        <f t="shared" si="53"/>
        <v>218</v>
      </c>
      <c r="I465" s="3">
        <f t="shared" si="54"/>
        <v>82.568807339449535</v>
      </c>
      <c r="J465" t="str">
        <f t="shared" si="55"/>
        <v>F</v>
      </c>
    </row>
    <row r="466" spans="1:10" x14ac:dyDescent="0.25">
      <c r="A466" s="4" t="s">
        <v>413</v>
      </c>
      <c r="B466" s="1">
        <v>0.91312199999999999</v>
      </c>
      <c r="C466" s="1">
        <v>0.91059800000000002</v>
      </c>
      <c r="D466" s="1">
        <f t="shared" si="49"/>
        <v>2.5239999999999707E-3</v>
      </c>
      <c r="E466">
        <f t="shared" si="50"/>
        <v>3</v>
      </c>
      <c r="F466">
        <f t="shared" si="51"/>
        <v>38</v>
      </c>
      <c r="G466">
        <f t="shared" si="52"/>
        <v>3.63</v>
      </c>
      <c r="H466">
        <f t="shared" si="53"/>
        <v>218</v>
      </c>
      <c r="I466" s="3">
        <f t="shared" si="54"/>
        <v>82.568807339449535</v>
      </c>
      <c r="J466" t="str">
        <f t="shared" si="55"/>
        <v>F</v>
      </c>
    </row>
    <row r="467" spans="1:10" x14ac:dyDescent="0.25">
      <c r="A467" s="4" t="s">
        <v>72</v>
      </c>
      <c r="B467" s="1">
        <v>0.43932300000000002</v>
      </c>
      <c r="C467" s="1">
        <v>0.43679099999999998</v>
      </c>
      <c r="D467" s="1">
        <f t="shared" si="49"/>
        <v>2.5320000000000342E-3</v>
      </c>
      <c r="E467">
        <f t="shared" si="50"/>
        <v>3</v>
      </c>
      <c r="F467">
        <f t="shared" si="51"/>
        <v>39</v>
      </c>
      <c r="G467">
        <f t="shared" si="52"/>
        <v>3.65</v>
      </c>
      <c r="H467">
        <f t="shared" si="53"/>
        <v>219</v>
      </c>
      <c r="I467" s="3">
        <f t="shared" si="54"/>
        <v>82.191780821917817</v>
      </c>
      <c r="J467" t="str">
        <f t="shared" si="55"/>
        <v>F</v>
      </c>
    </row>
    <row r="468" spans="1:10" x14ac:dyDescent="0.25">
      <c r="A468" s="4" t="s">
        <v>85</v>
      </c>
      <c r="B468" s="1">
        <v>0.49402400000000002</v>
      </c>
      <c r="C468" s="1">
        <v>0.49656800000000001</v>
      </c>
      <c r="D468" s="1">
        <f t="shared" si="49"/>
        <v>2.5439999999999907E-3</v>
      </c>
      <c r="E468">
        <f t="shared" si="50"/>
        <v>3</v>
      </c>
      <c r="F468">
        <f t="shared" si="51"/>
        <v>40</v>
      </c>
      <c r="G468">
        <f t="shared" si="52"/>
        <v>3.67</v>
      </c>
      <c r="H468">
        <f t="shared" si="53"/>
        <v>220</v>
      </c>
      <c r="I468" s="3">
        <f t="shared" si="54"/>
        <v>81.818181818181813</v>
      </c>
      <c r="J468" t="str">
        <f t="shared" si="55"/>
        <v>F</v>
      </c>
    </row>
    <row r="469" spans="1:10" x14ac:dyDescent="0.25">
      <c r="A469" s="4" t="s">
        <v>74</v>
      </c>
      <c r="B469" s="1">
        <v>0.78240200000000004</v>
      </c>
      <c r="C469" s="1">
        <v>0.78495400000000004</v>
      </c>
      <c r="D469" s="1">
        <f t="shared" si="49"/>
        <v>2.5519999999999987E-3</v>
      </c>
      <c r="E469">
        <f t="shared" si="50"/>
        <v>3</v>
      </c>
      <c r="F469">
        <f t="shared" si="51"/>
        <v>40</v>
      </c>
      <c r="G469">
        <f t="shared" si="52"/>
        <v>3.67</v>
      </c>
      <c r="H469">
        <f t="shared" si="53"/>
        <v>220</v>
      </c>
      <c r="I469" s="3">
        <f t="shared" si="54"/>
        <v>81.818181818181813</v>
      </c>
      <c r="J469" t="str">
        <f t="shared" si="55"/>
        <v>F</v>
      </c>
    </row>
    <row r="470" spans="1:10" x14ac:dyDescent="0.25">
      <c r="A470" s="4" t="s">
        <v>12</v>
      </c>
      <c r="B470" s="1">
        <v>0.84136299999999997</v>
      </c>
      <c r="C470" s="1">
        <v>0.83881899999999998</v>
      </c>
      <c r="D470" s="1">
        <f t="shared" si="49"/>
        <v>2.5439999999999907E-3</v>
      </c>
      <c r="E470">
        <f t="shared" si="50"/>
        <v>3</v>
      </c>
      <c r="F470">
        <f t="shared" si="51"/>
        <v>40</v>
      </c>
      <c r="G470">
        <f t="shared" si="52"/>
        <v>3.67</v>
      </c>
      <c r="H470">
        <f t="shared" si="53"/>
        <v>220</v>
      </c>
      <c r="I470" s="3">
        <f t="shared" si="54"/>
        <v>81.818181818181813</v>
      </c>
      <c r="J470" t="str">
        <f t="shared" si="55"/>
        <v>F</v>
      </c>
    </row>
    <row r="471" spans="1:10" x14ac:dyDescent="0.25">
      <c r="A471" s="4" t="s">
        <v>54</v>
      </c>
      <c r="B471" s="1">
        <v>0.70056799999999997</v>
      </c>
      <c r="C471" s="1">
        <v>0.70311999999999997</v>
      </c>
      <c r="D471" s="1">
        <f t="shared" si="49"/>
        <v>2.5519999999999987E-3</v>
      </c>
      <c r="E471">
        <f t="shared" si="50"/>
        <v>3</v>
      </c>
      <c r="F471">
        <f t="shared" si="51"/>
        <v>40</v>
      </c>
      <c r="G471">
        <f t="shared" si="52"/>
        <v>3.67</v>
      </c>
      <c r="H471">
        <f t="shared" si="53"/>
        <v>220</v>
      </c>
      <c r="I471" s="3">
        <f t="shared" si="54"/>
        <v>81.818181818181813</v>
      </c>
      <c r="J471" t="str">
        <f t="shared" si="55"/>
        <v>F</v>
      </c>
    </row>
    <row r="472" spans="1:10" x14ac:dyDescent="0.25">
      <c r="A472" s="4" t="s">
        <v>71</v>
      </c>
      <c r="B472" s="1">
        <v>0.69348799999999999</v>
      </c>
      <c r="C472" s="1">
        <v>0.69093599999999999</v>
      </c>
      <c r="D472" s="1">
        <f t="shared" si="49"/>
        <v>2.5519999999999987E-3</v>
      </c>
      <c r="E472">
        <f t="shared" si="50"/>
        <v>3</v>
      </c>
      <c r="F472">
        <f t="shared" si="51"/>
        <v>40</v>
      </c>
      <c r="G472">
        <f t="shared" si="52"/>
        <v>3.67</v>
      </c>
      <c r="H472">
        <f t="shared" si="53"/>
        <v>220</v>
      </c>
      <c r="I472" s="3">
        <f t="shared" si="54"/>
        <v>81.818181818181813</v>
      </c>
      <c r="J472" t="str">
        <f t="shared" si="55"/>
        <v>F</v>
      </c>
    </row>
    <row r="473" spans="1:10" x14ac:dyDescent="0.25">
      <c r="A473" s="4" t="s">
        <v>206</v>
      </c>
      <c r="B473" s="1">
        <v>0.65591200000000005</v>
      </c>
      <c r="C473" s="1">
        <v>0.65336000000000005</v>
      </c>
      <c r="D473" s="1">
        <f t="shared" si="49"/>
        <v>2.5519999999999987E-3</v>
      </c>
      <c r="E473">
        <f t="shared" si="50"/>
        <v>3</v>
      </c>
      <c r="F473">
        <f t="shared" si="51"/>
        <v>40</v>
      </c>
      <c r="G473">
        <f t="shared" si="52"/>
        <v>3.67</v>
      </c>
      <c r="H473">
        <f t="shared" si="53"/>
        <v>220</v>
      </c>
      <c r="I473" s="3">
        <f t="shared" si="54"/>
        <v>81.818181818181813</v>
      </c>
      <c r="J473" t="str">
        <f t="shared" si="55"/>
        <v>F</v>
      </c>
    </row>
    <row r="474" spans="1:10" x14ac:dyDescent="0.25">
      <c r="A474" s="4" t="s">
        <v>95</v>
      </c>
      <c r="B474" s="1">
        <v>0.75181399999999998</v>
      </c>
      <c r="C474" s="1">
        <v>0.74925399999999998</v>
      </c>
      <c r="D474" s="1">
        <f t="shared" si="49"/>
        <v>2.5600000000000067E-3</v>
      </c>
      <c r="E474">
        <f t="shared" si="50"/>
        <v>3</v>
      </c>
      <c r="F474">
        <f t="shared" si="51"/>
        <v>41</v>
      </c>
      <c r="G474">
        <f t="shared" si="52"/>
        <v>3.68</v>
      </c>
      <c r="H474">
        <f t="shared" si="53"/>
        <v>221</v>
      </c>
      <c r="I474" s="3">
        <f t="shared" si="54"/>
        <v>81.447963800904972</v>
      </c>
      <c r="J474" t="str">
        <f t="shared" si="55"/>
        <v>F</v>
      </c>
    </row>
    <row r="475" spans="1:10" x14ac:dyDescent="0.25">
      <c r="A475" s="4" t="s">
        <v>75</v>
      </c>
      <c r="B475" s="1">
        <v>0.294576</v>
      </c>
      <c r="C475" s="1">
        <v>0.292016</v>
      </c>
      <c r="D475" s="1">
        <f t="shared" si="49"/>
        <v>2.5600000000000067E-3</v>
      </c>
      <c r="E475">
        <f t="shared" si="50"/>
        <v>3</v>
      </c>
      <c r="F475">
        <f t="shared" si="51"/>
        <v>41</v>
      </c>
      <c r="G475">
        <f t="shared" si="52"/>
        <v>3.68</v>
      </c>
      <c r="H475">
        <f t="shared" si="53"/>
        <v>221</v>
      </c>
      <c r="I475" s="3">
        <f t="shared" si="54"/>
        <v>81.447963800904972</v>
      </c>
      <c r="J475" t="str">
        <f t="shared" si="55"/>
        <v>F</v>
      </c>
    </row>
    <row r="476" spans="1:10" x14ac:dyDescent="0.25">
      <c r="A476" s="4" t="s">
        <v>41</v>
      </c>
      <c r="B476" s="1">
        <v>0.186281</v>
      </c>
      <c r="C476" s="1">
        <v>0.18371299999999999</v>
      </c>
      <c r="D476" s="1">
        <f t="shared" si="49"/>
        <v>2.5680000000000147E-3</v>
      </c>
      <c r="E476">
        <f t="shared" si="50"/>
        <v>3</v>
      </c>
      <c r="F476">
        <f t="shared" si="51"/>
        <v>42</v>
      </c>
      <c r="G476">
        <f t="shared" si="52"/>
        <v>3.7</v>
      </c>
      <c r="H476">
        <f t="shared" si="53"/>
        <v>222</v>
      </c>
      <c r="I476" s="3">
        <f t="shared" si="54"/>
        <v>81.081081081081095</v>
      </c>
      <c r="J476" t="str">
        <f t="shared" si="55"/>
        <v>F</v>
      </c>
    </row>
    <row r="477" spans="1:10" x14ac:dyDescent="0.25">
      <c r="A477" s="4" t="s">
        <v>131</v>
      </c>
      <c r="B477" s="1">
        <v>5.3295000000000002E-2</v>
      </c>
      <c r="C477" s="1">
        <v>5.0727000000000001E-2</v>
      </c>
      <c r="D477" s="1">
        <f t="shared" si="49"/>
        <v>2.5680000000000008E-3</v>
      </c>
      <c r="E477">
        <f t="shared" si="50"/>
        <v>3</v>
      </c>
      <c r="F477">
        <f t="shared" si="51"/>
        <v>42</v>
      </c>
      <c r="G477">
        <f t="shared" si="52"/>
        <v>3.7</v>
      </c>
      <c r="H477">
        <f t="shared" si="53"/>
        <v>222</v>
      </c>
      <c r="I477" s="3">
        <f t="shared" si="54"/>
        <v>81.081081081081095</v>
      </c>
      <c r="J477" t="str">
        <f t="shared" si="55"/>
        <v>F</v>
      </c>
    </row>
    <row r="478" spans="1:10" x14ac:dyDescent="0.25">
      <c r="A478" s="4" t="s">
        <v>38</v>
      </c>
      <c r="B478" s="1">
        <v>0.72344799999999998</v>
      </c>
      <c r="C478" s="1">
        <v>0.72086399999999995</v>
      </c>
      <c r="D478" s="1">
        <f t="shared" si="49"/>
        <v>2.5840000000000307E-3</v>
      </c>
      <c r="E478">
        <f t="shared" si="50"/>
        <v>3</v>
      </c>
      <c r="F478">
        <f t="shared" si="51"/>
        <v>43</v>
      </c>
      <c r="G478">
        <f t="shared" si="52"/>
        <v>3.72</v>
      </c>
      <c r="H478">
        <f t="shared" si="53"/>
        <v>223</v>
      </c>
      <c r="I478" s="3">
        <f t="shared" si="54"/>
        <v>80.717488789237677</v>
      </c>
      <c r="J478" t="str">
        <f t="shared" si="55"/>
        <v>F</v>
      </c>
    </row>
    <row r="479" spans="1:10" x14ac:dyDescent="0.25">
      <c r="A479" s="4" t="s">
        <v>13</v>
      </c>
      <c r="B479" s="1">
        <v>0.20627400000000001</v>
      </c>
      <c r="C479" s="1">
        <v>0.20369799999999999</v>
      </c>
      <c r="D479" s="1">
        <f t="shared" si="49"/>
        <v>2.5760000000000227E-3</v>
      </c>
      <c r="E479">
        <f t="shared" si="50"/>
        <v>3</v>
      </c>
      <c r="F479">
        <f t="shared" si="51"/>
        <v>43</v>
      </c>
      <c r="G479">
        <f t="shared" si="52"/>
        <v>3.72</v>
      </c>
      <c r="H479">
        <f t="shared" si="53"/>
        <v>223</v>
      </c>
      <c r="I479" s="3">
        <f t="shared" si="54"/>
        <v>80.717488789237677</v>
      </c>
      <c r="J479" t="str">
        <f t="shared" si="55"/>
        <v>F</v>
      </c>
    </row>
    <row r="480" spans="1:10" x14ac:dyDescent="0.25">
      <c r="A480" s="4" t="s">
        <v>27</v>
      </c>
      <c r="B480" s="1">
        <v>0.15427399999999999</v>
      </c>
      <c r="C480" s="1">
        <v>0.151698</v>
      </c>
      <c r="D480" s="1">
        <f t="shared" si="49"/>
        <v>2.575999999999995E-3</v>
      </c>
      <c r="E480">
        <f t="shared" si="50"/>
        <v>3</v>
      </c>
      <c r="F480">
        <f t="shared" si="51"/>
        <v>43</v>
      </c>
      <c r="G480">
        <f t="shared" si="52"/>
        <v>3.72</v>
      </c>
      <c r="H480">
        <f t="shared" si="53"/>
        <v>223</v>
      </c>
      <c r="I480" s="3">
        <f t="shared" si="54"/>
        <v>80.717488789237677</v>
      </c>
      <c r="J480" t="str">
        <f t="shared" si="55"/>
        <v>F</v>
      </c>
    </row>
    <row r="481" spans="1:10" x14ac:dyDescent="0.25">
      <c r="A481" s="4" t="s">
        <v>261</v>
      </c>
      <c r="B481" s="1">
        <v>0.34346399999999999</v>
      </c>
      <c r="C481" s="1">
        <v>0.34604400000000002</v>
      </c>
      <c r="D481" s="1">
        <f t="shared" si="49"/>
        <v>2.5800000000000267E-3</v>
      </c>
      <c r="E481">
        <f t="shared" si="50"/>
        <v>3</v>
      </c>
      <c r="F481">
        <f t="shared" si="51"/>
        <v>43</v>
      </c>
      <c r="G481">
        <f t="shared" si="52"/>
        <v>3.72</v>
      </c>
      <c r="H481">
        <f t="shared" si="53"/>
        <v>223</v>
      </c>
      <c r="I481" s="3">
        <f t="shared" si="54"/>
        <v>80.717488789237677</v>
      </c>
      <c r="J481" t="str">
        <f t="shared" si="55"/>
        <v>F</v>
      </c>
    </row>
    <row r="482" spans="1:10" x14ac:dyDescent="0.25">
      <c r="A482" s="4" t="s">
        <v>427</v>
      </c>
      <c r="B482" s="1">
        <v>2.5694999999999999E-2</v>
      </c>
      <c r="C482" s="1">
        <v>2.3115E-2</v>
      </c>
      <c r="D482" s="1">
        <f t="shared" si="49"/>
        <v>2.579999999999999E-3</v>
      </c>
      <c r="E482">
        <f t="shared" si="50"/>
        <v>3</v>
      </c>
      <c r="F482">
        <f t="shared" si="51"/>
        <v>43</v>
      </c>
      <c r="G482">
        <f t="shared" si="52"/>
        <v>3.72</v>
      </c>
      <c r="H482">
        <f t="shared" si="53"/>
        <v>223</v>
      </c>
      <c r="I482" s="3">
        <f t="shared" si="54"/>
        <v>80.717488789237677</v>
      </c>
      <c r="J482" t="str">
        <f t="shared" si="55"/>
        <v>F</v>
      </c>
    </row>
    <row r="483" spans="1:10" x14ac:dyDescent="0.25">
      <c r="A483" s="4" t="s">
        <v>71</v>
      </c>
      <c r="B483" s="1">
        <v>0.61365199999999998</v>
      </c>
      <c r="C483" s="1">
        <v>0.61106000000000005</v>
      </c>
      <c r="D483" s="1">
        <f t="shared" si="49"/>
        <v>2.5919999999999277E-3</v>
      </c>
      <c r="E483">
        <f t="shared" si="50"/>
        <v>3</v>
      </c>
      <c r="F483">
        <f t="shared" si="51"/>
        <v>44</v>
      </c>
      <c r="G483">
        <f t="shared" si="52"/>
        <v>3.73</v>
      </c>
      <c r="H483">
        <f t="shared" si="53"/>
        <v>224</v>
      </c>
      <c r="I483" s="3">
        <f t="shared" si="54"/>
        <v>80.357142857142861</v>
      </c>
      <c r="J483" t="str">
        <f t="shared" si="55"/>
        <v>F</v>
      </c>
    </row>
    <row r="484" spans="1:10" x14ac:dyDescent="0.25">
      <c r="A484" s="4" t="s">
        <v>127</v>
      </c>
      <c r="B484" s="1">
        <v>0.74746999999999997</v>
      </c>
      <c r="C484" s="1">
        <v>0.74487400000000004</v>
      </c>
      <c r="D484" s="1">
        <f t="shared" si="49"/>
        <v>2.5959999999999317E-3</v>
      </c>
      <c r="E484">
        <f t="shared" si="50"/>
        <v>3</v>
      </c>
      <c r="F484">
        <f t="shared" si="51"/>
        <v>44</v>
      </c>
      <c r="G484">
        <f t="shared" si="52"/>
        <v>3.73</v>
      </c>
      <c r="H484">
        <f t="shared" si="53"/>
        <v>224</v>
      </c>
      <c r="I484" s="3">
        <f t="shared" si="54"/>
        <v>80.357142857142861</v>
      </c>
      <c r="J484" t="str">
        <f t="shared" si="55"/>
        <v>F</v>
      </c>
    </row>
    <row r="485" spans="1:10" x14ac:dyDescent="0.25">
      <c r="A485" s="4" t="s">
        <v>148</v>
      </c>
      <c r="B485" s="1">
        <v>0.924647</v>
      </c>
      <c r="C485" s="1">
        <v>0.92724300000000004</v>
      </c>
      <c r="D485" s="1">
        <f t="shared" si="49"/>
        <v>2.5960000000000427E-3</v>
      </c>
      <c r="E485">
        <f t="shared" si="50"/>
        <v>3</v>
      </c>
      <c r="F485">
        <f t="shared" si="51"/>
        <v>44</v>
      </c>
      <c r="G485">
        <f t="shared" si="52"/>
        <v>3.73</v>
      </c>
      <c r="H485">
        <f t="shared" si="53"/>
        <v>224</v>
      </c>
      <c r="I485" s="3">
        <f t="shared" si="54"/>
        <v>80.357142857142861</v>
      </c>
      <c r="J485" t="str">
        <f t="shared" si="55"/>
        <v>F</v>
      </c>
    </row>
    <row r="486" spans="1:10" x14ac:dyDescent="0.25">
      <c r="A486" s="4" t="s">
        <v>162</v>
      </c>
      <c r="B486" s="1">
        <v>0.72762800000000005</v>
      </c>
      <c r="C486" s="1">
        <v>0.73021999999999998</v>
      </c>
      <c r="D486" s="1">
        <f t="shared" si="49"/>
        <v>2.5919999999999277E-3</v>
      </c>
      <c r="E486">
        <f t="shared" si="50"/>
        <v>3</v>
      </c>
      <c r="F486">
        <f t="shared" si="51"/>
        <v>44</v>
      </c>
      <c r="G486">
        <f t="shared" si="52"/>
        <v>3.73</v>
      </c>
      <c r="H486">
        <f t="shared" si="53"/>
        <v>224</v>
      </c>
      <c r="I486" s="3">
        <f t="shared" si="54"/>
        <v>80.357142857142861</v>
      </c>
      <c r="J486" t="str">
        <f t="shared" si="55"/>
        <v>F</v>
      </c>
    </row>
    <row r="487" spans="1:10" x14ac:dyDescent="0.25">
      <c r="A487" s="4" t="s">
        <v>160</v>
      </c>
      <c r="B487" s="1">
        <v>1.9332999999999999E-2</v>
      </c>
      <c r="C487" s="1">
        <v>1.6733000000000001E-2</v>
      </c>
      <c r="D487" s="1">
        <f t="shared" si="49"/>
        <v>2.5999999999999981E-3</v>
      </c>
      <c r="E487">
        <f t="shared" si="50"/>
        <v>3</v>
      </c>
      <c r="F487">
        <f t="shared" si="51"/>
        <v>45</v>
      </c>
      <c r="G487">
        <f t="shared" si="52"/>
        <v>3.75</v>
      </c>
      <c r="H487">
        <f t="shared" si="53"/>
        <v>225</v>
      </c>
      <c r="I487" s="3">
        <f t="shared" si="54"/>
        <v>80</v>
      </c>
      <c r="J487" t="str">
        <f t="shared" si="55"/>
        <v>F</v>
      </c>
    </row>
    <row r="488" spans="1:10" x14ac:dyDescent="0.25">
      <c r="A488" s="4" t="s">
        <v>60</v>
      </c>
      <c r="B488" s="1">
        <v>0.97160000000000002</v>
      </c>
      <c r="C488" s="1">
        <v>0.96899999999999997</v>
      </c>
      <c r="D488" s="1">
        <f t="shared" si="49"/>
        <v>2.6000000000000467E-3</v>
      </c>
      <c r="E488">
        <f t="shared" si="50"/>
        <v>3</v>
      </c>
      <c r="F488">
        <f t="shared" si="51"/>
        <v>45</v>
      </c>
      <c r="G488">
        <f t="shared" si="52"/>
        <v>3.75</v>
      </c>
      <c r="H488">
        <f t="shared" si="53"/>
        <v>225</v>
      </c>
      <c r="I488" s="3">
        <f t="shared" si="54"/>
        <v>80</v>
      </c>
      <c r="J488" t="str">
        <f t="shared" si="55"/>
        <v>F</v>
      </c>
    </row>
    <row r="489" spans="1:10" x14ac:dyDescent="0.25">
      <c r="A489" s="4" t="s">
        <v>81</v>
      </c>
      <c r="B489" s="1">
        <v>0.83649600000000002</v>
      </c>
      <c r="C489" s="1">
        <v>0.83909599999999995</v>
      </c>
      <c r="D489" s="1">
        <f t="shared" si="49"/>
        <v>2.5999999999999357E-3</v>
      </c>
      <c r="E489">
        <f t="shared" si="50"/>
        <v>3</v>
      </c>
      <c r="F489">
        <f t="shared" si="51"/>
        <v>45</v>
      </c>
      <c r="G489">
        <f t="shared" si="52"/>
        <v>3.75</v>
      </c>
      <c r="H489">
        <f t="shared" si="53"/>
        <v>225</v>
      </c>
      <c r="I489" s="3">
        <f t="shared" si="54"/>
        <v>80</v>
      </c>
      <c r="J489" t="str">
        <f t="shared" si="55"/>
        <v>F</v>
      </c>
    </row>
    <row r="490" spans="1:10" x14ac:dyDescent="0.25">
      <c r="A490" s="4" t="s">
        <v>121</v>
      </c>
      <c r="B490" s="1">
        <v>0.49061199999999999</v>
      </c>
      <c r="C490" s="1">
        <v>0.48800399999999999</v>
      </c>
      <c r="D490" s="1">
        <f t="shared" si="49"/>
        <v>2.6079999999999992E-3</v>
      </c>
      <c r="E490">
        <f t="shared" si="50"/>
        <v>3</v>
      </c>
      <c r="F490">
        <f t="shared" si="51"/>
        <v>45</v>
      </c>
      <c r="G490">
        <f t="shared" si="52"/>
        <v>3.75</v>
      </c>
      <c r="H490">
        <f t="shared" si="53"/>
        <v>225</v>
      </c>
      <c r="I490" s="3">
        <f t="shared" si="54"/>
        <v>80</v>
      </c>
      <c r="J490" t="str">
        <f t="shared" si="55"/>
        <v>F</v>
      </c>
    </row>
    <row r="491" spans="1:10" x14ac:dyDescent="0.25">
      <c r="A491" s="4" t="s">
        <v>72</v>
      </c>
      <c r="B491" s="1">
        <v>0.40520400000000001</v>
      </c>
      <c r="C491" s="1">
        <v>0.40260400000000002</v>
      </c>
      <c r="D491" s="1">
        <f t="shared" si="49"/>
        <v>2.5999999999999912E-3</v>
      </c>
      <c r="E491">
        <f t="shared" si="50"/>
        <v>3</v>
      </c>
      <c r="F491">
        <f t="shared" si="51"/>
        <v>45</v>
      </c>
      <c r="G491">
        <f t="shared" si="52"/>
        <v>3.75</v>
      </c>
      <c r="H491">
        <f t="shared" si="53"/>
        <v>225</v>
      </c>
      <c r="I491" s="3">
        <f t="shared" si="54"/>
        <v>80</v>
      </c>
      <c r="J491" t="str">
        <f t="shared" si="55"/>
        <v>F</v>
      </c>
    </row>
    <row r="492" spans="1:10" x14ac:dyDescent="0.25">
      <c r="A492" s="4" t="s">
        <v>428</v>
      </c>
      <c r="B492" s="1">
        <v>0.66373000000000004</v>
      </c>
      <c r="C492" s="1">
        <v>0.66111399999999998</v>
      </c>
      <c r="D492" s="1">
        <f t="shared" si="49"/>
        <v>2.6160000000000627E-3</v>
      </c>
      <c r="E492">
        <f t="shared" si="50"/>
        <v>3</v>
      </c>
      <c r="F492">
        <f t="shared" si="51"/>
        <v>46</v>
      </c>
      <c r="G492">
        <f t="shared" si="52"/>
        <v>3.77</v>
      </c>
      <c r="H492">
        <f t="shared" si="53"/>
        <v>226</v>
      </c>
      <c r="I492" s="3">
        <f t="shared" si="54"/>
        <v>79.646017699115049</v>
      </c>
      <c r="J492" t="str">
        <f t="shared" si="55"/>
        <v>F</v>
      </c>
    </row>
    <row r="493" spans="1:10" x14ac:dyDescent="0.25">
      <c r="A493" s="4" t="s">
        <v>122</v>
      </c>
      <c r="B493" s="1">
        <v>0.22853000000000001</v>
      </c>
      <c r="C493" s="1">
        <v>0.23114999999999999</v>
      </c>
      <c r="D493" s="1">
        <f t="shared" si="49"/>
        <v>2.6199999999999835E-3</v>
      </c>
      <c r="E493">
        <f t="shared" si="50"/>
        <v>3</v>
      </c>
      <c r="F493">
        <f t="shared" si="51"/>
        <v>46</v>
      </c>
      <c r="G493">
        <f t="shared" si="52"/>
        <v>3.77</v>
      </c>
      <c r="H493">
        <f t="shared" si="53"/>
        <v>226</v>
      </c>
      <c r="I493" s="3">
        <f t="shared" si="54"/>
        <v>79.646017699115049</v>
      </c>
      <c r="J493" t="str">
        <f t="shared" si="55"/>
        <v>F</v>
      </c>
    </row>
    <row r="494" spans="1:10" x14ac:dyDescent="0.25">
      <c r="A494" s="4" t="s">
        <v>235</v>
      </c>
      <c r="B494" s="1">
        <v>0.24182600000000001</v>
      </c>
      <c r="C494" s="1">
        <v>0.23921000000000001</v>
      </c>
      <c r="D494" s="1">
        <f t="shared" si="49"/>
        <v>2.6160000000000072E-3</v>
      </c>
      <c r="E494">
        <f t="shared" si="50"/>
        <v>3</v>
      </c>
      <c r="F494">
        <f t="shared" si="51"/>
        <v>46</v>
      </c>
      <c r="G494">
        <f t="shared" si="52"/>
        <v>3.77</v>
      </c>
      <c r="H494">
        <f t="shared" si="53"/>
        <v>226</v>
      </c>
      <c r="I494" s="3">
        <f t="shared" si="54"/>
        <v>79.646017699115049</v>
      </c>
      <c r="J494" t="str">
        <f t="shared" si="55"/>
        <v>F</v>
      </c>
    </row>
    <row r="495" spans="1:10" x14ac:dyDescent="0.25">
      <c r="A495" s="4" t="s">
        <v>356</v>
      </c>
      <c r="B495" s="1">
        <v>0.14568999999999999</v>
      </c>
      <c r="C495" s="1">
        <v>0.14307400000000001</v>
      </c>
      <c r="D495" s="1">
        <f t="shared" si="49"/>
        <v>2.6159999999999795E-3</v>
      </c>
      <c r="E495">
        <f t="shared" si="50"/>
        <v>3</v>
      </c>
      <c r="F495">
        <f t="shared" si="51"/>
        <v>46</v>
      </c>
      <c r="G495">
        <f t="shared" si="52"/>
        <v>3.77</v>
      </c>
      <c r="H495">
        <f t="shared" si="53"/>
        <v>226</v>
      </c>
      <c r="I495" s="3">
        <f t="shared" si="54"/>
        <v>79.646017699115049</v>
      </c>
      <c r="J495" t="str">
        <f t="shared" si="55"/>
        <v>F</v>
      </c>
    </row>
    <row r="496" spans="1:10" x14ac:dyDescent="0.25">
      <c r="A496" s="4" t="s">
        <v>366</v>
      </c>
      <c r="B496" s="1">
        <v>0.64231899999999997</v>
      </c>
      <c r="C496" s="1">
        <v>0.64493900000000004</v>
      </c>
      <c r="D496" s="1">
        <f t="shared" si="49"/>
        <v>2.6200000000000667E-3</v>
      </c>
      <c r="E496">
        <f t="shared" si="50"/>
        <v>3</v>
      </c>
      <c r="F496">
        <f t="shared" si="51"/>
        <v>46</v>
      </c>
      <c r="G496">
        <f t="shared" si="52"/>
        <v>3.77</v>
      </c>
      <c r="H496">
        <f t="shared" si="53"/>
        <v>226</v>
      </c>
      <c r="I496" s="3">
        <f t="shared" si="54"/>
        <v>79.646017699115049</v>
      </c>
      <c r="J496" t="str">
        <f t="shared" si="55"/>
        <v>F</v>
      </c>
    </row>
    <row r="497" spans="1:10" x14ac:dyDescent="0.25">
      <c r="A497" s="4" t="s">
        <v>376</v>
      </c>
      <c r="B497" s="1">
        <v>0.74587599999999998</v>
      </c>
      <c r="C497" s="1">
        <v>0.74849200000000005</v>
      </c>
      <c r="D497" s="1">
        <f t="shared" si="49"/>
        <v>2.6160000000000627E-3</v>
      </c>
      <c r="E497">
        <f t="shared" si="50"/>
        <v>3</v>
      </c>
      <c r="F497">
        <f t="shared" si="51"/>
        <v>46</v>
      </c>
      <c r="G497">
        <f t="shared" si="52"/>
        <v>3.77</v>
      </c>
      <c r="H497">
        <f t="shared" si="53"/>
        <v>226</v>
      </c>
      <c r="I497" s="3">
        <f t="shared" si="54"/>
        <v>79.646017699115049</v>
      </c>
      <c r="J497" t="str">
        <f t="shared" si="55"/>
        <v>F</v>
      </c>
    </row>
    <row r="498" spans="1:10" x14ac:dyDescent="0.25">
      <c r="A498" s="4" t="s">
        <v>147</v>
      </c>
      <c r="B498" s="1">
        <v>0.96590299999999996</v>
      </c>
      <c r="C498" s="1">
        <v>0.96327499999999999</v>
      </c>
      <c r="D498" s="1">
        <f t="shared" si="49"/>
        <v>2.6279999999999637E-3</v>
      </c>
      <c r="E498">
        <f t="shared" si="50"/>
        <v>3</v>
      </c>
      <c r="F498">
        <f t="shared" si="51"/>
        <v>47</v>
      </c>
      <c r="G498">
        <f t="shared" si="52"/>
        <v>3.78</v>
      </c>
      <c r="H498">
        <f t="shared" si="53"/>
        <v>227</v>
      </c>
      <c r="I498" s="3">
        <f t="shared" si="54"/>
        <v>79.295154185022028</v>
      </c>
      <c r="J498" t="str">
        <f t="shared" si="55"/>
        <v>F</v>
      </c>
    </row>
    <row r="499" spans="1:10" x14ac:dyDescent="0.25">
      <c r="A499" s="4" t="s">
        <v>166</v>
      </c>
      <c r="B499" s="1">
        <v>0.30390899999999998</v>
      </c>
      <c r="C499" s="1">
        <v>0.30128100000000002</v>
      </c>
      <c r="D499" s="1">
        <f t="shared" si="49"/>
        <v>2.6279999999999637E-3</v>
      </c>
      <c r="E499">
        <f t="shared" si="50"/>
        <v>3</v>
      </c>
      <c r="F499">
        <f t="shared" si="51"/>
        <v>47</v>
      </c>
      <c r="G499">
        <f t="shared" si="52"/>
        <v>3.78</v>
      </c>
      <c r="H499">
        <f t="shared" si="53"/>
        <v>227</v>
      </c>
      <c r="I499" s="3">
        <f t="shared" si="54"/>
        <v>79.295154185022028</v>
      </c>
      <c r="J499" t="str">
        <f t="shared" si="55"/>
        <v>F</v>
      </c>
    </row>
    <row r="500" spans="1:10" x14ac:dyDescent="0.25">
      <c r="A500" s="4" t="s">
        <v>255</v>
      </c>
      <c r="B500" s="1">
        <v>0.25523400000000002</v>
      </c>
      <c r="C500" s="1">
        <v>0.25786199999999998</v>
      </c>
      <c r="D500" s="1">
        <f t="shared" si="49"/>
        <v>2.6279999999999637E-3</v>
      </c>
      <c r="E500">
        <f t="shared" si="50"/>
        <v>3</v>
      </c>
      <c r="F500">
        <f t="shared" si="51"/>
        <v>47</v>
      </c>
      <c r="G500">
        <f t="shared" si="52"/>
        <v>3.78</v>
      </c>
      <c r="H500">
        <f t="shared" si="53"/>
        <v>227</v>
      </c>
      <c r="I500" s="3">
        <f t="shared" si="54"/>
        <v>79.295154185022028</v>
      </c>
      <c r="J500" t="str">
        <f t="shared" si="55"/>
        <v>F</v>
      </c>
    </row>
    <row r="501" spans="1:10" x14ac:dyDescent="0.25">
      <c r="A501" s="4" t="s">
        <v>403</v>
      </c>
      <c r="B501" s="1">
        <v>0.53043799999999997</v>
      </c>
      <c r="C501" s="1">
        <v>0.53306600000000004</v>
      </c>
      <c r="D501" s="1">
        <f t="shared" si="49"/>
        <v>2.6280000000000747E-3</v>
      </c>
      <c r="E501">
        <f t="shared" si="50"/>
        <v>3</v>
      </c>
      <c r="F501">
        <f t="shared" si="51"/>
        <v>47</v>
      </c>
      <c r="G501">
        <f t="shared" si="52"/>
        <v>3.78</v>
      </c>
      <c r="H501">
        <f t="shared" si="53"/>
        <v>227</v>
      </c>
      <c r="I501" s="3">
        <f t="shared" si="54"/>
        <v>79.295154185022028</v>
      </c>
      <c r="J501" t="str">
        <f t="shared" si="55"/>
        <v>F</v>
      </c>
    </row>
    <row r="502" spans="1:10" x14ac:dyDescent="0.25">
      <c r="A502" s="4" t="s">
        <v>113</v>
      </c>
      <c r="B502" s="1">
        <v>0.81435400000000002</v>
      </c>
      <c r="C502" s="1">
        <v>0.81171800000000005</v>
      </c>
      <c r="D502" s="1">
        <f t="shared" si="49"/>
        <v>2.6359999999999717E-3</v>
      </c>
      <c r="E502">
        <f t="shared" si="50"/>
        <v>3</v>
      </c>
      <c r="F502">
        <f t="shared" si="51"/>
        <v>48</v>
      </c>
      <c r="G502">
        <f t="shared" si="52"/>
        <v>3.8</v>
      </c>
      <c r="H502">
        <f t="shared" si="53"/>
        <v>228</v>
      </c>
      <c r="I502" s="3">
        <f t="shared" si="54"/>
        <v>78.94736842105263</v>
      </c>
      <c r="J502" t="str">
        <f t="shared" si="55"/>
        <v>F</v>
      </c>
    </row>
    <row r="503" spans="1:10" x14ac:dyDescent="0.25">
      <c r="A503" s="4" t="s">
        <v>83</v>
      </c>
      <c r="B503" s="1">
        <v>0.67313500000000004</v>
      </c>
      <c r="C503" s="1">
        <v>0.67577900000000002</v>
      </c>
      <c r="D503" s="1">
        <f t="shared" si="49"/>
        <v>2.6439999999999797E-3</v>
      </c>
      <c r="E503">
        <f t="shared" si="50"/>
        <v>3</v>
      </c>
      <c r="F503">
        <f t="shared" si="51"/>
        <v>48</v>
      </c>
      <c r="G503">
        <f t="shared" si="52"/>
        <v>3.8</v>
      </c>
      <c r="H503">
        <f t="shared" si="53"/>
        <v>228</v>
      </c>
      <c r="I503" s="3">
        <f t="shared" si="54"/>
        <v>78.94736842105263</v>
      </c>
      <c r="J503" t="str">
        <f t="shared" si="55"/>
        <v>F</v>
      </c>
    </row>
    <row r="504" spans="1:10" x14ac:dyDescent="0.25">
      <c r="A504" s="4" t="s">
        <v>61</v>
      </c>
      <c r="B504" s="1">
        <v>0.44656000000000001</v>
      </c>
      <c r="C504" s="1">
        <v>0.449212</v>
      </c>
      <c r="D504" s="1">
        <f t="shared" si="49"/>
        <v>2.6519999999999877E-3</v>
      </c>
      <c r="E504">
        <f t="shared" si="50"/>
        <v>3</v>
      </c>
      <c r="F504">
        <f t="shared" si="51"/>
        <v>49</v>
      </c>
      <c r="G504">
        <f t="shared" si="52"/>
        <v>3.82</v>
      </c>
      <c r="H504">
        <f t="shared" si="53"/>
        <v>229</v>
      </c>
      <c r="I504" s="3">
        <f t="shared" si="54"/>
        <v>78.602620087336248</v>
      </c>
      <c r="J504" t="str">
        <f t="shared" si="55"/>
        <v>F</v>
      </c>
    </row>
    <row r="505" spans="1:10" x14ac:dyDescent="0.25">
      <c r="A505" s="8" t="s">
        <v>169</v>
      </c>
      <c r="B505" s="1">
        <v>0.60565199999999997</v>
      </c>
      <c r="C505" s="1">
        <v>0.60829999999999995</v>
      </c>
      <c r="D505" s="1">
        <f t="shared" si="49"/>
        <v>2.6479999999999837E-3</v>
      </c>
      <c r="E505">
        <f t="shared" si="50"/>
        <v>3</v>
      </c>
      <c r="F505">
        <f t="shared" si="51"/>
        <v>49</v>
      </c>
      <c r="G505">
        <f t="shared" si="52"/>
        <v>3.82</v>
      </c>
      <c r="H505">
        <f t="shared" si="53"/>
        <v>229</v>
      </c>
      <c r="I505" s="10">
        <f t="shared" si="54"/>
        <v>78.602620087336248</v>
      </c>
      <c r="J505" t="str">
        <f t="shared" si="55"/>
        <v>T</v>
      </c>
    </row>
    <row r="506" spans="1:10" x14ac:dyDescent="0.25">
      <c r="A506" s="4" t="s">
        <v>12</v>
      </c>
      <c r="B506" s="1">
        <v>0.74244399999999999</v>
      </c>
      <c r="C506" s="1">
        <v>0.73979200000000001</v>
      </c>
      <c r="D506" s="1">
        <f t="shared" si="49"/>
        <v>2.6519999999999877E-3</v>
      </c>
      <c r="E506">
        <f t="shared" si="50"/>
        <v>3</v>
      </c>
      <c r="F506">
        <f t="shared" si="51"/>
        <v>49</v>
      </c>
      <c r="G506">
        <f t="shared" si="52"/>
        <v>3.82</v>
      </c>
      <c r="H506">
        <f t="shared" si="53"/>
        <v>229</v>
      </c>
      <c r="I506" s="3">
        <f t="shared" si="54"/>
        <v>78.602620087336248</v>
      </c>
      <c r="J506" t="str">
        <f t="shared" si="55"/>
        <v>F</v>
      </c>
    </row>
    <row r="507" spans="1:10" x14ac:dyDescent="0.25">
      <c r="A507" s="4" t="s">
        <v>47</v>
      </c>
      <c r="B507" s="1">
        <v>0.33376899999999998</v>
      </c>
      <c r="C507" s="1">
        <v>0.33111299999999999</v>
      </c>
      <c r="D507" s="1">
        <f t="shared" si="49"/>
        <v>2.6559999999999917E-3</v>
      </c>
      <c r="E507">
        <f t="shared" si="50"/>
        <v>3</v>
      </c>
      <c r="F507">
        <f t="shared" si="51"/>
        <v>49</v>
      </c>
      <c r="G507">
        <f t="shared" si="52"/>
        <v>3.82</v>
      </c>
      <c r="H507">
        <f t="shared" si="53"/>
        <v>229</v>
      </c>
      <c r="I507" s="3">
        <f t="shared" si="54"/>
        <v>78.602620087336248</v>
      </c>
      <c r="J507" t="str">
        <f t="shared" si="55"/>
        <v>F</v>
      </c>
    </row>
    <row r="508" spans="1:10" x14ac:dyDescent="0.25">
      <c r="A508" s="4" t="s">
        <v>334</v>
      </c>
      <c r="B508" s="1">
        <v>0.14686399999999999</v>
      </c>
      <c r="C508" s="1">
        <v>0.14951200000000001</v>
      </c>
      <c r="D508" s="1">
        <f t="shared" si="49"/>
        <v>2.6480000000000115E-3</v>
      </c>
      <c r="E508">
        <f t="shared" si="50"/>
        <v>3</v>
      </c>
      <c r="F508">
        <f t="shared" si="51"/>
        <v>49</v>
      </c>
      <c r="G508">
        <f t="shared" si="52"/>
        <v>3.82</v>
      </c>
      <c r="H508">
        <f t="shared" si="53"/>
        <v>229</v>
      </c>
      <c r="I508" s="3">
        <f t="shared" si="54"/>
        <v>78.602620087336248</v>
      </c>
      <c r="J508" t="str">
        <f t="shared" si="55"/>
        <v>F</v>
      </c>
    </row>
    <row r="509" spans="1:10" x14ac:dyDescent="0.25">
      <c r="A509" s="4" t="s">
        <v>41</v>
      </c>
      <c r="B509" s="1">
        <v>0.79450500000000002</v>
      </c>
      <c r="C509" s="1">
        <v>0.79184500000000002</v>
      </c>
      <c r="D509" s="1">
        <f t="shared" si="49"/>
        <v>2.6599999999999957E-3</v>
      </c>
      <c r="E509">
        <f t="shared" si="50"/>
        <v>3</v>
      </c>
      <c r="F509">
        <f t="shared" si="51"/>
        <v>50</v>
      </c>
      <c r="G509">
        <f t="shared" si="52"/>
        <v>3.83</v>
      </c>
      <c r="H509">
        <f t="shared" si="53"/>
        <v>230</v>
      </c>
      <c r="I509" s="3">
        <f t="shared" si="54"/>
        <v>78.260869565217391</v>
      </c>
      <c r="J509" t="str">
        <f t="shared" si="55"/>
        <v>F</v>
      </c>
    </row>
    <row r="510" spans="1:10" x14ac:dyDescent="0.25">
      <c r="A510" s="4" t="s">
        <v>15</v>
      </c>
      <c r="B510" s="1">
        <v>0.66593500000000005</v>
      </c>
      <c r="C510" s="1">
        <v>0.66326300000000005</v>
      </c>
      <c r="D510" s="1">
        <f t="shared" si="49"/>
        <v>2.6720000000000077E-3</v>
      </c>
      <c r="E510">
        <f t="shared" si="50"/>
        <v>3</v>
      </c>
      <c r="F510">
        <f t="shared" si="51"/>
        <v>51</v>
      </c>
      <c r="G510">
        <f t="shared" si="52"/>
        <v>3.85</v>
      </c>
      <c r="H510">
        <f t="shared" si="53"/>
        <v>231</v>
      </c>
      <c r="I510" s="3">
        <f t="shared" si="54"/>
        <v>77.922077922077918</v>
      </c>
      <c r="J510" t="str">
        <f t="shared" si="55"/>
        <v>F</v>
      </c>
    </row>
    <row r="511" spans="1:10" x14ac:dyDescent="0.25">
      <c r="A511" s="4" t="s">
        <v>32</v>
      </c>
      <c r="B511" s="1">
        <v>0.959372</v>
      </c>
      <c r="C511" s="1">
        <v>0.956704</v>
      </c>
      <c r="D511" s="1">
        <f t="shared" si="49"/>
        <v>2.6680000000000037E-3</v>
      </c>
      <c r="E511">
        <f t="shared" si="50"/>
        <v>3</v>
      </c>
      <c r="F511">
        <f t="shared" si="51"/>
        <v>51</v>
      </c>
      <c r="G511">
        <f t="shared" si="52"/>
        <v>3.85</v>
      </c>
      <c r="H511">
        <f t="shared" si="53"/>
        <v>231</v>
      </c>
      <c r="I511" s="3">
        <f t="shared" si="54"/>
        <v>77.922077922077918</v>
      </c>
      <c r="J511" t="str">
        <f t="shared" si="55"/>
        <v>F</v>
      </c>
    </row>
    <row r="512" spans="1:10" x14ac:dyDescent="0.25">
      <c r="A512" s="4" t="s">
        <v>53</v>
      </c>
      <c r="B512" s="1">
        <v>0.83620700000000003</v>
      </c>
      <c r="C512" s="1">
        <v>0.83887500000000004</v>
      </c>
      <c r="D512" s="1">
        <f t="shared" si="49"/>
        <v>2.6680000000000037E-3</v>
      </c>
      <c r="E512">
        <f t="shared" si="50"/>
        <v>3</v>
      </c>
      <c r="F512">
        <f t="shared" si="51"/>
        <v>51</v>
      </c>
      <c r="G512">
        <f t="shared" si="52"/>
        <v>3.85</v>
      </c>
      <c r="H512">
        <f t="shared" si="53"/>
        <v>231</v>
      </c>
      <c r="I512" s="3">
        <f t="shared" si="54"/>
        <v>77.922077922077918</v>
      </c>
      <c r="J512" t="str">
        <f t="shared" si="55"/>
        <v>F</v>
      </c>
    </row>
    <row r="513" spans="1:10" x14ac:dyDescent="0.25">
      <c r="A513" s="4" t="s">
        <v>90</v>
      </c>
      <c r="B513" s="1">
        <v>2.0478E-2</v>
      </c>
      <c r="C513" s="1">
        <v>1.7805999999999999E-2</v>
      </c>
      <c r="D513" s="1">
        <f t="shared" si="49"/>
        <v>2.6720000000000008E-3</v>
      </c>
      <c r="E513">
        <f t="shared" si="50"/>
        <v>3</v>
      </c>
      <c r="F513">
        <f t="shared" si="51"/>
        <v>51</v>
      </c>
      <c r="G513">
        <f t="shared" si="52"/>
        <v>3.85</v>
      </c>
      <c r="H513">
        <f t="shared" si="53"/>
        <v>231</v>
      </c>
      <c r="I513" s="3">
        <f t="shared" si="54"/>
        <v>77.922077922077918</v>
      </c>
      <c r="J513" t="str">
        <f t="shared" si="55"/>
        <v>F</v>
      </c>
    </row>
    <row r="514" spans="1:10" x14ac:dyDescent="0.25">
      <c r="A514" s="4" t="s">
        <v>74</v>
      </c>
      <c r="B514" s="1">
        <v>0.170068</v>
      </c>
      <c r="C514" s="1">
        <v>0.16739599999999999</v>
      </c>
      <c r="D514" s="1">
        <f t="shared" ref="D514:D577" si="56">IF(B514&gt;C514,B514-C514,C514-B514)</f>
        <v>2.6720000000000077E-3</v>
      </c>
      <c r="E514">
        <f t="shared" ref="E514:E577" si="57">MINUTE(D514)</f>
        <v>3</v>
      </c>
      <c r="F514">
        <f t="shared" ref="F514:F577" si="58">SECOND(D514)</f>
        <v>51</v>
      </c>
      <c r="G514">
        <f t="shared" ref="G514:G577" si="59">ROUND(E514+F514/60,2)</f>
        <v>3.85</v>
      </c>
      <c r="H514">
        <f t="shared" ref="H514:H577" si="60">60*E514+F514</f>
        <v>231</v>
      </c>
      <c r="I514" s="3">
        <f t="shared" ref="I514:I577" si="61">5*(3600/H514)</f>
        <v>77.922077922077918</v>
      </c>
      <c r="J514" t="str">
        <f t="shared" ref="J514:J577" si="62">IF(MID(A514,3,2)="18","T","F")</f>
        <v>F</v>
      </c>
    </row>
    <row r="515" spans="1:10" x14ac:dyDescent="0.25">
      <c r="A515" s="4" t="s">
        <v>47</v>
      </c>
      <c r="B515" s="1">
        <v>0.95486300000000002</v>
      </c>
      <c r="C515" s="1">
        <v>0.95218700000000001</v>
      </c>
      <c r="D515" s="1">
        <f t="shared" si="56"/>
        <v>2.6760000000000117E-3</v>
      </c>
      <c r="E515">
        <f t="shared" si="57"/>
        <v>3</v>
      </c>
      <c r="F515">
        <f t="shared" si="58"/>
        <v>51</v>
      </c>
      <c r="G515">
        <f t="shared" si="59"/>
        <v>3.85</v>
      </c>
      <c r="H515">
        <f t="shared" si="60"/>
        <v>231</v>
      </c>
      <c r="I515" s="3">
        <f t="shared" si="61"/>
        <v>77.922077922077918</v>
      </c>
      <c r="J515" t="str">
        <f t="shared" si="62"/>
        <v>F</v>
      </c>
    </row>
    <row r="516" spans="1:10" x14ac:dyDescent="0.25">
      <c r="A516" s="4" t="s">
        <v>216</v>
      </c>
      <c r="B516" s="1">
        <v>0.21799099999999999</v>
      </c>
      <c r="C516" s="1">
        <v>0.21532299999999999</v>
      </c>
      <c r="D516" s="1">
        <f t="shared" si="56"/>
        <v>2.6680000000000037E-3</v>
      </c>
      <c r="E516">
        <f t="shared" si="57"/>
        <v>3</v>
      </c>
      <c r="F516">
        <f t="shared" si="58"/>
        <v>51</v>
      </c>
      <c r="G516">
        <f t="shared" si="59"/>
        <v>3.85</v>
      </c>
      <c r="H516">
        <f t="shared" si="60"/>
        <v>231</v>
      </c>
      <c r="I516" s="3">
        <f t="shared" si="61"/>
        <v>77.922077922077918</v>
      </c>
      <c r="J516" t="str">
        <f t="shared" si="62"/>
        <v>F</v>
      </c>
    </row>
    <row r="517" spans="1:10" x14ac:dyDescent="0.25">
      <c r="A517" s="4" t="s">
        <v>248</v>
      </c>
      <c r="B517" s="1">
        <v>0.27788099999999999</v>
      </c>
      <c r="C517" s="1">
        <v>0.280553</v>
      </c>
      <c r="D517" s="1">
        <f t="shared" si="56"/>
        <v>2.6720000000000077E-3</v>
      </c>
      <c r="E517">
        <f t="shared" si="57"/>
        <v>3</v>
      </c>
      <c r="F517">
        <f t="shared" si="58"/>
        <v>51</v>
      </c>
      <c r="G517">
        <f t="shared" si="59"/>
        <v>3.85</v>
      </c>
      <c r="H517">
        <f t="shared" si="60"/>
        <v>231</v>
      </c>
      <c r="I517" s="3">
        <f t="shared" si="61"/>
        <v>77.922077922077918</v>
      </c>
      <c r="J517" t="str">
        <f t="shared" si="62"/>
        <v>F</v>
      </c>
    </row>
    <row r="518" spans="1:10" x14ac:dyDescent="0.25">
      <c r="A518" s="4" t="s">
        <v>83</v>
      </c>
      <c r="B518" s="1">
        <v>0.80414699999999995</v>
      </c>
      <c r="C518" s="1">
        <v>0.80682699999999996</v>
      </c>
      <c r="D518" s="1">
        <f t="shared" si="56"/>
        <v>2.6800000000000157E-3</v>
      </c>
      <c r="E518">
        <f t="shared" si="57"/>
        <v>3</v>
      </c>
      <c r="F518">
        <f t="shared" si="58"/>
        <v>52</v>
      </c>
      <c r="G518">
        <f t="shared" si="59"/>
        <v>3.87</v>
      </c>
      <c r="H518">
        <f t="shared" si="60"/>
        <v>232</v>
      </c>
      <c r="I518" s="3">
        <f t="shared" si="61"/>
        <v>77.58620689655173</v>
      </c>
      <c r="J518" t="str">
        <f t="shared" si="62"/>
        <v>F</v>
      </c>
    </row>
    <row r="519" spans="1:10" x14ac:dyDescent="0.25">
      <c r="A519" s="4" t="s">
        <v>64</v>
      </c>
      <c r="B519" s="1">
        <v>0.99943800000000005</v>
      </c>
      <c r="C519" s="1">
        <v>0.99675400000000003</v>
      </c>
      <c r="D519" s="1">
        <f t="shared" si="56"/>
        <v>2.6840000000000197E-3</v>
      </c>
      <c r="E519">
        <f t="shared" si="57"/>
        <v>3</v>
      </c>
      <c r="F519">
        <f t="shared" si="58"/>
        <v>52</v>
      </c>
      <c r="G519">
        <f t="shared" si="59"/>
        <v>3.87</v>
      </c>
      <c r="H519">
        <f t="shared" si="60"/>
        <v>232</v>
      </c>
      <c r="I519" s="3">
        <f t="shared" si="61"/>
        <v>77.58620689655173</v>
      </c>
      <c r="J519" t="str">
        <f t="shared" si="62"/>
        <v>F</v>
      </c>
    </row>
    <row r="520" spans="1:10" x14ac:dyDescent="0.25">
      <c r="A520" s="4" t="s">
        <v>47</v>
      </c>
      <c r="B520" s="1">
        <v>0.807975</v>
      </c>
      <c r="C520" s="1">
        <v>0.80529099999999998</v>
      </c>
      <c r="D520" s="1">
        <f t="shared" si="56"/>
        <v>2.6840000000000197E-3</v>
      </c>
      <c r="E520">
        <f t="shared" si="57"/>
        <v>3</v>
      </c>
      <c r="F520">
        <f t="shared" si="58"/>
        <v>52</v>
      </c>
      <c r="G520">
        <f t="shared" si="59"/>
        <v>3.87</v>
      </c>
      <c r="H520">
        <f t="shared" si="60"/>
        <v>232</v>
      </c>
      <c r="I520" s="3">
        <f t="shared" si="61"/>
        <v>77.58620689655173</v>
      </c>
      <c r="J520" t="str">
        <f t="shared" si="62"/>
        <v>F</v>
      </c>
    </row>
    <row r="521" spans="1:10" x14ac:dyDescent="0.25">
      <c r="A521" s="4" t="s">
        <v>104</v>
      </c>
      <c r="B521" s="1">
        <v>0.18839400000000001</v>
      </c>
      <c r="C521" s="1">
        <v>0.191078</v>
      </c>
      <c r="D521" s="1">
        <f t="shared" si="56"/>
        <v>2.6839999999999919E-3</v>
      </c>
      <c r="E521">
        <f t="shared" si="57"/>
        <v>3</v>
      </c>
      <c r="F521">
        <f t="shared" si="58"/>
        <v>52</v>
      </c>
      <c r="G521">
        <f t="shared" si="59"/>
        <v>3.87</v>
      </c>
      <c r="H521">
        <f t="shared" si="60"/>
        <v>232</v>
      </c>
      <c r="I521" s="3">
        <f t="shared" si="61"/>
        <v>77.58620689655173</v>
      </c>
      <c r="J521" t="str">
        <f t="shared" si="62"/>
        <v>F</v>
      </c>
    </row>
    <row r="522" spans="1:10" x14ac:dyDescent="0.25">
      <c r="A522" s="4" t="s">
        <v>87</v>
      </c>
      <c r="B522" s="1">
        <v>0.32229000000000002</v>
      </c>
      <c r="C522" s="1">
        <v>0.31961000000000001</v>
      </c>
      <c r="D522" s="1">
        <f t="shared" si="56"/>
        <v>2.6800000000000157E-3</v>
      </c>
      <c r="E522">
        <f t="shared" si="57"/>
        <v>3</v>
      </c>
      <c r="F522">
        <f t="shared" si="58"/>
        <v>52</v>
      </c>
      <c r="G522">
        <f t="shared" si="59"/>
        <v>3.87</v>
      </c>
      <c r="H522">
        <f t="shared" si="60"/>
        <v>232</v>
      </c>
      <c r="I522" s="3">
        <f t="shared" si="61"/>
        <v>77.58620689655173</v>
      </c>
      <c r="J522" t="str">
        <f t="shared" si="62"/>
        <v>F</v>
      </c>
    </row>
    <row r="523" spans="1:10" x14ac:dyDescent="0.25">
      <c r="A523" s="4" t="s">
        <v>290</v>
      </c>
      <c r="B523" s="1">
        <v>0.78090099999999996</v>
      </c>
      <c r="C523" s="1">
        <v>0.77821700000000005</v>
      </c>
      <c r="D523" s="1">
        <f t="shared" si="56"/>
        <v>2.6839999999999087E-3</v>
      </c>
      <c r="E523">
        <f t="shared" si="57"/>
        <v>3</v>
      </c>
      <c r="F523">
        <f t="shared" si="58"/>
        <v>52</v>
      </c>
      <c r="G523">
        <f t="shared" si="59"/>
        <v>3.87</v>
      </c>
      <c r="H523">
        <f t="shared" si="60"/>
        <v>232</v>
      </c>
      <c r="I523" s="3">
        <f t="shared" si="61"/>
        <v>77.58620689655173</v>
      </c>
      <c r="J523" t="str">
        <f t="shared" si="62"/>
        <v>F</v>
      </c>
    </row>
    <row r="524" spans="1:10" x14ac:dyDescent="0.25">
      <c r="A524" s="4" t="s">
        <v>105</v>
      </c>
      <c r="B524" s="1">
        <v>9.3122999999999997E-2</v>
      </c>
      <c r="C524" s="1">
        <v>9.0423000000000003E-2</v>
      </c>
      <c r="D524" s="1">
        <f t="shared" si="56"/>
        <v>2.6999999999999941E-3</v>
      </c>
      <c r="E524">
        <f t="shared" si="57"/>
        <v>3</v>
      </c>
      <c r="F524">
        <f t="shared" si="58"/>
        <v>53</v>
      </c>
      <c r="G524">
        <f t="shared" si="59"/>
        <v>3.88</v>
      </c>
      <c r="H524">
        <f t="shared" si="60"/>
        <v>233</v>
      </c>
      <c r="I524" s="3">
        <f t="shared" si="61"/>
        <v>77.253218884120173</v>
      </c>
      <c r="J524" t="str">
        <f t="shared" si="62"/>
        <v>F</v>
      </c>
    </row>
    <row r="525" spans="1:10" x14ac:dyDescent="0.25">
      <c r="A525" s="4" t="s">
        <v>38</v>
      </c>
      <c r="B525" s="1">
        <v>0.14195199999999999</v>
      </c>
      <c r="C525" s="1">
        <v>0.13925599999999999</v>
      </c>
      <c r="D525" s="1">
        <f t="shared" si="56"/>
        <v>2.6960000000000039E-3</v>
      </c>
      <c r="E525">
        <f t="shared" si="57"/>
        <v>3</v>
      </c>
      <c r="F525">
        <f t="shared" si="58"/>
        <v>53</v>
      </c>
      <c r="G525">
        <f t="shared" si="59"/>
        <v>3.88</v>
      </c>
      <c r="H525">
        <f t="shared" si="60"/>
        <v>233</v>
      </c>
      <c r="I525" s="3">
        <f t="shared" si="61"/>
        <v>77.253218884120173</v>
      </c>
      <c r="J525" t="str">
        <f t="shared" si="62"/>
        <v>F</v>
      </c>
    </row>
    <row r="526" spans="1:10" x14ac:dyDescent="0.25">
      <c r="A526" s="4" t="s">
        <v>331</v>
      </c>
      <c r="B526" s="1">
        <v>0.10241</v>
      </c>
      <c r="C526" s="1">
        <v>9.9713999999999997E-2</v>
      </c>
      <c r="D526" s="1">
        <f t="shared" si="56"/>
        <v>2.6960000000000039E-3</v>
      </c>
      <c r="E526">
        <f t="shared" si="57"/>
        <v>3</v>
      </c>
      <c r="F526">
        <f t="shared" si="58"/>
        <v>53</v>
      </c>
      <c r="G526">
        <f t="shared" si="59"/>
        <v>3.88</v>
      </c>
      <c r="H526">
        <f t="shared" si="60"/>
        <v>233</v>
      </c>
      <c r="I526" s="3">
        <f t="shared" si="61"/>
        <v>77.253218884120173</v>
      </c>
      <c r="J526" t="str">
        <f t="shared" si="62"/>
        <v>F</v>
      </c>
    </row>
    <row r="527" spans="1:10" x14ac:dyDescent="0.25">
      <c r="A527" s="4" t="s">
        <v>10</v>
      </c>
      <c r="B527" s="1">
        <v>0.53941499999999998</v>
      </c>
      <c r="C527" s="1">
        <v>0.53671100000000005</v>
      </c>
      <c r="D527" s="1">
        <f t="shared" si="56"/>
        <v>2.7039999999999287E-3</v>
      </c>
      <c r="E527">
        <f t="shared" si="57"/>
        <v>3</v>
      </c>
      <c r="F527">
        <f t="shared" si="58"/>
        <v>54</v>
      </c>
      <c r="G527">
        <f t="shared" si="59"/>
        <v>3.9</v>
      </c>
      <c r="H527">
        <f t="shared" si="60"/>
        <v>234</v>
      </c>
      <c r="I527" s="3">
        <f t="shared" si="61"/>
        <v>76.92307692307692</v>
      </c>
      <c r="J527" t="str">
        <f t="shared" si="62"/>
        <v>F</v>
      </c>
    </row>
    <row r="528" spans="1:10" x14ac:dyDescent="0.25">
      <c r="A528" s="4" t="s">
        <v>94</v>
      </c>
      <c r="B528" s="1">
        <v>0.44351000000000002</v>
      </c>
      <c r="C528" s="1">
        <v>0.44622200000000001</v>
      </c>
      <c r="D528" s="1">
        <f t="shared" si="56"/>
        <v>2.7119999999999922E-3</v>
      </c>
      <c r="E528">
        <f t="shared" si="57"/>
        <v>3</v>
      </c>
      <c r="F528">
        <f t="shared" si="58"/>
        <v>54</v>
      </c>
      <c r="G528">
        <f t="shared" si="59"/>
        <v>3.9</v>
      </c>
      <c r="H528">
        <f t="shared" si="60"/>
        <v>234</v>
      </c>
      <c r="I528" s="3">
        <f t="shared" si="61"/>
        <v>76.92307692307692</v>
      </c>
      <c r="J528" t="str">
        <f t="shared" si="62"/>
        <v>F</v>
      </c>
    </row>
    <row r="529" spans="1:10" x14ac:dyDescent="0.25">
      <c r="A529" s="4" t="s">
        <v>155</v>
      </c>
      <c r="B529" s="1">
        <v>0.247169</v>
      </c>
      <c r="C529" s="1">
        <v>0.24446100000000001</v>
      </c>
      <c r="D529" s="1">
        <f t="shared" si="56"/>
        <v>2.7079999999999882E-3</v>
      </c>
      <c r="E529">
        <f t="shared" si="57"/>
        <v>3</v>
      </c>
      <c r="F529">
        <f t="shared" si="58"/>
        <v>54</v>
      </c>
      <c r="G529">
        <f t="shared" si="59"/>
        <v>3.9</v>
      </c>
      <c r="H529">
        <f t="shared" si="60"/>
        <v>234</v>
      </c>
      <c r="I529" s="3">
        <f t="shared" si="61"/>
        <v>76.92307692307692</v>
      </c>
      <c r="J529" t="str">
        <f t="shared" si="62"/>
        <v>F</v>
      </c>
    </row>
    <row r="530" spans="1:10" x14ac:dyDescent="0.25">
      <c r="A530" s="4" t="s">
        <v>16</v>
      </c>
      <c r="B530" s="1">
        <v>0.82084800000000002</v>
      </c>
      <c r="C530" s="1">
        <v>0.81814399999999998</v>
      </c>
      <c r="D530" s="1">
        <f t="shared" si="56"/>
        <v>2.7040000000000397E-3</v>
      </c>
      <c r="E530">
        <f t="shared" si="57"/>
        <v>3</v>
      </c>
      <c r="F530">
        <f t="shared" si="58"/>
        <v>54</v>
      </c>
      <c r="G530">
        <f t="shared" si="59"/>
        <v>3.9</v>
      </c>
      <c r="H530">
        <f t="shared" si="60"/>
        <v>234</v>
      </c>
      <c r="I530" s="3">
        <f t="shared" si="61"/>
        <v>76.92307692307692</v>
      </c>
      <c r="J530" t="str">
        <f t="shared" si="62"/>
        <v>F</v>
      </c>
    </row>
    <row r="531" spans="1:10" x14ac:dyDescent="0.25">
      <c r="A531" s="4" t="s">
        <v>178</v>
      </c>
      <c r="B531" s="1">
        <v>0.52383800000000003</v>
      </c>
      <c r="C531" s="1">
        <v>0.52654999999999996</v>
      </c>
      <c r="D531" s="1">
        <f t="shared" si="56"/>
        <v>2.7119999999999367E-3</v>
      </c>
      <c r="E531">
        <f t="shared" si="57"/>
        <v>3</v>
      </c>
      <c r="F531">
        <f t="shared" si="58"/>
        <v>54</v>
      </c>
      <c r="G531">
        <f t="shared" si="59"/>
        <v>3.9</v>
      </c>
      <c r="H531">
        <f t="shared" si="60"/>
        <v>234</v>
      </c>
      <c r="I531" s="3">
        <f t="shared" si="61"/>
        <v>76.92307692307692</v>
      </c>
      <c r="J531" t="str">
        <f t="shared" si="62"/>
        <v>F</v>
      </c>
    </row>
    <row r="532" spans="1:10" x14ac:dyDescent="0.25">
      <c r="A532" s="4" t="s">
        <v>21</v>
      </c>
      <c r="B532" s="1">
        <v>0.54036300000000004</v>
      </c>
      <c r="C532" s="1">
        <v>0.54307099999999997</v>
      </c>
      <c r="D532" s="1">
        <f t="shared" si="56"/>
        <v>2.7079999999999327E-3</v>
      </c>
      <c r="E532">
        <f t="shared" si="57"/>
        <v>3</v>
      </c>
      <c r="F532">
        <f t="shared" si="58"/>
        <v>54</v>
      </c>
      <c r="G532">
        <f t="shared" si="59"/>
        <v>3.9</v>
      </c>
      <c r="H532">
        <f t="shared" si="60"/>
        <v>234</v>
      </c>
      <c r="I532" s="3">
        <f t="shared" si="61"/>
        <v>76.92307692307692</v>
      </c>
      <c r="J532" t="str">
        <f t="shared" si="62"/>
        <v>F</v>
      </c>
    </row>
    <row r="533" spans="1:10" x14ac:dyDescent="0.25">
      <c r="A533" s="4" t="s">
        <v>182</v>
      </c>
      <c r="B533" s="1">
        <v>0.83426</v>
      </c>
      <c r="C533" s="1">
        <v>0.83696800000000005</v>
      </c>
      <c r="D533" s="1">
        <f t="shared" si="56"/>
        <v>2.7080000000000437E-3</v>
      </c>
      <c r="E533">
        <f t="shared" si="57"/>
        <v>3</v>
      </c>
      <c r="F533">
        <f t="shared" si="58"/>
        <v>54</v>
      </c>
      <c r="G533">
        <f t="shared" si="59"/>
        <v>3.9</v>
      </c>
      <c r="H533">
        <f t="shared" si="60"/>
        <v>234</v>
      </c>
      <c r="I533" s="3">
        <f t="shared" si="61"/>
        <v>76.92307692307692</v>
      </c>
      <c r="J533" t="str">
        <f t="shared" si="62"/>
        <v>F</v>
      </c>
    </row>
    <row r="534" spans="1:10" x14ac:dyDescent="0.25">
      <c r="A534" s="4" t="s">
        <v>399</v>
      </c>
      <c r="B534" s="1">
        <v>0.86035300000000003</v>
      </c>
      <c r="C534" s="1">
        <v>0.86306099999999997</v>
      </c>
      <c r="D534" s="1">
        <f t="shared" si="56"/>
        <v>2.7079999999999327E-3</v>
      </c>
      <c r="E534">
        <f t="shared" si="57"/>
        <v>3</v>
      </c>
      <c r="F534">
        <f t="shared" si="58"/>
        <v>54</v>
      </c>
      <c r="G534">
        <f t="shared" si="59"/>
        <v>3.9</v>
      </c>
      <c r="H534">
        <f t="shared" si="60"/>
        <v>234</v>
      </c>
      <c r="I534" s="3">
        <f t="shared" si="61"/>
        <v>76.92307692307692</v>
      </c>
      <c r="J534" t="str">
        <f t="shared" si="62"/>
        <v>F</v>
      </c>
    </row>
    <row r="535" spans="1:10" x14ac:dyDescent="0.25">
      <c r="A535" s="4" t="s">
        <v>160</v>
      </c>
      <c r="B535" s="1">
        <v>0.46384300000000001</v>
      </c>
      <c r="C535" s="1">
        <v>0.46656300000000001</v>
      </c>
      <c r="D535" s="1">
        <f t="shared" si="56"/>
        <v>2.7200000000000002E-3</v>
      </c>
      <c r="E535">
        <f t="shared" si="57"/>
        <v>3</v>
      </c>
      <c r="F535">
        <f t="shared" si="58"/>
        <v>55</v>
      </c>
      <c r="G535">
        <f t="shared" si="59"/>
        <v>3.92</v>
      </c>
      <c r="H535">
        <f t="shared" si="60"/>
        <v>235</v>
      </c>
      <c r="I535" s="3">
        <f t="shared" si="61"/>
        <v>76.59574468085107</v>
      </c>
      <c r="J535" t="str">
        <f t="shared" si="62"/>
        <v>F</v>
      </c>
    </row>
    <row r="536" spans="1:10" x14ac:dyDescent="0.25">
      <c r="A536" s="4" t="s">
        <v>47</v>
      </c>
      <c r="B536" s="1">
        <v>0.85342399999999996</v>
      </c>
      <c r="C536" s="1">
        <v>0.85614800000000002</v>
      </c>
      <c r="D536" s="1">
        <f t="shared" si="56"/>
        <v>2.7240000000000597E-3</v>
      </c>
      <c r="E536">
        <f t="shared" si="57"/>
        <v>3</v>
      </c>
      <c r="F536">
        <f t="shared" si="58"/>
        <v>55</v>
      </c>
      <c r="G536">
        <f t="shared" si="59"/>
        <v>3.92</v>
      </c>
      <c r="H536">
        <f t="shared" si="60"/>
        <v>235</v>
      </c>
      <c r="I536" s="3">
        <f t="shared" si="61"/>
        <v>76.59574468085107</v>
      </c>
      <c r="J536" t="str">
        <f t="shared" si="62"/>
        <v>F</v>
      </c>
    </row>
    <row r="537" spans="1:10" x14ac:dyDescent="0.25">
      <c r="A537" s="4" t="s">
        <v>139</v>
      </c>
      <c r="B537" s="1">
        <v>0.89180499999999996</v>
      </c>
      <c r="C537" s="1">
        <v>0.89452100000000001</v>
      </c>
      <c r="D537" s="1">
        <f t="shared" si="56"/>
        <v>2.7160000000000517E-3</v>
      </c>
      <c r="E537">
        <f t="shared" si="57"/>
        <v>3</v>
      </c>
      <c r="F537">
        <f t="shared" si="58"/>
        <v>55</v>
      </c>
      <c r="G537">
        <f t="shared" si="59"/>
        <v>3.92</v>
      </c>
      <c r="H537">
        <f t="shared" si="60"/>
        <v>235</v>
      </c>
      <c r="I537" s="3">
        <f t="shared" si="61"/>
        <v>76.59574468085107</v>
      </c>
      <c r="J537" t="str">
        <f t="shared" si="62"/>
        <v>F</v>
      </c>
    </row>
    <row r="538" spans="1:10" x14ac:dyDescent="0.25">
      <c r="A538" s="4" t="s">
        <v>144</v>
      </c>
      <c r="B538" s="1">
        <v>3.9156999999999997E-2</v>
      </c>
      <c r="C538" s="1">
        <v>4.1876999999999998E-2</v>
      </c>
      <c r="D538" s="1">
        <f t="shared" si="56"/>
        <v>2.7200000000000002E-3</v>
      </c>
      <c r="E538">
        <f t="shared" si="57"/>
        <v>3</v>
      </c>
      <c r="F538">
        <f t="shared" si="58"/>
        <v>55</v>
      </c>
      <c r="G538">
        <f t="shared" si="59"/>
        <v>3.92</v>
      </c>
      <c r="H538">
        <f t="shared" si="60"/>
        <v>235</v>
      </c>
      <c r="I538" s="3">
        <f t="shared" si="61"/>
        <v>76.59574468085107</v>
      </c>
      <c r="J538" t="str">
        <f t="shared" si="62"/>
        <v>F</v>
      </c>
    </row>
    <row r="539" spans="1:10" x14ac:dyDescent="0.25">
      <c r="A539" s="4" t="s">
        <v>156</v>
      </c>
      <c r="B539" s="1">
        <v>0.77753799999999995</v>
      </c>
      <c r="C539" s="1">
        <v>0.774814</v>
      </c>
      <c r="D539" s="1">
        <f t="shared" si="56"/>
        <v>2.7239999999999487E-3</v>
      </c>
      <c r="E539">
        <f t="shared" si="57"/>
        <v>3</v>
      </c>
      <c r="F539">
        <f t="shared" si="58"/>
        <v>55</v>
      </c>
      <c r="G539">
        <f t="shared" si="59"/>
        <v>3.92</v>
      </c>
      <c r="H539">
        <f t="shared" si="60"/>
        <v>235</v>
      </c>
      <c r="I539" s="3">
        <f t="shared" si="61"/>
        <v>76.59574468085107</v>
      </c>
      <c r="J539" t="str">
        <f t="shared" si="62"/>
        <v>F</v>
      </c>
    </row>
    <row r="540" spans="1:10" x14ac:dyDescent="0.25">
      <c r="A540" s="4" t="s">
        <v>5</v>
      </c>
      <c r="B540" s="1">
        <v>0.98460700000000001</v>
      </c>
      <c r="C540" s="1">
        <v>0.98188699999999995</v>
      </c>
      <c r="D540" s="1">
        <f t="shared" si="56"/>
        <v>2.7200000000000557E-3</v>
      </c>
      <c r="E540">
        <f t="shared" si="57"/>
        <v>3</v>
      </c>
      <c r="F540">
        <f t="shared" si="58"/>
        <v>55</v>
      </c>
      <c r="G540">
        <f t="shared" si="59"/>
        <v>3.92</v>
      </c>
      <c r="H540">
        <f t="shared" si="60"/>
        <v>235</v>
      </c>
      <c r="I540" s="3">
        <f t="shared" si="61"/>
        <v>76.59574468085107</v>
      </c>
      <c r="J540" t="str">
        <f t="shared" si="62"/>
        <v>F</v>
      </c>
    </row>
    <row r="541" spans="1:10" x14ac:dyDescent="0.25">
      <c r="A541" s="4" t="s">
        <v>5</v>
      </c>
      <c r="B541" s="1">
        <v>0.85437099999999999</v>
      </c>
      <c r="C541" s="1">
        <v>0.85165500000000005</v>
      </c>
      <c r="D541" s="1">
        <f t="shared" si="56"/>
        <v>2.7159999999999407E-3</v>
      </c>
      <c r="E541">
        <f t="shared" si="57"/>
        <v>3</v>
      </c>
      <c r="F541">
        <f t="shared" si="58"/>
        <v>55</v>
      </c>
      <c r="G541">
        <f t="shared" si="59"/>
        <v>3.92</v>
      </c>
      <c r="H541">
        <f t="shared" si="60"/>
        <v>235</v>
      </c>
      <c r="I541" s="3">
        <f t="shared" si="61"/>
        <v>76.59574468085107</v>
      </c>
      <c r="J541" t="str">
        <f t="shared" si="62"/>
        <v>F</v>
      </c>
    </row>
    <row r="542" spans="1:10" x14ac:dyDescent="0.25">
      <c r="A542" s="4" t="s">
        <v>123</v>
      </c>
      <c r="B542" s="1">
        <v>0.38374799999999998</v>
      </c>
      <c r="C542" s="1">
        <v>0.38646399999999997</v>
      </c>
      <c r="D542" s="1">
        <f t="shared" si="56"/>
        <v>2.7159999999999962E-3</v>
      </c>
      <c r="E542">
        <f t="shared" si="57"/>
        <v>3</v>
      </c>
      <c r="F542">
        <f t="shared" si="58"/>
        <v>55</v>
      </c>
      <c r="G542">
        <f t="shared" si="59"/>
        <v>3.92</v>
      </c>
      <c r="H542">
        <f t="shared" si="60"/>
        <v>235</v>
      </c>
      <c r="I542" s="3">
        <f t="shared" si="61"/>
        <v>76.59574468085107</v>
      </c>
      <c r="J542" t="str">
        <f t="shared" si="62"/>
        <v>F</v>
      </c>
    </row>
    <row r="543" spans="1:10" x14ac:dyDescent="0.25">
      <c r="A543" s="4" t="s">
        <v>155</v>
      </c>
      <c r="B543" s="1">
        <v>0.58026999999999995</v>
      </c>
      <c r="C543" s="1">
        <v>0.58299400000000001</v>
      </c>
      <c r="D543" s="1">
        <f t="shared" si="56"/>
        <v>2.7240000000000597E-3</v>
      </c>
      <c r="E543">
        <f t="shared" si="57"/>
        <v>3</v>
      </c>
      <c r="F543">
        <f t="shared" si="58"/>
        <v>55</v>
      </c>
      <c r="G543">
        <f t="shared" si="59"/>
        <v>3.92</v>
      </c>
      <c r="H543">
        <f t="shared" si="60"/>
        <v>235</v>
      </c>
      <c r="I543" s="3">
        <f t="shared" si="61"/>
        <v>76.59574468085107</v>
      </c>
      <c r="J543" t="str">
        <f t="shared" si="62"/>
        <v>F</v>
      </c>
    </row>
    <row r="544" spans="1:10" x14ac:dyDescent="0.25">
      <c r="A544" s="4" t="s">
        <v>256</v>
      </c>
      <c r="B544" s="1">
        <v>0.72481799999999996</v>
      </c>
      <c r="C544" s="1">
        <v>0.72209800000000002</v>
      </c>
      <c r="D544" s="1">
        <f t="shared" si="56"/>
        <v>2.7199999999999447E-3</v>
      </c>
      <c r="E544">
        <f t="shared" si="57"/>
        <v>3</v>
      </c>
      <c r="F544">
        <f t="shared" si="58"/>
        <v>55</v>
      </c>
      <c r="G544">
        <f t="shared" si="59"/>
        <v>3.92</v>
      </c>
      <c r="H544">
        <f t="shared" si="60"/>
        <v>235</v>
      </c>
      <c r="I544" s="3">
        <f t="shared" si="61"/>
        <v>76.59574468085107</v>
      </c>
      <c r="J544" t="str">
        <f t="shared" si="62"/>
        <v>F</v>
      </c>
    </row>
    <row r="545" spans="1:10" x14ac:dyDescent="0.25">
      <c r="A545" s="4" t="s">
        <v>70</v>
      </c>
      <c r="B545" s="1">
        <v>0.83702100000000002</v>
      </c>
      <c r="C545" s="1">
        <v>0.83974899999999997</v>
      </c>
      <c r="D545" s="1">
        <f t="shared" si="56"/>
        <v>2.7279999999999527E-3</v>
      </c>
      <c r="E545">
        <f t="shared" si="57"/>
        <v>3</v>
      </c>
      <c r="F545">
        <f t="shared" si="58"/>
        <v>56</v>
      </c>
      <c r="G545">
        <f t="shared" si="59"/>
        <v>3.93</v>
      </c>
      <c r="H545">
        <f t="shared" si="60"/>
        <v>236</v>
      </c>
      <c r="I545" s="3">
        <f t="shared" si="61"/>
        <v>76.271186440677965</v>
      </c>
      <c r="J545" t="str">
        <f t="shared" si="62"/>
        <v>F</v>
      </c>
    </row>
    <row r="546" spans="1:10" x14ac:dyDescent="0.25">
      <c r="A546" s="4" t="s">
        <v>109</v>
      </c>
      <c r="B546" s="1">
        <v>0.116871</v>
      </c>
      <c r="C546" s="1">
        <v>0.114135</v>
      </c>
      <c r="D546" s="1">
        <f t="shared" si="56"/>
        <v>2.7360000000000023E-3</v>
      </c>
      <c r="E546">
        <f t="shared" si="57"/>
        <v>3</v>
      </c>
      <c r="F546">
        <f t="shared" si="58"/>
        <v>56</v>
      </c>
      <c r="G546">
        <f t="shared" si="59"/>
        <v>3.93</v>
      </c>
      <c r="H546">
        <f t="shared" si="60"/>
        <v>236</v>
      </c>
      <c r="I546" s="3">
        <f t="shared" si="61"/>
        <v>76.271186440677965</v>
      </c>
      <c r="J546" t="str">
        <f t="shared" si="62"/>
        <v>F</v>
      </c>
    </row>
    <row r="547" spans="1:10" x14ac:dyDescent="0.25">
      <c r="A547" s="4" t="s">
        <v>27</v>
      </c>
      <c r="B547" s="1">
        <v>0.888069</v>
      </c>
      <c r="C547" s="1">
        <v>0.88534100000000004</v>
      </c>
      <c r="D547" s="1">
        <f t="shared" si="56"/>
        <v>2.7279999999999527E-3</v>
      </c>
      <c r="E547">
        <f t="shared" si="57"/>
        <v>3</v>
      </c>
      <c r="F547">
        <f t="shared" si="58"/>
        <v>56</v>
      </c>
      <c r="G547">
        <f t="shared" si="59"/>
        <v>3.93</v>
      </c>
      <c r="H547">
        <f t="shared" si="60"/>
        <v>236</v>
      </c>
      <c r="I547" s="3">
        <f t="shared" si="61"/>
        <v>76.271186440677965</v>
      </c>
      <c r="J547" t="str">
        <f t="shared" si="62"/>
        <v>F</v>
      </c>
    </row>
    <row r="548" spans="1:10" x14ac:dyDescent="0.25">
      <c r="A548" s="4" t="s">
        <v>44</v>
      </c>
      <c r="B548" s="1">
        <v>0.35200999999999999</v>
      </c>
      <c r="C548" s="1">
        <v>0.354738</v>
      </c>
      <c r="D548" s="1">
        <f t="shared" si="56"/>
        <v>2.7280000000000082E-3</v>
      </c>
      <c r="E548">
        <f t="shared" si="57"/>
        <v>3</v>
      </c>
      <c r="F548">
        <f t="shared" si="58"/>
        <v>56</v>
      </c>
      <c r="G548">
        <f t="shared" si="59"/>
        <v>3.93</v>
      </c>
      <c r="H548">
        <f t="shared" si="60"/>
        <v>236</v>
      </c>
      <c r="I548" s="3">
        <f t="shared" si="61"/>
        <v>76.271186440677965</v>
      </c>
      <c r="J548" t="str">
        <f t="shared" si="62"/>
        <v>F</v>
      </c>
    </row>
    <row r="549" spans="1:10" x14ac:dyDescent="0.25">
      <c r="A549" s="4" t="s">
        <v>60</v>
      </c>
      <c r="B549" s="1">
        <v>0.56916199999999995</v>
      </c>
      <c r="C549" s="1">
        <v>0.56642999999999999</v>
      </c>
      <c r="D549" s="1">
        <f t="shared" si="56"/>
        <v>2.7319999999999567E-3</v>
      </c>
      <c r="E549">
        <f t="shared" si="57"/>
        <v>3</v>
      </c>
      <c r="F549">
        <f t="shared" si="58"/>
        <v>56</v>
      </c>
      <c r="G549">
        <f t="shared" si="59"/>
        <v>3.93</v>
      </c>
      <c r="H549">
        <f t="shared" si="60"/>
        <v>236</v>
      </c>
      <c r="I549" s="3">
        <f t="shared" si="61"/>
        <v>76.271186440677965</v>
      </c>
      <c r="J549" t="str">
        <f t="shared" si="62"/>
        <v>F</v>
      </c>
    </row>
    <row r="550" spans="1:10" x14ac:dyDescent="0.25">
      <c r="A550" s="4" t="s">
        <v>142</v>
      </c>
      <c r="B550" s="1">
        <v>0.12570400000000001</v>
      </c>
      <c r="C550" s="1">
        <v>0.122964</v>
      </c>
      <c r="D550" s="1">
        <f t="shared" si="56"/>
        <v>2.7400000000000063E-3</v>
      </c>
      <c r="E550">
        <f t="shared" si="57"/>
        <v>3</v>
      </c>
      <c r="F550">
        <f t="shared" si="58"/>
        <v>57</v>
      </c>
      <c r="G550">
        <f t="shared" si="59"/>
        <v>3.95</v>
      </c>
      <c r="H550">
        <f t="shared" si="60"/>
        <v>237</v>
      </c>
      <c r="I550" s="3">
        <f t="shared" si="61"/>
        <v>75.949367088607588</v>
      </c>
      <c r="J550" t="str">
        <f t="shared" si="62"/>
        <v>F</v>
      </c>
    </row>
    <row r="551" spans="1:10" x14ac:dyDescent="0.25">
      <c r="A551" s="4" t="s">
        <v>7</v>
      </c>
      <c r="B551" s="1">
        <v>0.54949499999999996</v>
      </c>
      <c r="C551" s="1">
        <v>0.54675499999999999</v>
      </c>
      <c r="D551" s="1">
        <f t="shared" si="56"/>
        <v>2.7399999999999647E-3</v>
      </c>
      <c r="E551">
        <f t="shared" si="57"/>
        <v>3</v>
      </c>
      <c r="F551">
        <f t="shared" si="58"/>
        <v>57</v>
      </c>
      <c r="G551">
        <f t="shared" si="59"/>
        <v>3.95</v>
      </c>
      <c r="H551">
        <f t="shared" si="60"/>
        <v>237</v>
      </c>
      <c r="I551" s="3">
        <f t="shared" si="61"/>
        <v>75.949367088607588</v>
      </c>
      <c r="J551" t="str">
        <f t="shared" si="62"/>
        <v>F</v>
      </c>
    </row>
    <row r="552" spans="1:10" x14ac:dyDescent="0.25">
      <c r="A552" s="4" t="s">
        <v>27</v>
      </c>
      <c r="B552" s="1">
        <v>0.19815199999999999</v>
      </c>
      <c r="C552" s="1">
        <v>0.20089599999999999</v>
      </c>
      <c r="D552" s="1">
        <f t="shared" si="56"/>
        <v>2.7439999999999964E-3</v>
      </c>
      <c r="E552">
        <f t="shared" si="57"/>
        <v>3</v>
      </c>
      <c r="F552">
        <f t="shared" si="58"/>
        <v>57</v>
      </c>
      <c r="G552">
        <f t="shared" si="59"/>
        <v>3.95</v>
      </c>
      <c r="H552">
        <f t="shared" si="60"/>
        <v>237</v>
      </c>
      <c r="I552" s="3">
        <f t="shared" si="61"/>
        <v>75.949367088607588</v>
      </c>
      <c r="J552" t="str">
        <f t="shared" si="62"/>
        <v>F</v>
      </c>
    </row>
    <row r="553" spans="1:10" x14ac:dyDescent="0.25">
      <c r="A553" s="4" t="s">
        <v>115</v>
      </c>
      <c r="B553" s="1">
        <v>0.492419</v>
      </c>
      <c r="C553" s="1">
        <v>0.49516300000000002</v>
      </c>
      <c r="D553" s="1">
        <f t="shared" si="56"/>
        <v>2.7440000000000242E-3</v>
      </c>
      <c r="E553">
        <f t="shared" si="57"/>
        <v>3</v>
      </c>
      <c r="F553">
        <f t="shared" si="58"/>
        <v>57</v>
      </c>
      <c r="G553">
        <f t="shared" si="59"/>
        <v>3.95</v>
      </c>
      <c r="H553">
        <f t="shared" si="60"/>
        <v>237</v>
      </c>
      <c r="I553" s="3">
        <f t="shared" si="61"/>
        <v>75.949367088607588</v>
      </c>
      <c r="J553" t="str">
        <f t="shared" si="62"/>
        <v>F</v>
      </c>
    </row>
    <row r="554" spans="1:10" x14ac:dyDescent="0.25">
      <c r="A554" s="4" t="s">
        <v>347</v>
      </c>
      <c r="B554" s="1">
        <v>0.24433299999999999</v>
      </c>
      <c r="C554" s="1">
        <v>0.24707699999999999</v>
      </c>
      <c r="D554" s="1">
        <f t="shared" si="56"/>
        <v>2.7439999999999964E-3</v>
      </c>
      <c r="E554">
        <f t="shared" si="57"/>
        <v>3</v>
      </c>
      <c r="F554">
        <f t="shared" si="58"/>
        <v>57</v>
      </c>
      <c r="G554">
        <f t="shared" si="59"/>
        <v>3.95</v>
      </c>
      <c r="H554">
        <f t="shared" si="60"/>
        <v>237</v>
      </c>
      <c r="I554" s="3">
        <f t="shared" si="61"/>
        <v>75.949367088607588</v>
      </c>
      <c r="J554" t="str">
        <f t="shared" si="62"/>
        <v>F</v>
      </c>
    </row>
    <row r="555" spans="1:10" x14ac:dyDescent="0.25">
      <c r="A555" s="4" t="s">
        <v>17</v>
      </c>
      <c r="B555" s="1">
        <v>0.136911</v>
      </c>
      <c r="C555" s="1">
        <v>0.134159</v>
      </c>
      <c r="D555" s="1">
        <f t="shared" si="56"/>
        <v>2.7520000000000044E-3</v>
      </c>
      <c r="E555">
        <f t="shared" si="57"/>
        <v>3</v>
      </c>
      <c r="F555">
        <f t="shared" si="58"/>
        <v>58</v>
      </c>
      <c r="G555">
        <f t="shared" si="59"/>
        <v>3.97</v>
      </c>
      <c r="H555">
        <f t="shared" si="60"/>
        <v>238</v>
      </c>
      <c r="I555" s="3">
        <f t="shared" si="61"/>
        <v>75.630252100840337</v>
      </c>
      <c r="J555" t="str">
        <f t="shared" si="62"/>
        <v>F</v>
      </c>
    </row>
    <row r="556" spans="1:10" x14ac:dyDescent="0.25">
      <c r="A556" s="4" t="s">
        <v>158</v>
      </c>
      <c r="B556" s="1">
        <v>0.58547800000000005</v>
      </c>
      <c r="C556" s="1">
        <v>0.58823000000000003</v>
      </c>
      <c r="D556" s="1">
        <f t="shared" si="56"/>
        <v>2.7519999999999767E-3</v>
      </c>
      <c r="E556">
        <f t="shared" si="57"/>
        <v>3</v>
      </c>
      <c r="F556">
        <f t="shared" si="58"/>
        <v>58</v>
      </c>
      <c r="G556">
        <f t="shared" si="59"/>
        <v>3.97</v>
      </c>
      <c r="H556">
        <f t="shared" si="60"/>
        <v>238</v>
      </c>
      <c r="I556" s="3">
        <f t="shared" si="61"/>
        <v>75.630252100840337</v>
      </c>
      <c r="J556" t="str">
        <f t="shared" si="62"/>
        <v>F</v>
      </c>
    </row>
    <row r="557" spans="1:10" x14ac:dyDescent="0.25">
      <c r="A557" s="4" t="s">
        <v>341</v>
      </c>
      <c r="B557" s="1">
        <v>0.70019799999999999</v>
      </c>
      <c r="C557" s="1">
        <v>0.70295399999999997</v>
      </c>
      <c r="D557" s="1">
        <f t="shared" si="56"/>
        <v>2.7559999999999807E-3</v>
      </c>
      <c r="E557">
        <f t="shared" si="57"/>
        <v>3</v>
      </c>
      <c r="F557">
        <f t="shared" si="58"/>
        <v>58</v>
      </c>
      <c r="G557">
        <f t="shared" si="59"/>
        <v>3.97</v>
      </c>
      <c r="H557">
        <f t="shared" si="60"/>
        <v>238</v>
      </c>
      <c r="I557" s="3">
        <f t="shared" si="61"/>
        <v>75.630252100840337</v>
      </c>
      <c r="J557" t="str">
        <f t="shared" si="62"/>
        <v>F</v>
      </c>
    </row>
    <row r="558" spans="1:10" x14ac:dyDescent="0.25">
      <c r="A558" s="4" t="s">
        <v>41</v>
      </c>
      <c r="B558" s="1">
        <v>0.61574300000000004</v>
      </c>
      <c r="C558" s="1">
        <v>0.61297900000000005</v>
      </c>
      <c r="D558" s="1">
        <f t="shared" si="56"/>
        <v>2.7639999999999887E-3</v>
      </c>
      <c r="E558">
        <f t="shared" si="57"/>
        <v>3</v>
      </c>
      <c r="F558">
        <f t="shared" si="58"/>
        <v>59</v>
      </c>
      <c r="G558">
        <f t="shared" si="59"/>
        <v>3.98</v>
      </c>
      <c r="H558">
        <f t="shared" si="60"/>
        <v>239</v>
      </c>
      <c r="I558" s="3">
        <f t="shared" si="61"/>
        <v>75.313807531380746</v>
      </c>
      <c r="J558" t="str">
        <f t="shared" si="62"/>
        <v>F</v>
      </c>
    </row>
    <row r="559" spans="1:10" x14ac:dyDescent="0.25">
      <c r="A559" s="4" t="s">
        <v>132</v>
      </c>
      <c r="B559" s="1">
        <v>6.6352999999999995E-2</v>
      </c>
      <c r="C559" s="1">
        <v>6.3589000000000007E-2</v>
      </c>
      <c r="D559" s="1">
        <f t="shared" si="56"/>
        <v>2.7639999999999887E-3</v>
      </c>
      <c r="E559">
        <f t="shared" si="57"/>
        <v>3</v>
      </c>
      <c r="F559">
        <f t="shared" si="58"/>
        <v>59</v>
      </c>
      <c r="G559">
        <f t="shared" si="59"/>
        <v>3.98</v>
      </c>
      <c r="H559">
        <f t="shared" si="60"/>
        <v>239</v>
      </c>
      <c r="I559" s="3">
        <f t="shared" si="61"/>
        <v>75.313807531380746</v>
      </c>
      <c r="J559" t="str">
        <f t="shared" si="62"/>
        <v>F</v>
      </c>
    </row>
    <row r="560" spans="1:10" x14ac:dyDescent="0.25">
      <c r="A560" s="4" t="s">
        <v>333</v>
      </c>
      <c r="B560" s="1">
        <v>0.288352</v>
      </c>
      <c r="C560" s="1">
        <v>0.29111999999999999</v>
      </c>
      <c r="D560" s="1">
        <f t="shared" si="56"/>
        <v>2.7679999999999927E-3</v>
      </c>
      <c r="E560">
        <f t="shared" si="57"/>
        <v>3</v>
      </c>
      <c r="F560">
        <f t="shared" si="58"/>
        <v>59</v>
      </c>
      <c r="G560">
        <f t="shared" si="59"/>
        <v>3.98</v>
      </c>
      <c r="H560">
        <f t="shared" si="60"/>
        <v>239</v>
      </c>
      <c r="I560" s="3">
        <f t="shared" si="61"/>
        <v>75.313807531380746</v>
      </c>
      <c r="J560" t="str">
        <f t="shared" si="62"/>
        <v>F</v>
      </c>
    </row>
    <row r="561" spans="1:10" x14ac:dyDescent="0.25">
      <c r="A561" s="8" t="s">
        <v>133</v>
      </c>
      <c r="B561" s="1">
        <v>0.86760800000000005</v>
      </c>
      <c r="C561" s="1">
        <v>0.87038800000000005</v>
      </c>
      <c r="D561" s="1">
        <f t="shared" si="56"/>
        <v>2.7800000000000047E-3</v>
      </c>
      <c r="E561">
        <f t="shared" si="57"/>
        <v>4</v>
      </c>
      <c r="F561">
        <f t="shared" si="58"/>
        <v>0</v>
      </c>
      <c r="G561">
        <f t="shared" si="59"/>
        <v>4</v>
      </c>
      <c r="H561">
        <f t="shared" si="60"/>
        <v>240</v>
      </c>
      <c r="I561" s="10">
        <f t="shared" si="61"/>
        <v>75</v>
      </c>
      <c r="J561" t="str">
        <f t="shared" si="62"/>
        <v>T</v>
      </c>
    </row>
    <row r="562" spans="1:10" x14ac:dyDescent="0.25">
      <c r="A562" s="4" t="s">
        <v>161</v>
      </c>
      <c r="B562" s="1">
        <v>0.75155000000000005</v>
      </c>
      <c r="C562" s="1">
        <v>0.75432600000000005</v>
      </c>
      <c r="D562" s="1">
        <f t="shared" si="56"/>
        <v>2.7760000000000007E-3</v>
      </c>
      <c r="E562">
        <f t="shared" si="57"/>
        <v>4</v>
      </c>
      <c r="F562">
        <f t="shared" si="58"/>
        <v>0</v>
      </c>
      <c r="G562">
        <f t="shared" si="59"/>
        <v>4</v>
      </c>
      <c r="H562">
        <f t="shared" si="60"/>
        <v>240</v>
      </c>
      <c r="I562" s="3">
        <f t="shared" si="61"/>
        <v>75</v>
      </c>
      <c r="J562" t="str">
        <f t="shared" si="62"/>
        <v>F</v>
      </c>
    </row>
    <row r="563" spans="1:10" x14ac:dyDescent="0.25">
      <c r="A563" s="4" t="s">
        <v>75</v>
      </c>
      <c r="B563" s="1">
        <v>0.75184499999999999</v>
      </c>
      <c r="C563" s="1">
        <v>0.75461699999999998</v>
      </c>
      <c r="D563" s="1">
        <f t="shared" si="56"/>
        <v>2.7719999999999967E-3</v>
      </c>
      <c r="E563">
        <f t="shared" si="57"/>
        <v>4</v>
      </c>
      <c r="F563">
        <f t="shared" si="58"/>
        <v>0</v>
      </c>
      <c r="G563">
        <f t="shared" si="59"/>
        <v>4</v>
      </c>
      <c r="H563">
        <f t="shared" si="60"/>
        <v>240</v>
      </c>
      <c r="I563" s="3">
        <f t="shared" si="61"/>
        <v>75</v>
      </c>
      <c r="J563" t="str">
        <f t="shared" si="62"/>
        <v>F</v>
      </c>
    </row>
    <row r="564" spans="1:10" x14ac:dyDescent="0.25">
      <c r="A564" s="4" t="s">
        <v>25</v>
      </c>
      <c r="B564" s="1">
        <v>0.93257800000000002</v>
      </c>
      <c r="C564" s="1">
        <v>0.92980200000000002</v>
      </c>
      <c r="D564" s="1">
        <f t="shared" si="56"/>
        <v>2.7760000000000007E-3</v>
      </c>
      <c r="E564">
        <f t="shared" si="57"/>
        <v>4</v>
      </c>
      <c r="F564">
        <f t="shared" si="58"/>
        <v>0</v>
      </c>
      <c r="G564">
        <f t="shared" si="59"/>
        <v>4</v>
      </c>
      <c r="H564">
        <f t="shared" si="60"/>
        <v>240</v>
      </c>
      <c r="I564" s="3">
        <f t="shared" si="61"/>
        <v>75</v>
      </c>
      <c r="J564" t="str">
        <f t="shared" si="62"/>
        <v>F</v>
      </c>
    </row>
    <row r="565" spans="1:10" x14ac:dyDescent="0.25">
      <c r="A565" s="4" t="s">
        <v>93</v>
      </c>
      <c r="B565" s="1">
        <v>2.2315999999999999E-2</v>
      </c>
      <c r="C565" s="1">
        <v>1.9543999999999999E-2</v>
      </c>
      <c r="D565" s="1">
        <f t="shared" si="56"/>
        <v>2.7720000000000002E-3</v>
      </c>
      <c r="E565">
        <f t="shared" si="57"/>
        <v>4</v>
      </c>
      <c r="F565">
        <f t="shared" si="58"/>
        <v>0</v>
      </c>
      <c r="G565">
        <f t="shared" si="59"/>
        <v>4</v>
      </c>
      <c r="H565">
        <f t="shared" si="60"/>
        <v>240</v>
      </c>
      <c r="I565" s="3">
        <f t="shared" si="61"/>
        <v>75</v>
      </c>
      <c r="J565" t="str">
        <f t="shared" si="62"/>
        <v>F</v>
      </c>
    </row>
    <row r="566" spans="1:10" x14ac:dyDescent="0.25">
      <c r="A566" s="4" t="s">
        <v>227</v>
      </c>
      <c r="B566" s="1">
        <v>0.529331</v>
      </c>
      <c r="C566" s="1">
        <v>0.532107</v>
      </c>
      <c r="D566" s="1">
        <f t="shared" si="56"/>
        <v>2.7760000000000007E-3</v>
      </c>
      <c r="E566">
        <f t="shared" si="57"/>
        <v>4</v>
      </c>
      <c r="F566">
        <f t="shared" si="58"/>
        <v>0</v>
      </c>
      <c r="G566">
        <f t="shared" si="59"/>
        <v>4</v>
      </c>
      <c r="H566">
        <f t="shared" si="60"/>
        <v>240</v>
      </c>
      <c r="I566" s="3">
        <f t="shared" si="61"/>
        <v>75</v>
      </c>
      <c r="J566" t="str">
        <f t="shared" si="62"/>
        <v>F</v>
      </c>
    </row>
    <row r="567" spans="1:10" x14ac:dyDescent="0.25">
      <c r="A567" s="4" t="s">
        <v>66</v>
      </c>
      <c r="B567" s="1">
        <v>6.5331E-2</v>
      </c>
      <c r="C567" s="1">
        <v>6.2547000000000005E-2</v>
      </c>
      <c r="D567" s="1">
        <f t="shared" si="56"/>
        <v>2.7839999999999948E-3</v>
      </c>
      <c r="E567">
        <f t="shared" si="57"/>
        <v>4</v>
      </c>
      <c r="F567">
        <f t="shared" si="58"/>
        <v>1</v>
      </c>
      <c r="G567">
        <f t="shared" si="59"/>
        <v>4.0199999999999996</v>
      </c>
      <c r="H567">
        <f t="shared" si="60"/>
        <v>241</v>
      </c>
      <c r="I567" s="3">
        <f t="shared" si="61"/>
        <v>74.68879668049793</v>
      </c>
      <c r="J567" t="str">
        <f t="shared" si="62"/>
        <v>F</v>
      </c>
    </row>
    <row r="568" spans="1:10" x14ac:dyDescent="0.25">
      <c r="A568" s="4" t="s">
        <v>91</v>
      </c>
      <c r="B568" s="1">
        <v>0.52953499999999998</v>
      </c>
      <c r="C568" s="1">
        <v>0.52674299999999996</v>
      </c>
      <c r="D568" s="1">
        <f t="shared" si="56"/>
        <v>2.7920000000000167E-3</v>
      </c>
      <c r="E568">
        <f t="shared" si="57"/>
        <v>4</v>
      </c>
      <c r="F568">
        <f t="shared" si="58"/>
        <v>1</v>
      </c>
      <c r="G568">
        <f t="shared" si="59"/>
        <v>4.0199999999999996</v>
      </c>
      <c r="H568">
        <f t="shared" si="60"/>
        <v>241</v>
      </c>
      <c r="I568" s="3">
        <f t="shared" si="61"/>
        <v>74.68879668049793</v>
      </c>
      <c r="J568" t="str">
        <f t="shared" si="62"/>
        <v>F</v>
      </c>
    </row>
    <row r="569" spans="1:10" x14ac:dyDescent="0.25">
      <c r="A569" s="4" t="s">
        <v>429</v>
      </c>
      <c r="B569" s="1">
        <v>0.85646699999999998</v>
      </c>
      <c r="C569" s="1">
        <v>0.85925499999999999</v>
      </c>
      <c r="D569" s="1">
        <f t="shared" si="56"/>
        <v>2.7880000000000127E-3</v>
      </c>
      <c r="E569">
        <f t="shared" si="57"/>
        <v>4</v>
      </c>
      <c r="F569">
        <f t="shared" si="58"/>
        <v>1</v>
      </c>
      <c r="G569">
        <f t="shared" si="59"/>
        <v>4.0199999999999996</v>
      </c>
      <c r="H569">
        <f t="shared" si="60"/>
        <v>241</v>
      </c>
      <c r="I569" s="3">
        <f t="shared" si="61"/>
        <v>74.68879668049793</v>
      </c>
      <c r="J569" t="str">
        <f t="shared" si="62"/>
        <v>F</v>
      </c>
    </row>
    <row r="570" spans="1:10" x14ac:dyDescent="0.25">
      <c r="A570" s="4" t="s">
        <v>162</v>
      </c>
      <c r="B570" s="1">
        <v>0.15484700000000001</v>
      </c>
      <c r="C570" s="1">
        <v>0.152063</v>
      </c>
      <c r="D570" s="1">
        <f t="shared" si="56"/>
        <v>2.7840000000000087E-3</v>
      </c>
      <c r="E570">
        <f t="shared" si="57"/>
        <v>4</v>
      </c>
      <c r="F570">
        <f t="shared" si="58"/>
        <v>1</v>
      </c>
      <c r="G570">
        <f t="shared" si="59"/>
        <v>4.0199999999999996</v>
      </c>
      <c r="H570">
        <f t="shared" si="60"/>
        <v>241</v>
      </c>
      <c r="I570" s="3">
        <f t="shared" si="61"/>
        <v>74.68879668049793</v>
      </c>
      <c r="J570" t="str">
        <f t="shared" si="62"/>
        <v>F</v>
      </c>
    </row>
    <row r="571" spans="1:10" x14ac:dyDescent="0.25">
      <c r="A571" s="4" t="s">
        <v>87</v>
      </c>
      <c r="B571" s="1">
        <v>0.44664599999999999</v>
      </c>
      <c r="C571" s="1">
        <v>0.44944200000000001</v>
      </c>
      <c r="D571" s="1">
        <f t="shared" si="56"/>
        <v>2.7960000000000207E-3</v>
      </c>
      <c r="E571">
        <f t="shared" si="57"/>
        <v>4</v>
      </c>
      <c r="F571">
        <f t="shared" si="58"/>
        <v>2</v>
      </c>
      <c r="G571">
        <f t="shared" si="59"/>
        <v>4.03</v>
      </c>
      <c r="H571">
        <f t="shared" si="60"/>
        <v>242</v>
      </c>
      <c r="I571" s="3">
        <f t="shared" si="61"/>
        <v>74.380165289256198</v>
      </c>
      <c r="J571" t="str">
        <f t="shared" si="62"/>
        <v>F</v>
      </c>
    </row>
    <row r="572" spans="1:10" x14ac:dyDescent="0.25">
      <c r="A572" s="4" t="s">
        <v>105</v>
      </c>
      <c r="B572" s="1">
        <v>0.70912799999999998</v>
      </c>
      <c r="C572" s="1">
        <v>0.70633199999999996</v>
      </c>
      <c r="D572" s="1">
        <f t="shared" si="56"/>
        <v>2.7960000000000207E-3</v>
      </c>
      <c r="E572">
        <f t="shared" si="57"/>
        <v>4</v>
      </c>
      <c r="F572">
        <f t="shared" si="58"/>
        <v>2</v>
      </c>
      <c r="G572">
        <f t="shared" si="59"/>
        <v>4.03</v>
      </c>
      <c r="H572">
        <f t="shared" si="60"/>
        <v>242</v>
      </c>
      <c r="I572" s="3">
        <f t="shared" si="61"/>
        <v>74.380165289256198</v>
      </c>
      <c r="J572" t="str">
        <f t="shared" si="62"/>
        <v>F</v>
      </c>
    </row>
    <row r="573" spans="1:10" x14ac:dyDescent="0.25">
      <c r="A573" s="4" t="s">
        <v>56</v>
      </c>
      <c r="B573" s="1">
        <v>0.76231800000000005</v>
      </c>
      <c r="C573" s="1">
        <v>0.75952200000000003</v>
      </c>
      <c r="D573" s="1">
        <f t="shared" si="56"/>
        <v>2.7960000000000207E-3</v>
      </c>
      <c r="E573">
        <f t="shared" si="57"/>
        <v>4</v>
      </c>
      <c r="F573">
        <f t="shared" si="58"/>
        <v>2</v>
      </c>
      <c r="G573">
        <f t="shared" si="59"/>
        <v>4.03</v>
      </c>
      <c r="H573">
        <f t="shared" si="60"/>
        <v>242</v>
      </c>
      <c r="I573" s="3">
        <f t="shared" si="61"/>
        <v>74.380165289256198</v>
      </c>
      <c r="J573" t="str">
        <f t="shared" si="62"/>
        <v>F</v>
      </c>
    </row>
    <row r="574" spans="1:10" x14ac:dyDescent="0.25">
      <c r="A574" s="4" t="s">
        <v>38</v>
      </c>
      <c r="B574" s="1">
        <v>0.333036</v>
      </c>
      <c r="C574" s="1">
        <v>0.33584799999999998</v>
      </c>
      <c r="D574" s="1">
        <f t="shared" si="56"/>
        <v>2.8119999999999812E-3</v>
      </c>
      <c r="E574">
        <f t="shared" si="57"/>
        <v>4</v>
      </c>
      <c r="F574">
        <f t="shared" si="58"/>
        <v>3</v>
      </c>
      <c r="G574">
        <f t="shared" si="59"/>
        <v>4.05</v>
      </c>
      <c r="H574">
        <f t="shared" si="60"/>
        <v>243</v>
      </c>
      <c r="I574" s="3">
        <f t="shared" si="61"/>
        <v>74.074074074074076</v>
      </c>
      <c r="J574" t="str">
        <f t="shared" si="62"/>
        <v>F</v>
      </c>
    </row>
    <row r="575" spans="1:10" x14ac:dyDescent="0.25">
      <c r="A575" s="4" t="s">
        <v>107</v>
      </c>
      <c r="B575" s="1">
        <v>0.27387699999999998</v>
      </c>
      <c r="C575" s="1">
        <v>0.271065</v>
      </c>
      <c r="D575" s="1">
        <f t="shared" si="56"/>
        <v>2.8119999999999812E-3</v>
      </c>
      <c r="E575">
        <f t="shared" si="57"/>
        <v>4</v>
      </c>
      <c r="F575">
        <f t="shared" si="58"/>
        <v>3</v>
      </c>
      <c r="G575">
        <f t="shared" si="59"/>
        <v>4.05</v>
      </c>
      <c r="H575">
        <f t="shared" si="60"/>
        <v>243</v>
      </c>
      <c r="I575" s="3">
        <f t="shared" si="61"/>
        <v>74.074074074074076</v>
      </c>
      <c r="J575" t="str">
        <f t="shared" si="62"/>
        <v>F</v>
      </c>
    </row>
    <row r="576" spans="1:10" x14ac:dyDescent="0.25">
      <c r="A576" s="4" t="s">
        <v>60</v>
      </c>
      <c r="B576" s="1">
        <v>0.22966</v>
      </c>
      <c r="C576" s="1">
        <v>0.23246800000000001</v>
      </c>
      <c r="D576" s="1">
        <f t="shared" si="56"/>
        <v>2.8080000000000049E-3</v>
      </c>
      <c r="E576">
        <f t="shared" si="57"/>
        <v>4</v>
      </c>
      <c r="F576">
        <f t="shared" si="58"/>
        <v>3</v>
      </c>
      <c r="G576">
        <f t="shared" si="59"/>
        <v>4.05</v>
      </c>
      <c r="H576">
        <f t="shared" si="60"/>
        <v>243</v>
      </c>
      <c r="I576" s="3">
        <f t="shared" si="61"/>
        <v>74.074074074074076</v>
      </c>
      <c r="J576" t="str">
        <f t="shared" si="62"/>
        <v>F</v>
      </c>
    </row>
    <row r="577" spans="1:10" x14ac:dyDescent="0.25">
      <c r="A577" s="4" t="s">
        <v>87</v>
      </c>
      <c r="B577" s="1">
        <v>0.75573800000000002</v>
      </c>
      <c r="C577" s="1">
        <v>0.75292599999999998</v>
      </c>
      <c r="D577" s="1">
        <f t="shared" si="56"/>
        <v>2.8120000000000367E-3</v>
      </c>
      <c r="E577">
        <f t="shared" si="57"/>
        <v>4</v>
      </c>
      <c r="F577">
        <f t="shared" si="58"/>
        <v>3</v>
      </c>
      <c r="G577">
        <f t="shared" si="59"/>
        <v>4.05</v>
      </c>
      <c r="H577">
        <f t="shared" si="60"/>
        <v>243</v>
      </c>
      <c r="I577" s="3">
        <f t="shared" si="61"/>
        <v>74.074074074074076</v>
      </c>
      <c r="J577" t="str">
        <f t="shared" si="62"/>
        <v>F</v>
      </c>
    </row>
    <row r="578" spans="1:10" x14ac:dyDescent="0.25">
      <c r="A578" s="4" t="s">
        <v>97</v>
      </c>
      <c r="B578" s="1">
        <v>0.51822299999999999</v>
      </c>
      <c r="C578" s="1">
        <v>0.52104300000000003</v>
      </c>
      <c r="D578" s="1">
        <f t="shared" ref="D578:D641" si="63">IF(B578&gt;C578,B578-C578,C578-B578)</f>
        <v>2.8200000000000447E-3</v>
      </c>
      <c r="E578">
        <f t="shared" ref="E578:E641" si="64">MINUTE(D578)</f>
        <v>4</v>
      </c>
      <c r="F578">
        <f t="shared" ref="F578:F641" si="65">SECOND(D578)</f>
        <v>4</v>
      </c>
      <c r="G578">
        <f t="shared" ref="G578:G641" si="66">ROUND(E578+F578/60,2)</f>
        <v>4.07</v>
      </c>
      <c r="H578">
        <f t="shared" ref="H578:H641" si="67">60*E578+F578</f>
        <v>244</v>
      </c>
      <c r="I578" s="3">
        <f t="shared" ref="I578:I641" si="68">5*(3600/H578)</f>
        <v>73.770491803278688</v>
      </c>
      <c r="J578" t="str">
        <f t="shared" ref="J578:J641" si="69">IF(MID(A578,3,2)="18","T","F")</f>
        <v>F</v>
      </c>
    </row>
    <row r="579" spans="1:10" x14ac:dyDescent="0.25">
      <c r="A579" s="4" t="s">
        <v>147</v>
      </c>
      <c r="B579" s="1">
        <v>0.75391399999999997</v>
      </c>
      <c r="C579" s="1">
        <v>0.75674200000000003</v>
      </c>
      <c r="D579" s="1">
        <f t="shared" si="63"/>
        <v>2.8280000000000527E-3</v>
      </c>
      <c r="E579">
        <f t="shared" si="64"/>
        <v>4</v>
      </c>
      <c r="F579">
        <f t="shared" si="65"/>
        <v>4</v>
      </c>
      <c r="G579">
        <f t="shared" si="66"/>
        <v>4.07</v>
      </c>
      <c r="H579">
        <f t="shared" si="67"/>
        <v>244</v>
      </c>
      <c r="I579" s="3">
        <f t="shared" si="68"/>
        <v>73.770491803278688</v>
      </c>
      <c r="J579" t="str">
        <f t="shared" si="69"/>
        <v>F</v>
      </c>
    </row>
    <row r="580" spans="1:10" x14ac:dyDescent="0.25">
      <c r="A580" s="4" t="s">
        <v>5</v>
      </c>
      <c r="B580" s="1">
        <v>0.13649500000000001</v>
      </c>
      <c r="C580" s="1">
        <v>0.139319</v>
      </c>
      <c r="D580" s="1">
        <f t="shared" si="63"/>
        <v>2.8239999999999932E-3</v>
      </c>
      <c r="E580">
        <f t="shared" si="64"/>
        <v>4</v>
      </c>
      <c r="F580">
        <f t="shared" si="65"/>
        <v>4</v>
      </c>
      <c r="G580">
        <f t="shared" si="66"/>
        <v>4.07</v>
      </c>
      <c r="H580">
        <f t="shared" si="67"/>
        <v>244</v>
      </c>
      <c r="I580" s="3">
        <f t="shared" si="68"/>
        <v>73.770491803278688</v>
      </c>
      <c r="J580" t="str">
        <f t="shared" si="69"/>
        <v>F</v>
      </c>
    </row>
    <row r="581" spans="1:10" x14ac:dyDescent="0.25">
      <c r="A581" s="4" t="s">
        <v>17</v>
      </c>
      <c r="B581" s="1">
        <v>9.0898999999999994E-2</v>
      </c>
      <c r="C581" s="1">
        <v>9.3718999999999997E-2</v>
      </c>
      <c r="D581" s="1">
        <f t="shared" si="63"/>
        <v>2.8200000000000031E-3</v>
      </c>
      <c r="E581">
        <f t="shared" si="64"/>
        <v>4</v>
      </c>
      <c r="F581">
        <f t="shared" si="65"/>
        <v>4</v>
      </c>
      <c r="G581">
        <f t="shared" si="66"/>
        <v>4.07</v>
      </c>
      <c r="H581">
        <f t="shared" si="67"/>
        <v>244</v>
      </c>
      <c r="I581" s="3">
        <f t="shared" si="68"/>
        <v>73.770491803278688</v>
      </c>
      <c r="J581" t="str">
        <f t="shared" si="69"/>
        <v>F</v>
      </c>
    </row>
    <row r="582" spans="1:10" x14ac:dyDescent="0.25">
      <c r="A582" s="4" t="s">
        <v>162</v>
      </c>
      <c r="B582" s="1">
        <v>0.57133</v>
      </c>
      <c r="C582" s="1">
        <v>0.57415400000000005</v>
      </c>
      <c r="D582" s="1">
        <f t="shared" si="63"/>
        <v>2.8240000000000487E-3</v>
      </c>
      <c r="E582">
        <f t="shared" si="64"/>
        <v>4</v>
      </c>
      <c r="F582">
        <f t="shared" si="65"/>
        <v>4</v>
      </c>
      <c r="G582">
        <f t="shared" si="66"/>
        <v>4.07</v>
      </c>
      <c r="H582">
        <f t="shared" si="67"/>
        <v>244</v>
      </c>
      <c r="I582" s="3">
        <f t="shared" si="68"/>
        <v>73.770491803278688</v>
      </c>
      <c r="J582" t="str">
        <f t="shared" si="69"/>
        <v>F</v>
      </c>
    </row>
    <row r="583" spans="1:10" x14ac:dyDescent="0.25">
      <c r="A583" s="4" t="s">
        <v>47</v>
      </c>
      <c r="B583" s="1">
        <v>5.8332000000000002E-2</v>
      </c>
      <c r="C583" s="1">
        <v>5.5495999999999997E-2</v>
      </c>
      <c r="D583" s="1">
        <f t="shared" si="63"/>
        <v>2.8360000000000052E-3</v>
      </c>
      <c r="E583">
        <f t="shared" si="64"/>
        <v>4</v>
      </c>
      <c r="F583">
        <f t="shared" si="65"/>
        <v>5</v>
      </c>
      <c r="G583">
        <f t="shared" si="66"/>
        <v>4.08</v>
      </c>
      <c r="H583">
        <f t="shared" si="67"/>
        <v>245</v>
      </c>
      <c r="I583" s="3">
        <f t="shared" si="68"/>
        <v>73.469387755102048</v>
      </c>
      <c r="J583" t="str">
        <f t="shared" si="69"/>
        <v>F</v>
      </c>
    </row>
    <row r="584" spans="1:10" x14ac:dyDescent="0.25">
      <c r="A584" s="4" t="s">
        <v>50</v>
      </c>
      <c r="B584" s="1">
        <v>0.64752100000000001</v>
      </c>
      <c r="C584" s="1">
        <v>0.64468899999999996</v>
      </c>
      <c r="D584" s="1">
        <f t="shared" si="63"/>
        <v>2.8320000000000567E-3</v>
      </c>
      <c r="E584">
        <f t="shared" si="64"/>
        <v>4</v>
      </c>
      <c r="F584">
        <f t="shared" si="65"/>
        <v>5</v>
      </c>
      <c r="G584">
        <f t="shared" si="66"/>
        <v>4.08</v>
      </c>
      <c r="H584">
        <f t="shared" si="67"/>
        <v>245</v>
      </c>
      <c r="I584" s="3">
        <f t="shared" si="68"/>
        <v>73.469387755102048</v>
      </c>
      <c r="J584" t="str">
        <f t="shared" si="69"/>
        <v>F</v>
      </c>
    </row>
    <row r="585" spans="1:10" x14ac:dyDescent="0.25">
      <c r="A585" s="4" t="s">
        <v>16</v>
      </c>
      <c r="B585" s="1">
        <v>0.376137</v>
      </c>
      <c r="C585" s="1">
        <v>0.37329699999999999</v>
      </c>
      <c r="D585" s="1">
        <f t="shared" si="63"/>
        <v>2.8400000000000092E-3</v>
      </c>
      <c r="E585">
        <f t="shared" si="64"/>
        <v>4</v>
      </c>
      <c r="F585">
        <f t="shared" si="65"/>
        <v>5</v>
      </c>
      <c r="G585">
        <f t="shared" si="66"/>
        <v>4.08</v>
      </c>
      <c r="H585">
        <f t="shared" si="67"/>
        <v>245</v>
      </c>
      <c r="I585" s="3">
        <f t="shared" si="68"/>
        <v>73.469387755102048</v>
      </c>
      <c r="J585" t="str">
        <f t="shared" si="69"/>
        <v>F</v>
      </c>
    </row>
    <row r="586" spans="1:10" x14ac:dyDescent="0.25">
      <c r="A586" s="4" t="s">
        <v>363</v>
      </c>
      <c r="B586" s="1">
        <v>0.58136100000000002</v>
      </c>
      <c r="C586" s="1">
        <v>0.57852499999999996</v>
      </c>
      <c r="D586" s="1">
        <f t="shared" si="63"/>
        <v>2.8360000000000607E-3</v>
      </c>
      <c r="E586">
        <f t="shared" si="64"/>
        <v>4</v>
      </c>
      <c r="F586">
        <f t="shared" si="65"/>
        <v>5</v>
      </c>
      <c r="G586">
        <f t="shared" si="66"/>
        <v>4.08</v>
      </c>
      <c r="H586">
        <f t="shared" si="67"/>
        <v>245</v>
      </c>
      <c r="I586" s="3">
        <f t="shared" si="68"/>
        <v>73.469387755102048</v>
      </c>
      <c r="J586" t="str">
        <f t="shared" si="69"/>
        <v>F</v>
      </c>
    </row>
    <row r="587" spans="1:10" x14ac:dyDescent="0.25">
      <c r="A587" s="4" t="s">
        <v>144</v>
      </c>
      <c r="B587" s="1">
        <v>0.94697500000000001</v>
      </c>
      <c r="C587" s="1">
        <v>0.94982699999999998</v>
      </c>
      <c r="D587" s="1">
        <f t="shared" si="63"/>
        <v>2.8519999999999657E-3</v>
      </c>
      <c r="E587">
        <f t="shared" si="64"/>
        <v>4</v>
      </c>
      <c r="F587">
        <f t="shared" si="65"/>
        <v>6</v>
      </c>
      <c r="G587">
        <f t="shared" si="66"/>
        <v>4.0999999999999996</v>
      </c>
      <c r="H587">
        <f t="shared" si="67"/>
        <v>246</v>
      </c>
      <c r="I587" s="3">
        <f t="shared" si="68"/>
        <v>73.170731707317074</v>
      </c>
      <c r="J587" t="str">
        <f t="shared" si="69"/>
        <v>F</v>
      </c>
    </row>
    <row r="588" spans="1:10" x14ac:dyDescent="0.25">
      <c r="A588" s="4" t="s">
        <v>145</v>
      </c>
      <c r="B588" s="1">
        <v>0.86413600000000002</v>
      </c>
      <c r="C588" s="1">
        <v>0.86697999999999997</v>
      </c>
      <c r="D588" s="1">
        <f t="shared" si="63"/>
        <v>2.8439999999999577E-3</v>
      </c>
      <c r="E588">
        <f t="shared" si="64"/>
        <v>4</v>
      </c>
      <c r="F588">
        <f t="shared" si="65"/>
        <v>6</v>
      </c>
      <c r="G588">
        <f t="shared" si="66"/>
        <v>4.0999999999999996</v>
      </c>
      <c r="H588">
        <f t="shared" si="67"/>
        <v>246</v>
      </c>
      <c r="I588" s="3">
        <f t="shared" si="68"/>
        <v>73.170731707317074</v>
      </c>
      <c r="J588" t="str">
        <f t="shared" si="69"/>
        <v>F</v>
      </c>
    </row>
    <row r="589" spans="1:10" x14ac:dyDescent="0.25">
      <c r="A589" s="4" t="s">
        <v>80</v>
      </c>
      <c r="B589" s="1">
        <v>0.77809700000000004</v>
      </c>
      <c r="C589" s="1">
        <v>0.77524899999999997</v>
      </c>
      <c r="D589" s="1">
        <f t="shared" si="63"/>
        <v>2.8480000000000727E-3</v>
      </c>
      <c r="E589">
        <f t="shared" si="64"/>
        <v>4</v>
      </c>
      <c r="F589">
        <f t="shared" si="65"/>
        <v>6</v>
      </c>
      <c r="G589">
        <f t="shared" si="66"/>
        <v>4.0999999999999996</v>
      </c>
      <c r="H589">
        <f t="shared" si="67"/>
        <v>246</v>
      </c>
      <c r="I589" s="3">
        <f t="shared" si="68"/>
        <v>73.170731707317074</v>
      </c>
      <c r="J589" t="str">
        <f t="shared" si="69"/>
        <v>F</v>
      </c>
    </row>
    <row r="590" spans="1:10" x14ac:dyDescent="0.25">
      <c r="A590" s="4" t="s">
        <v>111</v>
      </c>
      <c r="B590" s="1">
        <v>0.51173299999999999</v>
      </c>
      <c r="C590" s="1">
        <v>0.51459699999999997</v>
      </c>
      <c r="D590" s="1">
        <f t="shared" si="63"/>
        <v>2.8639999999999777E-3</v>
      </c>
      <c r="E590">
        <f t="shared" si="64"/>
        <v>4</v>
      </c>
      <c r="F590">
        <f t="shared" si="65"/>
        <v>7</v>
      </c>
      <c r="G590">
        <f t="shared" si="66"/>
        <v>4.12</v>
      </c>
      <c r="H590">
        <f t="shared" si="67"/>
        <v>247</v>
      </c>
      <c r="I590" s="3">
        <f t="shared" si="68"/>
        <v>72.874493927125513</v>
      </c>
      <c r="J590" t="str">
        <f t="shared" si="69"/>
        <v>F</v>
      </c>
    </row>
    <row r="591" spans="1:10" x14ac:dyDescent="0.25">
      <c r="A591" s="4" t="s">
        <v>163</v>
      </c>
      <c r="B591" s="1">
        <v>6.4921000000000006E-2</v>
      </c>
      <c r="C591" s="1">
        <v>6.2060999999999998E-2</v>
      </c>
      <c r="D591" s="1">
        <f t="shared" si="63"/>
        <v>2.8600000000000084E-3</v>
      </c>
      <c r="E591">
        <f t="shared" si="64"/>
        <v>4</v>
      </c>
      <c r="F591">
        <f t="shared" si="65"/>
        <v>7</v>
      </c>
      <c r="G591">
        <f t="shared" si="66"/>
        <v>4.12</v>
      </c>
      <c r="H591">
        <f t="shared" si="67"/>
        <v>247</v>
      </c>
      <c r="I591" s="3">
        <f t="shared" si="68"/>
        <v>72.874493927125513</v>
      </c>
      <c r="J591" t="str">
        <f t="shared" si="69"/>
        <v>F</v>
      </c>
    </row>
    <row r="592" spans="1:10" x14ac:dyDescent="0.25">
      <c r="A592" s="4" t="s">
        <v>142</v>
      </c>
      <c r="B592" s="1">
        <v>0.924736</v>
      </c>
      <c r="C592" s="1">
        <v>0.92187600000000003</v>
      </c>
      <c r="D592" s="1">
        <f t="shared" si="63"/>
        <v>2.8599999999999737E-3</v>
      </c>
      <c r="E592">
        <f t="shared" si="64"/>
        <v>4</v>
      </c>
      <c r="F592">
        <f t="shared" si="65"/>
        <v>7</v>
      </c>
      <c r="G592">
        <f t="shared" si="66"/>
        <v>4.12</v>
      </c>
      <c r="H592">
        <f t="shared" si="67"/>
        <v>247</v>
      </c>
      <c r="I592" s="3">
        <f t="shared" si="68"/>
        <v>72.874493927125513</v>
      </c>
      <c r="J592" t="str">
        <f t="shared" si="69"/>
        <v>F</v>
      </c>
    </row>
    <row r="593" spans="1:10" x14ac:dyDescent="0.25">
      <c r="A593" s="4" t="s">
        <v>149</v>
      </c>
      <c r="B593" s="1">
        <v>0.84406099999999995</v>
      </c>
      <c r="C593" s="1">
        <v>0.84692100000000003</v>
      </c>
      <c r="D593" s="1">
        <f t="shared" si="63"/>
        <v>2.8600000000000847E-3</v>
      </c>
      <c r="E593">
        <f t="shared" si="64"/>
        <v>4</v>
      </c>
      <c r="F593">
        <f t="shared" si="65"/>
        <v>7</v>
      </c>
      <c r="G593">
        <f t="shared" si="66"/>
        <v>4.12</v>
      </c>
      <c r="H593">
        <f t="shared" si="67"/>
        <v>247</v>
      </c>
      <c r="I593" s="3">
        <f t="shared" si="68"/>
        <v>72.874493927125513</v>
      </c>
      <c r="J593" t="str">
        <f t="shared" si="69"/>
        <v>F</v>
      </c>
    </row>
    <row r="594" spans="1:10" x14ac:dyDescent="0.25">
      <c r="A594" s="4" t="s">
        <v>325</v>
      </c>
      <c r="B594" s="1">
        <v>0.46205000000000002</v>
      </c>
      <c r="C594" s="1">
        <v>0.45918999999999999</v>
      </c>
      <c r="D594" s="1">
        <f t="shared" si="63"/>
        <v>2.8600000000000292E-3</v>
      </c>
      <c r="E594">
        <f t="shared" si="64"/>
        <v>4</v>
      </c>
      <c r="F594">
        <f t="shared" si="65"/>
        <v>7</v>
      </c>
      <c r="G594">
        <f t="shared" si="66"/>
        <v>4.12</v>
      </c>
      <c r="H594">
        <f t="shared" si="67"/>
        <v>247</v>
      </c>
      <c r="I594" s="3">
        <f t="shared" si="68"/>
        <v>72.874493927125513</v>
      </c>
      <c r="J594" t="str">
        <f t="shared" si="69"/>
        <v>F</v>
      </c>
    </row>
    <row r="595" spans="1:10" x14ac:dyDescent="0.25">
      <c r="A595" s="4" t="s">
        <v>78</v>
      </c>
      <c r="B595" s="1">
        <v>0.93040699999999998</v>
      </c>
      <c r="C595" s="1">
        <v>0.93328299999999997</v>
      </c>
      <c r="D595" s="1">
        <f t="shared" si="63"/>
        <v>2.8759999999999897E-3</v>
      </c>
      <c r="E595">
        <f t="shared" si="64"/>
        <v>4</v>
      </c>
      <c r="F595">
        <f t="shared" si="65"/>
        <v>8</v>
      </c>
      <c r="G595">
        <f t="shared" si="66"/>
        <v>4.13</v>
      </c>
      <c r="H595">
        <f t="shared" si="67"/>
        <v>248</v>
      </c>
      <c r="I595" s="3">
        <f t="shared" si="68"/>
        <v>72.58064516129032</v>
      </c>
      <c r="J595" t="str">
        <f t="shared" si="69"/>
        <v>F</v>
      </c>
    </row>
    <row r="596" spans="1:10" x14ac:dyDescent="0.25">
      <c r="A596" s="4" t="s">
        <v>102</v>
      </c>
      <c r="B596" s="1">
        <v>0.69207300000000005</v>
      </c>
      <c r="C596" s="1">
        <v>0.68920499999999996</v>
      </c>
      <c r="D596" s="1">
        <f t="shared" si="63"/>
        <v>2.8680000000000927E-3</v>
      </c>
      <c r="E596">
        <f t="shared" si="64"/>
        <v>4</v>
      </c>
      <c r="F596">
        <f t="shared" si="65"/>
        <v>8</v>
      </c>
      <c r="G596">
        <f t="shared" si="66"/>
        <v>4.13</v>
      </c>
      <c r="H596">
        <f t="shared" si="67"/>
        <v>248</v>
      </c>
      <c r="I596" s="3">
        <f t="shared" si="68"/>
        <v>72.58064516129032</v>
      </c>
      <c r="J596" t="str">
        <f t="shared" si="69"/>
        <v>F</v>
      </c>
    </row>
    <row r="597" spans="1:10" x14ac:dyDescent="0.25">
      <c r="A597" s="4" t="s">
        <v>335</v>
      </c>
      <c r="B597" s="1">
        <v>0.42368600000000001</v>
      </c>
      <c r="C597" s="1">
        <v>0.42081000000000002</v>
      </c>
      <c r="D597" s="1">
        <f t="shared" si="63"/>
        <v>2.8759999999999897E-3</v>
      </c>
      <c r="E597">
        <f t="shared" si="64"/>
        <v>4</v>
      </c>
      <c r="F597">
        <f t="shared" si="65"/>
        <v>8</v>
      </c>
      <c r="G597">
        <f t="shared" si="66"/>
        <v>4.13</v>
      </c>
      <c r="H597">
        <f t="shared" si="67"/>
        <v>248</v>
      </c>
      <c r="I597" s="3">
        <f t="shared" si="68"/>
        <v>72.58064516129032</v>
      </c>
      <c r="J597" t="str">
        <f t="shared" si="69"/>
        <v>F</v>
      </c>
    </row>
    <row r="598" spans="1:10" x14ac:dyDescent="0.25">
      <c r="A598" s="4" t="s">
        <v>28</v>
      </c>
      <c r="B598" s="1">
        <v>0.38782699999999998</v>
      </c>
      <c r="C598" s="1">
        <v>0.38494699999999998</v>
      </c>
      <c r="D598" s="1">
        <f t="shared" si="63"/>
        <v>2.8799999999999937E-3</v>
      </c>
      <c r="E598">
        <f t="shared" si="64"/>
        <v>4</v>
      </c>
      <c r="F598">
        <f t="shared" si="65"/>
        <v>9</v>
      </c>
      <c r="G598">
        <f t="shared" si="66"/>
        <v>4.1500000000000004</v>
      </c>
      <c r="H598">
        <f t="shared" si="67"/>
        <v>249</v>
      </c>
      <c r="I598" s="3">
        <f t="shared" si="68"/>
        <v>72.289156626506028</v>
      </c>
      <c r="J598" t="str">
        <f t="shared" si="69"/>
        <v>F</v>
      </c>
    </row>
    <row r="599" spans="1:10" x14ac:dyDescent="0.25">
      <c r="A599" s="4" t="s">
        <v>36</v>
      </c>
      <c r="B599" s="1">
        <v>0.43002600000000002</v>
      </c>
      <c r="C599" s="1">
        <v>0.42713400000000001</v>
      </c>
      <c r="D599" s="1">
        <f t="shared" si="63"/>
        <v>2.8920000000000057E-3</v>
      </c>
      <c r="E599">
        <f t="shared" si="64"/>
        <v>4</v>
      </c>
      <c r="F599">
        <f t="shared" si="65"/>
        <v>10</v>
      </c>
      <c r="G599">
        <f t="shared" si="66"/>
        <v>4.17</v>
      </c>
      <c r="H599">
        <f t="shared" si="67"/>
        <v>250</v>
      </c>
      <c r="I599" s="3">
        <f t="shared" si="68"/>
        <v>72</v>
      </c>
      <c r="J599" t="str">
        <f t="shared" si="69"/>
        <v>F</v>
      </c>
    </row>
    <row r="600" spans="1:10" x14ac:dyDescent="0.25">
      <c r="A600" s="4" t="s">
        <v>41</v>
      </c>
      <c r="B600" s="1">
        <v>0.58307699999999996</v>
      </c>
      <c r="C600" s="1">
        <v>0.58018099999999995</v>
      </c>
      <c r="D600" s="1">
        <f t="shared" si="63"/>
        <v>2.8960000000000097E-3</v>
      </c>
      <c r="E600">
        <f t="shared" si="64"/>
        <v>4</v>
      </c>
      <c r="F600">
        <f t="shared" si="65"/>
        <v>10</v>
      </c>
      <c r="G600">
        <f t="shared" si="66"/>
        <v>4.17</v>
      </c>
      <c r="H600">
        <f t="shared" si="67"/>
        <v>250</v>
      </c>
      <c r="I600" s="3">
        <f t="shared" si="68"/>
        <v>72</v>
      </c>
      <c r="J600" t="str">
        <f t="shared" si="69"/>
        <v>F</v>
      </c>
    </row>
    <row r="601" spans="1:10" x14ac:dyDescent="0.25">
      <c r="A601" s="4" t="s">
        <v>135</v>
      </c>
      <c r="B601" s="1">
        <v>2.2994000000000001E-2</v>
      </c>
      <c r="C601" s="1">
        <v>2.5885999999999999E-2</v>
      </c>
      <c r="D601" s="1">
        <f t="shared" si="63"/>
        <v>2.8919999999999987E-3</v>
      </c>
      <c r="E601">
        <f t="shared" si="64"/>
        <v>4</v>
      </c>
      <c r="F601">
        <f t="shared" si="65"/>
        <v>10</v>
      </c>
      <c r="G601">
        <f t="shared" si="66"/>
        <v>4.17</v>
      </c>
      <c r="H601">
        <f t="shared" si="67"/>
        <v>250</v>
      </c>
      <c r="I601" s="3">
        <f t="shared" si="68"/>
        <v>72</v>
      </c>
      <c r="J601" t="str">
        <f t="shared" si="69"/>
        <v>F</v>
      </c>
    </row>
    <row r="602" spans="1:10" x14ac:dyDescent="0.25">
      <c r="A602" s="4" t="s">
        <v>85</v>
      </c>
      <c r="B602" s="1">
        <v>0.85538400000000003</v>
      </c>
      <c r="C602" s="1">
        <v>0.85827600000000004</v>
      </c>
      <c r="D602" s="1">
        <f t="shared" si="63"/>
        <v>2.8920000000000057E-3</v>
      </c>
      <c r="E602">
        <f t="shared" si="64"/>
        <v>4</v>
      </c>
      <c r="F602">
        <f t="shared" si="65"/>
        <v>10</v>
      </c>
      <c r="G602">
        <f t="shared" si="66"/>
        <v>4.17</v>
      </c>
      <c r="H602">
        <f t="shared" si="67"/>
        <v>250</v>
      </c>
      <c r="I602" s="3">
        <f t="shared" si="68"/>
        <v>72</v>
      </c>
      <c r="J602" t="str">
        <f t="shared" si="69"/>
        <v>F</v>
      </c>
    </row>
    <row r="603" spans="1:10" x14ac:dyDescent="0.25">
      <c r="A603" s="4" t="s">
        <v>230</v>
      </c>
      <c r="B603" s="1">
        <v>0.86723899999999998</v>
      </c>
      <c r="C603" s="1">
        <v>0.86434699999999998</v>
      </c>
      <c r="D603" s="1">
        <f t="shared" si="63"/>
        <v>2.8920000000000057E-3</v>
      </c>
      <c r="E603">
        <f t="shared" si="64"/>
        <v>4</v>
      </c>
      <c r="F603">
        <f t="shared" si="65"/>
        <v>10</v>
      </c>
      <c r="G603">
        <f t="shared" si="66"/>
        <v>4.17</v>
      </c>
      <c r="H603">
        <f t="shared" si="67"/>
        <v>250</v>
      </c>
      <c r="I603" s="3">
        <f t="shared" si="68"/>
        <v>72</v>
      </c>
      <c r="J603" t="str">
        <f t="shared" si="69"/>
        <v>F</v>
      </c>
    </row>
    <row r="604" spans="1:10" x14ac:dyDescent="0.25">
      <c r="A604" s="4" t="s">
        <v>289</v>
      </c>
      <c r="B604" s="1">
        <v>0.260156</v>
      </c>
      <c r="C604" s="1">
        <v>0.25726399999999999</v>
      </c>
      <c r="D604" s="1">
        <f t="shared" si="63"/>
        <v>2.8920000000000057E-3</v>
      </c>
      <c r="E604">
        <f t="shared" si="64"/>
        <v>4</v>
      </c>
      <c r="F604">
        <f t="shared" si="65"/>
        <v>10</v>
      </c>
      <c r="G604">
        <f t="shared" si="66"/>
        <v>4.17</v>
      </c>
      <c r="H604">
        <f t="shared" si="67"/>
        <v>250</v>
      </c>
      <c r="I604" s="3">
        <f t="shared" si="68"/>
        <v>72</v>
      </c>
      <c r="J604" t="str">
        <f t="shared" si="69"/>
        <v>F</v>
      </c>
    </row>
    <row r="605" spans="1:10" x14ac:dyDescent="0.25">
      <c r="A605" s="4" t="s">
        <v>359</v>
      </c>
      <c r="B605" s="1">
        <v>0.81716200000000005</v>
      </c>
      <c r="C605" s="1">
        <v>0.81427000000000005</v>
      </c>
      <c r="D605" s="1">
        <f t="shared" si="63"/>
        <v>2.8920000000000057E-3</v>
      </c>
      <c r="E605">
        <f t="shared" si="64"/>
        <v>4</v>
      </c>
      <c r="F605">
        <f t="shared" si="65"/>
        <v>10</v>
      </c>
      <c r="G605">
        <f t="shared" si="66"/>
        <v>4.17</v>
      </c>
      <c r="H605">
        <f t="shared" si="67"/>
        <v>250</v>
      </c>
      <c r="I605" s="3">
        <f t="shared" si="68"/>
        <v>72</v>
      </c>
      <c r="J605" t="str">
        <f t="shared" si="69"/>
        <v>F</v>
      </c>
    </row>
    <row r="606" spans="1:10" x14ac:dyDescent="0.25">
      <c r="A606" s="4" t="s">
        <v>92</v>
      </c>
      <c r="B606" s="1">
        <v>0.53350699999999995</v>
      </c>
      <c r="C606" s="1">
        <v>0.53640699999999997</v>
      </c>
      <c r="D606" s="1">
        <f t="shared" si="63"/>
        <v>2.9000000000000137E-3</v>
      </c>
      <c r="E606">
        <f t="shared" si="64"/>
        <v>4</v>
      </c>
      <c r="F606">
        <f t="shared" si="65"/>
        <v>11</v>
      </c>
      <c r="G606">
        <f t="shared" si="66"/>
        <v>4.18</v>
      </c>
      <c r="H606">
        <f t="shared" si="67"/>
        <v>251</v>
      </c>
      <c r="I606" s="3">
        <f t="shared" si="68"/>
        <v>71.713147410358559</v>
      </c>
      <c r="J606" t="str">
        <f t="shared" si="69"/>
        <v>F</v>
      </c>
    </row>
    <row r="607" spans="1:10" x14ac:dyDescent="0.25">
      <c r="A607" s="4" t="s">
        <v>26</v>
      </c>
      <c r="B607" s="1">
        <v>0.29010599999999998</v>
      </c>
      <c r="C607" s="1">
        <v>0.29300599999999999</v>
      </c>
      <c r="D607" s="1">
        <f t="shared" si="63"/>
        <v>2.9000000000000137E-3</v>
      </c>
      <c r="E607">
        <f t="shared" si="64"/>
        <v>4</v>
      </c>
      <c r="F607">
        <f t="shared" si="65"/>
        <v>11</v>
      </c>
      <c r="G607">
        <f t="shared" si="66"/>
        <v>4.18</v>
      </c>
      <c r="H607">
        <f t="shared" si="67"/>
        <v>251</v>
      </c>
      <c r="I607" s="3">
        <f t="shared" si="68"/>
        <v>71.713147410358559</v>
      </c>
      <c r="J607" t="str">
        <f t="shared" si="69"/>
        <v>F</v>
      </c>
    </row>
    <row r="608" spans="1:10" x14ac:dyDescent="0.25">
      <c r="A608" s="4" t="s">
        <v>138</v>
      </c>
      <c r="B608" s="1">
        <v>0.94605499999999998</v>
      </c>
      <c r="C608" s="1">
        <v>0.94314699999999996</v>
      </c>
      <c r="D608" s="1">
        <f t="shared" si="63"/>
        <v>2.9080000000000217E-3</v>
      </c>
      <c r="E608">
        <f t="shared" si="64"/>
        <v>4</v>
      </c>
      <c r="F608">
        <f t="shared" si="65"/>
        <v>11</v>
      </c>
      <c r="G608">
        <f t="shared" si="66"/>
        <v>4.18</v>
      </c>
      <c r="H608">
        <f t="shared" si="67"/>
        <v>251</v>
      </c>
      <c r="I608" s="3">
        <f t="shared" si="68"/>
        <v>71.713147410358559</v>
      </c>
      <c r="J608" t="str">
        <f t="shared" si="69"/>
        <v>F</v>
      </c>
    </row>
    <row r="609" spans="1:10" x14ac:dyDescent="0.25">
      <c r="A609" s="4" t="s">
        <v>146</v>
      </c>
      <c r="B609" s="1">
        <v>0.72777400000000003</v>
      </c>
      <c r="C609" s="1">
        <v>0.72487400000000002</v>
      </c>
      <c r="D609" s="1">
        <f t="shared" si="63"/>
        <v>2.9000000000000137E-3</v>
      </c>
      <c r="E609">
        <f t="shared" si="64"/>
        <v>4</v>
      </c>
      <c r="F609">
        <f t="shared" si="65"/>
        <v>11</v>
      </c>
      <c r="G609">
        <f t="shared" si="66"/>
        <v>4.18</v>
      </c>
      <c r="H609">
        <f t="shared" si="67"/>
        <v>251</v>
      </c>
      <c r="I609" s="3">
        <f t="shared" si="68"/>
        <v>71.713147410358559</v>
      </c>
      <c r="J609" t="str">
        <f t="shared" si="69"/>
        <v>F</v>
      </c>
    </row>
    <row r="610" spans="1:10" x14ac:dyDescent="0.25">
      <c r="A610" s="4" t="s">
        <v>74</v>
      </c>
      <c r="B610" s="1">
        <v>0.91838799999999998</v>
      </c>
      <c r="C610" s="1">
        <v>0.91548399999999996</v>
      </c>
      <c r="D610" s="1">
        <f t="shared" si="63"/>
        <v>2.9040000000000177E-3</v>
      </c>
      <c r="E610">
        <f t="shared" si="64"/>
        <v>4</v>
      </c>
      <c r="F610">
        <f t="shared" si="65"/>
        <v>11</v>
      </c>
      <c r="G610">
        <f t="shared" si="66"/>
        <v>4.18</v>
      </c>
      <c r="H610">
        <f t="shared" si="67"/>
        <v>251</v>
      </c>
      <c r="I610" s="3">
        <f t="shared" si="68"/>
        <v>71.713147410358559</v>
      </c>
      <c r="J610" t="str">
        <f t="shared" si="69"/>
        <v>F</v>
      </c>
    </row>
    <row r="611" spans="1:10" x14ac:dyDescent="0.25">
      <c r="A611" s="4" t="s">
        <v>18</v>
      </c>
      <c r="B611" s="1">
        <v>0.97761100000000001</v>
      </c>
      <c r="C611" s="1">
        <v>0.98051100000000002</v>
      </c>
      <c r="D611" s="1">
        <f t="shared" si="63"/>
        <v>2.9000000000000137E-3</v>
      </c>
      <c r="E611">
        <f t="shared" si="64"/>
        <v>4</v>
      </c>
      <c r="F611">
        <f t="shared" si="65"/>
        <v>11</v>
      </c>
      <c r="G611">
        <f t="shared" si="66"/>
        <v>4.18</v>
      </c>
      <c r="H611">
        <f t="shared" si="67"/>
        <v>251</v>
      </c>
      <c r="I611" s="3">
        <f t="shared" si="68"/>
        <v>71.713147410358559</v>
      </c>
      <c r="J611" t="str">
        <f t="shared" si="69"/>
        <v>F</v>
      </c>
    </row>
    <row r="612" spans="1:10" x14ac:dyDescent="0.25">
      <c r="A612" s="4" t="s">
        <v>384</v>
      </c>
      <c r="B612" s="1">
        <v>0.78184600000000004</v>
      </c>
      <c r="C612" s="1">
        <v>0.78475399999999995</v>
      </c>
      <c r="D612" s="1">
        <f t="shared" si="63"/>
        <v>2.9079999999999107E-3</v>
      </c>
      <c r="E612">
        <f t="shared" si="64"/>
        <v>4</v>
      </c>
      <c r="F612">
        <f t="shared" si="65"/>
        <v>11</v>
      </c>
      <c r="G612">
        <f t="shared" si="66"/>
        <v>4.18</v>
      </c>
      <c r="H612">
        <f t="shared" si="67"/>
        <v>251</v>
      </c>
      <c r="I612" s="3">
        <f t="shared" si="68"/>
        <v>71.713147410358559</v>
      </c>
      <c r="J612" t="str">
        <f t="shared" si="69"/>
        <v>F</v>
      </c>
    </row>
    <row r="613" spans="1:10" x14ac:dyDescent="0.25">
      <c r="A613" s="4" t="s">
        <v>87</v>
      </c>
      <c r="B613" s="1">
        <v>0.16008700000000001</v>
      </c>
      <c r="C613" s="1">
        <v>0.15717100000000001</v>
      </c>
      <c r="D613" s="1">
        <f t="shared" si="63"/>
        <v>2.9160000000000019E-3</v>
      </c>
      <c r="E613">
        <f t="shared" si="64"/>
        <v>4</v>
      </c>
      <c r="F613">
        <f t="shared" si="65"/>
        <v>12</v>
      </c>
      <c r="G613">
        <f t="shared" si="66"/>
        <v>4.2</v>
      </c>
      <c r="H613">
        <f t="shared" si="67"/>
        <v>252</v>
      </c>
      <c r="I613" s="3">
        <f t="shared" si="68"/>
        <v>71.428571428571431</v>
      </c>
      <c r="J613" t="str">
        <f t="shared" si="69"/>
        <v>F</v>
      </c>
    </row>
    <row r="614" spans="1:10" x14ac:dyDescent="0.25">
      <c r="A614" s="4" t="s">
        <v>140</v>
      </c>
      <c r="B614" s="1">
        <v>0.90234800000000004</v>
      </c>
      <c r="C614" s="1">
        <v>0.89943600000000001</v>
      </c>
      <c r="D614" s="1">
        <f t="shared" si="63"/>
        <v>2.9120000000000257E-3</v>
      </c>
      <c r="E614">
        <f t="shared" si="64"/>
        <v>4</v>
      </c>
      <c r="F614">
        <f t="shared" si="65"/>
        <v>12</v>
      </c>
      <c r="G614">
        <f t="shared" si="66"/>
        <v>4.2</v>
      </c>
      <c r="H614">
        <f t="shared" si="67"/>
        <v>252</v>
      </c>
      <c r="I614" s="3">
        <f t="shared" si="68"/>
        <v>71.428571428571431</v>
      </c>
      <c r="J614" t="str">
        <f t="shared" si="69"/>
        <v>F</v>
      </c>
    </row>
    <row r="615" spans="1:10" x14ac:dyDescent="0.25">
      <c r="A615" s="4" t="s">
        <v>41</v>
      </c>
      <c r="B615" s="1">
        <v>0.58149399999999996</v>
      </c>
      <c r="C615" s="1">
        <v>0.57857000000000003</v>
      </c>
      <c r="D615" s="1">
        <f t="shared" si="63"/>
        <v>2.9239999999999267E-3</v>
      </c>
      <c r="E615">
        <f t="shared" si="64"/>
        <v>4</v>
      </c>
      <c r="F615">
        <f t="shared" si="65"/>
        <v>13</v>
      </c>
      <c r="G615">
        <f t="shared" si="66"/>
        <v>4.22</v>
      </c>
      <c r="H615">
        <f t="shared" si="67"/>
        <v>253</v>
      </c>
      <c r="I615" s="3">
        <f t="shared" si="68"/>
        <v>71.146245059288532</v>
      </c>
      <c r="J615" t="str">
        <f t="shared" si="69"/>
        <v>F</v>
      </c>
    </row>
    <row r="616" spans="1:10" x14ac:dyDescent="0.25">
      <c r="A616" s="4" t="s">
        <v>87</v>
      </c>
      <c r="B616" s="1">
        <v>0.193798</v>
      </c>
      <c r="C616" s="1">
        <v>0.19087000000000001</v>
      </c>
      <c r="D616" s="1">
        <f t="shared" si="63"/>
        <v>2.9279999999999862E-3</v>
      </c>
      <c r="E616">
        <f t="shared" si="64"/>
        <v>4</v>
      </c>
      <c r="F616">
        <f t="shared" si="65"/>
        <v>13</v>
      </c>
      <c r="G616">
        <f t="shared" si="66"/>
        <v>4.22</v>
      </c>
      <c r="H616">
        <f t="shared" si="67"/>
        <v>253</v>
      </c>
      <c r="I616" s="3">
        <f t="shared" si="68"/>
        <v>71.146245059288532</v>
      </c>
      <c r="J616" t="str">
        <f t="shared" si="69"/>
        <v>F</v>
      </c>
    </row>
    <row r="617" spans="1:10" x14ac:dyDescent="0.25">
      <c r="A617" s="4" t="s">
        <v>222</v>
      </c>
      <c r="B617" s="1">
        <v>0.16234899999999999</v>
      </c>
      <c r="C617" s="1">
        <v>0.15942100000000001</v>
      </c>
      <c r="D617" s="1">
        <f t="shared" si="63"/>
        <v>2.9279999999999862E-3</v>
      </c>
      <c r="E617">
        <f t="shared" si="64"/>
        <v>4</v>
      </c>
      <c r="F617">
        <f t="shared" si="65"/>
        <v>13</v>
      </c>
      <c r="G617">
        <f t="shared" si="66"/>
        <v>4.22</v>
      </c>
      <c r="H617">
        <f t="shared" si="67"/>
        <v>253</v>
      </c>
      <c r="I617" s="3">
        <f t="shared" si="68"/>
        <v>71.146245059288532</v>
      </c>
      <c r="J617" t="str">
        <f t="shared" si="69"/>
        <v>F</v>
      </c>
    </row>
    <row r="618" spans="1:10" x14ac:dyDescent="0.25">
      <c r="A618" s="4" t="s">
        <v>398</v>
      </c>
      <c r="B618" s="1">
        <v>0.62443000000000004</v>
      </c>
      <c r="C618" s="1">
        <v>0.62149799999999999</v>
      </c>
      <c r="D618" s="1">
        <f t="shared" si="63"/>
        <v>2.9320000000000457E-3</v>
      </c>
      <c r="E618">
        <f t="shared" si="64"/>
        <v>4</v>
      </c>
      <c r="F618">
        <f t="shared" si="65"/>
        <v>13</v>
      </c>
      <c r="G618">
        <f t="shared" si="66"/>
        <v>4.22</v>
      </c>
      <c r="H618">
        <f t="shared" si="67"/>
        <v>253</v>
      </c>
      <c r="I618" s="3">
        <f t="shared" si="68"/>
        <v>71.146245059288532</v>
      </c>
      <c r="J618" t="str">
        <f t="shared" si="69"/>
        <v>F</v>
      </c>
    </row>
    <row r="619" spans="1:10" x14ac:dyDescent="0.25">
      <c r="A619" s="4" t="s">
        <v>75</v>
      </c>
      <c r="B619" s="1">
        <v>0.85006000000000004</v>
      </c>
      <c r="C619" s="1">
        <v>0.85299599999999998</v>
      </c>
      <c r="D619" s="1">
        <f t="shared" si="63"/>
        <v>2.9359999999999387E-3</v>
      </c>
      <c r="E619">
        <f t="shared" si="64"/>
        <v>4</v>
      </c>
      <c r="F619">
        <f t="shared" si="65"/>
        <v>14</v>
      </c>
      <c r="G619">
        <f t="shared" si="66"/>
        <v>4.2300000000000004</v>
      </c>
      <c r="H619">
        <f t="shared" si="67"/>
        <v>254</v>
      </c>
      <c r="I619" s="3">
        <f t="shared" si="68"/>
        <v>70.866141732283467</v>
      </c>
      <c r="J619" t="str">
        <f t="shared" si="69"/>
        <v>F</v>
      </c>
    </row>
    <row r="620" spans="1:10" x14ac:dyDescent="0.25">
      <c r="A620" s="4" t="s">
        <v>47</v>
      </c>
      <c r="B620" s="1">
        <v>0.78562500000000002</v>
      </c>
      <c r="C620" s="1">
        <v>0.78268499999999996</v>
      </c>
      <c r="D620" s="1">
        <f t="shared" si="63"/>
        <v>2.9400000000000537E-3</v>
      </c>
      <c r="E620">
        <f t="shared" si="64"/>
        <v>4</v>
      </c>
      <c r="F620">
        <f t="shared" si="65"/>
        <v>14</v>
      </c>
      <c r="G620">
        <f t="shared" si="66"/>
        <v>4.2300000000000004</v>
      </c>
      <c r="H620">
        <f t="shared" si="67"/>
        <v>254</v>
      </c>
      <c r="I620" s="3">
        <f t="shared" si="68"/>
        <v>70.866141732283467</v>
      </c>
      <c r="J620" t="str">
        <f t="shared" si="69"/>
        <v>F</v>
      </c>
    </row>
    <row r="621" spans="1:10" x14ac:dyDescent="0.25">
      <c r="A621" s="4" t="s">
        <v>160</v>
      </c>
      <c r="B621" s="1">
        <v>0.85336199999999995</v>
      </c>
      <c r="C621" s="1">
        <v>0.85630600000000001</v>
      </c>
      <c r="D621" s="1">
        <f t="shared" si="63"/>
        <v>2.9440000000000577E-3</v>
      </c>
      <c r="E621">
        <f t="shared" si="64"/>
        <v>4</v>
      </c>
      <c r="F621">
        <f t="shared" si="65"/>
        <v>14</v>
      </c>
      <c r="G621">
        <f t="shared" si="66"/>
        <v>4.2300000000000004</v>
      </c>
      <c r="H621">
        <f t="shared" si="67"/>
        <v>254</v>
      </c>
      <c r="I621" s="3">
        <f t="shared" si="68"/>
        <v>70.866141732283467</v>
      </c>
      <c r="J621" t="str">
        <f t="shared" si="69"/>
        <v>F</v>
      </c>
    </row>
    <row r="622" spans="1:10" x14ac:dyDescent="0.25">
      <c r="A622" s="4" t="s">
        <v>117</v>
      </c>
      <c r="B622" s="1">
        <v>0.184863</v>
      </c>
      <c r="C622" s="1">
        <v>0.181919</v>
      </c>
      <c r="D622" s="1">
        <f t="shared" si="63"/>
        <v>2.9440000000000022E-3</v>
      </c>
      <c r="E622">
        <f t="shared" si="64"/>
        <v>4</v>
      </c>
      <c r="F622">
        <f t="shared" si="65"/>
        <v>14</v>
      </c>
      <c r="G622">
        <f t="shared" si="66"/>
        <v>4.2300000000000004</v>
      </c>
      <c r="H622">
        <f t="shared" si="67"/>
        <v>254</v>
      </c>
      <c r="I622" s="3">
        <f t="shared" si="68"/>
        <v>70.866141732283467</v>
      </c>
      <c r="J622" t="str">
        <f t="shared" si="69"/>
        <v>F</v>
      </c>
    </row>
    <row r="623" spans="1:10" x14ac:dyDescent="0.25">
      <c r="A623" s="4" t="s">
        <v>5</v>
      </c>
      <c r="B623" s="1">
        <v>0.78616900000000001</v>
      </c>
      <c r="C623" s="1">
        <v>0.78911699999999996</v>
      </c>
      <c r="D623" s="1">
        <f t="shared" si="63"/>
        <v>2.9479999999999507E-3</v>
      </c>
      <c r="E623">
        <f t="shared" si="64"/>
        <v>4</v>
      </c>
      <c r="F623">
        <f t="shared" si="65"/>
        <v>15</v>
      </c>
      <c r="G623">
        <f t="shared" si="66"/>
        <v>4.25</v>
      </c>
      <c r="H623">
        <f t="shared" si="67"/>
        <v>255</v>
      </c>
      <c r="I623" s="3">
        <f t="shared" si="68"/>
        <v>70.588235294117652</v>
      </c>
      <c r="J623" t="str">
        <f t="shared" si="69"/>
        <v>F</v>
      </c>
    </row>
    <row r="624" spans="1:10" x14ac:dyDescent="0.25">
      <c r="A624" s="4" t="s">
        <v>85</v>
      </c>
      <c r="B624" s="1">
        <v>0.139958</v>
      </c>
      <c r="C624" s="1">
        <v>0.14291400000000001</v>
      </c>
      <c r="D624" s="1">
        <f t="shared" si="63"/>
        <v>2.9560000000000142E-3</v>
      </c>
      <c r="E624">
        <f t="shared" si="64"/>
        <v>4</v>
      </c>
      <c r="F624">
        <f t="shared" si="65"/>
        <v>15</v>
      </c>
      <c r="G624">
        <f t="shared" si="66"/>
        <v>4.25</v>
      </c>
      <c r="H624">
        <f t="shared" si="67"/>
        <v>255</v>
      </c>
      <c r="I624" s="3">
        <f t="shared" si="68"/>
        <v>70.588235294117652</v>
      </c>
      <c r="J624" t="str">
        <f t="shared" si="69"/>
        <v>F</v>
      </c>
    </row>
    <row r="625" spans="1:10" x14ac:dyDescent="0.25">
      <c r="A625" s="4" t="s">
        <v>26</v>
      </c>
      <c r="B625" s="1">
        <v>0.34465099999999999</v>
      </c>
      <c r="C625" s="1">
        <v>0.347607</v>
      </c>
      <c r="D625" s="1">
        <f t="shared" si="63"/>
        <v>2.9560000000000142E-3</v>
      </c>
      <c r="E625">
        <f t="shared" si="64"/>
        <v>4</v>
      </c>
      <c r="F625">
        <f t="shared" si="65"/>
        <v>15</v>
      </c>
      <c r="G625">
        <f t="shared" si="66"/>
        <v>4.25</v>
      </c>
      <c r="H625">
        <f t="shared" si="67"/>
        <v>255</v>
      </c>
      <c r="I625" s="3">
        <f t="shared" si="68"/>
        <v>70.588235294117652</v>
      </c>
      <c r="J625" t="str">
        <f t="shared" si="69"/>
        <v>F</v>
      </c>
    </row>
    <row r="626" spans="1:10" x14ac:dyDescent="0.25">
      <c r="A626" s="4" t="s">
        <v>308</v>
      </c>
      <c r="B626" s="1">
        <v>0.25362299999999999</v>
      </c>
      <c r="C626" s="1">
        <v>0.256579</v>
      </c>
      <c r="D626" s="1">
        <f t="shared" si="63"/>
        <v>2.9560000000000142E-3</v>
      </c>
      <c r="E626">
        <f t="shared" si="64"/>
        <v>4</v>
      </c>
      <c r="F626">
        <f t="shared" si="65"/>
        <v>15</v>
      </c>
      <c r="G626">
        <f t="shared" si="66"/>
        <v>4.25</v>
      </c>
      <c r="H626">
        <f t="shared" si="67"/>
        <v>255</v>
      </c>
      <c r="I626" s="3">
        <f t="shared" si="68"/>
        <v>70.588235294117652</v>
      </c>
      <c r="J626" t="str">
        <f t="shared" si="69"/>
        <v>F</v>
      </c>
    </row>
    <row r="627" spans="1:10" x14ac:dyDescent="0.25">
      <c r="A627" s="4" t="s">
        <v>75</v>
      </c>
      <c r="B627" s="1">
        <v>0.87064699999999995</v>
      </c>
      <c r="C627" s="1">
        <v>0.87361100000000003</v>
      </c>
      <c r="D627" s="1">
        <f t="shared" si="63"/>
        <v>2.9640000000000777E-3</v>
      </c>
      <c r="E627">
        <f t="shared" si="64"/>
        <v>4</v>
      </c>
      <c r="F627">
        <f t="shared" si="65"/>
        <v>16</v>
      </c>
      <c r="G627">
        <f t="shared" si="66"/>
        <v>4.2699999999999996</v>
      </c>
      <c r="H627">
        <f t="shared" si="67"/>
        <v>256</v>
      </c>
      <c r="I627" s="3">
        <f t="shared" si="68"/>
        <v>70.3125</v>
      </c>
      <c r="J627" t="str">
        <f t="shared" si="69"/>
        <v>F</v>
      </c>
    </row>
    <row r="628" spans="1:10" x14ac:dyDescent="0.25">
      <c r="A628" s="4" t="s">
        <v>68</v>
      </c>
      <c r="B628" s="1">
        <v>0.25546200000000002</v>
      </c>
      <c r="C628" s="1">
        <v>0.25842199999999999</v>
      </c>
      <c r="D628" s="1">
        <f t="shared" si="63"/>
        <v>2.9599999999999627E-3</v>
      </c>
      <c r="E628">
        <f t="shared" si="64"/>
        <v>4</v>
      </c>
      <c r="F628">
        <f t="shared" si="65"/>
        <v>16</v>
      </c>
      <c r="G628">
        <f t="shared" si="66"/>
        <v>4.2699999999999996</v>
      </c>
      <c r="H628">
        <f t="shared" si="67"/>
        <v>256</v>
      </c>
      <c r="I628" s="3">
        <f t="shared" si="68"/>
        <v>70.3125</v>
      </c>
      <c r="J628" t="str">
        <f t="shared" si="69"/>
        <v>F</v>
      </c>
    </row>
    <row r="629" spans="1:10" x14ac:dyDescent="0.25">
      <c r="A629" s="4" t="s">
        <v>112</v>
      </c>
      <c r="B629" s="1">
        <v>8.3103999999999997E-2</v>
      </c>
      <c r="C629" s="1">
        <v>8.0135999999999999E-2</v>
      </c>
      <c r="D629" s="1">
        <f t="shared" si="63"/>
        <v>2.9679999999999984E-3</v>
      </c>
      <c r="E629">
        <f t="shared" si="64"/>
        <v>4</v>
      </c>
      <c r="F629">
        <f t="shared" si="65"/>
        <v>16</v>
      </c>
      <c r="G629">
        <f t="shared" si="66"/>
        <v>4.2699999999999996</v>
      </c>
      <c r="H629">
        <f t="shared" si="67"/>
        <v>256</v>
      </c>
      <c r="I629" s="3">
        <f t="shared" si="68"/>
        <v>70.3125</v>
      </c>
      <c r="J629" t="str">
        <f t="shared" si="69"/>
        <v>F</v>
      </c>
    </row>
    <row r="630" spans="1:10" x14ac:dyDescent="0.25">
      <c r="A630" s="4" t="s">
        <v>226</v>
      </c>
      <c r="B630" s="1">
        <v>0.30818200000000001</v>
      </c>
      <c r="C630" s="1">
        <v>0.30521399999999999</v>
      </c>
      <c r="D630" s="1">
        <f t="shared" si="63"/>
        <v>2.9680000000000262E-3</v>
      </c>
      <c r="E630">
        <f t="shared" si="64"/>
        <v>4</v>
      </c>
      <c r="F630">
        <f t="shared" si="65"/>
        <v>16</v>
      </c>
      <c r="G630">
        <f t="shared" si="66"/>
        <v>4.2699999999999996</v>
      </c>
      <c r="H630">
        <f t="shared" si="67"/>
        <v>256</v>
      </c>
      <c r="I630" s="3">
        <f t="shared" si="68"/>
        <v>70.3125</v>
      </c>
      <c r="J630" t="str">
        <f t="shared" si="69"/>
        <v>F</v>
      </c>
    </row>
    <row r="631" spans="1:10" x14ac:dyDescent="0.25">
      <c r="A631" s="4" t="s">
        <v>303</v>
      </c>
      <c r="B631" s="1">
        <v>0.11633300000000001</v>
      </c>
      <c r="C631" s="1">
        <v>0.113373</v>
      </c>
      <c r="D631" s="1">
        <f t="shared" si="63"/>
        <v>2.9600000000000043E-3</v>
      </c>
      <c r="E631">
        <f t="shared" si="64"/>
        <v>4</v>
      </c>
      <c r="F631">
        <f t="shared" si="65"/>
        <v>16</v>
      </c>
      <c r="G631">
        <f t="shared" si="66"/>
        <v>4.2699999999999996</v>
      </c>
      <c r="H631">
        <f t="shared" si="67"/>
        <v>256</v>
      </c>
      <c r="I631" s="3">
        <f t="shared" si="68"/>
        <v>70.3125</v>
      </c>
      <c r="J631" t="str">
        <f t="shared" si="69"/>
        <v>F</v>
      </c>
    </row>
    <row r="632" spans="1:10" x14ac:dyDescent="0.25">
      <c r="A632" s="4" t="s">
        <v>7</v>
      </c>
      <c r="B632" s="1">
        <v>0.16389799999999999</v>
      </c>
      <c r="C632" s="1">
        <v>0.16686999999999999</v>
      </c>
      <c r="D632" s="1">
        <f t="shared" si="63"/>
        <v>2.9720000000000024E-3</v>
      </c>
      <c r="E632">
        <f t="shared" si="64"/>
        <v>4</v>
      </c>
      <c r="F632">
        <f t="shared" si="65"/>
        <v>17</v>
      </c>
      <c r="G632">
        <f t="shared" si="66"/>
        <v>4.28</v>
      </c>
      <c r="H632">
        <f t="shared" si="67"/>
        <v>257</v>
      </c>
      <c r="I632" s="3">
        <f t="shared" si="68"/>
        <v>70.038910505836583</v>
      </c>
      <c r="J632" t="str">
        <f t="shared" si="69"/>
        <v>F</v>
      </c>
    </row>
    <row r="633" spans="1:10" x14ac:dyDescent="0.25">
      <c r="A633" s="4" t="s">
        <v>35</v>
      </c>
      <c r="B633" s="1">
        <v>0.220334</v>
      </c>
      <c r="C633" s="1">
        <v>0.22331400000000001</v>
      </c>
      <c r="D633" s="1">
        <f t="shared" si="63"/>
        <v>2.9800000000000104E-3</v>
      </c>
      <c r="E633">
        <f t="shared" si="64"/>
        <v>4</v>
      </c>
      <c r="F633">
        <f t="shared" si="65"/>
        <v>17</v>
      </c>
      <c r="G633">
        <f t="shared" si="66"/>
        <v>4.28</v>
      </c>
      <c r="H633">
        <f t="shared" si="67"/>
        <v>257</v>
      </c>
      <c r="I633" s="3">
        <f t="shared" si="68"/>
        <v>70.038910505836583</v>
      </c>
      <c r="J633" t="str">
        <f t="shared" si="69"/>
        <v>F</v>
      </c>
    </row>
    <row r="634" spans="1:10" x14ac:dyDescent="0.25">
      <c r="A634" s="4" t="s">
        <v>132</v>
      </c>
      <c r="B634" s="1">
        <v>0.19933999999999999</v>
      </c>
      <c r="C634" s="1">
        <v>0.19636400000000001</v>
      </c>
      <c r="D634" s="1">
        <f t="shared" si="63"/>
        <v>2.9759999999999787E-3</v>
      </c>
      <c r="E634">
        <f t="shared" si="64"/>
        <v>4</v>
      </c>
      <c r="F634">
        <f t="shared" si="65"/>
        <v>17</v>
      </c>
      <c r="G634">
        <f t="shared" si="66"/>
        <v>4.28</v>
      </c>
      <c r="H634">
        <f t="shared" si="67"/>
        <v>257</v>
      </c>
      <c r="I634" s="3">
        <f t="shared" si="68"/>
        <v>70.038910505836583</v>
      </c>
      <c r="J634" t="str">
        <f t="shared" si="69"/>
        <v>F</v>
      </c>
    </row>
    <row r="635" spans="1:10" x14ac:dyDescent="0.25">
      <c r="A635" s="4" t="s">
        <v>429</v>
      </c>
      <c r="B635" s="1">
        <v>0.95077199999999995</v>
      </c>
      <c r="C635" s="1">
        <v>0.94779599999999997</v>
      </c>
      <c r="D635" s="1">
        <f t="shared" si="63"/>
        <v>2.9759999999999787E-3</v>
      </c>
      <c r="E635">
        <f t="shared" si="64"/>
        <v>4</v>
      </c>
      <c r="F635">
        <f t="shared" si="65"/>
        <v>17</v>
      </c>
      <c r="G635">
        <f t="shared" si="66"/>
        <v>4.28</v>
      </c>
      <c r="H635">
        <f t="shared" si="67"/>
        <v>257</v>
      </c>
      <c r="I635" s="3">
        <f t="shared" si="68"/>
        <v>70.038910505836583</v>
      </c>
      <c r="J635" t="str">
        <f t="shared" si="69"/>
        <v>F</v>
      </c>
    </row>
    <row r="636" spans="1:10" x14ac:dyDescent="0.25">
      <c r="A636" s="4" t="s">
        <v>69</v>
      </c>
      <c r="B636" s="1">
        <v>0.47924800000000001</v>
      </c>
      <c r="C636" s="1">
        <v>0.47626000000000002</v>
      </c>
      <c r="D636" s="1">
        <f t="shared" si="63"/>
        <v>2.9879999999999907E-3</v>
      </c>
      <c r="E636">
        <f t="shared" si="64"/>
        <v>4</v>
      </c>
      <c r="F636">
        <f t="shared" si="65"/>
        <v>18</v>
      </c>
      <c r="G636">
        <f t="shared" si="66"/>
        <v>4.3</v>
      </c>
      <c r="H636">
        <f t="shared" si="67"/>
        <v>258</v>
      </c>
      <c r="I636" s="3">
        <f t="shared" si="68"/>
        <v>69.767441860465112</v>
      </c>
      <c r="J636" t="str">
        <f t="shared" si="69"/>
        <v>F</v>
      </c>
    </row>
    <row r="637" spans="1:10" x14ac:dyDescent="0.25">
      <c r="A637" s="4" t="s">
        <v>392</v>
      </c>
      <c r="B637" s="1">
        <v>0.27104099999999998</v>
      </c>
      <c r="C637" s="1">
        <v>0.27402900000000002</v>
      </c>
      <c r="D637" s="1">
        <f t="shared" si="63"/>
        <v>2.9880000000000462E-3</v>
      </c>
      <c r="E637">
        <f t="shared" si="64"/>
        <v>4</v>
      </c>
      <c r="F637">
        <f t="shared" si="65"/>
        <v>18</v>
      </c>
      <c r="G637">
        <f t="shared" si="66"/>
        <v>4.3</v>
      </c>
      <c r="H637">
        <f t="shared" si="67"/>
        <v>258</v>
      </c>
      <c r="I637" s="3">
        <f t="shared" si="68"/>
        <v>69.767441860465112</v>
      </c>
      <c r="J637" t="str">
        <f t="shared" si="69"/>
        <v>F</v>
      </c>
    </row>
    <row r="638" spans="1:10" x14ac:dyDescent="0.25">
      <c r="A638" s="4" t="s">
        <v>123</v>
      </c>
      <c r="B638" s="1">
        <v>6.7060999999999996E-2</v>
      </c>
      <c r="C638" s="1">
        <v>7.0060999999999998E-2</v>
      </c>
      <c r="D638" s="1">
        <f t="shared" si="63"/>
        <v>3.0000000000000027E-3</v>
      </c>
      <c r="E638">
        <f t="shared" si="64"/>
        <v>4</v>
      </c>
      <c r="F638">
        <f t="shared" si="65"/>
        <v>19</v>
      </c>
      <c r="G638">
        <f t="shared" si="66"/>
        <v>4.32</v>
      </c>
      <c r="H638">
        <f t="shared" si="67"/>
        <v>259</v>
      </c>
      <c r="I638" s="3">
        <f t="shared" si="68"/>
        <v>69.498069498069498</v>
      </c>
      <c r="J638" t="str">
        <f t="shared" si="69"/>
        <v>F</v>
      </c>
    </row>
    <row r="639" spans="1:10" x14ac:dyDescent="0.25">
      <c r="A639" s="4" t="s">
        <v>142</v>
      </c>
      <c r="B639" s="1">
        <v>0.24293500000000001</v>
      </c>
      <c r="C639" s="1">
        <v>0.24593100000000001</v>
      </c>
      <c r="D639" s="1">
        <f t="shared" si="63"/>
        <v>2.9959999999999987E-3</v>
      </c>
      <c r="E639">
        <f t="shared" si="64"/>
        <v>4</v>
      </c>
      <c r="F639">
        <f t="shared" si="65"/>
        <v>19</v>
      </c>
      <c r="G639">
        <f t="shared" si="66"/>
        <v>4.32</v>
      </c>
      <c r="H639">
        <f t="shared" si="67"/>
        <v>259</v>
      </c>
      <c r="I639" s="3">
        <f t="shared" si="68"/>
        <v>69.498069498069498</v>
      </c>
      <c r="J639" t="str">
        <f t="shared" si="69"/>
        <v>F</v>
      </c>
    </row>
    <row r="640" spans="1:10" x14ac:dyDescent="0.25">
      <c r="A640" s="4" t="s">
        <v>29</v>
      </c>
      <c r="B640" s="1">
        <v>5.8074000000000001E-2</v>
      </c>
      <c r="C640" s="1">
        <v>5.5070000000000001E-2</v>
      </c>
      <c r="D640" s="1">
        <f t="shared" si="63"/>
        <v>3.0039999999999997E-3</v>
      </c>
      <c r="E640">
        <f t="shared" si="64"/>
        <v>4</v>
      </c>
      <c r="F640">
        <f t="shared" si="65"/>
        <v>20</v>
      </c>
      <c r="G640">
        <f t="shared" si="66"/>
        <v>4.33</v>
      </c>
      <c r="H640">
        <f t="shared" si="67"/>
        <v>260</v>
      </c>
      <c r="I640" s="3">
        <f t="shared" si="68"/>
        <v>69.230769230769226</v>
      </c>
      <c r="J640" t="str">
        <f t="shared" si="69"/>
        <v>F</v>
      </c>
    </row>
    <row r="641" spans="1:10" x14ac:dyDescent="0.25">
      <c r="A641" s="4" t="s">
        <v>72</v>
      </c>
      <c r="B641" s="1">
        <v>0.33413399999999999</v>
      </c>
      <c r="C641" s="1">
        <v>0.33112599999999998</v>
      </c>
      <c r="D641" s="1">
        <f t="shared" si="63"/>
        <v>3.0080000000000107E-3</v>
      </c>
      <c r="E641">
        <f t="shared" si="64"/>
        <v>4</v>
      </c>
      <c r="F641">
        <f t="shared" si="65"/>
        <v>20</v>
      </c>
      <c r="G641">
        <f t="shared" si="66"/>
        <v>4.33</v>
      </c>
      <c r="H641">
        <f t="shared" si="67"/>
        <v>260</v>
      </c>
      <c r="I641" s="3">
        <f t="shared" si="68"/>
        <v>69.230769230769226</v>
      </c>
      <c r="J641" t="str">
        <f t="shared" si="69"/>
        <v>F</v>
      </c>
    </row>
    <row r="642" spans="1:10" x14ac:dyDescent="0.25">
      <c r="A642" s="4" t="s">
        <v>162</v>
      </c>
      <c r="B642" s="1">
        <v>0.48971599999999998</v>
      </c>
      <c r="C642" s="1">
        <v>0.492728</v>
      </c>
      <c r="D642" s="1">
        <f t="shared" ref="D642:D705" si="70">IF(B642&gt;C642,B642-C642,C642-B642)</f>
        <v>3.0120000000000147E-3</v>
      </c>
      <c r="E642">
        <f t="shared" ref="E642:E705" si="71">MINUTE(D642)</f>
        <v>4</v>
      </c>
      <c r="F642">
        <f t="shared" ref="F642:F705" si="72">SECOND(D642)</f>
        <v>20</v>
      </c>
      <c r="G642">
        <f t="shared" ref="G642:G705" si="73">ROUND(E642+F642/60,2)</f>
        <v>4.33</v>
      </c>
      <c r="H642">
        <f t="shared" ref="H642:H705" si="74">60*E642+F642</f>
        <v>260</v>
      </c>
      <c r="I642" s="3">
        <f t="shared" ref="I642:I705" si="75">5*(3600/H642)</f>
        <v>69.230769230769226</v>
      </c>
      <c r="J642" t="str">
        <f t="shared" ref="J642:J705" si="76">IF(MID(A642,3,2)="18","T","F")</f>
        <v>F</v>
      </c>
    </row>
    <row r="643" spans="1:10" x14ac:dyDescent="0.25">
      <c r="A643" s="4" t="s">
        <v>75</v>
      </c>
      <c r="B643" s="1">
        <v>0.21182200000000001</v>
      </c>
      <c r="C643" s="1">
        <v>0.20880199999999999</v>
      </c>
      <c r="D643" s="1">
        <f t="shared" si="70"/>
        <v>3.0200000000000227E-3</v>
      </c>
      <c r="E643">
        <f t="shared" si="71"/>
        <v>4</v>
      </c>
      <c r="F643">
        <f t="shared" si="72"/>
        <v>21</v>
      </c>
      <c r="G643">
        <f t="shared" si="73"/>
        <v>4.3499999999999996</v>
      </c>
      <c r="H643">
        <f t="shared" si="74"/>
        <v>261</v>
      </c>
      <c r="I643" s="3">
        <f t="shared" si="75"/>
        <v>68.965517241379303</v>
      </c>
      <c r="J643" t="str">
        <f t="shared" si="76"/>
        <v>F</v>
      </c>
    </row>
    <row r="644" spans="1:10" x14ac:dyDescent="0.25">
      <c r="A644" s="4" t="s">
        <v>3</v>
      </c>
      <c r="B644" s="1">
        <v>0.141675</v>
      </c>
      <c r="C644" s="1">
        <v>0.138651</v>
      </c>
      <c r="D644" s="1">
        <f t="shared" si="70"/>
        <v>3.0239999999999989E-3</v>
      </c>
      <c r="E644">
        <f t="shared" si="71"/>
        <v>4</v>
      </c>
      <c r="F644">
        <f t="shared" si="72"/>
        <v>21</v>
      </c>
      <c r="G644">
        <f t="shared" si="73"/>
        <v>4.3499999999999996</v>
      </c>
      <c r="H644">
        <f t="shared" si="74"/>
        <v>261</v>
      </c>
      <c r="I644" s="3">
        <f t="shared" si="75"/>
        <v>68.965517241379303</v>
      </c>
      <c r="J644" t="str">
        <f t="shared" si="76"/>
        <v>F</v>
      </c>
    </row>
    <row r="645" spans="1:10" x14ac:dyDescent="0.25">
      <c r="A645" s="4" t="s">
        <v>72</v>
      </c>
      <c r="B645" s="1">
        <v>0.145533</v>
      </c>
      <c r="C645" s="1">
        <v>0.14855299999999999</v>
      </c>
      <c r="D645" s="1">
        <f t="shared" si="70"/>
        <v>3.0199999999999949E-3</v>
      </c>
      <c r="E645">
        <f t="shared" si="71"/>
        <v>4</v>
      </c>
      <c r="F645">
        <f t="shared" si="72"/>
        <v>21</v>
      </c>
      <c r="G645">
        <f t="shared" si="73"/>
        <v>4.3499999999999996</v>
      </c>
      <c r="H645">
        <f t="shared" si="74"/>
        <v>261</v>
      </c>
      <c r="I645" s="3">
        <f t="shared" si="75"/>
        <v>68.965517241379303</v>
      </c>
      <c r="J645" t="str">
        <f t="shared" si="76"/>
        <v>F</v>
      </c>
    </row>
    <row r="646" spans="1:10" x14ac:dyDescent="0.25">
      <c r="A646" s="4" t="s">
        <v>83</v>
      </c>
      <c r="B646" s="1">
        <v>0.43880400000000003</v>
      </c>
      <c r="C646" s="1">
        <v>0.435784</v>
      </c>
      <c r="D646" s="1">
        <f t="shared" si="70"/>
        <v>3.0200000000000227E-3</v>
      </c>
      <c r="E646">
        <f t="shared" si="71"/>
        <v>4</v>
      </c>
      <c r="F646">
        <f t="shared" si="72"/>
        <v>21</v>
      </c>
      <c r="G646">
        <f t="shared" si="73"/>
        <v>4.3499999999999996</v>
      </c>
      <c r="H646">
        <f t="shared" si="74"/>
        <v>261</v>
      </c>
      <c r="I646" s="3">
        <f t="shared" si="75"/>
        <v>68.965517241379303</v>
      </c>
      <c r="J646" t="str">
        <f t="shared" si="76"/>
        <v>F</v>
      </c>
    </row>
    <row r="647" spans="1:10" x14ac:dyDescent="0.25">
      <c r="A647" s="4" t="s">
        <v>162</v>
      </c>
      <c r="B647" s="1">
        <v>0.42178399999999999</v>
      </c>
      <c r="C647" s="1">
        <v>0.42480400000000001</v>
      </c>
      <c r="D647" s="1">
        <f t="shared" si="70"/>
        <v>3.0200000000000227E-3</v>
      </c>
      <c r="E647">
        <f t="shared" si="71"/>
        <v>4</v>
      </c>
      <c r="F647">
        <f t="shared" si="72"/>
        <v>21</v>
      </c>
      <c r="G647">
        <f t="shared" si="73"/>
        <v>4.3499999999999996</v>
      </c>
      <c r="H647">
        <f t="shared" si="74"/>
        <v>261</v>
      </c>
      <c r="I647" s="3">
        <f t="shared" si="75"/>
        <v>68.965517241379303</v>
      </c>
      <c r="J647" t="str">
        <f t="shared" si="76"/>
        <v>F</v>
      </c>
    </row>
    <row r="648" spans="1:10" x14ac:dyDescent="0.25">
      <c r="A648" s="4" t="s">
        <v>295</v>
      </c>
      <c r="B648" s="1">
        <v>0.609267</v>
      </c>
      <c r="C648" s="1">
        <v>0.60625099999999998</v>
      </c>
      <c r="D648" s="1">
        <f t="shared" si="70"/>
        <v>3.0160000000000187E-3</v>
      </c>
      <c r="E648">
        <f t="shared" si="71"/>
        <v>4</v>
      </c>
      <c r="F648">
        <f t="shared" si="72"/>
        <v>21</v>
      </c>
      <c r="G648">
        <f t="shared" si="73"/>
        <v>4.3499999999999996</v>
      </c>
      <c r="H648">
        <f t="shared" si="74"/>
        <v>261</v>
      </c>
      <c r="I648" s="3">
        <f t="shared" si="75"/>
        <v>68.965517241379303</v>
      </c>
      <c r="J648" t="str">
        <f t="shared" si="76"/>
        <v>F</v>
      </c>
    </row>
    <row r="649" spans="1:10" x14ac:dyDescent="0.25">
      <c r="A649" s="4" t="s">
        <v>371</v>
      </c>
      <c r="B649" s="1">
        <v>0.99620900000000001</v>
      </c>
      <c r="C649" s="1">
        <v>0.99318499999999998</v>
      </c>
      <c r="D649" s="1">
        <f t="shared" si="70"/>
        <v>3.0240000000000267E-3</v>
      </c>
      <c r="E649">
        <f t="shared" si="71"/>
        <v>4</v>
      </c>
      <c r="F649">
        <f t="shared" si="72"/>
        <v>21</v>
      </c>
      <c r="G649">
        <f t="shared" si="73"/>
        <v>4.3499999999999996</v>
      </c>
      <c r="H649">
        <f t="shared" si="74"/>
        <v>261</v>
      </c>
      <c r="I649" s="3">
        <f t="shared" si="75"/>
        <v>68.965517241379303</v>
      </c>
      <c r="J649" t="str">
        <f t="shared" si="76"/>
        <v>F</v>
      </c>
    </row>
    <row r="650" spans="1:10" x14ac:dyDescent="0.25">
      <c r="A650" s="4" t="s">
        <v>109</v>
      </c>
      <c r="B650" s="1">
        <v>0.87870300000000001</v>
      </c>
      <c r="C650" s="1">
        <v>0.87566699999999997</v>
      </c>
      <c r="D650" s="1">
        <f t="shared" si="70"/>
        <v>3.0360000000000387E-3</v>
      </c>
      <c r="E650">
        <f t="shared" si="71"/>
        <v>4</v>
      </c>
      <c r="F650">
        <f t="shared" si="72"/>
        <v>22</v>
      </c>
      <c r="G650">
        <f t="shared" si="73"/>
        <v>4.37</v>
      </c>
      <c r="H650">
        <f t="shared" si="74"/>
        <v>262</v>
      </c>
      <c r="I650" s="3">
        <f t="shared" si="75"/>
        <v>68.702290076335885</v>
      </c>
      <c r="J650" t="str">
        <f t="shared" si="76"/>
        <v>F</v>
      </c>
    </row>
    <row r="651" spans="1:10" x14ac:dyDescent="0.25">
      <c r="A651" s="4" t="s">
        <v>204</v>
      </c>
      <c r="B651" s="1">
        <v>0.62856599999999996</v>
      </c>
      <c r="C651" s="1">
        <v>0.631602</v>
      </c>
      <c r="D651" s="1">
        <f t="shared" si="70"/>
        <v>3.0360000000000387E-3</v>
      </c>
      <c r="E651">
        <f t="shared" si="71"/>
        <v>4</v>
      </c>
      <c r="F651">
        <f t="shared" si="72"/>
        <v>22</v>
      </c>
      <c r="G651">
        <f t="shared" si="73"/>
        <v>4.37</v>
      </c>
      <c r="H651">
        <f t="shared" si="74"/>
        <v>262</v>
      </c>
      <c r="I651" s="3">
        <f t="shared" si="75"/>
        <v>68.702290076335885</v>
      </c>
      <c r="J651" t="str">
        <f t="shared" si="76"/>
        <v>F</v>
      </c>
    </row>
    <row r="652" spans="1:10" x14ac:dyDescent="0.25">
      <c r="A652" s="4" t="s">
        <v>68</v>
      </c>
      <c r="B652" s="1">
        <v>0.87950700000000004</v>
      </c>
      <c r="C652" s="1">
        <v>0.88255499999999998</v>
      </c>
      <c r="D652" s="1">
        <f t="shared" si="70"/>
        <v>3.0479999999999396E-3</v>
      </c>
      <c r="E652">
        <f t="shared" si="71"/>
        <v>4</v>
      </c>
      <c r="F652">
        <f t="shared" si="72"/>
        <v>23</v>
      </c>
      <c r="G652">
        <f t="shared" si="73"/>
        <v>4.38</v>
      </c>
      <c r="H652">
        <f t="shared" si="74"/>
        <v>263</v>
      </c>
      <c r="I652" s="3">
        <f t="shared" si="75"/>
        <v>68.441064638783274</v>
      </c>
      <c r="J652" t="str">
        <f t="shared" si="76"/>
        <v>F</v>
      </c>
    </row>
    <row r="653" spans="1:10" x14ac:dyDescent="0.25">
      <c r="A653" s="4" t="s">
        <v>67</v>
      </c>
      <c r="B653" s="1">
        <v>0.60153500000000004</v>
      </c>
      <c r="C653" s="1">
        <v>0.59848699999999999</v>
      </c>
      <c r="D653" s="1">
        <f t="shared" si="70"/>
        <v>3.0480000000000507E-3</v>
      </c>
      <c r="E653">
        <f t="shared" si="71"/>
        <v>4</v>
      </c>
      <c r="F653">
        <f t="shared" si="72"/>
        <v>23</v>
      </c>
      <c r="G653">
        <f t="shared" si="73"/>
        <v>4.38</v>
      </c>
      <c r="H653">
        <f t="shared" si="74"/>
        <v>263</v>
      </c>
      <c r="I653" s="3">
        <f t="shared" si="75"/>
        <v>68.441064638783274</v>
      </c>
      <c r="J653" t="str">
        <f t="shared" si="76"/>
        <v>F</v>
      </c>
    </row>
    <row r="654" spans="1:10" x14ac:dyDescent="0.25">
      <c r="A654" s="4" t="s">
        <v>265</v>
      </c>
      <c r="B654" s="1">
        <v>0.34791800000000001</v>
      </c>
      <c r="C654" s="1">
        <v>0.350962</v>
      </c>
      <c r="D654" s="1">
        <f t="shared" si="70"/>
        <v>3.0439999999999912E-3</v>
      </c>
      <c r="E654">
        <f t="shared" si="71"/>
        <v>4</v>
      </c>
      <c r="F654">
        <f t="shared" si="72"/>
        <v>23</v>
      </c>
      <c r="G654">
        <f t="shared" si="73"/>
        <v>4.38</v>
      </c>
      <c r="H654">
        <f t="shared" si="74"/>
        <v>263</v>
      </c>
      <c r="I654" s="3">
        <f t="shared" si="75"/>
        <v>68.441064638783274</v>
      </c>
      <c r="J654" t="str">
        <f t="shared" si="76"/>
        <v>F</v>
      </c>
    </row>
    <row r="655" spans="1:10" x14ac:dyDescent="0.25">
      <c r="A655" s="4" t="s">
        <v>299</v>
      </c>
      <c r="B655" s="1">
        <v>0.58881899999999998</v>
      </c>
      <c r="C655" s="1">
        <v>0.58577100000000004</v>
      </c>
      <c r="D655" s="1">
        <f t="shared" si="70"/>
        <v>3.0479999999999396E-3</v>
      </c>
      <c r="E655">
        <f t="shared" si="71"/>
        <v>4</v>
      </c>
      <c r="F655">
        <f t="shared" si="72"/>
        <v>23</v>
      </c>
      <c r="G655">
        <f t="shared" si="73"/>
        <v>4.38</v>
      </c>
      <c r="H655">
        <f t="shared" si="74"/>
        <v>263</v>
      </c>
      <c r="I655" s="3">
        <f t="shared" si="75"/>
        <v>68.441064638783274</v>
      </c>
      <c r="J655" t="str">
        <f t="shared" si="76"/>
        <v>F</v>
      </c>
    </row>
    <row r="656" spans="1:10" x14ac:dyDescent="0.25">
      <c r="A656" s="4" t="s">
        <v>75</v>
      </c>
      <c r="B656" s="1">
        <v>0.42321900000000001</v>
      </c>
      <c r="C656" s="1">
        <v>0.42627100000000001</v>
      </c>
      <c r="D656" s="1">
        <f t="shared" si="70"/>
        <v>3.0519999999999992E-3</v>
      </c>
      <c r="E656">
        <f t="shared" si="71"/>
        <v>4</v>
      </c>
      <c r="F656">
        <f t="shared" si="72"/>
        <v>24</v>
      </c>
      <c r="G656">
        <f t="shared" si="73"/>
        <v>4.4000000000000004</v>
      </c>
      <c r="H656">
        <f t="shared" si="74"/>
        <v>264</v>
      </c>
      <c r="I656" s="3">
        <f t="shared" si="75"/>
        <v>68.181818181818187</v>
      </c>
      <c r="J656" t="str">
        <f t="shared" si="76"/>
        <v>F</v>
      </c>
    </row>
    <row r="657" spans="1:10" x14ac:dyDescent="0.25">
      <c r="A657" s="4" t="s">
        <v>16</v>
      </c>
      <c r="B657" s="1">
        <v>0.464613</v>
      </c>
      <c r="C657" s="1">
        <v>0.46155299999999999</v>
      </c>
      <c r="D657" s="1">
        <f t="shared" si="70"/>
        <v>3.0600000000000072E-3</v>
      </c>
      <c r="E657">
        <f t="shared" si="71"/>
        <v>4</v>
      </c>
      <c r="F657">
        <f t="shared" si="72"/>
        <v>24</v>
      </c>
      <c r="G657">
        <f t="shared" si="73"/>
        <v>4.4000000000000004</v>
      </c>
      <c r="H657">
        <f t="shared" si="74"/>
        <v>264</v>
      </c>
      <c r="I657" s="3">
        <f t="shared" si="75"/>
        <v>68.181818181818187</v>
      </c>
      <c r="J657" t="str">
        <f t="shared" si="76"/>
        <v>F</v>
      </c>
    </row>
    <row r="658" spans="1:10" x14ac:dyDescent="0.25">
      <c r="A658" s="4" t="s">
        <v>58</v>
      </c>
      <c r="B658" s="1">
        <v>0.314112</v>
      </c>
      <c r="C658" s="1">
        <v>0.31717200000000001</v>
      </c>
      <c r="D658" s="1">
        <f t="shared" si="70"/>
        <v>3.0600000000000072E-3</v>
      </c>
      <c r="E658">
        <f t="shared" si="71"/>
        <v>4</v>
      </c>
      <c r="F658">
        <f t="shared" si="72"/>
        <v>24</v>
      </c>
      <c r="G658">
        <f t="shared" si="73"/>
        <v>4.4000000000000004</v>
      </c>
      <c r="H658">
        <f t="shared" si="74"/>
        <v>264</v>
      </c>
      <c r="I658" s="3">
        <f t="shared" si="75"/>
        <v>68.181818181818187</v>
      </c>
      <c r="J658" t="str">
        <f t="shared" si="76"/>
        <v>F</v>
      </c>
    </row>
    <row r="659" spans="1:10" x14ac:dyDescent="0.25">
      <c r="A659" s="4" t="s">
        <v>84</v>
      </c>
      <c r="B659" s="1">
        <v>0.51541800000000004</v>
      </c>
      <c r="C659" s="1">
        <v>0.51847399999999999</v>
      </c>
      <c r="D659" s="1">
        <f t="shared" si="70"/>
        <v>3.0559999999999476E-3</v>
      </c>
      <c r="E659">
        <f t="shared" si="71"/>
        <v>4</v>
      </c>
      <c r="F659">
        <f t="shared" si="72"/>
        <v>24</v>
      </c>
      <c r="G659">
        <f t="shared" si="73"/>
        <v>4.4000000000000004</v>
      </c>
      <c r="H659">
        <f t="shared" si="74"/>
        <v>264</v>
      </c>
      <c r="I659" s="3">
        <f t="shared" si="75"/>
        <v>68.181818181818187</v>
      </c>
      <c r="J659" t="str">
        <f t="shared" si="76"/>
        <v>F</v>
      </c>
    </row>
    <row r="660" spans="1:10" x14ac:dyDescent="0.25">
      <c r="A660" s="4" t="s">
        <v>316</v>
      </c>
      <c r="B660" s="1">
        <v>0.444025</v>
      </c>
      <c r="C660" s="1">
        <v>0.44708500000000001</v>
      </c>
      <c r="D660" s="1">
        <f t="shared" si="70"/>
        <v>3.0600000000000072E-3</v>
      </c>
      <c r="E660">
        <f t="shared" si="71"/>
        <v>4</v>
      </c>
      <c r="F660">
        <f t="shared" si="72"/>
        <v>24</v>
      </c>
      <c r="G660">
        <f t="shared" si="73"/>
        <v>4.4000000000000004</v>
      </c>
      <c r="H660">
        <f t="shared" si="74"/>
        <v>264</v>
      </c>
      <c r="I660" s="3">
        <f t="shared" si="75"/>
        <v>68.181818181818187</v>
      </c>
      <c r="J660" t="str">
        <f t="shared" si="76"/>
        <v>F</v>
      </c>
    </row>
    <row r="661" spans="1:10" x14ac:dyDescent="0.25">
      <c r="A661" s="4" t="s">
        <v>73</v>
      </c>
      <c r="B661" s="1">
        <v>0.39306200000000002</v>
      </c>
      <c r="C661" s="1">
        <v>0.39612599999999998</v>
      </c>
      <c r="D661" s="1">
        <f t="shared" si="70"/>
        <v>3.0639999999999556E-3</v>
      </c>
      <c r="E661">
        <f t="shared" si="71"/>
        <v>4</v>
      </c>
      <c r="F661">
        <f t="shared" si="72"/>
        <v>25</v>
      </c>
      <c r="G661">
        <f t="shared" si="73"/>
        <v>4.42</v>
      </c>
      <c r="H661">
        <f t="shared" si="74"/>
        <v>265</v>
      </c>
      <c r="I661" s="3">
        <f t="shared" si="75"/>
        <v>67.924528301886795</v>
      </c>
      <c r="J661" t="str">
        <f t="shared" si="76"/>
        <v>F</v>
      </c>
    </row>
    <row r="662" spans="1:10" x14ac:dyDescent="0.25">
      <c r="A662" s="4" t="s">
        <v>18</v>
      </c>
      <c r="B662" s="1">
        <v>0.214673</v>
      </c>
      <c r="C662" s="1">
        <v>0.21774499999999999</v>
      </c>
      <c r="D662" s="1">
        <f t="shared" si="70"/>
        <v>3.0719999999999914E-3</v>
      </c>
      <c r="E662">
        <f t="shared" si="71"/>
        <v>4</v>
      </c>
      <c r="F662">
        <f t="shared" si="72"/>
        <v>25</v>
      </c>
      <c r="G662">
        <f t="shared" si="73"/>
        <v>4.42</v>
      </c>
      <c r="H662">
        <f t="shared" si="74"/>
        <v>265</v>
      </c>
      <c r="I662" s="3">
        <f t="shared" si="75"/>
        <v>67.924528301886795</v>
      </c>
      <c r="J662" t="str">
        <f t="shared" si="76"/>
        <v>F</v>
      </c>
    </row>
    <row r="663" spans="1:10" x14ac:dyDescent="0.25">
      <c r="A663" s="4" t="s">
        <v>14</v>
      </c>
      <c r="B663" s="1">
        <v>0.53404300000000005</v>
      </c>
      <c r="C663" s="1">
        <v>0.53097899999999998</v>
      </c>
      <c r="D663" s="1">
        <f t="shared" si="70"/>
        <v>3.0640000000000667E-3</v>
      </c>
      <c r="E663">
        <f t="shared" si="71"/>
        <v>4</v>
      </c>
      <c r="F663">
        <f t="shared" si="72"/>
        <v>25</v>
      </c>
      <c r="G663">
        <f t="shared" si="73"/>
        <v>4.42</v>
      </c>
      <c r="H663">
        <f t="shared" si="74"/>
        <v>265</v>
      </c>
      <c r="I663" s="3">
        <f t="shared" si="75"/>
        <v>67.924528301886795</v>
      </c>
      <c r="J663" t="str">
        <f t="shared" si="76"/>
        <v>F</v>
      </c>
    </row>
    <row r="664" spans="1:10" x14ac:dyDescent="0.25">
      <c r="A664" s="4" t="s">
        <v>109</v>
      </c>
      <c r="B664" s="1">
        <v>0.73162199999999999</v>
      </c>
      <c r="C664" s="1">
        <v>0.73468599999999995</v>
      </c>
      <c r="D664" s="1">
        <f t="shared" si="70"/>
        <v>3.0639999999999556E-3</v>
      </c>
      <c r="E664">
        <f t="shared" si="71"/>
        <v>4</v>
      </c>
      <c r="F664">
        <f t="shared" si="72"/>
        <v>25</v>
      </c>
      <c r="G664">
        <f t="shared" si="73"/>
        <v>4.42</v>
      </c>
      <c r="H664">
        <f t="shared" si="74"/>
        <v>265</v>
      </c>
      <c r="I664" s="3">
        <f t="shared" si="75"/>
        <v>67.924528301886795</v>
      </c>
      <c r="J664" t="str">
        <f t="shared" si="76"/>
        <v>F</v>
      </c>
    </row>
    <row r="665" spans="1:10" x14ac:dyDescent="0.25">
      <c r="A665" s="4" t="s">
        <v>258</v>
      </c>
      <c r="B665" s="1">
        <v>0.75965099999999997</v>
      </c>
      <c r="C665" s="1">
        <v>0.76272300000000004</v>
      </c>
      <c r="D665" s="1">
        <f t="shared" si="70"/>
        <v>3.0720000000000747E-3</v>
      </c>
      <c r="E665">
        <f t="shared" si="71"/>
        <v>4</v>
      </c>
      <c r="F665">
        <f t="shared" si="72"/>
        <v>25</v>
      </c>
      <c r="G665">
        <f t="shared" si="73"/>
        <v>4.42</v>
      </c>
      <c r="H665">
        <f t="shared" si="74"/>
        <v>265</v>
      </c>
      <c r="I665" s="3">
        <f t="shared" si="75"/>
        <v>67.924528301886795</v>
      </c>
      <c r="J665" t="str">
        <f t="shared" si="76"/>
        <v>F</v>
      </c>
    </row>
    <row r="666" spans="1:10" x14ac:dyDescent="0.25">
      <c r="A666" s="4" t="s">
        <v>294</v>
      </c>
      <c r="B666" s="1">
        <v>0.956812</v>
      </c>
      <c r="C666" s="1">
        <v>0.95374800000000004</v>
      </c>
      <c r="D666" s="1">
        <f t="shared" si="70"/>
        <v>3.0639999999999556E-3</v>
      </c>
      <c r="E666">
        <f t="shared" si="71"/>
        <v>4</v>
      </c>
      <c r="F666">
        <f t="shared" si="72"/>
        <v>25</v>
      </c>
      <c r="G666">
        <f t="shared" si="73"/>
        <v>4.42</v>
      </c>
      <c r="H666">
        <f t="shared" si="74"/>
        <v>265</v>
      </c>
      <c r="I666" s="3">
        <f t="shared" si="75"/>
        <v>67.924528301886795</v>
      </c>
      <c r="J666" t="str">
        <f t="shared" si="76"/>
        <v>F</v>
      </c>
    </row>
    <row r="667" spans="1:10" x14ac:dyDescent="0.25">
      <c r="A667" s="4" t="s">
        <v>305</v>
      </c>
      <c r="B667" s="1">
        <v>0.71706700000000001</v>
      </c>
      <c r="C667" s="1">
        <v>0.71400300000000005</v>
      </c>
      <c r="D667" s="1">
        <f t="shared" si="70"/>
        <v>3.0639999999999556E-3</v>
      </c>
      <c r="E667">
        <f t="shared" si="71"/>
        <v>4</v>
      </c>
      <c r="F667">
        <f t="shared" si="72"/>
        <v>25</v>
      </c>
      <c r="G667">
        <f t="shared" si="73"/>
        <v>4.42</v>
      </c>
      <c r="H667">
        <f t="shared" si="74"/>
        <v>265</v>
      </c>
      <c r="I667" s="3">
        <f t="shared" si="75"/>
        <v>67.924528301886795</v>
      </c>
      <c r="J667" t="str">
        <f t="shared" si="76"/>
        <v>F</v>
      </c>
    </row>
    <row r="668" spans="1:10" x14ac:dyDescent="0.25">
      <c r="A668" s="4" t="s">
        <v>342</v>
      </c>
      <c r="B668" s="1">
        <v>0.52615599999999996</v>
      </c>
      <c r="C668" s="1">
        <v>0.52922000000000002</v>
      </c>
      <c r="D668" s="1">
        <f t="shared" si="70"/>
        <v>3.0640000000000667E-3</v>
      </c>
      <c r="E668">
        <f t="shared" si="71"/>
        <v>4</v>
      </c>
      <c r="F668">
        <f t="shared" si="72"/>
        <v>25</v>
      </c>
      <c r="G668">
        <f t="shared" si="73"/>
        <v>4.42</v>
      </c>
      <c r="H668">
        <f t="shared" si="74"/>
        <v>265</v>
      </c>
      <c r="I668" s="3">
        <f t="shared" si="75"/>
        <v>67.924528301886795</v>
      </c>
      <c r="J668" t="str">
        <f t="shared" si="76"/>
        <v>F</v>
      </c>
    </row>
    <row r="669" spans="1:10" x14ac:dyDescent="0.25">
      <c r="A669" s="4" t="s">
        <v>98</v>
      </c>
      <c r="B669" s="1">
        <v>0.56562500000000004</v>
      </c>
      <c r="C669" s="1">
        <v>0.56870900000000002</v>
      </c>
      <c r="D669" s="1">
        <f t="shared" si="70"/>
        <v>3.0839999999999756E-3</v>
      </c>
      <c r="E669">
        <f t="shared" si="71"/>
        <v>4</v>
      </c>
      <c r="F669">
        <f t="shared" si="72"/>
        <v>26</v>
      </c>
      <c r="G669">
        <f t="shared" si="73"/>
        <v>4.43</v>
      </c>
      <c r="H669">
        <f t="shared" si="74"/>
        <v>266</v>
      </c>
      <c r="I669" s="3">
        <f t="shared" si="75"/>
        <v>67.669172932330824</v>
      </c>
      <c r="J669" t="str">
        <f t="shared" si="76"/>
        <v>F</v>
      </c>
    </row>
    <row r="670" spans="1:10" x14ac:dyDescent="0.25">
      <c r="A670" s="4" t="s">
        <v>3</v>
      </c>
      <c r="B670" s="1">
        <v>0.83289800000000003</v>
      </c>
      <c r="C670" s="1">
        <v>0.82982199999999995</v>
      </c>
      <c r="D670" s="1">
        <f t="shared" si="70"/>
        <v>3.0760000000000787E-3</v>
      </c>
      <c r="E670">
        <f t="shared" si="71"/>
        <v>4</v>
      </c>
      <c r="F670">
        <f t="shared" si="72"/>
        <v>26</v>
      </c>
      <c r="G670">
        <f t="shared" si="73"/>
        <v>4.43</v>
      </c>
      <c r="H670">
        <f t="shared" si="74"/>
        <v>266</v>
      </c>
      <c r="I670" s="3">
        <f t="shared" si="75"/>
        <v>67.669172932330824</v>
      </c>
      <c r="J670" t="str">
        <f t="shared" si="76"/>
        <v>F</v>
      </c>
    </row>
    <row r="671" spans="1:10" x14ac:dyDescent="0.25">
      <c r="A671" s="4" t="s">
        <v>94</v>
      </c>
      <c r="B671" s="1">
        <v>0.65988999999999998</v>
      </c>
      <c r="C671" s="1">
        <v>0.65681</v>
      </c>
      <c r="D671" s="1">
        <f t="shared" si="70"/>
        <v>3.0799999999999716E-3</v>
      </c>
      <c r="E671">
        <f t="shared" si="71"/>
        <v>4</v>
      </c>
      <c r="F671">
        <f t="shared" si="72"/>
        <v>26</v>
      </c>
      <c r="G671">
        <f t="shared" si="73"/>
        <v>4.43</v>
      </c>
      <c r="H671">
        <f t="shared" si="74"/>
        <v>266</v>
      </c>
      <c r="I671" s="3">
        <f t="shared" si="75"/>
        <v>67.669172932330824</v>
      </c>
      <c r="J671" t="str">
        <f t="shared" si="76"/>
        <v>F</v>
      </c>
    </row>
    <row r="672" spans="1:10" x14ac:dyDescent="0.25">
      <c r="A672" s="4" t="s">
        <v>129</v>
      </c>
      <c r="B672" s="1">
        <v>0.30509900000000001</v>
      </c>
      <c r="C672" s="1">
        <v>0.308195</v>
      </c>
      <c r="D672" s="1">
        <f t="shared" si="70"/>
        <v>3.0959999999999877E-3</v>
      </c>
      <c r="E672">
        <f t="shared" si="71"/>
        <v>4</v>
      </c>
      <c r="F672">
        <f t="shared" si="72"/>
        <v>27</v>
      </c>
      <c r="G672">
        <f t="shared" si="73"/>
        <v>4.45</v>
      </c>
      <c r="H672">
        <f t="shared" si="74"/>
        <v>267</v>
      </c>
      <c r="I672" s="3">
        <f t="shared" si="75"/>
        <v>67.415730337078642</v>
      </c>
      <c r="J672" t="str">
        <f t="shared" si="76"/>
        <v>F</v>
      </c>
    </row>
    <row r="673" spans="1:10" x14ac:dyDescent="0.25">
      <c r="A673" s="4" t="s">
        <v>360</v>
      </c>
      <c r="B673" s="1">
        <v>0.85678500000000002</v>
      </c>
      <c r="C673" s="1">
        <v>0.85369300000000004</v>
      </c>
      <c r="D673" s="1">
        <f t="shared" si="70"/>
        <v>3.0919999999999837E-3</v>
      </c>
      <c r="E673">
        <f t="shared" si="71"/>
        <v>4</v>
      </c>
      <c r="F673">
        <f t="shared" si="72"/>
        <v>27</v>
      </c>
      <c r="G673">
        <f t="shared" si="73"/>
        <v>4.45</v>
      </c>
      <c r="H673">
        <f t="shared" si="74"/>
        <v>267</v>
      </c>
      <c r="I673" s="3">
        <f t="shared" si="75"/>
        <v>67.415730337078642</v>
      </c>
      <c r="J673" t="str">
        <f t="shared" si="76"/>
        <v>F</v>
      </c>
    </row>
    <row r="674" spans="1:10" x14ac:dyDescent="0.25">
      <c r="A674" s="4" t="s">
        <v>137</v>
      </c>
      <c r="B674" s="1">
        <v>0.24684700000000001</v>
      </c>
      <c r="C674" s="1">
        <v>0.24374699999999999</v>
      </c>
      <c r="D674" s="1">
        <f t="shared" si="70"/>
        <v>3.1000000000000194E-3</v>
      </c>
      <c r="E674">
        <f t="shared" si="71"/>
        <v>4</v>
      </c>
      <c r="F674">
        <f t="shared" si="72"/>
        <v>28</v>
      </c>
      <c r="G674">
        <f t="shared" si="73"/>
        <v>4.47</v>
      </c>
      <c r="H674">
        <f t="shared" si="74"/>
        <v>268</v>
      </c>
      <c r="I674" s="3">
        <f t="shared" si="75"/>
        <v>67.164179104477611</v>
      </c>
      <c r="J674" t="str">
        <f t="shared" si="76"/>
        <v>F</v>
      </c>
    </row>
    <row r="675" spans="1:10" x14ac:dyDescent="0.25">
      <c r="A675" s="4" t="s">
        <v>287</v>
      </c>
      <c r="B675" s="1">
        <v>0.81754599999999999</v>
      </c>
      <c r="C675" s="1">
        <v>0.814446</v>
      </c>
      <c r="D675" s="1">
        <f t="shared" si="70"/>
        <v>3.0999999999999917E-3</v>
      </c>
      <c r="E675">
        <f t="shared" si="71"/>
        <v>4</v>
      </c>
      <c r="F675">
        <f t="shared" si="72"/>
        <v>28</v>
      </c>
      <c r="G675">
        <f t="shared" si="73"/>
        <v>4.47</v>
      </c>
      <c r="H675">
        <f t="shared" si="74"/>
        <v>268</v>
      </c>
      <c r="I675" s="3">
        <f t="shared" si="75"/>
        <v>67.164179104477611</v>
      </c>
      <c r="J675" t="str">
        <f t="shared" si="76"/>
        <v>F</v>
      </c>
    </row>
    <row r="676" spans="1:10" x14ac:dyDescent="0.25">
      <c r="A676" s="4" t="s">
        <v>88</v>
      </c>
      <c r="B676" s="1">
        <v>0.54971199999999998</v>
      </c>
      <c r="C676" s="1">
        <v>0.54660399999999998</v>
      </c>
      <c r="D676" s="1">
        <f t="shared" si="70"/>
        <v>3.1079999999999997E-3</v>
      </c>
      <c r="E676">
        <f t="shared" si="71"/>
        <v>4</v>
      </c>
      <c r="F676">
        <f t="shared" si="72"/>
        <v>29</v>
      </c>
      <c r="G676">
        <f t="shared" si="73"/>
        <v>4.4800000000000004</v>
      </c>
      <c r="H676">
        <f t="shared" si="74"/>
        <v>269</v>
      </c>
      <c r="I676" s="3">
        <f t="shared" si="75"/>
        <v>66.914498141263948</v>
      </c>
      <c r="J676" t="str">
        <f t="shared" si="76"/>
        <v>F</v>
      </c>
    </row>
    <row r="677" spans="1:10" x14ac:dyDescent="0.25">
      <c r="A677" s="4" t="s">
        <v>75</v>
      </c>
      <c r="B677" s="1">
        <v>0.48200599999999999</v>
      </c>
      <c r="C677" s="1">
        <v>0.485122</v>
      </c>
      <c r="D677" s="1">
        <f t="shared" si="70"/>
        <v>3.1160000000000077E-3</v>
      </c>
      <c r="E677">
        <f t="shared" si="71"/>
        <v>4</v>
      </c>
      <c r="F677">
        <f t="shared" si="72"/>
        <v>29</v>
      </c>
      <c r="G677">
        <f t="shared" si="73"/>
        <v>4.4800000000000004</v>
      </c>
      <c r="H677">
        <f t="shared" si="74"/>
        <v>269</v>
      </c>
      <c r="I677" s="3">
        <f t="shared" si="75"/>
        <v>66.914498141263948</v>
      </c>
      <c r="J677" t="str">
        <f t="shared" si="76"/>
        <v>F</v>
      </c>
    </row>
    <row r="678" spans="1:10" x14ac:dyDescent="0.25">
      <c r="A678" s="4" t="s">
        <v>33</v>
      </c>
      <c r="B678" s="1">
        <v>0.915269</v>
      </c>
      <c r="C678" s="1">
        <v>0.91838500000000001</v>
      </c>
      <c r="D678" s="1">
        <f t="shared" si="70"/>
        <v>3.1160000000000077E-3</v>
      </c>
      <c r="E678">
        <f t="shared" si="71"/>
        <v>4</v>
      </c>
      <c r="F678">
        <f t="shared" si="72"/>
        <v>29</v>
      </c>
      <c r="G678">
        <f t="shared" si="73"/>
        <v>4.4800000000000004</v>
      </c>
      <c r="H678">
        <f t="shared" si="74"/>
        <v>269</v>
      </c>
      <c r="I678" s="3">
        <f t="shared" si="75"/>
        <v>66.914498141263948</v>
      </c>
      <c r="J678" t="str">
        <f t="shared" si="76"/>
        <v>F</v>
      </c>
    </row>
    <row r="679" spans="1:10" x14ac:dyDescent="0.25">
      <c r="A679" s="4" t="s">
        <v>327</v>
      </c>
      <c r="B679" s="1">
        <v>7.5789999999999998E-3</v>
      </c>
      <c r="C679" s="1">
        <v>1.0695E-2</v>
      </c>
      <c r="D679" s="1">
        <f t="shared" si="70"/>
        <v>3.1159999999999998E-3</v>
      </c>
      <c r="E679">
        <f t="shared" si="71"/>
        <v>4</v>
      </c>
      <c r="F679">
        <f t="shared" si="72"/>
        <v>29</v>
      </c>
      <c r="G679">
        <f t="shared" si="73"/>
        <v>4.4800000000000004</v>
      </c>
      <c r="H679">
        <f t="shared" si="74"/>
        <v>269</v>
      </c>
      <c r="I679" s="3">
        <f t="shared" si="75"/>
        <v>66.914498141263948</v>
      </c>
      <c r="J679" t="str">
        <f t="shared" si="76"/>
        <v>F</v>
      </c>
    </row>
    <row r="680" spans="1:10" x14ac:dyDescent="0.25">
      <c r="A680" s="4" t="s">
        <v>409</v>
      </c>
      <c r="B680" s="1">
        <v>0.92164199999999996</v>
      </c>
      <c r="C680" s="1">
        <v>0.92475799999999997</v>
      </c>
      <c r="D680" s="1">
        <f t="shared" si="70"/>
        <v>3.1160000000000077E-3</v>
      </c>
      <c r="E680">
        <f t="shared" si="71"/>
        <v>4</v>
      </c>
      <c r="F680">
        <f t="shared" si="72"/>
        <v>29</v>
      </c>
      <c r="G680">
        <f t="shared" si="73"/>
        <v>4.4800000000000004</v>
      </c>
      <c r="H680">
        <f t="shared" si="74"/>
        <v>269</v>
      </c>
      <c r="I680" s="3">
        <f t="shared" si="75"/>
        <v>66.914498141263948</v>
      </c>
      <c r="J680" t="str">
        <f t="shared" si="76"/>
        <v>F</v>
      </c>
    </row>
    <row r="681" spans="1:10" x14ac:dyDescent="0.25">
      <c r="A681" s="4" t="s">
        <v>49</v>
      </c>
      <c r="B681" s="1">
        <v>0.55866400000000005</v>
      </c>
      <c r="C681" s="1">
        <v>0.55554400000000004</v>
      </c>
      <c r="D681" s="1">
        <f t="shared" si="70"/>
        <v>3.1200000000000117E-3</v>
      </c>
      <c r="E681">
        <f t="shared" si="71"/>
        <v>4</v>
      </c>
      <c r="F681">
        <f t="shared" si="72"/>
        <v>30</v>
      </c>
      <c r="G681">
        <f t="shared" si="73"/>
        <v>4.5</v>
      </c>
      <c r="H681">
        <f t="shared" si="74"/>
        <v>270</v>
      </c>
      <c r="I681" s="3">
        <f t="shared" si="75"/>
        <v>66.666666666666671</v>
      </c>
      <c r="J681" t="str">
        <f t="shared" si="76"/>
        <v>F</v>
      </c>
    </row>
    <row r="682" spans="1:10" x14ac:dyDescent="0.25">
      <c r="A682" s="4" t="s">
        <v>89</v>
      </c>
      <c r="B682" s="1">
        <v>0.42967</v>
      </c>
      <c r="C682" s="1">
        <v>0.42654599999999998</v>
      </c>
      <c r="D682" s="1">
        <f t="shared" si="70"/>
        <v>3.1240000000000157E-3</v>
      </c>
      <c r="E682">
        <f t="shared" si="71"/>
        <v>4</v>
      </c>
      <c r="F682">
        <f t="shared" si="72"/>
        <v>30</v>
      </c>
      <c r="G682">
        <f t="shared" si="73"/>
        <v>4.5</v>
      </c>
      <c r="H682">
        <f t="shared" si="74"/>
        <v>270</v>
      </c>
      <c r="I682" s="3">
        <f t="shared" si="75"/>
        <v>66.666666666666671</v>
      </c>
      <c r="J682" t="str">
        <f t="shared" si="76"/>
        <v>F</v>
      </c>
    </row>
    <row r="683" spans="1:10" x14ac:dyDescent="0.25">
      <c r="A683" s="4" t="s">
        <v>98</v>
      </c>
      <c r="B683" s="1">
        <v>0.248913</v>
      </c>
      <c r="C683" s="1">
        <v>0.25204100000000002</v>
      </c>
      <c r="D683" s="1">
        <f t="shared" si="70"/>
        <v>3.1280000000000197E-3</v>
      </c>
      <c r="E683">
        <f t="shared" si="71"/>
        <v>4</v>
      </c>
      <c r="F683">
        <f t="shared" si="72"/>
        <v>30</v>
      </c>
      <c r="G683">
        <f t="shared" si="73"/>
        <v>4.5</v>
      </c>
      <c r="H683">
        <f t="shared" si="74"/>
        <v>270</v>
      </c>
      <c r="I683" s="3">
        <f t="shared" si="75"/>
        <v>66.666666666666671</v>
      </c>
      <c r="J683" t="str">
        <f t="shared" si="76"/>
        <v>F</v>
      </c>
    </row>
    <row r="684" spans="1:10" x14ac:dyDescent="0.25">
      <c r="A684" s="4" t="s">
        <v>3</v>
      </c>
      <c r="B684" s="1">
        <v>0.640208</v>
      </c>
      <c r="C684" s="1">
        <v>0.64333600000000002</v>
      </c>
      <c r="D684" s="1">
        <f t="shared" si="70"/>
        <v>3.1280000000000197E-3</v>
      </c>
      <c r="E684">
        <f t="shared" si="71"/>
        <v>4</v>
      </c>
      <c r="F684">
        <f t="shared" si="72"/>
        <v>30</v>
      </c>
      <c r="G684">
        <f t="shared" si="73"/>
        <v>4.5</v>
      </c>
      <c r="H684">
        <f t="shared" si="74"/>
        <v>270</v>
      </c>
      <c r="I684" s="3">
        <f t="shared" si="75"/>
        <v>66.666666666666671</v>
      </c>
      <c r="J684" t="str">
        <f t="shared" si="76"/>
        <v>F</v>
      </c>
    </row>
    <row r="685" spans="1:10" x14ac:dyDescent="0.25">
      <c r="A685" s="4" t="s">
        <v>401</v>
      </c>
      <c r="B685" s="1">
        <v>0.35245900000000002</v>
      </c>
      <c r="C685" s="1">
        <v>0.35557899999999998</v>
      </c>
      <c r="D685" s="1">
        <f t="shared" si="70"/>
        <v>3.1199999999999561E-3</v>
      </c>
      <c r="E685">
        <f t="shared" si="71"/>
        <v>4</v>
      </c>
      <c r="F685">
        <f t="shared" si="72"/>
        <v>30</v>
      </c>
      <c r="G685">
        <f t="shared" si="73"/>
        <v>4.5</v>
      </c>
      <c r="H685">
        <f t="shared" si="74"/>
        <v>270</v>
      </c>
      <c r="I685" s="3">
        <f t="shared" si="75"/>
        <v>66.666666666666671</v>
      </c>
      <c r="J685" t="str">
        <f t="shared" si="76"/>
        <v>F</v>
      </c>
    </row>
    <row r="686" spans="1:10" x14ac:dyDescent="0.25">
      <c r="A686" s="4" t="s">
        <v>127</v>
      </c>
      <c r="B686" s="1">
        <v>0.658308</v>
      </c>
      <c r="C686" s="1">
        <v>0.65516799999999997</v>
      </c>
      <c r="D686" s="1">
        <f t="shared" si="70"/>
        <v>3.1400000000000317E-3</v>
      </c>
      <c r="E686">
        <f t="shared" si="71"/>
        <v>4</v>
      </c>
      <c r="F686">
        <f t="shared" si="72"/>
        <v>31</v>
      </c>
      <c r="G686">
        <f t="shared" si="73"/>
        <v>4.5199999999999996</v>
      </c>
      <c r="H686">
        <f t="shared" si="74"/>
        <v>271</v>
      </c>
      <c r="I686" s="3">
        <f t="shared" si="75"/>
        <v>66.420664206642059</v>
      </c>
      <c r="J686" t="str">
        <f t="shared" si="76"/>
        <v>F</v>
      </c>
    </row>
    <row r="687" spans="1:10" x14ac:dyDescent="0.25">
      <c r="A687" s="4" t="s">
        <v>81</v>
      </c>
      <c r="B687" s="1">
        <v>0.553678</v>
      </c>
      <c r="C687" s="1">
        <v>0.55054599999999998</v>
      </c>
      <c r="D687" s="1">
        <f t="shared" si="70"/>
        <v>3.1320000000000237E-3</v>
      </c>
      <c r="E687">
        <f t="shared" si="71"/>
        <v>4</v>
      </c>
      <c r="F687">
        <f t="shared" si="72"/>
        <v>31</v>
      </c>
      <c r="G687">
        <f t="shared" si="73"/>
        <v>4.5199999999999996</v>
      </c>
      <c r="H687">
        <f t="shared" si="74"/>
        <v>271</v>
      </c>
      <c r="I687" s="3">
        <f t="shared" si="75"/>
        <v>66.420664206642059</v>
      </c>
      <c r="J687" t="str">
        <f t="shared" si="76"/>
        <v>F</v>
      </c>
    </row>
    <row r="688" spans="1:10" x14ac:dyDescent="0.25">
      <c r="A688" s="4" t="s">
        <v>189</v>
      </c>
      <c r="B688" s="1">
        <v>0.99743400000000004</v>
      </c>
      <c r="C688" s="1">
        <v>0.99429400000000001</v>
      </c>
      <c r="D688" s="1">
        <f t="shared" si="70"/>
        <v>3.1400000000000317E-3</v>
      </c>
      <c r="E688">
        <f t="shared" si="71"/>
        <v>4</v>
      </c>
      <c r="F688">
        <f t="shared" si="72"/>
        <v>31</v>
      </c>
      <c r="G688">
        <f t="shared" si="73"/>
        <v>4.5199999999999996</v>
      </c>
      <c r="H688">
        <f t="shared" si="74"/>
        <v>271</v>
      </c>
      <c r="I688" s="3">
        <f t="shared" si="75"/>
        <v>66.420664206642059</v>
      </c>
      <c r="J688" t="str">
        <f t="shared" si="76"/>
        <v>F</v>
      </c>
    </row>
    <row r="689" spans="1:10" x14ac:dyDescent="0.25">
      <c r="A689" s="4" t="s">
        <v>130</v>
      </c>
      <c r="B689" s="1">
        <v>0.27076499999999998</v>
      </c>
      <c r="C689" s="1">
        <v>0.267621</v>
      </c>
      <c r="D689" s="1">
        <f t="shared" si="70"/>
        <v>3.1439999999999801E-3</v>
      </c>
      <c r="E689">
        <f t="shared" si="71"/>
        <v>4</v>
      </c>
      <c r="F689">
        <f t="shared" si="72"/>
        <v>32</v>
      </c>
      <c r="G689">
        <f t="shared" si="73"/>
        <v>4.53</v>
      </c>
      <c r="H689">
        <f t="shared" si="74"/>
        <v>272</v>
      </c>
      <c r="I689" s="3">
        <f t="shared" si="75"/>
        <v>66.17647058823529</v>
      </c>
      <c r="J689" t="str">
        <f t="shared" si="76"/>
        <v>F</v>
      </c>
    </row>
    <row r="690" spans="1:10" x14ac:dyDescent="0.25">
      <c r="A690" s="4" t="s">
        <v>14</v>
      </c>
      <c r="B690" s="1">
        <v>0.63127299999999997</v>
      </c>
      <c r="C690" s="1">
        <v>0.63441700000000001</v>
      </c>
      <c r="D690" s="1">
        <f t="shared" si="70"/>
        <v>3.1440000000000357E-3</v>
      </c>
      <c r="E690">
        <f t="shared" si="71"/>
        <v>4</v>
      </c>
      <c r="F690">
        <f t="shared" si="72"/>
        <v>32</v>
      </c>
      <c r="G690">
        <f t="shared" si="73"/>
        <v>4.53</v>
      </c>
      <c r="H690">
        <f t="shared" si="74"/>
        <v>272</v>
      </c>
      <c r="I690" s="3">
        <f t="shared" si="75"/>
        <v>66.17647058823529</v>
      </c>
      <c r="J690" t="str">
        <f t="shared" si="76"/>
        <v>F</v>
      </c>
    </row>
    <row r="691" spans="1:10" x14ac:dyDescent="0.25">
      <c r="A691" s="4" t="s">
        <v>47</v>
      </c>
      <c r="B691" s="1">
        <v>4.8843999999999999E-2</v>
      </c>
      <c r="C691" s="1">
        <v>5.1991999999999997E-2</v>
      </c>
      <c r="D691" s="1">
        <f t="shared" si="70"/>
        <v>3.147999999999998E-3</v>
      </c>
      <c r="E691">
        <f t="shared" si="71"/>
        <v>4</v>
      </c>
      <c r="F691">
        <f t="shared" si="72"/>
        <v>32</v>
      </c>
      <c r="G691">
        <f t="shared" si="73"/>
        <v>4.53</v>
      </c>
      <c r="H691">
        <f t="shared" si="74"/>
        <v>272</v>
      </c>
      <c r="I691" s="3">
        <f t="shared" si="75"/>
        <v>66.17647058823529</v>
      </c>
      <c r="J691" t="str">
        <f t="shared" si="76"/>
        <v>F</v>
      </c>
    </row>
    <row r="692" spans="1:10" x14ac:dyDescent="0.25">
      <c r="A692" s="4" t="s">
        <v>43</v>
      </c>
      <c r="B692" s="1">
        <v>0.90426899999999999</v>
      </c>
      <c r="C692" s="1">
        <v>0.90110500000000004</v>
      </c>
      <c r="D692" s="1">
        <f t="shared" si="70"/>
        <v>3.1639999999999446E-3</v>
      </c>
      <c r="E692">
        <f t="shared" si="71"/>
        <v>4</v>
      </c>
      <c r="F692">
        <f t="shared" si="72"/>
        <v>33</v>
      </c>
      <c r="G692">
        <f t="shared" si="73"/>
        <v>4.55</v>
      </c>
      <c r="H692">
        <f t="shared" si="74"/>
        <v>273</v>
      </c>
      <c r="I692" s="3">
        <f t="shared" si="75"/>
        <v>65.934065934065927</v>
      </c>
      <c r="J692" t="str">
        <f t="shared" si="76"/>
        <v>F</v>
      </c>
    </row>
    <row r="693" spans="1:10" x14ac:dyDescent="0.25">
      <c r="A693" s="4" t="s">
        <v>70</v>
      </c>
      <c r="B693" s="1">
        <v>0.51831700000000003</v>
      </c>
      <c r="C693" s="1">
        <v>0.52147299999999996</v>
      </c>
      <c r="D693" s="1">
        <f t="shared" si="70"/>
        <v>3.1559999999999366E-3</v>
      </c>
      <c r="E693">
        <f t="shared" si="71"/>
        <v>4</v>
      </c>
      <c r="F693">
        <f t="shared" si="72"/>
        <v>33</v>
      </c>
      <c r="G693">
        <f t="shared" si="73"/>
        <v>4.55</v>
      </c>
      <c r="H693">
        <f t="shared" si="74"/>
        <v>273</v>
      </c>
      <c r="I693" s="3">
        <f t="shared" si="75"/>
        <v>65.934065934065927</v>
      </c>
      <c r="J693" t="str">
        <f t="shared" si="76"/>
        <v>F</v>
      </c>
    </row>
    <row r="694" spans="1:10" x14ac:dyDescent="0.25">
      <c r="A694" s="4" t="s">
        <v>155</v>
      </c>
      <c r="B694" s="1">
        <v>0.55934799999999996</v>
      </c>
      <c r="C694" s="1">
        <v>0.55619200000000002</v>
      </c>
      <c r="D694" s="1">
        <f t="shared" si="70"/>
        <v>3.1559999999999366E-3</v>
      </c>
      <c r="E694">
        <f t="shared" si="71"/>
        <v>4</v>
      </c>
      <c r="F694">
        <f t="shared" si="72"/>
        <v>33</v>
      </c>
      <c r="G694">
        <f t="shared" si="73"/>
        <v>4.55</v>
      </c>
      <c r="H694">
        <f t="shared" si="74"/>
        <v>273</v>
      </c>
      <c r="I694" s="3">
        <f t="shared" si="75"/>
        <v>65.934065934065927</v>
      </c>
      <c r="J694" t="str">
        <f t="shared" si="76"/>
        <v>F</v>
      </c>
    </row>
    <row r="695" spans="1:10" x14ac:dyDescent="0.25">
      <c r="A695" s="4" t="s">
        <v>273</v>
      </c>
      <c r="B695" s="1">
        <v>0.62061200000000005</v>
      </c>
      <c r="C695" s="1">
        <v>0.62377199999999999</v>
      </c>
      <c r="D695" s="1">
        <f t="shared" si="70"/>
        <v>3.1599999999999406E-3</v>
      </c>
      <c r="E695">
        <f t="shared" si="71"/>
        <v>4</v>
      </c>
      <c r="F695">
        <f t="shared" si="72"/>
        <v>33</v>
      </c>
      <c r="G695">
        <f t="shared" si="73"/>
        <v>4.55</v>
      </c>
      <c r="H695">
        <f t="shared" si="74"/>
        <v>273</v>
      </c>
      <c r="I695" s="3">
        <f t="shared" si="75"/>
        <v>65.934065934065927</v>
      </c>
      <c r="J695" t="str">
        <f t="shared" si="76"/>
        <v>F</v>
      </c>
    </row>
    <row r="696" spans="1:10" x14ac:dyDescent="0.25">
      <c r="A696" s="4" t="s">
        <v>390</v>
      </c>
      <c r="B696" s="1">
        <v>0.30533100000000002</v>
      </c>
      <c r="C696" s="1">
        <v>0.30848700000000001</v>
      </c>
      <c r="D696" s="1">
        <f t="shared" si="70"/>
        <v>3.1559999999999921E-3</v>
      </c>
      <c r="E696">
        <f t="shared" si="71"/>
        <v>4</v>
      </c>
      <c r="F696">
        <f t="shared" si="72"/>
        <v>33</v>
      </c>
      <c r="G696">
        <f t="shared" si="73"/>
        <v>4.55</v>
      </c>
      <c r="H696">
        <f t="shared" si="74"/>
        <v>273</v>
      </c>
      <c r="I696" s="3">
        <f t="shared" si="75"/>
        <v>65.934065934065927</v>
      </c>
      <c r="J696" t="str">
        <f t="shared" si="76"/>
        <v>F</v>
      </c>
    </row>
    <row r="697" spans="1:10" x14ac:dyDescent="0.25">
      <c r="A697" s="4" t="s">
        <v>19</v>
      </c>
      <c r="B697" s="1">
        <v>0.324683</v>
      </c>
      <c r="C697" s="1">
        <v>0.32151099999999999</v>
      </c>
      <c r="D697" s="1">
        <f t="shared" si="70"/>
        <v>3.1720000000000081E-3</v>
      </c>
      <c r="E697">
        <f t="shared" si="71"/>
        <v>4</v>
      </c>
      <c r="F697">
        <f t="shared" si="72"/>
        <v>34</v>
      </c>
      <c r="G697">
        <f t="shared" si="73"/>
        <v>4.57</v>
      </c>
      <c r="H697">
        <f t="shared" si="74"/>
        <v>274</v>
      </c>
      <c r="I697" s="3">
        <f t="shared" si="75"/>
        <v>65.693430656934311</v>
      </c>
      <c r="J697" t="str">
        <f t="shared" si="76"/>
        <v>F</v>
      </c>
    </row>
    <row r="698" spans="1:10" x14ac:dyDescent="0.25">
      <c r="A698" s="4" t="s">
        <v>215</v>
      </c>
      <c r="B698" s="1">
        <v>0.92084600000000005</v>
      </c>
      <c r="C698" s="1">
        <v>0.924014</v>
      </c>
      <c r="D698" s="1">
        <f t="shared" si="70"/>
        <v>3.1679999999999486E-3</v>
      </c>
      <c r="E698">
        <f t="shared" si="71"/>
        <v>4</v>
      </c>
      <c r="F698">
        <f t="shared" si="72"/>
        <v>34</v>
      </c>
      <c r="G698">
        <f t="shared" si="73"/>
        <v>4.57</v>
      </c>
      <c r="H698">
        <f t="shared" si="74"/>
        <v>274</v>
      </c>
      <c r="I698" s="3">
        <f t="shared" si="75"/>
        <v>65.693430656934311</v>
      </c>
      <c r="J698" t="str">
        <f t="shared" si="76"/>
        <v>F</v>
      </c>
    </row>
    <row r="699" spans="1:10" x14ac:dyDescent="0.25">
      <c r="A699" s="4" t="s">
        <v>87</v>
      </c>
      <c r="B699" s="1">
        <v>0.48994100000000002</v>
      </c>
      <c r="C699" s="1">
        <v>0.49311300000000002</v>
      </c>
      <c r="D699" s="1">
        <f t="shared" si="70"/>
        <v>3.1720000000000081E-3</v>
      </c>
      <c r="E699">
        <f t="shared" si="71"/>
        <v>4</v>
      </c>
      <c r="F699">
        <f t="shared" si="72"/>
        <v>34</v>
      </c>
      <c r="G699">
        <f t="shared" si="73"/>
        <v>4.57</v>
      </c>
      <c r="H699">
        <f t="shared" si="74"/>
        <v>274</v>
      </c>
      <c r="I699" s="3">
        <f t="shared" si="75"/>
        <v>65.693430656934311</v>
      </c>
      <c r="J699" t="str">
        <f t="shared" si="76"/>
        <v>F</v>
      </c>
    </row>
    <row r="700" spans="1:10" x14ac:dyDescent="0.25">
      <c r="A700" s="4" t="s">
        <v>74</v>
      </c>
      <c r="B700" s="1">
        <v>0.57475200000000004</v>
      </c>
      <c r="C700" s="1">
        <v>0.57793600000000001</v>
      </c>
      <c r="D700" s="1">
        <f t="shared" si="70"/>
        <v>3.1839999999999646E-3</v>
      </c>
      <c r="E700">
        <f t="shared" si="71"/>
        <v>4</v>
      </c>
      <c r="F700">
        <f t="shared" si="72"/>
        <v>35</v>
      </c>
      <c r="G700">
        <f t="shared" si="73"/>
        <v>4.58</v>
      </c>
      <c r="H700">
        <f t="shared" si="74"/>
        <v>275</v>
      </c>
      <c r="I700" s="3">
        <f t="shared" si="75"/>
        <v>65.454545454545453</v>
      </c>
      <c r="J700" t="str">
        <f t="shared" si="76"/>
        <v>F</v>
      </c>
    </row>
    <row r="701" spans="1:10" x14ac:dyDescent="0.25">
      <c r="A701" s="4" t="s">
        <v>57</v>
      </c>
      <c r="B701" s="1">
        <v>0.99172199999999999</v>
      </c>
      <c r="C701" s="1">
        <v>0.99490199999999995</v>
      </c>
      <c r="D701" s="1">
        <f t="shared" si="70"/>
        <v>3.1799999999999606E-3</v>
      </c>
      <c r="E701">
        <f t="shared" si="71"/>
        <v>4</v>
      </c>
      <c r="F701">
        <f t="shared" si="72"/>
        <v>35</v>
      </c>
      <c r="G701">
        <f t="shared" si="73"/>
        <v>4.58</v>
      </c>
      <c r="H701">
        <f t="shared" si="74"/>
        <v>275</v>
      </c>
      <c r="I701" s="3">
        <f t="shared" si="75"/>
        <v>65.454545454545453</v>
      </c>
      <c r="J701" t="str">
        <f t="shared" si="76"/>
        <v>F</v>
      </c>
    </row>
    <row r="702" spans="1:10" x14ac:dyDescent="0.25">
      <c r="A702" s="4" t="s">
        <v>114</v>
      </c>
      <c r="B702" s="1">
        <v>0.46311099999999999</v>
      </c>
      <c r="C702" s="1">
        <v>0.45991500000000002</v>
      </c>
      <c r="D702" s="1">
        <f t="shared" si="70"/>
        <v>3.1959999999999766E-3</v>
      </c>
      <c r="E702">
        <f t="shared" si="71"/>
        <v>4</v>
      </c>
      <c r="F702">
        <f t="shared" si="72"/>
        <v>36</v>
      </c>
      <c r="G702">
        <f t="shared" si="73"/>
        <v>4.5999999999999996</v>
      </c>
      <c r="H702">
        <f t="shared" si="74"/>
        <v>276</v>
      </c>
      <c r="I702" s="3">
        <f t="shared" si="75"/>
        <v>65.217391304347828</v>
      </c>
      <c r="J702" t="str">
        <f t="shared" si="76"/>
        <v>F</v>
      </c>
    </row>
    <row r="703" spans="1:10" x14ac:dyDescent="0.25">
      <c r="A703" s="4" t="s">
        <v>90</v>
      </c>
      <c r="B703" s="1">
        <v>0.271982</v>
      </c>
      <c r="C703" s="1">
        <v>0.26878999999999997</v>
      </c>
      <c r="D703" s="1">
        <f t="shared" si="70"/>
        <v>3.1920000000000281E-3</v>
      </c>
      <c r="E703">
        <f t="shared" si="71"/>
        <v>4</v>
      </c>
      <c r="F703">
        <f t="shared" si="72"/>
        <v>36</v>
      </c>
      <c r="G703">
        <f t="shared" si="73"/>
        <v>4.5999999999999996</v>
      </c>
      <c r="H703">
        <f t="shared" si="74"/>
        <v>276</v>
      </c>
      <c r="I703" s="3">
        <f t="shared" si="75"/>
        <v>65.217391304347828</v>
      </c>
      <c r="J703" t="str">
        <f t="shared" si="76"/>
        <v>F</v>
      </c>
    </row>
    <row r="704" spans="1:10" x14ac:dyDescent="0.25">
      <c r="A704" s="4" t="s">
        <v>106</v>
      </c>
      <c r="B704" s="1">
        <v>0.25471199999999999</v>
      </c>
      <c r="C704" s="1">
        <v>0.25790400000000002</v>
      </c>
      <c r="D704" s="1">
        <f t="shared" si="70"/>
        <v>3.1920000000000281E-3</v>
      </c>
      <c r="E704">
        <f t="shared" si="71"/>
        <v>4</v>
      </c>
      <c r="F704">
        <f t="shared" si="72"/>
        <v>36</v>
      </c>
      <c r="G704">
        <f t="shared" si="73"/>
        <v>4.5999999999999996</v>
      </c>
      <c r="H704">
        <f t="shared" si="74"/>
        <v>276</v>
      </c>
      <c r="I704" s="3">
        <f t="shared" si="75"/>
        <v>65.217391304347828</v>
      </c>
      <c r="J704" t="str">
        <f t="shared" si="76"/>
        <v>F</v>
      </c>
    </row>
    <row r="705" spans="1:10" x14ac:dyDescent="0.25">
      <c r="A705" s="4" t="s">
        <v>68</v>
      </c>
      <c r="B705" s="1">
        <v>0.71384899999999996</v>
      </c>
      <c r="C705" s="1">
        <v>0.71065299999999998</v>
      </c>
      <c r="D705" s="1">
        <f t="shared" si="70"/>
        <v>3.1959999999999766E-3</v>
      </c>
      <c r="E705">
        <f t="shared" si="71"/>
        <v>4</v>
      </c>
      <c r="F705">
        <f t="shared" si="72"/>
        <v>36</v>
      </c>
      <c r="G705">
        <f t="shared" si="73"/>
        <v>4.5999999999999996</v>
      </c>
      <c r="H705">
        <f t="shared" si="74"/>
        <v>276</v>
      </c>
      <c r="I705" s="3">
        <f t="shared" si="75"/>
        <v>65.217391304347828</v>
      </c>
      <c r="J705" t="str">
        <f t="shared" si="76"/>
        <v>F</v>
      </c>
    </row>
    <row r="706" spans="1:10" x14ac:dyDescent="0.25">
      <c r="A706" s="4" t="s">
        <v>108</v>
      </c>
      <c r="B706" s="1">
        <v>2.9668E-2</v>
      </c>
      <c r="C706" s="1">
        <v>3.2876000000000002E-2</v>
      </c>
      <c r="D706" s="1">
        <f t="shared" ref="D706:D769" si="77">IF(B706&gt;C706,B706-C706,C706-B706)</f>
        <v>3.2080000000000025E-3</v>
      </c>
      <c r="E706">
        <f t="shared" ref="E706:E769" si="78">MINUTE(D706)</f>
        <v>4</v>
      </c>
      <c r="F706">
        <f t="shared" ref="F706:F769" si="79">SECOND(D706)</f>
        <v>37</v>
      </c>
      <c r="G706">
        <f t="shared" ref="G706:G769" si="80">ROUND(E706+F706/60,2)</f>
        <v>4.62</v>
      </c>
      <c r="H706">
        <f t="shared" ref="H706:H769" si="81">60*E706+F706</f>
        <v>277</v>
      </c>
      <c r="I706" s="3">
        <f t="shared" ref="I706:I769" si="82">5*(3600/H706)</f>
        <v>64.981949458483754</v>
      </c>
      <c r="J706" t="str">
        <f t="shared" ref="J706:J769" si="83">IF(MID(A706,3,2)="18","T","F")</f>
        <v>F</v>
      </c>
    </row>
    <row r="707" spans="1:10" x14ac:dyDescent="0.25">
      <c r="A707" s="4" t="s">
        <v>118</v>
      </c>
      <c r="B707" s="1">
        <v>0.57245400000000002</v>
      </c>
      <c r="C707" s="1">
        <v>0.57566200000000001</v>
      </c>
      <c r="D707" s="1">
        <f t="shared" si="77"/>
        <v>3.2079999999999886E-3</v>
      </c>
      <c r="E707">
        <f t="shared" si="78"/>
        <v>4</v>
      </c>
      <c r="F707">
        <f t="shared" si="79"/>
        <v>37</v>
      </c>
      <c r="G707">
        <f t="shared" si="80"/>
        <v>4.62</v>
      </c>
      <c r="H707">
        <f t="shared" si="81"/>
        <v>277</v>
      </c>
      <c r="I707" s="3">
        <f t="shared" si="82"/>
        <v>64.981949458483754</v>
      </c>
      <c r="J707" t="str">
        <f t="shared" si="83"/>
        <v>F</v>
      </c>
    </row>
    <row r="708" spans="1:10" x14ac:dyDescent="0.25">
      <c r="A708" s="4" t="s">
        <v>75</v>
      </c>
      <c r="B708" s="1">
        <v>0.66879599999999995</v>
      </c>
      <c r="C708" s="1">
        <v>0.67200400000000005</v>
      </c>
      <c r="D708" s="1">
        <f t="shared" si="77"/>
        <v>3.2080000000000997E-3</v>
      </c>
      <c r="E708">
        <f t="shared" si="78"/>
        <v>4</v>
      </c>
      <c r="F708">
        <f t="shared" si="79"/>
        <v>37</v>
      </c>
      <c r="G708">
        <f t="shared" si="80"/>
        <v>4.62</v>
      </c>
      <c r="H708">
        <f t="shared" si="81"/>
        <v>277</v>
      </c>
      <c r="I708" s="3">
        <f t="shared" si="82"/>
        <v>64.981949458483754</v>
      </c>
      <c r="J708" t="str">
        <f t="shared" si="83"/>
        <v>F</v>
      </c>
    </row>
    <row r="709" spans="1:10" x14ac:dyDescent="0.25">
      <c r="A709" s="4" t="s">
        <v>170</v>
      </c>
      <c r="B709" s="1">
        <v>0.46080500000000002</v>
      </c>
      <c r="C709" s="1">
        <v>0.46401300000000001</v>
      </c>
      <c r="D709" s="1">
        <f t="shared" si="77"/>
        <v>3.2079999999999886E-3</v>
      </c>
      <c r="E709">
        <f t="shared" si="78"/>
        <v>4</v>
      </c>
      <c r="F709">
        <f t="shared" si="79"/>
        <v>37</v>
      </c>
      <c r="G709">
        <f t="shared" si="80"/>
        <v>4.62</v>
      </c>
      <c r="H709">
        <f t="shared" si="81"/>
        <v>277</v>
      </c>
      <c r="I709" s="3">
        <f t="shared" si="82"/>
        <v>64.981949458483754</v>
      </c>
      <c r="J709" t="str">
        <f t="shared" si="83"/>
        <v>F</v>
      </c>
    </row>
    <row r="710" spans="1:10" x14ac:dyDescent="0.25">
      <c r="A710" s="4" t="s">
        <v>224</v>
      </c>
      <c r="B710" s="1">
        <v>0.88523799999999997</v>
      </c>
      <c r="C710" s="1">
        <v>0.88202999999999998</v>
      </c>
      <c r="D710" s="1">
        <f t="shared" si="77"/>
        <v>3.2079999999999886E-3</v>
      </c>
      <c r="E710">
        <f t="shared" si="78"/>
        <v>4</v>
      </c>
      <c r="F710">
        <f t="shared" si="79"/>
        <v>37</v>
      </c>
      <c r="G710">
        <f t="shared" si="80"/>
        <v>4.62</v>
      </c>
      <c r="H710">
        <f t="shared" si="81"/>
        <v>277</v>
      </c>
      <c r="I710" s="3">
        <f t="shared" si="82"/>
        <v>64.981949458483754</v>
      </c>
      <c r="J710" t="str">
        <f t="shared" si="83"/>
        <v>F</v>
      </c>
    </row>
    <row r="711" spans="1:10" x14ac:dyDescent="0.25">
      <c r="A711" s="4" t="s">
        <v>126</v>
      </c>
      <c r="B711" s="1">
        <v>0.89384600000000003</v>
      </c>
      <c r="C711" s="1">
        <v>0.89706600000000003</v>
      </c>
      <c r="D711" s="1">
        <f t="shared" si="77"/>
        <v>3.2200000000000006E-3</v>
      </c>
      <c r="E711">
        <f t="shared" si="78"/>
        <v>4</v>
      </c>
      <c r="F711">
        <f t="shared" si="79"/>
        <v>38</v>
      </c>
      <c r="G711">
        <f t="shared" si="80"/>
        <v>4.63</v>
      </c>
      <c r="H711">
        <f t="shared" si="81"/>
        <v>278</v>
      </c>
      <c r="I711" s="3">
        <f t="shared" si="82"/>
        <v>64.748201438848923</v>
      </c>
      <c r="J711" t="str">
        <f t="shared" si="83"/>
        <v>F</v>
      </c>
    </row>
    <row r="712" spans="1:10" x14ac:dyDescent="0.25">
      <c r="A712" s="4" t="s">
        <v>5</v>
      </c>
      <c r="B712" s="1">
        <v>0.95478200000000002</v>
      </c>
      <c r="C712" s="1">
        <v>0.95157000000000003</v>
      </c>
      <c r="D712" s="1">
        <f t="shared" si="77"/>
        <v>3.2119999999999926E-3</v>
      </c>
      <c r="E712">
        <f t="shared" si="78"/>
        <v>4</v>
      </c>
      <c r="F712">
        <f t="shared" si="79"/>
        <v>38</v>
      </c>
      <c r="G712">
        <f t="shared" si="80"/>
        <v>4.63</v>
      </c>
      <c r="H712">
        <f t="shared" si="81"/>
        <v>278</v>
      </c>
      <c r="I712" s="3">
        <f t="shared" si="82"/>
        <v>64.748201438848923</v>
      </c>
      <c r="J712" t="str">
        <f t="shared" si="83"/>
        <v>F</v>
      </c>
    </row>
    <row r="713" spans="1:10" x14ac:dyDescent="0.25">
      <c r="A713" s="4" t="s">
        <v>117</v>
      </c>
      <c r="B713" s="1">
        <v>0.73974700000000004</v>
      </c>
      <c r="C713" s="1">
        <v>0.74296300000000004</v>
      </c>
      <c r="D713" s="1">
        <f t="shared" si="77"/>
        <v>3.2159999999999966E-3</v>
      </c>
      <c r="E713">
        <f t="shared" si="78"/>
        <v>4</v>
      </c>
      <c r="F713">
        <f t="shared" si="79"/>
        <v>38</v>
      </c>
      <c r="G713">
        <f t="shared" si="80"/>
        <v>4.63</v>
      </c>
      <c r="H713">
        <f t="shared" si="81"/>
        <v>278</v>
      </c>
      <c r="I713" s="3">
        <f t="shared" si="82"/>
        <v>64.748201438848923</v>
      </c>
      <c r="J713" t="str">
        <f t="shared" si="83"/>
        <v>F</v>
      </c>
    </row>
    <row r="714" spans="1:10" x14ac:dyDescent="0.25">
      <c r="A714" s="4" t="s">
        <v>365</v>
      </c>
      <c r="B714" s="1">
        <v>0.429481</v>
      </c>
      <c r="C714" s="1">
        <v>0.426261</v>
      </c>
      <c r="D714" s="1">
        <f t="shared" si="77"/>
        <v>3.2200000000000006E-3</v>
      </c>
      <c r="E714">
        <f t="shared" si="78"/>
        <v>4</v>
      </c>
      <c r="F714">
        <f t="shared" si="79"/>
        <v>38</v>
      </c>
      <c r="G714">
        <f t="shared" si="80"/>
        <v>4.63</v>
      </c>
      <c r="H714">
        <f t="shared" si="81"/>
        <v>278</v>
      </c>
      <c r="I714" s="3">
        <f t="shared" si="82"/>
        <v>64.748201438848923</v>
      </c>
      <c r="J714" t="str">
        <f t="shared" si="83"/>
        <v>F</v>
      </c>
    </row>
    <row r="715" spans="1:10" x14ac:dyDescent="0.25">
      <c r="A715" s="4" t="s">
        <v>124</v>
      </c>
      <c r="B715" s="1">
        <v>0.25201899999999999</v>
      </c>
      <c r="C715" s="1">
        <v>0.255247</v>
      </c>
      <c r="D715" s="1">
        <f t="shared" si="77"/>
        <v>3.2280000000000086E-3</v>
      </c>
      <c r="E715">
        <f t="shared" si="78"/>
        <v>4</v>
      </c>
      <c r="F715">
        <f t="shared" si="79"/>
        <v>39</v>
      </c>
      <c r="G715">
        <f t="shared" si="80"/>
        <v>4.6500000000000004</v>
      </c>
      <c r="H715">
        <f t="shared" si="81"/>
        <v>279</v>
      </c>
      <c r="I715" s="3">
        <f t="shared" si="82"/>
        <v>64.516129032258064</v>
      </c>
      <c r="J715" t="str">
        <f t="shared" si="83"/>
        <v>F</v>
      </c>
    </row>
    <row r="716" spans="1:10" x14ac:dyDescent="0.25">
      <c r="A716" s="4" t="s">
        <v>47</v>
      </c>
      <c r="B716" s="1">
        <v>0.44847399999999998</v>
      </c>
      <c r="C716" s="1">
        <v>0.45169799999999999</v>
      </c>
      <c r="D716" s="1">
        <f t="shared" si="77"/>
        <v>3.2240000000000046E-3</v>
      </c>
      <c r="E716">
        <f t="shared" si="78"/>
        <v>4</v>
      </c>
      <c r="F716">
        <f t="shared" si="79"/>
        <v>39</v>
      </c>
      <c r="G716">
        <f t="shared" si="80"/>
        <v>4.6500000000000004</v>
      </c>
      <c r="H716">
        <f t="shared" si="81"/>
        <v>279</v>
      </c>
      <c r="I716" s="3">
        <f t="shared" si="82"/>
        <v>64.516129032258064</v>
      </c>
      <c r="J716" t="str">
        <f t="shared" si="83"/>
        <v>F</v>
      </c>
    </row>
    <row r="717" spans="1:10" x14ac:dyDescent="0.25">
      <c r="A717" s="4" t="s">
        <v>162</v>
      </c>
      <c r="B717" s="1">
        <v>0.29753600000000002</v>
      </c>
      <c r="C717" s="1">
        <v>0.30076399999999998</v>
      </c>
      <c r="D717" s="1">
        <f t="shared" si="77"/>
        <v>3.2279999999999531E-3</v>
      </c>
      <c r="E717">
        <f t="shared" si="78"/>
        <v>4</v>
      </c>
      <c r="F717">
        <f t="shared" si="79"/>
        <v>39</v>
      </c>
      <c r="G717">
        <f t="shared" si="80"/>
        <v>4.6500000000000004</v>
      </c>
      <c r="H717">
        <f t="shared" si="81"/>
        <v>279</v>
      </c>
      <c r="I717" s="3">
        <f t="shared" si="82"/>
        <v>64.516129032258064</v>
      </c>
      <c r="J717" t="str">
        <f t="shared" si="83"/>
        <v>F</v>
      </c>
    </row>
    <row r="718" spans="1:10" x14ac:dyDescent="0.25">
      <c r="A718" s="4" t="s">
        <v>64</v>
      </c>
      <c r="B718" s="1">
        <v>0.82595300000000005</v>
      </c>
      <c r="C718" s="1">
        <v>0.82917700000000005</v>
      </c>
      <c r="D718" s="1">
        <f t="shared" si="77"/>
        <v>3.2240000000000046E-3</v>
      </c>
      <c r="E718">
        <f t="shared" si="78"/>
        <v>4</v>
      </c>
      <c r="F718">
        <f t="shared" si="79"/>
        <v>39</v>
      </c>
      <c r="G718">
        <f t="shared" si="80"/>
        <v>4.6500000000000004</v>
      </c>
      <c r="H718">
        <f t="shared" si="81"/>
        <v>279</v>
      </c>
      <c r="I718" s="3">
        <f t="shared" si="82"/>
        <v>64.516129032258064</v>
      </c>
      <c r="J718" t="str">
        <f t="shared" si="83"/>
        <v>F</v>
      </c>
    </row>
    <row r="719" spans="1:10" x14ac:dyDescent="0.25">
      <c r="A719" s="4" t="s">
        <v>229</v>
      </c>
      <c r="B719" s="1">
        <v>0.119934</v>
      </c>
      <c r="C719" s="1">
        <v>0.11670999999999999</v>
      </c>
      <c r="D719" s="1">
        <f t="shared" si="77"/>
        <v>3.2240000000000046E-3</v>
      </c>
      <c r="E719">
        <f t="shared" si="78"/>
        <v>4</v>
      </c>
      <c r="F719">
        <f t="shared" si="79"/>
        <v>39</v>
      </c>
      <c r="G719">
        <f t="shared" si="80"/>
        <v>4.6500000000000004</v>
      </c>
      <c r="H719">
        <f t="shared" si="81"/>
        <v>279</v>
      </c>
      <c r="I719" s="3">
        <f t="shared" si="82"/>
        <v>64.516129032258064</v>
      </c>
      <c r="J719" t="str">
        <f t="shared" si="83"/>
        <v>F</v>
      </c>
    </row>
    <row r="720" spans="1:10" x14ac:dyDescent="0.25">
      <c r="A720" s="4" t="s">
        <v>106</v>
      </c>
      <c r="B720" s="1">
        <v>9.7731999999999999E-2</v>
      </c>
      <c r="C720" s="1">
        <v>9.4488000000000003E-2</v>
      </c>
      <c r="D720" s="1">
        <f t="shared" si="77"/>
        <v>3.2439999999999969E-3</v>
      </c>
      <c r="E720">
        <f t="shared" si="78"/>
        <v>4</v>
      </c>
      <c r="F720">
        <f t="shared" si="79"/>
        <v>40</v>
      </c>
      <c r="G720">
        <f t="shared" si="80"/>
        <v>4.67</v>
      </c>
      <c r="H720">
        <f t="shared" si="81"/>
        <v>280</v>
      </c>
      <c r="I720" s="3">
        <f t="shared" si="82"/>
        <v>64.285714285714292</v>
      </c>
      <c r="J720" t="str">
        <f t="shared" si="83"/>
        <v>F</v>
      </c>
    </row>
    <row r="721" spans="1:10" x14ac:dyDescent="0.25">
      <c r="A721" s="4" t="s">
        <v>117</v>
      </c>
      <c r="B721" s="1">
        <v>0.94641600000000004</v>
      </c>
      <c r="C721" s="1">
        <v>0.94965200000000005</v>
      </c>
      <c r="D721" s="1">
        <f t="shared" si="77"/>
        <v>3.2360000000000166E-3</v>
      </c>
      <c r="E721">
        <f t="shared" si="78"/>
        <v>4</v>
      </c>
      <c r="F721">
        <f t="shared" si="79"/>
        <v>40</v>
      </c>
      <c r="G721">
        <f t="shared" si="80"/>
        <v>4.67</v>
      </c>
      <c r="H721">
        <f t="shared" si="81"/>
        <v>280</v>
      </c>
      <c r="I721" s="3">
        <f t="shared" si="82"/>
        <v>64.285714285714292</v>
      </c>
      <c r="J721" t="str">
        <f t="shared" si="83"/>
        <v>F</v>
      </c>
    </row>
    <row r="722" spans="1:10" x14ac:dyDescent="0.25">
      <c r="A722" s="4" t="s">
        <v>52</v>
      </c>
      <c r="B722" s="1">
        <v>0.80732599999999999</v>
      </c>
      <c r="C722" s="1">
        <v>0.80408199999999996</v>
      </c>
      <c r="D722" s="1">
        <f t="shared" si="77"/>
        <v>3.2440000000000246E-3</v>
      </c>
      <c r="E722">
        <f t="shared" si="78"/>
        <v>4</v>
      </c>
      <c r="F722">
        <f t="shared" si="79"/>
        <v>40</v>
      </c>
      <c r="G722">
        <f t="shared" si="80"/>
        <v>4.67</v>
      </c>
      <c r="H722">
        <f t="shared" si="81"/>
        <v>280</v>
      </c>
      <c r="I722" s="3">
        <f t="shared" si="82"/>
        <v>64.285714285714292</v>
      </c>
      <c r="J722" t="str">
        <f t="shared" si="83"/>
        <v>F</v>
      </c>
    </row>
    <row r="723" spans="1:10" x14ac:dyDescent="0.25">
      <c r="A723" s="4" t="s">
        <v>429</v>
      </c>
      <c r="B723" s="1">
        <v>0.192581</v>
      </c>
      <c r="C723" s="1">
        <v>0.18934500000000001</v>
      </c>
      <c r="D723" s="1">
        <f t="shared" si="77"/>
        <v>3.2359999999999889E-3</v>
      </c>
      <c r="E723">
        <f t="shared" si="78"/>
        <v>4</v>
      </c>
      <c r="F723">
        <f t="shared" si="79"/>
        <v>40</v>
      </c>
      <c r="G723">
        <f t="shared" si="80"/>
        <v>4.67</v>
      </c>
      <c r="H723">
        <f t="shared" si="81"/>
        <v>280</v>
      </c>
      <c r="I723" s="3">
        <f t="shared" si="82"/>
        <v>64.285714285714292</v>
      </c>
      <c r="J723" t="str">
        <f t="shared" si="83"/>
        <v>F</v>
      </c>
    </row>
    <row r="724" spans="1:10" x14ac:dyDescent="0.25">
      <c r="A724" s="4" t="s">
        <v>57</v>
      </c>
      <c r="B724" s="1">
        <v>0.885293</v>
      </c>
      <c r="C724" s="1">
        <v>0.88205699999999998</v>
      </c>
      <c r="D724" s="1">
        <f t="shared" si="77"/>
        <v>3.2360000000000166E-3</v>
      </c>
      <c r="E724">
        <f t="shared" si="78"/>
        <v>4</v>
      </c>
      <c r="F724">
        <f t="shared" si="79"/>
        <v>40</v>
      </c>
      <c r="G724">
        <f t="shared" si="80"/>
        <v>4.67</v>
      </c>
      <c r="H724">
        <f t="shared" si="81"/>
        <v>280</v>
      </c>
      <c r="I724" s="3">
        <f t="shared" si="82"/>
        <v>64.285714285714292</v>
      </c>
      <c r="J724" t="str">
        <f t="shared" si="83"/>
        <v>F</v>
      </c>
    </row>
    <row r="725" spans="1:10" x14ac:dyDescent="0.25">
      <c r="A725" s="4" t="s">
        <v>46</v>
      </c>
      <c r="B725" s="1">
        <v>0.23264499999999999</v>
      </c>
      <c r="C725" s="1">
        <v>0.235897</v>
      </c>
      <c r="D725" s="1">
        <f t="shared" si="77"/>
        <v>3.2520000000000049E-3</v>
      </c>
      <c r="E725">
        <f t="shared" si="78"/>
        <v>4</v>
      </c>
      <c r="F725">
        <f t="shared" si="79"/>
        <v>41</v>
      </c>
      <c r="G725">
        <f t="shared" si="80"/>
        <v>4.68</v>
      </c>
      <c r="H725">
        <f t="shared" si="81"/>
        <v>281</v>
      </c>
      <c r="I725" s="3">
        <f t="shared" si="82"/>
        <v>64.056939501779354</v>
      </c>
      <c r="J725" t="str">
        <f t="shared" si="83"/>
        <v>F</v>
      </c>
    </row>
    <row r="726" spans="1:10" x14ac:dyDescent="0.25">
      <c r="A726" s="4" t="s">
        <v>16</v>
      </c>
      <c r="B726" s="1">
        <v>0.129272</v>
      </c>
      <c r="C726" s="1">
        <v>0.12600800000000001</v>
      </c>
      <c r="D726" s="1">
        <f t="shared" si="77"/>
        <v>3.2639999999999891E-3</v>
      </c>
      <c r="E726">
        <f t="shared" si="78"/>
        <v>4</v>
      </c>
      <c r="F726">
        <f t="shared" si="79"/>
        <v>42</v>
      </c>
      <c r="G726">
        <f t="shared" si="80"/>
        <v>4.7</v>
      </c>
      <c r="H726">
        <f t="shared" si="81"/>
        <v>282</v>
      </c>
      <c r="I726" s="3">
        <f t="shared" si="82"/>
        <v>63.829787234042556</v>
      </c>
      <c r="J726" t="str">
        <f t="shared" si="83"/>
        <v>F</v>
      </c>
    </row>
    <row r="727" spans="1:10" x14ac:dyDescent="0.25">
      <c r="A727" s="4" t="s">
        <v>23</v>
      </c>
      <c r="B727" s="1">
        <v>0.50349999999999995</v>
      </c>
      <c r="C727" s="1">
        <v>0.50675999999999999</v>
      </c>
      <c r="D727" s="1">
        <f t="shared" si="77"/>
        <v>3.2600000000000406E-3</v>
      </c>
      <c r="E727">
        <f t="shared" si="78"/>
        <v>4</v>
      </c>
      <c r="F727">
        <f t="shared" si="79"/>
        <v>42</v>
      </c>
      <c r="G727">
        <f t="shared" si="80"/>
        <v>4.7</v>
      </c>
      <c r="H727">
        <f t="shared" si="81"/>
        <v>282</v>
      </c>
      <c r="I727" s="3">
        <f t="shared" si="82"/>
        <v>63.829787234042556</v>
      </c>
      <c r="J727" t="str">
        <f t="shared" si="83"/>
        <v>F</v>
      </c>
    </row>
    <row r="728" spans="1:10" x14ac:dyDescent="0.25">
      <c r="A728" s="4" t="s">
        <v>91</v>
      </c>
      <c r="B728" s="1">
        <v>0.29477999999999999</v>
      </c>
      <c r="C728" s="1">
        <v>0.29804799999999998</v>
      </c>
      <c r="D728" s="1">
        <f t="shared" si="77"/>
        <v>3.2679999999999931E-3</v>
      </c>
      <c r="E728">
        <f t="shared" si="78"/>
        <v>4</v>
      </c>
      <c r="F728">
        <f t="shared" si="79"/>
        <v>42</v>
      </c>
      <c r="G728">
        <f t="shared" si="80"/>
        <v>4.7</v>
      </c>
      <c r="H728">
        <f t="shared" si="81"/>
        <v>282</v>
      </c>
      <c r="I728" s="3">
        <f t="shared" si="82"/>
        <v>63.829787234042556</v>
      </c>
      <c r="J728" t="str">
        <f t="shared" si="83"/>
        <v>F</v>
      </c>
    </row>
    <row r="729" spans="1:10" x14ac:dyDescent="0.25">
      <c r="A729" s="4" t="s">
        <v>109</v>
      </c>
      <c r="B729" s="1">
        <v>0.44507799999999997</v>
      </c>
      <c r="C729" s="1">
        <v>0.44834600000000002</v>
      </c>
      <c r="D729" s="1">
        <f t="shared" si="77"/>
        <v>3.2680000000000486E-3</v>
      </c>
      <c r="E729">
        <f t="shared" si="78"/>
        <v>4</v>
      </c>
      <c r="F729">
        <f t="shared" si="79"/>
        <v>42</v>
      </c>
      <c r="G729">
        <f t="shared" si="80"/>
        <v>4.7</v>
      </c>
      <c r="H729">
        <f t="shared" si="81"/>
        <v>282</v>
      </c>
      <c r="I729" s="3">
        <f t="shared" si="82"/>
        <v>63.829787234042556</v>
      </c>
      <c r="J729" t="str">
        <f t="shared" si="83"/>
        <v>F</v>
      </c>
    </row>
    <row r="730" spans="1:10" x14ac:dyDescent="0.25">
      <c r="A730" s="4" t="s">
        <v>244</v>
      </c>
      <c r="B730" s="1">
        <v>0.71818000000000004</v>
      </c>
      <c r="C730" s="1">
        <v>0.714916</v>
      </c>
      <c r="D730" s="1">
        <f t="shared" si="77"/>
        <v>3.2640000000000446E-3</v>
      </c>
      <c r="E730">
        <f t="shared" si="78"/>
        <v>4</v>
      </c>
      <c r="F730">
        <f t="shared" si="79"/>
        <v>42</v>
      </c>
      <c r="G730">
        <f t="shared" si="80"/>
        <v>4.7</v>
      </c>
      <c r="H730">
        <f t="shared" si="81"/>
        <v>282</v>
      </c>
      <c r="I730" s="3">
        <f t="shared" si="82"/>
        <v>63.829787234042556</v>
      </c>
      <c r="J730" t="str">
        <f t="shared" si="83"/>
        <v>F</v>
      </c>
    </row>
    <row r="731" spans="1:10" x14ac:dyDescent="0.25">
      <c r="A731" s="4" t="s">
        <v>8</v>
      </c>
      <c r="B731" s="1">
        <v>6.8551000000000001E-2</v>
      </c>
      <c r="C731" s="1">
        <v>6.5270999999999996E-2</v>
      </c>
      <c r="D731" s="1">
        <f t="shared" si="77"/>
        <v>3.2800000000000051E-3</v>
      </c>
      <c r="E731">
        <f t="shared" si="78"/>
        <v>4</v>
      </c>
      <c r="F731">
        <f t="shared" si="79"/>
        <v>43</v>
      </c>
      <c r="G731">
        <f t="shared" si="80"/>
        <v>4.72</v>
      </c>
      <c r="H731">
        <f t="shared" si="81"/>
        <v>283</v>
      </c>
      <c r="I731" s="3">
        <f t="shared" si="82"/>
        <v>63.60424028268551</v>
      </c>
      <c r="J731" t="str">
        <f t="shared" si="83"/>
        <v>F</v>
      </c>
    </row>
    <row r="732" spans="1:10" x14ac:dyDescent="0.25">
      <c r="A732" s="4" t="s">
        <v>115</v>
      </c>
      <c r="B732" s="1">
        <v>0.98607599999999995</v>
      </c>
      <c r="C732" s="1">
        <v>0.98280400000000001</v>
      </c>
      <c r="D732" s="1">
        <f t="shared" si="77"/>
        <v>3.2719999999999416E-3</v>
      </c>
      <c r="E732">
        <f t="shared" si="78"/>
        <v>4</v>
      </c>
      <c r="F732">
        <f t="shared" si="79"/>
        <v>43</v>
      </c>
      <c r="G732">
        <f t="shared" si="80"/>
        <v>4.72</v>
      </c>
      <c r="H732">
        <f t="shared" si="81"/>
        <v>283</v>
      </c>
      <c r="I732" s="3">
        <f t="shared" si="82"/>
        <v>63.60424028268551</v>
      </c>
      <c r="J732" t="str">
        <f t="shared" si="83"/>
        <v>F</v>
      </c>
    </row>
    <row r="733" spans="1:10" x14ac:dyDescent="0.25">
      <c r="A733" s="4" t="s">
        <v>5</v>
      </c>
      <c r="B733" s="1">
        <v>0.42173100000000002</v>
      </c>
      <c r="C733" s="1">
        <v>0.42501100000000003</v>
      </c>
      <c r="D733" s="1">
        <f t="shared" si="77"/>
        <v>3.2800000000000051E-3</v>
      </c>
      <c r="E733">
        <f t="shared" si="78"/>
        <v>4</v>
      </c>
      <c r="F733">
        <f t="shared" si="79"/>
        <v>43</v>
      </c>
      <c r="G733">
        <f t="shared" si="80"/>
        <v>4.72</v>
      </c>
      <c r="H733">
        <f t="shared" si="81"/>
        <v>283</v>
      </c>
      <c r="I733" s="3">
        <f t="shared" si="82"/>
        <v>63.60424028268551</v>
      </c>
      <c r="J733" t="str">
        <f t="shared" si="83"/>
        <v>F</v>
      </c>
    </row>
    <row r="734" spans="1:10" x14ac:dyDescent="0.25">
      <c r="A734" s="4" t="s">
        <v>336</v>
      </c>
      <c r="B734" s="1">
        <v>0.96765500000000004</v>
      </c>
      <c r="C734" s="1">
        <v>0.96437899999999999</v>
      </c>
      <c r="D734" s="1">
        <f t="shared" si="77"/>
        <v>3.2760000000000566E-3</v>
      </c>
      <c r="E734">
        <f t="shared" si="78"/>
        <v>4</v>
      </c>
      <c r="F734">
        <f t="shared" si="79"/>
        <v>43</v>
      </c>
      <c r="G734">
        <f t="shared" si="80"/>
        <v>4.72</v>
      </c>
      <c r="H734">
        <f t="shared" si="81"/>
        <v>283</v>
      </c>
      <c r="I734" s="3">
        <f t="shared" si="82"/>
        <v>63.60424028268551</v>
      </c>
      <c r="J734" t="str">
        <f t="shared" si="83"/>
        <v>F</v>
      </c>
    </row>
    <row r="735" spans="1:10" x14ac:dyDescent="0.25">
      <c r="A735" s="4" t="s">
        <v>55</v>
      </c>
      <c r="B735" s="1">
        <v>0.62158000000000002</v>
      </c>
      <c r="C735" s="1">
        <v>0.61829199999999995</v>
      </c>
      <c r="D735" s="1">
        <f t="shared" si="77"/>
        <v>3.2880000000000686E-3</v>
      </c>
      <c r="E735">
        <f t="shared" si="78"/>
        <v>4</v>
      </c>
      <c r="F735">
        <f t="shared" si="79"/>
        <v>44</v>
      </c>
      <c r="G735">
        <f t="shared" si="80"/>
        <v>4.7300000000000004</v>
      </c>
      <c r="H735">
        <f t="shared" si="81"/>
        <v>284</v>
      </c>
      <c r="I735" s="3">
        <f t="shared" si="82"/>
        <v>63.380281690140848</v>
      </c>
      <c r="J735" t="str">
        <f t="shared" si="83"/>
        <v>F</v>
      </c>
    </row>
    <row r="736" spans="1:10" x14ac:dyDescent="0.25">
      <c r="A736" s="4" t="s">
        <v>138</v>
      </c>
      <c r="B736" s="1">
        <v>0.92752500000000004</v>
      </c>
      <c r="C736" s="1">
        <v>0.92424099999999998</v>
      </c>
      <c r="D736" s="1">
        <f t="shared" si="77"/>
        <v>3.2840000000000646E-3</v>
      </c>
      <c r="E736">
        <f t="shared" si="78"/>
        <v>4</v>
      </c>
      <c r="F736">
        <f t="shared" si="79"/>
        <v>44</v>
      </c>
      <c r="G736">
        <f t="shared" si="80"/>
        <v>4.7300000000000004</v>
      </c>
      <c r="H736">
        <f t="shared" si="81"/>
        <v>284</v>
      </c>
      <c r="I736" s="3">
        <f t="shared" si="82"/>
        <v>63.380281690140848</v>
      </c>
      <c r="J736" t="str">
        <f t="shared" si="83"/>
        <v>F</v>
      </c>
    </row>
    <row r="737" spans="1:10" x14ac:dyDescent="0.25">
      <c r="A737" s="4" t="s">
        <v>31</v>
      </c>
      <c r="B737" s="1">
        <v>0.108847</v>
      </c>
      <c r="C737" s="1">
        <v>0.105555</v>
      </c>
      <c r="D737" s="1">
        <f t="shared" si="77"/>
        <v>3.2920000000000033E-3</v>
      </c>
      <c r="E737">
        <f t="shared" si="78"/>
        <v>4</v>
      </c>
      <c r="F737">
        <f t="shared" si="79"/>
        <v>44</v>
      </c>
      <c r="G737">
        <f t="shared" si="80"/>
        <v>4.7300000000000004</v>
      </c>
      <c r="H737">
        <f t="shared" si="81"/>
        <v>284</v>
      </c>
      <c r="I737" s="3">
        <f t="shared" si="82"/>
        <v>63.380281690140848</v>
      </c>
      <c r="J737" t="str">
        <f t="shared" si="83"/>
        <v>F</v>
      </c>
    </row>
    <row r="738" spans="1:10" x14ac:dyDescent="0.25">
      <c r="A738" s="4" t="s">
        <v>60</v>
      </c>
      <c r="B738" s="1">
        <v>0.71294500000000005</v>
      </c>
      <c r="C738" s="1">
        <v>0.716229</v>
      </c>
      <c r="D738" s="1">
        <f t="shared" si="77"/>
        <v>3.2839999999999536E-3</v>
      </c>
      <c r="E738">
        <f t="shared" si="78"/>
        <v>4</v>
      </c>
      <c r="F738">
        <f t="shared" si="79"/>
        <v>44</v>
      </c>
      <c r="G738">
        <f t="shared" si="80"/>
        <v>4.7300000000000004</v>
      </c>
      <c r="H738">
        <f t="shared" si="81"/>
        <v>284</v>
      </c>
      <c r="I738" s="3">
        <f t="shared" si="82"/>
        <v>63.380281690140848</v>
      </c>
      <c r="J738" t="str">
        <f t="shared" si="83"/>
        <v>F</v>
      </c>
    </row>
    <row r="739" spans="1:10" x14ac:dyDescent="0.25">
      <c r="A739" s="4" t="s">
        <v>117</v>
      </c>
      <c r="B739" s="1">
        <v>0.56385600000000002</v>
      </c>
      <c r="C739" s="1">
        <v>0.56057199999999996</v>
      </c>
      <c r="D739" s="1">
        <f t="shared" si="77"/>
        <v>3.2840000000000646E-3</v>
      </c>
      <c r="E739">
        <f t="shared" si="78"/>
        <v>4</v>
      </c>
      <c r="F739">
        <f t="shared" si="79"/>
        <v>44</v>
      </c>
      <c r="G739">
        <f t="shared" si="80"/>
        <v>4.7300000000000004</v>
      </c>
      <c r="H739">
        <f t="shared" si="81"/>
        <v>284</v>
      </c>
      <c r="I739" s="3">
        <f t="shared" si="82"/>
        <v>63.380281690140848</v>
      </c>
      <c r="J739" t="str">
        <f t="shared" si="83"/>
        <v>F</v>
      </c>
    </row>
    <row r="740" spans="1:10" x14ac:dyDescent="0.25">
      <c r="A740" s="4" t="s">
        <v>276</v>
      </c>
      <c r="B740" s="1">
        <v>0.90642999999999996</v>
      </c>
      <c r="C740" s="1">
        <v>0.90972200000000003</v>
      </c>
      <c r="D740" s="1">
        <f t="shared" si="77"/>
        <v>3.2920000000000726E-3</v>
      </c>
      <c r="E740">
        <f t="shared" si="78"/>
        <v>4</v>
      </c>
      <c r="F740">
        <f t="shared" si="79"/>
        <v>44</v>
      </c>
      <c r="G740">
        <f t="shared" si="80"/>
        <v>4.7300000000000004</v>
      </c>
      <c r="H740">
        <f t="shared" si="81"/>
        <v>284</v>
      </c>
      <c r="I740" s="3">
        <f t="shared" si="82"/>
        <v>63.380281690140848</v>
      </c>
      <c r="J740" t="str">
        <f t="shared" si="83"/>
        <v>F</v>
      </c>
    </row>
    <row r="741" spans="1:10" x14ac:dyDescent="0.25">
      <c r="A741" s="4" t="s">
        <v>340</v>
      </c>
      <c r="B741" s="1">
        <v>0.91144700000000001</v>
      </c>
      <c r="C741" s="1">
        <v>0.91473099999999996</v>
      </c>
      <c r="D741" s="1">
        <f t="shared" si="77"/>
        <v>3.2839999999999536E-3</v>
      </c>
      <c r="E741">
        <f t="shared" si="78"/>
        <v>4</v>
      </c>
      <c r="F741">
        <f t="shared" si="79"/>
        <v>44</v>
      </c>
      <c r="G741">
        <f t="shared" si="80"/>
        <v>4.7300000000000004</v>
      </c>
      <c r="H741">
        <f t="shared" si="81"/>
        <v>284</v>
      </c>
      <c r="I741" s="3">
        <f t="shared" si="82"/>
        <v>63.380281690140848</v>
      </c>
      <c r="J741" t="str">
        <f t="shared" si="83"/>
        <v>F</v>
      </c>
    </row>
    <row r="742" spans="1:10" x14ac:dyDescent="0.25">
      <c r="A742" s="4" t="s">
        <v>104</v>
      </c>
      <c r="B742" s="1">
        <v>0.59223499999999996</v>
      </c>
      <c r="C742" s="1">
        <v>0.59553500000000004</v>
      </c>
      <c r="D742" s="1">
        <f t="shared" si="77"/>
        <v>3.3000000000000806E-3</v>
      </c>
      <c r="E742">
        <f t="shared" si="78"/>
        <v>4</v>
      </c>
      <c r="F742">
        <f t="shared" si="79"/>
        <v>45</v>
      </c>
      <c r="G742">
        <f t="shared" si="80"/>
        <v>4.75</v>
      </c>
      <c r="H742">
        <f t="shared" si="81"/>
        <v>285</v>
      </c>
      <c r="I742" s="3">
        <f t="shared" si="82"/>
        <v>63.15789473684211</v>
      </c>
      <c r="J742" t="str">
        <f t="shared" si="83"/>
        <v>F</v>
      </c>
    </row>
    <row r="743" spans="1:10" x14ac:dyDescent="0.25">
      <c r="A743" s="4" t="s">
        <v>41</v>
      </c>
      <c r="B743" s="1">
        <v>0.52646300000000001</v>
      </c>
      <c r="C743" s="1">
        <v>0.52316700000000005</v>
      </c>
      <c r="D743" s="1">
        <f t="shared" si="77"/>
        <v>3.2959999999999656E-3</v>
      </c>
      <c r="E743">
        <f t="shared" si="78"/>
        <v>4</v>
      </c>
      <c r="F743">
        <f t="shared" si="79"/>
        <v>45</v>
      </c>
      <c r="G743">
        <f t="shared" si="80"/>
        <v>4.75</v>
      </c>
      <c r="H743">
        <f t="shared" si="81"/>
        <v>285</v>
      </c>
      <c r="I743" s="3">
        <f t="shared" si="82"/>
        <v>63.15789473684211</v>
      </c>
      <c r="J743" t="str">
        <f t="shared" si="83"/>
        <v>F</v>
      </c>
    </row>
    <row r="744" spans="1:10" x14ac:dyDescent="0.25">
      <c r="A744" s="4" t="s">
        <v>416</v>
      </c>
      <c r="B744" s="1">
        <v>0.84869399999999995</v>
      </c>
      <c r="C744" s="1">
        <v>0.85199800000000003</v>
      </c>
      <c r="D744" s="1">
        <f t="shared" si="77"/>
        <v>3.3040000000000846E-3</v>
      </c>
      <c r="E744">
        <f t="shared" si="78"/>
        <v>4</v>
      </c>
      <c r="F744">
        <f t="shared" si="79"/>
        <v>45</v>
      </c>
      <c r="G744">
        <f t="shared" si="80"/>
        <v>4.75</v>
      </c>
      <c r="H744">
        <f t="shared" si="81"/>
        <v>285</v>
      </c>
      <c r="I744" s="3">
        <f t="shared" si="82"/>
        <v>63.15789473684211</v>
      </c>
      <c r="J744" t="str">
        <f t="shared" si="83"/>
        <v>F</v>
      </c>
    </row>
    <row r="745" spans="1:10" x14ac:dyDescent="0.25">
      <c r="A745" s="4" t="s">
        <v>95</v>
      </c>
      <c r="B745" s="1">
        <v>2.5318E-2</v>
      </c>
      <c r="C745" s="1">
        <v>2.8625999999999999E-2</v>
      </c>
      <c r="D745" s="1">
        <f t="shared" si="77"/>
        <v>3.3079999999999984E-3</v>
      </c>
      <c r="E745">
        <f t="shared" si="78"/>
        <v>4</v>
      </c>
      <c r="F745">
        <f t="shared" si="79"/>
        <v>46</v>
      </c>
      <c r="G745">
        <f t="shared" si="80"/>
        <v>4.7699999999999996</v>
      </c>
      <c r="H745">
        <f t="shared" si="81"/>
        <v>286</v>
      </c>
      <c r="I745" s="3">
        <f t="shared" si="82"/>
        <v>62.937062937062933</v>
      </c>
      <c r="J745" t="str">
        <f t="shared" si="83"/>
        <v>F</v>
      </c>
    </row>
    <row r="746" spans="1:10" x14ac:dyDescent="0.25">
      <c r="A746" s="4" t="s">
        <v>87</v>
      </c>
      <c r="B746" s="1">
        <v>0.25899800000000001</v>
      </c>
      <c r="C746" s="1">
        <v>0.26230599999999998</v>
      </c>
      <c r="D746" s="1">
        <f t="shared" si="77"/>
        <v>3.3079999999999776E-3</v>
      </c>
      <c r="E746">
        <f t="shared" si="78"/>
        <v>4</v>
      </c>
      <c r="F746">
        <f t="shared" si="79"/>
        <v>46</v>
      </c>
      <c r="G746">
        <f t="shared" si="80"/>
        <v>4.7699999999999996</v>
      </c>
      <c r="H746">
        <f t="shared" si="81"/>
        <v>286</v>
      </c>
      <c r="I746" s="3">
        <f t="shared" si="82"/>
        <v>62.937062937062933</v>
      </c>
      <c r="J746" t="str">
        <f t="shared" si="83"/>
        <v>F</v>
      </c>
    </row>
    <row r="747" spans="1:10" x14ac:dyDescent="0.25">
      <c r="A747" s="4" t="s">
        <v>47</v>
      </c>
      <c r="B747" s="1">
        <v>0.36631000000000002</v>
      </c>
      <c r="C747" s="1">
        <v>0.36299799999999999</v>
      </c>
      <c r="D747" s="1">
        <f t="shared" si="77"/>
        <v>3.3120000000000371E-3</v>
      </c>
      <c r="E747">
        <f t="shared" si="78"/>
        <v>4</v>
      </c>
      <c r="F747">
        <f t="shared" si="79"/>
        <v>46</v>
      </c>
      <c r="G747">
        <f t="shared" si="80"/>
        <v>4.7699999999999996</v>
      </c>
      <c r="H747">
        <f t="shared" si="81"/>
        <v>286</v>
      </c>
      <c r="I747" s="3">
        <f t="shared" si="82"/>
        <v>62.937062937062933</v>
      </c>
      <c r="J747" t="str">
        <f t="shared" si="83"/>
        <v>F</v>
      </c>
    </row>
    <row r="748" spans="1:10" x14ac:dyDescent="0.25">
      <c r="A748" s="4" t="s">
        <v>16</v>
      </c>
      <c r="B748" s="1">
        <v>0.22825400000000001</v>
      </c>
      <c r="C748" s="1">
        <v>0.22492999999999999</v>
      </c>
      <c r="D748" s="1">
        <f t="shared" si="77"/>
        <v>3.3240000000000214E-3</v>
      </c>
      <c r="E748">
        <f t="shared" si="78"/>
        <v>4</v>
      </c>
      <c r="F748">
        <f t="shared" si="79"/>
        <v>47</v>
      </c>
      <c r="G748">
        <f t="shared" si="80"/>
        <v>4.78</v>
      </c>
      <c r="H748">
        <f t="shared" si="81"/>
        <v>287</v>
      </c>
      <c r="I748" s="3">
        <f t="shared" si="82"/>
        <v>62.717770034843205</v>
      </c>
      <c r="J748" t="str">
        <f t="shared" si="83"/>
        <v>F</v>
      </c>
    </row>
    <row r="749" spans="1:10" x14ac:dyDescent="0.25">
      <c r="A749" s="4" t="s">
        <v>18</v>
      </c>
      <c r="B749" s="1">
        <v>5.8460999999999999E-2</v>
      </c>
      <c r="C749" s="1">
        <v>6.1785E-2</v>
      </c>
      <c r="D749" s="1">
        <f t="shared" si="77"/>
        <v>3.3240000000000006E-3</v>
      </c>
      <c r="E749">
        <f t="shared" si="78"/>
        <v>4</v>
      </c>
      <c r="F749">
        <f t="shared" si="79"/>
        <v>47</v>
      </c>
      <c r="G749">
        <f t="shared" si="80"/>
        <v>4.78</v>
      </c>
      <c r="H749">
        <f t="shared" si="81"/>
        <v>287</v>
      </c>
      <c r="I749" s="3">
        <f t="shared" si="82"/>
        <v>62.717770034843205</v>
      </c>
      <c r="J749" t="str">
        <f t="shared" si="83"/>
        <v>F</v>
      </c>
    </row>
    <row r="750" spans="1:10" x14ac:dyDescent="0.25">
      <c r="A750" s="4" t="s">
        <v>22</v>
      </c>
      <c r="B750" s="1">
        <v>7.6165999999999998E-2</v>
      </c>
      <c r="C750" s="1">
        <v>7.9481999999999997E-2</v>
      </c>
      <c r="D750" s="1">
        <f t="shared" si="77"/>
        <v>3.3159999999999995E-3</v>
      </c>
      <c r="E750">
        <f t="shared" si="78"/>
        <v>4</v>
      </c>
      <c r="F750">
        <f t="shared" si="79"/>
        <v>47</v>
      </c>
      <c r="G750">
        <f t="shared" si="80"/>
        <v>4.78</v>
      </c>
      <c r="H750">
        <f t="shared" si="81"/>
        <v>287</v>
      </c>
      <c r="I750" s="3">
        <f t="shared" si="82"/>
        <v>62.717770034843205</v>
      </c>
      <c r="J750" t="str">
        <f t="shared" si="83"/>
        <v>F</v>
      </c>
    </row>
    <row r="751" spans="1:10" x14ac:dyDescent="0.25">
      <c r="A751" s="4" t="s">
        <v>81</v>
      </c>
      <c r="B751" s="1">
        <v>0.60814999999999997</v>
      </c>
      <c r="C751" s="1">
        <v>0.61146599999999995</v>
      </c>
      <c r="D751" s="1">
        <f t="shared" si="77"/>
        <v>3.3159999999999856E-3</v>
      </c>
      <c r="E751">
        <f t="shared" si="78"/>
        <v>4</v>
      </c>
      <c r="F751">
        <f t="shared" si="79"/>
        <v>47</v>
      </c>
      <c r="G751">
        <f t="shared" si="80"/>
        <v>4.78</v>
      </c>
      <c r="H751">
        <f t="shared" si="81"/>
        <v>287</v>
      </c>
      <c r="I751" s="3">
        <f t="shared" si="82"/>
        <v>62.717770034843205</v>
      </c>
      <c r="J751" t="str">
        <f t="shared" si="83"/>
        <v>F</v>
      </c>
    </row>
    <row r="752" spans="1:10" x14ac:dyDescent="0.25">
      <c r="A752" s="4" t="s">
        <v>8</v>
      </c>
      <c r="B752" s="1">
        <v>0.89442100000000002</v>
      </c>
      <c r="C752" s="1">
        <v>0.89109700000000003</v>
      </c>
      <c r="D752" s="1">
        <f t="shared" si="77"/>
        <v>3.3239999999999936E-3</v>
      </c>
      <c r="E752">
        <f t="shared" si="78"/>
        <v>4</v>
      </c>
      <c r="F752">
        <f t="shared" si="79"/>
        <v>47</v>
      </c>
      <c r="G752">
        <f t="shared" si="80"/>
        <v>4.78</v>
      </c>
      <c r="H752">
        <f t="shared" si="81"/>
        <v>287</v>
      </c>
      <c r="I752" s="3">
        <f t="shared" si="82"/>
        <v>62.717770034843205</v>
      </c>
      <c r="J752" t="str">
        <f t="shared" si="83"/>
        <v>F</v>
      </c>
    </row>
    <row r="753" spans="1:10" x14ac:dyDescent="0.25">
      <c r="A753" s="4" t="s">
        <v>109</v>
      </c>
      <c r="B753" s="1">
        <v>0.404277</v>
      </c>
      <c r="C753" s="1">
        <v>0.40759299999999998</v>
      </c>
      <c r="D753" s="1">
        <f t="shared" si="77"/>
        <v>3.3159999999999856E-3</v>
      </c>
      <c r="E753">
        <f t="shared" si="78"/>
        <v>4</v>
      </c>
      <c r="F753">
        <f t="shared" si="79"/>
        <v>47</v>
      </c>
      <c r="G753">
        <f t="shared" si="80"/>
        <v>4.78</v>
      </c>
      <c r="H753">
        <f t="shared" si="81"/>
        <v>287</v>
      </c>
      <c r="I753" s="3">
        <f t="shared" si="82"/>
        <v>62.717770034843205</v>
      </c>
      <c r="J753" t="str">
        <f t="shared" si="83"/>
        <v>F</v>
      </c>
    </row>
    <row r="754" spans="1:10" x14ac:dyDescent="0.25">
      <c r="A754" s="4" t="s">
        <v>41</v>
      </c>
      <c r="B754" s="1">
        <v>0.70953299999999997</v>
      </c>
      <c r="C754" s="1">
        <v>0.71285699999999996</v>
      </c>
      <c r="D754" s="1">
        <f t="shared" si="77"/>
        <v>3.3239999999999936E-3</v>
      </c>
      <c r="E754">
        <f t="shared" si="78"/>
        <v>4</v>
      </c>
      <c r="F754">
        <f t="shared" si="79"/>
        <v>47</v>
      </c>
      <c r="G754">
        <f t="shared" si="80"/>
        <v>4.78</v>
      </c>
      <c r="H754">
        <f t="shared" si="81"/>
        <v>287</v>
      </c>
      <c r="I754" s="3">
        <f t="shared" si="82"/>
        <v>62.717770034843205</v>
      </c>
      <c r="J754" t="str">
        <f t="shared" si="83"/>
        <v>F</v>
      </c>
    </row>
    <row r="755" spans="1:10" x14ac:dyDescent="0.25">
      <c r="A755" s="4" t="s">
        <v>326</v>
      </c>
      <c r="B755" s="1">
        <v>0.76355799999999996</v>
      </c>
      <c r="C755" s="1">
        <v>0.76023399999999997</v>
      </c>
      <c r="D755" s="1">
        <f t="shared" si="77"/>
        <v>3.3239999999999936E-3</v>
      </c>
      <c r="E755">
        <f t="shared" si="78"/>
        <v>4</v>
      </c>
      <c r="F755">
        <f t="shared" si="79"/>
        <v>47</v>
      </c>
      <c r="G755">
        <f t="shared" si="80"/>
        <v>4.78</v>
      </c>
      <c r="H755">
        <f t="shared" si="81"/>
        <v>287</v>
      </c>
      <c r="I755" s="3">
        <f t="shared" si="82"/>
        <v>62.717770034843205</v>
      </c>
      <c r="J755" t="str">
        <f t="shared" si="83"/>
        <v>F</v>
      </c>
    </row>
    <row r="756" spans="1:10" x14ac:dyDescent="0.25">
      <c r="A756" s="4" t="s">
        <v>61</v>
      </c>
      <c r="B756" s="1">
        <v>0.95039600000000002</v>
      </c>
      <c r="C756" s="1">
        <v>0.95372400000000002</v>
      </c>
      <c r="D756" s="1">
        <f t="shared" si="77"/>
        <v>3.3279999999999976E-3</v>
      </c>
      <c r="E756">
        <f t="shared" si="78"/>
        <v>4</v>
      </c>
      <c r="F756">
        <f t="shared" si="79"/>
        <v>48</v>
      </c>
      <c r="G756">
        <f t="shared" si="80"/>
        <v>4.8</v>
      </c>
      <c r="H756">
        <f t="shared" si="81"/>
        <v>288</v>
      </c>
      <c r="I756" s="3">
        <f t="shared" si="82"/>
        <v>62.5</v>
      </c>
      <c r="J756" t="str">
        <f t="shared" si="83"/>
        <v>F</v>
      </c>
    </row>
    <row r="757" spans="1:10" x14ac:dyDescent="0.25">
      <c r="A757" s="4" t="s">
        <v>109</v>
      </c>
      <c r="B757" s="1">
        <v>0.23408499999999999</v>
      </c>
      <c r="C757" s="1">
        <v>0.23075300000000001</v>
      </c>
      <c r="D757" s="1">
        <f t="shared" si="77"/>
        <v>3.3319999999999739E-3</v>
      </c>
      <c r="E757">
        <f t="shared" si="78"/>
        <v>4</v>
      </c>
      <c r="F757">
        <f t="shared" si="79"/>
        <v>48</v>
      </c>
      <c r="G757">
        <f t="shared" si="80"/>
        <v>4.8</v>
      </c>
      <c r="H757">
        <f t="shared" si="81"/>
        <v>288</v>
      </c>
      <c r="I757" s="3">
        <f t="shared" si="82"/>
        <v>62.5</v>
      </c>
      <c r="J757" t="str">
        <f t="shared" si="83"/>
        <v>F</v>
      </c>
    </row>
    <row r="758" spans="1:10" x14ac:dyDescent="0.25">
      <c r="A758" s="4" t="s">
        <v>415</v>
      </c>
      <c r="B758" s="1">
        <v>0.80934099999999998</v>
      </c>
      <c r="C758" s="1">
        <v>0.81267299999999998</v>
      </c>
      <c r="D758" s="1">
        <f t="shared" si="77"/>
        <v>3.3320000000000016E-3</v>
      </c>
      <c r="E758">
        <f t="shared" si="78"/>
        <v>4</v>
      </c>
      <c r="F758">
        <f t="shared" si="79"/>
        <v>48</v>
      </c>
      <c r="G758">
        <f t="shared" si="80"/>
        <v>4.8</v>
      </c>
      <c r="H758">
        <f t="shared" si="81"/>
        <v>288</v>
      </c>
      <c r="I758" s="3">
        <f t="shared" si="82"/>
        <v>62.5</v>
      </c>
      <c r="J758" t="str">
        <f t="shared" si="83"/>
        <v>F</v>
      </c>
    </row>
    <row r="759" spans="1:10" x14ac:dyDescent="0.25">
      <c r="A759" s="4" t="s">
        <v>107</v>
      </c>
      <c r="B759" s="1">
        <v>0.66037100000000004</v>
      </c>
      <c r="C759" s="1">
        <v>0.65702700000000003</v>
      </c>
      <c r="D759" s="1">
        <f t="shared" si="77"/>
        <v>3.3440000000000136E-3</v>
      </c>
      <c r="E759">
        <f t="shared" si="78"/>
        <v>4</v>
      </c>
      <c r="F759">
        <f t="shared" si="79"/>
        <v>49</v>
      </c>
      <c r="G759">
        <f t="shared" si="80"/>
        <v>4.82</v>
      </c>
      <c r="H759">
        <f t="shared" si="81"/>
        <v>289</v>
      </c>
      <c r="I759" s="3">
        <f t="shared" si="82"/>
        <v>62.283737024221459</v>
      </c>
      <c r="J759" t="str">
        <f t="shared" si="83"/>
        <v>F</v>
      </c>
    </row>
    <row r="760" spans="1:10" x14ac:dyDescent="0.25">
      <c r="A760" s="4" t="s">
        <v>162</v>
      </c>
      <c r="B760" s="1">
        <v>0.74316700000000002</v>
      </c>
      <c r="C760" s="1">
        <v>0.74651500000000004</v>
      </c>
      <c r="D760" s="1">
        <f t="shared" si="77"/>
        <v>3.3480000000000176E-3</v>
      </c>
      <c r="E760">
        <f t="shared" si="78"/>
        <v>4</v>
      </c>
      <c r="F760">
        <f t="shared" si="79"/>
        <v>49</v>
      </c>
      <c r="G760">
        <f t="shared" si="80"/>
        <v>4.82</v>
      </c>
      <c r="H760">
        <f t="shared" si="81"/>
        <v>289</v>
      </c>
      <c r="I760" s="3">
        <f t="shared" si="82"/>
        <v>62.283737024221459</v>
      </c>
      <c r="J760" t="str">
        <f t="shared" si="83"/>
        <v>F</v>
      </c>
    </row>
    <row r="761" spans="1:10" x14ac:dyDescent="0.25">
      <c r="A761" s="4" t="s">
        <v>154</v>
      </c>
      <c r="B761" s="1">
        <v>0.53641000000000005</v>
      </c>
      <c r="C761" s="1">
        <v>0.53306200000000004</v>
      </c>
      <c r="D761" s="1">
        <f t="shared" si="77"/>
        <v>3.3480000000000176E-3</v>
      </c>
      <c r="E761">
        <f t="shared" si="78"/>
        <v>4</v>
      </c>
      <c r="F761">
        <f t="shared" si="79"/>
        <v>49</v>
      </c>
      <c r="G761">
        <f t="shared" si="80"/>
        <v>4.82</v>
      </c>
      <c r="H761">
        <f t="shared" si="81"/>
        <v>289</v>
      </c>
      <c r="I761" s="3">
        <f t="shared" si="82"/>
        <v>62.283737024221459</v>
      </c>
      <c r="J761" t="str">
        <f t="shared" si="83"/>
        <v>F</v>
      </c>
    </row>
    <row r="762" spans="1:10" x14ac:dyDescent="0.25">
      <c r="A762" s="4" t="s">
        <v>184</v>
      </c>
      <c r="B762" s="1">
        <v>0.58142000000000005</v>
      </c>
      <c r="C762" s="1">
        <v>0.58476799999999995</v>
      </c>
      <c r="D762" s="1">
        <f t="shared" si="77"/>
        <v>3.3479999999999066E-3</v>
      </c>
      <c r="E762">
        <f t="shared" si="78"/>
        <v>4</v>
      </c>
      <c r="F762">
        <f t="shared" si="79"/>
        <v>49</v>
      </c>
      <c r="G762">
        <f t="shared" si="80"/>
        <v>4.82</v>
      </c>
      <c r="H762">
        <f t="shared" si="81"/>
        <v>289</v>
      </c>
      <c r="I762" s="3">
        <f t="shared" si="82"/>
        <v>62.283737024221459</v>
      </c>
      <c r="J762" t="str">
        <f t="shared" si="83"/>
        <v>F</v>
      </c>
    </row>
    <row r="763" spans="1:10" x14ac:dyDescent="0.25">
      <c r="A763" s="4" t="s">
        <v>267</v>
      </c>
      <c r="B763" s="1">
        <v>0.25780399999999998</v>
      </c>
      <c r="C763" s="1">
        <v>0.25446000000000002</v>
      </c>
      <c r="D763" s="1">
        <f t="shared" si="77"/>
        <v>3.3439999999999581E-3</v>
      </c>
      <c r="E763">
        <f t="shared" si="78"/>
        <v>4</v>
      </c>
      <c r="F763">
        <f t="shared" si="79"/>
        <v>49</v>
      </c>
      <c r="G763">
        <f t="shared" si="80"/>
        <v>4.82</v>
      </c>
      <c r="H763">
        <f t="shared" si="81"/>
        <v>289</v>
      </c>
      <c r="I763" s="3">
        <f t="shared" si="82"/>
        <v>62.283737024221459</v>
      </c>
      <c r="J763" t="str">
        <f t="shared" si="83"/>
        <v>F</v>
      </c>
    </row>
    <row r="764" spans="1:10" x14ac:dyDescent="0.25">
      <c r="A764" s="4" t="s">
        <v>370</v>
      </c>
      <c r="B764" s="1">
        <v>0.77186999999999995</v>
      </c>
      <c r="C764" s="1">
        <v>0.76852600000000004</v>
      </c>
      <c r="D764" s="1">
        <f t="shared" si="77"/>
        <v>3.3439999999999026E-3</v>
      </c>
      <c r="E764">
        <f t="shared" si="78"/>
        <v>4</v>
      </c>
      <c r="F764">
        <f t="shared" si="79"/>
        <v>49</v>
      </c>
      <c r="G764">
        <f t="shared" si="80"/>
        <v>4.82</v>
      </c>
      <c r="H764">
        <f t="shared" si="81"/>
        <v>289</v>
      </c>
      <c r="I764" s="3">
        <f t="shared" si="82"/>
        <v>62.283737024221459</v>
      </c>
      <c r="J764" t="str">
        <f t="shared" si="83"/>
        <v>F</v>
      </c>
    </row>
    <row r="765" spans="1:10" x14ac:dyDescent="0.25">
      <c r="A765" s="4" t="s">
        <v>140</v>
      </c>
      <c r="B765" s="1">
        <v>0.16140399999999999</v>
      </c>
      <c r="C765" s="1">
        <v>0.158052</v>
      </c>
      <c r="D765" s="1">
        <f t="shared" si="77"/>
        <v>3.3519999999999939E-3</v>
      </c>
      <c r="E765">
        <f t="shared" si="78"/>
        <v>4</v>
      </c>
      <c r="F765">
        <f t="shared" si="79"/>
        <v>50</v>
      </c>
      <c r="G765">
        <f t="shared" si="80"/>
        <v>4.83</v>
      </c>
      <c r="H765">
        <f t="shared" si="81"/>
        <v>290</v>
      </c>
      <c r="I765" s="3">
        <f t="shared" si="82"/>
        <v>62.068965517241381</v>
      </c>
      <c r="J765" t="str">
        <f t="shared" si="83"/>
        <v>F</v>
      </c>
    </row>
    <row r="766" spans="1:10" x14ac:dyDescent="0.25">
      <c r="A766" s="4" t="s">
        <v>162</v>
      </c>
      <c r="B766" s="1">
        <v>0.89708699999999997</v>
      </c>
      <c r="C766" s="1">
        <v>0.89373499999999995</v>
      </c>
      <c r="D766" s="1">
        <f t="shared" si="77"/>
        <v>3.3520000000000216E-3</v>
      </c>
      <c r="E766">
        <f t="shared" si="78"/>
        <v>4</v>
      </c>
      <c r="F766">
        <f t="shared" si="79"/>
        <v>50</v>
      </c>
      <c r="G766">
        <f t="shared" si="80"/>
        <v>4.83</v>
      </c>
      <c r="H766">
        <f t="shared" si="81"/>
        <v>290</v>
      </c>
      <c r="I766" s="3">
        <f t="shared" si="82"/>
        <v>62.068965517241381</v>
      </c>
      <c r="J766" t="str">
        <f t="shared" si="83"/>
        <v>F</v>
      </c>
    </row>
    <row r="767" spans="1:10" x14ac:dyDescent="0.25">
      <c r="A767" s="4" t="s">
        <v>29</v>
      </c>
      <c r="B767" s="1">
        <v>0.53885000000000005</v>
      </c>
      <c r="C767" s="1">
        <v>0.53549000000000002</v>
      </c>
      <c r="D767" s="1">
        <f t="shared" si="77"/>
        <v>3.3600000000000296E-3</v>
      </c>
      <c r="E767">
        <f t="shared" si="78"/>
        <v>4</v>
      </c>
      <c r="F767">
        <f t="shared" si="79"/>
        <v>50</v>
      </c>
      <c r="G767">
        <f t="shared" si="80"/>
        <v>4.83</v>
      </c>
      <c r="H767">
        <f t="shared" si="81"/>
        <v>290</v>
      </c>
      <c r="I767" s="3">
        <f t="shared" si="82"/>
        <v>62.068965517241381</v>
      </c>
      <c r="J767" t="str">
        <f t="shared" si="83"/>
        <v>F</v>
      </c>
    </row>
    <row r="768" spans="1:10" x14ac:dyDescent="0.25">
      <c r="A768" s="4" t="s">
        <v>45</v>
      </c>
      <c r="B768" s="1">
        <v>0.39247599999999999</v>
      </c>
      <c r="C768" s="1">
        <v>0.39583600000000002</v>
      </c>
      <c r="D768" s="1">
        <f t="shared" si="77"/>
        <v>3.3600000000000296E-3</v>
      </c>
      <c r="E768">
        <f t="shared" si="78"/>
        <v>4</v>
      </c>
      <c r="F768">
        <f t="shared" si="79"/>
        <v>50</v>
      </c>
      <c r="G768">
        <f t="shared" si="80"/>
        <v>4.83</v>
      </c>
      <c r="H768">
        <f t="shared" si="81"/>
        <v>290</v>
      </c>
      <c r="I768" s="3">
        <f t="shared" si="82"/>
        <v>62.068965517241381</v>
      </c>
      <c r="J768" t="str">
        <f t="shared" si="83"/>
        <v>F</v>
      </c>
    </row>
    <row r="769" spans="1:10" x14ac:dyDescent="0.25">
      <c r="A769" s="4" t="s">
        <v>162</v>
      </c>
      <c r="B769" s="1">
        <v>2.3812E-2</v>
      </c>
      <c r="C769" s="1">
        <v>2.0455999999999998E-2</v>
      </c>
      <c r="D769" s="1">
        <f t="shared" si="77"/>
        <v>3.3560000000000013E-3</v>
      </c>
      <c r="E769">
        <f t="shared" si="78"/>
        <v>4</v>
      </c>
      <c r="F769">
        <f t="shared" si="79"/>
        <v>50</v>
      </c>
      <c r="G769">
        <f t="shared" si="80"/>
        <v>4.83</v>
      </c>
      <c r="H769">
        <f t="shared" si="81"/>
        <v>290</v>
      </c>
      <c r="I769" s="3">
        <f t="shared" si="82"/>
        <v>62.068965517241381</v>
      </c>
      <c r="J769" t="str">
        <f t="shared" si="83"/>
        <v>F</v>
      </c>
    </row>
    <row r="770" spans="1:10" x14ac:dyDescent="0.25">
      <c r="A770" s="4" t="s">
        <v>87</v>
      </c>
      <c r="B770" s="1">
        <v>0.74911300000000003</v>
      </c>
      <c r="C770" s="1">
        <v>0.745757</v>
      </c>
      <c r="D770" s="1">
        <f t="shared" ref="D770:D833" si="84">IF(B770&gt;C770,B770-C770,C770-B770)</f>
        <v>3.3560000000000256E-3</v>
      </c>
      <c r="E770">
        <f t="shared" ref="E770:E833" si="85">MINUTE(D770)</f>
        <v>4</v>
      </c>
      <c r="F770">
        <f t="shared" ref="F770:F833" si="86">SECOND(D770)</f>
        <v>50</v>
      </c>
      <c r="G770">
        <f t="shared" ref="G770:G833" si="87">ROUND(E770+F770/60,2)</f>
        <v>4.83</v>
      </c>
      <c r="H770">
        <f t="shared" ref="H770:H833" si="88">60*E770+F770</f>
        <v>290</v>
      </c>
      <c r="I770" s="3">
        <f t="shared" ref="I770:I833" si="89">5*(3600/H770)</f>
        <v>62.068965517241381</v>
      </c>
      <c r="J770" t="str">
        <f t="shared" ref="J770:J833" si="90">IF(MID(A770,3,2)="18","T","F")</f>
        <v>F</v>
      </c>
    </row>
    <row r="771" spans="1:10" x14ac:dyDescent="0.25">
      <c r="A771" s="4" t="s">
        <v>87</v>
      </c>
      <c r="B771" s="1">
        <v>0.121395</v>
      </c>
      <c r="C771" s="1">
        <v>0.124755</v>
      </c>
      <c r="D771" s="1">
        <f t="shared" si="84"/>
        <v>3.3600000000000019E-3</v>
      </c>
      <c r="E771">
        <f t="shared" si="85"/>
        <v>4</v>
      </c>
      <c r="F771">
        <f t="shared" si="86"/>
        <v>50</v>
      </c>
      <c r="G771">
        <f t="shared" si="87"/>
        <v>4.83</v>
      </c>
      <c r="H771">
        <f t="shared" si="88"/>
        <v>290</v>
      </c>
      <c r="I771" s="3">
        <f t="shared" si="89"/>
        <v>62.068965517241381</v>
      </c>
      <c r="J771" t="str">
        <f t="shared" si="90"/>
        <v>F</v>
      </c>
    </row>
    <row r="772" spans="1:10" x14ac:dyDescent="0.25">
      <c r="A772" s="4" t="s">
        <v>114</v>
      </c>
      <c r="B772" s="1">
        <v>0.21842300000000001</v>
      </c>
      <c r="C772" s="1">
        <v>0.21506700000000001</v>
      </c>
      <c r="D772" s="1">
        <f t="shared" si="84"/>
        <v>3.3559999999999979E-3</v>
      </c>
      <c r="E772">
        <f t="shared" si="85"/>
        <v>4</v>
      </c>
      <c r="F772">
        <f t="shared" si="86"/>
        <v>50</v>
      </c>
      <c r="G772">
        <f t="shared" si="87"/>
        <v>4.83</v>
      </c>
      <c r="H772">
        <f t="shared" si="88"/>
        <v>290</v>
      </c>
      <c r="I772" s="3">
        <f t="shared" si="89"/>
        <v>62.068965517241381</v>
      </c>
      <c r="J772" t="str">
        <f t="shared" si="90"/>
        <v>F</v>
      </c>
    </row>
    <row r="773" spans="1:10" x14ac:dyDescent="0.25">
      <c r="A773" s="4" t="s">
        <v>163</v>
      </c>
      <c r="B773" s="1">
        <v>0.71701300000000001</v>
      </c>
      <c r="C773" s="1">
        <v>0.71365299999999998</v>
      </c>
      <c r="D773" s="1">
        <f t="shared" si="84"/>
        <v>3.3600000000000296E-3</v>
      </c>
      <c r="E773">
        <f t="shared" si="85"/>
        <v>4</v>
      </c>
      <c r="F773">
        <f t="shared" si="86"/>
        <v>50</v>
      </c>
      <c r="G773">
        <f t="shared" si="87"/>
        <v>4.83</v>
      </c>
      <c r="H773">
        <f t="shared" si="88"/>
        <v>290</v>
      </c>
      <c r="I773" s="3">
        <f t="shared" si="89"/>
        <v>62.068965517241381</v>
      </c>
      <c r="J773" t="str">
        <f t="shared" si="90"/>
        <v>F</v>
      </c>
    </row>
    <row r="774" spans="1:10" x14ac:dyDescent="0.25">
      <c r="A774" s="4" t="s">
        <v>352</v>
      </c>
      <c r="B774" s="1">
        <v>0.13768</v>
      </c>
      <c r="C774" s="1">
        <v>0.134328</v>
      </c>
      <c r="D774" s="1">
        <f t="shared" si="84"/>
        <v>3.3519999999999939E-3</v>
      </c>
      <c r="E774">
        <f t="shared" si="85"/>
        <v>4</v>
      </c>
      <c r="F774">
        <f t="shared" si="86"/>
        <v>50</v>
      </c>
      <c r="G774">
        <f t="shared" si="87"/>
        <v>4.83</v>
      </c>
      <c r="H774">
        <f t="shared" si="88"/>
        <v>290</v>
      </c>
      <c r="I774" s="3">
        <f t="shared" si="89"/>
        <v>62.068965517241381</v>
      </c>
      <c r="J774" t="str">
        <f t="shared" si="90"/>
        <v>F</v>
      </c>
    </row>
    <row r="775" spans="1:10" x14ac:dyDescent="0.25">
      <c r="A775" s="4" t="s">
        <v>87</v>
      </c>
      <c r="B775" s="1">
        <v>0.98247899999999999</v>
      </c>
      <c r="C775" s="1">
        <v>0.98585100000000003</v>
      </c>
      <c r="D775" s="1">
        <f t="shared" si="84"/>
        <v>3.3720000000000416E-3</v>
      </c>
      <c r="E775">
        <f t="shared" si="85"/>
        <v>4</v>
      </c>
      <c r="F775">
        <f t="shared" si="86"/>
        <v>51</v>
      </c>
      <c r="G775">
        <f t="shared" si="87"/>
        <v>4.8499999999999996</v>
      </c>
      <c r="H775">
        <f t="shared" si="88"/>
        <v>291</v>
      </c>
      <c r="I775" s="3">
        <f t="shared" si="89"/>
        <v>61.855670103092784</v>
      </c>
      <c r="J775" t="str">
        <f t="shared" si="90"/>
        <v>F</v>
      </c>
    </row>
    <row r="776" spans="1:10" x14ac:dyDescent="0.25">
      <c r="A776" s="4" t="s">
        <v>48</v>
      </c>
      <c r="B776" s="1">
        <v>0.79716600000000004</v>
      </c>
      <c r="C776" s="1">
        <v>0.80053399999999997</v>
      </c>
      <c r="D776" s="1">
        <f t="shared" si="84"/>
        <v>3.3679999999999266E-3</v>
      </c>
      <c r="E776">
        <f t="shared" si="85"/>
        <v>4</v>
      </c>
      <c r="F776">
        <f t="shared" si="86"/>
        <v>51</v>
      </c>
      <c r="G776">
        <f t="shared" si="87"/>
        <v>4.8499999999999996</v>
      </c>
      <c r="H776">
        <f t="shared" si="88"/>
        <v>291</v>
      </c>
      <c r="I776" s="3">
        <f t="shared" si="89"/>
        <v>61.855670103092784</v>
      </c>
      <c r="J776" t="str">
        <f t="shared" si="90"/>
        <v>F</v>
      </c>
    </row>
    <row r="777" spans="1:10" x14ac:dyDescent="0.25">
      <c r="A777" s="4" t="s">
        <v>159</v>
      </c>
      <c r="B777" s="1">
        <v>0.39568500000000001</v>
      </c>
      <c r="C777" s="1">
        <v>0.39231700000000003</v>
      </c>
      <c r="D777" s="1">
        <f t="shared" si="84"/>
        <v>3.3679999999999821E-3</v>
      </c>
      <c r="E777">
        <f t="shared" si="85"/>
        <v>4</v>
      </c>
      <c r="F777">
        <f t="shared" si="86"/>
        <v>51</v>
      </c>
      <c r="G777">
        <f t="shared" si="87"/>
        <v>4.8499999999999996</v>
      </c>
      <c r="H777">
        <f t="shared" si="88"/>
        <v>291</v>
      </c>
      <c r="I777" s="3">
        <f t="shared" si="89"/>
        <v>61.855670103092784</v>
      </c>
      <c r="J777" t="str">
        <f t="shared" si="90"/>
        <v>F</v>
      </c>
    </row>
    <row r="778" spans="1:10" x14ac:dyDescent="0.25">
      <c r="A778" s="4" t="s">
        <v>29</v>
      </c>
      <c r="B778" s="1">
        <v>0.39477299999999999</v>
      </c>
      <c r="C778" s="1">
        <v>0.39140900000000001</v>
      </c>
      <c r="D778" s="1">
        <f t="shared" si="84"/>
        <v>3.3639999999999781E-3</v>
      </c>
      <c r="E778">
        <f t="shared" si="85"/>
        <v>4</v>
      </c>
      <c r="F778">
        <f t="shared" si="86"/>
        <v>51</v>
      </c>
      <c r="G778">
        <f t="shared" si="87"/>
        <v>4.8499999999999996</v>
      </c>
      <c r="H778">
        <f t="shared" si="88"/>
        <v>291</v>
      </c>
      <c r="I778" s="3">
        <f t="shared" si="89"/>
        <v>61.855670103092784</v>
      </c>
      <c r="J778" t="str">
        <f t="shared" si="90"/>
        <v>F</v>
      </c>
    </row>
    <row r="779" spans="1:10" x14ac:dyDescent="0.25">
      <c r="A779" s="4" t="s">
        <v>5</v>
      </c>
      <c r="B779" s="1">
        <v>0.82136500000000001</v>
      </c>
      <c r="C779" s="1">
        <v>0.82473700000000005</v>
      </c>
      <c r="D779" s="1">
        <f t="shared" si="84"/>
        <v>3.3720000000000416E-3</v>
      </c>
      <c r="E779">
        <f t="shared" si="85"/>
        <v>4</v>
      </c>
      <c r="F779">
        <f t="shared" si="86"/>
        <v>51</v>
      </c>
      <c r="G779">
        <f t="shared" si="87"/>
        <v>4.8499999999999996</v>
      </c>
      <c r="H779">
        <f t="shared" si="88"/>
        <v>291</v>
      </c>
      <c r="I779" s="3">
        <f t="shared" si="89"/>
        <v>61.855670103092784</v>
      </c>
      <c r="J779" t="str">
        <f t="shared" si="90"/>
        <v>F</v>
      </c>
    </row>
    <row r="780" spans="1:10" x14ac:dyDescent="0.25">
      <c r="A780" s="4" t="s">
        <v>237</v>
      </c>
      <c r="B780" s="1">
        <v>0.83006999999999997</v>
      </c>
      <c r="C780" s="1">
        <v>0.82670600000000005</v>
      </c>
      <c r="D780" s="1">
        <f t="shared" si="84"/>
        <v>3.3639999999999226E-3</v>
      </c>
      <c r="E780">
        <f t="shared" si="85"/>
        <v>4</v>
      </c>
      <c r="F780">
        <f t="shared" si="86"/>
        <v>51</v>
      </c>
      <c r="G780">
        <f t="shared" si="87"/>
        <v>4.8499999999999996</v>
      </c>
      <c r="H780">
        <f t="shared" si="88"/>
        <v>291</v>
      </c>
      <c r="I780" s="3">
        <f t="shared" si="89"/>
        <v>61.855670103092784</v>
      </c>
      <c r="J780" t="str">
        <f t="shared" si="90"/>
        <v>F</v>
      </c>
    </row>
    <row r="781" spans="1:10" x14ac:dyDescent="0.25">
      <c r="A781" s="4" t="s">
        <v>239</v>
      </c>
      <c r="B781" s="1">
        <v>0.346945</v>
      </c>
      <c r="C781" s="1">
        <v>0.35031299999999999</v>
      </c>
      <c r="D781" s="1">
        <f t="shared" si="84"/>
        <v>3.3679999999999821E-3</v>
      </c>
      <c r="E781">
        <f t="shared" si="85"/>
        <v>4</v>
      </c>
      <c r="F781">
        <f t="shared" si="86"/>
        <v>51</v>
      </c>
      <c r="G781">
        <f t="shared" si="87"/>
        <v>4.8499999999999996</v>
      </c>
      <c r="H781">
        <f t="shared" si="88"/>
        <v>291</v>
      </c>
      <c r="I781" s="3">
        <f t="shared" si="89"/>
        <v>61.855670103092784</v>
      </c>
      <c r="J781" t="str">
        <f t="shared" si="90"/>
        <v>F</v>
      </c>
    </row>
    <row r="782" spans="1:10" x14ac:dyDescent="0.25">
      <c r="A782" s="4" t="s">
        <v>154</v>
      </c>
      <c r="B782" s="1">
        <v>6.1955999999999997E-2</v>
      </c>
      <c r="C782" s="1">
        <v>5.8571999999999999E-2</v>
      </c>
      <c r="D782" s="1">
        <f t="shared" si="84"/>
        <v>3.3839999999999981E-3</v>
      </c>
      <c r="E782">
        <f t="shared" si="85"/>
        <v>4</v>
      </c>
      <c r="F782">
        <f t="shared" si="86"/>
        <v>52</v>
      </c>
      <c r="G782">
        <f t="shared" si="87"/>
        <v>4.87</v>
      </c>
      <c r="H782">
        <f t="shared" si="88"/>
        <v>292</v>
      </c>
      <c r="I782" s="3">
        <f t="shared" si="89"/>
        <v>61.643835616438352</v>
      </c>
      <c r="J782" t="str">
        <f t="shared" si="90"/>
        <v>F</v>
      </c>
    </row>
    <row r="783" spans="1:10" x14ac:dyDescent="0.25">
      <c r="A783" s="4" t="s">
        <v>101</v>
      </c>
      <c r="B783" s="1">
        <v>0.37134800000000001</v>
      </c>
      <c r="C783" s="1">
        <v>0.374724</v>
      </c>
      <c r="D783" s="1">
        <f t="shared" si="84"/>
        <v>3.3759999999999901E-3</v>
      </c>
      <c r="E783">
        <f t="shared" si="85"/>
        <v>4</v>
      </c>
      <c r="F783">
        <f t="shared" si="86"/>
        <v>52</v>
      </c>
      <c r="G783">
        <f t="shared" si="87"/>
        <v>4.87</v>
      </c>
      <c r="H783">
        <f t="shared" si="88"/>
        <v>292</v>
      </c>
      <c r="I783" s="3">
        <f t="shared" si="89"/>
        <v>61.643835616438352</v>
      </c>
      <c r="J783" t="str">
        <f t="shared" si="90"/>
        <v>F</v>
      </c>
    </row>
    <row r="784" spans="1:10" x14ac:dyDescent="0.25">
      <c r="A784" s="4" t="s">
        <v>161</v>
      </c>
      <c r="B784" s="1">
        <v>0.87226400000000004</v>
      </c>
      <c r="C784" s="1">
        <v>0.86888399999999999</v>
      </c>
      <c r="D784" s="1">
        <f t="shared" si="84"/>
        <v>3.3800000000000496E-3</v>
      </c>
      <c r="E784">
        <f t="shared" si="85"/>
        <v>4</v>
      </c>
      <c r="F784">
        <f t="shared" si="86"/>
        <v>52</v>
      </c>
      <c r="G784">
        <f t="shared" si="87"/>
        <v>4.87</v>
      </c>
      <c r="H784">
        <f t="shared" si="88"/>
        <v>292</v>
      </c>
      <c r="I784" s="3">
        <f t="shared" si="89"/>
        <v>61.643835616438352</v>
      </c>
      <c r="J784" t="str">
        <f t="shared" si="90"/>
        <v>F</v>
      </c>
    </row>
    <row r="785" spans="1:10" x14ac:dyDescent="0.25">
      <c r="A785" s="4" t="s">
        <v>350</v>
      </c>
      <c r="B785" s="1">
        <v>0.93858200000000003</v>
      </c>
      <c r="C785" s="1">
        <v>0.94195799999999996</v>
      </c>
      <c r="D785" s="1">
        <f t="shared" si="84"/>
        <v>3.3759999999999346E-3</v>
      </c>
      <c r="E785">
        <f t="shared" si="85"/>
        <v>4</v>
      </c>
      <c r="F785">
        <f t="shared" si="86"/>
        <v>52</v>
      </c>
      <c r="G785">
        <f t="shared" si="87"/>
        <v>4.87</v>
      </c>
      <c r="H785">
        <f t="shared" si="88"/>
        <v>292</v>
      </c>
      <c r="I785" s="3">
        <f t="shared" si="89"/>
        <v>61.643835616438352</v>
      </c>
      <c r="J785" t="str">
        <f t="shared" si="90"/>
        <v>F</v>
      </c>
    </row>
    <row r="786" spans="1:10" x14ac:dyDescent="0.25">
      <c r="A786" s="4" t="s">
        <v>5</v>
      </c>
      <c r="B786" s="1">
        <v>0.50733099999999998</v>
      </c>
      <c r="C786" s="1">
        <v>0.51071900000000003</v>
      </c>
      <c r="D786" s="1">
        <f t="shared" si="84"/>
        <v>3.3880000000000576E-3</v>
      </c>
      <c r="E786">
        <f t="shared" si="85"/>
        <v>4</v>
      </c>
      <c r="F786">
        <f t="shared" si="86"/>
        <v>53</v>
      </c>
      <c r="G786">
        <f t="shared" si="87"/>
        <v>4.88</v>
      </c>
      <c r="H786">
        <f t="shared" si="88"/>
        <v>293</v>
      </c>
      <c r="I786" s="3">
        <f t="shared" si="89"/>
        <v>61.43344709897611</v>
      </c>
      <c r="J786" t="str">
        <f t="shared" si="90"/>
        <v>F</v>
      </c>
    </row>
    <row r="787" spans="1:10" x14ac:dyDescent="0.25">
      <c r="A787" s="4" t="s">
        <v>76</v>
      </c>
      <c r="B787" s="1">
        <v>6.5492999999999996E-2</v>
      </c>
      <c r="C787" s="1">
        <v>6.8885000000000002E-2</v>
      </c>
      <c r="D787" s="1">
        <f t="shared" si="84"/>
        <v>3.3920000000000061E-3</v>
      </c>
      <c r="E787">
        <f t="shared" si="85"/>
        <v>4</v>
      </c>
      <c r="F787">
        <f t="shared" si="86"/>
        <v>53</v>
      </c>
      <c r="G787">
        <f t="shared" si="87"/>
        <v>4.88</v>
      </c>
      <c r="H787">
        <f t="shared" si="88"/>
        <v>293</v>
      </c>
      <c r="I787" s="3">
        <f t="shared" si="89"/>
        <v>61.43344709897611</v>
      </c>
      <c r="J787" t="str">
        <f t="shared" si="90"/>
        <v>F</v>
      </c>
    </row>
    <row r="788" spans="1:10" x14ac:dyDescent="0.25">
      <c r="A788" s="4" t="s">
        <v>47</v>
      </c>
      <c r="B788" s="1">
        <v>6.2723000000000001E-2</v>
      </c>
      <c r="C788" s="1">
        <v>6.6118999999999997E-2</v>
      </c>
      <c r="D788" s="1">
        <f t="shared" si="84"/>
        <v>3.3959999999999962E-3</v>
      </c>
      <c r="E788">
        <f t="shared" si="85"/>
        <v>4</v>
      </c>
      <c r="F788">
        <f t="shared" si="86"/>
        <v>53</v>
      </c>
      <c r="G788">
        <f t="shared" si="87"/>
        <v>4.88</v>
      </c>
      <c r="H788">
        <f t="shared" si="88"/>
        <v>293</v>
      </c>
      <c r="I788" s="3">
        <f t="shared" si="89"/>
        <v>61.43344709897611</v>
      </c>
      <c r="J788" t="str">
        <f t="shared" si="90"/>
        <v>F</v>
      </c>
    </row>
    <row r="789" spans="1:10" x14ac:dyDescent="0.25">
      <c r="A789" s="4" t="s">
        <v>109</v>
      </c>
      <c r="B789" s="1">
        <v>0.59859799999999996</v>
      </c>
      <c r="C789" s="1">
        <v>0.59520600000000001</v>
      </c>
      <c r="D789" s="1">
        <f t="shared" si="84"/>
        <v>3.3919999999999506E-3</v>
      </c>
      <c r="E789">
        <f t="shared" si="85"/>
        <v>4</v>
      </c>
      <c r="F789">
        <f t="shared" si="86"/>
        <v>53</v>
      </c>
      <c r="G789">
        <f t="shared" si="87"/>
        <v>4.88</v>
      </c>
      <c r="H789">
        <f t="shared" si="88"/>
        <v>293</v>
      </c>
      <c r="I789" s="3">
        <f t="shared" si="89"/>
        <v>61.43344709897611</v>
      </c>
      <c r="J789" t="str">
        <f t="shared" si="90"/>
        <v>F</v>
      </c>
    </row>
    <row r="790" spans="1:10" x14ac:dyDescent="0.25">
      <c r="A790" s="4" t="s">
        <v>176</v>
      </c>
      <c r="B790" s="1">
        <v>0.71115899999999999</v>
      </c>
      <c r="C790" s="1">
        <v>0.70776300000000003</v>
      </c>
      <c r="D790" s="1">
        <f t="shared" si="84"/>
        <v>3.3959999999999546E-3</v>
      </c>
      <c r="E790">
        <f t="shared" si="85"/>
        <v>4</v>
      </c>
      <c r="F790">
        <f t="shared" si="86"/>
        <v>53</v>
      </c>
      <c r="G790">
        <f t="shared" si="87"/>
        <v>4.88</v>
      </c>
      <c r="H790">
        <f t="shared" si="88"/>
        <v>293</v>
      </c>
      <c r="I790" s="3">
        <f t="shared" si="89"/>
        <v>61.43344709897611</v>
      </c>
      <c r="J790" t="str">
        <f t="shared" si="90"/>
        <v>F</v>
      </c>
    </row>
    <row r="791" spans="1:10" x14ac:dyDescent="0.25">
      <c r="A791" s="4" t="s">
        <v>124</v>
      </c>
      <c r="B791" s="1">
        <v>5.1858000000000001E-2</v>
      </c>
      <c r="C791" s="1">
        <v>5.5253999999999998E-2</v>
      </c>
      <c r="D791" s="1">
        <f t="shared" si="84"/>
        <v>3.3959999999999962E-3</v>
      </c>
      <c r="E791">
        <f t="shared" si="85"/>
        <v>4</v>
      </c>
      <c r="F791">
        <f t="shared" si="86"/>
        <v>53</v>
      </c>
      <c r="G791">
        <f t="shared" si="87"/>
        <v>4.88</v>
      </c>
      <c r="H791">
        <f t="shared" si="88"/>
        <v>293</v>
      </c>
      <c r="I791" s="3">
        <f t="shared" si="89"/>
        <v>61.43344709897611</v>
      </c>
      <c r="J791" t="str">
        <f t="shared" si="90"/>
        <v>F</v>
      </c>
    </row>
    <row r="792" spans="1:10" x14ac:dyDescent="0.25">
      <c r="A792" s="4" t="s">
        <v>82</v>
      </c>
      <c r="B792" s="1">
        <v>0.78575300000000003</v>
      </c>
      <c r="C792" s="1">
        <v>0.789157</v>
      </c>
      <c r="D792" s="1">
        <f t="shared" si="84"/>
        <v>3.4039999999999626E-3</v>
      </c>
      <c r="E792">
        <f t="shared" si="85"/>
        <v>4</v>
      </c>
      <c r="F792">
        <f t="shared" si="86"/>
        <v>54</v>
      </c>
      <c r="G792">
        <f t="shared" si="87"/>
        <v>4.9000000000000004</v>
      </c>
      <c r="H792">
        <f t="shared" si="88"/>
        <v>294</v>
      </c>
      <c r="I792" s="3">
        <f t="shared" si="89"/>
        <v>61.224489795918366</v>
      </c>
      <c r="J792" t="str">
        <f t="shared" si="90"/>
        <v>F</v>
      </c>
    </row>
    <row r="793" spans="1:10" x14ac:dyDescent="0.25">
      <c r="A793" s="4" t="s">
        <v>148</v>
      </c>
      <c r="B793" s="1">
        <v>0.359732</v>
      </c>
      <c r="C793" s="1">
        <v>0.35632799999999998</v>
      </c>
      <c r="D793" s="1">
        <f t="shared" si="84"/>
        <v>3.4040000000000181E-3</v>
      </c>
      <c r="E793">
        <f t="shared" si="85"/>
        <v>4</v>
      </c>
      <c r="F793">
        <f t="shared" si="86"/>
        <v>54</v>
      </c>
      <c r="G793">
        <f t="shared" si="87"/>
        <v>4.9000000000000004</v>
      </c>
      <c r="H793">
        <f t="shared" si="88"/>
        <v>294</v>
      </c>
      <c r="I793" s="3">
        <f t="shared" si="89"/>
        <v>61.224489795918366</v>
      </c>
      <c r="J793" t="str">
        <f t="shared" si="90"/>
        <v>F</v>
      </c>
    </row>
    <row r="794" spans="1:10" x14ac:dyDescent="0.25">
      <c r="A794" s="4" t="s">
        <v>89</v>
      </c>
      <c r="B794" s="1">
        <v>0.79559199999999997</v>
      </c>
      <c r="C794" s="1">
        <v>0.792188</v>
      </c>
      <c r="D794" s="1">
        <f t="shared" si="84"/>
        <v>3.4039999999999626E-3</v>
      </c>
      <c r="E794">
        <f t="shared" si="85"/>
        <v>4</v>
      </c>
      <c r="F794">
        <f t="shared" si="86"/>
        <v>54</v>
      </c>
      <c r="G794">
        <f t="shared" si="87"/>
        <v>4.9000000000000004</v>
      </c>
      <c r="H794">
        <f t="shared" si="88"/>
        <v>294</v>
      </c>
      <c r="I794" s="3">
        <f t="shared" si="89"/>
        <v>61.224489795918366</v>
      </c>
      <c r="J794" t="str">
        <f t="shared" si="90"/>
        <v>F</v>
      </c>
    </row>
    <row r="795" spans="1:10" x14ac:dyDescent="0.25">
      <c r="A795" s="4" t="s">
        <v>75</v>
      </c>
      <c r="B795" s="1">
        <v>0.55288199999999998</v>
      </c>
      <c r="C795" s="1">
        <v>0.55628200000000005</v>
      </c>
      <c r="D795" s="1">
        <f t="shared" si="84"/>
        <v>3.4000000000000696E-3</v>
      </c>
      <c r="E795">
        <f t="shared" si="85"/>
        <v>4</v>
      </c>
      <c r="F795">
        <f t="shared" si="86"/>
        <v>54</v>
      </c>
      <c r="G795">
        <f t="shared" si="87"/>
        <v>4.9000000000000004</v>
      </c>
      <c r="H795">
        <f t="shared" si="88"/>
        <v>294</v>
      </c>
      <c r="I795" s="3">
        <f t="shared" si="89"/>
        <v>61.224489795918366</v>
      </c>
      <c r="J795" t="str">
        <f t="shared" si="90"/>
        <v>F</v>
      </c>
    </row>
    <row r="796" spans="1:10" x14ac:dyDescent="0.25">
      <c r="A796" s="4" t="s">
        <v>240</v>
      </c>
      <c r="B796" s="1">
        <v>0.76658499999999996</v>
      </c>
      <c r="C796" s="1">
        <v>0.763181</v>
      </c>
      <c r="D796" s="1">
        <f t="shared" si="84"/>
        <v>3.4039999999999626E-3</v>
      </c>
      <c r="E796">
        <f t="shared" si="85"/>
        <v>4</v>
      </c>
      <c r="F796">
        <f t="shared" si="86"/>
        <v>54</v>
      </c>
      <c r="G796">
        <f t="shared" si="87"/>
        <v>4.9000000000000004</v>
      </c>
      <c r="H796">
        <f t="shared" si="88"/>
        <v>294</v>
      </c>
      <c r="I796" s="3">
        <f t="shared" si="89"/>
        <v>61.224489795918366</v>
      </c>
      <c r="J796" t="str">
        <f t="shared" si="90"/>
        <v>F</v>
      </c>
    </row>
    <row r="797" spans="1:10" x14ac:dyDescent="0.25">
      <c r="A797" s="4" t="s">
        <v>65</v>
      </c>
      <c r="B797" s="1">
        <v>0.79385700000000003</v>
      </c>
      <c r="C797" s="1">
        <v>0.79043699999999995</v>
      </c>
      <c r="D797" s="1">
        <f t="shared" si="84"/>
        <v>3.4200000000000896E-3</v>
      </c>
      <c r="E797">
        <f t="shared" si="85"/>
        <v>4</v>
      </c>
      <c r="F797">
        <f t="shared" si="86"/>
        <v>55</v>
      </c>
      <c r="G797">
        <f t="shared" si="87"/>
        <v>4.92</v>
      </c>
      <c r="H797">
        <f t="shared" si="88"/>
        <v>295</v>
      </c>
      <c r="I797" s="3">
        <f t="shared" si="89"/>
        <v>61.016949152542367</v>
      </c>
      <c r="J797" t="str">
        <f t="shared" si="90"/>
        <v>F</v>
      </c>
    </row>
    <row r="798" spans="1:10" x14ac:dyDescent="0.25">
      <c r="A798" s="4" t="s">
        <v>56</v>
      </c>
      <c r="B798" s="1">
        <v>0.74378100000000003</v>
      </c>
      <c r="C798" s="1">
        <v>0.747197</v>
      </c>
      <c r="D798" s="1">
        <f t="shared" si="84"/>
        <v>3.4159999999999746E-3</v>
      </c>
      <c r="E798">
        <f t="shared" si="85"/>
        <v>4</v>
      </c>
      <c r="F798">
        <f t="shared" si="86"/>
        <v>55</v>
      </c>
      <c r="G798">
        <f t="shared" si="87"/>
        <v>4.92</v>
      </c>
      <c r="H798">
        <f t="shared" si="88"/>
        <v>295</v>
      </c>
      <c r="I798" s="3">
        <f t="shared" si="89"/>
        <v>61.016949152542367</v>
      </c>
      <c r="J798" t="str">
        <f t="shared" si="90"/>
        <v>F</v>
      </c>
    </row>
    <row r="799" spans="1:10" x14ac:dyDescent="0.25">
      <c r="A799" s="4" t="s">
        <v>145</v>
      </c>
      <c r="B799" s="1">
        <v>0.47162799999999999</v>
      </c>
      <c r="C799" s="1">
        <v>0.46820800000000001</v>
      </c>
      <c r="D799" s="1">
        <f t="shared" si="84"/>
        <v>3.4199999999999786E-3</v>
      </c>
      <c r="E799">
        <f t="shared" si="85"/>
        <v>4</v>
      </c>
      <c r="F799">
        <f t="shared" si="86"/>
        <v>55</v>
      </c>
      <c r="G799">
        <f t="shared" si="87"/>
        <v>4.92</v>
      </c>
      <c r="H799">
        <f t="shared" si="88"/>
        <v>295</v>
      </c>
      <c r="I799" s="3">
        <f t="shared" si="89"/>
        <v>61.016949152542367</v>
      </c>
      <c r="J799" t="str">
        <f t="shared" si="90"/>
        <v>F</v>
      </c>
    </row>
    <row r="800" spans="1:10" x14ac:dyDescent="0.25">
      <c r="A800" s="4" t="s">
        <v>109</v>
      </c>
      <c r="B800" s="1">
        <v>0.51990700000000001</v>
      </c>
      <c r="C800" s="1">
        <v>0.52331899999999998</v>
      </c>
      <c r="D800" s="1">
        <f t="shared" si="84"/>
        <v>3.4119999999999706E-3</v>
      </c>
      <c r="E800">
        <f t="shared" si="85"/>
        <v>4</v>
      </c>
      <c r="F800">
        <f t="shared" si="86"/>
        <v>55</v>
      </c>
      <c r="G800">
        <f t="shared" si="87"/>
        <v>4.92</v>
      </c>
      <c r="H800">
        <f t="shared" si="88"/>
        <v>295</v>
      </c>
      <c r="I800" s="3">
        <f t="shared" si="89"/>
        <v>61.016949152542367</v>
      </c>
      <c r="J800" t="str">
        <f t="shared" si="90"/>
        <v>F</v>
      </c>
    </row>
    <row r="801" spans="1:10" x14ac:dyDescent="0.25">
      <c r="A801" s="4" t="s">
        <v>268</v>
      </c>
      <c r="B801" s="1">
        <v>0.926319</v>
      </c>
      <c r="C801" s="1">
        <v>0.92290700000000003</v>
      </c>
      <c r="D801" s="1">
        <f t="shared" si="84"/>
        <v>3.4119999999999706E-3</v>
      </c>
      <c r="E801">
        <f t="shared" si="85"/>
        <v>4</v>
      </c>
      <c r="F801">
        <f t="shared" si="86"/>
        <v>55</v>
      </c>
      <c r="G801">
        <f t="shared" si="87"/>
        <v>4.92</v>
      </c>
      <c r="H801">
        <f t="shared" si="88"/>
        <v>295</v>
      </c>
      <c r="I801" s="3">
        <f t="shared" si="89"/>
        <v>61.016949152542367</v>
      </c>
      <c r="J801" t="str">
        <f t="shared" si="90"/>
        <v>F</v>
      </c>
    </row>
    <row r="802" spans="1:10" x14ac:dyDescent="0.25">
      <c r="A802" s="4" t="s">
        <v>68</v>
      </c>
      <c r="B802" s="1">
        <v>0.67446200000000001</v>
      </c>
      <c r="C802" s="1">
        <v>0.67788999999999999</v>
      </c>
      <c r="D802" s="1">
        <f t="shared" si="84"/>
        <v>3.4279999999999866E-3</v>
      </c>
      <c r="E802">
        <f t="shared" si="85"/>
        <v>4</v>
      </c>
      <c r="F802">
        <f t="shared" si="86"/>
        <v>56</v>
      </c>
      <c r="G802">
        <f t="shared" si="87"/>
        <v>4.93</v>
      </c>
      <c r="H802">
        <f t="shared" si="88"/>
        <v>296</v>
      </c>
      <c r="I802" s="3">
        <f t="shared" si="89"/>
        <v>60.810810810810807</v>
      </c>
      <c r="J802" t="str">
        <f t="shared" si="90"/>
        <v>F</v>
      </c>
    </row>
    <row r="803" spans="1:10" x14ac:dyDescent="0.25">
      <c r="A803" s="4" t="s">
        <v>116</v>
      </c>
      <c r="B803" s="1">
        <v>0.73995699999999998</v>
      </c>
      <c r="C803" s="1">
        <v>0.74338499999999996</v>
      </c>
      <c r="D803" s="1">
        <f t="shared" si="84"/>
        <v>3.4279999999999866E-3</v>
      </c>
      <c r="E803">
        <f t="shared" si="85"/>
        <v>4</v>
      </c>
      <c r="F803">
        <f t="shared" si="86"/>
        <v>56</v>
      </c>
      <c r="G803">
        <f t="shared" si="87"/>
        <v>4.93</v>
      </c>
      <c r="H803">
        <f t="shared" si="88"/>
        <v>296</v>
      </c>
      <c r="I803" s="3">
        <f t="shared" si="89"/>
        <v>60.810810810810807</v>
      </c>
      <c r="J803" t="str">
        <f t="shared" si="90"/>
        <v>F</v>
      </c>
    </row>
    <row r="804" spans="1:10" x14ac:dyDescent="0.25">
      <c r="A804" s="4" t="s">
        <v>128</v>
      </c>
      <c r="B804" s="1">
        <v>6.3480999999999996E-2</v>
      </c>
      <c r="C804" s="1">
        <v>6.6905000000000006E-2</v>
      </c>
      <c r="D804" s="1">
        <f t="shared" si="84"/>
        <v>3.4240000000000104E-3</v>
      </c>
      <c r="E804">
        <f t="shared" si="85"/>
        <v>4</v>
      </c>
      <c r="F804">
        <f t="shared" si="86"/>
        <v>56</v>
      </c>
      <c r="G804">
        <f t="shared" si="87"/>
        <v>4.93</v>
      </c>
      <c r="H804">
        <f t="shared" si="88"/>
        <v>296</v>
      </c>
      <c r="I804" s="3">
        <f t="shared" si="89"/>
        <v>60.810810810810807</v>
      </c>
      <c r="J804" t="str">
        <f t="shared" si="90"/>
        <v>F</v>
      </c>
    </row>
    <row r="805" spans="1:10" x14ac:dyDescent="0.25">
      <c r="A805" s="4" t="s">
        <v>150</v>
      </c>
      <c r="B805" s="1">
        <v>0.71468200000000004</v>
      </c>
      <c r="C805" s="1">
        <v>0.71811000000000003</v>
      </c>
      <c r="D805" s="1">
        <f t="shared" si="84"/>
        <v>3.4279999999999866E-3</v>
      </c>
      <c r="E805">
        <f t="shared" si="85"/>
        <v>4</v>
      </c>
      <c r="F805">
        <f t="shared" si="86"/>
        <v>56</v>
      </c>
      <c r="G805">
        <f t="shared" si="87"/>
        <v>4.93</v>
      </c>
      <c r="H805">
        <f t="shared" si="88"/>
        <v>296</v>
      </c>
      <c r="I805" s="3">
        <f t="shared" si="89"/>
        <v>60.810810810810807</v>
      </c>
      <c r="J805" t="str">
        <f t="shared" si="90"/>
        <v>F</v>
      </c>
    </row>
    <row r="806" spans="1:10" x14ac:dyDescent="0.25">
      <c r="A806" s="4" t="s">
        <v>253</v>
      </c>
      <c r="B806" s="1">
        <v>0.56004299999999996</v>
      </c>
      <c r="C806" s="1">
        <v>0.55661499999999997</v>
      </c>
      <c r="D806" s="1">
        <f t="shared" si="84"/>
        <v>3.4279999999999866E-3</v>
      </c>
      <c r="E806">
        <f t="shared" si="85"/>
        <v>4</v>
      </c>
      <c r="F806">
        <f t="shared" si="86"/>
        <v>56</v>
      </c>
      <c r="G806">
        <f t="shared" si="87"/>
        <v>4.93</v>
      </c>
      <c r="H806">
        <f t="shared" si="88"/>
        <v>296</v>
      </c>
      <c r="I806" s="3">
        <f t="shared" si="89"/>
        <v>60.810810810810807</v>
      </c>
      <c r="J806" t="str">
        <f t="shared" si="90"/>
        <v>F</v>
      </c>
    </row>
    <row r="807" spans="1:10" x14ac:dyDescent="0.25">
      <c r="A807" s="4" t="s">
        <v>332</v>
      </c>
      <c r="B807" s="1">
        <v>0.71081099999999997</v>
      </c>
      <c r="C807" s="1">
        <v>0.70738299999999998</v>
      </c>
      <c r="D807" s="1">
        <f t="shared" si="84"/>
        <v>3.4279999999999866E-3</v>
      </c>
      <c r="E807">
        <f t="shared" si="85"/>
        <v>4</v>
      </c>
      <c r="F807">
        <f t="shared" si="86"/>
        <v>56</v>
      </c>
      <c r="G807">
        <f t="shared" si="87"/>
        <v>4.93</v>
      </c>
      <c r="H807">
        <f t="shared" si="88"/>
        <v>296</v>
      </c>
      <c r="I807" s="3">
        <f t="shared" si="89"/>
        <v>60.810810810810807</v>
      </c>
      <c r="J807" t="str">
        <f t="shared" si="90"/>
        <v>F</v>
      </c>
    </row>
    <row r="808" spans="1:10" x14ac:dyDescent="0.25">
      <c r="A808" s="4" t="s">
        <v>8</v>
      </c>
      <c r="B808" s="1">
        <v>0.25012200000000001</v>
      </c>
      <c r="C808" s="1">
        <v>0.24668599999999999</v>
      </c>
      <c r="D808" s="1">
        <f t="shared" si="84"/>
        <v>3.4360000000000224E-3</v>
      </c>
      <c r="E808">
        <f t="shared" si="85"/>
        <v>4</v>
      </c>
      <c r="F808">
        <f t="shared" si="86"/>
        <v>57</v>
      </c>
      <c r="G808">
        <f t="shared" si="87"/>
        <v>4.95</v>
      </c>
      <c r="H808">
        <f t="shared" si="88"/>
        <v>297</v>
      </c>
      <c r="I808" s="3">
        <f t="shared" si="89"/>
        <v>60.606060606060609</v>
      </c>
      <c r="J808" t="str">
        <f t="shared" si="90"/>
        <v>F</v>
      </c>
    </row>
    <row r="809" spans="1:10" x14ac:dyDescent="0.25">
      <c r="A809" s="4" t="s">
        <v>83</v>
      </c>
      <c r="B809" s="1">
        <v>0.48969400000000002</v>
      </c>
      <c r="C809" s="1">
        <v>0.48625800000000002</v>
      </c>
      <c r="D809" s="1">
        <f t="shared" si="84"/>
        <v>3.4359999999999946E-3</v>
      </c>
      <c r="E809">
        <f t="shared" si="85"/>
        <v>4</v>
      </c>
      <c r="F809">
        <f t="shared" si="86"/>
        <v>57</v>
      </c>
      <c r="G809">
        <f t="shared" si="87"/>
        <v>4.95</v>
      </c>
      <c r="H809">
        <f t="shared" si="88"/>
        <v>297</v>
      </c>
      <c r="I809" s="3">
        <f t="shared" si="89"/>
        <v>60.606060606060609</v>
      </c>
      <c r="J809" t="str">
        <f t="shared" si="90"/>
        <v>F</v>
      </c>
    </row>
    <row r="810" spans="1:10" x14ac:dyDescent="0.25">
      <c r="A810" s="4" t="s">
        <v>431</v>
      </c>
      <c r="B810" s="1">
        <v>0.38372699999999998</v>
      </c>
      <c r="C810" s="1">
        <v>0.38029099999999999</v>
      </c>
      <c r="D810" s="1">
        <f t="shared" si="84"/>
        <v>3.4359999999999946E-3</v>
      </c>
      <c r="E810">
        <f t="shared" si="85"/>
        <v>4</v>
      </c>
      <c r="F810">
        <f t="shared" si="86"/>
        <v>57</v>
      </c>
      <c r="G810">
        <f t="shared" si="87"/>
        <v>4.95</v>
      </c>
      <c r="H810">
        <f t="shared" si="88"/>
        <v>297</v>
      </c>
      <c r="I810" s="3">
        <f t="shared" si="89"/>
        <v>60.606060606060609</v>
      </c>
      <c r="J810" t="str">
        <f t="shared" si="90"/>
        <v>F</v>
      </c>
    </row>
    <row r="811" spans="1:10" x14ac:dyDescent="0.25">
      <c r="A811" s="4" t="s">
        <v>374</v>
      </c>
      <c r="B811" s="1">
        <v>0.92735400000000001</v>
      </c>
      <c r="C811" s="1">
        <v>0.93079400000000001</v>
      </c>
      <c r="D811" s="1">
        <f t="shared" si="84"/>
        <v>3.4399999999999986E-3</v>
      </c>
      <c r="E811">
        <f t="shared" si="85"/>
        <v>4</v>
      </c>
      <c r="F811">
        <f t="shared" si="86"/>
        <v>57</v>
      </c>
      <c r="G811">
        <f t="shared" si="87"/>
        <v>4.95</v>
      </c>
      <c r="H811">
        <f t="shared" si="88"/>
        <v>297</v>
      </c>
      <c r="I811" s="3">
        <f t="shared" si="89"/>
        <v>60.606060606060609</v>
      </c>
      <c r="J811" t="str">
        <f t="shared" si="90"/>
        <v>F</v>
      </c>
    </row>
    <row r="812" spans="1:10" x14ac:dyDescent="0.25">
      <c r="A812" s="4" t="s">
        <v>109</v>
      </c>
      <c r="B812" s="1">
        <v>0.20138</v>
      </c>
      <c r="C812" s="1">
        <v>0.197932</v>
      </c>
      <c r="D812" s="1">
        <f t="shared" si="84"/>
        <v>3.4480000000000066E-3</v>
      </c>
      <c r="E812">
        <f t="shared" si="85"/>
        <v>4</v>
      </c>
      <c r="F812">
        <f t="shared" si="86"/>
        <v>58</v>
      </c>
      <c r="G812">
        <f t="shared" si="87"/>
        <v>4.97</v>
      </c>
      <c r="H812">
        <f t="shared" si="88"/>
        <v>298</v>
      </c>
      <c r="I812" s="3">
        <f t="shared" si="89"/>
        <v>60.402684563758385</v>
      </c>
      <c r="J812" t="str">
        <f t="shared" si="90"/>
        <v>F</v>
      </c>
    </row>
    <row r="813" spans="1:10" x14ac:dyDescent="0.25">
      <c r="A813" s="4" t="s">
        <v>60</v>
      </c>
      <c r="B813" s="1">
        <v>5.7468999999999999E-2</v>
      </c>
      <c r="C813" s="1">
        <v>5.4021E-2</v>
      </c>
      <c r="D813" s="1">
        <f t="shared" si="84"/>
        <v>3.4479999999999997E-3</v>
      </c>
      <c r="E813">
        <f t="shared" si="85"/>
        <v>4</v>
      </c>
      <c r="F813">
        <f t="shared" si="86"/>
        <v>58</v>
      </c>
      <c r="G813">
        <f t="shared" si="87"/>
        <v>4.97</v>
      </c>
      <c r="H813">
        <f t="shared" si="88"/>
        <v>298</v>
      </c>
      <c r="I813" s="3">
        <f t="shared" si="89"/>
        <v>60.402684563758385</v>
      </c>
      <c r="J813" t="str">
        <f t="shared" si="90"/>
        <v>F</v>
      </c>
    </row>
    <row r="814" spans="1:10" x14ac:dyDescent="0.25">
      <c r="A814" s="4" t="s">
        <v>382</v>
      </c>
      <c r="B814" s="1">
        <v>0.59115099999999998</v>
      </c>
      <c r="C814" s="1">
        <v>0.58769899999999997</v>
      </c>
      <c r="D814" s="1">
        <f t="shared" si="84"/>
        <v>3.4520000000000106E-3</v>
      </c>
      <c r="E814">
        <f t="shared" si="85"/>
        <v>4</v>
      </c>
      <c r="F814">
        <f t="shared" si="86"/>
        <v>58</v>
      </c>
      <c r="G814">
        <f t="shared" si="87"/>
        <v>4.97</v>
      </c>
      <c r="H814">
        <f t="shared" si="88"/>
        <v>298</v>
      </c>
      <c r="I814" s="3">
        <f t="shared" si="89"/>
        <v>60.402684563758385</v>
      </c>
      <c r="J814" t="str">
        <f t="shared" si="90"/>
        <v>F</v>
      </c>
    </row>
    <row r="815" spans="1:10" x14ac:dyDescent="0.25">
      <c r="A815" s="4" t="s">
        <v>12</v>
      </c>
      <c r="B815" s="1">
        <v>0.65463899999999997</v>
      </c>
      <c r="C815" s="1">
        <v>0.65809899999999999</v>
      </c>
      <c r="D815" s="1">
        <f t="shared" si="84"/>
        <v>3.4600000000000186E-3</v>
      </c>
      <c r="E815">
        <f t="shared" si="85"/>
        <v>4</v>
      </c>
      <c r="F815">
        <f t="shared" si="86"/>
        <v>59</v>
      </c>
      <c r="G815">
        <f t="shared" si="87"/>
        <v>4.9800000000000004</v>
      </c>
      <c r="H815">
        <f t="shared" si="88"/>
        <v>299</v>
      </c>
      <c r="I815" s="3">
        <f t="shared" si="89"/>
        <v>60.200668896321076</v>
      </c>
      <c r="J815" t="str">
        <f t="shared" si="90"/>
        <v>F</v>
      </c>
    </row>
    <row r="816" spans="1:10" x14ac:dyDescent="0.25">
      <c r="A816" s="4" t="s">
        <v>5</v>
      </c>
      <c r="B816" s="1">
        <v>0.74470000000000003</v>
      </c>
      <c r="C816" s="1">
        <v>0.74815600000000004</v>
      </c>
      <c r="D816" s="1">
        <f t="shared" si="84"/>
        <v>3.4560000000000146E-3</v>
      </c>
      <c r="E816">
        <f t="shared" si="85"/>
        <v>4</v>
      </c>
      <c r="F816">
        <f t="shared" si="86"/>
        <v>59</v>
      </c>
      <c r="G816">
        <f t="shared" si="87"/>
        <v>4.9800000000000004</v>
      </c>
      <c r="H816">
        <f t="shared" si="88"/>
        <v>299</v>
      </c>
      <c r="I816" s="3">
        <f t="shared" si="89"/>
        <v>60.200668896321076</v>
      </c>
      <c r="J816" t="str">
        <f t="shared" si="90"/>
        <v>F</v>
      </c>
    </row>
    <row r="817" spans="1:10" x14ac:dyDescent="0.25">
      <c r="A817" s="4" t="s">
        <v>162</v>
      </c>
      <c r="B817" s="1">
        <v>8.4322999999999995E-2</v>
      </c>
      <c r="C817" s="1">
        <v>8.0866999999999994E-2</v>
      </c>
      <c r="D817" s="1">
        <f t="shared" si="84"/>
        <v>3.4560000000000007E-3</v>
      </c>
      <c r="E817">
        <f t="shared" si="85"/>
        <v>4</v>
      </c>
      <c r="F817">
        <f t="shared" si="86"/>
        <v>59</v>
      </c>
      <c r="G817">
        <f t="shared" si="87"/>
        <v>4.9800000000000004</v>
      </c>
      <c r="H817">
        <f t="shared" si="88"/>
        <v>299</v>
      </c>
      <c r="I817" s="3">
        <f t="shared" si="89"/>
        <v>60.200668896321076</v>
      </c>
      <c r="J817" t="str">
        <f t="shared" si="90"/>
        <v>F</v>
      </c>
    </row>
    <row r="818" spans="1:10" x14ac:dyDescent="0.25">
      <c r="A818" s="4" t="s">
        <v>162</v>
      </c>
      <c r="B818" s="1">
        <v>0.459476</v>
      </c>
      <c r="C818" s="1">
        <v>0.45600000000000002</v>
      </c>
      <c r="D818" s="1">
        <f t="shared" si="84"/>
        <v>3.4759999999999791E-3</v>
      </c>
      <c r="E818">
        <f t="shared" si="85"/>
        <v>5</v>
      </c>
      <c r="F818">
        <f t="shared" si="86"/>
        <v>0</v>
      </c>
      <c r="G818">
        <f t="shared" si="87"/>
        <v>5</v>
      </c>
      <c r="H818">
        <f t="shared" si="88"/>
        <v>300</v>
      </c>
      <c r="I818" s="3">
        <f t="shared" si="89"/>
        <v>60</v>
      </c>
      <c r="J818" t="str">
        <f t="shared" si="90"/>
        <v>F</v>
      </c>
    </row>
    <row r="819" spans="1:10" x14ac:dyDescent="0.25">
      <c r="A819" s="4" t="s">
        <v>22</v>
      </c>
      <c r="B819" s="1">
        <v>0.96188399999999996</v>
      </c>
      <c r="C819" s="1">
        <v>0.95841200000000004</v>
      </c>
      <c r="D819" s="1">
        <f t="shared" si="84"/>
        <v>3.4719999999999196E-3</v>
      </c>
      <c r="E819">
        <f t="shared" si="85"/>
        <v>5</v>
      </c>
      <c r="F819">
        <f t="shared" si="86"/>
        <v>0</v>
      </c>
      <c r="G819">
        <f t="shared" si="87"/>
        <v>5</v>
      </c>
      <c r="H819">
        <f t="shared" si="88"/>
        <v>300</v>
      </c>
      <c r="I819" s="3">
        <f t="shared" si="89"/>
        <v>60</v>
      </c>
      <c r="J819" t="str">
        <f t="shared" si="90"/>
        <v>F</v>
      </c>
    </row>
    <row r="820" spans="1:10" x14ac:dyDescent="0.25">
      <c r="A820" s="4" t="s">
        <v>168</v>
      </c>
      <c r="B820" s="1">
        <v>0.80745199999999995</v>
      </c>
      <c r="C820" s="1">
        <v>0.80398400000000003</v>
      </c>
      <c r="D820" s="1">
        <f t="shared" si="84"/>
        <v>3.4679999999999156E-3</v>
      </c>
      <c r="E820">
        <f t="shared" si="85"/>
        <v>5</v>
      </c>
      <c r="F820">
        <f t="shared" si="86"/>
        <v>0</v>
      </c>
      <c r="G820">
        <f t="shared" si="87"/>
        <v>5</v>
      </c>
      <c r="H820">
        <f t="shared" si="88"/>
        <v>300</v>
      </c>
      <c r="I820" s="3">
        <f t="shared" si="89"/>
        <v>60</v>
      </c>
      <c r="J820" t="str">
        <f t="shared" si="90"/>
        <v>F</v>
      </c>
    </row>
    <row r="821" spans="1:10" x14ac:dyDescent="0.25">
      <c r="A821" s="4" t="s">
        <v>145</v>
      </c>
      <c r="B821" s="1">
        <v>0.70873299999999995</v>
      </c>
      <c r="C821" s="1">
        <v>0.71220499999999998</v>
      </c>
      <c r="D821" s="1">
        <f t="shared" si="84"/>
        <v>3.4720000000000306E-3</v>
      </c>
      <c r="E821">
        <f t="shared" si="85"/>
        <v>5</v>
      </c>
      <c r="F821">
        <f t="shared" si="86"/>
        <v>0</v>
      </c>
      <c r="G821">
        <f t="shared" si="87"/>
        <v>5</v>
      </c>
      <c r="H821">
        <f t="shared" si="88"/>
        <v>300</v>
      </c>
      <c r="I821" s="3">
        <f t="shared" si="89"/>
        <v>60</v>
      </c>
      <c r="J821" t="str">
        <f t="shared" si="90"/>
        <v>F</v>
      </c>
    </row>
    <row r="822" spans="1:10" x14ac:dyDescent="0.25">
      <c r="A822" s="4" t="s">
        <v>25</v>
      </c>
      <c r="B822" s="1">
        <v>0.54693899999999995</v>
      </c>
      <c r="C822" s="1">
        <v>0.550423</v>
      </c>
      <c r="D822" s="1">
        <f t="shared" si="84"/>
        <v>3.4840000000000426E-3</v>
      </c>
      <c r="E822">
        <f t="shared" si="85"/>
        <v>5</v>
      </c>
      <c r="F822">
        <f t="shared" si="86"/>
        <v>1</v>
      </c>
      <c r="G822">
        <f t="shared" si="87"/>
        <v>5.0199999999999996</v>
      </c>
      <c r="H822">
        <f t="shared" si="88"/>
        <v>301</v>
      </c>
      <c r="I822" s="3">
        <f t="shared" si="89"/>
        <v>59.800664451827245</v>
      </c>
      <c r="J822" t="str">
        <f t="shared" si="90"/>
        <v>F</v>
      </c>
    </row>
    <row r="823" spans="1:10" x14ac:dyDescent="0.25">
      <c r="A823" s="4" t="s">
        <v>101</v>
      </c>
      <c r="B823" s="1">
        <v>0.84344600000000003</v>
      </c>
      <c r="C823" s="1">
        <v>0.84693399999999996</v>
      </c>
      <c r="D823" s="1">
        <f t="shared" si="84"/>
        <v>3.4879999999999356E-3</v>
      </c>
      <c r="E823">
        <f t="shared" si="85"/>
        <v>5</v>
      </c>
      <c r="F823">
        <f t="shared" si="86"/>
        <v>1</v>
      </c>
      <c r="G823">
        <f t="shared" si="87"/>
        <v>5.0199999999999996</v>
      </c>
      <c r="H823">
        <f t="shared" si="88"/>
        <v>301</v>
      </c>
      <c r="I823" s="3">
        <f t="shared" si="89"/>
        <v>59.800664451827245</v>
      </c>
      <c r="J823" t="str">
        <f t="shared" si="90"/>
        <v>F</v>
      </c>
    </row>
    <row r="824" spans="1:10" x14ac:dyDescent="0.25">
      <c r="A824" s="4" t="s">
        <v>127</v>
      </c>
      <c r="B824" s="1">
        <v>0.82420800000000005</v>
      </c>
      <c r="C824" s="1">
        <v>0.82768799999999998</v>
      </c>
      <c r="D824" s="1">
        <f t="shared" si="84"/>
        <v>3.4799999999999276E-3</v>
      </c>
      <c r="E824">
        <f t="shared" si="85"/>
        <v>5</v>
      </c>
      <c r="F824">
        <f t="shared" si="86"/>
        <v>1</v>
      </c>
      <c r="G824">
        <f t="shared" si="87"/>
        <v>5.0199999999999996</v>
      </c>
      <c r="H824">
        <f t="shared" si="88"/>
        <v>301</v>
      </c>
      <c r="I824" s="3">
        <f t="shared" si="89"/>
        <v>59.800664451827245</v>
      </c>
      <c r="J824" t="str">
        <f t="shared" si="90"/>
        <v>F</v>
      </c>
    </row>
    <row r="825" spans="1:10" x14ac:dyDescent="0.25">
      <c r="A825" s="4" t="s">
        <v>12</v>
      </c>
      <c r="B825" s="1">
        <v>0.55209399999999997</v>
      </c>
      <c r="C825" s="1">
        <v>0.54861000000000004</v>
      </c>
      <c r="D825" s="1">
        <f t="shared" si="84"/>
        <v>3.4839999999999316E-3</v>
      </c>
      <c r="E825">
        <f t="shared" si="85"/>
        <v>5</v>
      </c>
      <c r="F825">
        <f t="shared" si="86"/>
        <v>1</v>
      </c>
      <c r="G825">
        <f t="shared" si="87"/>
        <v>5.0199999999999996</v>
      </c>
      <c r="H825">
        <f t="shared" si="88"/>
        <v>301</v>
      </c>
      <c r="I825" s="3">
        <f t="shared" si="89"/>
        <v>59.800664451827245</v>
      </c>
      <c r="J825" t="str">
        <f t="shared" si="90"/>
        <v>F</v>
      </c>
    </row>
    <row r="826" spans="1:10" x14ac:dyDescent="0.25">
      <c r="A826" s="4" t="s">
        <v>322</v>
      </c>
      <c r="B826" s="1">
        <v>0.91881100000000004</v>
      </c>
      <c r="C826" s="1">
        <v>0.915323</v>
      </c>
      <c r="D826" s="1">
        <f t="shared" si="84"/>
        <v>3.4880000000000466E-3</v>
      </c>
      <c r="E826">
        <f t="shared" si="85"/>
        <v>5</v>
      </c>
      <c r="F826">
        <f t="shared" si="86"/>
        <v>1</v>
      </c>
      <c r="G826">
        <f t="shared" si="87"/>
        <v>5.0199999999999996</v>
      </c>
      <c r="H826">
        <f t="shared" si="88"/>
        <v>301</v>
      </c>
      <c r="I826" s="3">
        <f t="shared" si="89"/>
        <v>59.800664451827245</v>
      </c>
      <c r="J826" t="str">
        <f t="shared" si="90"/>
        <v>F</v>
      </c>
    </row>
    <row r="827" spans="1:10" x14ac:dyDescent="0.25">
      <c r="A827" s="4" t="s">
        <v>9</v>
      </c>
      <c r="B827" s="1">
        <v>3.9071000000000002E-2</v>
      </c>
      <c r="C827" s="1">
        <v>4.2567000000000001E-2</v>
      </c>
      <c r="D827" s="1">
        <f t="shared" si="84"/>
        <v>3.4959999999999991E-3</v>
      </c>
      <c r="E827">
        <f t="shared" si="85"/>
        <v>5</v>
      </c>
      <c r="F827">
        <f t="shared" si="86"/>
        <v>2</v>
      </c>
      <c r="G827">
        <f t="shared" si="87"/>
        <v>5.03</v>
      </c>
      <c r="H827">
        <f t="shared" si="88"/>
        <v>302</v>
      </c>
      <c r="I827" s="3">
        <f t="shared" si="89"/>
        <v>59.602649006622521</v>
      </c>
      <c r="J827" t="str">
        <f t="shared" si="90"/>
        <v>F</v>
      </c>
    </row>
    <row r="828" spans="1:10" x14ac:dyDescent="0.25">
      <c r="A828" s="4" t="s">
        <v>286</v>
      </c>
      <c r="B828" s="1">
        <v>4.9029000000000003E-2</v>
      </c>
      <c r="C828" s="1">
        <v>5.2520999999999998E-2</v>
      </c>
      <c r="D828" s="1">
        <f t="shared" si="84"/>
        <v>3.4919999999999951E-3</v>
      </c>
      <c r="E828">
        <f t="shared" si="85"/>
        <v>5</v>
      </c>
      <c r="F828">
        <f t="shared" si="86"/>
        <v>2</v>
      </c>
      <c r="G828">
        <f t="shared" si="87"/>
        <v>5.03</v>
      </c>
      <c r="H828">
        <f t="shared" si="88"/>
        <v>302</v>
      </c>
      <c r="I828" s="3">
        <f t="shared" si="89"/>
        <v>59.602649006622521</v>
      </c>
      <c r="J828" t="str">
        <f t="shared" si="90"/>
        <v>F</v>
      </c>
    </row>
    <row r="829" spans="1:10" x14ac:dyDescent="0.25">
      <c r="A829" s="4" t="s">
        <v>378</v>
      </c>
      <c r="B829" s="1">
        <v>0.62776399999999999</v>
      </c>
      <c r="C829" s="1">
        <v>0.62426800000000005</v>
      </c>
      <c r="D829" s="1">
        <f t="shared" si="84"/>
        <v>3.4959999999999436E-3</v>
      </c>
      <c r="E829">
        <f t="shared" si="85"/>
        <v>5</v>
      </c>
      <c r="F829">
        <f t="shared" si="86"/>
        <v>2</v>
      </c>
      <c r="G829">
        <f t="shared" si="87"/>
        <v>5.03</v>
      </c>
      <c r="H829">
        <f t="shared" si="88"/>
        <v>302</v>
      </c>
      <c r="I829" s="3">
        <f t="shared" si="89"/>
        <v>59.602649006622521</v>
      </c>
      <c r="J829" t="str">
        <f t="shared" si="90"/>
        <v>F</v>
      </c>
    </row>
    <row r="830" spans="1:10" x14ac:dyDescent="0.25">
      <c r="A830" s="4" t="s">
        <v>410</v>
      </c>
      <c r="B830" s="1">
        <v>0.94211</v>
      </c>
      <c r="C830" s="1">
        <v>0.94560599999999995</v>
      </c>
      <c r="D830" s="1">
        <f t="shared" si="84"/>
        <v>3.4959999999999436E-3</v>
      </c>
      <c r="E830">
        <f t="shared" si="85"/>
        <v>5</v>
      </c>
      <c r="F830">
        <f t="shared" si="86"/>
        <v>2</v>
      </c>
      <c r="G830">
        <f t="shared" si="87"/>
        <v>5.03</v>
      </c>
      <c r="H830">
        <f t="shared" si="88"/>
        <v>302</v>
      </c>
      <c r="I830" s="3">
        <f t="shared" si="89"/>
        <v>59.602649006622521</v>
      </c>
      <c r="J830" t="str">
        <f t="shared" si="90"/>
        <v>F</v>
      </c>
    </row>
    <row r="831" spans="1:10" x14ac:dyDescent="0.25">
      <c r="A831" s="4" t="s">
        <v>89</v>
      </c>
      <c r="B831" s="1">
        <v>0.90169999999999995</v>
      </c>
      <c r="C831" s="1">
        <v>0.90521200000000002</v>
      </c>
      <c r="D831" s="1">
        <f t="shared" si="84"/>
        <v>3.5120000000000706E-3</v>
      </c>
      <c r="E831">
        <f t="shared" si="85"/>
        <v>5</v>
      </c>
      <c r="F831">
        <f t="shared" si="86"/>
        <v>3</v>
      </c>
      <c r="G831">
        <f t="shared" si="87"/>
        <v>5.05</v>
      </c>
      <c r="H831">
        <f t="shared" si="88"/>
        <v>303</v>
      </c>
      <c r="I831" s="3">
        <f t="shared" si="89"/>
        <v>59.405940594059402</v>
      </c>
      <c r="J831" t="str">
        <f t="shared" si="90"/>
        <v>F</v>
      </c>
    </row>
    <row r="832" spans="1:10" x14ac:dyDescent="0.25">
      <c r="A832" s="4" t="s">
        <v>155</v>
      </c>
      <c r="B832" s="1">
        <v>0.57598300000000002</v>
      </c>
      <c r="C832" s="1">
        <v>0.57948699999999997</v>
      </c>
      <c r="D832" s="1">
        <f t="shared" si="84"/>
        <v>3.5039999999999516E-3</v>
      </c>
      <c r="E832">
        <f t="shared" si="85"/>
        <v>5</v>
      </c>
      <c r="F832">
        <f t="shared" si="86"/>
        <v>3</v>
      </c>
      <c r="G832">
        <f t="shared" si="87"/>
        <v>5.05</v>
      </c>
      <c r="H832">
        <f t="shared" si="88"/>
        <v>303</v>
      </c>
      <c r="I832" s="3">
        <f t="shared" si="89"/>
        <v>59.405940594059402</v>
      </c>
      <c r="J832" t="str">
        <f t="shared" si="90"/>
        <v>F</v>
      </c>
    </row>
    <row r="833" spans="1:10" x14ac:dyDescent="0.25">
      <c r="A833" s="4" t="s">
        <v>41</v>
      </c>
      <c r="B833" s="1">
        <v>0.25088199999999999</v>
      </c>
      <c r="C833" s="1">
        <v>0.24737799999999999</v>
      </c>
      <c r="D833" s="1">
        <f t="shared" si="84"/>
        <v>3.5040000000000071E-3</v>
      </c>
      <c r="E833">
        <f t="shared" si="85"/>
        <v>5</v>
      </c>
      <c r="F833">
        <f t="shared" si="86"/>
        <v>3</v>
      </c>
      <c r="G833">
        <f t="shared" si="87"/>
        <v>5.05</v>
      </c>
      <c r="H833">
        <f t="shared" si="88"/>
        <v>303</v>
      </c>
      <c r="I833" s="3">
        <f t="shared" si="89"/>
        <v>59.405940594059402</v>
      </c>
      <c r="J833" t="str">
        <f t="shared" si="90"/>
        <v>F</v>
      </c>
    </row>
    <row r="834" spans="1:10" x14ac:dyDescent="0.25">
      <c r="A834" s="8" t="s">
        <v>177</v>
      </c>
      <c r="B834" s="1">
        <v>0.96728700000000001</v>
      </c>
      <c r="C834" s="1">
        <v>0.97079099999999996</v>
      </c>
      <c r="D834" s="1">
        <f t="shared" ref="D834:D897" si="91">IF(B834&gt;C834,B834-C834,C834-B834)</f>
        <v>3.5039999999999516E-3</v>
      </c>
      <c r="E834">
        <f t="shared" ref="E834:E897" si="92">MINUTE(D834)</f>
        <v>5</v>
      </c>
      <c r="F834">
        <f t="shared" ref="F834:F897" si="93">SECOND(D834)</f>
        <v>3</v>
      </c>
      <c r="G834">
        <f t="shared" ref="G834:G897" si="94">ROUND(E834+F834/60,2)</f>
        <v>5.05</v>
      </c>
      <c r="H834">
        <f t="shared" ref="H834:H897" si="95">60*E834+F834</f>
        <v>303</v>
      </c>
      <c r="I834" s="10">
        <f t="shared" ref="I834:I897" si="96">5*(3600/H834)</f>
        <v>59.405940594059402</v>
      </c>
      <c r="J834" t="str">
        <f t="shared" ref="J834:J897" si="97">IF(MID(A834,3,2)="18","T","F")</f>
        <v>T</v>
      </c>
    </row>
    <row r="835" spans="1:10" x14ac:dyDescent="0.25">
      <c r="A835" s="4" t="s">
        <v>49</v>
      </c>
      <c r="B835" s="1">
        <v>0.558307</v>
      </c>
      <c r="C835" s="1">
        <v>0.55478700000000003</v>
      </c>
      <c r="D835" s="1">
        <f t="shared" si="91"/>
        <v>3.5199999999999676E-3</v>
      </c>
      <c r="E835">
        <f t="shared" si="92"/>
        <v>5</v>
      </c>
      <c r="F835">
        <f t="shared" si="93"/>
        <v>4</v>
      </c>
      <c r="G835">
        <f t="shared" si="94"/>
        <v>5.07</v>
      </c>
      <c r="H835">
        <f t="shared" si="95"/>
        <v>304</v>
      </c>
      <c r="I835" s="3">
        <f t="shared" si="96"/>
        <v>59.21052631578948</v>
      </c>
      <c r="J835" t="str">
        <f t="shared" si="97"/>
        <v>F</v>
      </c>
    </row>
    <row r="836" spans="1:10" x14ac:dyDescent="0.25">
      <c r="A836" s="4" t="s">
        <v>281</v>
      </c>
      <c r="B836" s="1">
        <v>0.66776400000000002</v>
      </c>
      <c r="C836" s="1">
        <v>0.66424799999999995</v>
      </c>
      <c r="D836" s="1">
        <f t="shared" si="91"/>
        <v>3.5160000000000746E-3</v>
      </c>
      <c r="E836">
        <f t="shared" si="92"/>
        <v>5</v>
      </c>
      <c r="F836">
        <f t="shared" si="93"/>
        <v>4</v>
      </c>
      <c r="G836">
        <f t="shared" si="94"/>
        <v>5.07</v>
      </c>
      <c r="H836">
        <f t="shared" si="95"/>
        <v>304</v>
      </c>
      <c r="I836" s="3">
        <f t="shared" si="96"/>
        <v>59.21052631578948</v>
      </c>
      <c r="J836" t="str">
        <f t="shared" si="97"/>
        <v>F</v>
      </c>
    </row>
    <row r="837" spans="1:10" x14ac:dyDescent="0.25">
      <c r="A837" s="4" t="s">
        <v>55</v>
      </c>
      <c r="B837" s="1">
        <v>0.72411499999999995</v>
      </c>
      <c r="C837" s="1">
        <v>0.72764300000000004</v>
      </c>
      <c r="D837" s="1">
        <f t="shared" si="91"/>
        <v>3.5280000000000866E-3</v>
      </c>
      <c r="E837">
        <f t="shared" si="92"/>
        <v>5</v>
      </c>
      <c r="F837">
        <f t="shared" si="93"/>
        <v>5</v>
      </c>
      <c r="G837">
        <f t="shared" si="94"/>
        <v>5.08</v>
      </c>
      <c r="H837">
        <f t="shared" si="95"/>
        <v>305</v>
      </c>
      <c r="I837" s="3">
        <f t="shared" si="96"/>
        <v>59.016393442622956</v>
      </c>
      <c r="J837" t="str">
        <f t="shared" si="97"/>
        <v>F</v>
      </c>
    </row>
    <row r="838" spans="1:10" x14ac:dyDescent="0.25">
      <c r="A838" s="4" t="s">
        <v>143</v>
      </c>
      <c r="B838" s="1">
        <v>0.80431299999999994</v>
      </c>
      <c r="C838" s="1">
        <v>0.80078099999999997</v>
      </c>
      <c r="D838" s="1">
        <f t="shared" si="91"/>
        <v>3.5319999999999796E-3</v>
      </c>
      <c r="E838">
        <f t="shared" si="92"/>
        <v>5</v>
      </c>
      <c r="F838">
        <f t="shared" si="93"/>
        <v>5</v>
      </c>
      <c r="G838">
        <f t="shared" si="94"/>
        <v>5.08</v>
      </c>
      <c r="H838">
        <f t="shared" si="95"/>
        <v>305</v>
      </c>
      <c r="I838" s="3">
        <f t="shared" si="96"/>
        <v>59.016393442622956</v>
      </c>
      <c r="J838" t="str">
        <f t="shared" si="97"/>
        <v>F</v>
      </c>
    </row>
    <row r="839" spans="1:10" x14ac:dyDescent="0.25">
      <c r="A839" s="4" t="s">
        <v>42</v>
      </c>
      <c r="B839" s="1">
        <v>2.5205000000000002E-2</v>
      </c>
      <c r="C839" s="1">
        <v>2.8740999999999999E-2</v>
      </c>
      <c r="D839" s="1">
        <f t="shared" si="91"/>
        <v>3.5359999999999975E-3</v>
      </c>
      <c r="E839">
        <f t="shared" si="92"/>
        <v>5</v>
      </c>
      <c r="F839">
        <f t="shared" si="93"/>
        <v>6</v>
      </c>
      <c r="G839">
        <f t="shared" si="94"/>
        <v>5.0999999999999996</v>
      </c>
      <c r="H839">
        <f t="shared" si="95"/>
        <v>306</v>
      </c>
      <c r="I839" s="3">
        <f t="shared" si="96"/>
        <v>58.82352941176471</v>
      </c>
      <c r="J839" t="str">
        <f t="shared" si="97"/>
        <v>F</v>
      </c>
    </row>
    <row r="840" spans="1:10" x14ac:dyDescent="0.25">
      <c r="A840" s="4" t="s">
        <v>121</v>
      </c>
      <c r="B840" s="1">
        <v>0.62824999999999998</v>
      </c>
      <c r="C840" s="1">
        <v>0.62470999999999999</v>
      </c>
      <c r="D840" s="1">
        <f t="shared" si="91"/>
        <v>3.5399999999999876E-3</v>
      </c>
      <c r="E840">
        <f t="shared" si="92"/>
        <v>5</v>
      </c>
      <c r="F840">
        <f t="shared" si="93"/>
        <v>6</v>
      </c>
      <c r="G840">
        <f t="shared" si="94"/>
        <v>5.0999999999999996</v>
      </c>
      <c r="H840">
        <f t="shared" si="95"/>
        <v>306</v>
      </c>
      <c r="I840" s="3">
        <f t="shared" si="96"/>
        <v>58.82352941176471</v>
      </c>
      <c r="J840" t="str">
        <f t="shared" si="97"/>
        <v>F</v>
      </c>
    </row>
    <row r="841" spans="1:10" x14ac:dyDescent="0.25">
      <c r="A841" s="4" t="s">
        <v>117</v>
      </c>
      <c r="B841" s="1">
        <v>0.803373</v>
      </c>
      <c r="C841" s="1">
        <v>0.79982900000000001</v>
      </c>
      <c r="D841" s="1">
        <f t="shared" si="91"/>
        <v>3.5439999999999916E-3</v>
      </c>
      <c r="E841">
        <f t="shared" si="92"/>
        <v>5</v>
      </c>
      <c r="F841">
        <f t="shared" si="93"/>
        <v>6</v>
      </c>
      <c r="G841">
        <f t="shared" si="94"/>
        <v>5.0999999999999996</v>
      </c>
      <c r="H841">
        <f t="shared" si="95"/>
        <v>306</v>
      </c>
      <c r="I841" s="3">
        <f t="shared" si="96"/>
        <v>58.82352941176471</v>
      </c>
      <c r="J841" t="str">
        <f t="shared" si="97"/>
        <v>F</v>
      </c>
    </row>
    <row r="842" spans="1:10" x14ac:dyDescent="0.25">
      <c r="A842" s="4" t="s">
        <v>188</v>
      </c>
      <c r="B842" s="1">
        <v>0.28119699999999997</v>
      </c>
      <c r="C842" s="1">
        <v>0.27765699999999999</v>
      </c>
      <c r="D842" s="1">
        <f t="shared" si="91"/>
        <v>3.5399999999999876E-3</v>
      </c>
      <c r="E842">
        <f t="shared" si="92"/>
        <v>5</v>
      </c>
      <c r="F842">
        <f t="shared" si="93"/>
        <v>6</v>
      </c>
      <c r="G842">
        <f t="shared" si="94"/>
        <v>5.0999999999999996</v>
      </c>
      <c r="H842">
        <f t="shared" si="95"/>
        <v>306</v>
      </c>
      <c r="I842" s="3">
        <f t="shared" si="96"/>
        <v>58.82352941176471</v>
      </c>
      <c r="J842" t="str">
        <f t="shared" si="97"/>
        <v>F</v>
      </c>
    </row>
    <row r="843" spans="1:10" x14ac:dyDescent="0.25">
      <c r="A843" s="4" t="s">
        <v>146</v>
      </c>
      <c r="B843" s="1">
        <v>6.4591999999999997E-2</v>
      </c>
      <c r="C843" s="1">
        <v>6.1039999999999997E-2</v>
      </c>
      <c r="D843" s="1">
        <f t="shared" si="91"/>
        <v>3.5519999999999996E-3</v>
      </c>
      <c r="E843">
        <f t="shared" si="92"/>
        <v>5</v>
      </c>
      <c r="F843">
        <f t="shared" si="93"/>
        <v>7</v>
      </c>
      <c r="G843">
        <f t="shared" si="94"/>
        <v>5.12</v>
      </c>
      <c r="H843">
        <f t="shared" si="95"/>
        <v>307</v>
      </c>
      <c r="I843" s="3">
        <f t="shared" si="96"/>
        <v>58.631921824104232</v>
      </c>
      <c r="J843" t="str">
        <f t="shared" si="97"/>
        <v>F</v>
      </c>
    </row>
    <row r="844" spans="1:10" x14ac:dyDescent="0.25">
      <c r="A844" s="4" t="s">
        <v>5</v>
      </c>
      <c r="B844" s="1">
        <v>0.59608099999999997</v>
      </c>
      <c r="C844" s="1">
        <v>0.59963299999999997</v>
      </c>
      <c r="D844" s="1">
        <f t="shared" si="91"/>
        <v>3.5519999999999996E-3</v>
      </c>
      <c r="E844">
        <f t="shared" si="92"/>
        <v>5</v>
      </c>
      <c r="F844">
        <f t="shared" si="93"/>
        <v>7</v>
      </c>
      <c r="G844">
        <f t="shared" si="94"/>
        <v>5.12</v>
      </c>
      <c r="H844">
        <f t="shared" si="95"/>
        <v>307</v>
      </c>
      <c r="I844" s="3">
        <f t="shared" si="96"/>
        <v>58.631921824104232</v>
      </c>
      <c r="J844" t="str">
        <f t="shared" si="97"/>
        <v>F</v>
      </c>
    </row>
    <row r="845" spans="1:10" x14ac:dyDescent="0.25">
      <c r="A845" s="4" t="s">
        <v>79</v>
      </c>
      <c r="B845" s="1">
        <v>0.22035199999999999</v>
      </c>
      <c r="C845" s="1">
        <v>0.21679999999999999</v>
      </c>
      <c r="D845" s="1">
        <f t="shared" si="91"/>
        <v>3.5519999999999996E-3</v>
      </c>
      <c r="E845">
        <f t="shared" si="92"/>
        <v>5</v>
      </c>
      <c r="F845">
        <f t="shared" si="93"/>
        <v>7</v>
      </c>
      <c r="G845">
        <f t="shared" si="94"/>
        <v>5.12</v>
      </c>
      <c r="H845">
        <f t="shared" si="95"/>
        <v>307</v>
      </c>
      <c r="I845" s="3">
        <f t="shared" si="96"/>
        <v>58.631921824104232</v>
      </c>
      <c r="J845" t="str">
        <f t="shared" si="97"/>
        <v>F</v>
      </c>
    </row>
    <row r="846" spans="1:10" x14ac:dyDescent="0.25">
      <c r="A846" s="4" t="s">
        <v>200</v>
      </c>
      <c r="B846" s="1">
        <v>0.64594499999999999</v>
      </c>
      <c r="C846" s="1">
        <v>0.649501</v>
      </c>
      <c r="D846" s="1">
        <f t="shared" si="91"/>
        <v>3.5560000000000036E-3</v>
      </c>
      <c r="E846">
        <f t="shared" si="92"/>
        <v>5</v>
      </c>
      <c r="F846">
        <f t="shared" si="93"/>
        <v>7</v>
      </c>
      <c r="G846">
        <f t="shared" si="94"/>
        <v>5.12</v>
      </c>
      <c r="H846">
        <f t="shared" si="95"/>
        <v>307</v>
      </c>
      <c r="I846" s="3">
        <f t="shared" si="96"/>
        <v>58.631921824104232</v>
      </c>
      <c r="J846" t="str">
        <f t="shared" si="97"/>
        <v>F</v>
      </c>
    </row>
    <row r="847" spans="1:10" x14ac:dyDescent="0.25">
      <c r="A847" s="4" t="s">
        <v>6</v>
      </c>
      <c r="B847" s="1">
        <v>0.33882099999999998</v>
      </c>
      <c r="C847" s="1">
        <v>0.342389</v>
      </c>
      <c r="D847" s="1">
        <f t="shared" si="91"/>
        <v>3.5680000000000156E-3</v>
      </c>
      <c r="E847">
        <f t="shared" si="92"/>
        <v>5</v>
      </c>
      <c r="F847">
        <f t="shared" si="93"/>
        <v>8</v>
      </c>
      <c r="G847">
        <f t="shared" si="94"/>
        <v>5.13</v>
      </c>
      <c r="H847">
        <f t="shared" si="95"/>
        <v>308</v>
      </c>
      <c r="I847" s="3">
        <f t="shared" si="96"/>
        <v>58.441558441558442</v>
      </c>
      <c r="J847" t="str">
        <f t="shared" si="97"/>
        <v>F</v>
      </c>
    </row>
    <row r="848" spans="1:10" x14ac:dyDescent="0.25">
      <c r="A848" s="4" t="s">
        <v>109</v>
      </c>
      <c r="B848" s="1">
        <v>0.12549399999999999</v>
      </c>
      <c r="C848" s="1">
        <v>0.121934</v>
      </c>
      <c r="D848" s="1">
        <f t="shared" si="91"/>
        <v>3.5599999999999937E-3</v>
      </c>
      <c r="E848">
        <f t="shared" si="92"/>
        <v>5</v>
      </c>
      <c r="F848">
        <f t="shared" si="93"/>
        <v>8</v>
      </c>
      <c r="G848">
        <f t="shared" si="94"/>
        <v>5.13</v>
      </c>
      <c r="H848">
        <f t="shared" si="95"/>
        <v>308</v>
      </c>
      <c r="I848" s="3">
        <f t="shared" si="96"/>
        <v>58.441558441558442</v>
      </c>
      <c r="J848" t="str">
        <f t="shared" si="97"/>
        <v>F</v>
      </c>
    </row>
    <row r="849" spans="1:10" x14ac:dyDescent="0.25">
      <c r="A849" s="4" t="s">
        <v>40</v>
      </c>
      <c r="B849" s="1">
        <v>4.8376000000000002E-2</v>
      </c>
      <c r="C849" s="1">
        <v>4.4811999999999998E-2</v>
      </c>
      <c r="D849" s="1">
        <f t="shared" si="91"/>
        <v>3.5640000000000047E-3</v>
      </c>
      <c r="E849">
        <f t="shared" si="92"/>
        <v>5</v>
      </c>
      <c r="F849">
        <f t="shared" si="93"/>
        <v>8</v>
      </c>
      <c r="G849">
        <f t="shared" si="94"/>
        <v>5.13</v>
      </c>
      <c r="H849">
        <f t="shared" si="95"/>
        <v>308</v>
      </c>
      <c r="I849" s="3">
        <f t="shared" si="96"/>
        <v>58.441558441558442</v>
      </c>
      <c r="J849" t="str">
        <f t="shared" si="97"/>
        <v>F</v>
      </c>
    </row>
    <row r="850" spans="1:10" x14ac:dyDescent="0.25">
      <c r="A850" s="4" t="s">
        <v>186</v>
      </c>
      <c r="B850" s="1">
        <v>0.53231499999999998</v>
      </c>
      <c r="C850" s="1">
        <v>0.52875499999999998</v>
      </c>
      <c r="D850" s="1">
        <f t="shared" si="91"/>
        <v>3.5600000000000076E-3</v>
      </c>
      <c r="E850">
        <f t="shared" si="92"/>
        <v>5</v>
      </c>
      <c r="F850">
        <f t="shared" si="93"/>
        <v>8</v>
      </c>
      <c r="G850">
        <f t="shared" si="94"/>
        <v>5.13</v>
      </c>
      <c r="H850">
        <f t="shared" si="95"/>
        <v>308</v>
      </c>
      <c r="I850" s="3">
        <f t="shared" si="96"/>
        <v>58.441558441558442</v>
      </c>
      <c r="J850" t="str">
        <f t="shared" si="97"/>
        <v>F</v>
      </c>
    </row>
    <row r="851" spans="1:10" x14ac:dyDescent="0.25">
      <c r="A851" s="4" t="s">
        <v>225</v>
      </c>
      <c r="B851" s="1">
        <v>0.13014400000000001</v>
      </c>
      <c r="C851" s="1">
        <v>0.133712</v>
      </c>
      <c r="D851" s="1">
        <f t="shared" si="91"/>
        <v>3.5679999999999878E-3</v>
      </c>
      <c r="E851">
        <f t="shared" si="92"/>
        <v>5</v>
      </c>
      <c r="F851">
        <f t="shared" si="93"/>
        <v>8</v>
      </c>
      <c r="G851">
        <f t="shared" si="94"/>
        <v>5.13</v>
      </c>
      <c r="H851">
        <f t="shared" si="95"/>
        <v>308</v>
      </c>
      <c r="I851" s="3">
        <f t="shared" si="96"/>
        <v>58.441558441558442</v>
      </c>
      <c r="J851" t="str">
        <f t="shared" si="97"/>
        <v>F</v>
      </c>
    </row>
    <row r="852" spans="1:10" x14ac:dyDescent="0.25">
      <c r="A852" s="4" t="s">
        <v>68</v>
      </c>
      <c r="B852" s="1">
        <v>0.52852399999999999</v>
      </c>
      <c r="C852" s="1">
        <v>0.52494399999999997</v>
      </c>
      <c r="D852" s="1">
        <f t="shared" si="91"/>
        <v>3.5800000000000276E-3</v>
      </c>
      <c r="E852">
        <f t="shared" si="92"/>
        <v>5</v>
      </c>
      <c r="F852">
        <f t="shared" si="93"/>
        <v>9</v>
      </c>
      <c r="G852">
        <f t="shared" si="94"/>
        <v>5.15</v>
      </c>
      <c r="H852">
        <f t="shared" si="95"/>
        <v>309</v>
      </c>
      <c r="I852" s="3">
        <f t="shared" si="96"/>
        <v>58.252427184466022</v>
      </c>
      <c r="J852" t="str">
        <f t="shared" si="97"/>
        <v>F</v>
      </c>
    </row>
    <row r="853" spans="1:10" x14ac:dyDescent="0.25">
      <c r="A853" s="4" t="s">
        <v>69</v>
      </c>
      <c r="B853" s="1">
        <v>0.52150200000000002</v>
      </c>
      <c r="C853" s="1">
        <v>0.517926</v>
      </c>
      <c r="D853" s="1">
        <f t="shared" si="91"/>
        <v>3.5760000000000236E-3</v>
      </c>
      <c r="E853">
        <f t="shared" si="92"/>
        <v>5</v>
      </c>
      <c r="F853">
        <f t="shared" si="93"/>
        <v>9</v>
      </c>
      <c r="G853">
        <f t="shared" si="94"/>
        <v>5.15</v>
      </c>
      <c r="H853">
        <f t="shared" si="95"/>
        <v>309</v>
      </c>
      <c r="I853" s="3">
        <f t="shared" si="96"/>
        <v>58.252427184466022</v>
      </c>
      <c r="J853" t="str">
        <f t="shared" si="97"/>
        <v>F</v>
      </c>
    </row>
    <row r="854" spans="1:10" x14ac:dyDescent="0.25">
      <c r="A854" s="4" t="s">
        <v>5</v>
      </c>
      <c r="B854" s="1">
        <v>0.13581199999999999</v>
      </c>
      <c r="C854" s="1">
        <v>0.13939199999999999</v>
      </c>
      <c r="D854" s="1">
        <f t="shared" si="91"/>
        <v>3.5799999999999998E-3</v>
      </c>
      <c r="E854">
        <f t="shared" si="92"/>
        <v>5</v>
      </c>
      <c r="F854">
        <f t="shared" si="93"/>
        <v>9</v>
      </c>
      <c r="G854">
        <f t="shared" si="94"/>
        <v>5.15</v>
      </c>
      <c r="H854">
        <f t="shared" si="95"/>
        <v>309</v>
      </c>
      <c r="I854" s="3">
        <f t="shared" si="96"/>
        <v>58.252427184466022</v>
      </c>
      <c r="J854" t="str">
        <f t="shared" si="97"/>
        <v>F</v>
      </c>
    </row>
    <row r="855" spans="1:10" x14ac:dyDescent="0.25">
      <c r="A855" s="4" t="s">
        <v>136</v>
      </c>
      <c r="B855" s="1">
        <v>0.68890700000000005</v>
      </c>
      <c r="C855" s="1">
        <v>0.69249099999999997</v>
      </c>
      <c r="D855" s="1">
        <f t="shared" si="91"/>
        <v>3.5839999999999206E-3</v>
      </c>
      <c r="E855">
        <f t="shared" si="92"/>
        <v>5</v>
      </c>
      <c r="F855">
        <f t="shared" si="93"/>
        <v>10</v>
      </c>
      <c r="G855">
        <f t="shared" si="94"/>
        <v>5.17</v>
      </c>
      <c r="H855">
        <f t="shared" si="95"/>
        <v>310</v>
      </c>
      <c r="I855" s="3">
        <f t="shared" si="96"/>
        <v>58.064516129032256</v>
      </c>
      <c r="J855" t="str">
        <f t="shared" si="97"/>
        <v>F</v>
      </c>
    </row>
    <row r="856" spans="1:10" x14ac:dyDescent="0.25">
      <c r="A856" s="4" t="s">
        <v>60</v>
      </c>
      <c r="B856" s="1">
        <v>0.715557</v>
      </c>
      <c r="C856" s="1">
        <v>0.71916100000000005</v>
      </c>
      <c r="D856" s="1">
        <f t="shared" si="91"/>
        <v>3.6040000000000516E-3</v>
      </c>
      <c r="E856">
        <f t="shared" si="92"/>
        <v>5</v>
      </c>
      <c r="F856">
        <f t="shared" si="93"/>
        <v>11</v>
      </c>
      <c r="G856">
        <f t="shared" si="94"/>
        <v>5.18</v>
      </c>
      <c r="H856">
        <f t="shared" si="95"/>
        <v>311</v>
      </c>
      <c r="I856" s="3">
        <f t="shared" si="96"/>
        <v>57.877813504823152</v>
      </c>
      <c r="J856" t="str">
        <f t="shared" si="97"/>
        <v>F</v>
      </c>
    </row>
    <row r="857" spans="1:10" x14ac:dyDescent="0.25">
      <c r="A857" s="4" t="s">
        <v>18</v>
      </c>
      <c r="B857" s="1">
        <v>0.62996300000000005</v>
      </c>
      <c r="C857" s="1">
        <v>0.62636700000000001</v>
      </c>
      <c r="D857" s="1">
        <f t="shared" si="91"/>
        <v>3.5960000000000436E-3</v>
      </c>
      <c r="E857">
        <f t="shared" si="92"/>
        <v>5</v>
      </c>
      <c r="F857">
        <f t="shared" si="93"/>
        <v>11</v>
      </c>
      <c r="G857">
        <f t="shared" si="94"/>
        <v>5.18</v>
      </c>
      <c r="H857">
        <f t="shared" si="95"/>
        <v>311</v>
      </c>
      <c r="I857" s="3">
        <f t="shared" si="96"/>
        <v>57.877813504823152</v>
      </c>
      <c r="J857" t="str">
        <f t="shared" si="97"/>
        <v>F</v>
      </c>
    </row>
    <row r="858" spans="1:10" x14ac:dyDescent="0.25">
      <c r="A858" s="4" t="s">
        <v>113</v>
      </c>
      <c r="B858" s="1">
        <v>0.93603599999999998</v>
      </c>
      <c r="C858" s="1">
        <v>0.93963600000000003</v>
      </c>
      <c r="D858" s="1">
        <f t="shared" si="91"/>
        <v>3.6000000000000476E-3</v>
      </c>
      <c r="E858">
        <f t="shared" si="92"/>
        <v>5</v>
      </c>
      <c r="F858">
        <f t="shared" si="93"/>
        <v>11</v>
      </c>
      <c r="G858">
        <f t="shared" si="94"/>
        <v>5.18</v>
      </c>
      <c r="H858">
        <f t="shared" si="95"/>
        <v>311</v>
      </c>
      <c r="I858" s="3">
        <f t="shared" si="96"/>
        <v>57.877813504823152</v>
      </c>
      <c r="J858" t="str">
        <f t="shared" si="97"/>
        <v>F</v>
      </c>
    </row>
    <row r="859" spans="1:10" x14ac:dyDescent="0.25">
      <c r="A859" s="4" t="s">
        <v>219</v>
      </c>
      <c r="B859" s="1">
        <v>0.51214999999999999</v>
      </c>
      <c r="C859" s="1">
        <v>0.50854600000000005</v>
      </c>
      <c r="D859" s="1">
        <f t="shared" si="91"/>
        <v>3.6039999999999406E-3</v>
      </c>
      <c r="E859">
        <f t="shared" si="92"/>
        <v>5</v>
      </c>
      <c r="F859">
        <f t="shared" si="93"/>
        <v>11</v>
      </c>
      <c r="G859">
        <f t="shared" si="94"/>
        <v>5.18</v>
      </c>
      <c r="H859">
        <f t="shared" si="95"/>
        <v>311</v>
      </c>
      <c r="I859" s="3">
        <f t="shared" si="96"/>
        <v>57.877813504823152</v>
      </c>
      <c r="J859" t="str">
        <f t="shared" si="97"/>
        <v>F</v>
      </c>
    </row>
    <row r="860" spans="1:10" x14ac:dyDescent="0.25">
      <c r="A860" s="4" t="s">
        <v>14</v>
      </c>
      <c r="B860" s="1">
        <v>0.24673800000000001</v>
      </c>
      <c r="C860" s="1">
        <v>0.24312600000000001</v>
      </c>
      <c r="D860" s="1">
        <f t="shared" si="91"/>
        <v>3.6120000000000041E-3</v>
      </c>
      <c r="E860">
        <f t="shared" si="92"/>
        <v>5</v>
      </c>
      <c r="F860">
        <f t="shared" si="93"/>
        <v>12</v>
      </c>
      <c r="G860">
        <f t="shared" si="94"/>
        <v>5.2</v>
      </c>
      <c r="H860">
        <f t="shared" si="95"/>
        <v>312</v>
      </c>
      <c r="I860" s="3">
        <f t="shared" si="96"/>
        <v>57.692307692307693</v>
      </c>
      <c r="J860" t="str">
        <f t="shared" si="97"/>
        <v>F</v>
      </c>
    </row>
    <row r="861" spans="1:10" x14ac:dyDescent="0.25">
      <c r="A861" s="4" t="s">
        <v>98</v>
      </c>
      <c r="B861" s="1">
        <v>0.456841</v>
      </c>
      <c r="C861" s="1">
        <v>0.45322499999999999</v>
      </c>
      <c r="D861" s="1">
        <f t="shared" si="91"/>
        <v>3.6160000000000081E-3</v>
      </c>
      <c r="E861">
        <f t="shared" si="92"/>
        <v>5</v>
      </c>
      <c r="F861">
        <f t="shared" si="93"/>
        <v>12</v>
      </c>
      <c r="G861">
        <f t="shared" si="94"/>
        <v>5.2</v>
      </c>
      <c r="H861">
        <f t="shared" si="95"/>
        <v>312</v>
      </c>
      <c r="I861" s="3">
        <f t="shared" si="96"/>
        <v>57.692307692307693</v>
      </c>
      <c r="J861" t="str">
        <f t="shared" si="97"/>
        <v>F</v>
      </c>
    </row>
    <row r="862" spans="1:10" x14ac:dyDescent="0.25">
      <c r="A862" s="4" t="s">
        <v>364</v>
      </c>
      <c r="B862" s="1">
        <v>0.96552199999999999</v>
      </c>
      <c r="C862" s="1">
        <v>0.96191400000000005</v>
      </c>
      <c r="D862" s="1">
        <f t="shared" si="91"/>
        <v>3.6079999999999446E-3</v>
      </c>
      <c r="E862">
        <f t="shared" si="92"/>
        <v>5</v>
      </c>
      <c r="F862">
        <f t="shared" si="93"/>
        <v>12</v>
      </c>
      <c r="G862">
        <f t="shared" si="94"/>
        <v>5.2</v>
      </c>
      <c r="H862">
        <f t="shared" si="95"/>
        <v>312</v>
      </c>
      <c r="I862" s="3">
        <f t="shared" si="96"/>
        <v>57.692307692307693</v>
      </c>
      <c r="J862" t="str">
        <f t="shared" si="97"/>
        <v>F</v>
      </c>
    </row>
    <row r="863" spans="1:10" x14ac:dyDescent="0.25">
      <c r="A863" s="4" t="s">
        <v>123</v>
      </c>
      <c r="B863" s="1">
        <v>0.97869200000000001</v>
      </c>
      <c r="C863" s="1">
        <v>0.97506400000000004</v>
      </c>
      <c r="D863" s="1">
        <f t="shared" si="91"/>
        <v>3.6279999999999646E-3</v>
      </c>
      <c r="E863">
        <f t="shared" si="92"/>
        <v>5</v>
      </c>
      <c r="F863">
        <f t="shared" si="93"/>
        <v>13</v>
      </c>
      <c r="G863">
        <f t="shared" si="94"/>
        <v>5.22</v>
      </c>
      <c r="H863">
        <f t="shared" si="95"/>
        <v>313</v>
      </c>
      <c r="I863" s="3">
        <f t="shared" si="96"/>
        <v>57.507987220447284</v>
      </c>
      <c r="J863" t="str">
        <f t="shared" si="97"/>
        <v>F</v>
      </c>
    </row>
    <row r="864" spans="1:10" x14ac:dyDescent="0.25">
      <c r="A864" s="4" t="s">
        <v>155</v>
      </c>
      <c r="B864" s="1">
        <v>0.113997</v>
      </c>
      <c r="C864" s="1">
        <v>0.117621</v>
      </c>
      <c r="D864" s="1">
        <f t="shared" si="91"/>
        <v>3.6240000000000022E-3</v>
      </c>
      <c r="E864">
        <f t="shared" si="92"/>
        <v>5</v>
      </c>
      <c r="F864">
        <f t="shared" si="93"/>
        <v>13</v>
      </c>
      <c r="G864">
        <f t="shared" si="94"/>
        <v>5.22</v>
      </c>
      <c r="H864">
        <f t="shared" si="95"/>
        <v>313</v>
      </c>
      <c r="I864" s="3">
        <f t="shared" si="96"/>
        <v>57.507987220447284</v>
      </c>
      <c r="J864" t="str">
        <f t="shared" si="97"/>
        <v>F</v>
      </c>
    </row>
    <row r="865" spans="1:10" x14ac:dyDescent="0.25">
      <c r="A865" s="4" t="s">
        <v>18</v>
      </c>
      <c r="B865" s="1">
        <v>1.0023960000000001</v>
      </c>
      <c r="C865" s="1">
        <v>0.99877199999999999</v>
      </c>
      <c r="D865" s="1">
        <f t="shared" si="91"/>
        <v>3.6240000000000716E-3</v>
      </c>
      <c r="E865">
        <f t="shared" si="92"/>
        <v>5</v>
      </c>
      <c r="F865">
        <f t="shared" si="93"/>
        <v>13</v>
      </c>
      <c r="G865">
        <f t="shared" si="94"/>
        <v>5.22</v>
      </c>
      <c r="H865">
        <f t="shared" si="95"/>
        <v>313</v>
      </c>
      <c r="I865" s="3">
        <f t="shared" si="96"/>
        <v>57.507987220447284</v>
      </c>
      <c r="J865" t="str">
        <f t="shared" si="97"/>
        <v>F</v>
      </c>
    </row>
    <row r="866" spans="1:10" x14ac:dyDescent="0.25">
      <c r="A866" s="4" t="s">
        <v>99</v>
      </c>
      <c r="B866" s="1">
        <v>9.5533999999999994E-2</v>
      </c>
      <c r="C866" s="1">
        <v>9.1910000000000006E-2</v>
      </c>
      <c r="D866" s="1">
        <f t="shared" si="91"/>
        <v>3.6239999999999883E-3</v>
      </c>
      <c r="E866">
        <f t="shared" si="92"/>
        <v>5</v>
      </c>
      <c r="F866">
        <f t="shared" si="93"/>
        <v>13</v>
      </c>
      <c r="G866">
        <f t="shared" si="94"/>
        <v>5.22</v>
      </c>
      <c r="H866">
        <f t="shared" si="95"/>
        <v>313</v>
      </c>
      <c r="I866" s="3">
        <f t="shared" si="96"/>
        <v>57.507987220447284</v>
      </c>
      <c r="J866" t="str">
        <f t="shared" si="97"/>
        <v>F</v>
      </c>
    </row>
    <row r="867" spans="1:10" x14ac:dyDescent="0.25">
      <c r="A867" s="4" t="s">
        <v>113</v>
      </c>
      <c r="B867" s="1">
        <v>0.16992399999999999</v>
      </c>
      <c r="C867" s="1">
        <v>0.166296</v>
      </c>
      <c r="D867" s="1">
        <f t="shared" si="91"/>
        <v>3.6279999999999923E-3</v>
      </c>
      <c r="E867">
        <f t="shared" si="92"/>
        <v>5</v>
      </c>
      <c r="F867">
        <f t="shared" si="93"/>
        <v>13</v>
      </c>
      <c r="G867">
        <f t="shared" si="94"/>
        <v>5.22</v>
      </c>
      <c r="H867">
        <f t="shared" si="95"/>
        <v>313</v>
      </c>
      <c r="I867" s="3">
        <f t="shared" si="96"/>
        <v>57.507987220447284</v>
      </c>
      <c r="J867" t="str">
        <f t="shared" si="97"/>
        <v>F</v>
      </c>
    </row>
    <row r="868" spans="1:10" x14ac:dyDescent="0.25">
      <c r="A868" s="8" t="s">
        <v>180</v>
      </c>
      <c r="B868" s="1">
        <v>0.14814099999999999</v>
      </c>
      <c r="C868" s="1">
        <v>0.14450499999999999</v>
      </c>
      <c r="D868" s="1">
        <f t="shared" si="91"/>
        <v>3.6360000000000003E-3</v>
      </c>
      <c r="E868">
        <f t="shared" si="92"/>
        <v>5</v>
      </c>
      <c r="F868">
        <f t="shared" si="93"/>
        <v>14</v>
      </c>
      <c r="G868">
        <f t="shared" si="94"/>
        <v>5.23</v>
      </c>
      <c r="H868">
        <f t="shared" si="95"/>
        <v>314</v>
      </c>
      <c r="I868" s="10">
        <f t="shared" si="96"/>
        <v>57.324840764331206</v>
      </c>
      <c r="J868" t="str">
        <f t="shared" si="97"/>
        <v>T</v>
      </c>
    </row>
    <row r="869" spans="1:10" x14ac:dyDescent="0.25">
      <c r="A869" s="4" t="s">
        <v>387</v>
      </c>
      <c r="B869" s="1">
        <v>0.59238800000000003</v>
      </c>
      <c r="C869" s="1">
        <v>0.58874800000000005</v>
      </c>
      <c r="D869" s="1">
        <f t="shared" si="91"/>
        <v>3.6399999999999766E-3</v>
      </c>
      <c r="E869">
        <f t="shared" si="92"/>
        <v>5</v>
      </c>
      <c r="F869">
        <f t="shared" si="93"/>
        <v>14</v>
      </c>
      <c r="G869">
        <f t="shared" si="94"/>
        <v>5.23</v>
      </c>
      <c r="H869">
        <f t="shared" si="95"/>
        <v>314</v>
      </c>
      <c r="I869" s="3">
        <f t="shared" si="96"/>
        <v>57.324840764331206</v>
      </c>
      <c r="J869" t="str">
        <f t="shared" si="97"/>
        <v>F</v>
      </c>
    </row>
    <row r="870" spans="1:10" x14ac:dyDescent="0.25">
      <c r="A870" s="4" t="s">
        <v>84</v>
      </c>
      <c r="B870" s="1">
        <v>0.23138</v>
      </c>
      <c r="C870" s="1">
        <v>0.23502799999999999</v>
      </c>
      <c r="D870" s="1">
        <f t="shared" si="91"/>
        <v>3.6479999999999846E-3</v>
      </c>
      <c r="E870">
        <f t="shared" si="92"/>
        <v>5</v>
      </c>
      <c r="F870">
        <f t="shared" si="93"/>
        <v>15</v>
      </c>
      <c r="G870">
        <f t="shared" si="94"/>
        <v>5.25</v>
      </c>
      <c r="H870">
        <f t="shared" si="95"/>
        <v>315</v>
      </c>
      <c r="I870" s="3">
        <f t="shared" si="96"/>
        <v>57.142857142857146</v>
      </c>
      <c r="J870" t="str">
        <f t="shared" si="97"/>
        <v>F</v>
      </c>
    </row>
    <row r="871" spans="1:10" x14ac:dyDescent="0.25">
      <c r="A871" s="4" t="s">
        <v>49</v>
      </c>
      <c r="B871" s="1">
        <v>0.52166900000000005</v>
      </c>
      <c r="C871" s="1">
        <v>0.52531700000000003</v>
      </c>
      <c r="D871" s="1">
        <f t="shared" si="91"/>
        <v>3.6479999999999846E-3</v>
      </c>
      <c r="E871">
        <f t="shared" si="92"/>
        <v>5</v>
      </c>
      <c r="F871">
        <f t="shared" si="93"/>
        <v>15</v>
      </c>
      <c r="G871">
        <f t="shared" si="94"/>
        <v>5.25</v>
      </c>
      <c r="H871">
        <f t="shared" si="95"/>
        <v>315</v>
      </c>
      <c r="I871" s="3">
        <f t="shared" si="96"/>
        <v>57.142857142857146</v>
      </c>
      <c r="J871" t="str">
        <f t="shared" si="97"/>
        <v>F</v>
      </c>
    </row>
    <row r="872" spans="1:10" x14ac:dyDescent="0.25">
      <c r="A872" s="4" t="s">
        <v>41</v>
      </c>
      <c r="B872" s="1">
        <v>0.33540799999999998</v>
      </c>
      <c r="C872" s="1">
        <v>0.33905200000000002</v>
      </c>
      <c r="D872" s="1">
        <f t="shared" si="91"/>
        <v>3.6440000000000361E-3</v>
      </c>
      <c r="E872">
        <f t="shared" si="92"/>
        <v>5</v>
      </c>
      <c r="F872">
        <f t="shared" si="93"/>
        <v>15</v>
      </c>
      <c r="G872">
        <f t="shared" si="94"/>
        <v>5.25</v>
      </c>
      <c r="H872">
        <f t="shared" si="95"/>
        <v>315</v>
      </c>
      <c r="I872" s="3">
        <f t="shared" si="96"/>
        <v>57.142857142857146</v>
      </c>
      <c r="J872" t="str">
        <f t="shared" si="97"/>
        <v>F</v>
      </c>
    </row>
    <row r="873" spans="1:10" x14ac:dyDescent="0.25">
      <c r="A873" s="4" t="s">
        <v>117</v>
      </c>
      <c r="B873" s="1">
        <v>0.54806999999999995</v>
      </c>
      <c r="C873" s="1">
        <v>0.54442199999999996</v>
      </c>
      <c r="D873" s="1">
        <f t="shared" si="91"/>
        <v>3.6479999999999846E-3</v>
      </c>
      <c r="E873">
        <f t="shared" si="92"/>
        <v>5</v>
      </c>
      <c r="F873">
        <f t="shared" si="93"/>
        <v>15</v>
      </c>
      <c r="G873">
        <f t="shared" si="94"/>
        <v>5.25</v>
      </c>
      <c r="H873">
        <f t="shared" si="95"/>
        <v>315</v>
      </c>
      <c r="I873" s="3">
        <f t="shared" si="96"/>
        <v>57.142857142857146</v>
      </c>
      <c r="J873" t="str">
        <f t="shared" si="97"/>
        <v>F</v>
      </c>
    </row>
    <row r="874" spans="1:10" x14ac:dyDescent="0.25">
      <c r="A874" s="4" t="s">
        <v>46</v>
      </c>
      <c r="B874" s="1">
        <v>0.193527</v>
      </c>
      <c r="C874" s="1">
        <v>0.18987100000000001</v>
      </c>
      <c r="D874" s="1">
        <f t="shared" si="91"/>
        <v>3.6559999999999926E-3</v>
      </c>
      <c r="E874">
        <f t="shared" si="92"/>
        <v>5</v>
      </c>
      <c r="F874">
        <f t="shared" si="93"/>
        <v>16</v>
      </c>
      <c r="G874">
        <f t="shared" si="94"/>
        <v>5.27</v>
      </c>
      <c r="H874">
        <f t="shared" si="95"/>
        <v>316</v>
      </c>
      <c r="I874" s="3">
        <f t="shared" si="96"/>
        <v>56.962025316455694</v>
      </c>
      <c r="J874" t="str">
        <f t="shared" si="97"/>
        <v>F</v>
      </c>
    </row>
    <row r="875" spans="1:10" x14ac:dyDescent="0.25">
      <c r="A875" s="4" t="s">
        <v>109</v>
      </c>
      <c r="B875" s="1">
        <v>0.68685200000000002</v>
      </c>
      <c r="C875" s="1">
        <v>0.69050400000000001</v>
      </c>
      <c r="D875" s="1">
        <f t="shared" si="91"/>
        <v>3.6519999999999886E-3</v>
      </c>
      <c r="E875">
        <f t="shared" si="92"/>
        <v>5</v>
      </c>
      <c r="F875">
        <f t="shared" si="93"/>
        <v>16</v>
      </c>
      <c r="G875">
        <f t="shared" si="94"/>
        <v>5.27</v>
      </c>
      <c r="H875">
        <f t="shared" si="95"/>
        <v>316</v>
      </c>
      <c r="I875" s="3">
        <f t="shared" si="96"/>
        <v>56.962025316455694</v>
      </c>
      <c r="J875" t="str">
        <f t="shared" si="97"/>
        <v>F</v>
      </c>
    </row>
    <row r="876" spans="1:10" x14ac:dyDescent="0.25">
      <c r="A876" s="4" t="s">
        <v>41</v>
      </c>
      <c r="B876" s="1">
        <v>0.86237600000000003</v>
      </c>
      <c r="C876" s="1">
        <v>0.86603200000000002</v>
      </c>
      <c r="D876" s="1">
        <f t="shared" si="91"/>
        <v>3.6559999999999926E-3</v>
      </c>
      <c r="E876">
        <f t="shared" si="92"/>
        <v>5</v>
      </c>
      <c r="F876">
        <f t="shared" si="93"/>
        <v>16</v>
      </c>
      <c r="G876">
        <f t="shared" si="94"/>
        <v>5.27</v>
      </c>
      <c r="H876">
        <f t="shared" si="95"/>
        <v>316</v>
      </c>
      <c r="I876" s="3">
        <f t="shared" si="96"/>
        <v>56.962025316455694</v>
      </c>
      <c r="J876" t="str">
        <f t="shared" si="97"/>
        <v>F</v>
      </c>
    </row>
    <row r="877" spans="1:10" x14ac:dyDescent="0.25">
      <c r="A877" s="4" t="s">
        <v>24</v>
      </c>
      <c r="B877" s="1">
        <v>0.355049</v>
      </c>
      <c r="C877" s="1">
        <v>0.358705</v>
      </c>
      <c r="D877" s="1">
        <f t="shared" si="91"/>
        <v>3.6559999999999926E-3</v>
      </c>
      <c r="E877">
        <f t="shared" si="92"/>
        <v>5</v>
      </c>
      <c r="F877">
        <f t="shared" si="93"/>
        <v>16</v>
      </c>
      <c r="G877">
        <f t="shared" si="94"/>
        <v>5.27</v>
      </c>
      <c r="H877">
        <f t="shared" si="95"/>
        <v>316</v>
      </c>
      <c r="I877" s="3">
        <f t="shared" si="96"/>
        <v>56.962025316455694</v>
      </c>
      <c r="J877" t="str">
        <f t="shared" si="97"/>
        <v>F</v>
      </c>
    </row>
    <row r="878" spans="1:10" x14ac:dyDescent="0.25">
      <c r="A878" s="4" t="s">
        <v>45</v>
      </c>
      <c r="B878" s="1">
        <v>0.26977200000000001</v>
      </c>
      <c r="C878" s="1">
        <v>0.2661</v>
      </c>
      <c r="D878" s="1">
        <f t="shared" si="91"/>
        <v>3.6720000000000086E-3</v>
      </c>
      <c r="E878">
        <f t="shared" si="92"/>
        <v>5</v>
      </c>
      <c r="F878">
        <f t="shared" si="93"/>
        <v>17</v>
      </c>
      <c r="G878">
        <f t="shared" si="94"/>
        <v>5.28</v>
      </c>
      <c r="H878">
        <f t="shared" si="95"/>
        <v>317</v>
      </c>
      <c r="I878" s="3">
        <f t="shared" si="96"/>
        <v>56.782334384858046</v>
      </c>
      <c r="J878" t="str">
        <f t="shared" si="97"/>
        <v>F</v>
      </c>
    </row>
    <row r="879" spans="1:10" x14ac:dyDescent="0.25">
      <c r="A879" s="4" t="s">
        <v>12</v>
      </c>
      <c r="B879" s="1">
        <v>0.17019400000000001</v>
      </c>
      <c r="C879" s="1">
        <v>0.17386599999999999</v>
      </c>
      <c r="D879" s="1">
        <f t="shared" si="91"/>
        <v>3.6719999999999808E-3</v>
      </c>
      <c r="E879">
        <f t="shared" si="92"/>
        <v>5</v>
      </c>
      <c r="F879">
        <f t="shared" si="93"/>
        <v>17</v>
      </c>
      <c r="G879">
        <f t="shared" si="94"/>
        <v>5.28</v>
      </c>
      <c r="H879">
        <f t="shared" si="95"/>
        <v>317</v>
      </c>
      <c r="I879" s="3">
        <f t="shared" si="96"/>
        <v>56.782334384858046</v>
      </c>
      <c r="J879" t="str">
        <f t="shared" si="97"/>
        <v>F</v>
      </c>
    </row>
    <row r="880" spans="1:10" x14ac:dyDescent="0.25">
      <c r="A880" s="4" t="s">
        <v>91</v>
      </c>
      <c r="B880" s="1">
        <v>0.97138999999999998</v>
      </c>
      <c r="C880" s="1">
        <v>0.97505799999999998</v>
      </c>
      <c r="D880" s="1">
        <f t="shared" si="91"/>
        <v>3.6680000000000046E-3</v>
      </c>
      <c r="E880">
        <f t="shared" si="92"/>
        <v>5</v>
      </c>
      <c r="F880">
        <f t="shared" si="93"/>
        <v>17</v>
      </c>
      <c r="G880">
        <f t="shared" si="94"/>
        <v>5.28</v>
      </c>
      <c r="H880">
        <f t="shared" si="95"/>
        <v>317</v>
      </c>
      <c r="I880" s="3">
        <f t="shared" si="96"/>
        <v>56.782334384858046</v>
      </c>
      <c r="J880" t="str">
        <f t="shared" si="97"/>
        <v>F</v>
      </c>
    </row>
    <row r="881" spans="1:10" x14ac:dyDescent="0.25">
      <c r="A881" s="4" t="s">
        <v>249</v>
      </c>
      <c r="B881" s="1">
        <v>0.261075</v>
      </c>
      <c r="C881" s="1">
        <v>0.257411</v>
      </c>
      <c r="D881" s="1">
        <f t="shared" si="91"/>
        <v>3.6640000000000006E-3</v>
      </c>
      <c r="E881">
        <f t="shared" si="92"/>
        <v>5</v>
      </c>
      <c r="F881">
        <f t="shared" si="93"/>
        <v>17</v>
      </c>
      <c r="G881">
        <f t="shared" si="94"/>
        <v>5.28</v>
      </c>
      <c r="H881">
        <f t="shared" si="95"/>
        <v>317</v>
      </c>
      <c r="I881" s="3">
        <f t="shared" si="96"/>
        <v>56.782334384858046</v>
      </c>
      <c r="J881" t="str">
        <f t="shared" si="97"/>
        <v>F</v>
      </c>
    </row>
    <row r="882" spans="1:10" x14ac:dyDescent="0.25">
      <c r="A882" s="4" t="s">
        <v>279</v>
      </c>
      <c r="B882" s="1">
        <v>0.20541999999999999</v>
      </c>
      <c r="C882" s="1">
        <v>0.20174800000000001</v>
      </c>
      <c r="D882" s="1">
        <f t="shared" si="91"/>
        <v>3.6719999999999808E-3</v>
      </c>
      <c r="E882">
        <f t="shared" si="92"/>
        <v>5</v>
      </c>
      <c r="F882">
        <f t="shared" si="93"/>
        <v>17</v>
      </c>
      <c r="G882">
        <f t="shared" si="94"/>
        <v>5.28</v>
      </c>
      <c r="H882">
        <f t="shared" si="95"/>
        <v>317</v>
      </c>
      <c r="I882" s="3">
        <f t="shared" si="96"/>
        <v>56.782334384858046</v>
      </c>
      <c r="J882" t="str">
        <f t="shared" si="97"/>
        <v>F</v>
      </c>
    </row>
    <row r="883" spans="1:10" x14ac:dyDescent="0.25">
      <c r="A883" s="4" t="s">
        <v>284</v>
      </c>
      <c r="B883" s="1">
        <v>0.466858</v>
      </c>
      <c r="C883" s="1">
        <v>0.47053</v>
      </c>
      <c r="D883" s="1">
        <f t="shared" si="91"/>
        <v>3.6720000000000086E-3</v>
      </c>
      <c r="E883">
        <f t="shared" si="92"/>
        <v>5</v>
      </c>
      <c r="F883">
        <f t="shared" si="93"/>
        <v>17</v>
      </c>
      <c r="G883">
        <f t="shared" si="94"/>
        <v>5.28</v>
      </c>
      <c r="H883">
        <f t="shared" si="95"/>
        <v>317</v>
      </c>
      <c r="I883" s="3">
        <f t="shared" si="96"/>
        <v>56.782334384858046</v>
      </c>
      <c r="J883" t="str">
        <f t="shared" si="97"/>
        <v>F</v>
      </c>
    </row>
    <row r="884" spans="1:10" x14ac:dyDescent="0.25">
      <c r="A884" s="4" t="s">
        <v>117</v>
      </c>
      <c r="B884" s="1">
        <v>0.91855399999999998</v>
      </c>
      <c r="C884" s="1">
        <v>0.92222999999999999</v>
      </c>
      <c r="D884" s="1">
        <f t="shared" si="91"/>
        <v>3.6760000000000126E-3</v>
      </c>
      <c r="E884">
        <f t="shared" si="92"/>
        <v>5</v>
      </c>
      <c r="F884">
        <f t="shared" si="93"/>
        <v>18</v>
      </c>
      <c r="G884">
        <f t="shared" si="94"/>
        <v>5.3</v>
      </c>
      <c r="H884">
        <f t="shared" si="95"/>
        <v>318</v>
      </c>
      <c r="I884" s="3">
        <f t="shared" si="96"/>
        <v>56.603773584905653</v>
      </c>
      <c r="J884" t="str">
        <f t="shared" si="97"/>
        <v>F</v>
      </c>
    </row>
    <row r="885" spans="1:10" x14ac:dyDescent="0.25">
      <c r="A885" s="4" t="s">
        <v>397</v>
      </c>
      <c r="B885" s="1">
        <v>0.62391700000000005</v>
      </c>
      <c r="C885" s="1">
        <v>0.62759699999999996</v>
      </c>
      <c r="D885" s="1">
        <f t="shared" si="91"/>
        <v>3.6799999999999056E-3</v>
      </c>
      <c r="E885">
        <f t="shared" si="92"/>
        <v>5</v>
      </c>
      <c r="F885">
        <f t="shared" si="93"/>
        <v>18</v>
      </c>
      <c r="G885">
        <f t="shared" si="94"/>
        <v>5.3</v>
      </c>
      <c r="H885">
        <f t="shared" si="95"/>
        <v>318</v>
      </c>
      <c r="I885" s="3">
        <f t="shared" si="96"/>
        <v>56.603773584905653</v>
      </c>
      <c r="J885" t="str">
        <f t="shared" si="97"/>
        <v>F</v>
      </c>
    </row>
    <row r="886" spans="1:10" x14ac:dyDescent="0.25">
      <c r="A886" s="4" t="s">
        <v>64</v>
      </c>
      <c r="B886" s="1">
        <v>0.184341</v>
      </c>
      <c r="C886" s="1">
        <v>0.18803700000000001</v>
      </c>
      <c r="D886" s="1">
        <f t="shared" si="91"/>
        <v>3.6960000000000048E-3</v>
      </c>
      <c r="E886">
        <f t="shared" si="92"/>
        <v>5</v>
      </c>
      <c r="F886">
        <f t="shared" si="93"/>
        <v>19</v>
      </c>
      <c r="G886">
        <f t="shared" si="94"/>
        <v>5.32</v>
      </c>
      <c r="H886">
        <f t="shared" si="95"/>
        <v>319</v>
      </c>
      <c r="I886" s="3">
        <f t="shared" si="96"/>
        <v>56.426332288401255</v>
      </c>
      <c r="J886" t="str">
        <f t="shared" si="97"/>
        <v>F</v>
      </c>
    </row>
    <row r="887" spans="1:10" x14ac:dyDescent="0.25">
      <c r="A887" s="4" t="s">
        <v>41</v>
      </c>
      <c r="B887" s="1">
        <v>0.57073399999999996</v>
      </c>
      <c r="C887" s="1">
        <v>0.56704200000000005</v>
      </c>
      <c r="D887" s="1">
        <f t="shared" si="91"/>
        <v>3.6919999999999176E-3</v>
      </c>
      <c r="E887">
        <f t="shared" si="92"/>
        <v>5</v>
      </c>
      <c r="F887">
        <f t="shared" si="93"/>
        <v>19</v>
      </c>
      <c r="G887">
        <f t="shared" si="94"/>
        <v>5.32</v>
      </c>
      <c r="H887">
        <f t="shared" si="95"/>
        <v>319</v>
      </c>
      <c r="I887" s="3">
        <f t="shared" si="96"/>
        <v>56.426332288401255</v>
      </c>
      <c r="J887" t="str">
        <f t="shared" si="97"/>
        <v>F</v>
      </c>
    </row>
    <row r="888" spans="1:10" x14ac:dyDescent="0.25">
      <c r="A888" s="4" t="s">
        <v>162</v>
      </c>
      <c r="B888" s="1">
        <v>0.81777500000000003</v>
      </c>
      <c r="C888" s="1">
        <v>0.81406699999999999</v>
      </c>
      <c r="D888" s="1">
        <f t="shared" si="91"/>
        <v>3.7080000000000446E-3</v>
      </c>
      <c r="E888">
        <f t="shared" si="92"/>
        <v>5</v>
      </c>
      <c r="F888">
        <f t="shared" si="93"/>
        <v>20</v>
      </c>
      <c r="G888">
        <f t="shared" si="94"/>
        <v>5.33</v>
      </c>
      <c r="H888">
        <f t="shared" si="95"/>
        <v>320</v>
      </c>
      <c r="I888" s="3">
        <f t="shared" si="96"/>
        <v>56.25</v>
      </c>
      <c r="J888" t="str">
        <f t="shared" si="97"/>
        <v>F</v>
      </c>
    </row>
    <row r="889" spans="1:10" x14ac:dyDescent="0.25">
      <c r="A889" s="4" t="s">
        <v>109</v>
      </c>
      <c r="B889" s="1">
        <v>0.60236199999999995</v>
      </c>
      <c r="C889" s="1">
        <v>0.60606199999999999</v>
      </c>
      <c r="D889" s="1">
        <f t="shared" si="91"/>
        <v>3.7000000000000366E-3</v>
      </c>
      <c r="E889">
        <f t="shared" si="92"/>
        <v>5</v>
      </c>
      <c r="F889">
        <f t="shared" si="93"/>
        <v>20</v>
      </c>
      <c r="G889">
        <f t="shared" si="94"/>
        <v>5.33</v>
      </c>
      <c r="H889">
        <f t="shared" si="95"/>
        <v>320</v>
      </c>
      <c r="I889" s="3">
        <f t="shared" si="96"/>
        <v>56.25</v>
      </c>
      <c r="J889" t="str">
        <f t="shared" si="97"/>
        <v>F</v>
      </c>
    </row>
    <row r="890" spans="1:10" x14ac:dyDescent="0.25">
      <c r="A890" s="4" t="s">
        <v>44</v>
      </c>
      <c r="B890" s="1">
        <v>0.40304299999999998</v>
      </c>
      <c r="C890" s="1">
        <v>0.399339</v>
      </c>
      <c r="D890" s="1">
        <f t="shared" si="91"/>
        <v>3.7039999999999851E-3</v>
      </c>
      <c r="E890">
        <f t="shared" si="92"/>
        <v>5</v>
      </c>
      <c r="F890">
        <f t="shared" si="93"/>
        <v>20</v>
      </c>
      <c r="G890">
        <f t="shared" si="94"/>
        <v>5.33</v>
      </c>
      <c r="H890">
        <f t="shared" si="95"/>
        <v>320</v>
      </c>
      <c r="I890" s="3">
        <f t="shared" si="96"/>
        <v>56.25</v>
      </c>
      <c r="J890" t="str">
        <f t="shared" si="97"/>
        <v>F</v>
      </c>
    </row>
    <row r="891" spans="1:10" x14ac:dyDescent="0.25">
      <c r="A891" s="4" t="s">
        <v>312</v>
      </c>
      <c r="B891" s="1">
        <v>5.4336000000000002E-2</v>
      </c>
      <c r="C891" s="1">
        <v>5.8035999999999997E-2</v>
      </c>
      <c r="D891" s="1">
        <f t="shared" si="91"/>
        <v>3.699999999999995E-3</v>
      </c>
      <c r="E891">
        <f t="shared" si="92"/>
        <v>5</v>
      </c>
      <c r="F891">
        <f t="shared" si="93"/>
        <v>20</v>
      </c>
      <c r="G891">
        <f t="shared" si="94"/>
        <v>5.33</v>
      </c>
      <c r="H891">
        <f t="shared" si="95"/>
        <v>320</v>
      </c>
      <c r="I891" s="3">
        <f t="shared" si="96"/>
        <v>56.25</v>
      </c>
      <c r="J891" t="str">
        <f t="shared" si="97"/>
        <v>F</v>
      </c>
    </row>
    <row r="892" spans="1:10" x14ac:dyDescent="0.25">
      <c r="A892" s="4" t="s">
        <v>69</v>
      </c>
      <c r="B892" s="1">
        <v>0.51825500000000002</v>
      </c>
      <c r="C892" s="1">
        <v>0.51454299999999997</v>
      </c>
      <c r="D892" s="1">
        <f t="shared" si="91"/>
        <v>3.7120000000000486E-3</v>
      </c>
      <c r="E892">
        <f t="shared" si="92"/>
        <v>5</v>
      </c>
      <c r="F892">
        <f t="shared" si="93"/>
        <v>21</v>
      </c>
      <c r="G892">
        <f t="shared" si="94"/>
        <v>5.35</v>
      </c>
      <c r="H892">
        <f t="shared" si="95"/>
        <v>321</v>
      </c>
      <c r="I892" s="3">
        <f t="shared" si="96"/>
        <v>56.074766355140184</v>
      </c>
      <c r="J892" t="str">
        <f t="shared" si="97"/>
        <v>F</v>
      </c>
    </row>
    <row r="893" spans="1:10" x14ac:dyDescent="0.25">
      <c r="A893" s="4" t="s">
        <v>130</v>
      </c>
      <c r="B893" s="1">
        <v>0.23073199999999999</v>
      </c>
      <c r="C893" s="1">
        <v>0.22701199999999999</v>
      </c>
      <c r="D893" s="1">
        <f t="shared" si="91"/>
        <v>3.7200000000000011E-3</v>
      </c>
      <c r="E893">
        <f t="shared" si="92"/>
        <v>5</v>
      </c>
      <c r="F893">
        <f t="shared" si="93"/>
        <v>21</v>
      </c>
      <c r="G893">
        <f t="shared" si="94"/>
        <v>5.35</v>
      </c>
      <c r="H893">
        <f t="shared" si="95"/>
        <v>321</v>
      </c>
      <c r="I893" s="3">
        <f t="shared" si="96"/>
        <v>56.074766355140184</v>
      </c>
      <c r="J893" t="str">
        <f t="shared" si="97"/>
        <v>F</v>
      </c>
    </row>
    <row r="894" spans="1:10" x14ac:dyDescent="0.25">
      <c r="A894" s="4" t="s">
        <v>34</v>
      </c>
      <c r="B894" s="1">
        <v>0.23633899999999999</v>
      </c>
      <c r="C894" s="1">
        <v>0.23261499999999999</v>
      </c>
      <c r="D894" s="1">
        <f t="shared" si="91"/>
        <v>3.7240000000000051E-3</v>
      </c>
      <c r="E894">
        <f t="shared" si="92"/>
        <v>5</v>
      </c>
      <c r="F894">
        <f t="shared" si="93"/>
        <v>22</v>
      </c>
      <c r="G894">
        <f t="shared" si="94"/>
        <v>5.37</v>
      </c>
      <c r="H894">
        <f t="shared" si="95"/>
        <v>322</v>
      </c>
      <c r="I894" s="3">
        <f t="shared" si="96"/>
        <v>55.900621118012424</v>
      </c>
      <c r="J894" t="str">
        <f t="shared" si="97"/>
        <v>F</v>
      </c>
    </row>
    <row r="895" spans="1:10" x14ac:dyDescent="0.25">
      <c r="A895" s="4" t="s">
        <v>117</v>
      </c>
      <c r="B895" s="1">
        <v>0.28364</v>
      </c>
      <c r="C895" s="1">
        <v>0.27990799999999999</v>
      </c>
      <c r="D895" s="1">
        <f t="shared" si="91"/>
        <v>3.7320000000000131E-3</v>
      </c>
      <c r="E895">
        <f t="shared" si="92"/>
        <v>5</v>
      </c>
      <c r="F895">
        <f t="shared" si="93"/>
        <v>22</v>
      </c>
      <c r="G895">
        <f t="shared" si="94"/>
        <v>5.37</v>
      </c>
      <c r="H895">
        <f t="shared" si="95"/>
        <v>322</v>
      </c>
      <c r="I895" s="3">
        <f t="shared" si="96"/>
        <v>55.900621118012424</v>
      </c>
      <c r="J895" t="str">
        <f t="shared" si="97"/>
        <v>F</v>
      </c>
    </row>
    <row r="896" spans="1:10" x14ac:dyDescent="0.25">
      <c r="A896" s="4" t="s">
        <v>72</v>
      </c>
      <c r="B896" s="1">
        <v>0.35344900000000001</v>
      </c>
      <c r="C896" s="1">
        <v>0.35718100000000003</v>
      </c>
      <c r="D896" s="1">
        <f t="shared" si="91"/>
        <v>3.7320000000000131E-3</v>
      </c>
      <c r="E896">
        <f t="shared" si="92"/>
        <v>5</v>
      </c>
      <c r="F896">
        <f t="shared" si="93"/>
        <v>22</v>
      </c>
      <c r="G896">
        <f t="shared" si="94"/>
        <v>5.37</v>
      </c>
      <c r="H896">
        <f t="shared" si="95"/>
        <v>322</v>
      </c>
      <c r="I896" s="3">
        <f t="shared" si="96"/>
        <v>55.900621118012424</v>
      </c>
      <c r="J896" t="str">
        <f t="shared" si="97"/>
        <v>F</v>
      </c>
    </row>
    <row r="897" spans="1:10" x14ac:dyDescent="0.25">
      <c r="A897" s="4" t="s">
        <v>77</v>
      </c>
      <c r="B897" s="1">
        <v>0.32361200000000001</v>
      </c>
      <c r="C897" s="1">
        <v>0.31988800000000001</v>
      </c>
      <c r="D897" s="1">
        <f t="shared" si="91"/>
        <v>3.7240000000000051E-3</v>
      </c>
      <c r="E897">
        <f t="shared" si="92"/>
        <v>5</v>
      </c>
      <c r="F897">
        <f t="shared" si="93"/>
        <v>22</v>
      </c>
      <c r="G897">
        <f t="shared" si="94"/>
        <v>5.37</v>
      </c>
      <c r="H897">
        <f t="shared" si="95"/>
        <v>322</v>
      </c>
      <c r="I897" s="3">
        <f t="shared" si="96"/>
        <v>55.900621118012424</v>
      </c>
      <c r="J897" t="str">
        <f t="shared" si="97"/>
        <v>F</v>
      </c>
    </row>
    <row r="898" spans="1:10" x14ac:dyDescent="0.25">
      <c r="A898" s="4" t="s">
        <v>162</v>
      </c>
      <c r="B898" s="1">
        <v>0.44693699999999997</v>
      </c>
      <c r="C898" s="1">
        <v>0.44320900000000002</v>
      </c>
      <c r="D898" s="1">
        <f t="shared" ref="D898:D961" si="98">IF(B898&gt;C898,B898-C898,C898-B898)</f>
        <v>3.7279999999999536E-3</v>
      </c>
      <c r="E898">
        <f t="shared" ref="E898:E961" si="99">MINUTE(D898)</f>
        <v>5</v>
      </c>
      <c r="F898">
        <f t="shared" ref="F898:F961" si="100">SECOND(D898)</f>
        <v>22</v>
      </c>
      <c r="G898">
        <f t="shared" ref="G898:G961" si="101">ROUND(E898+F898/60,2)</f>
        <v>5.37</v>
      </c>
      <c r="H898">
        <f t="shared" ref="H898:H961" si="102">60*E898+F898</f>
        <v>322</v>
      </c>
      <c r="I898" s="3">
        <f t="shared" ref="I898:I961" si="103">5*(3600/H898)</f>
        <v>55.900621118012424</v>
      </c>
      <c r="J898" t="str">
        <f t="shared" ref="J898:J961" si="104">IF(MID(A898,3,2)="18","T","F")</f>
        <v>F</v>
      </c>
    </row>
    <row r="899" spans="1:10" x14ac:dyDescent="0.25">
      <c r="A899" s="4" t="s">
        <v>43</v>
      </c>
      <c r="B899" s="1">
        <v>0.71188700000000005</v>
      </c>
      <c r="C899" s="1">
        <v>0.715611</v>
      </c>
      <c r="D899" s="1">
        <f t="shared" si="98"/>
        <v>3.7239999999999496E-3</v>
      </c>
      <c r="E899">
        <f t="shared" si="99"/>
        <v>5</v>
      </c>
      <c r="F899">
        <f t="shared" si="100"/>
        <v>22</v>
      </c>
      <c r="G899">
        <f t="shared" si="101"/>
        <v>5.37</v>
      </c>
      <c r="H899">
        <f t="shared" si="102"/>
        <v>322</v>
      </c>
      <c r="I899" s="3">
        <f t="shared" si="103"/>
        <v>55.900621118012424</v>
      </c>
      <c r="J899" t="str">
        <f t="shared" si="104"/>
        <v>F</v>
      </c>
    </row>
    <row r="900" spans="1:10" x14ac:dyDescent="0.25">
      <c r="A900" s="4" t="s">
        <v>278</v>
      </c>
      <c r="B900" s="1">
        <v>0.29603000000000002</v>
      </c>
      <c r="C900" s="1">
        <v>0.29230200000000001</v>
      </c>
      <c r="D900" s="1">
        <f t="shared" si="98"/>
        <v>3.7280000000000091E-3</v>
      </c>
      <c r="E900">
        <f t="shared" si="99"/>
        <v>5</v>
      </c>
      <c r="F900">
        <f t="shared" si="100"/>
        <v>22</v>
      </c>
      <c r="G900">
        <f t="shared" si="101"/>
        <v>5.37</v>
      </c>
      <c r="H900">
        <f t="shared" si="102"/>
        <v>322</v>
      </c>
      <c r="I900" s="3">
        <f t="shared" si="103"/>
        <v>55.900621118012424</v>
      </c>
      <c r="J900" t="str">
        <f t="shared" si="104"/>
        <v>F</v>
      </c>
    </row>
    <row r="901" spans="1:10" x14ac:dyDescent="0.25">
      <c r="A901" s="4" t="s">
        <v>10</v>
      </c>
      <c r="B901" s="1">
        <v>0.85223800000000005</v>
      </c>
      <c r="C901" s="1">
        <v>0.84849799999999997</v>
      </c>
      <c r="D901" s="1">
        <f t="shared" si="98"/>
        <v>3.7400000000000766E-3</v>
      </c>
      <c r="E901">
        <f t="shared" si="99"/>
        <v>5</v>
      </c>
      <c r="F901">
        <f t="shared" si="100"/>
        <v>23</v>
      </c>
      <c r="G901">
        <f t="shared" si="101"/>
        <v>5.38</v>
      </c>
      <c r="H901">
        <f t="shared" si="102"/>
        <v>323</v>
      </c>
      <c r="I901" s="3">
        <f t="shared" si="103"/>
        <v>55.727554179566567</v>
      </c>
      <c r="J901" t="str">
        <f t="shared" si="104"/>
        <v>F</v>
      </c>
    </row>
    <row r="902" spans="1:10" x14ac:dyDescent="0.25">
      <c r="A902" s="4" t="s">
        <v>161</v>
      </c>
      <c r="B902" s="1">
        <v>0.37874799999999997</v>
      </c>
      <c r="C902" s="1">
        <v>0.382492</v>
      </c>
      <c r="D902" s="1">
        <f t="shared" si="98"/>
        <v>3.7440000000000251E-3</v>
      </c>
      <c r="E902">
        <f t="shared" si="99"/>
        <v>5</v>
      </c>
      <c r="F902">
        <f t="shared" si="100"/>
        <v>23</v>
      </c>
      <c r="G902">
        <f t="shared" si="101"/>
        <v>5.38</v>
      </c>
      <c r="H902">
        <f t="shared" si="102"/>
        <v>323</v>
      </c>
      <c r="I902" s="3">
        <f t="shared" si="103"/>
        <v>55.727554179566567</v>
      </c>
      <c r="J902" t="str">
        <f t="shared" si="104"/>
        <v>F</v>
      </c>
    </row>
    <row r="903" spans="1:10" x14ac:dyDescent="0.25">
      <c r="A903" s="4" t="s">
        <v>21</v>
      </c>
      <c r="B903" s="1">
        <v>0.36847200000000002</v>
      </c>
      <c r="C903" s="1">
        <v>0.364732</v>
      </c>
      <c r="D903" s="1">
        <f t="shared" si="98"/>
        <v>3.7400000000000211E-3</v>
      </c>
      <c r="E903">
        <f t="shared" si="99"/>
        <v>5</v>
      </c>
      <c r="F903">
        <f t="shared" si="100"/>
        <v>23</v>
      </c>
      <c r="G903">
        <f t="shared" si="101"/>
        <v>5.38</v>
      </c>
      <c r="H903">
        <f t="shared" si="102"/>
        <v>323</v>
      </c>
      <c r="I903" s="3">
        <f t="shared" si="103"/>
        <v>55.727554179566567</v>
      </c>
      <c r="J903" t="str">
        <f t="shared" si="104"/>
        <v>F</v>
      </c>
    </row>
    <row r="904" spans="1:10" x14ac:dyDescent="0.25">
      <c r="A904" s="4" t="s">
        <v>41</v>
      </c>
      <c r="B904" s="1">
        <v>0.811751</v>
      </c>
      <c r="C904" s="1">
        <v>0.81549499999999997</v>
      </c>
      <c r="D904" s="1">
        <f t="shared" si="98"/>
        <v>3.7439999999999696E-3</v>
      </c>
      <c r="E904">
        <f t="shared" si="99"/>
        <v>5</v>
      </c>
      <c r="F904">
        <f t="shared" si="100"/>
        <v>23</v>
      </c>
      <c r="G904">
        <f t="shared" si="101"/>
        <v>5.38</v>
      </c>
      <c r="H904">
        <f t="shared" si="102"/>
        <v>323</v>
      </c>
      <c r="I904" s="3">
        <f t="shared" si="103"/>
        <v>55.727554179566567</v>
      </c>
      <c r="J904" t="str">
        <f t="shared" si="104"/>
        <v>F</v>
      </c>
    </row>
    <row r="905" spans="1:10" x14ac:dyDescent="0.25">
      <c r="A905" s="4" t="s">
        <v>5</v>
      </c>
      <c r="B905" s="1">
        <v>0.14322299999999999</v>
      </c>
      <c r="C905" s="1">
        <v>0.14696300000000001</v>
      </c>
      <c r="D905" s="1">
        <f t="shared" si="98"/>
        <v>3.7400000000000211E-3</v>
      </c>
      <c r="E905">
        <f t="shared" si="99"/>
        <v>5</v>
      </c>
      <c r="F905">
        <f t="shared" si="100"/>
        <v>23</v>
      </c>
      <c r="G905">
        <f t="shared" si="101"/>
        <v>5.38</v>
      </c>
      <c r="H905">
        <f t="shared" si="102"/>
        <v>323</v>
      </c>
      <c r="I905" s="3">
        <f t="shared" si="103"/>
        <v>55.727554179566567</v>
      </c>
      <c r="J905" t="str">
        <f t="shared" si="104"/>
        <v>F</v>
      </c>
    </row>
    <row r="906" spans="1:10" x14ac:dyDescent="0.25">
      <c r="A906" s="8" t="s">
        <v>179</v>
      </c>
      <c r="B906" s="1">
        <v>0.92008900000000005</v>
      </c>
      <c r="C906" s="1">
        <v>0.92382900000000001</v>
      </c>
      <c r="D906" s="1">
        <f t="shared" si="98"/>
        <v>3.7399999999999656E-3</v>
      </c>
      <c r="E906">
        <f t="shared" si="99"/>
        <v>5</v>
      </c>
      <c r="F906">
        <f t="shared" si="100"/>
        <v>23</v>
      </c>
      <c r="G906">
        <f t="shared" si="101"/>
        <v>5.38</v>
      </c>
      <c r="H906">
        <f t="shared" si="102"/>
        <v>323</v>
      </c>
      <c r="I906" s="10">
        <f t="shared" si="103"/>
        <v>55.727554179566567</v>
      </c>
      <c r="J906" t="str">
        <f t="shared" si="104"/>
        <v>T</v>
      </c>
    </row>
    <row r="907" spans="1:10" x14ac:dyDescent="0.25">
      <c r="A907" s="4" t="s">
        <v>30</v>
      </c>
      <c r="B907" s="1">
        <v>0.46298299999999998</v>
      </c>
      <c r="C907" s="1">
        <v>0.459231</v>
      </c>
      <c r="D907" s="1">
        <f t="shared" si="98"/>
        <v>3.7519999999999776E-3</v>
      </c>
      <c r="E907">
        <f t="shared" si="99"/>
        <v>5</v>
      </c>
      <c r="F907">
        <f t="shared" si="100"/>
        <v>24</v>
      </c>
      <c r="G907">
        <f t="shared" si="101"/>
        <v>5.4</v>
      </c>
      <c r="H907">
        <f t="shared" si="102"/>
        <v>324</v>
      </c>
      <c r="I907" s="3">
        <f t="shared" si="103"/>
        <v>55.555555555555557</v>
      </c>
      <c r="J907" t="str">
        <f t="shared" si="104"/>
        <v>F</v>
      </c>
    </row>
    <row r="908" spans="1:10" x14ac:dyDescent="0.25">
      <c r="A908" s="4" t="s">
        <v>31</v>
      </c>
      <c r="B908" s="1">
        <v>7.6189999999999999E-3</v>
      </c>
      <c r="C908" s="1">
        <v>3.8670000000000002E-3</v>
      </c>
      <c r="D908" s="1">
        <f t="shared" si="98"/>
        <v>3.7519999999999997E-3</v>
      </c>
      <c r="E908">
        <f t="shared" si="99"/>
        <v>5</v>
      </c>
      <c r="F908">
        <f t="shared" si="100"/>
        <v>24</v>
      </c>
      <c r="G908">
        <f t="shared" si="101"/>
        <v>5.4</v>
      </c>
      <c r="H908">
        <f t="shared" si="102"/>
        <v>324</v>
      </c>
      <c r="I908" s="3">
        <f t="shared" si="103"/>
        <v>55.555555555555557</v>
      </c>
      <c r="J908" t="str">
        <f t="shared" si="104"/>
        <v>F</v>
      </c>
    </row>
    <row r="909" spans="1:10" x14ac:dyDescent="0.25">
      <c r="A909" s="4" t="s">
        <v>33</v>
      </c>
      <c r="B909" s="1">
        <v>0.506386</v>
      </c>
      <c r="C909" s="1">
        <v>0.50263400000000003</v>
      </c>
      <c r="D909" s="1">
        <f t="shared" si="98"/>
        <v>3.7519999999999776E-3</v>
      </c>
      <c r="E909">
        <f t="shared" si="99"/>
        <v>5</v>
      </c>
      <c r="F909">
        <f t="shared" si="100"/>
        <v>24</v>
      </c>
      <c r="G909">
        <f t="shared" si="101"/>
        <v>5.4</v>
      </c>
      <c r="H909">
        <f t="shared" si="102"/>
        <v>324</v>
      </c>
      <c r="I909" s="3">
        <f t="shared" si="103"/>
        <v>55.555555555555557</v>
      </c>
      <c r="J909" t="str">
        <f t="shared" si="104"/>
        <v>F</v>
      </c>
    </row>
    <row r="910" spans="1:10" x14ac:dyDescent="0.25">
      <c r="A910" s="4" t="s">
        <v>80</v>
      </c>
      <c r="B910" s="1">
        <v>0.58458699999999997</v>
      </c>
      <c r="C910" s="1">
        <v>0.58833899999999995</v>
      </c>
      <c r="D910" s="1">
        <f t="shared" si="98"/>
        <v>3.7519999999999776E-3</v>
      </c>
      <c r="E910">
        <f t="shared" si="99"/>
        <v>5</v>
      </c>
      <c r="F910">
        <f t="shared" si="100"/>
        <v>24</v>
      </c>
      <c r="G910">
        <f t="shared" si="101"/>
        <v>5.4</v>
      </c>
      <c r="H910">
        <f t="shared" si="102"/>
        <v>324</v>
      </c>
      <c r="I910" s="3">
        <f t="shared" si="103"/>
        <v>55.555555555555557</v>
      </c>
      <c r="J910" t="str">
        <f t="shared" si="104"/>
        <v>F</v>
      </c>
    </row>
    <row r="911" spans="1:10" x14ac:dyDescent="0.25">
      <c r="A911" s="4" t="s">
        <v>228</v>
      </c>
      <c r="B911" s="1">
        <v>3.1982999999999998E-2</v>
      </c>
      <c r="C911" s="1">
        <v>3.5730999999999999E-2</v>
      </c>
      <c r="D911" s="1">
        <f t="shared" si="98"/>
        <v>3.7480000000000013E-3</v>
      </c>
      <c r="E911">
        <f t="shared" si="99"/>
        <v>5</v>
      </c>
      <c r="F911">
        <f t="shared" si="100"/>
        <v>24</v>
      </c>
      <c r="G911">
        <f t="shared" si="101"/>
        <v>5.4</v>
      </c>
      <c r="H911">
        <f t="shared" si="102"/>
        <v>324</v>
      </c>
      <c r="I911" s="3">
        <f t="shared" si="103"/>
        <v>55.555555555555557</v>
      </c>
      <c r="J911" t="str">
        <f t="shared" si="104"/>
        <v>F</v>
      </c>
    </row>
    <row r="912" spans="1:10" x14ac:dyDescent="0.25">
      <c r="A912" s="4" t="s">
        <v>270</v>
      </c>
      <c r="B912" s="1">
        <v>0.88112500000000005</v>
      </c>
      <c r="C912" s="1">
        <v>0.87737299999999996</v>
      </c>
      <c r="D912" s="1">
        <f t="shared" si="98"/>
        <v>3.7520000000000886E-3</v>
      </c>
      <c r="E912">
        <f t="shared" si="99"/>
        <v>5</v>
      </c>
      <c r="F912">
        <f t="shared" si="100"/>
        <v>24</v>
      </c>
      <c r="G912">
        <f t="shared" si="101"/>
        <v>5.4</v>
      </c>
      <c r="H912">
        <f t="shared" si="102"/>
        <v>324</v>
      </c>
      <c r="I912" s="3">
        <f t="shared" si="103"/>
        <v>55.555555555555557</v>
      </c>
      <c r="J912" t="str">
        <f t="shared" si="104"/>
        <v>F</v>
      </c>
    </row>
    <row r="913" spans="1:10" x14ac:dyDescent="0.25">
      <c r="A913" s="4" t="s">
        <v>202</v>
      </c>
      <c r="B913" s="1">
        <v>0.817774</v>
      </c>
      <c r="C913" s="1">
        <v>0.82153799999999999</v>
      </c>
      <c r="D913" s="1">
        <f t="shared" si="98"/>
        <v>3.7639999999999896E-3</v>
      </c>
      <c r="E913">
        <f t="shared" si="99"/>
        <v>5</v>
      </c>
      <c r="F913">
        <f t="shared" si="100"/>
        <v>25</v>
      </c>
      <c r="G913">
        <f t="shared" si="101"/>
        <v>5.42</v>
      </c>
      <c r="H913">
        <f t="shared" si="102"/>
        <v>325</v>
      </c>
      <c r="I913" s="3">
        <f t="shared" si="103"/>
        <v>55.384615384615387</v>
      </c>
      <c r="J913" t="str">
        <f t="shared" si="104"/>
        <v>F</v>
      </c>
    </row>
    <row r="914" spans="1:10" x14ac:dyDescent="0.25">
      <c r="A914" s="4" t="s">
        <v>223</v>
      </c>
      <c r="B914" s="1">
        <v>0.66965399999999997</v>
      </c>
      <c r="C914" s="1">
        <v>0.66589399999999999</v>
      </c>
      <c r="D914" s="1">
        <f t="shared" si="98"/>
        <v>3.7599999999999856E-3</v>
      </c>
      <c r="E914">
        <f t="shared" si="99"/>
        <v>5</v>
      </c>
      <c r="F914">
        <f t="shared" si="100"/>
        <v>25</v>
      </c>
      <c r="G914">
        <f t="shared" si="101"/>
        <v>5.42</v>
      </c>
      <c r="H914">
        <f t="shared" si="102"/>
        <v>325</v>
      </c>
      <c r="I914" s="3">
        <f t="shared" si="103"/>
        <v>55.384615384615387</v>
      </c>
      <c r="J914" t="str">
        <f t="shared" si="104"/>
        <v>F</v>
      </c>
    </row>
    <row r="915" spans="1:10" x14ac:dyDescent="0.25">
      <c r="A915" s="4" t="s">
        <v>47</v>
      </c>
      <c r="B915" s="1">
        <v>0.73745799999999995</v>
      </c>
      <c r="C915" s="1">
        <v>0.73368199999999995</v>
      </c>
      <c r="D915" s="1">
        <f t="shared" si="98"/>
        <v>3.7760000000000016E-3</v>
      </c>
      <c r="E915">
        <f t="shared" si="99"/>
        <v>5</v>
      </c>
      <c r="F915">
        <f t="shared" si="100"/>
        <v>26</v>
      </c>
      <c r="G915">
        <f t="shared" si="101"/>
        <v>5.43</v>
      </c>
      <c r="H915">
        <f t="shared" si="102"/>
        <v>326</v>
      </c>
      <c r="I915" s="3">
        <f t="shared" si="103"/>
        <v>55.214723926380373</v>
      </c>
      <c r="J915" t="str">
        <f t="shared" si="104"/>
        <v>F</v>
      </c>
    </row>
    <row r="916" spans="1:10" x14ac:dyDescent="0.25">
      <c r="A916" s="4" t="s">
        <v>109</v>
      </c>
      <c r="B916" s="1">
        <v>0.86325399999999997</v>
      </c>
      <c r="C916" s="1">
        <v>0.86702199999999996</v>
      </c>
      <c r="D916" s="1">
        <f t="shared" si="98"/>
        <v>3.7679999999999936E-3</v>
      </c>
      <c r="E916">
        <f t="shared" si="99"/>
        <v>5</v>
      </c>
      <c r="F916">
        <f t="shared" si="100"/>
        <v>26</v>
      </c>
      <c r="G916">
        <f t="shared" si="101"/>
        <v>5.43</v>
      </c>
      <c r="H916">
        <f t="shared" si="102"/>
        <v>326</v>
      </c>
      <c r="I916" s="3">
        <f t="shared" si="103"/>
        <v>55.214723926380373</v>
      </c>
      <c r="J916" t="str">
        <f t="shared" si="104"/>
        <v>F</v>
      </c>
    </row>
    <row r="917" spans="1:10" x14ac:dyDescent="0.25">
      <c r="A917" s="4" t="s">
        <v>337</v>
      </c>
      <c r="B917" s="1">
        <v>5.2663000000000001E-2</v>
      </c>
      <c r="C917" s="1">
        <v>4.8890999999999997E-2</v>
      </c>
      <c r="D917" s="1">
        <f t="shared" si="98"/>
        <v>3.7720000000000045E-3</v>
      </c>
      <c r="E917">
        <f t="shared" si="99"/>
        <v>5</v>
      </c>
      <c r="F917">
        <f t="shared" si="100"/>
        <v>26</v>
      </c>
      <c r="G917">
        <f t="shared" si="101"/>
        <v>5.43</v>
      </c>
      <c r="H917">
        <f t="shared" si="102"/>
        <v>326</v>
      </c>
      <c r="I917" s="3">
        <f t="shared" si="103"/>
        <v>55.214723926380373</v>
      </c>
      <c r="J917" t="str">
        <f t="shared" si="104"/>
        <v>F</v>
      </c>
    </row>
    <row r="918" spans="1:10" x14ac:dyDescent="0.25">
      <c r="A918" s="4" t="s">
        <v>358</v>
      </c>
      <c r="B918" s="1">
        <v>0.76871599999999995</v>
      </c>
      <c r="C918" s="1">
        <v>0.77248799999999995</v>
      </c>
      <c r="D918" s="1">
        <f t="shared" si="98"/>
        <v>3.7719999999999976E-3</v>
      </c>
      <c r="E918">
        <f t="shared" si="99"/>
        <v>5</v>
      </c>
      <c r="F918">
        <f t="shared" si="100"/>
        <v>26</v>
      </c>
      <c r="G918">
        <f t="shared" si="101"/>
        <v>5.43</v>
      </c>
      <c r="H918">
        <f t="shared" si="102"/>
        <v>326</v>
      </c>
      <c r="I918" s="3">
        <f t="shared" si="103"/>
        <v>55.214723926380373</v>
      </c>
      <c r="J918" t="str">
        <f t="shared" si="104"/>
        <v>F</v>
      </c>
    </row>
    <row r="919" spans="1:10" x14ac:dyDescent="0.25">
      <c r="A919" s="4" t="s">
        <v>5</v>
      </c>
      <c r="B919" s="1">
        <v>0.31651800000000002</v>
      </c>
      <c r="C919" s="1">
        <v>0.31273800000000002</v>
      </c>
      <c r="D919" s="1">
        <f t="shared" si="98"/>
        <v>3.7800000000000056E-3</v>
      </c>
      <c r="E919">
        <f t="shared" si="99"/>
        <v>5</v>
      </c>
      <c r="F919">
        <f t="shared" si="100"/>
        <v>27</v>
      </c>
      <c r="G919">
        <f t="shared" si="101"/>
        <v>5.45</v>
      </c>
      <c r="H919">
        <f t="shared" si="102"/>
        <v>327</v>
      </c>
      <c r="I919" s="3">
        <f t="shared" si="103"/>
        <v>55.045871559633028</v>
      </c>
      <c r="J919" t="str">
        <f t="shared" si="104"/>
        <v>F</v>
      </c>
    </row>
    <row r="920" spans="1:10" x14ac:dyDescent="0.25">
      <c r="A920" s="4" t="s">
        <v>87</v>
      </c>
      <c r="B920" s="1">
        <v>0.29541000000000001</v>
      </c>
      <c r="C920" s="1">
        <v>0.29919800000000002</v>
      </c>
      <c r="D920" s="1">
        <f t="shared" si="98"/>
        <v>3.7880000000000136E-3</v>
      </c>
      <c r="E920">
        <f t="shared" si="99"/>
        <v>5</v>
      </c>
      <c r="F920">
        <f t="shared" si="100"/>
        <v>27</v>
      </c>
      <c r="G920">
        <f t="shared" si="101"/>
        <v>5.45</v>
      </c>
      <c r="H920">
        <f t="shared" si="102"/>
        <v>327</v>
      </c>
      <c r="I920" s="3">
        <f t="shared" si="103"/>
        <v>55.045871559633028</v>
      </c>
      <c r="J920" t="str">
        <f t="shared" si="104"/>
        <v>F</v>
      </c>
    </row>
    <row r="921" spans="1:10" x14ac:dyDescent="0.25">
      <c r="A921" s="4" t="s">
        <v>56</v>
      </c>
      <c r="B921" s="1">
        <v>0.45928099999999999</v>
      </c>
      <c r="C921" s="1">
        <v>0.45549299999999998</v>
      </c>
      <c r="D921" s="1">
        <f t="shared" si="98"/>
        <v>3.7880000000000136E-3</v>
      </c>
      <c r="E921">
        <f t="shared" si="99"/>
        <v>5</v>
      </c>
      <c r="F921">
        <f t="shared" si="100"/>
        <v>27</v>
      </c>
      <c r="G921">
        <f t="shared" si="101"/>
        <v>5.45</v>
      </c>
      <c r="H921">
        <f t="shared" si="102"/>
        <v>327</v>
      </c>
      <c r="I921" s="3">
        <f t="shared" si="103"/>
        <v>55.045871559633028</v>
      </c>
      <c r="J921" t="str">
        <f t="shared" si="104"/>
        <v>F</v>
      </c>
    </row>
    <row r="922" spans="1:10" x14ac:dyDescent="0.25">
      <c r="A922" s="4" t="s">
        <v>187</v>
      </c>
      <c r="B922" s="1">
        <v>0.688388</v>
      </c>
      <c r="C922" s="1">
        <v>0.69217200000000001</v>
      </c>
      <c r="D922" s="1">
        <f t="shared" si="98"/>
        <v>3.7840000000000096E-3</v>
      </c>
      <c r="E922">
        <f t="shared" si="99"/>
        <v>5</v>
      </c>
      <c r="F922">
        <f t="shared" si="100"/>
        <v>27</v>
      </c>
      <c r="G922">
        <f t="shared" si="101"/>
        <v>5.45</v>
      </c>
      <c r="H922">
        <f t="shared" si="102"/>
        <v>327</v>
      </c>
      <c r="I922" s="3">
        <f t="shared" si="103"/>
        <v>55.045871559633028</v>
      </c>
      <c r="J922" t="str">
        <f t="shared" si="104"/>
        <v>F</v>
      </c>
    </row>
    <row r="923" spans="1:10" x14ac:dyDescent="0.25">
      <c r="A923" s="4" t="s">
        <v>395</v>
      </c>
      <c r="B923" s="1">
        <v>0.42941800000000002</v>
      </c>
      <c r="C923" s="1">
        <v>0.42563400000000001</v>
      </c>
      <c r="D923" s="1">
        <f t="shared" si="98"/>
        <v>3.7840000000000096E-3</v>
      </c>
      <c r="E923">
        <f t="shared" si="99"/>
        <v>5</v>
      </c>
      <c r="F923">
        <f t="shared" si="100"/>
        <v>27</v>
      </c>
      <c r="G923">
        <f t="shared" si="101"/>
        <v>5.45</v>
      </c>
      <c r="H923">
        <f t="shared" si="102"/>
        <v>327</v>
      </c>
      <c r="I923" s="3">
        <f t="shared" si="103"/>
        <v>55.045871559633028</v>
      </c>
      <c r="J923" t="str">
        <f t="shared" si="104"/>
        <v>F</v>
      </c>
    </row>
    <row r="924" spans="1:10" x14ac:dyDescent="0.25">
      <c r="A924" s="4" t="s">
        <v>150</v>
      </c>
      <c r="B924" s="1">
        <v>0.92992200000000003</v>
      </c>
      <c r="C924" s="1">
        <v>0.926122</v>
      </c>
      <c r="D924" s="1">
        <f t="shared" si="98"/>
        <v>3.8000000000000256E-3</v>
      </c>
      <c r="E924">
        <f t="shared" si="99"/>
        <v>5</v>
      </c>
      <c r="F924">
        <f t="shared" si="100"/>
        <v>28</v>
      </c>
      <c r="G924">
        <f t="shared" si="101"/>
        <v>5.47</v>
      </c>
      <c r="H924">
        <f t="shared" si="102"/>
        <v>328</v>
      </c>
      <c r="I924" s="3">
        <f t="shared" si="103"/>
        <v>54.878048780487809</v>
      </c>
      <c r="J924" t="str">
        <f t="shared" si="104"/>
        <v>F</v>
      </c>
    </row>
    <row r="925" spans="1:10" x14ac:dyDescent="0.25">
      <c r="A925" s="4" t="s">
        <v>109</v>
      </c>
      <c r="B925" s="1">
        <v>0.30027799999999999</v>
      </c>
      <c r="C925" s="1">
        <v>0.30407800000000001</v>
      </c>
      <c r="D925" s="1">
        <f t="shared" si="98"/>
        <v>3.8000000000000256E-3</v>
      </c>
      <c r="E925">
        <f t="shared" si="99"/>
        <v>5</v>
      </c>
      <c r="F925">
        <f t="shared" si="100"/>
        <v>28</v>
      </c>
      <c r="G925">
        <f t="shared" si="101"/>
        <v>5.47</v>
      </c>
      <c r="H925">
        <f t="shared" si="102"/>
        <v>328</v>
      </c>
      <c r="I925" s="3">
        <f t="shared" si="103"/>
        <v>54.878048780487809</v>
      </c>
      <c r="J925" t="str">
        <f t="shared" si="104"/>
        <v>F</v>
      </c>
    </row>
    <row r="926" spans="1:10" x14ac:dyDescent="0.25">
      <c r="A926" s="4" t="s">
        <v>162</v>
      </c>
      <c r="B926" s="1">
        <v>0.33263599999999999</v>
      </c>
      <c r="C926" s="1">
        <v>0.32883600000000002</v>
      </c>
      <c r="D926" s="1">
        <f t="shared" si="98"/>
        <v>3.7999999999999701E-3</v>
      </c>
      <c r="E926">
        <f t="shared" si="99"/>
        <v>5</v>
      </c>
      <c r="F926">
        <f t="shared" si="100"/>
        <v>28</v>
      </c>
      <c r="G926">
        <f t="shared" si="101"/>
        <v>5.47</v>
      </c>
      <c r="H926">
        <f t="shared" si="102"/>
        <v>328</v>
      </c>
      <c r="I926" s="3">
        <f t="shared" si="103"/>
        <v>54.878048780487809</v>
      </c>
      <c r="J926" t="str">
        <f t="shared" si="104"/>
        <v>F</v>
      </c>
    </row>
    <row r="927" spans="1:10" x14ac:dyDescent="0.25">
      <c r="A927" s="4" t="s">
        <v>71</v>
      </c>
      <c r="B927" s="1">
        <v>0.53334199999999998</v>
      </c>
      <c r="C927" s="1">
        <v>0.52953799999999995</v>
      </c>
      <c r="D927" s="1">
        <f t="shared" si="98"/>
        <v>3.8040000000000296E-3</v>
      </c>
      <c r="E927">
        <f t="shared" si="99"/>
        <v>5</v>
      </c>
      <c r="F927">
        <f t="shared" si="100"/>
        <v>29</v>
      </c>
      <c r="G927">
        <f t="shared" si="101"/>
        <v>5.48</v>
      </c>
      <c r="H927">
        <f t="shared" si="102"/>
        <v>329</v>
      </c>
      <c r="I927" s="3">
        <f t="shared" si="103"/>
        <v>54.711246200607903</v>
      </c>
      <c r="J927" t="str">
        <f t="shared" si="104"/>
        <v>F</v>
      </c>
    </row>
    <row r="928" spans="1:10" x14ac:dyDescent="0.25">
      <c r="A928" s="4" t="s">
        <v>64</v>
      </c>
      <c r="B928" s="1">
        <v>0.75966599999999995</v>
      </c>
      <c r="C928" s="1">
        <v>0.75585800000000003</v>
      </c>
      <c r="D928" s="1">
        <f t="shared" si="98"/>
        <v>3.8079999999999226E-3</v>
      </c>
      <c r="E928">
        <f t="shared" si="99"/>
        <v>5</v>
      </c>
      <c r="F928">
        <f t="shared" si="100"/>
        <v>29</v>
      </c>
      <c r="G928">
        <f t="shared" si="101"/>
        <v>5.48</v>
      </c>
      <c r="H928">
        <f t="shared" si="102"/>
        <v>329</v>
      </c>
      <c r="I928" s="3">
        <f t="shared" si="103"/>
        <v>54.711246200607903</v>
      </c>
      <c r="J928" t="str">
        <f t="shared" si="104"/>
        <v>F</v>
      </c>
    </row>
    <row r="929" spans="1:10" x14ac:dyDescent="0.25">
      <c r="A929" s="4" t="s">
        <v>109</v>
      </c>
      <c r="B929" s="1">
        <v>0.87171399999999999</v>
      </c>
      <c r="C929" s="1">
        <v>0.87551800000000002</v>
      </c>
      <c r="D929" s="1">
        <f t="shared" si="98"/>
        <v>3.8040000000000296E-3</v>
      </c>
      <c r="E929">
        <f t="shared" si="99"/>
        <v>5</v>
      </c>
      <c r="F929">
        <f t="shared" si="100"/>
        <v>29</v>
      </c>
      <c r="G929">
        <f t="shared" si="101"/>
        <v>5.48</v>
      </c>
      <c r="H929">
        <f t="shared" si="102"/>
        <v>329</v>
      </c>
      <c r="I929" s="3">
        <f t="shared" si="103"/>
        <v>54.711246200607903</v>
      </c>
      <c r="J929" t="str">
        <f t="shared" si="104"/>
        <v>F</v>
      </c>
    </row>
    <row r="930" spans="1:10" x14ac:dyDescent="0.25">
      <c r="A930" s="4" t="s">
        <v>5</v>
      </c>
      <c r="B930" s="1">
        <v>7.6984999999999998E-2</v>
      </c>
      <c r="C930" s="1">
        <v>7.3173000000000002E-2</v>
      </c>
      <c r="D930" s="1">
        <f t="shared" si="98"/>
        <v>3.8119999999999959E-3</v>
      </c>
      <c r="E930">
        <f t="shared" si="99"/>
        <v>5</v>
      </c>
      <c r="F930">
        <f t="shared" si="100"/>
        <v>29</v>
      </c>
      <c r="G930">
        <f t="shared" si="101"/>
        <v>5.48</v>
      </c>
      <c r="H930">
        <f t="shared" si="102"/>
        <v>329</v>
      </c>
      <c r="I930" s="3">
        <f t="shared" si="103"/>
        <v>54.711246200607903</v>
      </c>
      <c r="J930" t="str">
        <f t="shared" si="104"/>
        <v>F</v>
      </c>
    </row>
    <row r="931" spans="1:10" x14ac:dyDescent="0.25">
      <c r="A931" s="4" t="s">
        <v>158</v>
      </c>
      <c r="B931" s="1">
        <v>0.20841899999999999</v>
      </c>
      <c r="C931" s="1">
        <v>0.212231</v>
      </c>
      <c r="D931" s="1">
        <f t="shared" si="98"/>
        <v>3.8120000000000098E-3</v>
      </c>
      <c r="E931">
        <f t="shared" si="99"/>
        <v>5</v>
      </c>
      <c r="F931">
        <f t="shared" si="100"/>
        <v>29</v>
      </c>
      <c r="G931">
        <f t="shared" si="101"/>
        <v>5.48</v>
      </c>
      <c r="H931">
        <f t="shared" si="102"/>
        <v>329</v>
      </c>
      <c r="I931" s="3">
        <f t="shared" si="103"/>
        <v>54.711246200607903</v>
      </c>
      <c r="J931" t="str">
        <f t="shared" si="104"/>
        <v>F</v>
      </c>
    </row>
    <row r="932" spans="1:10" x14ac:dyDescent="0.25">
      <c r="A932" s="4" t="s">
        <v>107</v>
      </c>
      <c r="B932" s="1">
        <v>2.9825000000000001E-2</v>
      </c>
      <c r="C932" s="1">
        <v>3.3637E-2</v>
      </c>
      <c r="D932" s="1">
        <f t="shared" si="98"/>
        <v>3.8119999999999994E-3</v>
      </c>
      <c r="E932">
        <f t="shared" si="99"/>
        <v>5</v>
      </c>
      <c r="F932">
        <f t="shared" si="100"/>
        <v>29</v>
      </c>
      <c r="G932">
        <f t="shared" si="101"/>
        <v>5.48</v>
      </c>
      <c r="H932">
        <f t="shared" si="102"/>
        <v>329</v>
      </c>
      <c r="I932" s="3">
        <f t="shared" si="103"/>
        <v>54.711246200607903</v>
      </c>
      <c r="J932" t="str">
        <f t="shared" si="104"/>
        <v>F</v>
      </c>
    </row>
    <row r="933" spans="1:10" x14ac:dyDescent="0.25">
      <c r="A933" s="4" t="s">
        <v>406</v>
      </c>
      <c r="B933" s="1">
        <v>0.23919599999999999</v>
      </c>
      <c r="C933" s="1">
        <v>0.24299999999999999</v>
      </c>
      <c r="D933" s="1">
        <f t="shared" si="98"/>
        <v>3.8040000000000018E-3</v>
      </c>
      <c r="E933">
        <f t="shared" si="99"/>
        <v>5</v>
      </c>
      <c r="F933">
        <f t="shared" si="100"/>
        <v>29</v>
      </c>
      <c r="G933">
        <f t="shared" si="101"/>
        <v>5.48</v>
      </c>
      <c r="H933">
        <f t="shared" si="102"/>
        <v>329</v>
      </c>
      <c r="I933" s="3">
        <f t="shared" si="103"/>
        <v>54.711246200607903</v>
      </c>
      <c r="J933" t="str">
        <f t="shared" si="104"/>
        <v>F</v>
      </c>
    </row>
    <row r="934" spans="1:10" x14ac:dyDescent="0.25">
      <c r="A934" s="4" t="s">
        <v>11</v>
      </c>
      <c r="B934" s="1">
        <v>0.44774900000000001</v>
      </c>
      <c r="C934" s="1">
        <v>0.451573</v>
      </c>
      <c r="D934" s="1">
        <f t="shared" si="98"/>
        <v>3.8239999999999941E-3</v>
      </c>
      <c r="E934">
        <f t="shared" si="99"/>
        <v>5</v>
      </c>
      <c r="F934">
        <f t="shared" si="100"/>
        <v>30</v>
      </c>
      <c r="G934">
        <f t="shared" si="101"/>
        <v>5.5</v>
      </c>
      <c r="H934">
        <f t="shared" si="102"/>
        <v>330</v>
      </c>
      <c r="I934" s="3">
        <f t="shared" si="103"/>
        <v>54.54545454545454</v>
      </c>
      <c r="J934" t="str">
        <f t="shared" si="104"/>
        <v>F</v>
      </c>
    </row>
    <row r="935" spans="1:10" x14ac:dyDescent="0.25">
      <c r="A935" s="4" t="s">
        <v>27</v>
      </c>
      <c r="B935" s="1">
        <v>7.0146E-2</v>
      </c>
      <c r="C935" s="1">
        <v>6.633E-2</v>
      </c>
      <c r="D935" s="1">
        <f t="shared" si="98"/>
        <v>3.8159999999999999E-3</v>
      </c>
      <c r="E935">
        <f t="shared" si="99"/>
        <v>5</v>
      </c>
      <c r="F935">
        <f t="shared" si="100"/>
        <v>30</v>
      </c>
      <c r="G935">
        <f t="shared" si="101"/>
        <v>5.5</v>
      </c>
      <c r="H935">
        <f t="shared" si="102"/>
        <v>330</v>
      </c>
      <c r="I935" s="3">
        <f t="shared" si="103"/>
        <v>54.54545454545454</v>
      </c>
      <c r="J935" t="str">
        <f t="shared" si="104"/>
        <v>F</v>
      </c>
    </row>
    <row r="936" spans="1:10" x14ac:dyDescent="0.25">
      <c r="A936" s="4" t="s">
        <v>260</v>
      </c>
      <c r="B936" s="1">
        <v>0.38089400000000001</v>
      </c>
      <c r="C936" s="1">
        <v>0.37707400000000002</v>
      </c>
      <c r="D936" s="1">
        <f t="shared" si="98"/>
        <v>3.8199999999999901E-3</v>
      </c>
      <c r="E936">
        <f t="shared" si="99"/>
        <v>5</v>
      </c>
      <c r="F936">
        <f t="shared" si="100"/>
        <v>30</v>
      </c>
      <c r="G936">
        <f t="shared" si="101"/>
        <v>5.5</v>
      </c>
      <c r="H936">
        <f t="shared" si="102"/>
        <v>330</v>
      </c>
      <c r="I936" s="3">
        <f t="shared" si="103"/>
        <v>54.54545454545454</v>
      </c>
      <c r="J936" t="str">
        <f t="shared" si="104"/>
        <v>F</v>
      </c>
    </row>
    <row r="937" spans="1:10" x14ac:dyDescent="0.25">
      <c r="A937" s="4" t="s">
        <v>20</v>
      </c>
      <c r="B937" s="1">
        <v>0.65905100000000005</v>
      </c>
      <c r="C937" s="1">
        <v>0.662879</v>
      </c>
      <c r="D937" s="1">
        <f t="shared" si="98"/>
        <v>3.8279999999999426E-3</v>
      </c>
      <c r="E937">
        <f t="shared" si="99"/>
        <v>5</v>
      </c>
      <c r="F937">
        <f t="shared" si="100"/>
        <v>31</v>
      </c>
      <c r="G937">
        <f t="shared" si="101"/>
        <v>5.52</v>
      </c>
      <c r="H937">
        <f t="shared" si="102"/>
        <v>331</v>
      </c>
      <c r="I937" s="3">
        <f t="shared" si="103"/>
        <v>54.380664652567972</v>
      </c>
      <c r="J937" t="str">
        <f t="shared" si="104"/>
        <v>F</v>
      </c>
    </row>
    <row r="938" spans="1:10" x14ac:dyDescent="0.25">
      <c r="A938" s="4" t="s">
        <v>274</v>
      </c>
      <c r="B938" s="1">
        <v>0.47454200000000002</v>
      </c>
      <c r="C938" s="1">
        <v>0.47071400000000002</v>
      </c>
      <c r="D938" s="1">
        <f t="shared" si="98"/>
        <v>3.8279999999999981E-3</v>
      </c>
      <c r="E938">
        <f t="shared" si="99"/>
        <v>5</v>
      </c>
      <c r="F938">
        <f t="shared" si="100"/>
        <v>31</v>
      </c>
      <c r="G938">
        <f t="shared" si="101"/>
        <v>5.52</v>
      </c>
      <c r="H938">
        <f t="shared" si="102"/>
        <v>331</v>
      </c>
      <c r="I938" s="3">
        <f t="shared" si="103"/>
        <v>54.380664652567972</v>
      </c>
      <c r="J938" t="str">
        <f t="shared" si="104"/>
        <v>F</v>
      </c>
    </row>
    <row r="939" spans="1:10" x14ac:dyDescent="0.25">
      <c r="A939" s="4" t="s">
        <v>404</v>
      </c>
      <c r="B939" s="1">
        <v>0.56015199999999998</v>
      </c>
      <c r="C939" s="1">
        <v>0.55632400000000004</v>
      </c>
      <c r="D939" s="1">
        <f t="shared" si="98"/>
        <v>3.8279999999999426E-3</v>
      </c>
      <c r="E939">
        <f t="shared" si="99"/>
        <v>5</v>
      </c>
      <c r="F939">
        <f t="shared" si="100"/>
        <v>31</v>
      </c>
      <c r="G939">
        <f t="shared" si="101"/>
        <v>5.52</v>
      </c>
      <c r="H939">
        <f t="shared" si="102"/>
        <v>331</v>
      </c>
      <c r="I939" s="3">
        <f t="shared" si="103"/>
        <v>54.380664652567972</v>
      </c>
      <c r="J939" t="str">
        <f t="shared" si="104"/>
        <v>F</v>
      </c>
    </row>
    <row r="940" spans="1:10" x14ac:dyDescent="0.25">
      <c r="A940" s="4" t="s">
        <v>75</v>
      </c>
      <c r="B940" s="1">
        <v>0.59153599999999995</v>
      </c>
      <c r="C940" s="1">
        <v>0.58769199999999999</v>
      </c>
      <c r="D940" s="1">
        <f t="shared" si="98"/>
        <v>3.8439999999999586E-3</v>
      </c>
      <c r="E940">
        <f t="shared" si="99"/>
        <v>5</v>
      </c>
      <c r="F940">
        <f t="shared" si="100"/>
        <v>32</v>
      </c>
      <c r="G940">
        <f t="shared" si="101"/>
        <v>5.53</v>
      </c>
      <c r="H940">
        <f t="shared" si="102"/>
        <v>332</v>
      </c>
      <c r="I940" s="3">
        <f t="shared" si="103"/>
        <v>54.216867469879517</v>
      </c>
      <c r="J940" t="str">
        <f t="shared" si="104"/>
        <v>F</v>
      </c>
    </row>
    <row r="941" spans="1:10" x14ac:dyDescent="0.25">
      <c r="A941" s="4" t="s">
        <v>51</v>
      </c>
      <c r="B941" s="1">
        <v>0.231432</v>
      </c>
      <c r="C941" s="1">
        <v>0.22759199999999999</v>
      </c>
      <c r="D941" s="1">
        <f t="shared" si="98"/>
        <v>3.8400000000000101E-3</v>
      </c>
      <c r="E941">
        <f t="shared" si="99"/>
        <v>5</v>
      </c>
      <c r="F941">
        <f t="shared" si="100"/>
        <v>32</v>
      </c>
      <c r="G941">
        <f t="shared" si="101"/>
        <v>5.53</v>
      </c>
      <c r="H941">
        <f t="shared" si="102"/>
        <v>332</v>
      </c>
      <c r="I941" s="3">
        <f t="shared" si="103"/>
        <v>54.216867469879517</v>
      </c>
      <c r="J941" t="str">
        <f t="shared" si="104"/>
        <v>F</v>
      </c>
    </row>
    <row r="942" spans="1:10" x14ac:dyDescent="0.25">
      <c r="A942" s="4" t="s">
        <v>90</v>
      </c>
      <c r="B942" s="1">
        <v>0.63536800000000004</v>
      </c>
      <c r="C942" s="1">
        <v>0.639208</v>
      </c>
      <c r="D942" s="1">
        <f t="shared" si="98"/>
        <v>3.8399999999999546E-3</v>
      </c>
      <c r="E942">
        <f t="shared" si="99"/>
        <v>5</v>
      </c>
      <c r="F942">
        <f t="shared" si="100"/>
        <v>32</v>
      </c>
      <c r="G942">
        <f t="shared" si="101"/>
        <v>5.53</v>
      </c>
      <c r="H942">
        <f t="shared" si="102"/>
        <v>332</v>
      </c>
      <c r="I942" s="3">
        <f t="shared" si="103"/>
        <v>54.216867469879517</v>
      </c>
      <c r="J942" t="str">
        <f t="shared" si="104"/>
        <v>F</v>
      </c>
    </row>
    <row r="943" spans="1:10" x14ac:dyDescent="0.25">
      <c r="A943" s="4" t="s">
        <v>39</v>
      </c>
      <c r="B943" s="1">
        <v>8.9300000000000004E-2</v>
      </c>
      <c r="C943" s="1">
        <v>9.3151999999999999E-2</v>
      </c>
      <c r="D943" s="1">
        <f t="shared" si="98"/>
        <v>3.8519999999999943E-3</v>
      </c>
      <c r="E943">
        <f t="shared" si="99"/>
        <v>5</v>
      </c>
      <c r="F943">
        <f t="shared" si="100"/>
        <v>33</v>
      </c>
      <c r="G943">
        <f t="shared" si="101"/>
        <v>5.55</v>
      </c>
      <c r="H943">
        <f t="shared" si="102"/>
        <v>333</v>
      </c>
      <c r="I943" s="3">
        <f t="shared" si="103"/>
        <v>54.054054054054049</v>
      </c>
      <c r="J943" t="str">
        <f t="shared" si="104"/>
        <v>F</v>
      </c>
    </row>
    <row r="944" spans="1:10" x14ac:dyDescent="0.25">
      <c r="A944" s="4" t="s">
        <v>19</v>
      </c>
      <c r="B944" s="1">
        <v>0.76597700000000002</v>
      </c>
      <c r="C944" s="1">
        <v>0.76212500000000005</v>
      </c>
      <c r="D944" s="1">
        <f t="shared" si="98"/>
        <v>3.8519999999999666E-3</v>
      </c>
      <c r="E944">
        <f t="shared" si="99"/>
        <v>5</v>
      </c>
      <c r="F944">
        <f t="shared" si="100"/>
        <v>33</v>
      </c>
      <c r="G944">
        <f t="shared" si="101"/>
        <v>5.55</v>
      </c>
      <c r="H944">
        <f t="shared" si="102"/>
        <v>333</v>
      </c>
      <c r="I944" s="3">
        <f t="shared" si="103"/>
        <v>54.054054054054049</v>
      </c>
      <c r="J944" t="str">
        <f t="shared" si="104"/>
        <v>F</v>
      </c>
    </row>
    <row r="945" spans="1:10" x14ac:dyDescent="0.25">
      <c r="A945" s="4" t="s">
        <v>209</v>
      </c>
      <c r="B945" s="1">
        <v>0.40768100000000002</v>
      </c>
      <c r="C945" s="1">
        <v>0.40382499999999999</v>
      </c>
      <c r="D945" s="1">
        <f t="shared" si="98"/>
        <v>3.8560000000000261E-3</v>
      </c>
      <c r="E945">
        <f t="shared" si="99"/>
        <v>5</v>
      </c>
      <c r="F945">
        <f t="shared" si="100"/>
        <v>33</v>
      </c>
      <c r="G945">
        <f t="shared" si="101"/>
        <v>5.55</v>
      </c>
      <c r="H945">
        <f t="shared" si="102"/>
        <v>333</v>
      </c>
      <c r="I945" s="3">
        <f t="shared" si="103"/>
        <v>54.054054054054049</v>
      </c>
      <c r="J945" t="str">
        <f t="shared" si="104"/>
        <v>F</v>
      </c>
    </row>
    <row r="946" spans="1:10" x14ac:dyDescent="0.25">
      <c r="A946" s="4" t="s">
        <v>87</v>
      </c>
      <c r="B946" s="1">
        <v>0.14188400000000001</v>
      </c>
      <c r="C946" s="1">
        <v>0.14574799999999999</v>
      </c>
      <c r="D946" s="1">
        <f t="shared" si="98"/>
        <v>3.8639999999999786E-3</v>
      </c>
      <c r="E946">
        <f t="shared" si="99"/>
        <v>5</v>
      </c>
      <c r="F946">
        <f t="shared" si="100"/>
        <v>34</v>
      </c>
      <c r="G946">
        <f t="shared" si="101"/>
        <v>5.57</v>
      </c>
      <c r="H946">
        <f t="shared" si="102"/>
        <v>334</v>
      </c>
      <c r="I946" s="3">
        <f t="shared" si="103"/>
        <v>53.892215568862277</v>
      </c>
      <c r="J946" t="str">
        <f t="shared" si="104"/>
        <v>F</v>
      </c>
    </row>
    <row r="947" spans="1:10" x14ac:dyDescent="0.25">
      <c r="A947" s="4" t="s">
        <v>103</v>
      </c>
      <c r="B947" s="1">
        <v>0.65021700000000004</v>
      </c>
      <c r="C947" s="1">
        <v>0.64635299999999996</v>
      </c>
      <c r="D947" s="1">
        <f t="shared" si="98"/>
        <v>3.8640000000000896E-3</v>
      </c>
      <c r="E947">
        <f t="shared" si="99"/>
        <v>5</v>
      </c>
      <c r="F947">
        <f t="shared" si="100"/>
        <v>34</v>
      </c>
      <c r="G947">
        <f t="shared" si="101"/>
        <v>5.57</v>
      </c>
      <c r="H947">
        <f t="shared" si="102"/>
        <v>334</v>
      </c>
      <c r="I947" s="3">
        <f t="shared" si="103"/>
        <v>53.892215568862277</v>
      </c>
      <c r="J947" t="str">
        <f t="shared" si="104"/>
        <v>F</v>
      </c>
    </row>
    <row r="948" spans="1:10" x14ac:dyDescent="0.25">
      <c r="A948" s="4" t="s">
        <v>41</v>
      </c>
      <c r="B948" s="1">
        <v>0.93147599999999997</v>
      </c>
      <c r="C948" s="1">
        <v>0.93533999999999995</v>
      </c>
      <c r="D948" s="1">
        <f t="shared" si="98"/>
        <v>3.8639999999999786E-3</v>
      </c>
      <c r="E948">
        <f t="shared" si="99"/>
        <v>5</v>
      </c>
      <c r="F948">
        <f t="shared" si="100"/>
        <v>34</v>
      </c>
      <c r="G948">
        <f t="shared" si="101"/>
        <v>5.57</v>
      </c>
      <c r="H948">
        <f t="shared" si="102"/>
        <v>334</v>
      </c>
      <c r="I948" s="3">
        <f t="shared" si="103"/>
        <v>53.892215568862277</v>
      </c>
      <c r="J948" t="str">
        <f t="shared" si="104"/>
        <v>F</v>
      </c>
    </row>
    <row r="949" spans="1:10" x14ac:dyDescent="0.25">
      <c r="A949" s="4" t="s">
        <v>64</v>
      </c>
      <c r="B949" s="1">
        <v>0.31358399999999997</v>
      </c>
      <c r="C949" s="1">
        <v>0.317444</v>
      </c>
      <c r="D949" s="1">
        <f t="shared" si="98"/>
        <v>3.8600000000000301E-3</v>
      </c>
      <c r="E949">
        <f t="shared" si="99"/>
        <v>5</v>
      </c>
      <c r="F949">
        <f t="shared" si="100"/>
        <v>34</v>
      </c>
      <c r="G949">
        <f t="shared" si="101"/>
        <v>5.57</v>
      </c>
      <c r="H949">
        <f t="shared" si="102"/>
        <v>334</v>
      </c>
      <c r="I949" s="3">
        <f t="shared" si="103"/>
        <v>53.892215568862277</v>
      </c>
      <c r="J949" t="str">
        <f t="shared" si="104"/>
        <v>F</v>
      </c>
    </row>
    <row r="950" spans="1:10" x14ac:dyDescent="0.25">
      <c r="A950" s="4" t="s">
        <v>231</v>
      </c>
      <c r="B950" s="1">
        <v>1.7892000000000002E-2</v>
      </c>
      <c r="C950" s="1">
        <v>1.4028000000000001E-2</v>
      </c>
      <c r="D950" s="1">
        <f t="shared" si="98"/>
        <v>3.8640000000000011E-3</v>
      </c>
      <c r="E950">
        <f t="shared" si="99"/>
        <v>5</v>
      </c>
      <c r="F950">
        <f t="shared" si="100"/>
        <v>34</v>
      </c>
      <c r="G950">
        <f t="shared" si="101"/>
        <v>5.57</v>
      </c>
      <c r="H950">
        <f t="shared" si="102"/>
        <v>334</v>
      </c>
      <c r="I950" s="3">
        <f t="shared" si="103"/>
        <v>53.892215568862277</v>
      </c>
      <c r="J950" t="str">
        <f t="shared" si="104"/>
        <v>F</v>
      </c>
    </row>
    <row r="951" spans="1:10" x14ac:dyDescent="0.25">
      <c r="A951" s="4" t="s">
        <v>32</v>
      </c>
      <c r="B951" s="1">
        <v>0.83624799999999999</v>
      </c>
      <c r="C951" s="1">
        <v>0.832376</v>
      </c>
      <c r="D951" s="1">
        <f t="shared" si="98"/>
        <v>3.8719999999999866E-3</v>
      </c>
      <c r="E951">
        <f t="shared" si="99"/>
        <v>5</v>
      </c>
      <c r="F951">
        <f t="shared" si="100"/>
        <v>35</v>
      </c>
      <c r="G951">
        <f t="shared" si="101"/>
        <v>5.58</v>
      </c>
      <c r="H951">
        <f t="shared" si="102"/>
        <v>335</v>
      </c>
      <c r="I951" s="3">
        <f t="shared" si="103"/>
        <v>53.731343283582092</v>
      </c>
      <c r="J951" t="str">
        <f t="shared" si="104"/>
        <v>F</v>
      </c>
    </row>
    <row r="952" spans="1:10" x14ac:dyDescent="0.25">
      <c r="A952" s="4" t="s">
        <v>46</v>
      </c>
      <c r="B952" s="1">
        <v>0.42665900000000001</v>
      </c>
      <c r="C952" s="1">
        <v>0.42278300000000002</v>
      </c>
      <c r="D952" s="1">
        <f t="shared" si="98"/>
        <v>3.8759999999999906E-3</v>
      </c>
      <c r="E952">
        <f t="shared" si="99"/>
        <v>5</v>
      </c>
      <c r="F952">
        <f t="shared" si="100"/>
        <v>35</v>
      </c>
      <c r="G952">
        <f t="shared" si="101"/>
        <v>5.58</v>
      </c>
      <c r="H952">
        <f t="shared" si="102"/>
        <v>335</v>
      </c>
      <c r="I952" s="3">
        <f t="shared" si="103"/>
        <v>53.731343283582092</v>
      </c>
      <c r="J952" t="str">
        <f t="shared" si="104"/>
        <v>F</v>
      </c>
    </row>
    <row r="953" spans="1:10" x14ac:dyDescent="0.25">
      <c r="A953" s="4" t="s">
        <v>58</v>
      </c>
      <c r="B953" s="1">
        <v>0.90173300000000001</v>
      </c>
      <c r="C953" s="1">
        <v>0.905613</v>
      </c>
      <c r="D953" s="1">
        <f t="shared" si="98"/>
        <v>3.8799999999999946E-3</v>
      </c>
      <c r="E953">
        <f t="shared" si="99"/>
        <v>5</v>
      </c>
      <c r="F953">
        <f t="shared" si="100"/>
        <v>35</v>
      </c>
      <c r="G953">
        <f t="shared" si="101"/>
        <v>5.58</v>
      </c>
      <c r="H953">
        <f t="shared" si="102"/>
        <v>335</v>
      </c>
      <c r="I953" s="3">
        <f t="shared" si="103"/>
        <v>53.731343283582092</v>
      </c>
      <c r="J953" t="str">
        <f t="shared" si="104"/>
        <v>F</v>
      </c>
    </row>
    <row r="954" spans="1:10" x14ac:dyDescent="0.25">
      <c r="A954" s="4" t="s">
        <v>82</v>
      </c>
      <c r="B954" s="1">
        <v>0.63863800000000004</v>
      </c>
      <c r="C954" s="1">
        <v>0.64251000000000003</v>
      </c>
      <c r="D954" s="1">
        <f t="shared" si="98"/>
        <v>3.8719999999999866E-3</v>
      </c>
      <c r="E954">
        <f t="shared" si="99"/>
        <v>5</v>
      </c>
      <c r="F954">
        <f t="shared" si="100"/>
        <v>35</v>
      </c>
      <c r="G954">
        <f t="shared" si="101"/>
        <v>5.58</v>
      </c>
      <c r="H954">
        <f t="shared" si="102"/>
        <v>335</v>
      </c>
      <c r="I954" s="3">
        <f t="shared" si="103"/>
        <v>53.731343283582092</v>
      </c>
      <c r="J954" t="str">
        <f t="shared" si="104"/>
        <v>F</v>
      </c>
    </row>
    <row r="955" spans="1:10" x14ac:dyDescent="0.25">
      <c r="A955" s="4" t="s">
        <v>3</v>
      </c>
      <c r="B955" s="1">
        <v>0.121036</v>
      </c>
      <c r="C955" s="1">
        <v>0.12492</v>
      </c>
      <c r="D955" s="1">
        <f t="shared" si="98"/>
        <v>3.8839999999999986E-3</v>
      </c>
      <c r="E955">
        <f t="shared" si="99"/>
        <v>5</v>
      </c>
      <c r="F955">
        <f t="shared" si="100"/>
        <v>36</v>
      </c>
      <c r="G955">
        <f t="shared" si="101"/>
        <v>5.6</v>
      </c>
      <c r="H955">
        <f t="shared" si="102"/>
        <v>336</v>
      </c>
      <c r="I955" s="3">
        <f t="shared" si="103"/>
        <v>53.571428571428569</v>
      </c>
      <c r="J955" t="str">
        <f t="shared" si="104"/>
        <v>F</v>
      </c>
    </row>
    <row r="956" spans="1:10" x14ac:dyDescent="0.25">
      <c r="A956" s="4" t="s">
        <v>41</v>
      </c>
      <c r="B956" s="1">
        <v>0.17504700000000001</v>
      </c>
      <c r="C956" s="1">
        <v>0.17893500000000001</v>
      </c>
      <c r="D956" s="1">
        <f t="shared" si="98"/>
        <v>3.8880000000000026E-3</v>
      </c>
      <c r="E956">
        <f t="shared" si="99"/>
        <v>5</v>
      </c>
      <c r="F956">
        <f t="shared" si="100"/>
        <v>36</v>
      </c>
      <c r="G956">
        <f t="shared" si="101"/>
        <v>5.6</v>
      </c>
      <c r="H956">
        <f t="shared" si="102"/>
        <v>336</v>
      </c>
      <c r="I956" s="3">
        <f t="shared" si="103"/>
        <v>53.571428571428569</v>
      </c>
      <c r="J956" t="str">
        <f t="shared" si="104"/>
        <v>F</v>
      </c>
    </row>
    <row r="957" spans="1:10" x14ac:dyDescent="0.25">
      <c r="A957" s="4" t="s">
        <v>66</v>
      </c>
      <c r="B957" s="1">
        <v>0.336086</v>
      </c>
      <c r="C957" s="1">
        <v>0.33219799999999999</v>
      </c>
      <c r="D957" s="1">
        <f t="shared" si="98"/>
        <v>3.8880000000000026E-3</v>
      </c>
      <c r="E957">
        <f t="shared" si="99"/>
        <v>5</v>
      </c>
      <c r="F957">
        <f t="shared" si="100"/>
        <v>36</v>
      </c>
      <c r="G957">
        <f t="shared" si="101"/>
        <v>5.6</v>
      </c>
      <c r="H957">
        <f t="shared" si="102"/>
        <v>336</v>
      </c>
      <c r="I957" s="3">
        <f t="shared" si="103"/>
        <v>53.571428571428569</v>
      </c>
      <c r="J957" t="str">
        <f t="shared" si="104"/>
        <v>F</v>
      </c>
    </row>
    <row r="958" spans="1:10" x14ac:dyDescent="0.25">
      <c r="A958" s="4" t="s">
        <v>54</v>
      </c>
      <c r="B958" s="1">
        <v>0.10882</v>
      </c>
      <c r="C958" s="1">
        <v>0.104932</v>
      </c>
      <c r="D958" s="1">
        <f t="shared" si="98"/>
        <v>3.8880000000000026E-3</v>
      </c>
      <c r="E958">
        <f t="shared" si="99"/>
        <v>5</v>
      </c>
      <c r="F958">
        <f t="shared" si="100"/>
        <v>36</v>
      </c>
      <c r="G958">
        <f t="shared" si="101"/>
        <v>5.6</v>
      </c>
      <c r="H958">
        <f t="shared" si="102"/>
        <v>336</v>
      </c>
      <c r="I958" s="3">
        <f t="shared" si="103"/>
        <v>53.571428571428569</v>
      </c>
      <c r="J958" t="str">
        <f t="shared" si="104"/>
        <v>F</v>
      </c>
    </row>
    <row r="959" spans="1:10" x14ac:dyDescent="0.25">
      <c r="A959" s="4" t="s">
        <v>64</v>
      </c>
      <c r="B959" s="1">
        <v>0.122706</v>
      </c>
      <c r="C959" s="1">
        <v>0.118814</v>
      </c>
      <c r="D959" s="1">
        <f t="shared" si="98"/>
        <v>3.8919999999999927E-3</v>
      </c>
      <c r="E959">
        <f t="shared" si="99"/>
        <v>5</v>
      </c>
      <c r="F959">
        <f t="shared" si="100"/>
        <v>36</v>
      </c>
      <c r="G959">
        <f t="shared" si="101"/>
        <v>5.6</v>
      </c>
      <c r="H959">
        <f t="shared" si="102"/>
        <v>336</v>
      </c>
      <c r="I959" s="3">
        <f t="shared" si="103"/>
        <v>53.571428571428569</v>
      </c>
      <c r="J959" t="str">
        <f t="shared" si="104"/>
        <v>F</v>
      </c>
    </row>
    <row r="960" spans="1:10" x14ac:dyDescent="0.25">
      <c r="A960" s="4" t="s">
        <v>47</v>
      </c>
      <c r="B960" s="1">
        <v>0.56683799999999995</v>
      </c>
      <c r="C960" s="1">
        <v>0.56295399999999995</v>
      </c>
      <c r="D960" s="1">
        <f t="shared" si="98"/>
        <v>3.8839999999999986E-3</v>
      </c>
      <c r="E960">
        <f t="shared" si="99"/>
        <v>5</v>
      </c>
      <c r="F960">
        <f t="shared" si="100"/>
        <v>36</v>
      </c>
      <c r="G960">
        <f t="shared" si="101"/>
        <v>5.6</v>
      </c>
      <c r="H960">
        <f t="shared" si="102"/>
        <v>336</v>
      </c>
      <c r="I960" s="3">
        <f t="shared" si="103"/>
        <v>53.571428571428569</v>
      </c>
      <c r="J960" t="str">
        <f t="shared" si="104"/>
        <v>F</v>
      </c>
    </row>
    <row r="961" spans="1:10" x14ac:dyDescent="0.25">
      <c r="A961" s="4" t="s">
        <v>28</v>
      </c>
      <c r="B961" s="1">
        <v>0.29008400000000001</v>
      </c>
      <c r="C961" s="1">
        <v>0.29398800000000003</v>
      </c>
      <c r="D961" s="1">
        <f t="shared" si="98"/>
        <v>3.9040000000000186E-3</v>
      </c>
      <c r="E961">
        <f t="shared" si="99"/>
        <v>5</v>
      </c>
      <c r="F961">
        <f t="shared" si="100"/>
        <v>37</v>
      </c>
      <c r="G961">
        <f t="shared" si="101"/>
        <v>5.62</v>
      </c>
      <c r="H961">
        <f t="shared" si="102"/>
        <v>337</v>
      </c>
      <c r="I961" s="3">
        <f t="shared" si="103"/>
        <v>53.412462908011868</v>
      </c>
      <c r="J961" t="str">
        <f t="shared" si="104"/>
        <v>F</v>
      </c>
    </row>
    <row r="962" spans="1:10" x14ac:dyDescent="0.25">
      <c r="A962" s="4" t="s">
        <v>112</v>
      </c>
      <c r="B962" s="1">
        <v>0.85606400000000005</v>
      </c>
      <c r="C962" s="1">
        <v>0.85216400000000003</v>
      </c>
      <c r="D962" s="1">
        <f t="shared" ref="D962:D1025" si="105">IF(B962&gt;C962,B962-C962,C962-B962)</f>
        <v>3.9000000000000146E-3</v>
      </c>
      <c r="E962">
        <f t="shared" ref="E962:E1025" si="106">MINUTE(D962)</f>
        <v>5</v>
      </c>
      <c r="F962">
        <f t="shared" ref="F962:F1001" si="107">SECOND(D962)</f>
        <v>37</v>
      </c>
      <c r="G962">
        <f t="shared" ref="G962:G1025" si="108">ROUND(E962+F962/60,2)</f>
        <v>5.62</v>
      </c>
      <c r="H962">
        <f t="shared" ref="H962:H1001" si="109">60*E962+F962</f>
        <v>337</v>
      </c>
      <c r="I962" s="3">
        <f t="shared" ref="I962:I1025" si="110">5*(3600/H962)</f>
        <v>53.412462908011868</v>
      </c>
      <c r="J962" t="str">
        <f t="shared" ref="J962:J1001" si="111">IF(MID(A962,3,2)="18","T","F")</f>
        <v>F</v>
      </c>
    </row>
    <row r="963" spans="1:10" x14ac:dyDescent="0.25">
      <c r="A963" s="4" t="s">
        <v>117</v>
      </c>
      <c r="B963" s="1">
        <v>0.17993500000000001</v>
      </c>
      <c r="C963" s="1">
        <v>0.17603099999999999</v>
      </c>
      <c r="D963" s="1">
        <f t="shared" si="105"/>
        <v>3.9040000000000186E-3</v>
      </c>
      <c r="E963">
        <f t="shared" si="106"/>
        <v>5</v>
      </c>
      <c r="F963">
        <f t="shared" si="107"/>
        <v>37</v>
      </c>
      <c r="G963">
        <f t="shared" si="108"/>
        <v>5.62</v>
      </c>
      <c r="H963">
        <f t="shared" si="109"/>
        <v>337</v>
      </c>
      <c r="I963" s="3">
        <f t="shared" si="110"/>
        <v>53.412462908011868</v>
      </c>
      <c r="J963" t="str">
        <f t="shared" si="111"/>
        <v>F</v>
      </c>
    </row>
    <row r="964" spans="1:10" x14ac:dyDescent="0.25">
      <c r="A964" s="4" t="s">
        <v>96</v>
      </c>
      <c r="B964" s="1">
        <v>0.69461200000000001</v>
      </c>
      <c r="C964" s="1">
        <v>0.69851200000000002</v>
      </c>
      <c r="D964" s="1">
        <f t="shared" si="105"/>
        <v>3.9000000000000146E-3</v>
      </c>
      <c r="E964">
        <f t="shared" si="106"/>
        <v>5</v>
      </c>
      <c r="F964">
        <f t="shared" si="107"/>
        <v>37</v>
      </c>
      <c r="G964">
        <f t="shared" si="108"/>
        <v>5.62</v>
      </c>
      <c r="H964">
        <f t="shared" si="109"/>
        <v>337</v>
      </c>
      <c r="I964" s="3">
        <f t="shared" si="110"/>
        <v>53.412462908011868</v>
      </c>
      <c r="J964" t="str">
        <f t="shared" si="111"/>
        <v>F</v>
      </c>
    </row>
    <row r="965" spans="1:10" x14ac:dyDescent="0.25">
      <c r="A965" s="4" t="s">
        <v>134</v>
      </c>
      <c r="B965" s="1">
        <v>0.16026199999999999</v>
      </c>
      <c r="C965" s="1">
        <v>0.16416600000000001</v>
      </c>
      <c r="D965" s="1">
        <f t="shared" si="105"/>
        <v>3.9040000000000186E-3</v>
      </c>
      <c r="E965">
        <f t="shared" si="106"/>
        <v>5</v>
      </c>
      <c r="F965">
        <f t="shared" si="107"/>
        <v>37</v>
      </c>
      <c r="G965">
        <f t="shared" si="108"/>
        <v>5.62</v>
      </c>
      <c r="H965">
        <f t="shared" si="109"/>
        <v>337</v>
      </c>
      <c r="I965" s="3">
        <f t="shared" si="110"/>
        <v>53.412462908011868</v>
      </c>
      <c r="J965" t="str">
        <f t="shared" si="111"/>
        <v>F</v>
      </c>
    </row>
    <row r="966" spans="1:10" x14ac:dyDescent="0.25">
      <c r="A966" s="4" t="s">
        <v>218</v>
      </c>
      <c r="B966" s="1">
        <v>4.9180000000000001E-2</v>
      </c>
      <c r="C966" s="1">
        <v>4.5275999999999997E-2</v>
      </c>
      <c r="D966" s="1">
        <f t="shared" si="105"/>
        <v>3.9040000000000047E-3</v>
      </c>
      <c r="E966">
        <f t="shared" si="106"/>
        <v>5</v>
      </c>
      <c r="F966">
        <f t="shared" si="107"/>
        <v>37</v>
      </c>
      <c r="G966">
        <f t="shared" si="108"/>
        <v>5.62</v>
      </c>
      <c r="H966">
        <f t="shared" si="109"/>
        <v>337</v>
      </c>
      <c r="I966" s="3">
        <f t="shared" si="110"/>
        <v>53.412462908011868</v>
      </c>
      <c r="J966" t="str">
        <f t="shared" si="111"/>
        <v>F</v>
      </c>
    </row>
    <row r="967" spans="1:10" x14ac:dyDescent="0.25">
      <c r="A967" s="4" t="s">
        <v>373</v>
      </c>
      <c r="B967" s="1">
        <v>0.79386299999999999</v>
      </c>
      <c r="C967" s="1">
        <v>0.797763</v>
      </c>
      <c r="D967" s="1">
        <f t="shared" si="105"/>
        <v>3.9000000000000146E-3</v>
      </c>
      <c r="E967">
        <f t="shared" si="106"/>
        <v>5</v>
      </c>
      <c r="F967">
        <f t="shared" si="107"/>
        <v>37</v>
      </c>
      <c r="G967">
        <f t="shared" si="108"/>
        <v>5.62</v>
      </c>
      <c r="H967">
        <f t="shared" si="109"/>
        <v>337</v>
      </c>
      <c r="I967" s="3">
        <f t="shared" si="110"/>
        <v>53.412462908011868</v>
      </c>
      <c r="J967" t="str">
        <f t="shared" si="111"/>
        <v>F</v>
      </c>
    </row>
    <row r="968" spans="1:10" x14ac:dyDescent="0.25">
      <c r="A968" s="4" t="s">
        <v>377</v>
      </c>
      <c r="B968" s="1">
        <v>0.65303999999999995</v>
      </c>
      <c r="C968" s="1">
        <v>0.64914400000000005</v>
      </c>
      <c r="D968" s="1">
        <f t="shared" si="105"/>
        <v>3.8959999999998995E-3</v>
      </c>
      <c r="E968">
        <f t="shared" si="106"/>
        <v>5</v>
      </c>
      <c r="F968">
        <f t="shared" si="107"/>
        <v>37</v>
      </c>
      <c r="G968">
        <f t="shared" si="108"/>
        <v>5.62</v>
      </c>
      <c r="H968">
        <f t="shared" si="109"/>
        <v>337</v>
      </c>
      <c r="I968" s="3">
        <f t="shared" si="110"/>
        <v>53.412462908011868</v>
      </c>
      <c r="J968" t="str">
        <f t="shared" si="111"/>
        <v>F</v>
      </c>
    </row>
    <row r="969" spans="1:10" x14ac:dyDescent="0.25">
      <c r="A969" s="4" t="s">
        <v>41</v>
      </c>
      <c r="B969" s="1">
        <v>0.54968600000000001</v>
      </c>
      <c r="C969" s="1">
        <v>0.55359800000000003</v>
      </c>
      <c r="D969" s="1">
        <f t="shared" si="105"/>
        <v>3.9120000000000266E-3</v>
      </c>
      <c r="E969">
        <f t="shared" si="106"/>
        <v>5</v>
      </c>
      <c r="F969">
        <f t="shared" si="107"/>
        <v>38</v>
      </c>
      <c r="G969">
        <f t="shared" si="108"/>
        <v>5.63</v>
      </c>
      <c r="H969">
        <f t="shared" si="109"/>
        <v>338</v>
      </c>
      <c r="I969" s="3">
        <f t="shared" si="110"/>
        <v>53.254437869822482</v>
      </c>
      <c r="J969" t="str">
        <f t="shared" si="111"/>
        <v>F</v>
      </c>
    </row>
    <row r="970" spans="1:10" x14ac:dyDescent="0.25">
      <c r="A970" s="4" t="s">
        <v>50</v>
      </c>
      <c r="B970" s="1">
        <v>0.46306999999999998</v>
      </c>
      <c r="C970" s="1">
        <v>0.466978</v>
      </c>
      <c r="D970" s="1">
        <f t="shared" si="105"/>
        <v>3.9080000000000226E-3</v>
      </c>
      <c r="E970">
        <f t="shared" si="106"/>
        <v>5</v>
      </c>
      <c r="F970">
        <f t="shared" si="107"/>
        <v>38</v>
      </c>
      <c r="G970">
        <f t="shared" si="108"/>
        <v>5.63</v>
      </c>
      <c r="H970">
        <f t="shared" si="109"/>
        <v>338</v>
      </c>
      <c r="I970" s="3">
        <f t="shared" si="110"/>
        <v>53.254437869822482</v>
      </c>
      <c r="J970" t="str">
        <f t="shared" si="111"/>
        <v>F</v>
      </c>
    </row>
    <row r="971" spans="1:10" x14ac:dyDescent="0.25">
      <c r="A971" s="4" t="s">
        <v>5</v>
      </c>
      <c r="B971" s="1">
        <v>0.12634100000000001</v>
      </c>
      <c r="C971" s="1">
        <v>0.122433</v>
      </c>
      <c r="D971" s="1">
        <f t="shared" si="105"/>
        <v>3.9080000000000087E-3</v>
      </c>
      <c r="E971">
        <f t="shared" si="106"/>
        <v>5</v>
      </c>
      <c r="F971">
        <f t="shared" si="107"/>
        <v>38</v>
      </c>
      <c r="G971">
        <f t="shared" si="108"/>
        <v>5.63</v>
      </c>
      <c r="H971">
        <f t="shared" si="109"/>
        <v>338</v>
      </c>
      <c r="I971" s="3">
        <f t="shared" si="110"/>
        <v>53.254437869822482</v>
      </c>
      <c r="J971" t="str">
        <f t="shared" si="111"/>
        <v>F</v>
      </c>
    </row>
    <row r="972" spans="1:10" x14ac:dyDescent="0.25">
      <c r="A972" s="4" t="s">
        <v>311</v>
      </c>
      <c r="B972" s="1">
        <v>0.959534</v>
      </c>
      <c r="C972" s="1">
        <v>0.96345000000000003</v>
      </c>
      <c r="D972" s="1">
        <f t="shared" si="105"/>
        <v>3.9160000000000306E-3</v>
      </c>
      <c r="E972">
        <f t="shared" si="106"/>
        <v>5</v>
      </c>
      <c r="F972">
        <f t="shared" si="107"/>
        <v>38</v>
      </c>
      <c r="G972">
        <f t="shared" si="108"/>
        <v>5.63</v>
      </c>
      <c r="H972">
        <f t="shared" si="109"/>
        <v>338</v>
      </c>
      <c r="I972" s="3">
        <f t="shared" si="110"/>
        <v>53.254437869822482</v>
      </c>
      <c r="J972" t="str">
        <f t="shared" si="111"/>
        <v>F</v>
      </c>
    </row>
    <row r="973" spans="1:10" x14ac:dyDescent="0.25">
      <c r="A973" s="4" t="s">
        <v>65</v>
      </c>
      <c r="B973" s="1">
        <v>0.55854400000000004</v>
      </c>
      <c r="C973" s="1">
        <v>0.55462400000000001</v>
      </c>
      <c r="D973" s="1">
        <f t="shared" si="105"/>
        <v>3.9200000000000346E-3</v>
      </c>
      <c r="E973">
        <f t="shared" si="106"/>
        <v>5</v>
      </c>
      <c r="F973">
        <f t="shared" si="107"/>
        <v>39</v>
      </c>
      <c r="G973">
        <f t="shared" si="108"/>
        <v>5.65</v>
      </c>
      <c r="H973">
        <f t="shared" si="109"/>
        <v>339</v>
      </c>
      <c r="I973" s="3">
        <f t="shared" si="110"/>
        <v>53.097345132743364</v>
      </c>
      <c r="J973" t="str">
        <f t="shared" si="111"/>
        <v>F</v>
      </c>
    </row>
    <row r="974" spans="1:10" x14ac:dyDescent="0.25">
      <c r="A974" s="4" t="s">
        <v>212</v>
      </c>
      <c r="B974" s="1">
        <v>0.15565499999999999</v>
      </c>
      <c r="C974" s="1">
        <v>0.151727</v>
      </c>
      <c r="D974" s="1">
        <f t="shared" si="105"/>
        <v>3.9279999999999871E-3</v>
      </c>
      <c r="E974">
        <f t="shared" si="106"/>
        <v>5</v>
      </c>
      <c r="F974">
        <f t="shared" si="107"/>
        <v>39</v>
      </c>
      <c r="G974">
        <f t="shared" si="108"/>
        <v>5.65</v>
      </c>
      <c r="H974">
        <f t="shared" si="109"/>
        <v>339</v>
      </c>
      <c r="I974" s="3">
        <f t="shared" si="110"/>
        <v>53.097345132743364</v>
      </c>
      <c r="J974" t="str">
        <f t="shared" si="111"/>
        <v>F</v>
      </c>
    </row>
    <row r="975" spans="1:10" x14ac:dyDescent="0.25">
      <c r="A975" s="4" t="s">
        <v>353</v>
      </c>
      <c r="B975" s="1">
        <v>0.74910699999999997</v>
      </c>
      <c r="C975" s="1">
        <v>0.753027</v>
      </c>
      <c r="D975" s="1">
        <f t="shared" si="105"/>
        <v>3.9200000000000346E-3</v>
      </c>
      <c r="E975">
        <f t="shared" si="106"/>
        <v>5</v>
      </c>
      <c r="F975">
        <f t="shared" si="107"/>
        <v>39</v>
      </c>
      <c r="G975">
        <f t="shared" si="108"/>
        <v>5.65</v>
      </c>
      <c r="H975">
        <f t="shared" si="109"/>
        <v>339</v>
      </c>
      <c r="I975" s="3">
        <f t="shared" si="110"/>
        <v>53.097345132743364</v>
      </c>
      <c r="J975" t="str">
        <f t="shared" si="111"/>
        <v>F</v>
      </c>
    </row>
    <row r="976" spans="1:10" x14ac:dyDescent="0.25">
      <c r="A976" s="4" t="s">
        <v>207</v>
      </c>
      <c r="B976" s="1">
        <v>0.68479000000000001</v>
      </c>
      <c r="C976" s="1">
        <v>0.68872999999999995</v>
      </c>
      <c r="D976" s="1">
        <f t="shared" si="105"/>
        <v>3.9399999999999435E-3</v>
      </c>
      <c r="E976">
        <f t="shared" si="106"/>
        <v>5</v>
      </c>
      <c r="F976">
        <f t="shared" si="107"/>
        <v>40</v>
      </c>
      <c r="G976">
        <f t="shared" si="108"/>
        <v>5.67</v>
      </c>
      <c r="H976">
        <f t="shared" si="109"/>
        <v>340</v>
      </c>
      <c r="I976" s="3">
        <f t="shared" si="110"/>
        <v>52.941176470588232</v>
      </c>
      <c r="J976" t="str">
        <f t="shared" si="111"/>
        <v>F</v>
      </c>
    </row>
    <row r="977" spans="1:10" x14ac:dyDescent="0.25">
      <c r="A977" s="4" t="s">
        <v>233</v>
      </c>
      <c r="B977" s="1">
        <v>0.423147</v>
      </c>
      <c r="C977" s="1">
        <v>0.419211</v>
      </c>
      <c r="D977" s="1">
        <f t="shared" si="105"/>
        <v>3.9359999999999951E-3</v>
      </c>
      <c r="E977">
        <f t="shared" si="106"/>
        <v>5</v>
      </c>
      <c r="F977">
        <f t="shared" si="107"/>
        <v>40</v>
      </c>
      <c r="G977">
        <f t="shared" si="108"/>
        <v>5.67</v>
      </c>
      <c r="H977">
        <f t="shared" si="109"/>
        <v>340</v>
      </c>
      <c r="I977" s="3">
        <f t="shared" si="110"/>
        <v>52.941176470588232</v>
      </c>
      <c r="J977" t="str">
        <f t="shared" si="111"/>
        <v>F</v>
      </c>
    </row>
    <row r="978" spans="1:10" x14ac:dyDescent="0.25">
      <c r="A978" s="4" t="s">
        <v>307</v>
      </c>
      <c r="B978" s="1">
        <v>0.67436099999999999</v>
      </c>
      <c r="C978" s="1">
        <v>0.67042500000000005</v>
      </c>
      <c r="D978" s="1">
        <f t="shared" si="105"/>
        <v>3.9359999999999395E-3</v>
      </c>
      <c r="E978">
        <f t="shared" si="106"/>
        <v>5</v>
      </c>
      <c r="F978">
        <f t="shared" si="107"/>
        <v>40</v>
      </c>
      <c r="G978">
        <f t="shared" si="108"/>
        <v>5.67</v>
      </c>
      <c r="H978">
        <f t="shared" si="109"/>
        <v>340</v>
      </c>
      <c r="I978" s="3">
        <f t="shared" si="110"/>
        <v>52.941176470588232</v>
      </c>
      <c r="J978" t="str">
        <f t="shared" si="111"/>
        <v>F</v>
      </c>
    </row>
    <row r="979" spans="1:10" x14ac:dyDescent="0.25">
      <c r="A979" s="4" t="s">
        <v>380</v>
      </c>
      <c r="B979" s="1">
        <v>0.64335699999999996</v>
      </c>
      <c r="C979" s="1">
        <v>0.63941700000000001</v>
      </c>
      <c r="D979" s="1">
        <f t="shared" si="105"/>
        <v>3.9399999999999435E-3</v>
      </c>
      <c r="E979">
        <f t="shared" si="106"/>
        <v>5</v>
      </c>
      <c r="F979">
        <f t="shared" si="107"/>
        <v>40</v>
      </c>
      <c r="G979">
        <f t="shared" si="108"/>
        <v>5.67</v>
      </c>
      <c r="H979">
        <f t="shared" si="109"/>
        <v>340</v>
      </c>
      <c r="I979" s="3">
        <f t="shared" si="110"/>
        <v>52.941176470588232</v>
      </c>
      <c r="J979" t="str">
        <f t="shared" si="111"/>
        <v>F</v>
      </c>
    </row>
    <row r="980" spans="1:10" x14ac:dyDescent="0.25">
      <c r="A980" s="4" t="s">
        <v>152</v>
      </c>
      <c r="B980" s="1">
        <v>0.86309499999999995</v>
      </c>
      <c r="C980" s="1">
        <v>0.85914699999999999</v>
      </c>
      <c r="D980" s="1">
        <f t="shared" si="105"/>
        <v>3.9479999999999515E-3</v>
      </c>
      <c r="E980">
        <f t="shared" si="106"/>
        <v>5</v>
      </c>
      <c r="F980">
        <f t="shared" si="107"/>
        <v>41</v>
      </c>
      <c r="G980">
        <f t="shared" si="108"/>
        <v>5.68</v>
      </c>
      <c r="H980">
        <f t="shared" si="109"/>
        <v>341</v>
      </c>
      <c r="I980" s="3">
        <f t="shared" si="110"/>
        <v>52.785923753665685</v>
      </c>
      <c r="J980" t="str">
        <f t="shared" si="111"/>
        <v>F</v>
      </c>
    </row>
    <row r="981" spans="1:10" x14ac:dyDescent="0.25">
      <c r="A981" s="4" t="s">
        <v>428</v>
      </c>
      <c r="B981" s="1">
        <v>0.93484299999999998</v>
      </c>
      <c r="C981" s="1">
        <v>0.93879100000000004</v>
      </c>
      <c r="D981" s="1">
        <f t="shared" si="105"/>
        <v>3.9480000000000626E-3</v>
      </c>
      <c r="E981">
        <f t="shared" si="106"/>
        <v>5</v>
      </c>
      <c r="F981">
        <f t="shared" si="107"/>
        <v>41</v>
      </c>
      <c r="G981">
        <f t="shared" si="108"/>
        <v>5.68</v>
      </c>
      <c r="H981">
        <f t="shared" si="109"/>
        <v>341</v>
      </c>
      <c r="I981" s="3">
        <f t="shared" si="110"/>
        <v>52.785923753665685</v>
      </c>
      <c r="J981" t="str">
        <f t="shared" si="111"/>
        <v>F</v>
      </c>
    </row>
    <row r="982" spans="1:10" x14ac:dyDescent="0.25">
      <c r="A982" s="4" t="s">
        <v>106</v>
      </c>
      <c r="B982" s="1">
        <v>0.97974099999999997</v>
      </c>
      <c r="C982" s="1">
        <v>0.98368500000000003</v>
      </c>
      <c r="D982" s="1">
        <f t="shared" si="105"/>
        <v>3.9440000000000586E-3</v>
      </c>
      <c r="E982">
        <f t="shared" si="106"/>
        <v>5</v>
      </c>
      <c r="F982">
        <f t="shared" si="107"/>
        <v>41</v>
      </c>
      <c r="G982">
        <f t="shared" si="108"/>
        <v>5.68</v>
      </c>
      <c r="H982">
        <f t="shared" si="109"/>
        <v>341</v>
      </c>
      <c r="I982" s="3">
        <f t="shared" si="110"/>
        <v>52.785923753665685</v>
      </c>
      <c r="J982" t="str">
        <f t="shared" si="111"/>
        <v>F</v>
      </c>
    </row>
    <row r="983" spans="1:10" x14ac:dyDescent="0.25">
      <c r="A983" s="4" t="s">
        <v>109</v>
      </c>
      <c r="B983" s="1">
        <v>0.61124299999999998</v>
      </c>
      <c r="C983" s="1">
        <v>0.61519100000000004</v>
      </c>
      <c r="D983" s="1">
        <f t="shared" si="105"/>
        <v>3.9480000000000626E-3</v>
      </c>
      <c r="E983">
        <f t="shared" si="106"/>
        <v>5</v>
      </c>
      <c r="F983">
        <f t="shared" si="107"/>
        <v>41</v>
      </c>
      <c r="G983">
        <f t="shared" si="108"/>
        <v>5.68</v>
      </c>
      <c r="H983">
        <f t="shared" si="109"/>
        <v>341</v>
      </c>
      <c r="I983" s="3">
        <f t="shared" si="110"/>
        <v>52.785923753665685</v>
      </c>
      <c r="J983" t="str">
        <f t="shared" si="111"/>
        <v>F</v>
      </c>
    </row>
    <row r="984" spans="1:10" x14ac:dyDescent="0.25">
      <c r="A984" s="4" t="s">
        <v>109</v>
      </c>
      <c r="B984" s="1">
        <v>0.67701</v>
      </c>
      <c r="C984" s="1">
        <v>0.67305400000000004</v>
      </c>
      <c r="D984" s="1">
        <f t="shared" si="105"/>
        <v>3.9559999999999595E-3</v>
      </c>
      <c r="E984">
        <f t="shared" si="106"/>
        <v>5</v>
      </c>
      <c r="F984">
        <f t="shared" si="107"/>
        <v>42</v>
      </c>
      <c r="G984">
        <f t="shared" si="108"/>
        <v>5.7</v>
      </c>
      <c r="H984">
        <f t="shared" si="109"/>
        <v>342</v>
      </c>
      <c r="I984" s="3">
        <f t="shared" si="110"/>
        <v>52.631578947368425</v>
      </c>
      <c r="J984" t="str">
        <f t="shared" si="111"/>
        <v>F</v>
      </c>
    </row>
    <row r="985" spans="1:10" x14ac:dyDescent="0.25">
      <c r="A985" s="4" t="s">
        <v>55</v>
      </c>
      <c r="B985" s="1">
        <v>0.62152399999999997</v>
      </c>
      <c r="C985" s="1">
        <v>0.61756</v>
      </c>
      <c r="D985" s="1">
        <f t="shared" si="105"/>
        <v>3.9639999999999675E-3</v>
      </c>
      <c r="E985">
        <f t="shared" si="106"/>
        <v>5</v>
      </c>
      <c r="F985">
        <f t="shared" si="107"/>
        <v>42</v>
      </c>
      <c r="G985">
        <f t="shared" si="108"/>
        <v>5.7</v>
      </c>
      <c r="H985">
        <f t="shared" si="109"/>
        <v>342</v>
      </c>
      <c r="I985" s="3">
        <f t="shared" si="110"/>
        <v>52.631578947368425</v>
      </c>
      <c r="J985" t="str">
        <f t="shared" si="111"/>
        <v>F</v>
      </c>
    </row>
    <row r="986" spans="1:10" x14ac:dyDescent="0.25">
      <c r="A986" s="4" t="s">
        <v>108</v>
      </c>
      <c r="B986" s="1">
        <v>0.39525900000000003</v>
      </c>
      <c r="C986" s="1">
        <v>0.39127499999999998</v>
      </c>
      <c r="D986" s="1">
        <f t="shared" si="105"/>
        <v>3.9840000000000431E-3</v>
      </c>
      <c r="E986">
        <f t="shared" si="106"/>
        <v>5</v>
      </c>
      <c r="F986">
        <f t="shared" si="107"/>
        <v>44</v>
      </c>
      <c r="G986">
        <f t="shared" si="108"/>
        <v>5.73</v>
      </c>
      <c r="H986">
        <f t="shared" si="109"/>
        <v>344</v>
      </c>
      <c r="I986" s="3">
        <f t="shared" si="110"/>
        <v>52.325581395348841</v>
      </c>
      <c r="J986" t="str">
        <f t="shared" si="111"/>
        <v>F</v>
      </c>
    </row>
    <row r="987" spans="1:10" x14ac:dyDescent="0.25">
      <c r="A987" s="4" t="s">
        <v>126</v>
      </c>
      <c r="B987" s="1">
        <v>0.63802199999999998</v>
      </c>
      <c r="C987" s="1">
        <v>0.64200199999999996</v>
      </c>
      <c r="D987" s="1">
        <f t="shared" si="105"/>
        <v>3.9799999999999836E-3</v>
      </c>
      <c r="E987">
        <f t="shared" si="106"/>
        <v>5</v>
      </c>
      <c r="F987">
        <f t="shared" si="107"/>
        <v>44</v>
      </c>
      <c r="G987">
        <f t="shared" si="108"/>
        <v>5.73</v>
      </c>
      <c r="H987">
        <f t="shared" si="109"/>
        <v>344</v>
      </c>
      <c r="I987" s="3">
        <f t="shared" si="110"/>
        <v>52.325581395348841</v>
      </c>
      <c r="J987" t="str">
        <f t="shared" si="111"/>
        <v>F</v>
      </c>
    </row>
    <row r="988" spans="1:10" x14ac:dyDescent="0.25">
      <c r="A988" s="4" t="s">
        <v>152</v>
      </c>
      <c r="B988" s="1">
        <v>1.2241E-2</v>
      </c>
      <c r="C988" s="1">
        <v>1.6216999999999999E-2</v>
      </c>
      <c r="D988" s="1">
        <f t="shared" si="105"/>
        <v>3.9759999999999986E-3</v>
      </c>
      <c r="E988">
        <f t="shared" si="106"/>
        <v>5</v>
      </c>
      <c r="F988">
        <f t="shared" si="107"/>
        <v>44</v>
      </c>
      <c r="G988">
        <f t="shared" si="108"/>
        <v>5.73</v>
      </c>
      <c r="H988">
        <f t="shared" si="109"/>
        <v>344</v>
      </c>
      <c r="I988" s="3">
        <f t="shared" si="110"/>
        <v>52.325581395348841</v>
      </c>
      <c r="J988" t="str">
        <f t="shared" si="111"/>
        <v>F</v>
      </c>
    </row>
    <row r="989" spans="1:10" x14ac:dyDescent="0.25">
      <c r="A989" s="4" t="s">
        <v>75</v>
      </c>
      <c r="B989" s="1">
        <v>0.33326600000000001</v>
      </c>
      <c r="C989" s="1">
        <v>0.32928600000000002</v>
      </c>
      <c r="D989" s="1">
        <f t="shared" si="105"/>
        <v>3.9799999999999836E-3</v>
      </c>
      <c r="E989">
        <f t="shared" si="106"/>
        <v>5</v>
      </c>
      <c r="F989">
        <f t="shared" si="107"/>
        <v>44</v>
      </c>
      <c r="G989">
        <f t="shared" si="108"/>
        <v>5.73</v>
      </c>
      <c r="H989">
        <f t="shared" si="109"/>
        <v>344</v>
      </c>
      <c r="I989" s="3">
        <f t="shared" si="110"/>
        <v>52.325581395348841</v>
      </c>
      <c r="J989" t="str">
        <f t="shared" si="111"/>
        <v>F</v>
      </c>
    </row>
    <row r="990" spans="1:10" x14ac:dyDescent="0.25">
      <c r="A990" s="4" t="s">
        <v>5</v>
      </c>
      <c r="B990" s="1">
        <v>0.33269399999999999</v>
      </c>
      <c r="C990" s="1">
        <v>0.33667799999999998</v>
      </c>
      <c r="D990" s="1">
        <f t="shared" si="105"/>
        <v>3.9839999999999876E-3</v>
      </c>
      <c r="E990">
        <f t="shared" si="106"/>
        <v>5</v>
      </c>
      <c r="F990">
        <f t="shared" si="107"/>
        <v>44</v>
      </c>
      <c r="G990">
        <f t="shared" si="108"/>
        <v>5.73</v>
      </c>
      <c r="H990">
        <f t="shared" si="109"/>
        <v>344</v>
      </c>
      <c r="I990" s="3">
        <f t="shared" si="110"/>
        <v>52.325581395348841</v>
      </c>
      <c r="J990" t="str">
        <f t="shared" si="111"/>
        <v>F</v>
      </c>
    </row>
    <row r="991" spans="1:10" x14ac:dyDescent="0.25">
      <c r="A991" s="4" t="s">
        <v>102</v>
      </c>
      <c r="B991" s="1">
        <v>0.31938899999999998</v>
      </c>
      <c r="C991" s="1">
        <v>0.31539299999999998</v>
      </c>
      <c r="D991" s="1">
        <f t="shared" si="105"/>
        <v>3.9959999999999996E-3</v>
      </c>
      <c r="E991">
        <f t="shared" si="106"/>
        <v>5</v>
      </c>
      <c r="F991">
        <f t="shared" si="107"/>
        <v>45</v>
      </c>
      <c r="G991">
        <f t="shared" si="108"/>
        <v>5.75</v>
      </c>
      <c r="H991">
        <f t="shared" si="109"/>
        <v>345</v>
      </c>
      <c r="I991" s="3">
        <f t="shared" si="110"/>
        <v>52.173913043478265</v>
      </c>
      <c r="J991" t="str">
        <f t="shared" si="111"/>
        <v>F</v>
      </c>
    </row>
    <row r="992" spans="1:10" x14ac:dyDescent="0.25">
      <c r="A992" s="4" t="s">
        <v>56</v>
      </c>
      <c r="B992" s="1">
        <v>5.7780000000000001E-3</v>
      </c>
      <c r="C992" s="1">
        <v>1.7899999999999999E-3</v>
      </c>
      <c r="D992" s="1">
        <f t="shared" si="105"/>
        <v>3.9880000000000002E-3</v>
      </c>
      <c r="E992">
        <f t="shared" si="106"/>
        <v>5</v>
      </c>
      <c r="F992">
        <f t="shared" si="107"/>
        <v>45</v>
      </c>
      <c r="G992">
        <f t="shared" si="108"/>
        <v>5.75</v>
      </c>
      <c r="H992">
        <f t="shared" si="109"/>
        <v>345</v>
      </c>
      <c r="I992" s="3">
        <f t="shared" si="110"/>
        <v>52.173913043478265</v>
      </c>
      <c r="J992" t="str">
        <f t="shared" si="111"/>
        <v>F</v>
      </c>
    </row>
    <row r="993" spans="1:10" x14ac:dyDescent="0.25">
      <c r="A993" s="4" t="s">
        <v>117</v>
      </c>
      <c r="B993" s="1">
        <v>0.67266300000000001</v>
      </c>
      <c r="C993" s="1">
        <v>0.676651</v>
      </c>
      <c r="D993" s="1">
        <f t="shared" si="105"/>
        <v>3.9879999999999916E-3</v>
      </c>
      <c r="E993">
        <f t="shared" si="106"/>
        <v>5</v>
      </c>
      <c r="F993">
        <f t="shared" si="107"/>
        <v>45</v>
      </c>
      <c r="G993">
        <f t="shared" si="108"/>
        <v>5.75</v>
      </c>
      <c r="H993">
        <f t="shared" si="109"/>
        <v>345</v>
      </c>
      <c r="I993" s="3">
        <f t="shared" si="110"/>
        <v>52.173913043478265</v>
      </c>
      <c r="J993" t="str">
        <f t="shared" si="111"/>
        <v>F</v>
      </c>
    </row>
    <row r="994" spans="1:10" x14ac:dyDescent="0.25">
      <c r="A994" s="4" t="s">
        <v>47</v>
      </c>
      <c r="B994" s="1">
        <v>0.30973099999999998</v>
      </c>
      <c r="C994" s="1">
        <v>0.31371900000000003</v>
      </c>
      <c r="D994" s="1">
        <f t="shared" si="105"/>
        <v>3.9880000000000471E-3</v>
      </c>
      <c r="E994">
        <f t="shared" si="106"/>
        <v>5</v>
      </c>
      <c r="F994">
        <f t="shared" si="107"/>
        <v>45</v>
      </c>
      <c r="G994">
        <f t="shared" si="108"/>
        <v>5.75</v>
      </c>
      <c r="H994">
        <f t="shared" si="109"/>
        <v>345</v>
      </c>
      <c r="I994" s="3">
        <f t="shared" si="110"/>
        <v>52.173913043478265</v>
      </c>
      <c r="J994" t="str">
        <f t="shared" si="111"/>
        <v>F</v>
      </c>
    </row>
    <row r="995" spans="1:10" x14ac:dyDescent="0.25">
      <c r="A995" s="4" t="s">
        <v>30</v>
      </c>
      <c r="B995" s="1">
        <v>0.13069600000000001</v>
      </c>
      <c r="C995" s="1">
        <v>0.134684</v>
      </c>
      <c r="D995" s="1">
        <f t="shared" si="105"/>
        <v>3.9879999999999916E-3</v>
      </c>
      <c r="E995">
        <f t="shared" si="106"/>
        <v>5</v>
      </c>
      <c r="F995">
        <f t="shared" si="107"/>
        <v>45</v>
      </c>
      <c r="G995">
        <f t="shared" si="108"/>
        <v>5.75</v>
      </c>
      <c r="H995">
        <f t="shared" si="109"/>
        <v>345</v>
      </c>
      <c r="I995" s="3">
        <f t="shared" si="110"/>
        <v>52.173913043478265</v>
      </c>
      <c r="J995" t="str">
        <f t="shared" si="111"/>
        <v>F</v>
      </c>
    </row>
    <row r="996" spans="1:10" x14ac:dyDescent="0.25">
      <c r="A996" s="4" t="s">
        <v>85</v>
      </c>
      <c r="B996" s="1">
        <v>0.88788900000000004</v>
      </c>
      <c r="C996" s="1">
        <v>0.88389300000000004</v>
      </c>
      <c r="D996" s="1">
        <f t="shared" si="105"/>
        <v>3.9959999999999996E-3</v>
      </c>
      <c r="E996">
        <f t="shared" si="106"/>
        <v>5</v>
      </c>
      <c r="F996">
        <f t="shared" si="107"/>
        <v>45</v>
      </c>
      <c r="G996">
        <f t="shared" si="108"/>
        <v>5.75</v>
      </c>
      <c r="H996">
        <f t="shared" si="109"/>
        <v>345</v>
      </c>
      <c r="I996" s="3">
        <f t="shared" si="110"/>
        <v>52.173913043478265</v>
      </c>
      <c r="J996" t="str">
        <f t="shared" si="111"/>
        <v>F</v>
      </c>
    </row>
    <row r="997" spans="1:10" x14ac:dyDescent="0.25">
      <c r="A997" s="4" t="s">
        <v>130</v>
      </c>
      <c r="B997" s="1">
        <v>0.54161700000000002</v>
      </c>
      <c r="C997" s="1">
        <v>0.53762900000000002</v>
      </c>
      <c r="D997" s="1">
        <f t="shared" si="105"/>
        <v>3.9879999999999916E-3</v>
      </c>
      <c r="E997">
        <f t="shared" si="106"/>
        <v>5</v>
      </c>
      <c r="F997">
        <f t="shared" si="107"/>
        <v>45</v>
      </c>
      <c r="G997">
        <f t="shared" si="108"/>
        <v>5.75</v>
      </c>
      <c r="H997">
        <f t="shared" si="109"/>
        <v>345</v>
      </c>
      <c r="I997" s="3">
        <f t="shared" si="110"/>
        <v>52.173913043478265</v>
      </c>
      <c r="J997" t="str">
        <f t="shared" si="111"/>
        <v>F</v>
      </c>
    </row>
    <row r="998" spans="1:10" x14ac:dyDescent="0.25">
      <c r="A998" s="4" t="s">
        <v>152</v>
      </c>
      <c r="B998" s="1">
        <v>0.76902999999999999</v>
      </c>
      <c r="C998" s="1">
        <v>0.76503399999999999</v>
      </c>
      <c r="D998" s="1">
        <f t="shared" si="105"/>
        <v>3.9959999999999996E-3</v>
      </c>
      <c r="E998">
        <f t="shared" si="106"/>
        <v>5</v>
      </c>
      <c r="F998">
        <f t="shared" si="107"/>
        <v>45</v>
      </c>
      <c r="G998">
        <f t="shared" si="108"/>
        <v>5.75</v>
      </c>
      <c r="H998">
        <f t="shared" si="109"/>
        <v>345</v>
      </c>
      <c r="I998" s="3">
        <f t="shared" si="110"/>
        <v>52.173913043478265</v>
      </c>
      <c r="J998" t="str">
        <f t="shared" si="111"/>
        <v>F</v>
      </c>
    </row>
    <row r="999" spans="1:10" x14ac:dyDescent="0.25">
      <c r="A999" s="4" t="s">
        <v>156</v>
      </c>
      <c r="B999" s="1">
        <v>0.47500999999999999</v>
      </c>
      <c r="C999" s="1">
        <v>0.47900199999999998</v>
      </c>
      <c r="D999" s="1">
        <f t="shared" si="105"/>
        <v>3.9919999999999956E-3</v>
      </c>
      <c r="E999">
        <f t="shared" si="106"/>
        <v>5</v>
      </c>
      <c r="F999">
        <f t="shared" si="107"/>
        <v>45</v>
      </c>
      <c r="G999">
        <f t="shared" si="108"/>
        <v>5.75</v>
      </c>
      <c r="H999">
        <f t="shared" si="109"/>
        <v>345</v>
      </c>
      <c r="I999" s="3">
        <f t="shared" si="110"/>
        <v>52.173913043478265</v>
      </c>
      <c r="J999" t="str">
        <f t="shared" si="111"/>
        <v>F</v>
      </c>
    </row>
    <row r="1000" spans="1:10" x14ac:dyDescent="0.25">
      <c r="A1000" s="4" t="s">
        <v>319</v>
      </c>
      <c r="B1000" s="1">
        <v>0.126361</v>
      </c>
      <c r="C1000" s="1">
        <v>0.130357</v>
      </c>
      <c r="D1000" s="1">
        <f t="shared" si="105"/>
        <v>3.9959999999999996E-3</v>
      </c>
      <c r="E1000">
        <f t="shared" si="106"/>
        <v>5</v>
      </c>
      <c r="F1000">
        <f t="shared" si="107"/>
        <v>45</v>
      </c>
      <c r="G1000">
        <f t="shared" si="108"/>
        <v>5.75</v>
      </c>
      <c r="H1000">
        <f t="shared" si="109"/>
        <v>345</v>
      </c>
      <c r="I1000" s="3">
        <f t="shared" si="110"/>
        <v>52.173913043478265</v>
      </c>
      <c r="J1000" t="str">
        <f t="shared" si="111"/>
        <v>F</v>
      </c>
    </row>
    <row r="1001" spans="1:10" x14ac:dyDescent="0.25">
      <c r="A1001" s="4" t="s">
        <v>132</v>
      </c>
      <c r="B1001" s="1">
        <v>2.7099000000000002E-2</v>
      </c>
      <c r="C1001" s="1">
        <v>2.2926999999999999E-2</v>
      </c>
      <c r="D1001" s="1">
        <f t="shared" si="105"/>
        <v>4.1720000000000021E-3</v>
      </c>
      <c r="E1001">
        <f t="shared" si="106"/>
        <v>6</v>
      </c>
      <c r="F1001">
        <f t="shared" si="107"/>
        <v>0</v>
      </c>
      <c r="G1001">
        <f t="shared" si="108"/>
        <v>6</v>
      </c>
      <c r="H1001">
        <f t="shared" si="109"/>
        <v>360</v>
      </c>
      <c r="I1001" s="3">
        <f t="shared" si="110"/>
        <v>50</v>
      </c>
      <c r="J1001" t="str">
        <f t="shared" si="111"/>
        <v>F</v>
      </c>
    </row>
  </sheetData>
  <autoFilter ref="A1:J1001">
    <sortState ref="A2:J1001">
      <sortCondition descending="1" ref="I1:I100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01"/>
  <sheetViews>
    <sheetView workbookViewId="0"/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6.5703125" bestFit="1" customWidth="1"/>
    <col min="9" max="9" width="11.5703125" bestFit="1" customWidth="1"/>
    <col min="10" max="10" width="19.28515625" bestFit="1" customWidth="1"/>
  </cols>
  <sheetData>
    <row r="1" spans="1:10" x14ac:dyDescent="0.25">
      <c r="A1" s="7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1" t="s">
        <v>423</v>
      </c>
      <c r="H1" s="1" t="s">
        <v>424</v>
      </c>
      <c r="I1" s="5" t="s">
        <v>425</v>
      </c>
      <c r="J1" s="1" t="s">
        <v>426</v>
      </c>
    </row>
    <row r="2" spans="1:10" hidden="1" x14ac:dyDescent="0.25">
      <c r="A2" s="4" t="s">
        <v>3</v>
      </c>
      <c r="B2" s="1">
        <v>0.121036</v>
      </c>
      <c r="C2" s="1">
        <v>0.12492</v>
      </c>
      <c r="D2" s="1">
        <f>IF(B2&gt;C2,B2-C2,C2-B2)</f>
        <v>3.8839999999999986E-3</v>
      </c>
      <c r="E2">
        <f>MINUTE(D2)</f>
        <v>5</v>
      </c>
      <c r="F2">
        <f>SECOND(D2)</f>
        <v>36</v>
      </c>
      <c r="G2">
        <f>ROUND(E2+F2/60,2)</f>
        <v>5.6</v>
      </c>
      <c r="H2">
        <f>60*E2+F2</f>
        <v>336</v>
      </c>
      <c r="I2" s="3">
        <f>5*(3600/H2)</f>
        <v>53.571428571428569</v>
      </c>
      <c r="J2" t="str">
        <f>IF(MID(A2,3,2)="18","T","F")</f>
        <v>F</v>
      </c>
    </row>
    <row r="3" spans="1:10" hidden="1" x14ac:dyDescent="0.25">
      <c r="A3" s="4" t="s">
        <v>4</v>
      </c>
      <c r="B3" s="1">
        <v>0.92153600000000002</v>
      </c>
      <c r="C3" s="1">
        <v>0.91932400000000003</v>
      </c>
      <c r="D3" s="1">
        <f t="shared" ref="D3:D66" si="0">IF(B3&gt;C3,B3-C3,C3-B3)</f>
        <v>2.2119999999999918E-3</v>
      </c>
      <c r="E3">
        <f t="shared" ref="E3:E66" si="1">MINUTE(D3)</f>
        <v>3</v>
      </c>
      <c r="F3">
        <f t="shared" ref="F3:F66" si="2">SECOND(D3)</f>
        <v>11</v>
      </c>
      <c r="G3">
        <f t="shared" ref="G3:G66" si="3">ROUND(E3+F3/60,2)</f>
        <v>3.18</v>
      </c>
      <c r="H3">
        <f t="shared" ref="H3:H66" si="4">60*E3+F3</f>
        <v>191</v>
      </c>
      <c r="I3" s="3">
        <f t="shared" ref="I3:I66" si="5">5*(3600/H3)</f>
        <v>94.240837696335092</v>
      </c>
      <c r="J3" t="str">
        <f t="shared" ref="J3:J66" si="6">IF(MID(A3,3,2)="18","T","F")</f>
        <v>F</v>
      </c>
    </row>
    <row r="4" spans="1:10" hidden="1" x14ac:dyDescent="0.25">
      <c r="A4" s="4" t="s">
        <v>5</v>
      </c>
      <c r="B4" s="1">
        <v>0.43023099999999997</v>
      </c>
      <c r="C4" s="1">
        <v>0.43248700000000001</v>
      </c>
      <c r="D4" s="1">
        <f t="shared" si="0"/>
        <v>2.2560000000000358E-3</v>
      </c>
      <c r="E4">
        <f t="shared" si="1"/>
        <v>3</v>
      </c>
      <c r="F4">
        <f t="shared" si="2"/>
        <v>15</v>
      </c>
      <c r="G4">
        <f t="shared" si="3"/>
        <v>3.25</v>
      </c>
      <c r="H4">
        <f t="shared" si="4"/>
        <v>195</v>
      </c>
      <c r="I4" s="3">
        <f t="shared" si="5"/>
        <v>92.307692307692292</v>
      </c>
      <c r="J4" t="str">
        <f t="shared" si="6"/>
        <v>F</v>
      </c>
    </row>
    <row r="5" spans="1:10" hidden="1" x14ac:dyDescent="0.25">
      <c r="A5" s="4" t="s">
        <v>6</v>
      </c>
      <c r="B5" s="1">
        <v>0.33882099999999998</v>
      </c>
      <c r="C5" s="1">
        <v>0.342389</v>
      </c>
      <c r="D5" s="1">
        <f t="shared" si="0"/>
        <v>3.5680000000000156E-3</v>
      </c>
      <c r="E5">
        <f t="shared" si="1"/>
        <v>5</v>
      </c>
      <c r="F5">
        <f t="shared" si="2"/>
        <v>8</v>
      </c>
      <c r="G5">
        <f t="shared" si="3"/>
        <v>5.13</v>
      </c>
      <c r="H5">
        <f t="shared" si="4"/>
        <v>308</v>
      </c>
      <c r="I5" s="3">
        <f t="shared" si="5"/>
        <v>58.441558441558442</v>
      </c>
      <c r="J5" t="str">
        <f t="shared" si="6"/>
        <v>F</v>
      </c>
    </row>
    <row r="6" spans="1:10" hidden="1" x14ac:dyDescent="0.25">
      <c r="A6" s="4" t="s">
        <v>7</v>
      </c>
      <c r="B6" s="1">
        <v>0.16389799999999999</v>
      </c>
      <c r="C6" s="1">
        <v>0.16686999999999999</v>
      </c>
      <c r="D6" s="1">
        <f t="shared" si="0"/>
        <v>2.9720000000000024E-3</v>
      </c>
      <c r="E6">
        <f t="shared" si="1"/>
        <v>4</v>
      </c>
      <c r="F6">
        <f t="shared" si="2"/>
        <v>17</v>
      </c>
      <c r="G6">
        <f t="shared" si="3"/>
        <v>4.28</v>
      </c>
      <c r="H6">
        <f t="shared" si="4"/>
        <v>257</v>
      </c>
      <c r="I6" s="3">
        <f t="shared" si="5"/>
        <v>70.038910505836583</v>
      </c>
      <c r="J6" t="str">
        <f t="shared" si="6"/>
        <v>F</v>
      </c>
    </row>
    <row r="7" spans="1:10" hidden="1" x14ac:dyDescent="0.25">
      <c r="A7" s="4" t="s">
        <v>8</v>
      </c>
      <c r="B7" s="1">
        <v>0.25012200000000001</v>
      </c>
      <c r="C7" s="1">
        <v>0.24668599999999999</v>
      </c>
      <c r="D7" s="1">
        <f t="shared" si="0"/>
        <v>3.4360000000000224E-3</v>
      </c>
      <c r="E7">
        <f t="shared" si="1"/>
        <v>4</v>
      </c>
      <c r="F7">
        <f t="shared" si="2"/>
        <v>57</v>
      </c>
      <c r="G7">
        <f t="shared" si="3"/>
        <v>4.95</v>
      </c>
      <c r="H7">
        <f t="shared" si="4"/>
        <v>297</v>
      </c>
      <c r="I7" s="3">
        <f t="shared" si="5"/>
        <v>60.606060606060609</v>
      </c>
      <c r="J7" t="str">
        <f t="shared" si="6"/>
        <v>F</v>
      </c>
    </row>
    <row r="8" spans="1:10" hidden="1" x14ac:dyDescent="0.25">
      <c r="A8" s="4" t="s">
        <v>9</v>
      </c>
      <c r="B8" s="1">
        <v>0.20372499999999999</v>
      </c>
      <c r="C8" s="1">
        <v>0.20172899999999999</v>
      </c>
      <c r="D8" s="1">
        <f t="shared" si="0"/>
        <v>1.9959999999999978E-3</v>
      </c>
      <c r="E8">
        <f t="shared" si="1"/>
        <v>2</v>
      </c>
      <c r="F8">
        <f t="shared" si="2"/>
        <v>52</v>
      </c>
      <c r="G8">
        <f t="shared" si="3"/>
        <v>2.87</v>
      </c>
      <c r="H8">
        <f t="shared" si="4"/>
        <v>172</v>
      </c>
      <c r="I8" s="3">
        <f t="shared" si="5"/>
        <v>104.65116279069768</v>
      </c>
      <c r="J8" t="str">
        <f t="shared" si="6"/>
        <v>F</v>
      </c>
    </row>
    <row r="9" spans="1:10" hidden="1" x14ac:dyDescent="0.25">
      <c r="A9" s="4" t="s">
        <v>10</v>
      </c>
      <c r="B9" s="1">
        <v>0.53941499999999998</v>
      </c>
      <c r="C9" s="1">
        <v>0.53671100000000005</v>
      </c>
      <c r="D9" s="1">
        <f t="shared" si="0"/>
        <v>2.7039999999999287E-3</v>
      </c>
      <c r="E9">
        <f t="shared" si="1"/>
        <v>3</v>
      </c>
      <c r="F9">
        <f t="shared" si="2"/>
        <v>54</v>
      </c>
      <c r="G9">
        <f t="shared" si="3"/>
        <v>3.9</v>
      </c>
      <c r="H9">
        <f t="shared" si="4"/>
        <v>234</v>
      </c>
      <c r="I9" s="3">
        <f t="shared" si="5"/>
        <v>76.92307692307692</v>
      </c>
      <c r="J9" t="str">
        <f t="shared" si="6"/>
        <v>F</v>
      </c>
    </row>
    <row r="10" spans="1:10" hidden="1" x14ac:dyDescent="0.25">
      <c r="A10" s="4" t="s">
        <v>11</v>
      </c>
      <c r="B10" s="1">
        <v>0.93227400000000005</v>
      </c>
      <c r="C10" s="1">
        <v>0.93418999999999996</v>
      </c>
      <c r="D10" s="1">
        <f t="shared" si="0"/>
        <v>1.9159999999999178E-3</v>
      </c>
      <c r="E10">
        <f t="shared" si="1"/>
        <v>2</v>
      </c>
      <c r="F10">
        <f t="shared" si="2"/>
        <v>46</v>
      </c>
      <c r="G10">
        <f t="shared" si="3"/>
        <v>2.77</v>
      </c>
      <c r="H10">
        <f t="shared" si="4"/>
        <v>166</v>
      </c>
      <c r="I10" s="3">
        <f t="shared" si="5"/>
        <v>108.43373493975903</v>
      </c>
      <c r="J10" t="str">
        <f t="shared" si="6"/>
        <v>F</v>
      </c>
    </row>
    <row r="11" spans="1:10" hidden="1" x14ac:dyDescent="0.25">
      <c r="A11" s="4" t="s">
        <v>12</v>
      </c>
      <c r="B11" s="1">
        <v>0.65463899999999997</v>
      </c>
      <c r="C11" s="1">
        <v>0.65809899999999999</v>
      </c>
      <c r="D11" s="1">
        <f t="shared" si="0"/>
        <v>3.4600000000000186E-3</v>
      </c>
      <c r="E11">
        <f t="shared" si="1"/>
        <v>4</v>
      </c>
      <c r="F11">
        <f t="shared" si="2"/>
        <v>59</v>
      </c>
      <c r="G11">
        <f t="shared" si="3"/>
        <v>4.9800000000000004</v>
      </c>
      <c r="H11">
        <f t="shared" si="4"/>
        <v>299</v>
      </c>
      <c r="I11" s="3">
        <f t="shared" si="5"/>
        <v>60.200668896321076</v>
      </c>
      <c r="J11" t="str">
        <f t="shared" si="6"/>
        <v>F</v>
      </c>
    </row>
    <row r="12" spans="1:10" hidden="1" x14ac:dyDescent="0.25">
      <c r="A12" s="4" t="s">
        <v>13</v>
      </c>
      <c r="B12" s="1">
        <v>0.23710300000000001</v>
      </c>
      <c r="C12" s="1">
        <v>0.23566300000000001</v>
      </c>
      <c r="D12" s="1">
        <f t="shared" si="0"/>
        <v>1.4399999999999968E-3</v>
      </c>
      <c r="E12">
        <f t="shared" si="1"/>
        <v>2</v>
      </c>
      <c r="F12">
        <f t="shared" si="2"/>
        <v>4</v>
      </c>
      <c r="G12">
        <f t="shared" si="3"/>
        <v>2.0699999999999998</v>
      </c>
      <c r="H12">
        <f t="shared" si="4"/>
        <v>124</v>
      </c>
      <c r="I12" s="3">
        <f t="shared" si="5"/>
        <v>145.16129032258064</v>
      </c>
      <c r="J12" t="str">
        <f t="shared" si="6"/>
        <v>F</v>
      </c>
    </row>
    <row r="13" spans="1:10" hidden="1" x14ac:dyDescent="0.25">
      <c r="A13" s="4" t="s">
        <v>14</v>
      </c>
      <c r="B13" s="1">
        <v>0.24673800000000001</v>
      </c>
      <c r="C13" s="1">
        <v>0.24312600000000001</v>
      </c>
      <c r="D13" s="1">
        <f t="shared" si="0"/>
        <v>3.6120000000000041E-3</v>
      </c>
      <c r="E13">
        <f t="shared" si="1"/>
        <v>5</v>
      </c>
      <c r="F13">
        <f t="shared" si="2"/>
        <v>12</v>
      </c>
      <c r="G13">
        <f t="shared" si="3"/>
        <v>5.2</v>
      </c>
      <c r="H13">
        <f t="shared" si="4"/>
        <v>312</v>
      </c>
      <c r="I13" s="3">
        <f t="shared" si="5"/>
        <v>57.692307692307693</v>
      </c>
      <c r="J13" t="str">
        <f t="shared" si="6"/>
        <v>F</v>
      </c>
    </row>
    <row r="14" spans="1:10" hidden="1" x14ac:dyDescent="0.25">
      <c r="A14" s="4" t="s">
        <v>15</v>
      </c>
      <c r="B14" s="1">
        <v>0.66593500000000005</v>
      </c>
      <c r="C14" s="1">
        <v>0.66326300000000005</v>
      </c>
      <c r="D14" s="1">
        <f t="shared" si="0"/>
        <v>2.6720000000000077E-3</v>
      </c>
      <c r="E14">
        <f t="shared" si="1"/>
        <v>3</v>
      </c>
      <c r="F14">
        <f t="shared" si="2"/>
        <v>51</v>
      </c>
      <c r="G14">
        <f t="shared" si="3"/>
        <v>3.85</v>
      </c>
      <c r="H14">
        <f t="shared" si="4"/>
        <v>231</v>
      </c>
      <c r="I14" s="3">
        <f t="shared" si="5"/>
        <v>77.922077922077918</v>
      </c>
      <c r="J14" t="str">
        <f t="shared" si="6"/>
        <v>F</v>
      </c>
    </row>
    <row r="15" spans="1:10" hidden="1" x14ac:dyDescent="0.25">
      <c r="A15" s="4" t="s">
        <v>16</v>
      </c>
      <c r="B15" s="1">
        <v>0.22825400000000001</v>
      </c>
      <c r="C15" s="1">
        <v>0.22492999999999999</v>
      </c>
      <c r="D15" s="1">
        <f t="shared" si="0"/>
        <v>3.3240000000000214E-3</v>
      </c>
      <c r="E15">
        <f t="shared" si="1"/>
        <v>4</v>
      </c>
      <c r="F15">
        <f t="shared" si="2"/>
        <v>47</v>
      </c>
      <c r="G15">
        <f t="shared" si="3"/>
        <v>4.78</v>
      </c>
      <c r="H15">
        <f t="shared" si="4"/>
        <v>287</v>
      </c>
      <c r="I15" s="3">
        <f t="shared" si="5"/>
        <v>62.717770034843205</v>
      </c>
      <c r="J15" t="str">
        <f t="shared" si="6"/>
        <v>F</v>
      </c>
    </row>
    <row r="16" spans="1:10" hidden="1" x14ac:dyDescent="0.25">
      <c r="A16" s="4" t="s">
        <v>17</v>
      </c>
      <c r="B16" s="1">
        <v>0.136911</v>
      </c>
      <c r="C16" s="1">
        <v>0.134159</v>
      </c>
      <c r="D16" s="1">
        <f t="shared" si="0"/>
        <v>2.7520000000000044E-3</v>
      </c>
      <c r="E16">
        <f t="shared" si="1"/>
        <v>3</v>
      </c>
      <c r="F16">
        <f t="shared" si="2"/>
        <v>58</v>
      </c>
      <c r="G16">
        <f t="shared" si="3"/>
        <v>3.97</v>
      </c>
      <c r="H16">
        <f t="shared" si="4"/>
        <v>238</v>
      </c>
      <c r="I16" s="3">
        <f t="shared" si="5"/>
        <v>75.630252100840337</v>
      </c>
      <c r="J16" t="str">
        <f t="shared" si="6"/>
        <v>F</v>
      </c>
    </row>
    <row r="17" spans="1:10" hidden="1" x14ac:dyDescent="0.25">
      <c r="A17" s="4" t="s">
        <v>18</v>
      </c>
      <c r="B17" s="1">
        <v>5.8460999999999999E-2</v>
      </c>
      <c r="C17" s="1">
        <v>6.1785E-2</v>
      </c>
      <c r="D17" s="1">
        <f t="shared" si="0"/>
        <v>3.3240000000000006E-3</v>
      </c>
      <c r="E17">
        <f t="shared" si="1"/>
        <v>4</v>
      </c>
      <c r="F17">
        <f t="shared" si="2"/>
        <v>47</v>
      </c>
      <c r="G17">
        <f t="shared" si="3"/>
        <v>4.78</v>
      </c>
      <c r="H17">
        <f t="shared" si="4"/>
        <v>287</v>
      </c>
      <c r="I17" s="3">
        <f t="shared" si="5"/>
        <v>62.717770034843205</v>
      </c>
      <c r="J17" t="str">
        <f t="shared" si="6"/>
        <v>F</v>
      </c>
    </row>
    <row r="18" spans="1:10" hidden="1" x14ac:dyDescent="0.25">
      <c r="A18" s="4" t="s">
        <v>19</v>
      </c>
      <c r="B18" s="1">
        <v>0.324683</v>
      </c>
      <c r="C18" s="1">
        <v>0.32151099999999999</v>
      </c>
      <c r="D18" s="1">
        <f t="shared" si="0"/>
        <v>3.1720000000000081E-3</v>
      </c>
      <c r="E18">
        <f t="shared" si="1"/>
        <v>4</v>
      </c>
      <c r="F18">
        <f t="shared" si="2"/>
        <v>34</v>
      </c>
      <c r="G18">
        <f t="shared" si="3"/>
        <v>4.57</v>
      </c>
      <c r="H18">
        <f t="shared" si="4"/>
        <v>274</v>
      </c>
      <c r="I18" s="3">
        <f t="shared" si="5"/>
        <v>65.693430656934311</v>
      </c>
      <c r="J18" t="str">
        <f t="shared" si="6"/>
        <v>F</v>
      </c>
    </row>
    <row r="19" spans="1:10" hidden="1" x14ac:dyDescent="0.25">
      <c r="A19" s="4" t="s">
        <v>20</v>
      </c>
      <c r="B19" s="1">
        <v>0.127914</v>
      </c>
      <c r="C19" s="1">
        <v>0.12561800000000001</v>
      </c>
      <c r="D19" s="1">
        <f t="shared" si="0"/>
        <v>2.2959999999999925E-3</v>
      </c>
      <c r="E19">
        <f t="shared" si="1"/>
        <v>3</v>
      </c>
      <c r="F19">
        <f t="shared" si="2"/>
        <v>18</v>
      </c>
      <c r="G19">
        <f t="shared" si="3"/>
        <v>3.3</v>
      </c>
      <c r="H19">
        <f t="shared" si="4"/>
        <v>198</v>
      </c>
      <c r="I19" s="3">
        <f t="shared" si="5"/>
        <v>90.909090909090921</v>
      </c>
      <c r="J19" t="str">
        <f t="shared" si="6"/>
        <v>F</v>
      </c>
    </row>
    <row r="20" spans="1:10" hidden="1" x14ac:dyDescent="0.25">
      <c r="A20" s="4" t="s">
        <v>21</v>
      </c>
      <c r="B20" s="1">
        <v>0.58114299999999997</v>
      </c>
      <c r="C20" s="1">
        <v>0.58296700000000001</v>
      </c>
      <c r="D20" s="1">
        <f t="shared" si="0"/>
        <v>1.8240000000000478E-3</v>
      </c>
      <c r="E20">
        <f t="shared" si="1"/>
        <v>2</v>
      </c>
      <c r="F20">
        <f t="shared" si="2"/>
        <v>38</v>
      </c>
      <c r="G20">
        <f t="shared" si="3"/>
        <v>2.63</v>
      </c>
      <c r="H20">
        <f t="shared" si="4"/>
        <v>158</v>
      </c>
      <c r="I20" s="3">
        <f t="shared" si="5"/>
        <v>113.92405063291139</v>
      </c>
      <c r="J20" t="str">
        <f t="shared" si="6"/>
        <v>F</v>
      </c>
    </row>
    <row r="21" spans="1:10" hidden="1" x14ac:dyDescent="0.25">
      <c r="A21" s="4" t="s">
        <v>22</v>
      </c>
      <c r="B21" s="1">
        <v>7.6165999999999998E-2</v>
      </c>
      <c r="C21" s="1">
        <v>7.9481999999999997E-2</v>
      </c>
      <c r="D21" s="1">
        <f t="shared" si="0"/>
        <v>3.3159999999999995E-3</v>
      </c>
      <c r="E21">
        <f t="shared" si="1"/>
        <v>4</v>
      </c>
      <c r="F21">
        <f t="shared" si="2"/>
        <v>47</v>
      </c>
      <c r="G21">
        <f t="shared" si="3"/>
        <v>4.78</v>
      </c>
      <c r="H21">
        <f t="shared" si="4"/>
        <v>287</v>
      </c>
      <c r="I21" s="3">
        <f t="shared" si="5"/>
        <v>62.717770034843205</v>
      </c>
      <c r="J21" t="str">
        <f t="shared" si="6"/>
        <v>F</v>
      </c>
    </row>
    <row r="22" spans="1:10" hidden="1" x14ac:dyDescent="0.25">
      <c r="A22" s="4" t="s">
        <v>23</v>
      </c>
      <c r="B22" s="1">
        <v>0.41572100000000001</v>
      </c>
      <c r="C22" s="1">
        <v>0.414217</v>
      </c>
      <c r="D22" s="1">
        <f t="shared" si="0"/>
        <v>1.5040000000000053E-3</v>
      </c>
      <c r="E22">
        <f t="shared" si="1"/>
        <v>2</v>
      </c>
      <c r="F22">
        <f t="shared" si="2"/>
        <v>10</v>
      </c>
      <c r="G22">
        <f t="shared" si="3"/>
        <v>2.17</v>
      </c>
      <c r="H22">
        <f t="shared" si="4"/>
        <v>130</v>
      </c>
      <c r="I22" s="3">
        <f t="shared" si="5"/>
        <v>138.46153846153845</v>
      </c>
      <c r="J22" t="str">
        <f t="shared" si="6"/>
        <v>F</v>
      </c>
    </row>
    <row r="23" spans="1:10" hidden="1" x14ac:dyDescent="0.25">
      <c r="A23" s="4" t="s">
        <v>24</v>
      </c>
      <c r="B23" s="1">
        <v>0.72382100000000005</v>
      </c>
      <c r="C23" s="1">
        <v>0.72524900000000003</v>
      </c>
      <c r="D23" s="1">
        <f t="shared" si="0"/>
        <v>1.4279999999999848E-3</v>
      </c>
      <c r="E23">
        <f t="shared" si="1"/>
        <v>2</v>
      </c>
      <c r="F23">
        <f t="shared" si="2"/>
        <v>3</v>
      </c>
      <c r="G23">
        <f t="shared" si="3"/>
        <v>2.0499999999999998</v>
      </c>
      <c r="H23">
        <f t="shared" si="4"/>
        <v>123</v>
      </c>
      <c r="I23" s="3">
        <f t="shared" si="5"/>
        <v>146.34146341463415</v>
      </c>
      <c r="J23" t="str">
        <f t="shared" si="6"/>
        <v>F</v>
      </c>
    </row>
    <row r="24" spans="1:10" hidden="1" x14ac:dyDescent="0.25">
      <c r="A24" s="4" t="s">
        <v>25</v>
      </c>
      <c r="B24" s="1">
        <v>0.54693899999999995</v>
      </c>
      <c r="C24" s="1">
        <v>0.550423</v>
      </c>
      <c r="D24" s="1">
        <f t="shared" si="0"/>
        <v>3.4840000000000426E-3</v>
      </c>
      <c r="E24">
        <f t="shared" si="1"/>
        <v>5</v>
      </c>
      <c r="F24">
        <f t="shared" si="2"/>
        <v>1</v>
      </c>
      <c r="G24">
        <f t="shared" si="3"/>
        <v>5.0199999999999996</v>
      </c>
      <c r="H24">
        <f t="shared" si="4"/>
        <v>301</v>
      </c>
      <c r="I24" s="3">
        <f t="shared" si="5"/>
        <v>59.800664451827245</v>
      </c>
      <c r="J24" t="str">
        <f t="shared" si="6"/>
        <v>F</v>
      </c>
    </row>
    <row r="25" spans="1:10" hidden="1" x14ac:dyDescent="0.25">
      <c r="A25" s="4" t="s">
        <v>26</v>
      </c>
      <c r="B25" s="1">
        <v>0.32196599999999997</v>
      </c>
      <c r="C25" s="1">
        <v>0.32423800000000003</v>
      </c>
      <c r="D25" s="1">
        <f t="shared" si="0"/>
        <v>2.2720000000000518E-3</v>
      </c>
      <c r="E25">
        <f t="shared" si="1"/>
        <v>3</v>
      </c>
      <c r="F25">
        <f t="shared" si="2"/>
        <v>16</v>
      </c>
      <c r="G25">
        <f t="shared" si="3"/>
        <v>3.27</v>
      </c>
      <c r="H25">
        <f t="shared" si="4"/>
        <v>196</v>
      </c>
      <c r="I25" s="3">
        <f t="shared" si="5"/>
        <v>91.83673469387756</v>
      </c>
      <c r="J25" t="str">
        <f t="shared" si="6"/>
        <v>F</v>
      </c>
    </row>
    <row r="26" spans="1:10" hidden="1" x14ac:dyDescent="0.25">
      <c r="A26" s="4" t="s">
        <v>27</v>
      </c>
      <c r="B26" s="1">
        <v>0.94908300000000001</v>
      </c>
      <c r="C26" s="1">
        <v>0.94690700000000005</v>
      </c>
      <c r="D26" s="1">
        <f t="shared" si="0"/>
        <v>2.1759999999999557E-3</v>
      </c>
      <c r="E26">
        <f t="shared" si="1"/>
        <v>3</v>
      </c>
      <c r="F26">
        <f t="shared" si="2"/>
        <v>8</v>
      </c>
      <c r="G26">
        <f t="shared" si="3"/>
        <v>3.13</v>
      </c>
      <c r="H26">
        <f t="shared" si="4"/>
        <v>188</v>
      </c>
      <c r="I26" s="3">
        <f t="shared" si="5"/>
        <v>95.744680851063833</v>
      </c>
      <c r="J26" t="str">
        <f t="shared" si="6"/>
        <v>F</v>
      </c>
    </row>
    <row r="27" spans="1:10" hidden="1" x14ac:dyDescent="0.25">
      <c r="A27" s="4" t="s">
        <v>28</v>
      </c>
      <c r="B27" s="1">
        <v>0.38782699999999998</v>
      </c>
      <c r="C27" s="1">
        <v>0.38494699999999998</v>
      </c>
      <c r="D27" s="1">
        <f t="shared" si="0"/>
        <v>2.8799999999999937E-3</v>
      </c>
      <c r="E27">
        <f t="shared" si="1"/>
        <v>4</v>
      </c>
      <c r="F27">
        <f t="shared" si="2"/>
        <v>9</v>
      </c>
      <c r="G27">
        <f t="shared" si="3"/>
        <v>4.1500000000000004</v>
      </c>
      <c r="H27">
        <f t="shared" si="4"/>
        <v>249</v>
      </c>
      <c r="I27" s="3">
        <f t="shared" si="5"/>
        <v>72.289156626506028</v>
      </c>
      <c r="J27" t="str">
        <f t="shared" si="6"/>
        <v>F</v>
      </c>
    </row>
    <row r="28" spans="1:10" hidden="1" x14ac:dyDescent="0.25">
      <c r="A28" s="4" t="s">
        <v>29</v>
      </c>
      <c r="B28" s="1">
        <v>5.8074000000000001E-2</v>
      </c>
      <c r="C28" s="1">
        <v>5.5070000000000001E-2</v>
      </c>
      <c r="D28" s="1">
        <f t="shared" si="0"/>
        <v>3.0039999999999997E-3</v>
      </c>
      <c r="E28">
        <f t="shared" si="1"/>
        <v>4</v>
      </c>
      <c r="F28">
        <f t="shared" si="2"/>
        <v>20</v>
      </c>
      <c r="G28">
        <f t="shared" si="3"/>
        <v>4.33</v>
      </c>
      <c r="H28">
        <f t="shared" si="4"/>
        <v>260</v>
      </c>
      <c r="I28" s="3">
        <f t="shared" si="5"/>
        <v>69.230769230769226</v>
      </c>
      <c r="J28" t="str">
        <f t="shared" si="6"/>
        <v>F</v>
      </c>
    </row>
    <row r="29" spans="1:10" hidden="1" x14ac:dyDescent="0.25">
      <c r="A29" s="4" t="s">
        <v>30</v>
      </c>
      <c r="B29" s="1">
        <v>7.5792999999999999E-2</v>
      </c>
      <c r="C29" s="1">
        <v>7.8176999999999996E-2</v>
      </c>
      <c r="D29" s="1">
        <f t="shared" si="0"/>
        <v>2.3839999999999972E-3</v>
      </c>
      <c r="E29">
        <f t="shared" si="1"/>
        <v>3</v>
      </c>
      <c r="F29">
        <f t="shared" si="2"/>
        <v>26</v>
      </c>
      <c r="G29">
        <f t="shared" si="3"/>
        <v>3.43</v>
      </c>
      <c r="H29">
        <f t="shared" si="4"/>
        <v>206</v>
      </c>
      <c r="I29" s="3">
        <f t="shared" si="5"/>
        <v>87.378640776699029</v>
      </c>
      <c r="J29" t="str">
        <f t="shared" si="6"/>
        <v>F</v>
      </c>
    </row>
    <row r="30" spans="1:10" hidden="1" x14ac:dyDescent="0.25">
      <c r="A30" s="4" t="s">
        <v>31</v>
      </c>
      <c r="B30" s="1">
        <v>0.20865400000000001</v>
      </c>
      <c r="C30" s="1">
        <v>0.21079800000000001</v>
      </c>
      <c r="D30" s="1">
        <f t="shared" si="0"/>
        <v>2.144000000000007E-3</v>
      </c>
      <c r="E30">
        <f t="shared" si="1"/>
        <v>3</v>
      </c>
      <c r="F30">
        <f t="shared" si="2"/>
        <v>5</v>
      </c>
      <c r="G30">
        <f t="shared" si="3"/>
        <v>3.08</v>
      </c>
      <c r="H30">
        <f t="shared" si="4"/>
        <v>185</v>
      </c>
      <c r="I30" s="3">
        <f t="shared" si="5"/>
        <v>97.297297297297291</v>
      </c>
      <c r="J30" t="str">
        <f t="shared" si="6"/>
        <v>F</v>
      </c>
    </row>
    <row r="31" spans="1:10" hidden="1" x14ac:dyDescent="0.25">
      <c r="A31" s="4" t="s">
        <v>32</v>
      </c>
      <c r="B31" s="1">
        <v>0.959372</v>
      </c>
      <c r="C31" s="1">
        <v>0.956704</v>
      </c>
      <c r="D31" s="1">
        <f t="shared" si="0"/>
        <v>2.6680000000000037E-3</v>
      </c>
      <c r="E31">
        <f t="shared" si="1"/>
        <v>3</v>
      </c>
      <c r="F31">
        <f t="shared" si="2"/>
        <v>51</v>
      </c>
      <c r="G31">
        <f t="shared" si="3"/>
        <v>3.85</v>
      </c>
      <c r="H31">
        <f t="shared" si="4"/>
        <v>231</v>
      </c>
      <c r="I31" s="3">
        <f t="shared" si="5"/>
        <v>77.922077922077918</v>
      </c>
      <c r="J31" t="str">
        <f t="shared" si="6"/>
        <v>F</v>
      </c>
    </row>
    <row r="32" spans="1:10" hidden="1" x14ac:dyDescent="0.25">
      <c r="A32" s="4" t="s">
        <v>33</v>
      </c>
      <c r="B32" s="1">
        <v>0.92453600000000002</v>
      </c>
      <c r="C32" s="1">
        <v>0.92642400000000003</v>
      </c>
      <c r="D32" s="1">
        <f t="shared" si="0"/>
        <v>1.8880000000000008E-3</v>
      </c>
      <c r="E32">
        <f t="shared" si="1"/>
        <v>2</v>
      </c>
      <c r="F32">
        <f t="shared" si="2"/>
        <v>43</v>
      </c>
      <c r="G32">
        <f t="shared" si="3"/>
        <v>2.72</v>
      </c>
      <c r="H32">
        <f t="shared" si="4"/>
        <v>163</v>
      </c>
      <c r="I32" s="3">
        <f t="shared" si="5"/>
        <v>110.42944785276075</v>
      </c>
      <c r="J32" t="str">
        <f t="shared" si="6"/>
        <v>F</v>
      </c>
    </row>
    <row r="33" spans="1:10" hidden="1" x14ac:dyDescent="0.25">
      <c r="A33" s="4" t="s">
        <v>34</v>
      </c>
      <c r="B33" s="1">
        <v>0.23633899999999999</v>
      </c>
      <c r="C33" s="1">
        <v>0.23261499999999999</v>
      </c>
      <c r="D33" s="1">
        <f t="shared" si="0"/>
        <v>3.7240000000000051E-3</v>
      </c>
      <c r="E33">
        <f t="shared" si="1"/>
        <v>5</v>
      </c>
      <c r="F33">
        <f t="shared" si="2"/>
        <v>22</v>
      </c>
      <c r="G33">
        <f t="shared" si="3"/>
        <v>5.37</v>
      </c>
      <c r="H33">
        <f t="shared" si="4"/>
        <v>322</v>
      </c>
      <c r="I33" s="3">
        <f t="shared" si="5"/>
        <v>55.900621118012424</v>
      </c>
      <c r="J33" t="str">
        <f t="shared" si="6"/>
        <v>F</v>
      </c>
    </row>
    <row r="34" spans="1:10" hidden="1" x14ac:dyDescent="0.25">
      <c r="A34" s="4" t="s">
        <v>428</v>
      </c>
      <c r="B34" s="1">
        <v>0.66373000000000004</v>
      </c>
      <c r="C34" s="1">
        <v>0.66111399999999998</v>
      </c>
      <c r="D34" s="1">
        <f t="shared" si="0"/>
        <v>2.6160000000000627E-3</v>
      </c>
      <c r="E34">
        <f t="shared" si="1"/>
        <v>3</v>
      </c>
      <c r="F34">
        <f t="shared" si="2"/>
        <v>46</v>
      </c>
      <c r="G34">
        <f t="shared" si="3"/>
        <v>3.77</v>
      </c>
      <c r="H34">
        <f t="shared" si="4"/>
        <v>226</v>
      </c>
      <c r="I34" s="3">
        <f t="shared" si="5"/>
        <v>79.646017699115049</v>
      </c>
      <c r="J34" t="str">
        <f t="shared" si="6"/>
        <v>F</v>
      </c>
    </row>
    <row r="35" spans="1:10" hidden="1" x14ac:dyDescent="0.25">
      <c r="A35" s="4" t="s">
        <v>35</v>
      </c>
      <c r="B35" s="1">
        <v>0.220334</v>
      </c>
      <c r="C35" s="1">
        <v>0.22331400000000001</v>
      </c>
      <c r="D35" s="1">
        <f t="shared" si="0"/>
        <v>2.9800000000000104E-3</v>
      </c>
      <c r="E35">
        <f t="shared" si="1"/>
        <v>4</v>
      </c>
      <c r="F35">
        <f t="shared" si="2"/>
        <v>17</v>
      </c>
      <c r="G35">
        <f t="shared" si="3"/>
        <v>4.28</v>
      </c>
      <c r="H35">
        <f t="shared" si="4"/>
        <v>257</v>
      </c>
      <c r="I35" s="3">
        <f t="shared" si="5"/>
        <v>70.038910505836583</v>
      </c>
      <c r="J35" t="str">
        <f t="shared" si="6"/>
        <v>F</v>
      </c>
    </row>
    <row r="36" spans="1:10" hidden="1" x14ac:dyDescent="0.25">
      <c r="A36" s="4" t="s">
        <v>36</v>
      </c>
      <c r="B36" s="1">
        <v>0.43002600000000002</v>
      </c>
      <c r="C36" s="1">
        <v>0.42713400000000001</v>
      </c>
      <c r="D36" s="1">
        <f t="shared" si="0"/>
        <v>2.8920000000000057E-3</v>
      </c>
      <c r="E36">
        <f t="shared" si="1"/>
        <v>4</v>
      </c>
      <c r="F36">
        <f t="shared" si="2"/>
        <v>10</v>
      </c>
      <c r="G36">
        <f t="shared" si="3"/>
        <v>4.17</v>
      </c>
      <c r="H36">
        <f t="shared" si="4"/>
        <v>250</v>
      </c>
      <c r="I36" s="3">
        <f t="shared" si="5"/>
        <v>72</v>
      </c>
      <c r="J36" t="str">
        <f t="shared" si="6"/>
        <v>F</v>
      </c>
    </row>
    <row r="37" spans="1:10" hidden="1" x14ac:dyDescent="0.25">
      <c r="A37" s="4" t="s">
        <v>37</v>
      </c>
      <c r="B37" s="1">
        <v>0.62783900000000004</v>
      </c>
      <c r="C37" s="1">
        <v>0.62973500000000004</v>
      </c>
      <c r="D37" s="1">
        <f t="shared" si="0"/>
        <v>1.8960000000000088E-3</v>
      </c>
      <c r="E37">
        <f t="shared" si="1"/>
        <v>2</v>
      </c>
      <c r="F37">
        <f t="shared" si="2"/>
        <v>44</v>
      </c>
      <c r="G37">
        <f t="shared" si="3"/>
        <v>2.73</v>
      </c>
      <c r="H37">
        <f t="shared" si="4"/>
        <v>164</v>
      </c>
      <c r="I37" s="3">
        <f t="shared" si="5"/>
        <v>109.75609756097562</v>
      </c>
      <c r="J37" t="str">
        <f t="shared" si="6"/>
        <v>F</v>
      </c>
    </row>
    <row r="38" spans="1:10" hidden="1" x14ac:dyDescent="0.25">
      <c r="A38" s="4" t="s">
        <v>38</v>
      </c>
      <c r="B38" s="1">
        <v>0.72344799999999998</v>
      </c>
      <c r="C38" s="1">
        <v>0.72086399999999995</v>
      </c>
      <c r="D38" s="1">
        <f t="shared" si="0"/>
        <v>2.5840000000000307E-3</v>
      </c>
      <c r="E38">
        <f t="shared" si="1"/>
        <v>3</v>
      </c>
      <c r="F38">
        <f t="shared" si="2"/>
        <v>43</v>
      </c>
      <c r="G38">
        <f t="shared" si="3"/>
        <v>3.72</v>
      </c>
      <c r="H38">
        <f t="shared" si="4"/>
        <v>223</v>
      </c>
      <c r="I38" s="3">
        <f t="shared" si="5"/>
        <v>80.717488789237677</v>
      </c>
      <c r="J38" t="str">
        <f t="shared" si="6"/>
        <v>F</v>
      </c>
    </row>
    <row r="39" spans="1:10" hidden="1" x14ac:dyDescent="0.25">
      <c r="A39" s="4" t="s">
        <v>39</v>
      </c>
      <c r="B39" s="1">
        <v>8.9300000000000004E-2</v>
      </c>
      <c r="C39" s="1">
        <v>9.3151999999999999E-2</v>
      </c>
      <c r="D39" s="1">
        <f t="shared" si="0"/>
        <v>3.8519999999999943E-3</v>
      </c>
      <c r="E39">
        <f t="shared" si="1"/>
        <v>5</v>
      </c>
      <c r="F39">
        <f t="shared" si="2"/>
        <v>33</v>
      </c>
      <c r="G39">
        <f t="shared" si="3"/>
        <v>5.55</v>
      </c>
      <c r="H39">
        <f t="shared" si="4"/>
        <v>333</v>
      </c>
      <c r="I39" s="3">
        <f t="shared" si="5"/>
        <v>54.054054054054049</v>
      </c>
      <c r="J39" t="str">
        <f t="shared" si="6"/>
        <v>F</v>
      </c>
    </row>
    <row r="40" spans="1:10" hidden="1" x14ac:dyDescent="0.25">
      <c r="A40" s="4" t="s">
        <v>40</v>
      </c>
      <c r="B40" s="1">
        <v>0.89808900000000003</v>
      </c>
      <c r="C40" s="1">
        <v>0.900501</v>
      </c>
      <c r="D40" s="1">
        <f t="shared" si="0"/>
        <v>2.4119999999999697E-3</v>
      </c>
      <c r="E40">
        <f t="shared" si="1"/>
        <v>3</v>
      </c>
      <c r="F40">
        <f t="shared" si="2"/>
        <v>28</v>
      </c>
      <c r="G40">
        <f t="shared" si="3"/>
        <v>3.47</v>
      </c>
      <c r="H40">
        <f t="shared" si="4"/>
        <v>208</v>
      </c>
      <c r="I40" s="3">
        <f t="shared" si="5"/>
        <v>86.538461538461533</v>
      </c>
      <c r="J40" t="str">
        <f t="shared" si="6"/>
        <v>F</v>
      </c>
    </row>
    <row r="41" spans="1:10" hidden="1" x14ac:dyDescent="0.25">
      <c r="A41" s="4" t="s">
        <v>41</v>
      </c>
      <c r="B41" s="1">
        <v>0.54968600000000001</v>
      </c>
      <c r="C41" s="1">
        <v>0.55359800000000003</v>
      </c>
      <c r="D41" s="1">
        <f t="shared" si="0"/>
        <v>3.9120000000000266E-3</v>
      </c>
      <c r="E41">
        <f t="shared" si="1"/>
        <v>5</v>
      </c>
      <c r="F41">
        <f t="shared" si="2"/>
        <v>38</v>
      </c>
      <c r="G41">
        <f t="shared" si="3"/>
        <v>5.63</v>
      </c>
      <c r="H41">
        <f t="shared" si="4"/>
        <v>338</v>
      </c>
      <c r="I41" s="3">
        <f t="shared" si="5"/>
        <v>53.254437869822482</v>
      </c>
      <c r="J41" t="str">
        <f t="shared" si="6"/>
        <v>F</v>
      </c>
    </row>
    <row r="42" spans="1:10" hidden="1" x14ac:dyDescent="0.25">
      <c r="A42" s="4" t="s">
        <v>42</v>
      </c>
      <c r="B42" s="1">
        <v>2.5205000000000002E-2</v>
      </c>
      <c r="C42" s="1">
        <v>2.8740999999999999E-2</v>
      </c>
      <c r="D42" s="1">
        <f t="shared" si="0"/>
        <v>3.5359999999999975E-3</v>
      </c>
      <c r="E42">
        <f t="shared" si="1"/>
        <v>5</v>
      </c>
      <c r="F42">
        <f t="shared" si="2"/>
        <v>6</v>
      </c>
      <c r="G42">
        <f t="shared" si="3"/>
        <v>5.0999999999999996</v>
      </c>
      <c r="H42">
        <f t="shared" si="4"/>
        <v>306</v>
      </c>
      <c r="I42" s="3">
        <f t="shared" si="5"/>
        <v>58.82352941176471</v>
      </c>
      <c r="J42" t="str">
        <f t="shared" si="6"/>
        <v>F</v>
      </c>
    </row>
    <row r="43" spans="1:10" hidden="1" x14ac:dyDescent="0.25">
      <c r="A43" s="4" t="s">
        <v>43</v>
      </c>
      <c r="B43" s="1">
        <v>0.74113899999999999</v>
      </c>
      <c r="C43" s="1">
        <v>0.74283100000000002</v>
      </c>
      <c r="D43" s="1">
        <f t="shared" si="0"/>
        <v>1.6920000000000268E-3</v>
      </c>
      <c r="E43">
        <f t="shared" si="1"/>
        <v>2</v>
      </c>
      <c r="F43">
        <f t="shared" si="2"/>
        <v>26</v>
      </c>
      <c r="G43">
        <f t="shared" si="3"/>
        <v>2.4300000000000002</v>
      </c>
      <c r="H43">
        <f t="shared" si="4"/>
        <v>146</v>
      </c>
      <c r="I43" s="3">
        <f t="shared" si="5"/>
        <v>123.2876712328767</v>
      </c>
      <c r="J43" t="str">
        <f t="shared" si="6"/>
        <v>F</v>
      </c>
    </row>
    <row r="44" spans="1:10" hidden="1" x14ac:dyDescent="0.25">
      <c r="A44" s="4" t="s">
        <v>44</v>
      </c>
      <c r="B44" s="1">
        <v>0.45712199999999997</v>
      </c>
      <c r="C44" s="1">
        <v>0.45935799999999999</v>
      </c>
      <c r="D44" s="1">
        <f t="shared" si="0"/>
        <v>2.2360000000000158E-3</v>
      </c>
      <c r="E44">
        <f t="shared" si="1"/>
        <v>3</v>
      </c>
      <c r="F44">
        <f t="shared" si="2"/>
        <v>13</v>
      </c>
      <c r="G44">
        <f t="shared" si="3"/>
        <v>3.22</v>
      </c>
      <c r="H44">
        <f t="shared" si="4"/>
        <v>193</v>
      </c>
      <c r="I44" s="3">
        <f t="shared" si="5"/>
        <v>93.264248704663203</v>
      </c>
      <c r="J44" t="str">
        <f t="shared" si="6"/>
        <v>F</v>
      </c>
    </row>
    <row r="45" spans="1:10" hidden="1" x14ac:dyDescent="0.25">
      <c r="A45" s="4" t="s">
        <v>45</v>
      </c>
      <c r="B45" s="1">
        <v>0.26977200000000001</v>
      </c>
      <c r="C45" s="1">
        <v>0.2661</v>
      </c>
      <c r="D45" s="1">
        <f t="shared" si="0"/>
        <v>3.6720000000000086E-3</v>
      </c>
      <c r="E45">
        <f t="shared" si="1"/>
        <v>5</v>
      </c>
      <c r="F45">
        <f t="shared" si="2"/>
        <v>17</v>
      </c>
      <c r="G45">
        <f t="shared" si="3"/>
        <v>5.28</v>
      </c>
      <c r="H45">
        <f t="shared" si="4"/>
        <v>317</v>
      </c>
      <c r="I45" s="3">
        <f t="shared" si="5"/>
        <v>56.782334384858046</v>
      </c>
      <c r="J45" t="str">
        <f t="shared" si="6"/>
        <v>F</v>
      </c>
    </row>
    <row r="46" spans="1:10" hidden="1" x14ac:dyDescent="0.25">
      <c r="A46" s="4" t="s">
        <v>46</v>
      </c>
      <c r="B46" s="1">
        <v>0.193527</v>
      </c>
      <c r="C46" s="1">
        <v>0.18987100000000001</v>
      </c>
      <c r="D46" s="1">
        <f t="shared" si="0"/>
        <v>3.6559999999999926E-3</v>
      </c>
      <c r="E46">
        <f t="shared" si="1"/>
        <v>5</v>
      </c>
      <c r="F46">
        <f t="shared" si="2"/>
        <v>16</v>
      </c>
      <c r="G46">
        <f t="shared" si="3"/>
        <v>5.27</v>
      </c>
      <c r="H46">
        <f t="shared" si="4"/>
        <v>316</v>
      </c>
      <c r="I46" s="3">
        <f t="shared" si="5"/>
        <v>56.962025316455694</v>
      </c>
      <c r="J46" t="str">
        <f t="shared" si="6"/>
        <v>F</v>
      </c>
    </row>
    <row r="47" spans="1:10" hidden="1" x14ac:dyDescent="0.25">
      <c r="A47" s="4" t="s">
        <v>47</v>
      </c>
      <c r="B47" s="1">
        <v>0.73745799999999995</v>
      </c>
      <c r="C47" s="1">
        <v>0.73368199999999995</v>
      </c>
      <c r="D47" s="1">
        <f t="shared" si="0"/>
        <v>3.7760000000000016E-3</v>
      </c>
      <c r="E47">
        <f t="shared" si="1"/>
        <v>5</v>
      </c>
      <c r="F47">
        <f t="shared" si="2"/>
        <v>26</v>
      </c>
      <c r="G47">
        <f t="shared" si="3"/>
        <v>5.43</v>
      </c>
      <c r="H47">
        <f t="shared" si="4"/>
        <v>326</v>
      </c>
      <c r="I47" s="3">
        <f t="shared" si="5"/>
        <v>55.214723926380373</v>
      </c>
      <c r="J47" t="str">
        <f t="shared" si="6"/>
        <v>F</v>
      </c>
    </row>
    <row r="48" spans="1:10" hidden="1" x14ac:dyDescent="0.25">
      <c r="A48" s="4" t="s">
        <v>48</v>
      </c>
      <c r="B48" s="1">
        <v>0.29613200000000001</v>
      </c>
      <c r="C48" s="1">
        <v>0.29450799999999999</v>
      </c>
      <c r="D48" s="1">
        <f t="shared" si="0"/>
        <v>1.6240000000000143E-3</v>
      </c>
      <c r="E48">
        <f t="shared" si="1"/>
        <v>2</v>
      </c>
      <c r="F48">
        <f t="shared" si="2"/>
        <v>20</v>
      </c>
      <c r="G48">
        <f t="shared" si="3"/>
        <v>2.33</v>
      </c>
      <c r="H48">
        <f t="shared" si="4"/>
        <v>140</v>
      </c>
      <c r="I48" s="3">
        <f t="shared" si="5"/>
        <v>128.57142857142858</v>
      </c>
      <c r="J48" t="str">
        <f t="shared" si="6"/>
        <v>F</v>
      </c>
    </row>
    <row r="49" spans="1:10" hidden="1" x14ac:dyDescent="0.25">
      <c r="A49" s="4" t="s">
        <v>49</v>
      </c>
      <c r="B49" s="1">
        <v>0.55866400000000005</v>
      </c>
      <c r="C49" s="1">
        <v>0.55554400000000004</v>
      </c>
      <c r="D49" s="1">
        <f t="shared" si="0"/>
        <v>3.1200000000000117E-3</v>
      </c>
      <c r="E49">
        <f t="shared" si="1"/>
        <v>4</v>
      </c>
      <c r="F49">
        <f t="shared" si="2"/>
        <v>30</v>
      </c>
      <c r="G49">
        <f t="shared" si="3"/>
        <v>4.5</v>
      </c>
      <c r="H49">
        <f t="shared" si="4"/>
        <v>270</v>
      </c>
      <c r="I49" s="3">
        <f t="shared" si="5"/>
        <v>66.666666666666671</v>
      </c>
      <c r="J49" t="str">
        <f t="shared" si="6"/>
        <v>F</v>
      </c>
    </row>
    <row r="50" spans="1:10" hidden="1" x14ac:dyDescent="0.25">
      <c r="A50" s="4" t="s">
        <v>50</v>
      </c>
      <c r="B50" s="1">
        <v>0.46306999999999998</v>
      </c>
      <c r="C50" s="1">
        <v>0.466978</v>
      </c>
      <c r="D50" s="1">
        <f t="shared" si="0"/>
        <v>3.9080000000000226E-3</v>
      </c>
      <c r="E50">
        <f t="shared" si="1"/>
        <v>5</v>
      </c>
      <c r="F50">
        <f t="shared" si="2"/>
        <v>38</v>
      </c>
      <c r="G50">
        <f t="shared" si="3"/>
        <v>5.63</v>
      </c>
      <c r="H50">
        <f t="shared" si="4"/>
        <v>338</v>
      </c>
      <c r="I50" s="3">
        <f t="shared" si="5"/>
        <v>53.254437869822482</v>
      </c>
      <c r="J50" t="str">
        <f t="shared" si="6"/>
        <v>F</v>
      </c>
    </row>
    <row r="51" spans="1:10" hidden="1" x14ac:dyDescent="0.25">
      <c r="A51" s="4" t="s">
        <v>51</v>
      </c>
      <c r="B51" s="1">
        <v>0.20654</v>
      </c>
      <c r="C51" s="1">
        <v>0.20846000000000001</v>
      </c>
      <c r="D51" s="1">
        <f t="shared" si="0"/>
        <v>1.920000000000005E-3</v>
      </c>
      <c r="E51">
        <f t="shared" si="1"/>
        <v>2</v>
      </c>
      <c r="F51">
        <f t="shared" si="2"/>
        <v>46</v>
      </c>
      <c r="G51">
        <f t="shared" si="3"/>
        <v>2.77</v>
      </c>
      <c r="H51">
        <f t="shared" si="4"/>
        <v>166</v>
      </c>
      <c r="I51" s="3">
        <f t="shared" si="5"/>
        <v>108.43373493975903</v>
      </c>
      <c r="J51" t="str">
        <f t="shared" si="6"/>
        <v>F</v>
      </c>
    </row>
    <row r="52" spans="1:10" hidden="1" x14ac:dyDescent="0.25">
      <c r="A52" s="4" t="s">
        <v>52</v>
      </c>
      <c r="B52" s="1">
        <v>0.86371399999999998</v>
      </c>
      <c r="C52" s="1">
        <v>0.86516999999999999</v>
      </c>
      <c r="D52" s="1">
        <f t="shared" si="0"/>
        <v>1.4560000000000128E-3</v>
      </c>
      <c r="E52">
        <f t="shared" si="1"/>
        <v>2</v>
      </c>
      <c r="F52">
        <f t="shared" si="2"/>
        <v>6</v>
      </c>
      <c r="G52">
        <f t="shared" si="3"/>
        <v>2.1</v>
      </c>
      <c r="H52">
        <f t="shared" si="4"/>
        <v>126</v>
      </c>
      <c r="I52" s="3">
        <f t="shared" si="5"/>
        <v>142.85714285714286</v>
      </c>
      <c r="J52" t="str">
        <f t="shared" si="6"/>
        <v>F</v>
      </c>
    </row>
    <row r="53" spans="1:10" hidden="1" x14ac:dyDescent="0.25">
      <c r="A53" s="4" t="s">
        <v>53</v>
      </c>
      <c r="B53" s="1">
        <v>0.83620700000000003</v>
      </c>
      <c r="C53" s="1">
        <v>0.83887500000000004</v>
      </c>
      <c r="D53" s="1">
        <f t="shared" si="0"/>
        <v>2.6680000000000037E-3</v>
      </c>
      <c r="E53">
        <f t="shared" si="1"/>
        <v>3</v>
      </c>
      <c r="F53">
        <f t="shared" si="2"/>
        <v>51</v>
      </c>
      <c r="G53">
        <f t="shared" si="3"/>
        <v>3.85</v>
      </c>
      <c r="H53">
        <f t="shared" si="4"/>
        <v>231</v>
      </c>
      <c r="I53" s="3">
        <f t="shared" si="5"/>
        <v>77.922077922077918</v>
      </c>
      <c r="J53" t="str">
        <f t="shared" si="6"/>
        <v>F</v>
      </c>
    </row>
    <row r="54" spans="1:10" hidden="1" x14ac:dyDescent="0.25">
      <c r="A54" s="4" t="s">
        <v>54</v>
      </c>
      <c r="B54" s="1">
        <v>0.83164899999999997</v>
      </c>
      <c r="C54" s="1">
        <v>0.82985699999999996</v>
      </c>
      <c r="D54" s="1">
        <f t="shared" si="0"/>
        <v>1.7920000000000158E-3</v>
      </c>
      <c r="E54">
        <f t="shared" si="1"/>
        <v>2</v>
      </c>
      <c r="F54">
        <f t="shared" si="2"/>
        <v>35</v>
      </c>
      <c r="G54">
        <f t="shared" si="3"/>
        <v>2.58</v>
      </c>
      <c r="H54">
        <f t="shared" si="4"/>
        <v>155</v>
      </c>
      <c r="I54" s="3">
        <f t="shared" si="5"/>
        <v>116.12903225806451</v>
      </c>
      <c r="J54" t="str">
        <f t="shared" si="6"/>
        <v>F</v>
      </c>
    </row>
    <row r="55" spans="1:10" hidden="1" x14ac:dyDescent="0.25">
      <c r="A55" s="4" t="s">
        <v>55</v>
      </c>
      <c r="B55" s="1">
        <v>0.62158000000000002</v>
      </c>
      <c r="C55" s="1">
        <v>0.61829199999999995</v>
      </c>
      <c r="D55" s="1">
        <f t="shared" si="0"/>
        <v>3.2880000000000686E-3</v>
      </c>
      <c r="E55">
        <f t="shared" si="1"/>
        <v>4</v>
      </c>
      <c r="F55">
        <f t="shared" si="2"/>
        <v>44</v>
      </c>
      <c r="G55">
        <f t="shared" si="3"/>
        <v>4.7300000000000004</v>
      </c>
      <c r="H55">
        <f t="shared" si="4"/>
        <v>284</v>
      </c>
      <c r="I55" s="3">
        <f t="shared" si="5"/>
        <v>63.380281690140848</v>
      </c>
      <c r="J55" t="str">
        <f t="shared" si="6"/>
        <v>F</v>
      </c>
    </row>
    <row r="56" spans="1:10" hidden="1" x14ac:dyDescent="0.25">
      <c r="A56" s="4" t="s">
        <v>56</v>
      </c>
      <c r="B56" s="1">
        <v>0.34653200000000001</v>
      </c>
      <c r="C56" s="1">
        <v>0.34881600000000001</v>
      </c>
      <c r="D56" s="1">
        <f t="shared" si="0"/>
        <v>2.2840000000000082E-3</v>
      </c>
      <c r="E56">
        <f t="shared" si="1"/>
        <v>3</v>
      </c>
      <c r="F56">
        <f t="shared" si="2"/>
        <v>17</v>
      </c>
      <c r="G56">
        <f t="shared" si="3"/>
        <v>3.28</v>
      </c>
      <c r="H56">
        <f t="shared" si="4"/>
        <v>197</v>
      </c>
      <c r="I56" s="3">
        <f t="shared" si="5"/>
        <v>91.370558375634516</v>
      </c>
      <c r="J56" t="str">
        <f t="shared" si="6"/>
        <v>F</v>
      </c>
    </row>
    <row r="57" spans="1:10" hidden="1" x14ac:dyDescent="0.25">
      <c r="A57" s="4" t="s">
        <v>57</v>
      </c>
      <c r="B57" s="1">
        <v>0.95849399999999996</v>
      </c>
      <c r="C57" s="1">
        <v>0.96079800000000004</v>
      </c>
      <c r="D57" s="1">
        <f t="shared" si="0"/>
        <v>2.3040000000000838E-3</v>
      </c>
      <c r="E57">
        <f t="shared" si="1"/>
        <v>3</v>
      </c>
      <c r="F57">
        <f t="shared" si="2"/>
        <v>19</v>
      </c>
      <c r="G57">
        <f t="shared" si="3"/>
        <v>3.32</v>
      </c>
      <c r="H57">
        <f t="shared" si="4"/>
        <v>199</v>
      </c>
      <c r="I57" s="3">
        <f t="shared" si="5"/>
        <v>90.452261306532648</v>
      </c>
      <c r="J57" t="str">
        <f t="shared" si="6"/>
        <v>F</v>
      </c>
    </row>
    <row r="58" spans="1:10" hidden="1" x14ac:dyDescent="0.25">
      <c r="A58" s="4" t="s">
        <v>58</v>
      </c>
      <c r="B58" s="1">
        <v>0.88663099999999995</v>
      </c>
      <c r="C58" s="1">
        <v>0.888683</v>
      </c>
      <c r="D58" s="1">
        <f t="shared" si="0"/>
        <v>2.0520000000000538E-3</v>
      </c>
      <c r="E58">
        <f t="shared" si="1"/>
        <v>2</v>
      </c>
      <c r="F58">
        <f t="shared" si="2"/>
        <v>57</v>
      </c>
      <c r="G58">
        <f t="shared" si="3"/>
        <v>2.95</v>
      </c>
      <c r="H58">
        <f t="shared" si="4"/>
        <v>177</v>
      </c>
      <c r="I58" s="3">
        <f t="shared" si="5"/>
        <v>101.69491525423729</v>
      </c>
      <c r="J58" t="str">
        <f t="shared" si="6"/>
        <v>F</v>
      </c>
    </row>
    <row r="59" spans="1:10" hidden="1" x14ac:dyDescent="0.25">
      <c r="A59" s="4" t="s">
        <v>59</v>
      </c>
      <c r="B59" s="1">
        <v>0.54649099999999995</v>
      </c>
      <c r="C59" s="1">
        <v>0.54815899999999995</v>
      </c>
      <c r="D59" s="1">
        <f t="shared" si="0"/>
        <v>1.6680000000000028E-3</v>
      </c>
      <c r="E59">
        <f t="shared" si="1"/>
        <v>2</v>
      </c>
      <c r="F59">
        <f t="shared" si="2"/>
        <v>24</v>
      </c>
      <c r="G59">
        <f t="shared" si="3"/>
        <v>2.4</v>
      </c>
      <c r="H59">
        <f t="shared" si="4"/>
        <v>144</v>
      </c>
      <c r="I59" s="3">
        <f t="shared" si="5"/>
        <v>125</v>
      </c>
      <c r="J59" t="str">
        <f t="shared" si="6"/>
        <v>F</v>
      </c>
    </row>
    <row r="60" spans="1:10" hidden="1" x14ac:dyDescent="0.25">
      <c r="A60" s="4" t="s">
        <v>60</v>
      </c>
      <c r="B60" s="1">
        <v>0.715557</v>
      </c>
      <c r="C60" s="1">
        <v>0.71916100000000005</v>
      </c>
      <c r="D60" s="1">
        <f t="shared" si="0"/>
        <v>3.6040000000000516E-3</v>
      </c>
      <c r="E60">
        <f t="shared" si="1"/>
        <v>5</v>
      </c>
      <c r="F60">
        <f t="shared" si="2"/>
        <v>11</v>
      </c>
      <c r="G60">
        <f t="shared" si="3"/>
        <v>5.18</v>
      </c>
      <c r="H60">
        <f t="shared" si="4"/>
        <v>311</v>
      </c>
      <c r="I60" s="3">
        <f t="shared" si="5"/>
        <v>57.877813504823152</v>
      </c>
      <c r="J60" t="str">
        <f t="shared" si="6"/>
        <v>F</v>
      </c>
    </row>
    <row r="61" spans="1:10" hidden="1" x14ac:dyDescent="0.25">
      <c r="A61" s="4" t="s">
        <v>61</v>
      </c>
      <c r="B61" s="1">
        <v>0.95039600000000002</v>
      </c>
      <c r="C61" s="1">
        <v>0.95372400000000002</v>
      </c>
      <c r="D61" s="1">
        <f t="shared" si="0"/>
        <v>3.3279999999999976E-3</v>
      </c>
      <c r="E61">
        <f t="shared" si="1"/>
        <v>4</v>
      </c>
      <c r="F61">
        <f t="shared" si="2"/>
        <v>48</v>
      </c>
      <c r="G61">
        <f t="shared" si="3"/>
        <v>4.8</v>
      </c>
      <c r="H61">
        <f t="shared" si="4"/>
        <v>288</v>
      </c>
      <c r="I61" s="3">
        <f t="shared" si="5"/>
        <v>62.5</v>
      </c>
      <c r="J61" t="str">
        <f t="shared" si="6"/>
        <v>F</v>
      </c>
    </row>
    <row r="62" spans="1:10" hidden="1" x14ac:dyDescent="0.25">
      <c r="A62" s="4" t="s">
        <v>62</v>
      </c>
      <c r="B62" s="1">
        <v>0.703264</v>
      </c>
      <c r="C62" s="1">
        <v>0.70138800000000001</v>
      </c>
      <c r="D62" s="1">
        <f t="shared" si="0"/>
        <v>1.8759999999999888E-3</v>
      </c>
      <c r="E62">
        <f t="shared" si="1"/>
        <v>2</v>
      </c>
      <c r="F62">
        <f t="shared" si="2"/>
        <v>42</v>
      </c>
      <c r="G62">
        <f t="shared" si="3"/>
        <v>2.7</v>
      </c>
      <c r="H62">
        <f t="shared" si="4"/>
        <v>162</v>
      </c>
      <c r="I62" s="3">
        <f t="shared" si="5"/>
        <v>111.11111111111111</v>
      </c>
      <c r="J62" t="str">
        <f t="shared" si="6"/>
        <v>F</v>
      </c>
    </row>
    <row r="63" spans="1:10" hidden="1" x14ac:dyDescent="0.25">
      <c r="A63" s="4" t="s">
        <v>63</v>
      </c>
      <c r="B63" s="1">
        <v>0.122056</v>
      </c>
      <c r="C63" s="1">
        <v>0.12371600000000001</v>
      </c>
      <c r="D63" s="1">
        <f t="shared" si="0"/>
        <v>1.6600000000000087E-3</v>
      </c>
      <c r="E63">
        <f t="shared" si="1"/>
        <v>2</v>
      </c>
      <c r="F63">
        <f t="shared" si="2"/>
        <v>23</v>
      </c>
      <c r="G63">
        <f t="shared" si="3"/>
        <v>2.38</v>
      </c>
      <c r="H63">
        <f t="shared" si="4"/>
        <v>143</v>
      </c>
      <c r="I63" s="3">
        <f t="shared" si="5"/>
        <v>125.87412587412587</v>
      </c>
      <c r="J63" t="str">
        <f t="shared" si="6"/>
        <v>F</v>
      </c>
    </row>
    <row r="64" spans="1:10" hidden="1" x14ac:dyDescent="0.25">
      <c r="A64" s="4" t="s">
        <v>64</v>
      </c>
      <c r="B64" s="1">
        <v>0.21684999999999999</v>
      </c>
      <c r="C64" s="1">
        <v>0.21870999999999999</v>
      </c>
      <c r="D64" s="1">
        <f t="shared" si="0"/>
        <v>1.8600000000000005E-3</v>
      </c>
      <c r="E64">
        <f t="shared" si="1"/>
        <v>2</v>
      </c>
      <c r="F64">
        <f t="shared" si="2"/>
        <v>41</v>
      </c>
      <c r="G64">
        <f t="shared" si="3"/>
        <v>2.68</v>
      </c>
      <c r="H64">
        <f t="shared" si="4"/>
        <v>161</v>
      </c>
      <c r="I64" s="3">
        <f t="shared" si="5"/>
        <v>111.80124223602485</v>
      </c>
      <c r="J64" t="str">
        <f t="shared" si="6"/>
        <v>F</v>
      </c>
    </row>
    <row r="65" spans="1:10" hidden="1" x14ac:dyDescent="0.25">
      <c r="A65" s="4" t="s">
        <v>65</v>
      </c>
      <c r="B65" s="1">
        <v>0.79385700000000003</v>
      </c>
      <c r="C65" s="1">
        <v>0.79043699999999995</v>
      </c>
      <c r="D65" s="1">
        <f t="shared" si="0"/>
        <v>3.4200000000000896E-3</v>
      </c>
      <c r="E65">
        <f t="shared" si="1"/>
        <v>4</v>
      </c>
      <c r="F65">
        <f t="shared" si="2"/>
        <v>55</v>
      </c>
      <c r="G65">
        <f t="shared" si="3"/>
        <v>4.92</v>
      </c>
      <c r="H65">
        <f t="shared" si="4"/>
        <v>295</v>
      </c>
      <c r="I65" s="3">
        <f t="shared" si="5"/>
        <v>61.016949152542367</v>
      </c>
      <c r="J65" t="str">
        <f t="shared" si="6"/>
        <v>F</v>
      </c>
    </row>
    <row r="66" spans="1:10" hidden="1" x14ac:dyDescent="0.25">
      <c r="A66" s="4" t="s">
        <v>66</v>
      </c>
      <c r="B66" s="1">
        <v>6.5331E-2</v>
      </c>
      <c r="C66" s="1">
        <v>6.2547000000000005E-2</v>
      </c>
      <c r="D66" s="1">
        <f t="shared" si="0"/>
        <v>2.7839999999999948E-3</v>
      </c>
      <c r="E66">
        <f t="shared" si="1"/>
        <v>4</v>
      </c>
      <c r="F66">
        <f t="shared" si="2"/>
        <v>1</v>
      </c>
      <c r="G66">
        <f t="shared" si="3"/>
        <v>4.0199999999999996</v>
      </c>
      <c r="H66">
        <f t="shared" si="4"/>
        <v>241</v>
      </c>
      <c r="I66" s="3">
        <f t="shared" si="5"/>
        <v>74.68879668049793</v>
      </c>
      <c r="J66" t="str">
        <f t="shared" si="6"/>
        <v>F</v>
      </c>
    </row>
    <row r="67" spans="1:10" hidden="1" x14ac:dyDescent="0.25">
      <c r="A67" s="4" t="s">
        <v>67</v>
      </c>
      <c r="B67" s="1">
        <v>0.58044700000000005</v>
      </c>
      <c r="C67" s="1">
        <v>0.58282699999999998</v>
      </c>
      <c r="D67" s="1">
        <f t="shared" ref="D67:D130" si="7">IF(B67&gt;C67,B67-C67,C67-B67)</f>
        <v>2.3799999999999377E-3</v>
      </c>
      <c r="E67">
        <f t="shared" ref="E67:E130" si="8">MINUTE(D67)</f>
        <v>3</v>
      </c>
      <c r="F67">
        <f t="shared" ref="F67:F130" si="9">SECOND(D67)</f>
        <v>26</v>
      </c>
      <c r="G67">
        <f t="shared" ref="G67:G130" si="10">ROUND(E67+F67/60,2)</f>
        <v>3.43</v>
      </c>
      <c r="H67">
        <f t="shared" ref="H67:H130" si="11">60*E67+F67</f>
        <v>206</v>
      </c>
      <c r="I67" s="3">
        <f t="shared" ref="I67:I130" si="12">5*(3600/H67)</f>
        <v>87.378640776699029</v>
      </c>
      <c r="J67" t="str">
        <f t="shared" ref="J67:J130" si="13">IF(MID(A67,3,2)="18","T","F")</f>
        <v>F</v>
      </c>
    </row>
    <row r="68" spans="1:10" hidden="1" x14ac:dyDescent="0.25">
      <c r="A68" s="4" t="s">
        <v>68</v>
      </c>
      <c r="B68" s="1">
        <v>1.8766999999999999E-2</v>
      </c>
      <c r="C68" s="1">
        <v>2.1031000000000001E-2</v>
      </c>
      <c r="D68" s="1">
        <f t="shared" si="7"/>
        <v>2.2640000000000021E-3</v>
      </c>
      <c r="E68">
        <f t="shared" si="8"/>
        <v>3</v>
      </c>
      <c r="F68">
        <f t="shared" si="9"/>
        <v>16</v>
      </c>
      <c r="G68">
        <f t="shared" si="10"/>
        <v>3.27</v>
      </c>
      <c r="H68">
        <f t="shared" si="11"/>
        <v>196</v>
      </c>
      <c r="I68" s="3">
        <f t="shared" si="12"/>
        <v>91.83673469387756</v>
      </c>
      <c r="J68" t="str">
        <f t="shared" si="13"/>
        <v>F</v>
      </c>
    </row>
    <row r="69" spans="1:10" hidden="1" x14ac:dyDescent="0.25">
      <c r="A69" s="4" t="s">
        <v>69</v>
      </c>
      <c r="B69" s="1">
        <v>0.51825500000000002</v>
      </c>
      <c r="C69" s="1">
        <v>0.51454299999999997</v>
      </c>
      <c r="D69" s="1">
        <f t="shared" si="7"/>
        <v>3.7120000000000486E-3</v>
      </c>
      <c r="E69">
        <f t="shared" si="8"/>
        <v>5</v>
      </c>
      <c r="F69">
        <f t="shared" si="9"/>
        <v>21</v>
      </c>
      <c r="G69">
        <f t="shared" si="10"/>
        <v>5.35</v>
      </c>
      <c r="H69">
        <f t="shared" si="11"/>
        <v>321</v>
      </c>
      <c r="I69" s="3">
        <f t="shared" si="12"/>
        <v>56.074766355140184</v>
      </c>
      <c r="J69" t="str">
        <f t="shared" si="13"/>
        <v>F</v>
      </c>
    </row>
    <row r="70" spans="1:10" hidden="1" x14ac:dyDescent="0.25">
      <c r="A70" s="4" t="s">
        <v>70</v>
      </c>
      <c r="B70" s="1">
        <v>0.83702100000000002</v>
      </c>
      <c r="C70" s="1">
        <v>0.83974899999999997</v>
      </c>
      <c r="D70" s="1">
        <f t="shared" si="7"/>
        <v>2.7279999999999527E-3</v>
      </c>
      <c r="E70">
        <f t="shared" si="8"/>
        <v>3</v>
      </c>
      <c r="F70">
        <f t="shared" si="9"/>
        <v>56</v>
      </c>
      <c r="G70">
        <f t="shared" si="10"/>
        <v>3.93</v>
      </c>
      <c r="H70">
        <f t="shared" si="11"/>
        <v>236</v>
      </c>
      <c r="I70" s="3">
        <f t="shared" si="12"/>
        <v>76.271186440677965</v>
      </c>
      <c r="J70" t="str">
        <f t="shared" si="13"/>
        <v>F</v>
      </c>
    </row>
    <row r="71" spans="1:10" hidden="1" x14ac:dyDescent="0.25">
      <c r="A71" s="4" t="s">
        <v>71</v>
      </c>
      <c r="B71" s="1">
        <v>0.53334199999999998</v>
      </c>
      <c r="C71" s="1">
        <v>0.52953799999999995</v>
      </c>
      <c r="D71" s="1">
        <f t="shared" si="7"/>
        <v>3.8040000000000296E-3</v>
      </c>
      <c r="E71">
        <f t="shared" si="8"/>
        <v>5</v>
      </c>
      <c r="F71">
        <f t="shared" si="9"/>
        <v>29</v>
      </c>
      <c r="G71">
        <f t="shared" si="10"/>
        <v>5.48</v>
      </c>
      <c r="H71">
        <f t="shared" si="11"/>
        <v>329</v>
      </c>
      <c r="I71" s="3">
        <f t="shared" si="12"/>
        <v>54.711246200607903</v>
      </c>
      <c r="J71" t="str">
        <f t="shared" si="13"/>
        <v>F</v>
      </c>
    </row>
    <row r="72" spans="1:10" hidden="1" x14ac:dyDescent="0.25">
      <c r="A72" s="4" t="s">
        <v>72</v>
      </c>
      <c r="B72" s="1">
        <v>0.73590199999999995</v>
      </c>
      <c r="C72" s="1">
        <v>0.738062</v>
      </c>
      <c r="D72" s="1">
        <f t="shared" si="7"/>
        <v>2.1600000000000508E-3</v>
      </c>
      <c r="E72">
        <f t="shared" si="8"/>
        <v>3</v>
      </c>
      <c r="F72">
        <f t="shared" si="9"/>
        <v>7</v>
      </c>
      <c r="G72">
        <f t="shared" si="10"/>
        <v>3.12</v>
      </c>
      <c r="H72">
        <f t="shared" si="11"/>
        <v>187</v>
      </c>
      <c r="I72" s="3">
        <f t="shared" si="12"/>
        <v>96.256684491978604</v>
      </c>
      <c r="J72" t="str">
        <f t="shared" si="13"/>
        <v>F</v>
      </c>
    </row>
    <row r="73" spans="1:10" hidden="1" x14ac:dyDescent="0.25">
      <c r="A73" s="4" t="s">
        <v>73</v>
      </c>
      <c r="B73" s="1">
        <v>0.39306200000000002</v>
      </c>
      <c r="C73" s="1">
        <v>0.39612599999999998</v>
      </c>
      <c r="D73" s="1">
        <f t="shared" si="7"/>
        <v>3.0639999999999556E-3</v>
      </c>
      <c r="E73">
        <f t="shared" si="8"/>
        <v>4</v>
      </c>
      <c r="F73">
        <f t="shared" si="9"/>
        <v>25</v>
      </c>
      <c r="G73">
        <f t="shared" si="10"/>
        <v>4.42</v>
      </c>
      <c r="H73">
        <f t="shared" si="11"/>
        <v>265</v>
      </c>
      <c r="I73" s="3">
        <f t="shared" si="12"/>
        <v>67.924528301886795</v>
      </c>
      <c r="J73" t="str">
        <f t="shared" si="13"/>
        <v>F</v>
      </c>
    </row>
    <row r="74" spans="1:10" hidden="1" x14ac:dyDescent="0.25">
      <c r="A74" s="4" t="s">
        <v>74</v>
      </c>
      <c r="B74" s="1">
        <v>0.57475200000000004</v>
      </c>
      <c r="C74" s="1">
        <v>0.57793600000000001</v>
      </c>
      <c r="D74" s="1">
        <f t="shared" si="7"/>
        <v>3.1839999999999646E-3</v>
      </c>
      <c r="E74">
        <f t="shared" si="8"/>
        <v>4</v>
      </c>
      <c r="F74">
        <f t="shared" si="9"/>
        <v>35</v>
      </c>
      <c r="G74">
        <f t="shared" si="10"/>
        <v>4.58</v>
      </c>
      <c r="H74">
        <f t="shared" si="11"/>
        <v>275</v>
      </c>
      <c r="I74" s="3">
        <f t="shared" si="12"/>
        <v>65.454545454545453</v>
      </c>
      <c r="J74" t="str">
        <f t="shared" si="13"/>
        <v>F</v>
      </c>
    </row>
    <row r="75" spans="1:10" hidden="1" x14ac:dyDescent="0.25">
      <c r="A75" s="4" t="s">
        <v>75</v>
      </c>
      <c r="B75" s="1">
        <v>0.85006000000000004</v>
      </c>
      <c r="C75" s="1">
        <v>0.85299599999999998</v>
      </c>
      <c r="D75" s="1">
        <f t="shared" si="7"/>
        <v>2.9359999999999387E-3</v>
      </c>
      <c r="E75">
        <f t="shared" si="8"/>
        <v>4</v>
      </c>
      <c r="F75">
        <f t="shared" si="9"/>
        <v>14</v>
      </c>
      <c r="G75">
        <f t="shared" si="10"/>
        <v>4.2300000000000004</v>
      </c>
      <c r="H75">
        <f t="shared" si="11"/>
        <v>254</v>
      </c>
      <c r="I75" s="3">
        <f t="shared" si="12"/>
        <v>70.866141732283467</v>
      </c>
      <c r="J75" t="str">
        <f t="shared" si="13"/>
        <v>F</v>
      </c>
    </row>
    <row r="76" spans="1:10" hidden="1" x14ac:dyDescent="0.25">
      <c r="A76" s="4" t="s">
        <v>76</v>
      </c>
      <c r="B76" s="1">
        <v>0.51857500000000001</v>
      </c>
      <c r="C76" s="1">
        <v>0.51999099999999998</v>
      </c>
      <c r="D76" s="1">
        <f t="shared" si="7"/>
        <v>1.4159999999999728E-3</v>
      </c>
      <c r="E76">
        <f t="shared" si="8"/>
        <v>2</v>
      </c>
      <c r="F76">
        <f t="shared" si="9"/>
        <v>2</v>
      </c>
      <c r="G76">
        <f t="shared" si="10"/>
        <v>2.0299999999999998</v>
      </c>
      <c r="H76">
        <f t="shared" si="11"/>
        <v>122</v>
      </c>
      <c r="I76" s="3">
        <f t="shared" si="12"/>
        <v>147.54098360655738</v>
      </c>
      <c r="J76" t="str">
        <f t="shared" si="13"/>
        <v>F</v>
      </c>
    </row>
    <row r="77" spans="1:10" hidden="1" x14ac:dyDescent="0.25">
      <c r="A77" s="4" t="s">
        <v>77</v>
      </c>
      <c r="B77" s="1">
        <v>0.86746599999999996</v>
      </c>
      <c r="C77" s="1">
        <v>0.86568199999999995</v>
      </c>
      <c r="D77" s="1">
        <f t="shared" si="7"/>
        <v>1.7840000000000078E-3</v>
      </c>
      <c r="E77">
        <f t="shared" si="8"/>
        <v>2</v>
      </c>
      <c r="F77">
        <f t="shared" si="9"/>
        <v>34</v>
      </c>
      <c r="G77">
        <f t="shared" si="10"/>
        <v>2.57</v>
      </c>
      <c r="H77">
        <f t="shared" si="11"/>
        <v>154</v>
      </c>
      <c r="I77" s="3">
        <f t="shared" si="12"/>
        <v>116.88311688311688</v>
      </c>
      <c r="J77" t="str">
        <f t="shared" si="13"/>
        <v>F</v>
      </c>
    </row>
    <row r="78" spans="1:10" hidden="1" x14ac:dyDescent="0.25">
      <c r="A78" s="4" t="s">
        <v>78</v>
      </c>
      <c r="B78" s="1">
        <v>0.39455000000000001</v>
      </c>
      <c r="C78" s="1">
        <v>0.39648600000000001</v>
      </c>
      <c r="D78" s="1">
        <f t="shared" si="7"/>
        <v>1.9359999999999933E-3</v>
      </c>
      <c r="E78">
        <f t="shared" si="8"/>
        <v>2</v>
      </c>
      <c r="F78">
        <f t="shared" si="9"/>
        <v>47</v>
      </c>
      <c r="G78">
        <f t="shared" si="10"/>
        <v>2.78</v>
      </c>
      <c r="H78">
        <f t="shared" si="11"/>
        <v>167</v>
      </c>
      <c r="I78" s="3">
        <f t="shared" si="12"/>
        <v>107.78443113772455</v>
      </c>
      <c r="J78" t="str">
        <f t="shared" si="13"/>
        <v>F</v>
      </c>
    </row>
    <row r="79" spans="1:10" hidden="1" x14ac:dyDescent="0.25">
      <c r="A79" s="4" t="s">
        <v>79</v>
      </c>
      <c r="B79" s="1">
        <v>0.26555499999999999</v>
      </c>
      <c r="C79" s="1">
        <v>0.26725100000000002</v>
      </c>
      <c r="D79" s="1">
        <f t="shared" si="7"/>
        <v>1.6960000000000308E-3</v>
      </c>
      <c r="E79">
        <f t="shared" si="8"/>
        <v>2</v>
      </c>
      <c r="F79">
        <f t="shared" si="9"/>
        <v>27</v>
      </c>
      <c r="G79">
        <f t="shared" si="10"/>
        <v>2.4500000000000002</v>
      </c>
      <c r="H79">
        <f t="shared" si="11"/>
        <v>147</v>
      </c>
      <c r="I79" s="3">
        <f t="shared" si="12"/>
        <v>122.44897959183673</v>
      </c>
      <c r="J79" t="str">
        <f t="shared" si="13"/>
        <v>F</v>
      </c>
    </row>
    <row r="80" spans="1:10" hidden="1" x14ac:dyDescent="0.25">
      <c r="A80" s="4" t="s">
        <v>80</v>
      </c>
      <c r="B80" s="1">
        <v>0.73143899999999995</v>
      </c>
      <c r="C80" s="1">
        <v>0.73288699999999996</v>
      </c>
      <c r="D80" s="1">
        <f t="shared" si="7"/>
        <v>1.4480000000000048E-3</v>
      </c>
      <c r="E80">
        <f t="shared" si="8"/>
        <v>2</v>
      </c>
      <c r="F80">
        <f t="shared" si="9"/>
        <v>5</v>
      </c>
      <c r="G80">
        <f t="shared" si="10"/>
        <v>2.08</v>
      </c>
      <c r="H80">
        <f t="shared" si="11"/>
        <v>125</v>
      </c>
      <c r="I80" s="3">
        <f t="shared" si="12"/>
        <v>144</v>
      </c>
      <c r="J80" t="str">
        <f t="shared" si="13"/>
        <v>F</v>
      </c>
    </row>
    <row r="81" spans="1:10" hidden="1" x14ac:dyDescent="0.25">
      <c r="A81" s="4" t="s">
        <v>81</v>
      </c>
      <c r="B81" s="1">
        <v>0.60814999999999997</v>
      </c>
      <c r="C81" s="1">
        <v>0.61146599999999995</v>
      </c>
      <c r="D81" s="1">
        <f t="shared" si="7"/>
        <v>3.3159999999999856E-3</v>
      </c>
      <c r="E81">
        <f t="shared" si="8"/>
        <v>4</v>
      </c>
      <c r="F81">
        <f t="shared" si="9"/>
        <v>47</v>
      </c>
      <c r="G81">
        <f t="shared" si="10"/>
        <v>4.78</v>
      </c>
      <c r="H81">
        <f t="shared" si="11"/>
        <v>287</v>
      </c>
      <c r="I81" s="3">
        <f t="shared" si="12"/>
        <v>62.717770034843205</v>
      </c>
      <c r="J81" t="str">
        <f t="shared" si="13"/>
        <v>F</v>
      </c>
    </row>
    <row r="82" spans="1:10" hidden="1" x14ac:dyDescent="0.25">
      <c r="A82" s="4" t="s">
        <v>82</v>
      </c>
      <c r="B82" s="1">
        <v>0.78575300000000003</v>
      </c>
      <c r="C82" s="1">
        <v>0.789157</v>
      </c>
      <c r="D82" s="1">
        <f t="shared" si="7"/>
        <v>3.4039999999999626E-3</v>
      </c>
      <c r="E82">
        <f t="shared" si="8"/>
        <v>4</v>
      </c>
      <c r="F82">
        <f t="shared" si="9"/>
        <v>54</v>
      </c>
      <c r="G82">
        <f t="shared" si="10"/>
        <v>4.9000000000000004</v>
      </c>
      <c r="H82">
        <f t="shared" si="11"/>
        <v>294</v>
      </c>
      <c r="I82" s="3">
        <f t="shared" si="12"/>
        <v>61.224489795918366</v>
      </c>
      <c r="J82" t="str">
        <f t="shared" si="13"/>
        <v>F</v>
      </c>
    </row>
    <row r="83" spans="1:10" hidden="1" x14ac:dyDescent="0.25">
      <c r="A83" s="4" t="s">
        <v>83</v>
      </c>
      <c r="B83" s="1">
        <v>0.80414699999999995</v>
      </c>
      <c r="C83" s="1">
        <v>0.80682699999999996</v>
      </c>
      <c r="D83" s="1">
        <f t="shared" si="7"/>
        <v>2.6800000000000157E-3</v>
      </c>
      <c r="E83">
        <f t="shared" si="8"/>
        <v>3</v>
      </c>
      <c r="F83">
        <f t="shared" si="9"/>
        <v>52</v>
      </c>
      <c r="G83">
        <f t="shared" si="10"/>
        <v>3.87</v>
      </c>
      <c r="H83">
        <f t="shared" si="11"/>
        <v>232</v>
      </c>
      <c r="I83" s="3">
        <f t="shared" si="12"/>
        <v>77.58620689655173</v>
      </c>
      <c r="J83" t="str">
        <f t="shared" si="13"/>
        <v>F</v>
      </c>
    </row>
    <row r="84" spans="1:10" hidden="1" x14ac:dyDescent="0.25">
      <c r="A84" s="4" t="s">
        <v>84</v>
      </c>
      <c r="B84" s="1">
        <v>0.23138</v>
      </c>
      <c r="C84" s="1">
        <v>0.23502799999999999</v>
      </c>
      <c r="D84" s="1">
        <f t="shared" si="7"/>
        <v>3.6479999999999846E-3</v>
      </c>
      <c r="E84">
        <f t="shared" si="8"/>
        <v>5</v>
      </c>
      <c r="F84">
        <f t="shared" si="9"/>
        <v>15</v>
      </c>
      <c r="G84">
        <f t="shared" si="10"/>
        <v>5.25</v>
      </c>
      <c r="H84">
        <f t="shared" si="11"/>
        <v>315</v>
      </c>
      <c r="I84" s="3">
        <f t="shared" si="12"/>
        <v>57.142857142857146</v>
      </c>
      <c r="J84" t="str">
        <f t="shared" si="13"/>
        <v>F</v>
      </c>
    </row>
    <row r="85" spans="1:10" hidden="1" x14ac:dyDescent="0.25">
      <c r="A85" s="4" t="s">
        <v>85</v>
      </c>
      <c r="B85" s="1">
        <v>0.49402400000000002</v>
      </c>
      <c r="C85" s="1">
        <v>0.49656800000000001</v>
      </c>
      <c r="D85" s="1">
        <f t="shared" si="7"/>
        <v>2.5439999999999907E-3</v>
      </c>
      <c r="E85">
        <f t="shared" si="8"/>
        <v>3</v>
      </c>
      <c r="F85">
        <f t="shared" si="9"/>
        <v>40</v>
      </c>
      <c r="G85">
        <f t="shared" si="10"/>
        <v>3.67</v>
      </c>
      <c r="H85">
        <f t="shared" si="11"/>
        <v>220</v>
      </c>
      <c r="I85" s="3">
        <f t="shared" si="12"/>
        <v>81.818181818181813</v>
      </c>
      <c r="J85" t="str">
        <f t="shared" si="13"/>
        <v>F</v>
      </c>
    </row>
    <row r="86" spans="1:10" x14ac:dyDescent="0.25">
      <c r="A86" s="7" t="s">
        <v>86</v>
      </c>
      <c r="B86" s="1">
        <v>0.386492</v>
      </c>
      <c r="C86" s="1">
        <v>0.38474799999999998</v>
      </c>
      <c r="D86" s="1">
        <f t="shared" si="7"/>
        <v>1.7440000000000233E-3</v>
      </c>
      <c r="E86">
        <f t="shared" si="8"/>
        <v>2</v>
      </c>
      <c r="F86">
        <f t="shared" si="9"/>
        <v>31</v>
      </c>
      <c r="G86">
        <f t="shared" si="10"/>
        <v>2.52</v>
      </c>
      <c r="H86">
        <f t="shared" si="11"/>
        <v>151</v>
      </c>
      <c r="I86" s="6">
        <f t="shared" si="12"/>
        <v>119.20529801324504</v>
      </c>
      <c r="J86" t="str">
        <f t="shared" si="13"/>
        <v>T</v>
      </c>
    </row>
    <row r="87" spans="1:10" hidden="1" x14ac:dyDescent="0.25">
      <c r="A87" s="4" t="s">
        <v>87</v>
      </c>
      <c r="B87" s="1">
        <v>0.14188400000000001</v>
      </c>
      <c r="C87" s="1">
        <v>0.14574799999999999</v>
      </c>
      <c r="D87" s="1">
        <f t="shared" si="7"/>
        <v>3.8639999999999786E-3</v>
      </c>
      <c r="E87">
        <f t="shared" si="8"/>
        <v>5</v>
      </c>
      <c r="F87">
        <f t="shared" si="9"/>
        <v>34</v>
      </c>
      <c r="G87">
        <f t="shared" si="10"/>
        <v>5.57</v>
      </c>
      <c r="H87">
        <f t="shared" si="11"/>
        <v>334</v>
      </c>
      <c r="I87" s="3">
        <f t="shared" si="12"/>
        <v>53.892215568862277</v>
      </c>
      <c r="J87" t="str">
        <f t="shared" si="13"/>
        <v>F</v>
      </c>
    </row>
    <row r="88" spans="1:10" hidden="1" x14ac:dyDescent="0.25">
      <c r="A88" s="4" t="s">
        <v>88</v>
      </c>
      <c r="B88" s="1">
        <v>0.54971199999999998</v>
      </c>
      <c r="C88" s="1">
        <v>0.54660399999999998</v>
      </c>
      <c r="D88" s="1">
        <f t="shared" si="7"/>
        <v>3.1079999999999997E-3</v>
      </c>
      <c r="E88">
        <f t="shared" si="8"/>
        <v>4</v>
      </c>
      <c r="F88">
        <f t="shared" si="9"/>
        <v>29</v>
      </c>
      <c r="G88">
        <f t="shared" si="10"/>
        <v>4.4800000000000004</v>
      </c>
      <c r="H88">
        <f t="shared" si="11"/>
        <v>269</v>
      </c>
      <c r="I88" s="3">
        <f t="shared" si="12"/>
        <v>66.914498141263948</v>
      </c>
      <c r="J88" t="str">
        <f t="shared" si="13"/>
        <v>F</v>
      </c>
    </row>
    <row r="89" spans="1:10" hidden="1" x14ac:dyDescent="0.25">
      <c r="A89" s="4" t="s">
        <v>89</v>
      </c>
      <c r="B89" s="1">
        <v>0.90169999999999995</v>
      </c>
      <c r="C89" s="1">
        <v>0.90521200000000002</v>
      </c>
      <c r="D89" s="1">
        <f t="shared" si="7"/>
        <v>3.5120000000000706E-3</v>
      </c>
      <c r="E89">
        <f t="shared" si="8"/>
        <v>5</v>
      </c>
      <c r="F89">
        <f t="shared" si="9"/>
        <v>3</v>
      </c>
      <c r="G89">
        <f t="shared" si="10"/>
        <v>5.05</v>
      </c>
      <c r="H89">
        <f t="shared" si="11"/>
        <v>303</v>
      </c>
      <c r="I89" s="3">
        <f t="shared" si="12"/>
        <v>59.405940594059402</v>
      </c>
      <c r="J89" t="str">
        <f t="shared" si="13"/>
        <v>F</v>
      </c>
    </row>
    <row r="90" spans="1:10" hidden="1" x14ac:dyDescent="0.25">
      <c r="A90" s="4" t="s">
        <v>90</v>
      </c>
      <c r="B90" s="1">
        <v>2.0478E-2</v>
      </c>
      <c r="C90" s="1">
        <v>1.7805999999999999E-2</v>
      </c>
      <c r="D90" s="1">
        <f t="shared" si="7"/>
        <v>2.6720000000000008E-3</v>
      </c>
      <c r="E90">
        <f t="shared" si="8"/>
        <v>3</v>
      </c>
      <c r="F90">
        <f t="shared" si="9"/>
        <v>51</v>
      </c>
      <c r="G90">
        <f t="shared" si="10"/>
        <v>3.85</v>
      </c>
      <c r="H90">
        <f t="shared" si="11"/>
        <v>231</v>
      </c>
      <c r="I90" s="3">
        <f t="shared" si="12"/>
        <v>77.922077922077918</v>
      </c>
      <c r="J90" t="str">
        <f t="shared" si="13"/>
        <v>F</v>
      </c>
    </row>
    <row r="91" spans="1:10" hidden="1" x14ac:dyDescent="0.25">
      <c r="A91" s="4" t="s">
        <v>91</v>
      </c>
      <c r="B91" s="1">
        <v>0.52953499999999998</v>
      </c>
      <c r="C91" s="1">
        <v>0.52674299999999996</v>
      </c>
      <c r="D91" s="1">
        <f t="shared" si="7"/>
        <v>2.7920000000000167E-3</v>
      </c>
      <c r="E91">
        <f t="shared" si="8"/>
        <v>4</v>
      </c>
      <c r="F91">
        <f t="shared" si="9"/>
        <v>1</v>
      </c>
      <c r="G91">
        <f t="shared" si="10"/>
        <v>4.0199999999999996</v>
      </c>
      <c r="H91">
        <f t="shared" si="11"/>
        <v>241</v>
      </c>
      <c r="I91" s="3">
        <f t="shared" si="12"/>
        <v>74.68879668049793</v>
      </c>
      <c r="J91" t="str">
        <f t="shared" si="13"/>
        <v>F</v>
      </c>
    </row>
    <row r="92" spans="1:10" hidden="1" x14ac:dyDescent="0.25">
      <c r="A92" s="4" t="s">
        <v>92</v>
      </c>
      <c r="B92" s="1">
        <v>0.53350699999999995</v>
      </c>
      <c r="C92" s="1">
        <v>0.53640699999999997</v>
      </c>
      <c r="D92" s="1">
        <f t="shared" si="7"/>
        <v>2.9000000000000137E-3</v>
      </c>
      <c r="E92">
        <f t="shared" si="8"/>
        <v>4</v>
      </c>
      <c r="F92">
        <f t="shared" si="9"/>
        <v>11</v>
      </c>
      <c r="G92">
        <f t="shared" si="10"/>
        <v>4.18</v>
      </c>
      <c r="H92">
        <f t="shared" si="11"/>
        <v>251</v>
      </c>
      <c r="I92" s="3">
        <f t="shared" si="12"/>
        <v>71.713147410358559</v>
      </c>
      <c r="J92" t="str">
        <f t="shared" si="13"/>
        <v>F</v>
      </c>
    </row>
    <row r="93" spans="1:10" hidden="1" x14ac:dyDescent="0.25">
      <c r="A93" s="4" t="s">
        <v>93</v>
      </c>
      <c r="B93" s="1">
        <v>0.24371599999999999</v>
      </c>
      <c r="C93" s="1">
        <v>0.24526400000000001</v>
      </c>
      <c r="D93" s="1">
        <f t="shared" si="7"/>
        <v>1.5480000000000216E-3</v>
      </c>
      <c r="E93">
        <f t="shared" si="8"/>
        <v>2</v>
      </c>
      <c r="F93">
        <f t="shared" si="9"/>
        <v>14</v>
      </c>
      <c r="G93">
        <f t="shared" si="10"/>
        <v>2.23</v>
      </c>
      <c r="H93">
        <f t="shared" si="11"/>
        <v>134</v>
      </c>
      <c r="I93" s="3">
        <f t="shared" si="12"/>
        <v>134.32835820895522</v>
      </c>
      <c r="J93" t="str">
        <f t="shared" si="13"/>
        <v>F</v>
      </c>
    </row>
    <row r="94" spans="1:10" hidden="1" x14ac:dyDescent="0.25">
      <c r="A94" s="4" t="s">
        <v>94</v>
      </c>
      <c r="B94" s="1">
        <v>0.94168399999999997</v>
      </c>
      <c r="C94" s="1">
        <v>0.94411999999999996</v>
      </c>
      <c r="D94" s="1">
        <f t="shared" si="7"/>
        <v>2.4359999999999937E-3</v>
      </c>
      <c r="E94">
        <f t="shared" si="8"/>
        <v>3</v>
      </c>
      <c r="F94">
        <f t="shared" si="9"/>
        <v>30</v>
      </c>
      <c r="G94">
        <f t="shared" si="10"/>
        <v>3.5</v>
      </c>
      <c r="H94">
        <f t="shared" si="11"/>
        <v>210</v>
      </c>
      <c r="I94" s="3">
        <f t="shared" si="12"/>
        <v>85.714285714285708</v>
      </c>
      <c r="J94" t="str">
        <f t="shared" si="13"/>
        <v>F</v>
      </c>
    </row>
    <row r="95" spans="1:10" hidden="1" x14ac:dyDescent="0.25">
      <c r="A95" s="4" t="s">
        <v>95</v>
      </c>
      <c r="B95" s="1">
        <v>2.5318E-2</v>
      </c>
      <c r="C95" s="1">
        <v>2.8625999999999999E-2</v>
      </c>
      <c r="D95" s="1">
        <f t="shared" si="7"/>
        <v>3.3079999999999984E-3</v>
      </c>
      <c r="E95">
        <f t="shared" si="8"/>
        <v>4</v>
      </c>
      <c r="F95">
        <f t="shared" si="9"/>
        <v>46</v>
      </c>
      <c r="G95">
        <f t="shared" si="10"/>
        <v>4.7699999999999996</v>
      </c>
      <c r="H95">
        <f t="shared" si="11"/>
        <v>286</v>
      </c>
      <c r="I95" s="3">
        <f t="shared" si="12"/>
        <v>62.937062937062933</v>
      </c>
      <c r="J95" t="str">
        <f t="shared" si="13"/>
        <v>F</v>
      </c>
    </row>
    <row r="96" spans="1:10" hidden="1" x14ac:dyDescent="0.25">
      <c r="A96" s="4" t="s">
        <v>96</v>
      </c>
      <c r="B96" s="1">
        <v>0.116232</v>
      </c>
      <c r="C96" s="1">
        <v>0.11791600000000001</v>
      </c>
      <c r="D96" s="1">
        <f t="shared" si="7"/>
        <v>1.6840000000000049E-3</v>
      </c>
      <c r="E96">
        <f t="shared" si="8"/>
        <v>2</v>
      </c>
      <c r="F96">
        <f t="shared" si="9"/>
        <v>25</v>
      </c>
      <c r="G96">
        <f t="shared" si="10"/>
        <v>2.42</v>
      </c>
      <c r="H96">
        <f t="shared" si="11"/>
        <v>145</v>
      </c>
      <c r="I96" s="3">
        <f t="shared" si="12"/>
        <v>124.13793103448276</v>
      </c>
      <c r="J96" t="str">
        <f t="shared" si="13"/>
        <v>F</v>
      </c>
    </row>
    <row r="97" spans="1:10" hidden="1" x14ac:dyDescent="0.25">
      <c r="A97" s="4" t="s">
        <v>97</v>
      </c>
      <c r="B97" s="1">
        <v>0.51822299999999999</v>
      </c>
      <c r="C97" s="1">
        <v>0.52104300000000003</v>
      </c>
      <c r="D97" s="1">
        <f t="shared" si="7"/>
        <v>2.8200000000000447E-3</v>
      </c>
      <c r="E97">
        <f t="shared" si="8"/>
        <v>4</v>
      </c>
      <c r="F97">
        <f t="shared" si="9"/>
        <v>4</v>
      </c>
      <c r="G97">
        <f t="shared" si="10"/>
        <v>4.07</v>
      </c>
      <c r="H97">
        <f t="shared" si="11"/>
        <v>244</v>
      </c>
      <c r="I97" s="3">
        <f t="shared" si="12"/>
        <v>73.770491803278688</v>
      </c>
      <c r="J97" t="str">
        <f t="shared" si="13"/>
        <v>F</v>
      </c>
    </row>
    <row r="98" spans="1:10" hidden="1" x14ac:dyDescent="0.25">
      <c r="A98" s="4" t="s">
        <v>98</v>
      </c>
      <c r="B98" s="1">
        <v>0.56562500000000004</v>
      </c>
      <c r="C98" s="1">
        <v>0.56870900000000002</v>
      </c>
      <c r="D98" s="1">
        <f t="shared" si="7"/>
        <v>3.0839999999999756E-3</v>
      </c>
      <c r="E98">
        <f t="shared" si="8"/>
        <v>4</v>
      </c>
      <c r="F98">
        <f t="shared" si="9"/>
        <v>26</v>
      </c>
      <c r="G98">
        <f t="shared" si="10"/>
        <v>4.43</v>
      </c>
      <c r="H98">
        <f t="shared" si="11"/>
        <v>266</v>
      </c>
      <c r="I98" s="3">
        <f t="shared" si="12"/>
        <v>67.669172932330824</v>
      </c>
      <c r="J98" t="str">
        <f t="shared" si="13"/>
        <v>F</v>
      </c>
    </row>
    <row r="99" spans="1:10" hidden="1" x14ac:dyDescent="0.25">
      <c r="A99" s="4" t="s">
        <v>99</v>
      </c>
      <c r="B99" s="1">
        <v>0.44529800000000003</v>
      </c>
      <c r="C99" s="1">
        <v>0.44776199999999999</v>
      </c>
      <c r="D99" s="1">
        <f t="shared" si="7"/>
        <v>2.4639999999999662E-3</v>
      </c>
      <c r="E99">
        <f t="shared" si="8"/>
        <v>3</v>
      </c>
      <c r="F99">
        <f t="shared" si="9"/>
        <v>33</v>
      </c>
      <c r="G99">
        <f t="shared" si="10"/>
        <v>3.55</v>
      </c>
      <c r="H99">
        <f t="shared" si="11"/>
        <v>213</v>
      </c>
      <c r="I99" s="3">
        <f t="shared" si="12"/>
        <v>84.507042253521121</v>
      </c>
      <c r="J99" t="str">
        <f t="shared" si="13"/>
        <v>F</v>
      </c>
    </row>
    <row r="100" spans="1:10" hidden="1" x14ac:dyDescent="0.25">
      <c r="A100" s="4" t="s">
        <v>100</v>
      </c>
      <c r="B100" s="1">
        <v>0.76018399999999997</v>
      </c>
      <c r="C100" s="1">
        <v>0.75855600000000001</v>
      </c>
      <c r="D100" s="1">
        <f t="shared" si="7"/>
        <v>1.6279999999999628E-3</v>
      </c>
      <c r="E100">
        <f t="shared" si="8"/>
        <v>2</v>
      </c>
      <c r="F100">
        <f t="shared" si="9"/>
        <v>21</v>
      </c>
      <c r="G100">
        <f t="shared" si="10"/>
        <v>2.35</v>
      </c>
      <c r="H100">
        <f t="shared" si="11"/>
        <v>141</v>
      </c>
      <c r="I100" s="3">
        <f t="shared" si="12"/>
        <v>127.65957446808511</v>
      </c>
      <c r="J100" t="str">
        <f t="shared" si="13"/>
        <v>F</v>
      </c>
    </row>
    <row r="101" spans="1:10" hidden="1" x14ac:dyDescent="0.25">
      <c r="A101" s="4" t="s">
        <v>101</v>
      </c>
      <c r="B101" s="1">
        <v>0.84344600000000003</v>
      </c>
      <c r="C101" s="1">
        <v>0.84693399999999996</v>
      </c>
      <c r="D101" s="1">
        <f t="shared" si="7"/>
        <v>3.4879999999999356E-3</v>
      </c>
      <c r="E101">
        <f t="shared" si="8"/>
        <v>5</v>
      </c>
      <c r="F101">
        <f t="shared" si="9"/>
        <v>1</v>
      </c>
      <c r="G101">
        <f t="shared" si="10"/>
        <v>5.0199999999999996</v>
      </c>
      <c r="H101">
        <f t="shared" si="11"/>
        <v>301</v>
      </c>
      <c r="I101" s="3">
        <f t="shared" si="12"/>
        <v>59.800664451827245</v>
      </c>
      <c r="J101" t="str">
        <f t="shared" si="13"/>
        <v>F</v>
      </c>
    </row>
    <row r="102" spans="1:10" hidden="1" x14ac:dyDescent="0.25">
      <c r="A102" s="4" t="s">
        <v>102</v>
      </c>
      <c r="B102" s="1">
        <v>0.31938899999999998</v>
      </c>
      <c r="C102" s="1">
        <v>0.31539299999999998</v>
      </c>
      <c r="D102" s="1">
        <f t="shared" si="7"/>
        <v>3.9959999999999996E-3</v>
      </c>
      <c r="E102">
        <f t="shared" si="8"/>
        <v>5</v>
      </c>
      <c r="F102">
        <f t="shared" si="9"/>
        <v>45</v>
      </c>
      <c r="G102">
        <f t="shared" si="10"/>
        <v>5.75</v>
      </c>
      <c r="H102">
        <f t="shared" si="11"/>
        <v>345</v>
      </c>
      <c r="I102" s="3">
        <f t="shared" si="12"/>
        <v>52.173913043478265</v>
      </c>
      <c r="J102" t="str">
        <f t="shared" si="13"/>
        <v>F</v>
      </c>
    </row>
    <row r="103" spans="1:10" hidden="1" x14ac:dyDescent="0.25">
      <c r="A103" s="4" t="s">
        <v>103</v>
      </c>
      <c r="B103" s="1">
        <v>0.95169999999999999</v>
      </c>
      <c r="C103" s="1">
        <v>0.95000399999999996</v>
      </c>
      <c r="D103" s="1">
        <f t="shared" si="7"/>
        <v>1.6960000000000308E-3</v>
      </c>
      <c r="E103">
        <f t="shared" si="8"/>
        <v>2</v>
      </c>
      <c r="F103">
        <f t="shared" si="9"/>
        <v>27</v>
      </c>
      <c r="G103">
        <f t="shared" si="10"/>
        <v>2.4500000000000002</v>
      </c>
      <c r="H103">
        <f t="shared" si="11"/>
        <v>147</v>
      </c>
      <c r="I103" s="3">
        <f t="shared" si="12"/>
        <v>122.44897959183673</v>
      </c>
      <c r="J103" t="str">
        <f t="shared" si="13"/>
        <v>F</v>
      </c>
    </row>
    <row r="104" spans="1:10" hidden="1" x14ac:dyDescent="0.25">
      <c r="A104" s="4" t="s">
        <v>104</v>
      </c>
      <c r="B104" s="1">
        <v>0.59223499999999996</v>
      </c>
      <c r="C104" s="1">
        <v>0.59553500000000004</v>
      </c>
      <c r="D104" s="1">
        <f t="shared" si="7"/>
        <v>3.3000000000000806E-3</v>
      </c>
      <c r="E104">
        <f t="shared" si="8"/>
        <v>4</v>
      </c>
      <c r="F104">
        <f t="shared" si="9"/>
        <v>45</v>
      </c>
      <c r="G104">
        <f t="shared" si="10"/>
        <v>4.75</v>
      </c>
      <c r="H104">
        <f t="shared" si="11"/>
        <v>285</v>
      </c>
      <c r="I104" s="3">
        <f t="shared" si="12"/>
        <v>63.15789473684211</v>
      </c>
      <c r="J104" t="str">
        <f t="shared" si="13"/>
        <v>F</v>
      </c>
    </row>
    <row r="105" spans="1:10" hidden="1" x14ac:dyDescent="0.25">
      <c r="A105" s="4" t="s">
        <v>105</v>
      </c>
      <c r="B105" s="1">
        <v>0.30809599999999998</v>
      </c>
      <c r="C105" s="1">
        <v>0.30620399999999998</v>
      </c>
      <c r="D105" s="1">
        <f t="shared" si="7"/>
        <v>1.8920000000000048E-3</v>
      </c>
      <c r="E105">
        <f t="shared" si="8"/>
        <v>2</v>
      </c>
      <c r="F105">
        <f t="shared" si="9"/>
        <v>43</v>
      </c>
      <c r="G105">
        <f t="shared" si="10"/>
        <v>2.72</v>
      </c>
      <c r="H105">
        <f t="shared" si="11"/>
        <v>163</v>
      </c>
      <c r="I105" s="3">
        <f t="shared" si="12"/>
        <v>110.42944785276075</v>
      </c>
      <c r="J105" t="str">
        <f t="shared" si="13"/>
        <v>F</v>
      </c>
    </row>
    <row r="106" spans="1:10" hidden="1" x14ac:dyDescent="0.25">
      <c r="A106" s="4" t="s">
        <v>106</v>
      </c>
      <c r="B106" s="1">
        <v>9.7731999999999999E-2</v>
      </c>
      <c r="C106" s="1">
        <v>9.4488000000000003E-2</v>
      </c>
      <c r="D106" s="1">
        <f t="shared" si="7"/>
        <v>3.2439999999999969E-3</v>
      </c>
      <c r="E106">
        <f t="shared" si="8"/>
        <v>4</v>
      </c>
      <c r="F106">
        <f t="shared" si="9"/>
        <v>40</v>
      </c>
      <c r="G106">
        <f t="shared" si="10"/>
        <v>4.67</v>
      </c>
      <c r="H106">
        <f t="shared" si="11"/>
        <v>280</v>
      </c>
      <c r="I106" s="3">
        <f t="shared" si="12"/>
        <v>64.285714285714292</v>
      </c>
      <c r="J106" t="str">
        <f t="shared" si="13"/>
        <v>F</v>
      </c>
    </row>
    <row r="107" spans="1:10" hidden="1" x14ac:dyDescent="0.25">
      <c r="A107" s="4" t="s">
        <v>107</v>
      </c>
      <c r="B107" s="1">
        <v>0.66037100000000004</v>
      </c>
      <c r="C107" s="1">
        <v>0.65702700000000003</v>
      </c>
      <c r="D107" s="1">
        <f t="shared" si="7"/>
        <v>3.3440000000000136E-3</v>
      </c>
      <c r="E107">
        <f t="shared" si="8"/>
        <v>4</v>
      </c>
      <c r="F107">
        <f t="shared" si="9"/>
        <v>49</v>
      </c>
      <c r="G107">
        <f t="shared" si="10"/>
        <v>4.82</v>
      </c>
      <c r="H107">
        <f t="shared" si="11"/>
        <v>289</v>
      </c>
      <c r="I107" s="3">
        <f t="shared" si="12"/>
        <v>62.283737024221459</v>
      </c>
      <c r="J107" t="str">
        <f t="shared" si="13"/>
        <v>F</v>
      </c>
    </row>
    <row r="108" spans="1:10" hidden="1" x14ac:dyDescent="0.25">
      <c r="A108" s="4" t="s">
        <v>108</v>
      </c>
      <c r="B108" s="1">
        <v>2.9668E-2</v>
      </c>
      <c r="C108" s="1">
        <v>3.2876000000000002E-2</v>
      </c>
      <c r="D108" s="1">
        <f t="shared" si="7"/>
        <v>3.2080000000000025E-3</v>
      </c>
      <c r="E108">
        <f t="shared" si="8"/>
        <v>4</v>
      </c>
      <c r="F108">
        <f t="shared" si="9"/>
        <v>37</v>
      </c>
      <c r="G108">
        <f t="shared" si="10"/>
        <v>4.62</v>
      </c>
      <c r="H108">
        <f t="shared" si="11"/>
        <v>277</v>
      </c>
      <c r="I108" s="3">
        <f t="shared" si="12"/>
        <v>64.981949458483754</v>
      </c>
      <c r="J108" t="str">
        <f t="shared" si="13"/>
        <v>F</v>
      </c>
    </row>
    <row r="109" spans="1:10" hidden="1" x14ac:dyDescent="0.25">
      <c r="A109" s="4" t="s">
        <v>109</v>
      </c>
      <c r="B109" s="1">
        <v>0.73365199999999997</v>
      </c>
      <c r="C109" s="1">
        <v>0.73118000000000005</v>
      </c>
      <c r="D109" s="1">
        <f t="shared" si="7"/>
        <v>2.4719999999999187E-3</v>
      </c>
      <c r="E109">
        <f t="shared" si="8"/>
        <v>3</v>
      </c>
      <c r="F109">
        <f t="shared" si="9"/>
        <v>34</v>
      </c>
      <c r="G109">
        <f t="shared" si="10"/>
        <v>3.57</v>
      </c>
      <c r="H109">
        <f t="shared" si="11"/>
        <v>214</v>
      </c>
      <c r="I109" s="3">
        <f t="shared" si="12"/>
        <v>84.112149532710276</v>
      </c>
      <c r="J109" t="str">
        <f t="shared" si="13"/>
        <v>F</v>
      </c>
    </row>
    <row r="110" spans="1:10" hidden="1" x14ac:dyDescent="0.25">
      <c r="A110" s="4" t="s">
        <v>110</v>
      </c>
      <c r="B110" s="1">
        <v>0.167017</v>
      </c>
      <c r="C110" s="1">
        <v>0.16538900000000001</v>
      </c>
      <c r="D110" s="1">
        <f t="shared" si="7"/>
        <v>1.6279999999999906E-3</v>
      </c>
      <c r="E110">
        <f t="shared" si="8"/>
        <v>2</v>
      </c>
      <c r="F110">
        <f t="shared" si="9"/>
        <v>21</v>
      </c>
      <c r="G110">
        <f t="shared" si="10"/>
        <v>2.35</v>
      </c>
      <c r="H110">
        <f t="shared" si="11"/>
        <v>141</v>
      </c>
      <c r="I110" s="3">
        <f t="shared" si="12"/>
        <v>127.65957446808511</v>
      </c>
      <c r="J110" t="str">
        <f t="shared" si="13"/>
        <v>F</v>
      </c>
    </row>
    <row r="111" spans="1:10" hidden="1" x14ac:dyDescent="0.25">
      <c r="A111" s="4" t="s">
        <v>429</v>
      </c>
      <c r="B111" s="1">
        <v>0.85646699999999998</v>
      </c>
      <c r="C111" s="1">
        <v>0.85925499999999999</v>
      </c>
      <c r="D111" s="1">
        <f t="shared" si="7"/>
        <v>2.7880000000000127E-3</v>
      </c>
      <c r="E111">
        <f t="shared" si="8"/>
        <v>4</v>
      </c>
      <c r="F111">
        <f t="shared" si="9"/>
        <v>1</v>
      </c>
      <c r="G111">
        <f t="shared" si="10"/>
        <v>4.0199999999999996</v>
      </c>
      <c r="H111">
        <f t="shared" si="11"/>
        <v>241</v>
      </c>
      <c r="I111" s="3">
        <f t="shared" si="12"/>
        <v>74.68879668049793</v>
      </c>
      <c r="J111" t="str">
        <f t="shared" si="13"/>
        <v>F</v>
      </c>
    </row>
    <row r="112" spans="1:10" hidden="1" x14ac:dyDescent="0.25">
      <c r="A112" s="4" t="s">
        <v>111</v>
      </c>
      <c r="B112" s="1">
        <v>0.51173299999999999</v>
      </c>
      <c r="C112" s="1">
        <v>0.51459699999999997</v>
      </c>
      <c r="D112" s="1">
        <f t="shared" si="7"/>
        <v>2.8639999999999777E-3</v>
      </c>
      <c r="E112">
        <f t="shared" si="8"/>
        <v>4</v>
      </c>
      <c r="F112">
        <f t="shared" si="9"/>
        <v>7</v>
      </c>
      <c r="G112">
        <f t="shared" si="10"/>
        <v>4.12</v>
      </c>
      <c r="H112">
        <f t="shared" si="11"/>
        <v>247</v>
      </c>
      <c r="I112" s="3">
        <f t="shared" si="12"/>
        <v>72.874493927125513</v>
      </c>
      <c r="J112" t="str">
        <f t="shared" si="13"/>
        <v>F</v>
      </c>
    </row>
    <row r="113" spans="1:10" hidden="1" x14ac:dyDescent="0.25">
      <c r="A113" s="4" t="s">
        <v>112</v>
      </c>
      <c r="B113" s="1">
        <v>0.95174099999999995</v>
      </c>
      <c r="C113" s="1">
        <v>0.94936100000000001</v>
      </c>
      <c r="D113" s="1">
        <f t="shared" si="7"/>
        <v>2.3799999999999377E-3</v>
      </c>
      <c r="E113">
        <f t="shared" si="8"/>
        <v>3</v>
      </c>
      <c r="F113">
        <f t="shared" si="9"/>
        <v>26</v>
      </c>
      <c r="G113">
        <f t="shared" si="10"/>
        <v>3.43</v>
      </c>
      <c r="H113">
        <f t="shared" si="11"/>
        <v>206</v>
      </c>
      <c r="I113" s="3">
        <f t="shared" si="12"/>
        <v>87.378640776699029</v>
      </c>
      <c r="J113" t="str">
        <f t="shared" si="13"/>
        <v>F</v>
      </c>
    </row>
    <row r="114" spans="1:10" hidden="1" x14ac:dyDescent="0.25">
      <c r="A114" s="4" t="s">
        <v>113</v>
      </c>
      <c r="B114" s="1">
        <v>0.81435400000000002</v>
      </c>
      <c r="C114" s="1">
        <v>0.81171800000000005</v>
      </c>
      <c r="D114" s="1">
        <f t="shared" si="7"/>
        <v>2.6359999999999717E-3</v>
      </c>
      <c r="E114">
        <f t="shared" si="8"/>
        <v>3</v>
      </c>
      <c r="F114">
        <f t="shared" si="9"/>
        <v>48</v>
      </c>
      <c r="G114">
        <f t="shared" si="10"/>
        <v>3.8</v>
      </c>
      <c r="H114">
        <f t="shared" si="11"/>
        <v>228</v>
      </c>
      <c r="I114" s="3">
        <f t="shared" si="12"/>
        <v>78.94736842105263</v>
      </c>
      <c r="J114" t="str">
        <f t="shared" si="13"/>
        <v>F</v>
      </c>
    </row>
    <row r="115" spans="1:10" hidden="1" x14ac:dyDescent="0.25">
      <c r="A115" s="4" t="s">
        <v>114</v>
      </c>
      <c r="B115" s="1">
        <v>0.46311099999999999</v>
      </c>
      <c r="C115" s="1">
        <v>0.45991500000000002</v>
      </c>
      <c r="D115" s="1">
        <f t="shared" si="7"/>
        <v>3.1959999999999766E-3</v>
      </c>
      <c r="E115">
        <f t="shared" si="8"/>
        <v>4</v>
      </c>
      <c r="F115">
        <f t="shared" si="9"/>
        <v>36</v>
      </c>
      <c r="G115">
        <f t="shared" si="10"/>
        <v>4.5999999999999996</v>
      </c>
      <c r="H115">
        <f t="shared" si="11"/>
        <v>276</v>
      </c>
      <c r="I115" s="3">
        <f t="shared" si="12"/>
        <v>65.217391304347828</v>
      </c>
      <c r="J115" t="str">
        <f t="shared" si="13"/>
        <v>F</v>
      </c>
    </row>
    <row r="116" spans="1:10" hidden="1" x14ac:dyDescent="0.25">
      <c r="A116" s="4" t="s">
        <v>115</v>
      </c>
      <c r="B116" s="1">
        <v>3.1198E-2</v>
      </c>
      <c r="C116" s="1">
        <v>2.9186E-2</v>
      </c>
      <c r="D116" s="1">
        <f t="shared" si="7"/>
        <v>2.0119999999999999E-3</v>
      </c>
      <c r="E116">
        <f t="shared" si="8"/>
        <v>2</v>
      </c>
      <c r="F116">
        <f t="shared" si="9"/>
        <v>54</v>
      </c>
      <c r="G116">
        <f t="shared" si="10"/>
        <v>2.9</v>
      </c>
      <c r="H116">
        <f t="shared" si="11"/>
        <v>174</v>
      </c>
      <c r="I116" s="3">
        <f t="shared" si="12"/>
        <v>103.44827586206897</v>
      </c>
      <c r="J116" t="str">
        <f t="shared" si="13"/>
        <v>F</v>
      </c>
    </row>
    <row r="117" spans="1:10" hidden="1" x14ac:dyDescent="0.25">
      <c r="A117" s="4" t="s">
        <v>116</v>
      </c>
      <c r="B117" s="1">
        <v>4.8832E-2</v>
      </c>
      <c r="C117" s="1">
        <v>5.0776000000000002E-2</v>
      </c>
      <c r="D117" s="1">
        <f t="shared" si="7"/>
        <v>1.9440000000000013E-3</v>
      </c>
      <c r="E117">
        <f t="shared" si="8"/>
        <v>2</v>
      </c>
      <c r="F117">
        <f t="shared" si="9"/>
        <v>48</v>
      </c>
      <c r="G117">
        <f t="shared" si="10"/>
        <v>2.8</v>
      </c>
      <c r="H117">
        <f t="shared" si="11"/>
        <v>168</v>
      </c>
      <c r="I117" s="3">
        <f t="shared" si="12"/>
        <v>107.14285714285714</v>
      </c>
      <c r="J117" t="str">
        <f t="shared" si="13"/>
        <v>F</v>
      </c>
    </row>
    <row r="118" spans="1:10" hidden="1" x14ac:dyDescent="0.25">
      <c r="A118" s="4" t="s">
        <v>75</v>
      </c>
      <c r="B118" s="1">
        <v>0.331623</v>
      </c>
      <c r="C118" s="1">
        <v>0.33379500000000001</v>
      </c>
      <c r="D118" s="1">
        <f t="shared" si="7"/>
        <v>2.1720000000000073E-3</v>
      </c>
      <c r="E118">
        <f t="shared" si="8"/>
        <v>3</v>
      </c>
      <c r="F118">
        <f t="shared" si="9"/>
        <v>8</v>
      </c>
      <c r="G118">
        <f t="shared" si="10"/>
        <v>3.13</v>
      </c>
      <c r="H118">
        <f t="shared" si="11"/>
        <v>188</v>
      </c>
      <c r="I118" s="3">
        <f t="shared" si="12"/>
        <v>95.744680851063833</v>
      </c>
      <c r="J118" t="str">
        <f t="shared" si="13"/>
        <v>F</v>
      </c>
    </row>
    <row r="119" spans="1:10" hidden="1" x14ac:dyDescent="0.25">
      <c r="A119" s="4" t="s">
        <v>117</v>
      </c>
      <c r="B119" s="1">
        <v>0.28364</v>
      </c>
      <c r="C119" s="1">
        <v>0.27990799999999999</v>
      </c>
      <c r="D119" s="1">
        <f t="shared" si="7"/>
        <v>3.7320000000000131E-3</v>
      </c>
      <c r="E119">
        <f t="shared" si="8"/>
        <v>5</v>
      </c>
      <c r="F119">
        <f t="shared" si="9"/>
        <v>22</v>
      </c>
      <c r="G119">
        <f t="shared" si="10"/>
        <v>5.37</v>
      </c>
      <c r="H119">
        <f t="shared" si="11"/>
        <v>322</v>
      </c>
      <c r="I119" s="3">
        <f t="shared" si="12"/>
        <v>55.900621118012424</v>
      </c>
      <c r="J119" t="str">
        <f t="shared" si="13"/>
        <v>F</v>
      </c>
    </row>
    <row r="120" spans="1:10" hidden="1" x14ac:dyDescent="0.25">
      <c r="A120" s="4" t="s">
        <v>118</v>
      </c>
      <c r="B120" s="1">
        <v>0.57245400000000002</v>
      </c>
      <c r="C120" s="1">
        <v>0.57566200000000001</v>
      </c>
      <c r="D120" s="1">
        <f t="shared" si="7"/>
        <v>3.2079999999999886E-3</v>
      </c>
      <c r="E120">
        <f t="shared" si="8"/>
        <v>4</v>
      </c>
      <c r="F120">
        <f t="shared" si="9"/>
        <v>37</v>
      </c>
      <c r="G120">
        <f t="shared" si="10"/>
        <v>4.62</v>
      </c>
      <c r="H120">
        <f t="shared" si="11"/>
        <v>277</v>
      </c>
      <c r="I120" s="3">
        <f t="shared" si="12"/>
        <v>64.981949458483754</v>
      </c>
      <c r="J120" t="str">
        <f t="shared" si="13"/>
        <v>F</v>
      </c>
    </row>
    <row r="121" spans="1:10" hidden="1" x14ac:dyDescent="0.25">
      <c r="A121" s="4" t="s">
        <v>119</v>
      </c>
      <c r="B121" s="1">
        <v>0.797157</v>
      </c>
      <c r="C121" s="1">
        <v>0.79524099999999998</v>
      </c>
      <c r="D121" s="1">
        <f t="shared" si="7"/>
        <v>1.9160000000000288E-3</v>
      </c>
      <c r="E121">
        <f t="shared" si="8"/>
        <v>2</v>
      </c>
      <c r="F121">
        <f t="shared" si="9"/>
        <v>46</v>
      </c>
      <c r="G121">
        <f t="shared" si="10"/>
        <v>2.77</v>
      </c>
      <c r="H121">
        <f t="shared" si="11"/>
        <v>166</v>
      </c>
      <c r="I121" s="3">
        <f t="shared" si="12"/>
        <v>108.43373493975903</v>
      </c>
      <c r="J121" t="str">
        <f t="shared" si="13"/>
        <v>F</v>
      </c>
    </row>
    <row r="122" spans="1:10" hidden="1" x14ac:dyDescent="0.25">
      <c r="A122" s="4" t="s">
        <v>120</v>
      </c>
      <c r="B122" s="1">
        <v>0.67288400000000004</v>
      </c>
      <c r="C122" s="1">
        <v>0.67135999999999996</v>
      </c>
      <c r="D122" s="1">
        <f t="shared" si="7"/>
        <v>1.5240000000000808E-3</v>
      </c>
      <c r="E122">
        <f t="shared" si="8"/>
        <v>2</v>
      </c>
      <c r="F122">
        <f t="shared" si="9"/>
        <v>12</v>
      </c>
      <c r="G122">
        <f t="shared" si="10"/>
        <v>2.2000000000000002</v>
      </c>
      <c r="H122">
        <f t="shared" si="11"/>
        <v>132</v>
      </c>
      <c r="I122" s="3">
        <f t="shared" si="12"/>
        <v>136.36363636363637</v>
      </c>
      <c r="J122" t="str">
        <f t="shared" si="13"/>
        <v>F</v>
      </c>
    </row>
    <row r="123" spans="1:10" hidden="1" x14ac:dyDescent="0.25">
      <c r="A123" s="4" t="s">
        <v>121</v>
      </c>
      <c r="B123" s="1">
        <v>0.62824999999999998</v>
      </c>
      <c r="C123" s="1">
        <v>0.62470999999999999</v>
      </c>
      <c r="D123" s="1">
        <f t="shared" si="7"/>
        <v>3.5399999999999876E-3</v>
      </c>
      <c r="E123">
        <f t="shared" si="8"/>
        <v>5</v>
      </c>
      <c r="F123">
        <f t="shared" si="9"/>
        <v>6</v>
      </c>
      <c r="G123">
        <f t="shared" si="10"/>
        <v>5.0999999999999996</v>
      </c>
      <c r="H123">
        <f t="shared" si="11"/>
        <v>306</v>
      </c>
      <c r="I123" s="3">
        <f t="shared" si="12"/>
        <v>58.82352941176471</v>
      </c>
      <c r="J123" t="str">
        <f t="shared" si="13"/>
        <v>F</v>
      </c>
    </row>
    <row r="124" spans="1:10" hidden="1" x14ac:dyDescent="0.25">
      <c r="A124" s="4" t="s">
        <v>122</v>
      </c>
      <c r="B124" s="1">
        <v>0.22853000000000001</v>
      </c>
      <c r="C124" s="1">
        <v>0.23114999999999999</v>
      </c>
      <c r="D124" s="1">
        <f t="shared" si="7"/>
        <v>2.6199999999999835E-3</v>
      </c>
      <c r="E124">
        <f t="shared" si="8"/>
        <v>3</v>
      </c>
      <c r="F124">
        <f t="shared" si="9"/>
        <v>46</v>
      </c>
      <c r="G124">
        <f t="shared" si="10"/>
        <v>3.77</v>
      </c>
      <c r="H124">
        <f t="shared" si="11"/>
        <v>226</v>
      </c>
      <c r="I124" s="3">
        <f t="shared" si="12"/>
        <v>79.646017699115049</v>
      </c>
      <c r="J124" t="str">
        <f t="shared" si="13"/>
        <v>F</v>
      </c>
    </row>
    <row r="125" spans="1:10" hidden="1" x14ac:dyDescent="0.25">
      <c r="A125" s="4" t="s">
        <v>123</v>
      </c>
      <c r="B125" s="1">
        <v>6.7060999999999996E-2</v>
      </c>
      <c r="C125" s="1">
        <v>7.0060999999999998E-2</v>
      </c>
      <c r="D125" s="1">
        <f t="shared" si="7"/>
        <v>3.0000000000000027E-3</v>
      </c>
      <c r="E125">
        <f t="shared" si="8"/>
        <v>4</v>
      </c>
      <c r="F125">
        <f t="shared" si="9"/>
        <v>19</v>
      </c>
      <c r="G125">
        <f t="shared" si="10"/>
        <v>4.32</v>
      </c>
      <c r="H125">
        <f t="shared" si="11"/>
        <v>259</v>
      </c>
      <c r="I125" s="3">
        <f t="shared" si="12"/>
        <v>69.498069498069498</v>
      </c>
      <c r="J125" t="str">
        <f t="shared" si="13"/>
        <v>F</v>
      </c>
    </row>
    <row r="126" spans="1:10" hidden="1" x14ac:dyDescent="0.25">
      <c r="A126" s="4" t="s">
        <v>124</v>
      </c>
      <c r="B126" s="1">
        <v>0.25201899999999999</v>
      </c>
      <c r="C126" s="1">
        <v>0.255247</v>
      </c>
      <c r="D126" s="1">
        <f t="shared" si="7"/>
        <v>3.2280000000000086E-3</v>
      </c>
      <c r="E126">
        <f t="shared" si="8"/>
        <v>4</v>
      </c>
      <c r="F126">
        <f t="shared" si="9"/>
        <v>39</v>
      </c>
      <c r="G126">
        <f t="shared" si="10"/>
        <v>4.6500000000000004</v>
      </c>
      <c r="H126">
        <f t="shared" si="11"/>
        <v>279</v>
      </c>
      <c r="I126" s="3">
        <f t="shared" si="12"/>
        <v>64.516129032258064</v>
      </c>
      <c r="J126" t="str">
        <f t="shared" si="13"/>
        <v>F</v>
      </c>
    </row>
    <row r="127" spans="1:10" hidden="1" x14ac:dyDescent="0.25">
      <c r="A127" s="4" t="s">
        <v>125</v>
      </c>
      <c r="B127" s="1">
        <v>0.37008999999999997</v>
      </c>
      <c r="C127" s="1">
        <v>0.368454</v>
      </c>
      <c r="D127" s="1">
        <f t="shared" si="7"/>
        <v>1.6359999999999708E-3</v>
      </c>
      <c r="E127">
        <f t="shared" si="8"/>
        <v>2</v>
      </c>
      <c r="F127">
        <f t="shared" si="9"/>
        <v>21</v>
      </c>
      <c r="G127">
        <f t="shared" si="10"/>
        <v>2.35</v>
      </c>
      <c r="H127">
        <f t="shared" si="11"/>
        <v>141</v>
      </c>
      <c r="I127" s="3">
        <f t="shared" si="12"/>
        <v>127.65957446808511</v>
      </c>
      <c r="J127" t="str">
        <f t="shared" si="13"/>
        <v>F</v>
      </c>
    </row>
    <row r="128" spans="1:10" hidden="1" x14ac:dyDescent="0.25">
      <c r="A128" s="4" t="s">
        <v>87</v>
      </c>
      <c r="B128" s="1">
        <v>0.98247899999999999</v>
      </c>
      <c r="C128" s="1">
        <v>0.98585100000000003</v>
      </c>
      <c r="D128" s="1">
        <f t="shared" si="7"/>
        <v>3.3720000000000416E-3</v>
      </c>
      <c r="E128">
        <f t="shared" si="8"/>
        <v>4</v>
      </c>
      <c r="F128">
        <f t="shared" si="9"/>
        <v>51</v>
      </c>
      <c r="G128">
        <f t="shared" si="10"/>
        <v>4.8499999999999996</v>
      </c>
      <c r="H128">
        <f t="shared" si="11"/>
        <v>291</v>
      </c>
      <c r="I128" s="3">
        <f t="shared" si="12"/>
        <v>61.855670103092784</v>
      </c>
      <c r="J128" t="str">
        <f t="shared" si="13"/>
        <v>F</v>
      </c>
    </row>
    <row r="129" spans="1:10" hidden="1" x14ac:dyDescent="0.25">
      <c r="A129" s="4" t="s">
        <v>126</v>
      </c>
      <c r="B129" s="1">
        <v>0.89384600000000003</v>
      </c>
      <c r="C129" s="1">
        <v>0.89706600000000003</v>
      </c>
      <c r="D129" s="1">
        <f t="shared" si="7"/>
        <v>3.2200000000000006E-3</v>
      </c>
      <c r="E129">
        <f t="shared" si="8"/>
        <v>4</v>
      </c>
      <c r="F129">
        <f t="shared" si="9"/>
        <v>38</v>
      </c>
      <c r="G129">
        <f t="shared" si="10"/>
        <v>4.63</v>
      </c>
      <c r="H129">
        <f t="shared" si="11"/>
        <v>278</v>
      </c>
      <c r="I129" s="3">
        <f t="shared" si="12"/>
        <v>64.748201438848923</v>
      </c>
      <c r="J129" t="str">
        <f t="shared" si="13"/>
        <v>F</v>
      </c>
    </row>
    <row r="130" spans="1:10" hidden="1" x14ac:dyDescent="0.25">
      <c r="A130" s="4" t="s">
        <v>127</v>
      </c>
      <c r="B130" s="1">
        <v>0.658308</v>
      </c>
      <c r="C130" s="1">
        <v>0.65516799999999997</v>
      </c>
      <c r="D130" s="1">
        <f t="shared" si="7"/>
        <v>3.1400000000000317E-3</v>
      </c>
      <c r="E130">
        <f t="shared" si="8"/>
        <v>4</v>
      </c>
      <c r="F130">
        <f t="shared" si="9"/>
        <v>31</v>
      </c>
      <c r="G130">
        <f t="shared" si="10"/>
        <v>4.5199999999999996</v>
      </c>
      <c r="H130">
        <f t="shared" si="11"/>
        <v>271</v>
      </c>
      <c r="I130" s="3">
        <f t="shared" si="12"/>
        <v>66.420664206642059</v>
      </c>
      <c r="J130" t="str">
        <f t="shared" si="13"/>
        <v>F</v>
      </c>
    </row>
    <row r="131" spans="1:10" hidden="1" x14ac:dyDescent="0.25">
      <c r="A131" s="4" t="s">
        <v>128</v>
      </c>
      <c r="B131" s="1">
        <v>0.32555600000000001</v>
      </c>
      <c r="C131" s="1">
        <v>0.327264</v>
      </c>
      <c r="D131" s="1">
        <f t="shared" ref="D131:D194" si="14">IF(B131&gt;C131,B131-C131,C131-B131)</f>
        <v>1.7079999999999873E-3</v>
      </c>
      <c r="E131">
        <f t="shared" ref="E131:E194" si="15">MINUTE(D131)</f>
        <v>2</v>
      </c>
      <c r="F131">
        <f t="shared" ref="F131:F194" si="16">SECOND(D131)</f>
        <v>28</v>
      </c>
      <c r="G131">
        <f t="shared" ref="G131:G194" si="17">ROUND(E131+F131/60,2)</f>
        <v>2.4700000000000002</v>
      </c>
      <c r="H131">
        <f t="shared" ref="H131:H194" si="18">60*E131+F131</f>
        <v>148</v>
      </c>
      <c r="I131" s="3">
        <f t="shared" ref="I131:I194" si="19">5*(3600/H131)</f>
        <v>121.62162162162161</v>
      </c>
      <c r="J131" t="str">
        <f t="shared" ref="J131:J194" si="20">IF(MID(A131,3,2)="18","T","F")</f>
        <v>F</v>
      </c>
    </row>
    <row r="132" spans="1:10" hidden="1" x14ac:dyDescent="0.25">
      <c r="A132" s="4" t="s">
        <v>129</v>
      </c>
      <c r="B132" s="1">
        <v>0.34697099999999997</v>
      </c>
      <c r="C132" s="1">
        <v>0.34513500000000003</v>
      </c>
      <c r="D132" s="1">
        <f t="shared" si="14"/>
        <v>1.8359999999999488E-3</v>
      </c>
      <c r="E132">
        <f t="shared" si="15"/>
        <v>2</v>
      </c>
      <c r="F132">
        <f t="shared" si="16"/>
        <v>39</v>
      </c>
      <c r="G132">
        <f t="shared" si="17"/>
        <v>2.65</v>
      </c>
      <c r="H132">
        <f t="shared" si="18"/>
        <v>159</v>
      </c>
      <c r="I132" s="3">
        <f t="shared" si="19"/>
        <v>113.20754716981131</v>
      </c>
      <c r="J132" t="str">
        <f t="shared" si="20"/>
        <v>F</v>
      </c>
    </row>
    <row r="133" spans="1:10" hidden="1" x14ac:dyDescent="0.25">
      <c r="A133" s="4" t="s">
        <v>130</v>
      </c>
      <c r="B133" s="1">
        <v>0.27076499999999998</v>
      </c>
      <c r="C133" s="1">
        <v>0.267621</v>
      </c>
      <c r="D133" s="1">
        <f t="shared" si="14"/>
        <v>3.1439999999999801E-3</v>
      </c>
      <c r="E133">
        <f t="shared" si="15"/>
        <v>4</v>
      </c>
      <c r="F133">
        <f t="shared" si="16"/>
        <v>32</v>
      </c>
      <c r="G133">
        <f t="shared" si="17"/>
        <v>4.53</v>
      </c>
      <c r="H133">
        <f t="shared" si="18"/>
        <v>272</v>
      </c>
      <c r="I133" s="3">
        <f t="shared" si="19"/>
        <v>66.17647058823529</v>
      </c>
      <c r="J133" t="str">
        <f t="shared" si="20"/>
        <v>F</v>
      </c>
    </row>
    <row r="134" spans="1:10" hidden="1" x14ac:dyDescent="0.25">
      <c r="A134" s="4" t="s">
        <v>131</v>
      </c>
      <c r="B134" s="1">
        <v>0.380658</v>
      </c>
      <c r="C134" s="1">
        <v>0.37909399999999999</v>
      </c>
      <c r="D134" s="1">
        <f t="shared" si="14"/>
        <v>1.5640000000000098E-3</v>
      </c>
      <c r="E134">
        <f t="shared" si="15"/>
        <v>2</v>
      </c>
      <c r="F134">
        <f t="shared" si="16"/>
        <v>15</v>
      </c>
      <c r="G134">
        <f t="shared" si="17"/>
        <v>2.25</v>
      </c>
      <c r="H134">
        <f t="shared" si="18"/>
        <v>135</v>
      </c>
      <c r="I134" s="3">
        <f t="shared" si="19"/>
        <v>133.33333333333334</v>
      </c>
      <c r="J134" t="str">
        <f t="shared" si="20"/>
        <v>F</v>
      </c>
    </row>
    <row r="135" spans="1:10" hidden="1" x14ac:dyDescent="0.25">
      <c r="A135" s="4" t="s">
        <v>132</v>
      </c>
      <c r="B135" s="1">
        <v>0.19933999999999999</v>
      </c>
      <c r="C135" s="1">
        <v>0.19636400000000001</v>
      </c>
      <c r="D135" s="1">
        <f t="shared" si="14"/>
        <v>2.9759999999999787E-3</v>
      </c>
      <c r="E135">
        <f t="shared" si="15"/>
        <v>4</v>
      </c>
      <c r="F135">
        <f t="shared" si="16"/>
        <v>17</v>
      </c>
      <c r="G135">
        <f t="shared" si="17"/>
        <v>4.28</v>
      </c>
      <c r="H135">
        <f t="shared" si="18"/>
        <v>257</v>
      </c>
      <c r="I135" s="3">
        <f t="shared" si="19"/>
        <v>70.038910505836583</v>
      </c>
      <c r="J135" t="str">
        <f t="shared" si="20"/>
        <v>F</v>
      </c>
    </row>
    <row r="136" spans="1:10" x14ac:dyDescent="0.25">
      <c r="A136" s="7" t="s">
        <v>133</v>
      </c>
      <c r="B136" s="1">
        <v>0.86760800000000005</v>
      </c>
      <c r="C136" s="1">
        <v>0.87038800000000005</v>
      </c>
      <c r="D136" s="1">
        <f t="shared" si="14"/>
        <v>2.7800000000000047E-3</v>
      </c>
      <c r="E136">
        <f t="shared" si="15"/>
        <v>4</v>
      </c>
      <c r="F136">
        <f t="shared" si="16"/>
        <v>0</v>
      </c>
      <c r="G136">
        <f t="shared" si="17"/>
        <v>4</v>
      </c>
      <c r="H136">
        <f t="shared" si="18"/>
        <v>240</v>
      </c>
      <c r="I136" s="6">
        <f t="shared" si="19"/>
        <v>75</v>
      </c>
      <c r="J136" t="str">
        <f t="shared" si="20"/>
        <v>T</v>
      </c>
    </row>
    <row r="137" spans="1:10" hidden="1" x14ac:dyDescent="0.25">
      <c r="A137" s="4" t="s">
        <v>134</v>
      </c>
      <c r="B137" s="1">
        <v>0.71828700000000001</v>
      </c>
      <c r="C137" s="1">
        <v>0.72052700000000003</v>
      </c>
      <c r="D137" s="1">
        <f t="shared" si="14"/>
        <v>2.2400000000000198E-3</v>
      </c>
      <c r="E137">
        <f t="shared" si="15"/>
        <v>3</v>
      </c>
      <c r="F137">
        <f t="shared" si="16"/>
        <v>14</v>
      </c>
      <c r="G137">
        <f t="shared" si="17"/>
        <v>3.23</v>
      </c>
      <c r="H137">
        <f t="shared" si="18"/>
        <v>194</v>
      </c>
      <c r="I137" s="3">
        <f t="shared" si="19"/>
        <v>92.783505154639187</v>
      </c>
      <c r="J137" t="str">
        <f t="shared" si="20"/>
        <v>F</v>
      </c>
    </row>
    <row r="138" spans="1:10" hidden="1" x14ac:dyDescent="0.25">
      <c r="A138" s="4" t="s">
        <v>135</v>
      </c>
      <c r="B138" s="1">
        <v>0.41060799999999997</v>
      </c>
      <c r="C138" s="1">
        <v>0.412908</v>
      </c>
      <c r="D138" s="1">
        <f t="shared" si="14"/>
        <v>2.3000000000000242E-3</v>
      </c>
      <c r="E138">
        <f t="shared" si="15"/>
        <v>3</v>
      </c>
      <c r="F138">
        <f t="shared" si="16"/>
        <v>19</v>
      </c>
      <c r="G138">
        <f t="shared" si="17"/>
        <v>3.32</v>
      </c>
      <c r="H138">
        <f t="shared" si="18"/>
        <v>199</v>
      </c>
      <c r="I138" s="3">
        <f t="shared" si="19"/>
        <v>90.452261306532648</v>
      </c>
      <c r="J138" t="str">
        <f t="shared" si="20"/>
        <v>F</v>
      </c>
    </row>
    <row r="139" spans="1:10" hidden="1" x14ac:dyDescent="0.25">
      <c r="A139" s="4" t="s">
        <v>136</v>
      </c>
      <c r="B139" s="1">
        <v>0.68890700000000005</v>
      </c>
      <c r="C139" s="1">
        <v>0.69249099999999997</v>
      </c>
      <c r="D139" s="1">
        <f t="shared" si="14"/>
        <v>3.5839999999999206E-3</v>
      </c>
      <c r="E139">
        <f t="shared" si="15"/>
        <v>5</v>
      </c>
      <c r="F139">
        <f t="shared" si="16"/>
        <v>10</v>
      </c>
      <c r="G139">
        <f t="shared" si="17"/>
        <v>5.17</v>
      </c>
      <c r="H139">
        <f t="shared" si="18"/>
        <v>310</v>
      </c>
      <c r="I139" s="3">
        <f t="shared" si="19"/>
        <v>58.064516129032256</v>
      </c>
      <c r="J139" t="str">
        <f t="shared" si="20"/>
        <v>F</v>
      </c>
    </row>
    <row r="140" spans="1:10" hidden="1" x14ac:dyDescent="0.25">
      <c r="A140" s="4" t="s">
        <v>137</v>
      </c>
      <c r="B140" s="1">
        <v>0.24684700000000001</v>
      </c>
      <c r="C140" s="1">
        <v>0.24374699999999999</v>
      </c>
      <c r="D140" s="1">
        <f t="shared" si="14"/>
        <v>3.1000000000000194E-3</v>
      </c>
      <c r="E140">
        <f t="shared" si="15"/>
        <v>4</v>
      </c>
      <c r="F140">
        <f t="shared" si="16"/>
        <v>28</v>
      </c>
      <c r="G140">
        <f t="shared" si="17"/>
        <v>4.47</v>
      </c>
      <c r="H140">
        <f t="shared" si="18"/>
        <v>268</v>
      </c>
      <c r="I140" s="3">
        <f t="shared" si="19"/>
        <v>67.164179104477611</v>
      </c>
      <c r="J140" t="str">
        <f t="shared" si="20"/>
        <v>F</v>
      </c>
    </row>
    <row r="141" spans="1:10" hidden="1" x14ac:dyDescent="0.25">
      <c r="A141" s="4" t="s">
        <v>138</v>
      </c>
      <c r="B141" s="1">
        <v>0.48477300000000001</v>
      </c>
      <c r="C141" s="1">
        <v>0.48279699999999998</v>
      </c>
      <c r="D141" s="1">
        <f t="shared" si="14"/>
        <v>1.9760000000000333E-3</v>
      </c>
      <c r="E141">
        <f t="shared" si="15"/>
        <v>2</v>
      </c>
      <c r="F141">
        <f t="shared" si="16"/>
        <v>51</v>
      </c>
      <c r="G141">
        <f t="shared" si="17"/>
        <v>2.85</v>
      </c>
      <c r="H141">
        <f t="shared" si="18"/>
        <v>171</v>
      </c>
      <c r="I141" s="3">
        <f t="shared" si="19"/>
        <v>105.26315789473685</v>
      </c>
      <c r="J141" t="str">
        <f t="shared" si="20"/>
        <v>F</v>
      </c>
    </row>
    <row r="142" spans="1:10" hidden="1" x14ac:dyDescent="0.25">
      <c r="A142" s="4" t="s">
        <v>139</v>
      </c>
      <c r="B142" s="1">
        <v>0.84553900000000004</v>
      </c>
      <c r="C142" s="1">
        <v>0.84697100000000003</v>
      </c>
      <c r="D142" s="1">
        <f t="shared" si="14"/>
        <v>1.4319999999999888E-3</v>
      </c>
      <c r="E142">
        <f t="shared" si="15"/>
        <v>2</v>
      </c>
      <c r="F142">
        <f t="shared" si="16"/>
        <v>4</v>
      </c>
      <c r="G142">
        <f t="shared" si="17"/>
        <v>2.0699999999999998</v>
      </c>
      <c r="H142">
        <f t="shared" si="18"/>
        <v>124</v>
      </c>
      <c r="I142" s="3">
        <f t="shared" si="19"/>
        <v>145.16129032258064</v>
      </c>
      <c r="J142" t="str">
        <f t="shared" si="20"/>
        <v>F</v>
      </c>
    </row>
    <row r="143" spans="1:10" hidden="1" x14ac:dyDescent="0.25">
      <c r="A143" s="4" t="s">
        <v>140</v>
      </c>
      <c r="B143" s="1">
        <v>0.16140399999999999</v>
      </c>
      <c r="C143" s="1">
        <v>0.158052</v>
      </c>
      <c r="D143" s="1">
        <f t="shared" si="14"/>
        <v>3.3519999999999939E-3</v>
      </c>
      <c r="E143">
        <f t="shared" si="15"/>
        <v>4</v>
      </c>
      <c r="F143">
        <f t="shared" si="16"/>
        <v>50</v>
      </c>
      <c r="G143">
        <f t="shared" si="17"/>
        <v>4.83</v>
      </c>
      <c r="H143">
        <f t="shared" si="18"/>
        <v>290</v>
      </c>
      <c r="I143" s="3">
        <f t="shared" si="19"/>
        <v>62.068965517241381</v>
      </c>
      <c r="J143" t="str">
        <f t="shared" si="20"/>
        <v>F</v>
      </c>
    </row>
    <row r="144" spans="1:10" hidden="1" x14ac:dyDescent="0.25">
      <c r="A144" s="4" t="s">
        <v>141</v>
      </c>
      <c r="B144" s="1">
        <v>0.138354</v>
      </c>
      <c r="C144" s="1">
        <v>0.13685</v>
      </c>
      <c r="D144" s="1">
        <f t="shared" si="14"/>
        <v>1.5040000000000053E-3</v>
      </c>
      <c r="E144">
        <f t="shared" si="15"/>
        <v>2</v>
      </c>
      <c r="F144">
        <f t="shared" si="16"/>
        <v>10</v>
      </c>
      <c r="G144">
        <f t="shared" si="17"/>
        <v>2.17</v>
      </c>
      <c r="H144">
        <f t="shared" si="18"/>
        <v>130</v>
      </c>
      <c r="I144" s="3">
        <f t="shared" si="19"/>
        <v>138.46153846153845</v>
      </c>
      <c r="J144" t="str">
        <f t="shared" si="20"/>
        <v>F</v>
      </c>
    </row>
    <row r="145" spans="1:10" hidden="1" x14ac:dyDescent="0.25">
      <c r="A145" s="4" t="s">
        <v>142</v>
      </c>
      <c r="B145" s="1">
        <v>0.12570400000000001</v>
      </c>
      <c r="C145" s="1">
        <v>0.122964</v>
      </c>
      <c r="D145" s="1">
        <f t="shared" si="14"/>
        <v>2.7400000000000063E-3</v>
      </c>
      <c r="E145">
        <f t="shared" si="15"/>
        <v>3</v>
      </c>
      <c r="F145">
        <f t="shared" si="16"/>
        <v>57</v>
      </c>
      <c r="G145">
        <f t="shared" si="17"/>
        <v>3.95</v>
      </c>
      <c r="H145">
        <f t="shared" si="18"/>
        <v>237</v>
      </c>
      <c r="I145" s="3">
        <f t="shared" si="19"/>
        <v>75.949367088607588</v>
      </c>
      <c r="J145" t="str">
        <f t="shared" si="20"/>
        <v>F</v>
      </c>
    </row>
    <row r="146" spans="1:10" hidden="1" x14ac:dyDescent="0.25">
      <c r="A146" s="4" t="s">
        <v>143</v>
      </c>
      <c r="B146" s="1">
        <v>0.46729599999999999</v>
      </c>
      <c r="C146" s="1">
        <v>0.46933599999999998</v>
      </c>
      <c r="D146" s="1">
        <f t="shared" si="14"/>
        <v>2.0399999999999863E-3</v>
      </c>
      <c r="E146">
        <f t="shared" si="15"/>
        <v>2</v>
      </c>
      <c r="F146">
        <f t="shared" si="16"/>
        <v>56</v>
      </c>
      <c r="G146">
        <f t="shared" si="17"/>
        <v>2.93</v>
      </c>
      <c r="H146">
        <f t="shared" si="18"/>
        <v>176</v>
      </c>
      <c r="I146" s="3">
        <f t="shared" si="19"/>
        <v>102.27272727272727</v>
      </c>
      <c r="J146" t="str">
        <f t="shared" si="20"/>
        <v>F</v>
      </c>
    </row>
    <row r="147" spans="1:10" hidden="1" x14ac:dyDescent="0.25">
      <c r="A147" s="4" t="s">
        <v>144</v>
      </c>
      <c r="B147" s="1">
        <v>0.94697500000000001</v>
      </c>
      <c r="C147" s="1">
        <v>0.94982699999999998</v>
      </c>
      <c r="D147" s="1">
        <f t="shared" si="14"/>
        <v>2.8519999999999657E-3</v>
      </c>
      <c r="E147">
        <f t="shared" si="15"/>
        <v>4</v>
      </c>
      <c r="F147">
        <f t="shared" si="16"/>
        <v>6</v>
      </c>
      <c r="G147">
        <f t="shared" si="17"/>
        <v>4.0999999999999996</v>
      </c>
      <c r="H147">
        <f t="shared" si="18"/>
        <v>246</v>
      </c>
      <c r="I147" s="3">
        <f t="shared" si="19"/>
        <v>73.170731707317074</v>
      </c>
      <c r="J147" t="str">
        <f t="shared" si="20"/>
        <v>F</v>
      </c>
    </row>
    <row r="148" spans="1:10" hidden="1" x14ac:dyDescent="0.25">
      <c r="A148" s="4" t="s">
        <v>145</v>
      </c>
      <c r="B148" s="1">
        <v>0.86413600000000002</v>
      </c>
      <c r="C148" s="1">
        <v>0.86697999999999997</v>
      </c>
      <c r="D148" s="1">
        <f t="shared" si="14"/>
        <v>2.8439999999999577E-3</v>
      </c>
      <c r="E148">
        <f t="shared" si="15"/>
        <v>4</v>
      </c>
      <c r="F148">
        <f t="shared" si="16"/>
        <v>6</v>
      </c>
      <c r="G148">
        <f t="shared" si="17"/>
        <v>4.0999999999999996</v>
      </c>
      <c r="H148">
        <f t="shared" si="18"/>
        <v>246</v>
      </c>
      <c r="I148" s="3">
        <f t="shared" si="19"/>
        <v>73.170731707317074</v>
      </c>
      <c r="J148" t="str">
        <f t="shared" si="20"/>
        <v>F</v>
      </c>
    </row>
    <row r="149" spans="1:10" hidden="1" x14ac:dyDescent="0.25">
      <c r="A149" s="4" t="s">
        <v>146</v>
      </c>
      <c r="B149" s="1">
        <v>6.4591999999999997E-2</v>
      </c>
      <c r="C149" s="1">
        <v>6.1039999999999997E-2</v>
      </c>
      <c r="D149" s="1">
        <f t="shared" si="14"/>
        <v>3.5519999999999996E-3</v>
      </c>
      <c r="E149">
        <f t="shared" si="15"/>
        <v>5</v>
      </c>
      <c r="F149">
        <f t="shared" si="16"/>
        <v>7</v>
      </c>
      <c r="G149">
        <f t="shared" si="17"/>
        <v>5.12</v>
      </c>
      <c r="H149">
        <f t="shared" si="18"/>
        <v>307</v>
      </c>
      <c r="I149" s="3">
        <f t="shared" si="19"/>
        <v>58.631921824104232</v>
      </c>
      <c r="J149" t="str">
        <f t="shared" si="20"/>
        <v>F</v>
      </c>
    </row>
    <row r="150" spans="1:10" hidden="1" x14ac:dyDescent="0.25">
      <c r="A150" s="4" t="s">
        <v>147</v>
      </c>
      <c r="B150" s="1">
        <v>0.96590299999999996</v>
      </c>
      <c r="C150" s="1">
        <v>0.96327499999999999</v>
      </c>
      <c r="D150" s="1">
        <f t="shared" si="14"/>
        <v>2.6279999999999637E-3</v>
      </c>
      <c r="E150">
        <f t="shared" si="15"/>
        <v>3</v>
      </c>
      <c r="F150">
        <f t="shared" si="16"/>
        <v>47</v>
      </c>
      <c r="G150">
        <f t="shared" si="17"/>
        <v>3.78</v>
      </c>
      <c r="H150">
        <f t="shared" si="18"/>
        <v>227</v>
      </c>
      <c r="I150" s="3">
        <f t="shared" si="19"/>
        <v>79.295154185022028</v>
      </c>
      <c r="J150" t="str">
        <f t="shared" si="20"/>
        <v>F</v>
      </c>
    </row>
    <row r="151" spans="1:10" hidden="1" x14ac:dyDescent="0.25">
      <c r="A151" s="4" t="s">
        <v>148</v>
      </c>
      <c r="B151" s="1">
        <v>0.359732</v>
      </c>
      <c r="C151" s="1">
        <v>0.35632799999999998</v>
      </c>
      <c r="D151" s="1">
        <f t="shared" si="14"/>
        <v>3.4040000000000181E-3</v>
      </c>
      <c r="E151">
        <f t="shared" si="15"/>
        <v>4</v>
      </c>
      <c r="F151">
        <f t="shared" si="16"/>
        <v>54</v>
      </c>
      <c r="G151">
        <f t="shared" si="17"/>
        <v>4.9000000000000004</v>
      </c>
      <c r="H151">
        <f t="shared" si="18"/>
        <v>294</v>
      </c>
      <c r="I151" s="3">
        <f t="shared" si="19"/>
        <v>61.224489795918366</v>
      </c>
      <c r="J151" t="str">
        <f t="shared" si="20"/>
        <v>F</v>
      </c>
    </row>
    <row r="152" spans="1:10" hidden="1" x14ac:dyDescent="0.25">
      <c r="A152" s="4" t="s">
        <v>149</v>
      </c>
      <c r="B152" s="1">
        <v>0.68221900000000002</v>
      </c>
      <c r="C152" s="1">
        <v>0.68393499999999996</v>
      </c>
      <c r="D152" s="1">
        <f t="shared" si="14"/>
        <v>1.7159999999999398E-3</v>
      </c>
      <c r="E152">
        <f t="shared" si="15"/>
        <v>2</v>
      </c>
      <c r="F152">
        <f t="shared" si="16"/>
        <v>28</v>
      </c>
      <c r="G152">
        <f t="shared" si="17"/>
        <v>2.4700000000000002</v>
      </c>
      <c r="H152">
        <f t="shared" si="18"/>
        <v>148</v>
      </c>
      <c r="I152" s="3">
        <f t="shared" si="19"/>
        <v>121.62162162162161</v>
      </c>
      <c r="J152" t="str">
        <f t="shared" si="20"/>
        <v>F</v>
      </c>
    </row>
    <row r="153" spans="1:10" hidden="1" x14ac:dyDescent="0.25">
      <c r="A153" s="4" t="s">
        <v>150</v>
      </c>
      <c r="B153" s="1">
        <v>0.92992200000000003</v>
      </c>
      <c r="C153" s="1">
        <v>0.926122</v>
      </c>
      <c r="D153" s="1">
        <f t="shared" si="14"/>
        <v>3.8000000000000256E-3</v>
      </c>
      <c r="E153">
        <f t="shared" si="15"/>
        <v>5</v>
      </c>
      <c r="F153">
        <f t="shared" si="16"/>
        <v>28</v>
      </c>
      <c r="G153">
        <f t="shared" si="17"/>
        <v>5.47</v>
      </c>
      <c r="H153">
        <f t="shared" si="18"/>
        <v>328</v>
      </c>
      <c r="I153" s="3">
        <f t="shared" si="19"/>
        <v>54.878048780487809</v>
      </c>
      <c r="J153" t="str">
        <f t="shared" si="20"/>
        <v>F</v>
      </c>
    </row>
    <row r="154" spans="1:10" x14ac:dyDescent="0.25">
      <c r="A154" s="7" t="s">
        <v>151</v>
      </c>
      <c r="B154" s="1">
        <v>0.72409299999999999</v>
      </c>
      <c r="C154" s="1">
        <v>0.72649300000000006</v>
      </c>
      <c r="D154" s="1">
        <f t="shared" si="14"/>
        <v>2.4000000000000687E-3</v>
      </c>
      <c r="E154">
        <f t="shared" si="15"/>
        <v>3</v>
      </c>
      <c r="F154">
        <f t="shared" si="16"/>
        <v>27</v>
      </c>
      <c r="G154">
        <f t="shared" si="17"/>
        <v>3.45</v>
      </c>
      <c r="H154">
        <f t="shared" si="18"/>
        <v>207</v>
      </c>
      <c r="I154" s="6">
        <f t="shared" si="19"/>
        <v>86.956521739130437</v>
      </c>
      <c r="J154" t="str">
        <f t="shared" si="20"/>
        <v>T</v>
      </c>
    </row>
    <row r="155" spans="1:10" hidden="1" x14ac:dyDescent="0.25">
      <c r="A155" s="4" t="s">
        <v>152</v>
      </c>
      <c r="B155" s="1">
        <v>0.86309499999999995</v>
      </c>
      <c r="C155" s="1">
        <v>0.85914699999999999</v>
      </c>
      <c r="D155" s="1">
        <f t="shared" si="14"/>
        <v>3.9479999999999515E-3</v>
      </c>
      <c r="E155">
        <f t="shared" si="15"/>
        <v>5</v>
      </c>
      <c r="F155">
        <f t="shared" si="16"/>
        <v>41</v>
      </c>
      <c r="G155">
        <f t="shared" si="17"/>
        <v>5.68</v>
      </c>
      <c r="H155">
        <f t="shared" si="18"/>
        <v>341</v>
      </c>
      <c r="I155" s="3">
        <f t="shared" si="19"/>
        <v>52.785923753665685</v>
      </c>
      <c r="J155" t="str">
        <f t="shared" si="20"/>
        <v>F</v>
      </c>
    </row>
    <row r="156" spans="1:10" hidden="1" x14ac:dyDescent="0.25">
      <c r="A156" s="4" t="s">
        <v>153</v>
      </c>
      <c r="B156" s="1">
        <v>0.53429599999999999</v>
      </c>
      <c r="C156" s="1">
        <v>0.53593199999999996</v>
      </c>
      <c r="D156" s="1">
        <f t="shared" si="14"/>
        <v>1.6359999999999708E-3</v>
      </c>
      <c r="E156">
        <f t="shared" si="15"/>
        <v>2</v>
      </c>
      <c r="F156">
        <f t="shared" si="16"/>
        <v>21</v>
      </c>
      <c r="G156">
        <f t="shared" si="17"/>
        <v>2.35</v>
      </c>
      <c r="H156">
        <f t="shared" si="18"/>
        <v>141</v>
      </c>
      <c r="I156" s="3">
        <f t="shared" si="19"/>
        <v>127.65957446808511</v>
      </c>
      <c r="J156" t="str">
        <f t="shared" si="20"/>
        <v>F</v>
      </c>
    </row>
    <row r="157" spans="1:10" hidden="1" x14ac:dyDescent="0.25">
      <c r="A157" s="4" t="s">
        <v>154</v>
      </c>
      <c r="B157" s="1">
        <v>6.1955999999999997E-2</v>
      </c>
      <c r="C157" s="1">
        <v>5.8571999999999999E-2</v>
      </c>
      <c r="D157" s="1">
        <f t="shared" si="14"/>
        <v>3.3839999999999981E-3</v>
      </c>
      <c r="E157">
        <f t="shared" si="15"/>
        <v>4</v>
      </c>
      <c r="F157">
        <f t="shared" si="16"/>
        <v>52</v>
      </c>
      <c r="G157">
        <f t="shared" si="17"/>
        <v>4.87</v>
      </c>
      <c r="H157">
        <f t="shared" si="18"/>
        <v>292</v>
      </c>
      <c r="I157" s="3">
        <f t="shared" si="19"/>
        <v>61.643835616438352</v>
      </c>
      <c r="J157" t="str">
        <f t="shared" si="20"/>
        <v>F</v>
      </c>
    </row>
    <row r="158" spans="1:10" hidden="1" x14ac:dyDescent="0.25">
      <c r="A158" s="4" t="s">
        <v>155</v>
      </c>
      <c r="B158" s="1">
        <v>0.73158400000000001</v>
      </c>
      <c r="C158" s="1">
        <v>0.72921199999999997</v>
      </c>
      <c r="D158" s="1">
        <f t="shared" si="14"/>
        <v>2.3720000000000407E-3</v>
      </c>
      <c r="E158">
        <f t="shared" si="15"/>
        <v>3</v>
      </c>
      <c r="F158">
        <f t="shared" si="16"/>
        <v>25</v>
      </c>
      <c r="G158">
        <f t="shared" si="17"/>
        <v>3.42</v>
      </c>
      <c r="H158">
        <f t="shared" si="18"/>
        <v>205</v>
      </c>
      <c r="I158" s="3">
        <f t="shared" si="19"/>
        <v>87.804878048780495</v>
      </c>
      <c r="J158" t="str">
        <f t="shared" si="20"/>
        <v>F</v>
      </c>
    </row>
    <row r="159" spans="1:10" hidden="1" x14ac:dyDescent="0.25">
      <c r="A159" s="4" t="s">
        <v>156</v>
      </c>
      <c r="B159" s="1">
        <v>0.93236399999999997</v>
      </c>
      <c r="C159" s="1">
        <v>0.93049999999999999</v>
      </c>
      <c r="D159" s="1">
        <f t="shared" si="14"/>
        <v>1.8639999999999768E-3</v>
      </c>
      <c r="E159">
        <f t="shared" si="15"/>
        <v>2</v>
      </c>
      <c r="F159">
        <f t="shared" si="16"/>
        <v>41</v>
      </c>
      <c r="G159">
        <f t="shared" si="17"/>
        <v>2.68</v>
      </c>
      <c r="H159">
        <f t="shared" si="18"/>
        <v>161</v>
      </c>
      <c r="I159" s="3">
        <f t="shared" si="19"/>
        <v>111.80124223602485</v>
      </c>
      <c r="J159" t="str">
        <f t="shared" si="20"/>
        <v>F</v>
      </c>
    </row>
    <row r="160" spans="1:10" hidden="1" x14ac:dyDescent="0.25">
      <c r="A160" s="4" t="s">
        <v>157</v>
      </c>
      <c r="B160" s="1">
        <v>0.37124299999999999</v>
      </c>
      <c r="C160" s="1">
        <v>0.36984699999999998</v>
      </c>
      <c r="D160" s="1">
        <f t="shared" si="14"/>
        <v>1.3960000000000083E-3</v>
      </c>
      <c r="E160">
        <f t="shared" si="15"/>
        <v>2</v>
      </c>
      <c r="F160">
        <f t="shared" si="16"/>
        <v>1</v>
      </c>
      <c r="G160">
        <f t="shared" si="17"/>
        <v>2.02</v>
      </c>
      <c r="H160">
        <f t="shared" si="18"/>
        <v>121</v>
      </c>
      <c r="I160" s="3">
        <f t="shared" si="19"/>
        <v>148.7603305785124</v>
      </c>
      <c r="J160" t="str">
        <f t="shared" si="20"/>
        <v>F</v>
      </c>
    </row>
    <row r="161" spans="1:10" hidden="1" x14ac:dyDescent="0.25">
      <c r="A161" s="4" t="s">
        <v>158</v>
      </c>
      <c r="B161" s="1">
        <v>0.82938000000000001</v>
      </c>
      <c r="C161" s="1">
        <v>0.82733199999999996</v>
      </c>
      <c r="D161" s="1">
        <f t="shared" si="14"/>
        <v>2.0480000000000498E-3</v>
      </c>
      <c r="E161">
        <f t="shared" si="15"/>
        <v>2</v>
      </c>
      <c r="F161">
        <f t="shared" si="16"/>
        <v>57</v>
      </c>
      <c r="G161">
        <f t="shared" si="17"/>
        <v>2.95</v>
      </c>
      <c r="H161">
        <f t="shared" si="18"/>
        <v>177</v>
      </c>
      <c r="I161" s="3">
        <f t="shared" si="19"/>
        <v>101.69491525423729</v>
      </c>
      <c r="J161" t="str">
        <f t="shared" si="20"/>
        <v>F</v>
      </c>
    </row>
    <row r="162" spans="1:10" hidden="1" x14ac:dyDescent="0.25">
      <c r="A162" s="4" t="s">
        <v>159</v>
      </c>
      <c r="B162" s="1">
        <v>0.515621</v>
      </c>
      <c r="C162" s="1">
        <v>0.51379300000000006</v>
      </c>
      <c r="D162" s="1">
        <f t="shared" si="14"/>
        <v>1.8279999999999408E-3</v>
      </c>
      <c r="E162">
        <f t="shared" si="15"/>
        <v>2</v>
      </c>
      <c r="F162">
        <f t="shared" si="16"/>
        <v>38</v>
      </c>
      <c r="G162">
        <f t="shared" si="17"/>
        <v>2.63</v>
      </c>
      <c r="H162">
        <f t="shared" si="18"/>
        <v>158</v>
      </c>
      <c r="I162" s="3">
        <f t="shared" si="19"/>
        <v>113.92405063291139</v>
      </c>
      <c r="J162" t="str">
        <f t="shared" si="20"/>
        <v>F</v>
      </c>
    </row>
    <row r="163" spans="1:10" hidden="1" x14ac:dyDescent="0.25">
      <c r="A163" s="4" t="s">
        <v>160</v>
      </c>
      <c r="B163" s="1">
        <v>0.46384300000000001</v>
      </c>
      <c r="C163" s="1">
        <v>0.46656300000000001</v>
      </c>
      <c r="D163" s="1">
        <f t="shared" si="14"/>
        <v>2.7200000000000002E-3</v>
      </c>
      <c r="E163">
        <f t="shared" si="15"/>
        <v>3</v>
      </c>
      <c r="F163">
        <f t="shared" si="16"/>
        <v>55</v>
      </c>
      <c r="G163">
        <f t="shared" si="17"/>
        <v>3.92</v>
      </c>
      <c r="H163">
        <f t="shared" si="18"/>
        <v>235</v>
      </c>
      <c r="I163" s="3">
        <f t="shared" si="19"/>
        <v>76.59574468085107</v>
      </c>
      <c r="J163" t="str">
        <f t="shared" si="20"/>
        <v>F</v>
      </c>
    </row>
    <row r="164" spans="1:10" hidden="1" x14ac:dyDescent="0.25">
      <c r="A164" s="4" t="s">
        <v>161</v>
      </c>
      <c r="B164" s="1">
        <v>0.75155000000000005</v>
      </c>
      <c r="C164" s="1">
        <v>0.75432600000000005</v>
      </c>
      <c r="D164" s="1">
        <f t="shared" si="14"/>
        <v>2.7760000000000007E-3</v>
      </c>
      <c r="E164">
        <f t="shared" si="15"/>
        <v>4</v>
      </c>
      <c r="F164">
        <f t="shared" si="16"/>
        <v>0</v>
      </c>
      <c r="G164">
        <f t="shared" si="17"/>
        <v>4</v>
      </c>
      <c r="H164">
        <f t="shared" si="18"/>
        <v>240</v>
      </c>
      <c r="I164" s="3">
        <f t="shared" si="19"/>
        <v>75</v>
      </c>
      <c r="J164" t="str">
        <f t="shared" si="20"/>
        <v>F</v>
      </c>
    </row>
    <row r="165" spans="1:10" hidden="1" x14ac:dyDescent="0.25">
      <c r="A165" s="4" t="s">
        <v>162</v>
      </c>
      <c r="B165" s="1">
        <v>0.50681100000000001</v>
      </c>
      <c r="C165" s="1">
        <v>0.50492700000000001</v>
      </c>
      <c r="D165" s="1">
        <f t="shared" si="14"/>
        <v>1.8839999999999968E-3</v>
      </c>
      <c r="E165">
        <f t="shared" si="15"/>
        <v>2</v>
      </c>
      <c r="F165">
        <f t="shared" si="16"/>
        <v>43</v>
      </c>
      <c r="G165">
        <f t="shared" si="17"/>
        <v>2.72</v>
      </c>
      <c r="H165">
        <f t="shared" si="18"/>
        <v>163</v>
      </c>
      <c r="I165" s="3">
        <f t="shared" si="19"/>
        <v>110.42944785276075</v>
      </c>
      <c r="J165" t="str">
        <f t="shared" si="20"/>
        <v>F</v>
      </c>
    </row>
    <row r="166" spans="1:10" hidden="1" x14ac:dyDescent="0.25">
      <c r="A166" s="4" t="s">
        <v>163</v>
      </c>
      <c r="B166" s="1">
        <v>6.4921000000000006E-2</v>
      </c>
      <c r="C166" s="1">
        <v>6.2060999999999998E-2</v>
      </c>
      <c r="D166" s="1">
        <f t="shared" si="14"/>
        <v>2.8600000000000084E-3</v>
      </c>
      <c r="E166">
        <f t="shared" si="15"/>
        <v>4</v>
      </c>
      <c r="F166">
        <f t="shared" si="16"/>
        <v>7</v>
      </c>
      <c r="G166">
        <f t="shared" si="17"/>
        <v>4.12</v>
      </c>
      <c r="H166">
        <f t="shared" si="18"/>
        <v>247</v>
      </c>
      <c r="I166" s="3">
        <f t="shared" si="19"/>
        <v>72.874493927125513</v>
      </c>
      <c r="J166" t="str">
        <f t="shared" si="20"/>
        <v>F</v>
      </c>
    </row>
    <row r="167" spans="1:10" hidden="1" x14ac:dyDescent="0.25">
      <c r="A167" s="4" t="s">
        <v>107</v>
      </c>
      <c r="B167" s="1">
        <v>0.36874600000000002</v>
      </c>
      <c r="C167" s="1">
        <v>0.37047400000000003</v>
      </c>
      <c r="D167" s="1">
        <f t="shared" si="14"/>
        <v>1.7280000000000073E-3</v>
      </c>
      <c r="E167">
        <f t="shared" si="15"/>
        <v>2</v>
      </c>
      <c r="F167">
        <f t="shared" si="16"/>
        <v>29</v>
      </c>
      <c r="G167">
        <f t="shared" si="17"/>
        <v>2.48</v>
      </c>
      <c r="H167">
        <f t="shared" si="18"/>
        <v>149</v>
      </c>
      <c r="I167" s="3">
        <f t="shared" si="19"/>
        <v>120.80536912751677</v>
      </c>
      <c r="J167" t="str">
        <f t="shared" si="20"/>
        <v>F</v>
      </c>
    </row>
    <row r="168" spans="1:10" hidden="1" x14ac:dyDescent="0.25">
      <c r="A168" s="4" t="s">
        <v>16</v>
      </c>
      <c r="B168" s="1">
        <v>0.90525999999999995</v>
      </c>
      <c r="C168" s="1">
        <v>0.90354000000000001</v>
      </c>
      <c r="D168" s="1">
        <f t="shared" si="14"/>
        <v>1.7199999999999438E-3</v>
      </c>
      <c r="E168">
        <f t="shared" si="15"/>
        <v>2</v>
      </c>
      <c r="F168">
        <f t="shared" si="16"/>
        <v>29</v>
      </c>
      <c r="G168">
        <f t="shared" si="17"/>
        <v>2.48</v>
      </c>
      <c r="H168">
        <f t="shared" si="18"/>
        <v>149</v>
      </c>
      <c r="I168" s="3">
        <f t="shared" si="19"/>
        <v>120.80536912751677</v>
      </c>
      <c r="J168" t="str">
        <f t="shared" si="20"/>
        <v>F</v>
      </c>
    </row>
    <row r="169" spans="1:10" hidden="1" x14ac:dyDescent="0.25">
      <c r="A169" s="4" t="s">
        <v>64</v>
      </c>
      <c r="B169" s="1">
        <v>0.75966599999999995</v>
      </c>
      <c r="C169" s="1">
        <v>0.75585800000000003</v>
      </c>
      <c r="D169" s="1">
        <f t="shared" si="14"/>
        <v>3.8079999999999226E-3</v>
      </c>
      <c r="E169">
        <f t="shared" si="15"/>
        <v>5</v>
      </c>
      <c r="F169">
        <f t="shared" si="16"/>
        <v>29</v>
      </c>
      <c r="G169">
        <f t="shared" si="17"/>
        <v>5.48</v>
      </c>
      <c r="H169">
        <f t="shared" si="18"/>
        <v>329</v>
      </c>
      <c r="I169" s="3">
        <f t="shared" si="19"/>
        <v>54.711246200607903</v>
      </c>
      <c r="J169" t="str">
        <f t="shared" si="20"/>
        <v>F</v>
      </c>
    </row>
    <row r="170" spans="1:10" hidden="1" x14ac:dyDescent="0.25">
      <c r="A170" s="4" t="s">
        <v>155</v>
      </c>
      <c r="B170" s="1">
        <v>0.84710200000000002</v>
      </c>
      <c r="C170" s="1">
        <v>0.84899800000000003</v>
      </c>
      <c r="D170" s="1">
        <f t="shared" si="14"/>
        <v>1.8960000000000088E-3</v>
      </c>
      <c r="E170">
        <f t="shared" si="15"/>
        <v>2</v>
      </c>
      <c r="F170">
        <f t="shared" si="16"/>
        <v>44</v>
      </c>
      <c r="G170">
        <f t="shared" si="17"/>
        <v>2.73</v>
      </c>
      <c r="H170">
        <f t="shared" si="18"/>
        <v>164</v>
      </c>
      <c r="I170" s="3">
        <f t="shared" si="19"/>
        <v>109.75609756097562</v>
      </c>
      <c r="J170" t="str">
        <f t="shared" si="20"/>
        <v>F</v>
      </c>
    </row>
    <row r="171" spans="1:10" hidden="1" x14ac:dyDescent="0.25">
      <c r="A171" s="4" t="s">
        <v>74</v>
      </c>
      <c r="B171" s="1">
        <v>0.78240200000000004</v>
      </c>
      <c r="C171" s="1">
        <v>0.78495400000000004</v>
      </c>
      <c r="D171" s="1">
        <f t="shared" si="14"/>
        <v>2.5519999999999987E-3</v>
      </c>
      <c r="E171">
        <f t="shared" si="15"/>
        <v>3</v>
      </c>
      <c r="F171">
        <f t="shared" si="16"/>
        <v>40</v>
      </c>
      <c r="G171">
        <f t="shared" si="17"/>
        <v>3.67</v>
      </c>
      <c r="H171">
        <f t="shared" si="18"/>
        <v>220</v>
      </c>
      <c r="I171" s="3">
        <f t="shared" si="19"/>
        <v>81.818181818181813</v>
      </c>
      <c r="J171" t="str">
        <f t="shared" si="20"/>
        <v>F</v>
      </c>
    </row>
    <row r="172" spans="1:10" hidden="1" x14ac:dyDescent="0.25">
      <c r="A172" s="4" t="s">
        <v>21</v>
      </c>
      <c r="B172" s="1">
        <v>0.84183399999999997</v>
      </c>
      <c r="C172" s="1">
        <v>0.840086</v>
      </c>
      <c r="D172" s="1">
        <f t="shared" si="14"/>
        <v>1.7479999999999718E-3</v>
      </c>
      <c r="E172">
        <f t="shared" si="15"/>
        <v>2</v>
      </c>
      <c r="F172">
        <f t="shared" si="16"/>
        <v>31</v>
      </c>
      <c r="G172">
        <f t="shared" si="17"/>
        <v>2.52</v>
      </c>
      <c r="H172">
        <f t="shared" si="18"/>
        <v>151</v>
      </c>
      <c r="I172" s="3">
        <f t="shared" si="19"/>
        <v>119.20529801324504</v>
      </c>
      <c r="J172" t="str">
        <f t="shared" si="20"/>
        <v>F</v>
      </c>
    </row>
    <row r="173" spans="1:10" hidden="1" x14ac:dyDescent="0.25">
      <c r="A173" s="4" t="s">
        <v>27</v>
      </c>
      <c r="B173" s="1">
        <v>0.126585</v>
      </c>
      <c r="C173" s="1">
        <v>0.129029</v>
      </c>
      <c r="D173" s="1">
        <f t="shared" si="14"/>
        <v>2.4440000000000017E-3</v>
      </c>
      <c r="E173">
        <f t="shared" si="15"/>
        <v>3</v>
      </c>
      <c r="F173">
        <f t="shared" si="16"/>
        <v>31</v>
      </c>
      <c r="G173">
        <f t="shared" si="17"/>
        <v>3.52</v>
      </c>
      <c r="H173">
        <f t="shared" si="18"/>
        <v>211</v>
      </c>
      <c r="I173" s="3">
        <f t="shared" si="19"/>
        <v>85.308056872037923</v>
      </c>
      <c r="J173" t="str">
        <f t="shared" si="20"/>
        <v>F</v>
      </c>
    </row>
    <row r="174" spans="1:10" hidden="1" x14ac:dyDescent="0.25">
      <c r="A174" s="4" t="s">
        <v>83</v>
      </c>
      <c r="B174" s="1">
        <v>0.83486300000000002</v>
      </c>
      <c r="C174" s="1">
        <v>0.83299500000000004</v>
      </c>
      <c r="D174" s="1">
        <f t="shared" si="14"/>
        <v>1.8679999999999808E-3</v>
      </c>
      <c r="E174">
        <f t="shared" si="15"/>
        <v>2</v>
      </c>
      <c r="F174">
        <f t="shared" si="16"/>
        <v>41</v>
      </c>
      <c r="G174">
        <f t="shared" si="17"/>
        <v>2.68</v>
      </c>
      <c r="H174">
        <f t="shared" si="18"/>
        <v>161</v>
      </c>
      <c r="I174" s="3">
        <f t="shared" si="19"/>
        <v>111.80124223602485</v>
      </c>
      <c r="J174" t="str">
        <f t="shared" si="20"/>
        <v>F</v>
      </c>
    </row>
    <row r="175" spans="1:10" hidden="1" x14ac:dyDescent="0.25">
      <c r="A175" s="4" t="s">
        <v>60</v>
      </c>
      <c r="B175" s="1">
        <v>2.2539E-2</v>
      </c>
      <c r="C175" s="1">
        <v>2.0254999999999999E-2</v>
      </c>
      <c r="D175" s="1">
        <f t="shared" si="14"/>
        <v>2.2840000000000013E-3</v>
      </c>
      <c r="E175">
        <f t="shared" si="15"/>
        <v>3</v>
      </c>
      <c r="F175">
        <f t="shared" si="16"/>
        <v>17</v>
      </c>
      <c r="G175">
        <f t="shared" si="17"/>
        <v>3.28</v>
      </c>
      <c r="H175">
        <f t="shared" si="18"/>
        <v>197</v>
      </c>
      <c r="I175" s="3">
        <f t="shared" si="19"/>
        <v>91.370558375634516</v>
      </c>
      <c r="J175" t="str">
        <f t="shared" si="20"/>
        <v>F</v>
      </c>
    </row>
    <row r="176" spans="1:10" hidden="1" x14ac:dyDescent="0.25">
      <c r="A176" s="4" t="s">
        <v>12</v>
      </c>
      <c r="B176" s="1">
        <v>0.17019400000000001</v>
      </c>
      <c r="C176" s="1">
        <v>0.17386599999999999</v>
      </c>
      <c r="D176" s="1">
        <f t="shared" si="14"/>
        <v>3.6719999999999808E-3</v>
      </c>
      <c r="E176">
        <f t="shared" si="15"/>
        <v>5</v>
      </c>
      <c r="F176">
        <f t="shared" si="16"/>
        <v>17</v>
      </c>
      <c r="G176">
        <f t="shared" si="17"/>
        <v>5.28</v>
      </c>
      <c r="H176">
        <f t="shared" si="18"/>
        <v>317</v>
      </c>
      <c r="I176" s="3">
        <f t="shared" si="19"/>
        <v>56.782334384858046</v>
      </c>
      <c r="J176" t="str">
        <f t="shared" si="20"/>
        <v>F</v>
      </c>
    </row>
    <row r="177" spans="1:10" hidden="1" x14ac:dyDescent="0.25">
      <c r="A177" s="4" t="s">
        <v>49</v>
      </c>
      <c r="B177" s="1">
        <v>0.52166900000000005</v>
      </c>
      <c r="C177" s="1">
        <v>0.52531700000000003</v>
      </c>
      <c r="D177" s="1">
        <f t="shared" si="14"/>
        <v>3.6479999999999846E-3</v>
      </c>
      <c r="E177">
        <f t="shared" si="15"/>
        <v>5</v>
      </c>
      <c r="F177">
        <f t="shared" si="16"/>
        <v>15</v>
      </c>
      <c r="G177">
        <f t="shared" si="17"/>
        <v>5.25</v>
      </c>
      <c r="H177">
        <f t="shared" si="18"/>
        <v>315</v>
      </c>
      <c r="I177" s="3">
        <f t="shared" si="19"/>
        <v>57.142857142857146</v>
      </c>
      <c r="J177" t="str">
        <f t="shared" si="20"/>
        <v>F</v>
      </c>
    </row>
    <row r="178" spans="1:10" hidden="1" x14ac:dyDescent="0.25">
      <c r="A178" s="4" t="s">
        <v>47</v>
      </c>
      <c r="B178" s="1">
        <v>5.8332000000000002E-2</v>
      </c>
      <c r="C178" s="1">
        <v>5.5495999999999997E-2</v>
      </c>
      <c r="D178" s="1">
        <f t="shared" si="14"/>
        <v>2.8360000000000052E-3</v>
      </c>
      <c r="E178">
        <f t="shared" si="15"/>
        <v>4</v>
      </c>
      <c r="F178">
        <f t="shared" si="16"/>
        <v>5</v>
      </c>
      <c r="G178">
        <f t="shared" si="17"/>
        <v>4.08</v>
      </c>
      <c r="H178">
        <f t="shared" si="18"/>
        <v>245</v>
      </c>
      <c r="I178" s="3">
        <f t="shared" si="19"/>
        <v>73.469387755102048</v>
      </c>
      <c r="J178" t="str">
        <f t="shared" si="20"/>
        <v>F</v>
      </c>
    </row>
    <row r="179" spans="1:10" hidden="1" x14ac:dyDescent="0.25">
      <c r="A179" s="4" t="s">
        <v>41</v>
      </c>
      <c r="B179" s="1">
        <v>0.58149399999999996</v>
      </c>
      <c r="C179" s="1">
        <v>0.57857000000000003</v>
      </c>
      <c r="D179" s="1">
        <f t="shared" si="14"/>
        <v>2.9239999999999267E-3</v>
      </c>
      <c r="E179">
        <f t="shared" si="15"/>
        <v>4</v>
      </c>
      <c r="F179">
        <f t="shared" si="16"/>
        <v>13</v>
      </c>
      <c r="G179">
        <f t="shared" si="17"/>
        <v>4.22</v>
      </c>
      <c r="H179">
        <f t="shared" si="18"/>
        <v>253</v>
      </c>
      <c r="I179" s="3">
        <f t="shared" si="19"/>
        <v>71.146245059288532</v>
      </c>
      <c r="J179" t="str">
        <f t="shared" si="20"/>
        <v>F</v>
      </c>
    </row>
    <row r="180" spans="1:10" hidden="1" x14ac:dyDescent="0.25">
      <c r="A180" s="4" t="s">
        <v>117</v>
      </c>
      <c r="B180" s="1">
        <v>0.91855399999999998</v>
      </c>
      <c r="C180" s="1">
        <v>0.92222999999999999</v>
      </c>
      <c r="D180" s="1">
        <f t="shared" si="14"/>
        <v>3.6760000000000126E-3</v>
      </c>
      <c r="E180">
        <f t="shared" si="15"/>
        <v>5</v>
      </c>
      <c r="F180">
        <f t="shared" si="16"/>
        <v>18</v>
      </c>
      <c r="G180">
        <f t="shared" si="17"/>
        <v>5.3</v>
      </c>
      <c r="H180">
        <f t="shared" si="18"/>
        <v>318</v>
      </c>
      <c r="I180" s="3">
        <f t="shared" si="19"/>
        <v>56.603773584905653</v>
      </c>
      <c r="J180" t="str">
        <f t="shared" si="20"/>
        <v>F</v>
      </c>
    </row>
    <row r="181" spans="1:10" hidden="1" x14ac:dyDescent="0.25">
      <c r="A181" s="4" t="s">
        <v>162</v>
      </c>
      <c r="B181" s="1">
        <v>0.89708699999999997</v>
      </c>
      <c r="C181" s="1">
        <v>0.89373499999999995</v>
      </c>
      <c r="D181" s="1">
        <f t="shared" si="14"/>
        <v>3.3520000000000216E-3</v>
      </c>
      <c r="E181">
        <f t="shared" si="15"/>
        <v>4</v>
      </c>
      <c r="F181">
        <f t="shared" si="16"/>
        <v>50</v>
      </c>
      <c r="G181">
        <f t="shared" si="17"/>
        <v>4.83</v>
      </c>
      <c r="H181">
        <f t="shared" si="18"/>
        <v>290</v>
      </c>
      <c r="I181" s="3">
        <f t="shared" si="19"/>
        <v>62.068965517241381</v>
      </c>
      <c r="J181" t="str">
        <f t="shared" si="20"/>
        <v>F</v>
      </c>
    </row>
    <row r="182" spans="1:10" hidden="1" x14ac:dyDescent="0.25">
      <c r="A182" s="4" t="s">
        <v>5</v>
      </c>
      <c r="B182" s="1">
        <v>0.31651800000000002</v>
      </c>
      <c r="C182" s="1">
        <v>0.31273800000000002</v>
      </c>
      <c r="D182" s="1">
        <f t="shared" si="14"/>
        <v>3.7800000000000056E-3</v>
      </c>
      <c r="E182">
        <f t="shared" si="15"/>
        <v>5</v>
      </c>
      <c r="F182">
        <f t="shared" si="16"/>
        <v>27</v>
      </c>
      <c r="G182">
        <f t="shared" si="17"/>
        <v>5.45</v>
      </c>
      <c r="H182">
        <f t="shared" si="18"/>
        <v>327</v>
      </c>
      <c r="I182" s="3">
        <f t="shared" si="19"/>
        <v>55.045871559633028</v>
      </c>
      <c r="J182" t="str">
        <f t="shared" si="20"/>
        <v>F</v>
      </c>
    </row>
    <row r="183" spans="1:10" hidden="1" x14ac:dyDescent="0.25">
      <c r="A183" s="4" t="s">
        <v>109</v>
      </c>
      <c r="B183" s="1">
        <v>0.87171399999999999</v>
      </c>
      <c r="C183" s="1">
        <v>0.87551800000000002</v>
      </c>
      <c r="D183" s="1">
        <f t="shared" si="14"/>
        <v>3.8040000000000296E-3</v>
      </c>
      <c r="E183">
        <f t="shared" si="15"/>
        <v>5</v>
      </c>
      <c r="F183">
        <f t="shared" si="16"/>
        <v>29</v>
      </c>
      <c r="G183">
        <f t="shared" si="17"/>
        <v>5.48</v>
      </c>
      <c r="H183">
        <f t="shared" si="18"/>
        <v>329</v>
      </c>
      <c r="I183" s="3">
        <f t="shared" si="19"/>
        <v>54.711246200607903</v>
      </c>
      <c r="J183" t="str">
        <f t="shared" si="20"/>
        <v>F</v>
      </c>
    </row>
    <row r="184" spans="1:10" hidden="1" x14ac:dyDescent="0.25">
      <c r="A184" s="4" t="s">
        <v>75</v>
      </c>
      <c r="B184" s="1">
        <v>0.42321900000000001</v>
      </c>
      <c r="C184" s="1">
        <v>0.42627100000000001</v>
      </c>
      <c r="D184" s="1">
        <f t="shared" si="14"/>
        <v>3.0519999999999992E-3</v>
      </c>
      <c r="E184">
        <f t="shared" si="15"/>
        <v>4</v>
      </c>
      <c r="F184">
        <f t="shared" si="16"/>
        <v>24</v>
      </c>
      <c r="G184">
        <f t="shared" si="17"/>
        <v>4.4000000000000004</v>
      </c>
      <c r="H184">
        <f t="shared" si="18"/>
        <v>264</v>
      </c>
      <c r="I184" s="3">
        <f t="shared" si="19"/>
        <v>68.181818181818187</v>
      </c>
      <c r="J184" t="str">
        <f t="shared" si="20"/>
        <v>F</v>
      </c>
    </row>
    <row r="185" spans="1:10" hidden="1" x14ac:dyDescent="0.25">
      <c r="A185" s="4" t="s">
        <v>75</v>
      </c>
      <c r="B185" s="1">
        <v>0.59153599999999995</v>
      </c>
      <c r="C185" s="1">
        <v>0.58769199999999999</v>
      </c>
      <c r="D185" s="1">
        <f t="shared" si="14"/>
        <v>3.8439999999999586E-3</v>
      </c>
      <c r="E185">
        <f t="shared" si="15"/>
        <v>5</v>
      </c>
      <c r="F185">
        <f t="shared" si="16"/>
        <v>32</v>
      </c>
      <c r="G185">
        <f t="shared" si="17"/>
        <v>5.53</v>
      </c>
      <c r="H185">
        <f t="shared" si="18"/>
        <v>332</v>
      </c>
      <c r="I185" s="3">
        <f t="shared" si="19"/>
        <v>54.216867469879517</v>
      </c>
      <c r="J185" t="str">
        <f t="shared" si="20"/>
        <v>F</v>
      </c>
    </row>
    <row r="186" spans="1:10" hidden="1" x14ac:dyDescent="0.25">
      <c r="A186" s="4" t="s">
        <v>68</v>
      </c>
      <c r="B186" s="1">
        <v>0.87950700000000004</v>
      </c>
      <c r="C186" s="1">
        <v>0.88255499999999998</v>
      </c>
      <c r="D186" s="1">
        <f t="shared" si="14"/>
        <v>3.0479999999999396E-3</v>
      </c>
      <c r="E186">
        <f t="shared" si="15"/>
        <v>4</v>
      </c>
      <c r="F186">
        <f t="shared" si="16"/>
        <v>23</v>
      </c>
      <c r="G186">
        <f t="shared" si="17"/>
        <v>4.38</v>
      </c>
      <c r="H186">
        <f t="shared" si="18"/>
        <v>263</v>
      </c>
      <c r="I186" s="3">
        <f t="shared" si="19"/>
        <v>68.441064638783274</v>
      </c>
      <c r="J186" t="str">
        <f t="shared" si="20"/>
        <v>F</v>
      </c>
    </row>
    <row r="187" spans="1:10" hidden="1" x14ac:dyDescent="0.25">
      <c r="A187" s="4" t="s">
        <v>72</v>
      </c>
      <c r="B187" s="1">
        <v>0.848275</v>
      </c>
      <c r="C187" s="1">
        <v>0.84999499999999995</v>
      </c>
      <c r="D187" s="1">
        <f t="shared" si="14"/>
        <v>1.7199999999999438E-3</v>
      </c>
      <c r="E187">
        <f t="shared" si="15"/>
        <v>2</v>
      </c>
      <c r="F187">
        <f t="shared" si="16"/>
        <v>29</v>
      </c>
      <c r="G187">
        <f t="shared" si="17"/>
        <v>2.48</v>
      </c>
      <c r="H187">
        <f t="shared" si="18"/>
        <v>149</v>
      </c>
      <c r="I187" s="3">
        <f t="shared" si="19"/>
        <v>120.80536912751677</v>
      </c>
      <c r="J187" t="str">
        <f t="shared" si="20"/>
        <v>F</v>
      </c>
    </row>
    <row r="188" spans="1:10" hidden="1" x14ac:dyDescent="0.25">
      <c r="A188" s="4" t="s">
        <v>3</v>
      </c>
      <c r="B188" s="1">
        <v>0.29002600000000001</v>
      </c>
      <c r="C188" s="1">
        <v>0.291682</v>
      </c>
      <c r="D188" s="1">
        <f t="shared" si="14"/>
        <v>1.6559999999999908E-3</v>
      </c>
      <c r="E188">
        <f t="shared" si="15"/>
        <v>2</v>
      </c>
      <c r="F188">
        <f t="shared" si="16"/>
        <v>23</v>
      </c>
      <c r="G188">
        <f t="shared" si="17"/>
        <v>2.38</v>
      </c>
      <c r="H188">
        <f t="shared" si="18"/>
        <v>143</v>
      </c>
      <c r="I188" s="3">
        <f t="shared" si="19"/>
        <v>125.87412587412587</v>
      </c>
      <c r="J188" t="str">
        <f t="shared" si="20"/>
        <v>F</v>
      </c>
    </row>
    <row r="189" spans="1:10" hidden="1" x14ac:dyDescent="0.25">
      <c r="A189" s="4" t="s">
        <v>107</v>
      </c>
      <c r="B189" s="1">
        <v>0.41733100000000001</v>
      </c>
      <c r="C189" s="1">
        <v>0.419491</v>
      </c>
      <c r="D189" s="1">
        <f t="shared" si="14"/>
        <v>2.1599999999999953E-3</v>
      </c>
      <c r="E189">
        <f t="shared" si="15"/>
        <v>3</v>
      </c>
      <c r="F189">
        <f t="shared" si="16"/>
        <v>7</v>
      </c>
      <c r="G189">
        <f t="shared" si="17"/>
        <v>3.12</v>
      </c>
      <c r="H189">
        <f t="shared" si="18"/>
        <v>187</v>
      </c>
      <c r="I189" s="3">
        <f t="shared" si="19"/>
        <v>96.256684491978604</v>
      </c>
      <c r="J189" t="str">
        <f t="shared" si="20"/>
        <v>F</v>
      </c>
    </row>
    <row r="190" spans="1:10" hidden="1" x14ac:dyDescent="0.25">
      <c r="A190" s="4" t="s">
        <v>16</v>
      </c>
      <c r="B190" s="1">
        <v>8.7446999999999997E-2</v>
      </c>
      <c r="C190" s="1">
        <v>8.5182999999999995E-2</v>
      </c>
      <c r="D190" s="1">
        <f t="shared" si="14"/>
        <v>2.2640000000000021E-3</v>
      </c>
      <c r="E190">
        <f t="shared" si="15"/>
        <v>3</v>
      </c>
      <c r="F190">
        <f t="shared" si="16"/>
        <v>16</v>
      </c>
      <c r="G190">
        <f t="shared" si="17"/>
        <v>3.27</v>
      </c>
      <c r="H190">
        <f t="shared" si="18"/>
        <v>196</v>
      </c>
      <c r="I190" s="3">
        <f t="shared" si="19"/>
        <v>91.83673469387756</v>
      </c>
      <c r="J190" t="str">
        <f t="shared" si="20"/>
        <v>F</v>
      </c>
    </row>
    <row r="191" spans="1:10" hidden="1" x14ac:dyDescent="0.25">
      <c r="A191" s="4" t="s">
        <v>64</v>
      </c>
      <c r="B191" s="1">
        <v>0.99943800000000005</v>
      </c>
      <c r="C191" s="1">
        <v>0.99675400000000003</v>
      </c>
      <c r="D191" s="1">
        <f t="shared" si="14"/>
        <v>2.6840000000000197E-3</v>
      </c>
      <c r="E191">
        <f t="shared" si="15"/>
        <v>3</v>
      </c>
      <c r="F191">
        <f t="shared" si="16"/>
        <v>52</v>
      </c>
      <c r="G191">
        <f t="shared" si="17"/>
        <v>3.87</v>
      </c>
      <c r="H191">
        <f t="shared" si="18"/>
        <v>232</v>
      </c>
      <c r="I191" s="3">
        <f t="shared" si="19"/>
        <v>77.58620689655173</v>
      </c>
      <c r="J191" t="str">
        <f t="shared" si="20"/>
        <v>F</v>
      </c>
    </row>
    <row r="192" spans="1:10" hidden="1" x14ac:dyDescent="0.25">
      <c r="A192" s="4" t="s">
        <v>155</v>
      </c>
      <c r="B192" s="1">
        <v>0.57598300000000002</v>
      </c>
      <c r="C192" s="1">
        <v>0.57948699999999997</v>
      </c>
      <c r="D192" s="1">
        <f t="shared" si="14"/>
        <v>3.5039999999999516E-3</v>
      </c>
      <c r="E192">
        <f t="shared" si="15"/>
        <v>5</v>
      </c>
      <c r="F192">
        <f t="shared" si="16"/>
        <v>3</v>
      </c>
      <c r="G192">
        <f t="shared" si="17"/>
        <v>5.05</v>
      </c>
      <c r="H192">
        <f t="shared" si="18"/>
        <v>303</v>
      </c>
      <c r="I192" s="3">
        <f t="shared" si="19"/>
        <v>59.405940594059402</v>
      </c>
      <c r="J192" t="str">
        <f t="shared" si="20"/>
        <v>F</v>
      </c>
    </row>
    <row r="193" spans="1:10" hidden="1" x14ac:dyDescent="0.25">
      <c r="A193" s="4" t="s">
        <v>74</v>
      </c>
      <c r="B193" s="1">
        <v>0.170068</v>
      </c>
      <c r="C193" s="1">
        <v>0.16739599999999999</v>
      </c>
      <c r="D193" s="1">
        <f t="shared" si="14"/>
        <v>2.6720000000000077E-3</v>
      </c>
      <c r="E193">
        <f t="shared" si="15"/>
        <v>3</v>
      </c>
      <c r="F193">
        <f t="shared" si="16"/>
        <v>51</v>
      </c>
      <c r="G193">
        <f t="shared" si="17"/>
        <v>3.85</v>
      </c>
      <c r="H193">
        <f t="shared" si="18"/>
        <v>231</v>
      </c>
      <c r="I193" s="3">
        <f t="shared" si="19"/>
        <v>77.922077922077918</v>
      </c>
      <c r="J193" t="str">
        <f t="shared" si="20"/>
        <v>F</v>
      </c>
    </row>
    <row r="194" spans="1:10" hidden="1" x14ac:dyDescent="0.25">
      <c r="A194" s="4" t="s">
        <v>21</v>
      </c>
      <c r="B194" s="1">
        <v>7.4226E-2</v>
      </c>
      <c r="C194" s="1">
        <v>7.5994000000000006E-2</v>
      </c>
      <c r="D194" s="1">
        <f t="shared" si="14"/>
        <v>1.7680000000000057E-3</v>
      </c>
      <c r="E194">
        <f t="shared" si="15"/>
        <v>2</v>
      </c>
      <c r="F194">
        <f t="shared" si="16"/>
        <v>33</v>
      </c>
      <c r="G194">
        <f t="shared" si="17"/>
        <v>2.5499999999999998</v>
      </c>
      <c r="H194">
        <f t="shared" si="18"/>
        <v>153</v>
      </c>
      <c r="I194" s="3">
        <f t="shared" si="19"/>
        <v>117.64705882352942</v>
      </c>
      <c r="J194" t="str">
        <f t="shared" si="20"/>
        <v>F</v>
      </c>
    </row>
    <row r="195" spans="1:10" hidden="1" x14ac:dyDescent="0.25">
      <c r="A195" s="4" t="s">
        <v>27</v>
      </c>
      <c r="B195" s="1">
        <v>0.51301399999999997</v>
      </c>
      <c r="C195" s="1">
        <v>0.51158599999999999</v>
      </c>
      <c r="D195" s="1">
        <f t="shared" ref="D195:D258" si="21">IF(B195&gt;C195,B195-C195,C195-B195)</f>
        <v>1.4279999999999848E-3</v>
      </c>
      <c r="E195">
        <f t="shared" ref="E195:E258" si="22">MINUTE(D195)</f>
        <v>2</v>
      </c>
      <c r="F195">
        <f t="shared" ref="F195:F258" si="23">SECOND(D195)</f>
        <v>3</v>
      </c>
      <c r="G195">
        <f t="shared" ref="G195:G258" si="24">ROUND(E195+F195/60,2)</f>
        <v>2.0499999999999998</v>
      </c>
      <c r="H195">
        <f t="shared" ref="H195:H258" si="25">60*E195+F195</f>
        <v>123</v>
      </c>
      <c r="I195" s="3">
        <f t="shared" ref="I195:I258" si="26">5*(3600/H195)</f>
        <v>146.34146341463415</v>
      </c>
      <c r="J195" t="str">
        <f t="shared" ref="J195:J258" si="27">IF(MID(A195,3,2)="18","T","F")</f>
        <v>F</v>
      </c>
    </row>
    <row r="196" spans="1:10" hidden="1" x14ac:dyDescent="0.25">
      <c r="A196" s="4" t="s">
        <v>83</v>
      </c>
      <c r="B196" s="1">
        <v>0.99456699999999998</v>
      </c>
      <c r="C196" s="1">
        <v>0.99620699999999995</v>
      </c>
      <c r="D196" s="1">
        <f t="shared" si="21"/>
        <v>1.6399999999999748E-3</v>
      </c>
      <c r="E196">
        <f t="shared" si="22"/>
        <v>2</v>
      </c>
      <c r="F196">
        <f t="shared" si="23"/>
        <v>22</v>
      </c>
      <c r="G196">
        <f t="shared" si="24"/>
        <v>2.37</v>
      </c>
      <c r="H196">
        <f t="shared" si="25"/>
        <v>142</v>
      </c>
      <c r="I196" s="3">
        <f t="shared" si="26"/>
        <v>126.7605633802817</v>
      </c>
      <c r="J196" t="str">
        <f t="shared" si="27"/>
        <v>F</v>
      </c>
    </row>
    <row r="197" spans="1:10" hidden="1" x14ac:dyDescent="0.25">
      <c r="A197" s="4" t="s">
        <v>60</v>
      </c>
      <c r="B197" s="1">
        <v>0.72680199999999995</v>
      </c>
      <c r="C197" s="1">
        <v>0.72868999999999995</v>
      </c>
      <c r="D197" s="1">
        <f t="shared" si="21"/>
        <v>1.8880000000000008E-3</v>
      </c>
      <c r="E197">
        <f t="shared" si="22"/>
        <v>2</v>
      </c>
      <c r="F197">
        <f t="shared" si="23"/>
        <v>43</v>
      </c>
      <c r="G197">
        <f t="shared" si="24"/>
        <v>2.72</v>
      </c>
      <c r="H197">
        <f t="shared" si="25"/>
        <v>163</v>
      </c>
      <c r="I197" s="3">
        <f t="shared" si="26"/>
        <v>110.42944785276075</v>
      </c>
      <c r="J197" t="str">
        <f t="shared" si="27"/>
        <v>F</v>
      </c>
    </row>
    <row r="198" spans="1:10" hidden="1" x14ac:dyDescent="0.25">
      <c r="A198" s="4" t="s">
        <v>12</v>
      </c>
      <c r="B198" s="1">
        <v>0.92180200000000001</v>
      </c>
      <c r="C198" s="1">
        <v>0.91994600000000004</v>
      </c>
      <c r="D198" s="1">
        <f t="shared" si="21"/>
        <v>1.8559999999999688E-3</v>
      </c>
      <c r="E198">
        <f t="shared" si="22"/>
        <v>2</v>
      </c>
      <c r="F198">
        <f t="shared" si="23"/>
        <v>40</v>
      </c>
      <c r="G198">
        <f t="shared" si="24"/>
        <v>2.67</v>
      </c>
      <c r="H198">
        <f t="shared" si="25"/>
        <v>160</v>
      </c>
      <c r="I198" s="3">
        <f t="shared" si="26"/>
        <v>112.5</v>
      </c>
      <c r="J198" t="str">
        <f t="shared" si="27"/>
        <v>F</v>
      </c>
    </row>
    <row r="199" spans="1:10" hidden="1" x14ac:dyDescent="0.25">
      <c r="A199" s="4" t="s">
        <v>49</v>
      </c>
      <c r="B199" s="1">
        <v>0.73685999999999996</v>
      </c>
      <c r="C199" s="1">
        <v>0.73460400000000003</v>
      </c>
      <c r="D199" s="1">
        <f t="shared" si="21"/>
        <v>2.2559999999999247E-3</v>
      </c>
      <c r="E199">
        <f t="shared" si="22"/>
        <v>3</v>
      </c>
      <c r="F199">
        <f t="shared" si="23"/>
        <v>15</v>
      </c>
      <c r="G199">
        <f t="shared" si="24"/>
        <v>3.25</v>
      </c>
      <c r="H199">
        <f t="shared" si="25"/>
        <v>195</v>
      </c>
      <c r="I199" s="3">
        <f t="shared" si="26"/>
        <v>92.307692307692292</v>
      </c>
      <c r="J199" t="str">
        <f t="shared" si="27"/>
        <v>F</v>
      </c>
    </row>
    <row r="200" spans="1:10" hidden="1" x14ac:dyDescent="0.25">
      <c r="A200" s="4" t="s">
        <v>47</v>
      </c>
      <c r="B200" s="1">
        <v>0.95486300000000002</v>
      </c>
      <c r="C200" s="1">
        <v>0.95218700000000001</v>
      </c>
      <c r="D200" s="1">
        <f t="shared" si="21"/>
        <v>2.6760000000000117E-3</v>
      </c>
      <c r="E200">
        <f t="shared" si="22"/>
        <v>3</v>
      </c>
      <c r="F200">
        <f t="shared" si="23"/>
        <v>51</v>
      </c>
      <c r="G200">
        <f t="shared" si="24"/>
        <v>3.85</v>
      </c>
      <c r="H200">
        <f t="shared" si="25"/>
        <v>231</v>
      </c>
      <c r="I200" s="3">
        <f t="shared" si="26"/>
        <v>77.922077922077918</v>
      </c>
      <c r="J200" t="str">
        <f t="shared" si="27"/>
        <v>F</v>
      </c>
    </row>
    <row r="201" spans="1:10" hidden="1" x14ac:dyDescent="0.25">
      <c r="A201" s="4" t="s">
        <v>41</v>
      </c>
      <c r="B201" s="1">
        <v>0.17504700000000001</v>
      </c>
      <c r="C201" s="1">
        <v>0.17893500000000001</v>
      </c>
      <c r="D201" s="1">
        <f t="shared" si="21"/>
        <v>3.8880000000000026E-3</v>
      </c>
      <c r="E201">
        <f t="shared" si="22"/>
        <v>5</v>
      </c>
      <c r="F201">
        <f t="shared" si="23"/>
        <v>36</v>
      </c>
      <c r="G201">
        <f t="shared" si="24"/>
        <v>5.6</v>
      </c>
      <c r="H201">
        <f t="shared" si="25"/>
        <v>336</v>
      </c>
      <c r="I201" s="3">
        <f t="shared" si="26"/>
        <v>53.571428571428569</v>
      </c>
      <c r="J201" t="str">
        <f t="shared" si="27"/>
        <v>F</v>
      </c>
    </row>
    <row r="202" spans="1:10" hidden="1" x14ac:dyDescent="0.25">
      <c r="A202" s="4" t="s">
        <v>117</v>
      </c>
      <c r="B202" s="1">
        <v>0.42769200000000002</v>
      </c>
      <c r="C202" s="1">
        <v>0.42931599999999998</v>
      </c>
      <c r="D202" s="1">
        <f t="shared" si="21"/>
        <v>1.6239999999999588E-3</v>
      </c>
      <c r="E202">
        <f t="shared" si="22"/>
        <v>2</v>
      </c>
      <c r="F202">
        <f t="shared" si="23"/>
        <v>20</v>
      </c>
      <c r="G202">
        <f t="shared" si="24"/>
        <v>2.33</v>
      </c>
      <c r="H202">
        <f t="shared" si="25"/>
        <v>140</v>
      </c>
      <c r="I202" s="3">
        <f t="shared" si="26"/>
        <v>128.57142857142858</v>
      </c>
      <c r="J202" t="str">
        <f t="shared" si="27"/>
        <v>F</v>
      </c>
    </row>
    <row r="203" spans="1:10" hidden="1" x14ac:dyDescent="0.25">
      <c r="A203" s="4" t="s">
        <v>162</v>
      </c>
      <c r="B203" s="1">
        <v>0.17679500000000001</v>
      </c>
      <c r="C203" s="1">
        <v>0.17477100000000001</v>
      </c>
      <c r="D203" s="1">
        <f t="shared" si="21"/>
        <v>2.023999999999998E-3</v>
      </c>
      <c r="E203">
        <f t="shared" si="22"/>
        <v>2</v>
      </c>
      <c r="F203">
        <f t="shared" si="23"/>
        <v>55</v>
      </c>
      <c r="G203">
        <f t="shared" si="24"/>
        <v>2.92</v>
      </c>
      <c r="H203">
        <f t="shared" si="25"/>
        <v>175</v>
      </c>
      <c r="I203" s="3">
        <f t="shared" si="26"/>
        <v>102.85714285714286</v>
      </c>
      <c r="J203" t="str">
        <f t="shared" si="27"/>
        <v>F</v>
      </c>
    </row>
    <row r="204" spans="1:10" hidden="1" x14ac:dyDescent="0.25">
      <c r="A204" s="4" t="s">
        <v>5</v>
      </c>
      <c r="B204" s="1">
        <v>0.40955399999999997</v>
      </c>
      <c r="C204" s="1">
        <v>0.41143000000000002</v>
      </c>
      <c r="D204" s="1">
        <f t="shared" si="21"/>
        <v>1.8760000000000443E-3</v>
      </c>
      <c r="E204">
        <f t="shared" si="22"/>
        <v>2</v>
      </c>
      <c r="F204">
        <f t="shared" si="23"/>
        <v>42</v>
      </c>
      <c r="G204">
        <f t="shared" si="24"/>
        <v>2.7</v>
      </c>
      <c r="H204">
        <f t="shared" si="25"/>
        <v>162</v>
      </c>
      <c r="I204" s="3">
        <f t="shared" si="26"/>
        <v>111.11111111111111</v>
      </c>
      <c r="J204" t="str">
        <f t="shared" si="27"/>
        <v>F</v>
      </c>
    </row>
    <row r="205" spans="1:10" hidden="1" x14ac:dyDescent="0.25">
      <c r="A205" s="4" t="s">
        <v>109</v>
      </c>
      <c r="B205" s="1">
        <v>0.68685200000000002</v>
      </c>
      <c r="C205" s="1">
        <v>0.69050400000000001</v>
      </c>
      <c r="D205" s="1">
        <f t="shared" si="21"/>
        <v>3.6519999999999886E-3</v>
      </c>
      <c r="E205">
        <f t="shared" si="22"/>
        <v>5</v>
      </c>
      <c r="F205">
        <f t="shared" si="23"/>
        <v>16</v>
      </c>
      <c r="G205">
        <f t="shared" si="24"/>
        <v>5.27</v>
      </c>
      <c r="H205">
        <f t="shared" si="25"/>
        <v>316</v>
      </c>
      <c r="I205" s="3">
        <f t="shared" si="26"/>
        <v>56.962025316455694</v>
      </c>
      <c r="J205" t="str">
        <f t="shared" si="27"/>
        <v>F</v>
      </c>
    </row>
    <row r="206" spans="1:10" hidden="1" x14ac:dyDescent="0.25">
      <c r="A206" s="4" t="s">
        <v>75</v>
      </c>
      <c r="B206" s="1">
        <v>0.21182200000000001</v>
      </c>
      <c r="C206" s="1">
        <v>0.20880199999999999</v>
      </c>
      <c r="D206" s="1">
        <f t="shared" si="21"/>
        <v>3.0200000000000227E-3</v>
      </c>
      <c r="E206">
        <f t="shared" si="22"/>
        <v>4</v>
      </c>
      <c r="F206">
        <f t="shared" si="23"/>
        <v>21</v>
      </c>
      <c r="G206">
        <f t="shared" si="24"/>
        <v>4.3499999999999996</v>
      </c>
      <c r="H206">
        <f t="shared" si="25"/>
        <v>261</v>
      </c>
      <c r="I206" s="3">
        <f t="shared" si="26"/>
        <v>68.965517241379303</v>
      </c>
      <c r="J206" t="str">
        <f t="shared" si="27"/>
        <v>F</v>
      </c>
    </row>
    <row r="207" spans="1:10" hidden="1" x14ac:dyDescent="0.25">
      <c r="A207" s="4" t="s">
        <v>75</v>
      </c>
      <c r="B207" s="1">
        <v>0.43252099999999999</v>
      </c>
      <c r="C207" s="1">
        <v>0.43110500000000002</v>
      </c>
      <c r="D207" s="1">
        <f t="shared" si="21"/>
        <v>1.4159999999999728E-3</v>
      </c>
      <c r="E207">
        <f t="shared" si="22"/>
        <v>2</v>
      </c>
      <c r="F207">
        <f t="shared" si="23"/>
        <v>2</v>
      </c>
      <c r="G207">
        <f t="shared" si="24"/>
        <v>2.0299999999999998</v>
      </c>
      <c r="H207">
        <f t="shared" si="25"/>
        <v>122</v>
      </c>
      <c r="I207" s="3">
        <f t="shared" si="26"/>
        <v>147.54098360655738</v>
      </c>
      <c r="J207" t="str">
        <f t="shared" si="27"/>
        <v>F</v>
      </c>
    </row>
    <row r="208" spans="1:10" hidden="1" x14ac:dyDescent="0.25">
      <c r="A208" s="4" t="s">
        <v>68</v>
      </c>
      <c r="B208" s="1">
        <v>0.398974</v>
      </c>
      <c r="C208" s="1">
        <v>0.40052599999999999</v>
      </c>
      <c r="D208" s="1">
        <f t="shared" si="21"/>
        <v>1.5519999999999978E-3</v>
      </c>
      <c r="E208">
        <f t="shared" si="22"/>
        <v>2</v>
      </c>
      <c r="F208">
        <f t="shared" si="23"/>
        <v>14</v>
      </c>
      <c r="G208">
        <f t="shared" si="24"/>
        <v>2.23</v>
      </c>
      <c r="H208">
        <f t="shared" si="25"/>
        <v>134</v>
      </c>
      <c r="I208" s="3">
        <f t="shared" si="26"/>
        <v>134.32835820895522</v>
      </c>
      <c r="J208" t="str">
        <f t="shared" si="27"/>
        <v>F</v>
      </c>
    </row>
    <row r="209" spans="1:10" hidden="1" x14ac:dyDescent="0.25">
      <c r="A209" s="4" t="s">
        <v>72</v>
      </c>
      <c r="B209" s="1">
        <v>0.43932300000000002</v>
      </c>
      <c r="C209" s="1">
        <v>0.43679099999999998</v>
      </c>
      <c r="D209" s="1">
        <f t="shared" si="21"/>
        <v>2.5320000000000342E-3</v>
      </c>
      <c r="E209">
        <f t="shared" si="22"/>
        <v>3</v>
      </c>
      <c r="F209">
        <f t="shared" si="23"/>
        <v>39</v>
      </c>
      <c r="G209">
        <f t="shared" si="24"/>
        <v>3.65</v>
      </c>
      <c r="H209">
        <f t="shared" si="25"/>
        <v>219</v>
      </c>
      <c r="I209" s="3">
        <f t="shared" si="26"/>
        <v>82.191780821917817</v>
      </c>
      <c r="J209" t="str">
        <f t="shared" si="27"/>
        <v>F</v>
      </c>
    </row>
    <row r="210" spans="1:10" hidden="1" x14ac:dyDescent="0.25">
      <c r="A210" s="4" t="s">
        <v>3</v>
      </c>
      <c r="B210" s="1">
        <v>0.141675</v>
      </c>
      <c r="C210" s="1">
        <v>0.138651</v>
      </c>
      <c r="D210" s="1">
        <f t="shared" si="21"/>
        <v>3.0239999999999989E-3</v>
      </c>
      <c r="E210">
        <f t="shared" si="22"/>
        <v>4</v>
      </c>
      <c r="F210">
        <f t="shared" si="23"/>
        <v>21</v>
      </c>
      <c r="G210">
        <f t="shared" si="24"/>
        <v>4.3499999999999996</v>
      </c>
      <c r="H210">
        <f t="shared" si="25"/>
        <v>261</v>
      </c>
      <c r="I210" s="3">
        <f t="shared" si="26"/>
        <v>68.965517241379303</v>
      </c>
      <c r="J210" t="str">
        <f t="shared" si="27"/>
        <v>F</v>
      </c>
    </row>
    <row r="211" spans="1:10" hidden="1" x14ac:dyDescent="0.25">
      <c r="A211" s="4" t="s">
        <v>47</v>
      </c>
      <c r="B211" s="1">
        <v>0.85342399999999996</v>
      </c>
      <c r="C211" s="1">
        <v>0.85614800000000002</v>
      </c>
      <c r="D211" s="1">
        <f t="shared" si="21"/>
        <v>2.7240000000000597E-3</v>
      </c>
      <c r="E211">
        <f t="shared" si="22"/>
        <v>3</v>
      </c>
      <c r="F211">
        <f t="shared" si="23"/>
        <v>55</v>
      </c>
      <c r="G211">
        <f t="shared" si="24"/>
        <v>3.92</v>
      </c>
      <c r="H211">
        <f t="shared" si="25"/>
        <v>235</v>
      </c>
      <c r="I211" s="3">
        <f t="shared" si="26"/>
        <v>76.59574468085107</v>
      </c>
      <c r="J211" t="str">
        <f t="shared" si="27"/>
        <v>F</v>
      </c>
    </row>
    <row r="212" spans="1:10" hidden="1" x14ac:dyDescent="0.25">
      <c r="A212" s="4" t="s">
        <v>41</v>
      </c>
      <c r="B212" s="1">
        <v>0.186281</v>
      </c>
      <c r="C212" s="1">
        <v>0.18371299999999999</v>
      </c>
      <c r="D212" s="1">
        <f t="shared" si="21"/>
        <v>2.5680000000000147E-3</v>
      </c>
      <c r="E212">
        <f t="shared" si="22"/>
        <v>3</v>
      </c>
      <c r="F212">
        <f t="shared" si="23"/>
        <v>42</v>
      </c>
      <c r="G212">
        <f t="shared" si="24"/>
        <v>3.7</v>
      </c>
      <c r="H212">
        <f t="shared" si="25"/>
        <v>222</v>
      </c>
      <c r="I212" s="3">
        <f t="shared" si="26"/>
        <v>81.081081081081095</v>
      </c>
      <c r="J212" t="str">
        <f t="shared" si="27"/>
        <v>F</v>
      </c>
    </row>
    <row r="213" spans="1:10" hidden="1" x14ac:dyDescent="0.25">
      <c r="A213" s="4" t="s">
        <v>117</v>
      </c>
      <c r="B213" s="1">
        <v>8.9881000000000003E-2</v>
      </c>
      <c r="C213" s="1">
        <v>9.2344999999999997E-2</v>
      </c>
      <c r="D213" s="1">
        <f t="shared" si="21"/>
        <v>2.463999999999994E-3</v>
      </c>
      <c r="E213">
        <f t="shared" si="22"/>
        <v>3</v>
      </c>
      <c r="F213">
        <f t="shared" si="23"/>
        <v>33</v>
      </c>
      <c r="G213">
        <f t="shared" si="24"/>
        <v>3.55</v>
      </c>
      <c r="H213">
        <f t="shared" si="25"/>
        <v>213</v>
      </c>
      <c r="I213" s="3">
        <f t="shared" si="26"/>
        <v>84.507042253521121</v>
      </c>
      <c r="J213" t="str">
        <f t="shared" si="27"/>
        <v>F</v>
      </c>
    </row>
    <row r="214" spans="1:10" hidden="1" x14ac:dyDescent="0.25">
      <c r="A214" s="4" t="s">
        <v>162</v>
      </c>
      <c r="B214" s="1">
        <v>2.4351000000000001E-2</v>
      </c>
      <c r="C214" s="1">
        <v>2.6023000000000001E-2</v>
      </c>
      <c r="D214" s="1">
        <f t="shared" si="21"/>
        <v>1.6719999999999999E-3</v>
      </c>
      <c r="E214">
        <f t="shared" si="22"/>
        <v>2</v>
      </c>
      <c r="F214">
        <f t="shared" si="23"/>
        <v>24</v>
      </c>
      <c r="G214">
        <f t="shared" si="24"/>
        <v>2.4</v>
      </c>
      <c r="H214">
        <f t="shared" si="25"/>
        <v>144</v>
      </c>
      <c r="I214" s="3">
        <f t="shared" si="26"/>
        <v>125</v>
      </c>
      <c r="J214" t="str">
        <f t="shared" si="27"/>
        <v>F</v>
      </c>
    </row>
    <row r="215" spans="1:10" hidden="1" x14ac:dyDescent="0.25">
      <c r="A215" s="4" t="s">
        <v>5</v>
      </c>
      <c r="B215" s="1">
        <v>0.89798900000000004</v>
      </c>
      <c r="C215" s="1">
        <v>0.89986100000000002</v>
      </c>
      <c r="D215" s="1">
        <f t="shared" si="21"/>
        <v>1.8719999999999848E-3</v>
      </c>
      <c r="E215">
        <f t="shared" si="22"/>
        <v>2</v>
      </c>
      <c r="F215">
        <f t="shared" si="23"/>
        <v>42</v>
      </c>
      <c r="G215">
        <f t="shared" si="24"/>
        <v>2.7</v>
      </c>
      <c r="H215">
        <f t="shared" si="25"/>
        <v>162</v>
      </c>
      <c r="I215" s="3">
        <f t="shared" si="26"/>
        <v>111.11111111111111</v>
      </c>
      <c r="J215" t="str">
        <f t="shared" si="27"/>
        <v>F</v>
      </c>
    </row>
    <row r="216" spans="1:10" hidden="1" x14ac:dyDescent="0.25">
      <c r="A216" s="4" t="s">
        <v>109</v>
      </c>
      <c r="B216" s="1">
        <v>0.869726</v>
      </c>
      <c r="C216" s="1">
        <v>0.86768999999999996</v>
      </c>
      <c r="D216" s="1">
        <f t="shared" si="21"/>
        <v>2.0360000000000378E-3</v>
      </c>
      <c r="E216">
        <f t="shared" si="22"/>
        <v>2</v>
      </c>
      <c r="F216">
        <f t="shared" si="23"/>
        <v>56</v>
      </c>
      <c r="G216">
        <f t="shared" si="24"/>
        <v>2.93</v>
      </c>
      <c r="H216">
        <f t="shared" si="25"/>
        <v>176</v>
      </c>
      <c r="I216" s="3">
        <f t="shared" si="26"/>
        <v>102.27272727272727</v>
      </c>
      <c r="J216" t="str">
        <f t="shared" si="27"/>
        <v>F</v>
      </c>
    </row>
    <row r="217" spans="1:10" hidden="1" x14ac:dyDescent="0.25">
      <c r="A217" s="4" t="s">
        <v>47</v>
      </c>
      <c r="B217" s="1">
        <v>0.44847399999999998</v>
      </c>
      <c r="C217" s="1">
        <v>0.45169799999999999</v>
      </c>
      <c r="D217" s="1">
        <f t="shared" si="21"/>
        <v>3.2240000000000046E-3</v>
      </c>
      <c r="E217">
        <f t="shared" si="22"/>
        <v>4</v>
      </c>
      <c r="F217">
        <f t="shared" si="23"/>
        <v>39</v>
      </c>
      <c r="G217">
        <f t="shared" si="24"/>
        <v>4.6500000000000004</v>
      </c>
      <c r="H217">
        <f t="shared" si="25"/>
        <v>279</v>
      </c>
      <c r="I217" s="3">
        <f t="shared" si="26"/>
        <v>64.516129032258064</v>
      </c>
      <c r="J217" t="str">
        <f t="shared" si="27"/>
        <v>F</v>
      </c>
    </row>
    <row r="218" spans="1:10" hidden="1" x14ac:dyDescent="0.25">
      <c r="A218" s="4" t="s">
        <v>41</v>
      </c>
      <c r="B218" s="1">
        <v>0.58307699999999996</v>
      </c>
      <c r="C218" s="1">
        <v>0.58018099999999995</v>
      </c>
      <c r="D218" s="1">
        <f t="shared" si="21"/>
        <v>2.8960000000000097E-3</v>
      </c>
      <c r="E218">
        <f t="shared" si="22"/>
        <v>4</v>
      </c>
      <c r="F218">
        <f t="shared" si="23"/>
        <v>10</v>
      </c>
      <c r="G218">
        <f t="shared" si="24"/>
        <v>4.17</v>
      </c>
      <c r="H218">
        <f t="shared" si="25"/>
        <v>250</v>
      </c>
      <c r="I218" s="3">
        <f t="shared" si="26"/>
        <v>72</v>
      </c>
      <c r="J218" t="str">
        <f t="shared" si="27"/>
        <v>F</v>
      </c>
    </row>
    <row r="219" spans="1:10" hidden="1" x14ac:dyDescent="0.25">
      <c r="A219" s="4" t="s">
        <v>117</v>
      </c>
      <c r="B219" s="1">
        <v>0.84016999999999997</v>
      </c>
      <c r="C219" s="1">
        <v>0.84218999999999999</v>
      </c>
      <c r="D219" s="1">
        <f t="shared" si="21"/>
        <v>2.0200000000000218E-3</v>
      </c>
      <c r="E219">
        <f t="shared" si="22"/>
        <v>2</v>
      </c>
      <c r="F219">
        <f t="shared" si="23"/>
        <v>55</v>
      </c>
      <c r="G219">
        <f t="shared" si="24"/>
        <v>2.92</v>
      </c>
      <c r="H219">
        <f t="shared" si="25"/>
        <v>175</v>
      </c>
      <c r="I219" s="3">
        <f t="shared" si="26"/>
        <v>102.85714285714286</v>
      </c>
      <c r="J219" t="str">
        <f t="shared" si="27"/>
        <v>F</v>
      </c>
    </row>
    <row r="220" spans="1:10" hidden="1" x14ac:dyDescent="0.25">
      <c r="A220" s="4" t="s">
        <v>162</v>
      </c>
      <c r="B220" s="1">
        <v>0.80282699999999996</v>
      </c>
      <c r="C220" s="1">
        <v>0.805091</v>
      </c>
      <c r="D220" s="1">
        <f t="shared" si="21"/>
        <v>2.2640000000000438E-3</v>
      </c>
      <c r="E220">
        <f t="shared" si="22"/>
        <v>3</v>
      </c>
      <c r="F220">
        <f t="shared" si="23"/>
        <v>16</v>
      </c>
      <c r="G220">
        <f t="shared" si="24"/>
        <v>3.27</v>
      </c>
      <c r="H220">
        <f t="shared" si="25"/>
        <v>196</v>
      </c>
      <c r="I220" s="3">
        <f t="shared" si="26"/>
        <v>91.83673469387756</v>
      </c>
      <c r="J220" t="str">
        <f t="shared" si="27"/>
        <v>F</v>
      </c>
    </row>
    <row r="221" spans="1:10" hidden="1" x14ac:dyDescent="0.25">
      <c r="A221" s="4" t="s">
        <v>5</v>
      </c>
      <c r="B221" s="1">
        <v>7.6984999999999998E-2</v>
      </c>
      <c r="C221" s="1">
        <v>7.3173000000000002E-2</v>
      </c>
      <c r="D221" s="1">
        <f t="shared" si="21"/>
        <v>3.8119999999999959E-3</v>
      </c>
      <c r="E221">
        <f t="shared" si="22"/>
        <v>5</v>
      </c>
      <c r="F221">
        <f t="shared" si="23"/>
        <v>29</v>
      </c>
      <c r="G221">
        <f t="shared" si="24"/>
        <v>5.48</v>
      </c>
      <c r="H221">
        <f t="shared" si="25"/>
        <v>329</v>
      </c>
      <c r="I221" s="3">
        <f t="shared" si="26"/>
        <v>54.711246200607903</v>
      </c>
      <c r="J221" t="str">
        <f t="shared" si="27"/>
        <v>F</v>
      </c>
    </row>
    <row r="222" spans="1:10" hidden="1" x14ac:dyDescent="0.25">
      <c r="A222" s="4" t="s">
        <v>109</v>
      </c>
      <c r="B222" s="1">
        <v>0.98943999999999999</v>
      </c>
      <c r="C222" s="1">
        <v>0.98772800000000005</v>
      </c>
      <c r="D222" s="1">
        <f t="shared" si="21"/>
        <v>1.7119999999999358E-3</v>
      </c>
      <c r="E222">
        <f t="shared" si="22"/>
        <v>2</v>
      </c>
      <c r="F222">
        <f t="shared" si="23"/>
        <v>28</v>
      </c>
      <c r="G222">
        <f t="shared" si="24"/>
        <v>2.4700000000000002</v>
      </c>
      <c r="H222">
        <f t="shared" si="25"/>
        <v>148</v>
      </c>
      <c r="I222" s="3">
        <f t="shared" si="26"/>
        <v>121.62162162162161</v>
      </c>
      <c r="J222" t="str">
        <f t="shared" si="27"/>
        <v>F</v>
      </c>
    </row>
    <row r="223" spans="1:10" hidden="1" x14ac:dyDescent="0.25">
      <c r="A223" s="4" t="s">
        <v>47</v>
      </c>
      <c r="B223" s="1">
        <v>0.38585999999999998</v>
      </c>
      <c r="C223" s="1">
        <v>0.38773999999999997</v>
      </c>
      <c r="D223" s="1">
        <f t="shared" si="21"/>
        <v>1.8799999999999928E-3</v>
      </c>
      <c r="E223">
        <f t="shared" si="22"/>
        <v>2</v>
      </c>
      <c r="F223">
        <f t="shared" si="23"/>
        <v>42</v>
      </c>
      <c r="G223">
        <f t="shared" si="24"/>
        <v>2.7</v>
      </c>
      <c r="H223">
        <f t="shared" si="25"/>
        <v>162</v>
      </c>
      <c r="I223" s="3">
        <f t="shared" si="26"/>
        <v>111.11111111111111</v>
      </c>
      <c r="J223" t="str">
        <f t="shared" si="27"/>
        <v>F</v>
      </c>
    </row>
    <row r="224" spans="1:10" hidden="1" x14ac:dyDescent="0.25">
      <c r="A224" s="4" t="s">
        <v>41</v>
      </c>
      <c r="B224" s="1">
        <v>0.88634100000000005</v>
      </c>
      <c r="C224" s="1">
        <v>0.88827299999999998</v>
      </c>
      <c r="D224" s="1">
        <f t="shared" si="21"/>
        <v>1.9319999999999338E-3</v>
      </c>
      <c r="E224">
        <f t="shared" si="22"/>
        <v>2</v>
      </c>
      <c r="F224">
        <f t="shared" si="23"/>
        <v>47</v>
      </c>
      <c r="G224">
        <f t="shared" si="24"/>
        <v>2.78</v>
      </c>
      <c r="H224">
        <f t="shared" si="25"/>
        <v>167</v>
      </c>
      <c r="I224" s="3">
        <f t="shared" si="26"/>
        <v>107.78443113772455</v>
      </c>
      <c r="J224" t="str">
        <f t="shared" si="27"/>
        <v>F</v>
      </c>
    </row>
    <row r="225" spans="1:10" hidden="1" x14ac:dyDescent="0.25">
      <c r="A225" s="4" t="s">
        <v>117</v>
      </c>
      <c r="B225" s="1">
        <v>0.21960199999999999</v>
      </c>
      <c r="C225" s="1">
        <v>0.21732199999999999</v>
      </c>
      <c r="D225" s="1">
        <f t="shared" si="21"/>
        <v>2.2800000000000042E-3</v>
      </c>
      <c r="E225">
        <f t="shared" si="22"/>
        <v>3</v>
      </c>
      <c r="F225">
        <f t="shared" si="23"/>
        <v>17</v>
      </c>
      <c r="G225">
        <f t="shared" si="24"/>
        <v>3.28</v>
      </c>
      <c r="H225">
        <f t="shared" si="25"/>
        <v>197</v>
      </c>
      <c r="I225" s="3">
        <f t="shared" si="26"/>
        <v>91.370558375634516</v>
      </c>
      <c r="J225" t="str">
        <f t="shared" si="27"/>
        <v>F</v>
      </c>
    </row>
    <row r="226" spans="1:10" hidden="1" x14ac:dyDescent="0.25">
      <c r="A226" s="4" t="s">
        <v>162</v>
      </c>
      <c r="B226" s="1">
        <v>0.14232400000000001</v>
      </c>
      <c r="C226" s="1">
        <v>0.144844</v>
      </c>
      <c r="D226" s="1">
        <f t="shared" si="21"/>
        <v>2.5199999999999945E-3</v>
      </c>
      <c r="E226">
        <f t="shared" si="22"/>
        <v>3</v>
      </c>
      <c r="F226">
        <f t="shared" si="23"/>
        <v>38</v>
      </c>
      <c r="G226">
        <f t="shared" si="24"/>
        <v>3.63</v>
      </c>
      <c r="H226">
        <f t="shared" si="25"/>
        <v>218</v>
      </c>
      <c r="I226" s="3">
        <f t="shared" si="26"/>
        <v>82.568807339449535</v>
      </c>
      <c r="J226" t="str">
        <f t="shared" si="27"/>
        <v>F</v>
      </c>
    </row>
    <row r="227" spans="1:10" hidden="1" x14ac:dyDescent="0.25">
      <c r="A227" s="4" t="s">
        <v>5</v>
      </c>
      <c r="B227" s="1">
        <v>0.78616900000000001</v>
      </c>
      <c r="C227" s="1">
        <v>0.78911699999999996</v>
      </c>
      <c r="D227" s="1">
        <f t="shared" si="21"/>
        <v>2.9479999999999507E-3</v>
      </c>
      <c r="E227">
        <f t="shared" si="22"/>
        <v>4</v>
      </c>
      <c r="F227">
        <f t="shared" si="23"/>
        <v>15</v>
      </c>
      <c r="G227">
        <f t="shared" si="24"/>
        <v>4.25</v>
      </c>
      <c r="H227">
        <f t="shared" si="25"/>
        <v>255</v>
      </c>
      <c r="I227" s="3">
        <f t="shared" si="26"/>
        <v>70.588235294117652</v>
      </c>
      <c r="J227" t="str">
        <f t="shared" si="27"/>
        <v>F</v>
      </c>
    </row>
    <row r="228" spans="1:10" hidden="1" x14ac:dyDescent="0.25">
      <c r="A228" s="4" t="s">
        <v>109</v>
      </c>
      <c r="B228" s="1">
        <v>0.116871</v>
      </c>
      <c r="C228" s="1">
        <v>0.114135</v>
      </c>
      <c r="D228" s="1">
        <f t="shared" si="21"/>
        <v>2.7360000000000023E-3</v>
      </c>
      <c r="E228">
        <f t="shared" si="22"/>
        <v>3</v>
      </c>
      <c r="F228">
        <f t="shared" si="23"/>
        <v>56</v>
      </c>
      <c r="G228">
        <f t="shared" si="24"/>
        <v>3.93</v>
      </c>
      <c r="H228">
        <f t="shared" si="25"/>
        <v>236</v>
      </c>
      <c r="I228" s="3">
        <f t="shared" si="26"/>
        <v>76.271186440677965</v>
      </c>
      <c r="J228" t="str">
        <f t="shared" si="27"/>
        <v>F</v>
      </c>
    </row>
    <row r="229" spans="1:10" hidden="1" x14ac:dyDescent="0.25">
      <c r="A229" s="4" t="s">
        <v>47</v>
      </c>
      <c r="B229" s="1">
        <v>7.4501999999999999E-2</v>
      </c>
      <c r="C229" s="1">
        <v>7.3053999999999994E-2</v>
      </c>
      <c r="D229" s="1">
        <f t="shared" si="21"/>
        <v>1.4480000000000048E-3</v>
      </c>
      <c r="E229">
        <f t="shared" si="22"/>
        <v>2</v>
      </c>
      <c r="F229">
        <f t="shared" si="23"/>
        <v>5</v>
      </c>
      <c r="G229">
        <f t="shared" si="24"/>
        <v>2.08</v>
      </c>
      <c r="H229">
        <f t="shared" si="25"/>
        <v>125</v>
      </c>
      <c r="I229" s="3">
        <f t="shared" si="26"/>
        <v>144</v>
      </c>
      <c r="J229" t="str">
        <f t="shared" si="27"/>
        <v>F</v>
      </c>
    </row>
    <row r="230" spans="1:10" hidden="1" x14ac:dyDescent="0.25">
      <c r="A230" s="4" t="s">
        <v>41</v>
      </c>
      <c r="B230" s="1">
        <v>0.25088199999999999</v>
      </c>
      <c r="C230" s="1">
        <v>0.24737799999999999</v>
      </c>
      <c r="D230" s="1">
        <f t="shared" si="21"/>
        <v>3.5040000000000071E-3</v>
      </c>
      <c r="E230">
        <f t="shared" si="22"/>
        <v>5</v>
      </c>
      <c r="F230">
        <f t="shared" si="23"/>
        <v>3</v>
      </c>
      <c r="G230">
        <f t="shared" si="24"/>
        <v>5.05</v>
      </c>
      <c r="H230">
        <f t="shared" si="25"/>
        <v>303</v>
      </c>
      <c r="I230" s="3">
        <f t="shared" si="26"/>
        <v>59.405940594059402</v>
      </c>
      <c r="J230" t="str">
        <f t="shared" si="27"/>
        <v>F</v>
      </c>
    </row>
    <row r="231" spans="1:10" hidden="1" x14ac:dyDescent="0.25">
      <c r="A231" s="4" t="s">
        <v>117</v>
      </c>
      <c r="B231" s="1">
        <v>0.94641600000000004</v>
      </c>
      <c r="C231" s="1">
        <v>0.94965200000000005</v>
      </c>
      <c r="D231" s="1">
        <f t="shared" si="21"/>
        <v>3.2360000000000166E-3</v>
      </c>
      <c r="E231">
        <f t="shared" si="22"/>
        <v>4</v>
      </c>
      <c r="F231">
        <f t="shared" si="23"/>
        <v>40</v>
      </c>
      <c r="G231">
        <f t="shared" si="24"/>
        <v>4.67</v>
      </c>
      <c r="H231">
        <f t="shared" si="25"/>
        <v>280</v>
      </c>
      <c r="I231" s="3">
        <f t="shared" si="26"/>
        <v>64.285714285714292</v>
      </c>
      <c r="J231" t="str">
        <f t="shared" si="27"/>
        <v>F</v>
      </c>
    </row>
    <row r="232" spans="1:10" hidden="1" x14ac:dyDescent="0.25">
      <c r="A232" s="4" t="s">
        <v>162</v>
      </c>
      <c r="B232" s="1">
        <v>0.110017</v>
      </c>
      <c r="C232" s="1">
        <v>0.108101</v>
      </c>
      <c r="D232" s="1">
        <f t="shared" si="21"/>
        <v>1.916000000000001E-3</v>
      </c>
      <c r="E232">
        <f t="shared" si="22"/>
        <v>2</v>
      </c>
      <c r="F232">
        <f t="shared" si="23"/>
        <v>46</v>
      </c>
      <c r="G232">
        <f t="shared" si="24"/>
        <v>2.77</v>
      </c>
      <c r="H232">
        <f t="shared" si="25"/>
        <v>166</v>
      </c>
      <c r="I232" s="3">
        <f t="shared" si="26"/>
        <v>108.43373493975903</v>
      </c>
      <c r="J232" t="str">
        <f t="shared" si="27"/>
        <v>F</v>
      </c>
    </row>
    <row r="233" spans="1:10" hidden="1" x14ac:dyDescent="0.25">
      <c r="A233" s="4" t="s">
        <v>164</v>
      </c>
      <c r="B233" s="1">
        <v>0.27964899999999998</v>
      </c>
      <c r="C233" s="1">
        <v>0.28198499999999999</v>
      </c>
      <c r="D233" s="1">
        <f t="shared" si="21"/>
        <v>2.3360000000000047E-3</v>
      </c>
      <c r="E233">
        <f t="shared" si="22"/>
        <v>3</v>
      </c>
      <c r="F233">
        <f t="shared" si="23"/>
        <v>22</v>
      </c>
      <c r="G233">
        <f t="shared" si="24"/>
        <v>3.37</v>
      </c>
      <c r="H233">
        <f t="shared" si="25"/>
        <v>202</v>
      </c>
      <c r="I233" s="3">
        <f t="shared" si="26"/>
        <v>89.108910891089124</v>
      </c>
      <c r="J233" t="str">
        <f t="shared" si="27"/>
        <v>F</v>
      </c>
    </row>
    <row r="234" spans="1:10" hidden="1" x14ac:dyDescent="0.25">
      <c r="A234" s="4" t="s">
        <v>109</v>
      </c>
      <c r="B234" s="1">
        <v>0.12549399999999999</v>
      </c>
      <c r="C234" s="1">
        <v>0.121934</v>
      </c>
      <c r="D234" s="1">
        <f t="shared" si="21"/>
        <v>3.5599999999999937E-3</v>
      </c>
      <c r="E234">
        <f t="shared" si="22"/>
        <v>5</v>
      </c>
      <c r="F234">
        <f t="shared" si="23"/>
        <v>8</v>
      </c>
      <c r="G234">
        <f t="shared" si="24"/>
        <v>5.13</v>
      </c>
      <c r="H234">
        <f t="shared" si="25"/>
        <v>308</v>
      </c>
      <c r="I234" s="3">
        <f t="shared" si="26"/>
        <v>58.441558441558442</v>
      </c>
      <c r="J234" t="str">
        <f t="shared" si="27"/>
        <v>F</v>
      </c>
    </row>
    <row r="235" spans="1:10" hidden="1" x14ac:dyDescent="0.25">
      <c r="A235" s="4" t="s">
        <v>162</v>
      </c>
      <c r="B235" s="1">
        <v>0.459476</v>
      </c>
      <c r="C235" s="1">
        <v>0.45600000000000002</v>
      </c>
      <c r="D235" s="1">
        <f t="shared" si="21"/>
        <v>3.4759999999999791E-3</v>
      </c>
      <c r="E235">
        <f t="shared" si="22"/>
        <v>5</v>
      </c>
      <c r="F235">
        <f t="shared" si="23"/>
        <v>0</v>
      </c>
      <c r="G235">
        <f t="shared" si="24"/>
        <v>5</v>
      </c>
      <c r="H235">
        <f t="shared" si="25"/>
        <v>300</v>
      </c>
      <c r="I235" s="3">
        <f t="shared" si="26"/>
        <v>60</v>
      </c>
      <c r="J235" t="str">
        <f t="shared" si="27"/>
        <v>F</v>
      </c>
    </row>
    <row r="236" spans="1:10" hidden="1" x14ac:dyDescent="0.25">
      <c r="A236" s="4" t="s">
        <v>5</v>
      </c>
      <c r="B236" s="1">
        <v>0.27487200000000001</v>
      </c>
      <c r="C236" s="1">
        <v>0.27720400000000001</v>
      </c>
      <c r="D236" s="1">
        <f t="shared" si="21"/>
        <v>2.3320000000000007E-3</v>
      </c>
      <c r="E236">
        <f t="shared" si="22"/>
        <v>3</v>
      </c>
      <c r="F236">
        <f t="shared" si="23"/>
        <v>21</v>
      </c>
      <c r="G236">
        <f t="shared" si="24"/>
        <v>3.35</v>
      </c>
      <c r="H236">
        <f t="shared" si="25"/>
        <v>201</v>
      </c>
      <c r="I236" s="3">
        <f t="shared" si="26"/>
        <v>89.552238805970148</v>
      </c>
      <c r="J236" t="str">
        <f t="shared" si="27"/>
        <v>F</v>
      </c>
    </row>
    <row r="237" spans="1:10" hidden="1" x14ac:dyDescent="0.25">
      <c r="A237" s="4" t="s">
        <v>109</v>
      </c>
      <c r="B237" s="1">
        <v>0.67701</v>
      </c>
      <c r="C237" s="1">
        <v>0.67305400000000004</v>
      </c>
      <c r="D237" s="1">
        <f t="shared" si="21"/>
        <v>3.9559999999999595E-3</v>
      </c>
      <c r="E237">
        <f t="shared" si="22"/>
        <v>5</v>
      </c>
      <c r="F237">
        <f t="shared" si="23"/>
        <v>42</v>
      </c>
      <c r="G237">
        <f t="shared" si="24"/>
        <v>5.7</v>
      </c>
      <c r="H237">
        <f t="shared" si="25"/>
        <v>342</v>
      </c>
      <c r="I237" s="3">
        <f t="shared" si="26"/>
        <v>52.631578947368425</v>
      </c>
      <c r="J237" t="str">
        <f t="shared" si="27"/>
        <v>F</v>
      </c>
    </row>
    <row r="238" spans="1:10" hidden="1" x14ac:dyDescent="0.25">
      <c r="A238" s="4" t="s">
        <v>165</v>
      </c>
      <c r="B238" s="1">
        <v>0.16714200000000001</v>
      </c>
      <c r="C238" s="1">
        <v>0.165106</v>
      </c>
      <c r="D238" s="1">
        <f t="shared" si="21"/>
        <v>2.03600000000001E-3</v>
      </c>
      <c r="E238">
        <f t="shared" si="22"/>
        <v>2</v>
      </c>
      <c r="F238">
        <f t="shared" si="23"/>
        <v>56</v>
      </c>
      <c r="G238">
        <f t="shared" si="24"/>
        <v>2.93</v>
      </c>
      <c r="H238">
        <f t="shared" si="25"/>
        <v>176</v>
      </c>
      <c r="I238" s="3">
        <f t="shared" si="26"/>
        <v>102.27272727272727</v>
      </c>
      <c r="J238" t="str">
        <f t="shared" si="27"/>
        <v>F</v>
      </c>
    </row>
    <row r="239" spans="1:10" hidden="1" x14ac:dyDescent="0.25">
      <c r="A239" s="4" t="s">
        <v>5</v>
      </c>
      <c r="B239" s="1">
        <v>0.59608099999999997</v>
      </c>
      <c r="C239" s="1">
        <v>0.59963299999999997</v>
      </c>
      <c r="D239" s="1">
        <f t="shared" si="21"/>
        <v>3.5519999999999996E-3</v>
      </c>
      <c r="E239">
        <f t="shared" si="22"/>
        <v>5</v>
      </c>
      <c r="F239">
        <f t="shared" si="23"/>
        <v>7</v>
      </c>
      <c r="G239">
        <f t="shared" si="24"/>
        <v>5.12</v>
      </c>
      <c r="H239">
        <f t="shared" si="25"/>
        <v>307</v>
      </c>
      <c r="I239" s="3">
        <f t="shared" si="26"/>
        <v>58.631921824104232</v>
      </c>
      <c r="J239" t="str">
        <f t="shared" si="27"/>
        <v>F</v>
      </c>
    </row>
    <row r="240" spans="1:10" hidden="1" x14ac:dyDescent="0.25">
      <c r="A240" s="4" t="s">
        <v>109</v>
      </c>
      <c r="B240" s="1">
        <v>0.30414799999999997</v>
      </c>
      <c r="C240" s="1">
        <v>0.30221199999999998</v>
      </c>
      <c r="D240" s="1">
        <f t="shared" si="21"/>
        <v>1.9359999999999933E-3</v>
      </c>
      <c r="E240">
        <f t="shared" si="22"/>
        <v>2</v>
      </c>
      <c r="F240">
        <f t="shared" si="23"/>
        <v>47</v>
      </c>
      <c r="G240">
        <f t="shared" si="24"/>
        <v>2.78</v>
      </c>
      <c r="H240">
        <f t="shared" si="25"/>
        <v>167</v>
      </c>
      <c r="I240" s="3">
        <f t="shared" si="26"/>
        <v>107.78443113772455</v>
      </c>
      <c r="J240" t="str">
        <f t="shared" si="27"/>
        <v>F</v>
      </c>
    </row>
    <row r="241" spans="1:10" hidden="1" x14ac:dyDescent="0.25">
      <c r="A241" s="4" t="s">
        <v>162</v>
      </c>
      <c r="B241" s="1">
        <v>0.576519</v>
      </c>
      <c r="C241" s="1">
        <v>0.57400300000000004</v>
      </c>
      <c r="D241" s="1">
        <f t="shared" si="21"/>
        <v>2.5159999999999627E-3</v>
      </c>
      <c r="E241">
        <f t="shared" si="22"/>
        <v>3</v>
      </c>
      <c r="F241">
        <f t="shared" si="23"/>
        <v>37</v>
      </c>
      <c r="G241">
        <f t="shared" si="24"/>
        <v>3.62</v>
      </c>
      <c r="H241">
        <f t="shared" si="25"/>
        <v>217</v>
      </c>
      <c r="I241" s="3">
        <f t="shared" si="26"/>
        <v>82.94930875576037</v>
      </c>
      <c r="J241" t="str">
        <f t="shared" si="27"/>
        <v>F</v>
      </c>
    </row>
    <row r="242" spans="1:10" hidden="1" x14ac:dyDescent="0.25">
      <c r="A242" s="4" t="s">
        <v>5</v>
      </c>
      <c r="B242" s="1">
        <v>0.28254000000000001</v>
      </c>
      <c r="C242" s="1">
        <v>0.28488400000000003</v>
      </c>
      <c r="D242" s="1">
        <f t="shared" si="21"/>
        <v>2.3440000000000127E-3</v>
      </c>
      <c r="E242">
        <f t="shared" si="22"/>
        <v>3</v>
      </c>
      <c r="F242">
        <f t="shared" si="23"/>
        <v>23</v>
      </c>
      <c r="G242">
        <f t="shared" si="24"/>
        <v>3.38</v>
      </c>
      <c r="H242">
        <f t="shared" si="25"/>
        <v>203</v>
      </c>
      <c r="I242" s="3">
        <f t="shared" si="26"/>
        <v>88.66995073891627</v>
      </c>
      <c r="J242" t="str">
        <f t="shared" si="27"/>
        <v>F</v>
      </c>
    </row>
    <row r="243" spans="1:10" hidden="1" x14ac:dyDescent="0.25">
      <c r="A243" s="4" t="s">
        <v>109</v>
      </c>
      <c r="B243" s="1">
        <v>0.23408499999999999</v>
      </c>
      <c r="C243" s="1">
        <v>0.23075300000000001</v>
      </c>
      <c r="D243" s="1">
        <f t="shared" si="21"/>
        <v>3.3319999999999739E-3</v>
      </c>
      <c r="E243">
        <f t="shared" si="22"/>
        <v>4</v>
      </c>
      <c r="F243">
        <f t="shared" si="23"/>
        <v>48</v>
      </c>
      <c r="G243">
        <f t="shared" si="24"/>
        <v>4.8</v>
      </c>
      <c r="H243">
        <f t="shared" si="25"/>
        <v>288</v>
      </c>
      <c r="I243" s="3">
        <f t="shared" si="26"/>
        <v>62.5</v>
      </c>
      <c r="J243" t="str">
        <f t="shared" si="27"/>
        <v>F</v>
      </c>
    </row>
    <row r="244" spans="1:10" hidden="1" x14ac:dyDescent="0.25">
      <c r="A244" s="4" t="s">
        <v>87</v>
      </c>
      <c r="B244" s="1">
        <v>0.50998299999999996</v>
      </c>
      <c r="C244" s="1">
        <v>0.50774300000000006</v>
      </c>
      <c r="D244" s="1">
        <f t="shared" si="21"/>
        <v>2.2399999999999087E-3</v>
      </c>
      <c r="E244">
        <f t="shared" si="22"/>
        <v>3</v>
      </c>
      <c r="F244">
        <f t="shared" si="23"/>
        <v>14</v>
      </c>
      <c r="G244">
        <f t="shared" si="24"/>
        <v>3.23</v>
      </c>
      <c r="H244">
        <f t="shared" si="25"/>
        <v>194</v>
      </c>
      <c r="I244" s="3">
        <f t="shared" si="26"/>
        <v>92.783505154639187</v>
      </c>
      <c r="J244" t="str">
        <f t="shared" si="27"/>
        <v>F</v>
      </c>
    </row>
    <row r="245" spans="1:10" hidden="1" x14ac:dyDescent="0.25">
      <c r="A245" s="4" t="s">
        <v>87</v>
      </c>
      <c r="B245" s="1">
        <v>0.44664599999999999</v>
      </c>
      <c r="C245" s="1">
        <v>0.44944200000000001</v>
      </c>
      <c r="D245" s="1">
        <f t="shared" si="21"/>
        <v>2.7960000000000207E-3</v>
      </c>
      <c r="E245">
        <f t="shared" si="22"/>
        <v>4</v>
      </c>
      <c r="F245">
        <f t="shared" si="23"/>
        <v>2</v>
      </c>
      <c r="G245">
        <f t="shared" si="24"/>
        <v>4.03</v>
      </c>
      <c r="H245">
        <f t="shared" si="25"/>
        <v>242</v>
      </c>
      <c r="I245" s="3">
        <f t="shared" si="26"/>
        <v>74.380165289256198</v>
      </c>
      <c r="J245" t="str">
        <f t="shared" si="27"/>
        <v>F</v>
      </c>
    </row>
    <row r="246" spans="1:10" hidden="1" x14ac:dyDescent="0.25">
      <c r="A246" s="4" t="s">
        <v>87</v>
      </c>
      <c r="B246" s="1">
        <v>0.61230499999999999</v>
      </c>
      <c r="C246" s="1">
        <v>0.61417299999999997</v>
      </c>
      <c r="D246" s="1">
        <f t="shared" si="21"/>
        <v>1.8679999999999808E-3</v>
      </c>
      <c r="E246">
        <f t="shared" si="22"/>
        <v>2</v>
      </c>
      <c r="F246">
        <f t="shared" si="23"/>
        <v>41</v>
      </c>
      <c r="G246">
        <f t="shared" si="24"/>
        <v>2.68</v>
      </c>
      <c r="H246">
        <f t="shared" si="25"/>
        <v>161</v>
      </c>
      <c r="I246" s="3">
        <f t="shared" si="26"/>
        <v>111.80124223602485</v>
      </c>
      <c r="J246" t="str">
        <f t="shared" si="27"/>
        <v>F</v>
      </c>
    </row>
    <row r="247" spans="1:10" hidden="1" x14ac:dyDescent="0.25">
      <c r="A247" s="4" t="s">
        <v>87</v>
      </c>
      <c r="B247" s="1">
        <v>0.29541000000000001</v>
      </c>
      <c r="C247" s="1">
        <v>0.29919800000000002</v>
      </c>
      <c r="D247" s="1">
        <f t="shared" si="21"/>
        <v>3.7880000000000136E-3</v>
      </c>
      <c r="E247">
        <f t="shared" si="22"/>
        <v>5</v>
      </c>
      <c r="F247">
        <f t="shared" si="23"/>
        <v>27</v>
      </c>
      <c r="G247">
        <f t="shared" si="24"/>
        <v>5.45</v>
      </c>
      <c r="H247">
        <f t="shared" si="25"/>
        <v>327</v>
      </c>
      <c r="I247" s="3">
        <f t="shared" si="26"/>
        <v>55.045871559633028</v>
      </c>
      <c r="J247" t="str">
        <f t="shared" si="27"/>
        <v>F</v>
      </c>
    </row>
    <row r="248" spans="1:10" hidden="1" x14ac:dyDescent="0.25">
      <c r="A248" s="4" t="s">
        <v>56</v>
      </c>
      <c r="B248" s="1">
        <v>0.74378100000000003</v>
      </c>
      <c r="C248" s="1">
        <v>0.747197</v>
      </c>
      <c r="D248" s="1">
        <f t="shared" si="21"/>
        <v>3.4159999999999746E-3</v>
      </c>
      <c r="E248">
        <f t="shared" si="22"/>
        <v>4</v>
      </c>
      <c r="F248">
        <f t="shared" si="23"/>
        <v>55</v>
      </c>
      <c r="G248">
        <f t="shared" si="24"/>
        <v>4.92</v>
      </c>
      <c r="H248">
        <f t="shared" si="25"/>
        <v>295</v>
      </c>
      <c r="I248" s="3">
        <f t="shared" si="26"/>
        <v>61.016949152542367</v>
      </c>
      <c r="J248" t="str">
        <f t="shared" si="27"/>
        <v>F</v>
      </c>
    </row>
    <row r="249" spans="1:10" hidden="1" x14ac:dyDescent="0.25">
      <c r="A249" s="4" t="s">
        <v>132</v>
      </c>
      <c r="B249" s="1">
        <v>0.51571999999999996</v>
      </c>
      <c r="C249" s="1">
        <v>0.51715999999999995</v>
      </c>
      <c r="D249" s="1">
        <f t="shared" si="21"/>
        <v>1.4399999999999968E-3</v>
      </c>
      <c r="E249">
        <f t="shared" si="22"/>
        <v>2</v>
      </c>
      <c r="F249">
        <f t="shared" si="23"/>
        <v>4</v>
      </c>
      <c r="G249">
        <f t="shared" si="24"/>
        <v>2.0699999999999998</v>
      </c>
      <c r="H249">
        <f t="shared" si="25"/>
        <v>124</v>
      </c>
      <c r="I249" s="3">
        <f t="shared" si="26"/>
        <v>145.16129032258064</v>
      </c>
      <c r="J249" t="str">
        <f t="shared" si="27"/>
        <v>F</v>
      </c>
    </row>
    <row r="250" spans="1:10" hidden="1" x14ac:dyDescent="0.25">
      <c r="A250" s="4" t="s">
        <v>18</v>
      </c>
      <c r="B250" s="1">
        <v>0.214673</v>
      </c>
      <c r="C250" s="1">
        <v>0.21774499999999999</v>
      </c>
      <c r="D250" s="1">
        <f t="shared" si="21"/>
        <v>3.0719999999999914E-3</v>
      </c>
      <c r="E250">
        <f t="shared" si="22"/>
        <v>4</v>
      </c>
      <c r="F250">
        <f t="shared" si="23"/>
        <v>25</v>
      </c>
      <c r="G250">
        <f t="shared" si="24"/>
        <v>4.42</v>
      </c>
      <c r="H250">
        <f t="shared" si="25"/>
        <v>265</v>
      </c>
      <c r="I250" s="3">
        <f t="shared" si="26"/>
        <v>67.924528301886795</v>
      </c>
      <c r="J250" t="str">
        <f t="shared" si="27"/>
        <v>F</v>
      </c>
    </row>
    <row r="251" spans="1:10" hidden="1" x14ac:dyDescent="0.25">
      <c r="A251" s="4" t="s">
        <v>85</v>
      </c>
      <c r="B251" s="1">
        <v>0.90568499999999996</v>
      </c>
      <c r="C251" s="1">
        <v>0.90785700000000003</v>
      </c>
      <c r="D251" s="1">
        <f t="shared" si="21"/>
        <v>2.1720000000000628E-3</v>
      </c>
      <c r="E251">
        <f t="shared" si="22"/>
        <v>3</v>
      </c>
      <c r="F251">
        <f t="shared" si="23"/>
        <v>8</v>
      </c>
      <c r="G251">
        <f t="shared" si="24"/>
        <v>3.13</v>
      </c>
      <c r="H251">
        <f t="shared" si="25"/>
        <v>188</v>
      </c>
      <c r="I251" s="3">
        <f t="shared" si="26"/>
        <v>95.744680851063833</v>
      </c>
      <c r="J251" t="str">
        <f t="shared" si="27"/>
        <v>F</v>
      </c>
    </row>
    <row r="252" spans="1:10" hidden="1" x14ac:dyDescent="0.25">
      <c r="A252" s="4" t="s">
        <v>112</v>
      </c>
      <c r="B252" s="1">
        <v>0.45399299999999998</v>
      </c>
      <c r="C252" s="1">
        <v>0.452185</v>
      </c>
      <c r="D252" s="1">
        <f t="shared" si="21"/>
        <v>1.8079999999999763E-3</v>
      </c>
      <c r="E252">
        <f t="shared" si="22"/>
        <v>2</v>
      </c>
      <c r="F252">
        <f t="shared" si="23"/>
        <v>36</v>
      </c>
      <c r="G252">
        <f t="shared" si="24"/>
        <v>2.6</v>
      </c>
      <c r="H252">
        <f t="shared" si="25"/>
        <v>156</v>
      </c>
      <c r="I252" s="3">
        <f t="shared" si="26"/>
        <v>115.38461538461539</v>
      </c>
      <c r="J252" t="str">
        <f t="shared" si="27"/>
        <v>F</v>
      </c>
    </row>
    <row r="253" spans="1:10" hidden="1" x14ac:dyDescent="0.25">
      <c r="A253" s="4" t="s">
        <v>103</v>
      </c>
      <c r="B253" s="1">
        <v>0.65021700000000004</v>
      </c>
      <c r="C253" s="1">
        <v>0.64635299999999996</v>
      </c>
      <c r="D253" s="1">
        <f t="shared" si="21"/>
        <v>3.8640000000000896E-3</v>
      </c>
      <c r="E253">
        <f t="shared" si="22"/>
        <v>5</v>
      </c>
      <c r="F253">
        <f t="shared" si="23"/>
        <v>34</v>
      </c>
      <c r="G253">
        <f t="shared" si="24"/>
        <v>5.57</v>
      </c>
      <c r="H253">
        <f t="shared" si="25"/>
        <v>334</v>
      </c>
      <c r="I253" s="3">
        <f t="shared" si="26"/>
        <v>53.892215568862277</v>
      </c>
      <c r="J253" t="str">
        <f t="shared" si="27"/>
        <v>F</v>
      </c>
    </row>
    <row r="254" spans="1:10" hidden="1" x14ac:dyDescent="0.25">
      <c r="A254" s="4" t="s">
        <v>57</v>
      </c>
      <c r="B254" s="1">
        <v>0.174453</v>
      </c>
      <c r="C254" s="1">
        <v>0.176009</v>
      </c>
      <c r="D254" s="1">
        <f t="shared" si="21"/>
        <v>1.5560000000000018E-3</v>
      </c>
      <c r="E254">
        <f t="shared" si="22"/>
        <v>2</v>
      </c>
      <c r="F254">
        <f t="shared" si="23"/>
        <v>14</v>
      </c>
      <c r="G254">
        <f t="shared" si="24"/>
        <v>2.23</v>
      </c>
      <c r="H254">
        <f t="shared" si="25"/>
        <v>134</v>
      </c>
      <c r="I254" s="3">
        <f t="shared" si="26"/>
        <v>134.32835820895522</v>
      </c>
      <c r="J254" t="str">
        <f t="shared" si="27"/>
        <v>F</v>
      </c>
    </row>
    <row r="255" spans="1:10" hidden="1" x14ac:dyDescent="0.25">
      <c r="A255" s="4" t="s">
        <v>3</v>
      </c>
      <c r="B255" s="1">
        <v>0.140041</v>
      </c>
      <c r="C255" s="1">
        <v>0.14161699999999999</v>
      </c>
      <c r="D255" s="1">
        <f t="shared" si="21"/>
        <v>1.5759999999999941E-3</v>
      </c>
      <c r="E255">
        <f t="shared" si="22"/>
        <v>2</v>
      </c>
      <c r="F255">
        <f t="shared" si="23"/>
        <v>16</v>
      </c>
      <c r="G255">
        <f t="shared" si="24"/>
        <v>2.27</v>
      </c>
      <c r="H255">
        <f t="shared" si="25"/>
        <v>136</v>
      </c>
      <c r="I255" s="3">
        <f t="shared" si="26"/>
        <v>132.35294117647058</v>
      </c>
      <c r="J255" t="str">
        <f t="shared" si="27"/>
        <v>F</v>
      </c>
    </row>
    <row r="256" spans="1:10" hidden="1" x14ac:dyDescent="0.25">
      <c r="A256" s="4" t="s">
        <v>4</v>
      </c>
      <c r="B256" s="1">
        <v>0.86221700000000001</v>
      </c>
      <c r="C256" s="1">
        <v>0.85994899999999996</v>
      </c>
      <c r="D256" s="1">
        <f t="shared" si="21"/>
        <v>2.2680000000000478E-3</v>
      </c>
      <c r="E256">
        <f t="shared" si="22"/>
        <v>3</v>
      </c>
      <c r="F256">
        <f t="shared" si="23"/>
        <v>16</v>
      </c>
      <c r="G256">
        <f t="shared" si="24"/>
        <v>3.27</v>
      </c>
      <c r="H256">
        <f t="shared" si="25"/>
        <v>196</v>
      </c>
      <c r="I256" s="3">
        <f t="shared" si="26"/>
        <v>91.83673469387756</v>
      </c>
      <c r="J256" t="str">
        <f t="shared" si="27"/>
        <v>F</v>
      </c>
    </row>
    <row r="257" spans="1:10" hidden="1" x14ac:dyDescent="0.25">
      <c r="A257" s="4" t="s">
        <v>5</v>
      </c>
      <c r="B257" s="1">
        <v>0.50733099999999998</v>
      </c>
      <c r="C257" s="1">
        <v>0.51071900000000003</v>
      </c>
      <c r="D257" s="1">
        <f t="shared" si="21"/>
        <v>3.3880000000000576E-3</v>
      </c>
      <c r="E257">
        <f t="shared" si="22"/>
        <v>4</v>
      </c>
      <c r="F257">
        <f t="shared" si="23"/>
        <v>53</v>
      </c>
      <c r="G257">
        <f t="shared" si="24"/>
        <v>4.88</v>
      </c>
      <c r="H257">
        <f t="shared" si="25"/>
        <v>293</v>
      </c>
      <c r="I257" s="3">
        <f t="shared" si="26"/>
        <v>61.43344709897611</v>
      </c>
      <c r="J257" t="str">
        <f t="shared" si="27"/>
        <v>F</v>
      </c>
    </row>
    <row r="258" spans="1:10" hidden="1" x14ac:dyDescent="0.25">
      <c r="A258" s="4" t="s">
        <v>6</v>
      </c>
      <c r="B258" s="1">
        <v>0.89605199999999996</v>
      </c>
      <c r="C258" s="1">
        <v>0.89464399999999999</v>
      </c>
      <c r="D258" s="1">
        <f t="shared" si="21"/>
        <v>1.4079999999999648E-3</v>
      </c>
      <c r="E258">
        <f t="shared" si="22"/>
        <v>2</v>
      </c>
      <c r="F258">
        <f t="shared" si="23"/>
        <v>2</v>
      </c>
      <c r="G258">
        <f t="shared" si="24"/>
        <v>2.0299999999999998</v>
      </c>
      <c r="H258">
        <f t="shared" si="25"/>
        <v>122</v>
      </c>
      <c r="I258" s="3">
        <f t="shared" si="26"/>
        <v>147.54098360655738</v>
      </c>
      <c r="J258" t="str">
        <f t="shared" si="27"/>
        <v>F</v>
      </c>
    </row>
    <row r="259" spans="1:10" hidden="1" x14ac:dyDescent="0.25">
      <c r="A259" s="4" t="s">
        <v>7</v>
      </c>
      <c r="B259" s="1">
        <v>0.54949499999999996</v>
      </c>
      <c r="C259" s="1">
        <v>0.54675499999999999</v>
      </c>
      <c r="D259" s="1">
        <f t="shared" ref="D259:D322" si="28">IF(B259&gt;C259,B259-C259,C259-B259)</f>
        <v>2.7399999999999647E-3</v>
      </c>
      <c r="E259">
        <f t="shared" ref="E259:E322" si="29">MINUTE(D259)</f>
        <v>3</v>
      </c>
      <c r="F259">
        <f t="shared" ref="F259:F322" si="30">SECOND(D259)</f>
        <v>57</v>
      </c>
      <c r="G259">
        <f t="shared" ref="G259:G322" si="31">ROUND(E259+F259/60,2)</f>
        <v>3.95</v>
      </c>
      <c r="H259">
        <f t="shared" ref="H259:H322" si="32">60*E259+F259</f>
        <v>237</v>
      </c>
      <c r="I259" s="3">
        <f t="shared" ref="I259:I322" si="33">5*(3600/H259)</f>
        <v>75.949367088607588</v>
      </c>
      <c r="J259" t="str">
        <f t="shared" ref="J259:J322" si="34">IF(MID(A259,3,2)="18","T","F")</f>
        <v>F</v>
      </c>
    </row>
    <row r="260" spans="1:10" hidden="1" x14ac:dyDescent="0.25">
      <c r="A260" s="4" t="s">
        <v>8</v>
      </c>
      <c r="B260" s="1">
        <v>6.8551000000000001E-2</v>
      </c>
      <c r="C260" s="1">
        <v>6.5270999999999996E-2</v>
      </c>
      <c r="D260" s="1">
        <f t="shared" si="28"/>
        <v>3.2800000000000051E-3</v>
      </c>
      <c r="E260">
        <f t="shared" si="29"/>
        <v>4</v>
      </c>
      <c r="F260">
        <f t="shared" si="30"/>
        <v>43</v>
      </c>
      <c r="G260">
        <f t="shared" si="31"/>
        <v>4.72</v>
      </c>
      <c r="H260">
        <f t="shared" si="32"/>
        <v>283</v>
      </c>
      <c r="I260" s="3">
        <f t="shared" si="33"/>
        <v>63.60424028268551</v>
      </c>
      <c r="J260" t="str">
        <f t="shared" si="34"/>
        <v>F</v>
      </c>
    </row>
    <row r="261" spans="1:10" hidden="1" x14ac:dyDescent="0.25">
      <c r="A261" s="4" t="s">
        <v>9</v>
      </c>
      <c r="B261" s="1">
        <v>6.9554000000000005E-2</v>
      </c>
      <c r="C261" s="1">
        <v>6.7585999999999993E-2</v>
      </c>
      <c r="D261" s="1">
        <f t="shared" si="28"/>
        <v>1.9680000000000114E-3</v>
      </c>
      <c r="E261">
        <f t="shared" si="29"/>
        <v>2</v>
      </c>
      <c r="F261">
        <f t="shared" si="30"/>
        <v>50</v>
      </c>
      <c r="G261">
        <f t="shared" si="31"/>
        <v>2.83</v>
      </c>
      <c r="H261">
        <f t="shared" si="32"/>
        <v>170</v>
      </c>
      <c r="I261" s="3">
        <f t="shared" si="33"/>
        <v>105.88235294117646</v>
      </c>
      <c r="J261" t="str">
        <f t="shared" si="34"/>
        <v>F</v>
      </c>
    </row>
    <row r="262" spans="1:10" hidden="1" x14ac:dyDescent="0.25">
      <c r="A262" s="4" t="s">
        <v>10</v>
      </c>
      <c r="B262" s="1">
        <v>0.85223800000000005</v>
      </c>
      <c r="C262" s="1">
        <v>0.84849799999999997</v>
      </c>
      <c r="D262" s="1">
        <f t="shared" si="28"/>
        <v>3.7400000000000766E-3</v>
      </c>
      <c r="E262">
        <f t="shared" si="29"/>
        <v>5</v>
      </c>
      <c r="F262">
        <f t="shared" si="30"/>
        <v>23</v>
      </c>
      <c r="G262">
        <f t="shared" si="31"/>
        <v>5.38</v>
      </c>
      <c r="H262">
        <f t="shared" si="32"/>
        <v>323</v>
      </c>
      <c r="I262" s="3">
        <f t="shared" si="33"/>
        <v>55.727554179566567</v>
      </c>
      <c r="J262" t="str">
        <f t="shared" si="34"/>
        <v>F</v>
      </c>
    </row>
    <row r="263" spans="1:10" hidden="1" x14ac:dyDescent="0.25">
      <c r="A263" s="4" t="s">
        <v>11</v>
      </c>
      <c r="B263" s="1">
        <v>0.44774900000000001</v>
      </c>
      <c r="C263" s="1">
        <v>0.451573</v>
      </c>
      <c r="D263" s="1">
        <f t="shared" si="28"/>
        <v>3.8239999999999941E-3</v>
      </c>
      <c r="E263">
        <f t="shared" si="29"/>
        <v>5</v>
      </c>
      <c r="F263">
        <f t="shared" si="30"/>
        <v>30</v>
      </c>
      <c r="G263">
        <f t="shared" si="31"/>
        <v>5.5</v>
      </c>
      <c r="H263">
        <f t="shared" si="32"/>
        <v>330</v>
      </c>
      <c r="I263" s="3">
        <f t="shared" si="33"/>
        <v>54.54545454545454</v>
      </c>
      <c r="J263" t="str">
        <f t="shared" si="34"/>
        <v>F</v>
      </c>
    </row>
    <row r="264" spans="1:10" hidden="1" x14ac:dyDescent="0.25">
      <c r="A264" s="4" t="s">
        <v>12</v>
      </c>
      <c r="B264" s="1">
        <v>0.84136299999999997</v>
      </c>
      <c r="C264" s="1">
        <v>0.83881899999999998</v>
      </c>
      <c r="D264" s="1">
        <f t="shared" si="28"/>
        <v>2.5439999999999907E-3</v>
      </c>
      <c r="E264">
        <f t="shared" si="29"/>
        <v>3</v>
      </c>
      <c r="F264">
        <f t="shared" si="30"/>
        <v>40</v>
      </c>
      <c r="G264">
        <f t="shared" si="31"/>
        <v>3.67</v>
      </c>
      <c r="H264">
        <f t="shared" si="32"/>
        <v>220</v>
      </c>
      <c r="I264" s="3">
        <f t="shared" si="33"/>
        <v>81.818181818181813</v>
      </c>
      <c r="J264" t="str">
        <f t="shared" si="34"/>
        <v>F</v>
      </c>
    </row>
    <row r="265" spans="1:10" hidden="1" x14ac:dyDescent="0.25">
      <c r="A265" s="4" t="s">
        <v>13</v>
      </c>
      <c r="B265" s="1">
        <v>0.20627400000000001</v>
      </c>
      <c r="C265" s="1">
        <v>0.20369799999999999</v>
      </c>
      <c r="D265" s="1">
        <f t="shared" si="28"/>
        <v>2.5760000000000227E-3</v>
      </c>
      <c r="E265">
        <f t="shared" si="29"/>
        <v>3</v>
      </c>
      <c r="F265">
        <f t="shared" si="30"/>
        <v>43</v>
      </c>
      <c r="G265">
        <f t="shared" si="31"/>
        <v>3.72</v>
      </c>
      <c r="H265">
        <f t="shared" si="32"/>
        <v>223</v>
      </c>
      <c r="I265" s="3">
        <f t="shared" si="33"/>
        <v>80.717488789237677</v>
      </c>
      <c r="J265" t="str">
        <f t="shared" si="34"/>
        <v>F</v>
      </c>
    </row>
    <row r="266" spans="1:10" hidden="1" x14ac:dyDescent="0.25">
      <c r="A266" s="4" t="s">
        <v>14</v>
      </c>
      <c r="B266" s="1">
        <v>0.53404300000000005</v>
      </c>
      <c r="C266" s="1">
        <v>0.53097899999999998</v>
      </c>
      <c r="D266" s="1">
        <f t="shared" si="28"/>
        <v>3.0640000000000667E-3</v>
      </c>
      <c r="E266">
        <f t="shared" si="29"/>
        <v>4</v>
      </c>
      <c r="F266">
        <f t="shared" si="30"/>
        <v>25</v>
      </c>
      <c r="G266">
        <f t="shared" si="31"/>
        <v>4.42</v>
      </c>
      <c r="H266">
        <f t="shared" si="32"/>
        <v>265</v>
      </c>
      <c r="I266" s="3">
        <f t="shared" si="33"/>
        <v>67.924528301886795</v>
      </c>
      <c r="J266" t="str">
        <f t="shared" si="34"/>
        <v>F</v>
      </c>
    </row>
    <row r="267" spans="1:10" hidden="1" x14ac:dyDescent="0.25">
      <c r="A267" s="4" t="s">
        <v>15</v>
      </c>
      <c r="B267" s="1">
        <v>0.52019700000000002</v>
      </c>
      <c r="C267" s="1">
        <v>0.52254900000000004</v>
      </c>
      <c r="D267" s="1">
        <f t="shared" si="28"/>
        <v>2.3520000000000207E-3</v>
      </c>
      <c r="E267">
        <f t="shared" si="29"/>
        <v>3</v>
      </c>
      <c r="F267">
        <f t="shared" si="30"/>
        <v>23</v>
      </c>
      <c r="G267">
        <f t="shared" si="31"/>
        <v>3.38</v>
      </c>
      <c r="H267">
        <f t="shared" si="32"/>
        <v>203</v>
      </c>
      <c r="I267" s="3">
        <f t="shared" si="33"/>
        <v>88.66995073891627</v>
      </c>
      <c r="J267" t="str">
        <f t="shared" si="34"/>
        <v>F</v>
      </c>
    </row>
    <row r="268" spans="1:10" hidden="1" x14ac:dyDescent="0.25">
      <c r="A268" s="4" t="s">
        <v>16</v>
      </c>
      <c r="B268" s="1">
        <v>0.464613</v>
      </c>
      <c r="C268" s="1">
        <v>0.46155299999999999</v>
      </c>
      <c r="D268" s="1">
        <f t="shared" si="28"/>
        <v>3.0600000000000072E-3</v>
      </c>
      <c r="E268">
        <f t="shared" si="29"/>
        <v>4</v>
      </c>
      <c r="F268">
        <f t="shared" si="30"/>
        <v>24</v>
      </c>
      <c r="G268">
        <f t="shared" si="31"/>
        <v>4.4000000000000004</v>
      </c>
      <c r="H268">
        <f t="shared" si="32"/>
        <v>264</v>
      </c>
      <c r="I268" s="3">
        <f t="shared" si="33"/>
        <v>68.181818181818187</v>
      </c>
      <c r="J268" t="str">
        <f t="shared" si="34"/>
        <v>F</v>
      </c>
    </row>
    <row r="269" spans="1:10" hidden="1" x14ac:dyDescent="0.25">
      <c r="A269" s="4" t="s">
        <v>17</v>
      </c>
      <c r="B269" s="1">
        <v>0.94928199999999996</v>
      </c>
      <c r="C269" s="1">
        <v>0.94705799999999996</v>
      </c>
      <c r="D269" s="1">
        <f t="shared" si="28"/>
        <v>2.2240000000000038E-3</v>
      </c>
      <c r="E269">
        <f t="shared" si="29"/>
        <v>3</v>
      </c>
      <c r="F269">
        <f t="shared" si="30"/>
        <v>12</v>
      </c>
      <c r="G269">
        <f t="shared" si="31"/>
        <v>3.2</v>
      </c>
      <c r="H269">
        <f t="shared" si="32"/>
        <v>192</v>
      </c>
      <c r="I269" s="3">
        <f t="shared" si="33"/>
        <v>93.75</v>
      </c>
      <c r="J269" t="str">
        <f t="shared" si="34"/>
        <v>F</v>
      </c>
    </row>
    <row r="270" spans="1:10" hidden="1" x14ac:dyDescent="0.25">
      <c r="A270" s="4" t="s">
        <v>18</v>
      </c>
      <c r="B270" s="1">
        <v>0.62996300000000005</v>
      </c>
      <c r="C270" s="1">
        <v>0.62636700000000001</v>
      </c>
      <c r="D270" s="1">
        <f t="shared" si="28"/>
        <v>3.5960000000000436E-3</v>
      </c>
      <c r="E270">
        <f t="shared" si="29"/>
        <v>5</v>
      </c>
      <c r="F270">
        <f t="shared" si="30"/>
        <v>11</v>
      </c>
      <c r="G270">
        <f t="shared" si="31"/>
        <v>5.18</v>
      </c>
      <c r="H270">
        <f t="shared" si="32"/>
        <v>311</v>
      </c>
      <c r="I270" s="3">
        <f t="shared" si="33"/>
        <v>57.877813504823152</v>
      </c>
      <c r="J270" t="str">
        <f t="shared" si="34"/>
        <v>F</v>
      </c>
    </row>
    <row r="271" spans="1:10" hidden="1" x14ac:dyDescent="0.25">
      <c r="A271" s="4" t="s">
        <v>19</v>
      </c>
      <c r="B271" s="1">
        <v>0.76597700000000002</v>
      </c>
      <c r="C271" s="1">
        <v>0.76212500000000005</v>
      </c>
      <c r="D271" s="1">
        <f t="shared" si="28"/>
        <v>3.8519999999999666E-3</v>
      </c>
      <c r="E271">
        <f t="shared" si="29"/>
        <v>5</v>
      </c>
      <c r="F271">
        <f t="shared" si="30"/>
        <v>33</v>
      </c>
      <c r="G271">
        <f t="shared" si="31"/>
        <v>5.55</v>
      </c>
      <c r="H271">
        <f t="shared" si="32"/>
        <v>333</v>
      </c>
      <c r="I271" s="3">
        <f t="shared" si="33"/>
        <v>54.054054054054049</v>
      </c>
      <c r="J271" t="str">
        <f t="shared" si="34"/>
        <v>F</v>
      </c>
    </row>
    <row r="272" spans="1:10" hidden="1" x14ac:dyDescent="0.25">
      <c r="A272" s="4" t="s">
        <v>20</v>
      </c>
      <c r="B272" s="1">
        <v>0.65905100000000005</v>
      </c>
      <c r="C272" s="1">
        <v>0.662879</v>
      </c>
      <c r="D272" s="1">
        <f t="shared" si="28"/>
        <v>3.8279999999999426E-3</v>
      </c>
      <c r="E272">
        <f t="shared" si="29"/>
        <v>5</v>
      </c>
      <c r="F272">
        <f t="shared" si="30"/>
        <v>31</v>
      </c>
      <c r="G272">
        <f t="shared" si="31"/>
        <v>5.52</v>
      </c>
      <c r="H272">
        <f t="shared" si="32"/>
        <v>331</v>
      </c>
      <c r="I272" s="3">
        <f t="shared" si="33"/>
        <v>54.380664652567972</v>
      </c>
      <c r="J272" t="str">
        <f t="shared" si="34"/>
        <v>F</v>
      </c>
    </row>
    <row r="273" spans="1:10" hidden="1" x14ac:dyDescent="0.25">
      <c r="A273" s="4" t="s">
        <v>21</v>
      </c>
      <c r="B273" s="1">
        <v>0.88179300000000005</v>
      </c>
      <c r="C273" s="1">
        <v>0.87958099999999995</v>
      </c>
      <c r="D273" s="1">
        <f t="shared" si="28"/>
        <v>2.2120000000001028E-3</v>
      </c>
      <c r="E273">
        <f t="shared" si="29"/>
        <v>3</v>
      </c>
      <c r="F273">
        <f t="shared" si="30"/>
        <v>11</v>
      </c>
      <c r="G273">
        <f t="shared" si="31"/>
        <v>3.18</v>
      </c>
      <c r="H273">
        <f t="shared" si="32"/>
        <v>191</v>
      </c>
      <c r="I273" s="3">
        <f t="shared" si="33"/>
        <v>94.240837696335092</v>
      </c>
      <c r="J273" t="str">
        <f t="shared" si="34"/>
        <v>F</v>
      </c>
    </row>
    <row r="274" spans="1:10" hidden="1" x14ac:dyDescent="0.25">
      <c r="A274" s="4" t="s">
        <v>22</v>
      </c>
      <c r="B274" s="1">
        <v>0.96188399999999996</v>
      </c>
      <c r="C274" s="1">
        <v>0.95841200000000004</v>
      </c>
      <c r="D274" s="1">
        <f t="shared" si="28"/>
        <v>3.4719999999999196E-3</v>
      </c>
      <c r="E274">
        <f t="shared" si="29"/>
        <v>5</v>
      </c>
      <c r="F274">
        <f t="shared" si="30"/>
        <v>0</v>
      </c>
      <c r="G274">
        <f t="shared" si="31"/>
        <v>5</v>
      </c>
      <c r="H274">
        <f t="shared" si="32"/>
        <v>300</v>
      </c>
      <c r="I274" s="3">
        <f t="shared" si="33"/>
        <v>60</v>
      </c>
      <c r="J274" t="str">
        <f t="shared" si="34"/>
        <v>F</v>
      </c>
    </row>
    <row r="275" spans="1:10" hidden="1" x14ac:dyDescent="0.25">
      <c r="A275" s="4" t="s">
        <v>23</v>
      </c>
      <c r="B275" s="1">
        <v>0.551709</v>
      </c>
      <c r="C275" s="1">
        <v>0.54965699999999995</v>
      </c>
      <c r="D275" s="1">
        <f t="shared" si="28"/>
        <v>2.0520000000000538E-3</v>
      </c>
      <c r="E275">
        <f t="shared" si="29"/>
        <v>2</v>
      </c>
      <c r="F275">
        <f t="shared" si="30"/>
        <v>57</v>
      </c>
      <c r="G275">
        <f t="shared" si="31"/>
        <v>2.95</v>
      </c>
      <c r="H275">
        <f t="shared" si="32"/>
        <v>177</v>
      </c>
      <c r="I275" s="3">
        <f t="shared" si="33"/>
        <v>101.69491525423729</v>
      </c>
      <c r="J275" t="str">
        <f t="shared" si="34"/>
        <v>F</v>
      </c>
    </row>
    <row r="276" spans="1:10" hidden="1" x14ac:dyDescent="0.25">
      <c r="A276" s="4" t="s">
        <v>24</v>
      </c>
      <c r="B276" s="1">
        <v>0.55516799999999999</v>
      </c>
      <c r="C276" s="1">
        <v>0.55682399999999999</v>
      </c>
      <c r="D276" s="1">
        <f t="shared" si="28"/>
        <v>1.6559999999999908E-3</v>
      </c>
      <c r="E276">
        <f t="shared" si="29"/>
        <v>2</v>
      </c>
      <c r="F276">
        <f t="shared" si="30"/>
        <v>23</v>
      </c>
      <c r="G276">
        <f t="shared" si="31"/>
        <v>2.38</v>
      </c>
      <c r="H276">
        <f t="shared" si="32"/>
        <v>143</v>
      </c>
      <c r="I276" s="3">
        <f t="shared" si="33"/>
        <v>125.87412587412587</v>
      </c>
      <c r="J276" t="str">
        <f t="shared" si="34"/>
        <v>F</v>
      </c>
    </row>
    <row r="277" spans="1:10" hidden="1" x14ac:dyDescent="0.25">
      <c r="A277" s="4" t="s">
        <v>25</v>
      </c>
      <c r="B277" s="1">
        <v>0.50799799999999995</v>
      </c>
      <c r="C277" s="1">
        <v>0.50580599999999998</v>
      </c>
      <c r="D277" s="1">
        <f t="shared" si="28"/>
        <v>2.1919999999999717E-3</v>
      </c>
      <c r="E277">
        <f t="shared" si="29"/>
        <v>3</v>
      </c>
      <c r="F277">
        <f t="shared" si="30"/>
        <v>9</v>
      </c>
      <c r="G277">
        <f t="shared" si="31"/>
        <v>3.15</v>
      </c>
      <c r="H277">
        <f t="shared" si="32"/>
        <v>189</v>
      </c>
      <c r="I277" s="3">
        <f t="shared" si="33"/>
        <v>95.238095238095241</v>
      </c>
      <c r="J277" t="str">
        <f t="shared" si="34"/>
        <v>F</v>
      </c>
    </row>
    <row r="278" spans="1:10" hidden="1" x14ac:dyDescent="0.25">
      <c r="A278" s="4" t="s">
        <v>26</v>
      </c>
      <c r="B278" s="1">
        <v>0.29010599999999998</v>
      </c>
      <c r="C278" s="1">
        <v>0.29300599999999999</v>
      </c>
      <c r="D278" s="1">
        <f t="shared" si="28"/>
        <v>2.9000000000000137E-3</v>
      </c>
      <c r="E278">
        <f t="shared" si="29"/>
        <v>4</v>
      </c>
      <c r="F278">
        <f t="shared" si="30"/>
        <v>11</v>
      </c>
      <c r="G278">
        <f t="shared" si="31"/>
        <v>4.18</v>
      </c>
      <c r="H278">
        <f t="shared" si="32"/>
        <v>251</v>
      </c>
      <c r="I278" s="3">
        <f t="shared" si="33"/>
        <v>71.713147410358559</v>
      </c>
      <c r="J278" t="str">
        <f t="shared" si="34"/>
        <v>F</v>
      </c>
    </row>
    <row r="279" spans="1:10" hidden="1" x14ac:dyDescent="0.25">
      <c r="A279" s="4" t="s">
        <v>27</v>
      </c>
      <c r="B279" s="1">
        <v>0.888069</v>
      </c>
      <c r="C279" s="1">
        <v>0.88534100000000004</v>
      </c>
      <c r="D279" s="1">
        <f t="shared" si="28"/>
        <v>2.7279999999999527E-3</v>
      </c>
      <c r="E279">
        <f t="shared" si="29"/>
        <v>3</v>
      </c>
      <c r="F279">
        <f t="shared" si="30"/>
        <v>56</v>
      </c>
      <c r="G279">
        <f t="shared" si="31"/>
        <v>3.93</v>
      </c>
      <c r="H279">
        <f t="shared" si="32"/>
        <v>236</v>
      </c>
      <c r="I279" s="3">
        <f t="shared" si="33"/>
        <v>76.271186440677965</v>
      </c>
      <c r="J279" t="str">
        <f t="shared" si="34"/>
        <v>F</v>
      </c>
    </row>
    <row r="280" spans="1:10" hidden="1" x14ac:dyDescent="0.25">
      <c r="A280" s="4" t="s">
        <v>28</v>
      </c>
      <c r="B280" s="1">
        <v>0.29008400000000001</v>
      </c>
      <c r="C280" s="1">
        <v>0.29398800000000003</v>
      </c>
      <c r="D280" s="1">
        <f t="shared" si="28"/>
        <v>3.9040000000000186E-3</v>
      </c>
      <c r="E280">
        <f t="shared" si="29"/>
        <v>5</v>
      </c>
      <c r="F280">
        <f t="shared" si="30"/>
        <v>37</v>
      </c>
      <c r="G280">
        <f t="shared" si="31"/>
        <v>5.62</v>
      </c>
      <c r="H280">
        <f t="shared" si="32"/>
        <v>337</v>
      </c>
      <c r="I280" s="3">
        <f t="shared" si="33"/>
        <v>53.412462908011868</v>
      </c>
      <c r="J280" t="str">
        <f t="shared" si="34"/>
        <v>F</v>
      </c>
    </row>
    <row r="281" spans="1:10" hidden="1" x14ac:dyDescent="0.25">
      <c r="A281" s="4" t="s">
        <v>29</v>
      </c>
      <c r="B281" s="1">
        <v>0.53885000000000005</v>
      </c>
      <c r="C281" s="1">
        <v>0.53549000000000002</v>
      </c>
      <c r="D281" s="1">
        <f t="shared" si="28"/>
        <v>3.3600000000000296E-3</v>
      </c>
      <c r="E281">
        <f t="shared" si="29"/>
        <v>4</v>
      </c>
      <c r="F281">
        <f t="shared" si="30"/>
        <v>50</v>
      </c>
      <c r="G281">
        <f t="shared" si="31"/>
        <v>4.83</v>
      </c>
      <c r="H281">
        <f t="shared" si="32"/>
        <v>290</v>
      </c>
      <c r="I281" s="3">
        <f t="shared" si="33"/>
        <v>62.068965517241381</v>
      </c>
      <c r="J281" t="str">
        <f t="shared" si="34"/>
        <v>F</v>
      </c>
    </row>
    <row r="282" spans="1:10" hidden="1" x14ac:dyDescent="0.25">
      <c r="A282" s="4" t="s">
        <v>30</v>
      </c>
      <c r="B282" s="1">
        <v>0.46298299999999998</v>
      </c>
      <c r="C282" s="1">
        <v>0.459231</v>
      </c>
      <c r="D282" s="1">
        <f t="shared" si="28"/>
        <v>3.7519999999999776E-3</v>
      </c>
      <c r="E282">
        <f t="shared" si="29"/>
        <v>5</v>
      </c>
      <c r="F282">
        <f t="shared" si="30"/>
        <v>24</v>
      </c>
      <c r="G282">
        <f t="shared" si="31"/>
        <v>5.4</v>
      </c>
      <c r="H282">
        <f t="shared" si="32"/>
        <v>324</v>
      </c>
      <c r="I282" s="3">
        <f t="shared" si="33"/>
        <v>55.555555555555557</v>
      </c>
      <c r="J282" t="str">
        <f t="shared" si="34"/>
        <v>F</v>
      </c>
    </row>
    <row r="283" spans="1:10" hidden="1" x14ac:dyDescent="0.25">
      <c r="A283" s="4" t="s">
        <v>31</v>
      </c>
      <c r="B283" s="1">
        <v>7.6189999999999999E-3</v>
      </c>
      <c r="C283" s="1">
        <v>3.8670000000000002E-3</v>
      </c>
      <c r="D283" s="1">
        <f t="shared" si="28"/>
        <v>3.7519999999999997E-3</v>
      </c>
      <c r="E283">
        <f t="shared" si="29"/>
        <v>5</v>
      </c>
      <c r="F283">
        <f t="shared" si="30"/>
        <v>24</v>
      </c>
      <c r="G283">
        <f t="shared" si="31"/>
        <v>5.4</v>
      </c>
      <c r="H283">
        <f t="shared" si="32"/>
        <v>324</v>
      </c>
      <c r="I283" s="3">
        <f t="shared" si="33"/>
        <v>55.555555555555557</v>
      </c>
      <c r="J283" t="str">
        <f t="shared" si="34"/>
        <v>F</v>
      </c>
    </row>
    <row r="284" spans="1:10" hidden="1" x14ac:dyDescent="0.25">
      <c r="A284" s="4" t="s">
        <v>32</v>
      </c>
      <c r="B284" s="1">
        <v>0.83624799999999999</v>
      </c>
      <c r="C284" s="1">
        <v>0.832376</v>
      </c>
      <c r="D284" s="1">
        <f t="shared" si="28"/>
        <v>3.8719999999999866E-3</v>
      </c>
      <c r="E284">
        <f t="shared" si="29"/>
        <v>5</v>
      </c>
      <c r="F284">
        <f t="shared" si="30"/>
        <v>35</v>
      </c>
      <c r="G284">
        <f t="shared" si="31"/>
        <v>5.58</v>
      </c>
      <c r="H284">
        <f t="shared" si="32"/>
        <v>335</v>
      </c>
      <c r="I284" s="3">
        <f t="shared" si="33"/>
        <v>53.731343283582092</v>
      </c>
      <c r="J284" t="str">
        <f t="shared" si="34"/>
        <v>F</v>
      </c>
    </row>
    <row r="285" spans="1:10" hidden="1" x14ac:dyDescent="0.25">
      <c r="A285" s="4" t="s">
        <v>33</v>
      </c>
      <c r="B285" s="1">
        <v>0.506386</v>
      </c>
      <c r="C285" s="1">
        <v>0.50263400000000003</v>
      </c>
      <c r="D285" s="1">
        <f t="shared" si="28"/>
        <v>3.7519999999999776E-3</v>
      </c>
      <c r="E285">
        <f t="shared" si="29"/>
        <v>5</v>
      </c>
      <c r="F285">
        <f t="shared" si="30"/>
        <v>24</v>
      </c>
      <c r="G285">
        <f t="shared" si="31"/>
        <v>5.4</v>
      </c>
      <c r="H285">
        <f t="shared" si="32"/>
        <v>324</v>
      </c>
      <c r="I285" s="3">
        <f t="shared" si="33"/>
        <v>55.555555555555557</v>
      </c>
      <c r="J285" t="str">
        <f t="shared" si="34"/>
        <v>F</v>
      </c>
    </row>
    <row r="286" spans="1:10" hidden="1" x14ac:dyDescent="0.25">
      <c r="A286" s="4" t="s">
        <v>166</v>
      </c>
      <c r="B286" s="1">
        <v>0.30390899999999998</v>
      </c>
      <c r="C286" s="1">
        <v>0.30128100000000002</v>
      </c>
      <c r="D286" s="1">
        <f t="shared" si="28"/>
        <v>2.6279999999999637E-3</v>
      </c>
      <c r="E286">
        <f t="shared" si="29"/>
        <v>3</v>
      </c>
      <c r="F286">
        <f t="shared" si="30"/>
        <v>47</v>
      </c>
      <c r="G286">
        <f t="shared" si="31"/>
        <v>3.78</v>
      </c>
      <c r="H286">
        <f t="shared" si="32"/>
        <v>227</v>
      </c>
      <c r="I286" s="3">
        <f t="shared" si="33"/>
        <v>79.295154185022028</v>
      </c>
      <c r="J286" t="str">
        <f t="shared" si="34"/>
        <v>F</v>
      </c>
    </row>
    <row r="287" spans="1:10" hidden="1" x14ac:dyDescent="0.25">
      <c r="A287" s="4" t="s">
        <v>428</v>
      </c>
      <c r="B287" s="1">
        <v>0.93484299999999998</v>
      </c>
      <c r="C287" s="1">
        <v>0.93879100000000004</v>
      </c>
      <c r="D287" s="1">
        <f t="shared" si="28"/>
        <v>3.9480000000000626E-3</v>
      </c>
      <c r="E287">
        <f t="shared" si="29"/>
        <v>5</v>
      </c>
      <c r="F287">
        <f t="shared" si="30"/>
        <v>41</v>
      </c>
      <c r="G287">
        <f t="shared" si="31"/>
        <v>5.68</v>
      </c>
      <c r="H287">
        <f t="shared" si="32"/>
        <v>341</v>
      </c>
      <c r="I287" s="3">
        <f t="shared" si="33"/>
        <v>52.785923753665685</v>
      </c>
      <c r="J287" t="str">
        <f t="shared" si="34"/>
        <v>F</v>
      </c>
    </row>
    <row r="288" spans="1:10" hidden="1" x14ac:dyDescent="0.25">
      <c r="A288" s="4" t="s">
        <v>35</v>
      </c>
      <c r="B288" s="1">
        <v>0.74358000000000002</v>
      </c>
      <c r="C288" s="1">
        <v>0.74584399999999995</v>
      </c>
      <c r="D288" s="1">
        <f t="shared" si="28"/>
        <v>2.2639999999999327E-3</v>
      </c>
      <c r="E288">
        <f t="shared" si="29"/>
        <v>3</v>
      </c>
      <c r="F288">
        <f t="shared" si="30"/>
        <v>16</v>
      </c>
      <c r="G288">
        <f t="shared" si="31"/>
        <v>3.27</v>
      </c>
      <c r="H288">
        <f t="shared" si="32"/>
        <v>196</v>
      </c>
      <c r="I288" s="3">
        <f t="shared" si="33"/>
        <v>91.83673469387756</v>
      </c>
      <c r="J288" t="str">
        <f t="shared" si="34"/>
        <v>F</v>
      </c>
    </row>
    <row r="289" spans="1:10" hidden="1" x14ac:dyDescent="0.25">
      <c r="A289" s="4" t="s">
        <v>36</v>
      </c>
      <c r="B289" s="1">
        <v>0.89885000000000004</v>
      </c>
      <c r="C289" s="1">
        <v>0.90130200000000005</v>
      </c>
      <c r="D289" s="1">
        <f t="shared" si="28"/>
        <v>2.4520000000000097E-3</v>
      </c>
      <c r="E289">
        <f t="shared" si="29"/>
        <v>3</v>
      </c>
      <c r="F289">
        <f t="shared" si="30"/>
        <v>32</v>
      </c>
      <c r="G289">
        <f t="shared" si="31"/>
        <v>3.53</v>
      </c>
      <c r="H289">
        <f t="shared" si="32"/>
        <v>212</v>
      </c>
      <c r="I289" s="3">
        <f t="shared" si="33"/>
        <v>84.905660377358487</v>
      </c>
      <c r="J289" t="str">
        <f t="shared" si="34"/>
        <v>F</v>
      </c>
    </row>
    <row r="290" spans="1:10" hidden="1" x14ac:dyDescent="0.25">
      <c r="A290" s="4" t="s">
        <v>37</v>
      </c>
      <c r="B290" s="1">
        <v>0.59133800000000003</v>
      </c>
      <c r="C290" s="1">
        <v>0.59383399999999997</v>
      </c>
      <c r="D290" s="1">
        <f t="shared" si="28"/>
        <v>2.4959999999999427E-3</v>
      </c>
      <c r="E290">
        <f t="shared" si="29"/>
        <v>3</v>
      </c>
      <c r="F290">
        <f t="shared" si="30"/>
        <v>36</v>
      </c>
      <c r="G290">
        <f t="shared" si="31"/>
        <v>3.6</v>
      </c>
      <c r="H290">
        <f t="shared" si="32"/>
        <v>216</v>
      </c>
      <c r="I290" s="3">
        <f t="shared" si="33"/>
        <v>83.333333333333343</v>
      </c>
      <c r="J290" t="str">
        <f t="shared" si="34"/>
        <v>F</v>
      </c>
    </row>
    <row r="291" spans="1:10" hidden="1" x14ac:dyDescent="0.25">
      <c r="A291" s="4" t="s">
        <v>38</v>
      </c>
      <c r="B291" s="1">
        <v>0.333036</v>
      </c>
      <c r="C291" s="1">
        <v>0.33584799999999998</v>
      </c>
      <c r="D291" s="1">
        <f t="shared" si="28"/>
        <v>2.8119999999999812E-3</v>
      </c>
      <c r="E291">
        <f t="shared" si="29"/>
        <v>4</v>
      </c>
      <c r="F291">
        <f t="shared" si="30"/>
        <v>3</v>
      </c>
      <c r="G291">
        <f t="shared" si="31"/>
        <v>4.05</v>
      </c>
      <c r="H291">
        <f t="shared" si="32"/>
        <v>243</v>
      </c>
      <c r="I291" s="3">
        <f t="shared" si="33"/>
        <v>74.074074074074076</v>
      </c>
      <c r="J291" t="str">
        <f t="shared" si="34"/>
        <v>F</v>
      </c>
    </row>
    <row r="292" spans="1:10" hidden="1" x14ac:dyDescent="0.25">
      <c r="A292" s="4" t="s">
        <v>167</v>
      </c>
      <c r="B292" s="1">
        <v>0.40695900000000002</v>
      </c>
      <c r="C292" s="1">
        <v>0.40518700000000002</v>
      </c>
      <c r="D292" s="1">
        <f t="shared" si="28"/>
        <v>1.7719999999999958E-3</v>
      </c>
      <c r="E292">
        <f t="shared" si="29"/>
        <v>2</v>
      </c>
      <c r="F292">
        <f t="shared" si="30"/>
        <v>33</v>
      </c>
      <c r="G292">
        <f t="shared" si="31"/>
        <v>2.5499999999999998</v>
      </c>
      <c r="H292">
        <f t="shared" si="32"/>
        <v>153</v>
      </c>
      <c r="I292" s="3">
        <f t="shared" si="33"/>
        <v>117.64705882352942</v>
      </c>
      <c r="J292" t="str">
        <f t="shared" si="34"/>
        <v>F</v>
      </c>
    </row>
    <row r="293" spans="1:10" hidden="1" x14ac:dyDescent="0.25">
      <c r="A293" s="4" t="s">
        <v>40</v>
      </c>
      <c r="B293" s="1">
        <v>4.8376000000000002E-2</v>
      </c>
      <c r="C293" s="1">
        <v>4.4811999999999998E-2</v>
      </c>
      <c r="D293" s="1">
        <f t="shared" si="28"/>
        <v>3.5640000000000047E-3</v>
      </c>
      <c r="E293">
        <f t="shared" si="29"/>
        <v>5</v>
      </c>
      <c r="F293">
        <f t="shared" si="30"/>
        <v>8</v>
      </c>
      <c r="G293">
        <f t="shared" si="31"/>
        <v>5.13</v>
      </c>
      <c r="H293">
        <f t="shared" si="32"/>
        <v>308</v>
      </c>
      <c r="I293" s="3">
        <f t="shared" si="33"/>
        <v>58.441558441558442</v>
      </c>
      <c r="J293" t="str">
        <f t="shared" si="34"/>
        <v>F</v>
      </c>
    </row>
    <row r="294" spans="1:10" hidden="1" x14ac:dyDescent="0.25">
      <c r="A294" s="4" t="s">
        <v>41</v>
      </c>
      <c r="B294" s="1">
        <v>0.93147599999999997</v>
      </c>
      <c r="C294" s="1">
        <v>0.93533999999999995</v>
      </c>
      <c r="D294" s="1">
        <f t="shared" si="28"/>
        <v>3.8639999999999786E-3</v>
      </c>
      <c r="E294">
        <f t="shared" si="29"/>
        <v>5</v>
      </c>
      <c r="F294">
        <f t="shared" si="30"/>
        <v>34</v>
      </c>
      <c r="G294">
        <f t="shared" si="31"/>
        <v>5.57</v>
      </c>
      <c r="H294">
        <f t="shared" si="32"/>
        <v>334</v>
      </c>
      <c r="I294" s="3">
        <f t="shared" si="33"/>
        <v>53.892215568862277</v>
      </c>
      <c r="J294" t="str">
        <f t="shared" si="34"/>
        <v>F</v>
      </c>
    </row>
    <row r="295" spans="1:10" hidden="1" x14ac:dyDescent="0.25">
      <c r="A295" s="4" t="s">
        <v>168</v>
      </c>
      <c r="B295" s="1">
        <v>0.80745199999999995</v>
      </c>
      <c r="C295" s="1">
        <v>0.80398400000000003</v>
      </c>
      <c r="D295" s="1">
        <f t="shared" si="28"/>
        <v>3.4679999999999156E-3</v>
      </c>
      <c r="E295">
        <f t="shared" si="29"/>
        <v>5</v>
      </c>
      <c r="F295">
        <f t="shared" si="30"/>
        <v>0</v>
      </c>
      <c r="G295">
        <f t="shared" si="31"/>
        <v>5</v>
      </c>
      <c r="H295">
        <f t="shared" si="32"/>
        <v>300</v>
      </c>
      <c r="I295" s="3">
        <f t="shared" si="33"/>
        <v>60</v>
      </c>
      <c r="J295" t="str">
        <f t="shared" si="34"/>
        <v>F</v>
      </c>
    </row>
    <row r="296" spans="1:10" hidden="1" x14ac:dyDescent="0.25">
      <c r="A296" s="4" t="s">
        <v>43</v>
      </c>
      <c r="B296" s="1">
        <v>0.90426899999999999</v>
      </c>
      <c r="C296" s="1">
        <v>0.90110500000000004</v>
      </c>
      <c r="D296" s="1">
        <f t="shared" si="28"/>
        <v>3.1639999999999446E-3</v>
      </c>
      <c r="E296">
        <f t="shared" si="29"/>
        <v>4</v>
      </c>
      <c r="F296">
        <f t="shared" si="30"/>
        <v>33</v>
      </c>
      <c r="G296">
        <f t="shared" si="31"/>
        <v>4.55</v>
      </c>
      <c r="H296">
        <f t="shared" si="32"/>
        <v>273</v>
      </c>
      <c r="I296" s="3">
        <f t="shared" si="33"/>
        <v>65.934065934065927</v>
      </c>
      <c r="J296" t="str">
        <f t="shared" si="34"/>
        <v>F</v>
      </c>
    </row>
    <row r="297" spans="1:10" hidden="1" x14ac:dyDescent="0.25">
      <c r="A297" s="4" t="s">
        <v>44</v>
      </c>
      <c r="B297" s="1">
        <v>0.35200999999999999</v>
      </c>
      <c r="C297" s="1">
        <v>0.354738</v>
      </c>
      <c r="D297" s="1">
        <f t="shared" si="28"/>
        <v>2.7280000000000082E-3</v>
      </c>
      <c r="E297">
        <f t="shared" si="29"/>
        <v>3</v>
      </c>
      <c r="F297">
        <f t="shared" si="30"/>
        <v>56</v>
      </c>
      <c r="G297">
        <f t="shared" si="31"/>
        <v>3.93</v>
      </c>
      <c r="H297">
        <f t="shared" si="32"/>
        <v>236</v>
      </c>
      <c r="I297" s="3">
        <f t="shared" si="33"/>
        <v>76.271186440677965</v>
      </c>
      <c r="J297" t="str">
        <f t="shared" si="34"/>
        <v>F</v>
      </c>
    </row>
    <row r="298" spans="1:10" hidden="1" x14ac:dyDescent="0.25">
      <c r="A298" s="4" t="s">
        <v>45</v>
      </c>
      <c r="B298" s="1">
        <v>0.39247599999999999</v>
      </c>
      <c r="C298" s="1">
        <v>0.39583600000000002</v>
      </c>
      <c r="D298" s="1">
        <f t="shared" si="28"/>
        <v>3.3600000000000296E-3</v>
      </c>
      <c r="E298">
        <f t="shared" si="29"/>
        <v>4</v>
      </c>
      <c r="F298">
        <f t="shared" si="30"/>
        <v>50</v>
      </c>
      <c r="G298">
        <f t="shared" si="31"/>
        <v>4.83</v>
      </c>
      <c r="H298">
        <f t="shared" si="32"/>
        <v>290</v>
      </c>
      <c r="I298" s="3">
        <f t="shared" si="33"/>
        <v>62.068965517241381</v>
      </c>
      <c r="J298" t="str">
        <f t="shared" si="34"/>
        <v>F</v>
      </c>
    </row>
    <row r="299" spans="1:10" hidden="1" x14ac:dyDescent="0.25">
      <c r="A299" s="4" t="s">
        <v>46</v>
      </c>
      <c r="B299" s="1">
        <v>0.42665900000000001</v>
      </c>
      <c r="C299" s="1">
        <v>0.42278300000000002</v>
      </c>
      <c r="D299" s="1">
        <f t="shared" si="28"/>
        <v>3.8759999999999906E-3</v>
      </c>
      <c r="E299">
        <f t="shared" si="29"/>
        <v>5</v>
      </c>
      <c r="F299">
        <f t="shared" si="30"/>
        <v>35</v>
      </c>
      <c r="G299">
        <f t="shared" si="31"/>
        <v>5.58</v>
      </c>
      <c r="H299">
        <f t="shared" si="32"/>
        <v>335</v>
      </c>
      <c r="I299" s="3">
        <f t="shared" si="33"/>
        <v>53.731343283582092</v>
      </c>
      <c r="J299" t="str">
        <f t="shared" si="34"/>
        <v>F</v>
      </c>
    </row>
    <row r="300" spans="1:10" hidden="1" x14ac:dyDescent="0.25">
      <c r="A300" s="4" t="s">
        <v>47</v>
      </c>
      <c r="B300" s="1">
        <v>0.807975</v>
      </c>
      <c r="C300" s="1">
        <v>0.80529099999999998</v>
      </c>
      <c r="D300" s="1">
        <f t="shared" si="28"/>
        <v>2.6840000000000197E-3</v>
      </c>
      <c r="E300">
        <f t="shared" si="29"/>
        <v>3</v>
      </c>
      <c r="F300">
        <f t="shared" si="30"/>
        <v>52</v>
      </c>
      <c r="G300">
        <f t="shared" si="31"/>
        <v>3.87</v>
      </c>
      <c r="H300">
        <f t="shared" si="32"/>
        <v>232</v>
      </c>
      <c r="I300" s="3">
        <f t="shared" si="33"/>
        <v>77.58620689655173</v>
      </c>
      <c r="J300" t="str">
        <f t="shared" si="34"/>
        <v>F</v>
      </c>
    </row>
    <row r="301" spans="1:10" hidden="1" x14ac:dyDescent="0.25">
      <c r="A301" s="4" t="s">
        <v>48</v>
      </c>
      <c r="B301" s="1">
        <v>0.79716600000000004</v>
      </c>
      <c r="C301" s="1">
        <v>0.80053399999999997</v>
      </c>
      <c r="D301" s="1">
        <f t="shared" si="28"/>
        <v>3.3679999999999266E-3</v>
      </c>
      <c r="E301">
        <f t="shared" si="29"/>
        <v>4</v>
      </c>
      <c r="F301">
        <f t="shared" si="30"/>
        <v>51</v>
      </c>
      <c r="G301">
        <f t="shared" si="31"/>
        <v>4.8499999999999996</v>
      </c>
      <c r="H301">
        <f t="shared" si="32"/>
        <v>291</v>
      </c>
      <c r="I301" s="3">
        <f t="shared" si="33"/>
        <v>61.855670103092784</v>
      </c>
      <c r="J301" t="str">
        <f t="shared" si="34"/>
        <v>F</v>
      </c>
    </row>
    <row r="302" spans="1:10" hidden="1" x14ac:dyDescent="0.25">
      <c r="A302" s="4" t="s">
        <v>49</v>
      </c>
      <c r="B302" s="1">
        <v>0.84440099999999996</v>
      </c>
      <c r="C302" s="1">
        <v>0.84294100000000005</v>
      </c>
      <c r="D302" s="1">
        <f t="shared" si="28"/>
        <v>1.4599999999999058E-3</v>
      </c>
      <c r="E302">
        <f t="shared" si="29"/>
        <v>2</v>
      </c>
      <c r="F302">
        <f t="shared" si="30"/>
        <v>6</v>
      </c>
      <c r="G302">
        <f t="shared" si="31"/>
        <v>2.1</v>
      </c>
      <c r="H302">
        <f t="shared" si="32"/>
        <v>126</v>
      </c>
      <c r="I302" s="3">
        <f t="shared" si="33"/>
        <v>142.85714285714286</v>
      </c>
      <c r="J302" t="str">
        <f t="shared" si="34"/>
        <v>F</v>
      </c>
    </row>
    <row r="303" spans="1:10" hidden="1" x14ac:dyDescent="0.25">
      <c r="A303" s="4" t="s">
        <v>50</v>
      </c>
      <c r="B303" s="1">
        <v>0.64752100000000001</v>
      </c>
      <c r="C303" s="1">
        <v>0.64468899999999996</v>
      </c>
      <c r="D303" s="1">
        <f t="shared" si="28"/>
        <v>2.8320000000000567E-3</v>
      </c>
      <c r="E303">
        <f t="shared" si="29"/>
        <v>4</v>
      </c>
      <c r="F303">
        <f t="shared" si="30"/>
        <v>5</v>
      </c>
      <c r="G303">
        <f t="shared" si="31"/>
        <v>4.08</v>
      </c>
      <c r="H303">
        <f t="shared" si="32"/>
        <v>245</v>
      </c>
      <c r="I303" s="3">
        <f t="shared" si="33"/>
        <v>73.469387755102048</v>
      </c>
      <c r="J303" t="str">
        <f t="shared" si="34"/>
        <v>F</v>
      </c>
    </row>
    <row r="304" spans="1:10" hidden="1" x14ac:dyDescent="0.25">
      <c r="A304" s="4" t="s">
        <v>51</v>
      </c>
      <c r="B304" s="1">
        <v>0.61894099999999996</v>
      </c>
      <c r="C304" s="1">
        <v>0.61649299999999996</v>
      </c>
      <c r="D304" s="1">
        <f t="shared" si="28"/>
        <v>2.4480000000000057E-3</v>
      </c>
      <c r="E304">
        <f t="shared" si="29"/>
        <v>3</v>
      </c>
      <c r="F304">
        <f t="shared" si="30"/>
        <v>32</v>
      </c>
      <c r="G304">
        <f t="shared" si="31"/>
        <v>3.53</v>
      </c>
      <c r="H304">
        <f t="shared" si="32"/>
        <v>212</v>
      </c>
      <c r="I304" s="3">
        <f t="shared" si="33"/>
        <v>84.905660377358487</v>
      </c>
      <c r="J304" t="str">
        <f t="shared" si="34"/>
        <v>F</v>
      </c>
    </row>
    <row r="305" spans="1:10" hidden="1" x14ac:dyDescent="0.25">
      <c r="A305" s="4" t="s">
        <v>52</v>
      </c>
      <c r="B305" s="1">
        <v>0.80732599999999999</v>
      </c>
      <c r="C305" s="1">
        <v>0.80408199999999996</v>
      </c>
      <c r="D305" s="1">
        <f t="shared" si="28"/>
        <v>3.2440000000000246E-3</v>
      </c>
      <c r="E305">
        <f t="shared" si="29"/>
        <v>4</v>
      </c>
      <c r="F305">
        <f t="shared" si="30"/>
        <v>40</v>
      </c>
      <c r="G305">
        <f t="shared" si="31"/>
        <v>4.67</v>
      </c>
      <c r="H305">
        <f t="shared" si="32"/>
        <v>280</v>
      </c>
      <c r="I305" s="3">
        <f t="shared" si="33"/>
        <v>64.285714285714292</v>
      </c>
      <c r="J305" t="str">
        <f t="shared" si="34"/>
        <v>F</v>
      </c>
    </row>
    <row r="306" spans="1:10" hidden="1" x14ac:dyDescent="0.25">
      <c r="A306" s="4" t="s">
        <v>53</v>
      </c>
      <c r="B306" s="1">
        <v>0.36659199999999997</v>
      </c>
      <c r="C306" s="1">
        <v>0.368896</v>
      </c>
      <c r="D306" s="1">
        <f t="shared" si="28"/>
        <v>2.3040000000000282E-3</v>
      </c>
      <c r="E306">
        <f t="shared" si="29"/>
        <v>3</v>
      </c>
      <c r="F306">
        <f t="shared" si="30"/>
        <v>19</v>
      </c>
      <c r="G306">
        <f t="shared" si="31"/>
        <v>3.32</v>
      </c>
      <c r="H306">
        <f t="shared" si="32"/>
        <v>199</v>
      </c>
      <c r="I306" s="3">
        <f t="shared" si="33"/>
        <v>90.452261306532648</v>
      </c>
      <c r="J306" t="str">
        <f t="shared" si="34"/>
        <v>F</v>
      </c>
    </row>
    <row r="307" spans="1:10" hidden="1" x14ac:dyDescent="0.25">
      <c r="A307" s="4" t="s">
        <v>54</v>
      </c>
      <c r="B307" s="1">
        <v>0.70056799999999997</v>
      </c>
      <c r="C307" s="1">
        <v>0.70311999999999997</v>
      </c>
      <c r="D307" s="1">
        <f t="shared" si="28"/>
        <v>2.5519999999999987E-3</v>
      </c>
      <c r="E307">
        <f t="shared" si="29"/>
        <v>3</v>
      </c>
      <c r="F307">
        <f t="shared" si="30"/>
        <v>40</v>
      </c>
      <c r="G307">
        <f t="shared" si="31"/>
        <v>3.67</v>
      </c>
      <c r="H307">
        <f t="shared" si="32"/>
        <v>220</v>
      </c>
      <c r="I307" s="3">
        <f t="shared" si="33"/>
        <v>81.818181818181813</v>
      </c>
      <c r="J307" t="str">
        <f t="shared" si="34"/>
        <v>F</v>
      </c>
    </row>
    <row r="308" spans="1:10" hidden="1" x14ac:dyDescent="0.25">
      <c r="A308" s="4" t="s">
        <v>55</v>
      </c>
      <c r="B308" s="1">
        <v>0.62152399999999997</v>
      </c>
      <c r="C308" s="1">
        <v>0.61756</v>
      </c>
      <c r="D308" s="1">
        <f t="shared" si="28"/>
        <v>3.9639999999999675E-3</v>
      </c>
      <c r="E308">
        <f t="shared" si="29"/>
        <v>5</v>
      </c>
      <c r="F308">
        <f t="shared" si="30"/>
        <v>42</v>
      </c>
      <c r="G308">
        <f t="shared" si="31"/>
        <v>5.7</v>
      </c>
      <c r="H308">
        <f t="shared" si="32"/>
        <v>342</v>
      </c>
      <c r="I308" s="3">
        <f t="shared" si="33"/>
        <v>52.631578947368425</v>
      </c>
      <c r="J308" t="str">
        <f t="shared" si="34"/>
        <v>F</v>
      </c>
    </row>
    <row r="309" spans="1:10" hidden="1" x14ac:dyDescent="0.25">
      <c r="A309" s="4" t="s">
        <v>56</v>
      </c>
      <c r="B309" s="1">
        <v>5.7780000000000001E-3</v>
      </c>
      <c r="C309" s="1">
        <v>1.7899999999999999E-3</v>
      </c>
      <c r="D309" s="1">
        <f t="shared" si="28"/>
        <v>3.9880000000000002E-3</v>
      </c>
      <c r="E309">
        <f t="shared" si="29"/>
        <v>5</v>
      </c>
      <c r="F309">
        <f t="shared" si="30"/>
        <v>45</v>
      </c>
      <c r="G309">
        <f t="shared" si="31"/>
        <v>5.75</v>
      </c>
      <c r="H309">
        <f t="shared" si="32"/>
        <v>345</v>
      </c>
      <c r="I309" s="3">
        <f t="shared" si="33"/>
        <v>52.173913043478265</v>
      </c>
      <c r="J309" t="str">
        <f t="shared" si="34"/>
        <v>F</v>
      </c>
    </row>
    <row r="310" spans="1:10" hidden="1" x14ac:dyDescent="0.25">
      <c r="A310" s="4" t="s">
        <v>57</v>
      </c>
      <c r="B310" s="1">
        <v>7.8621999999999997E-2</v>
      </c>
      <c r="C310" s="1">
        <v>7.6165999999999998E-2</v>
      </c>
      <c r="D310" s="1">
        <f t="shared" si="28"/>
        <v>2.4559999999999998E-3</v>
      </c>
      <c r="E310">
        <f t="shared" si="29"/>
        <v>3</v>
      </c>
      <c r="F310">
        <f t="shared" si="30"/>
        <v>32</v>
      </c>
      <c r="G310">
        <f t="shared" si="31"/>
        <v>3.53</v>
      </c>
      <c r="H310">
        <f t="shared" si="32"/>
        <v>212</v>
      </c>
      <c r="I310" s="3">
        <f t="shared" si="33"/>
        <v>84.905660377358487</v>
      </c>
      <c r="J310" t="str">
        <f t="shared" si="34"/>
        <v>F</v>
      </c>
    </row>
    <row r="311" spans="1:10" hidden="1" x14ac:dyDescent="0.25">
      <c r="A311" s="4" t="s">
        <v>58</v>
      </c>
      <c r="B311" s="1">
        <v>0.314112</v>
      </c>
      <c r="C311" s="1">
        <v>0.31717200000000001</v>
      </c>
      <c r="D311" s="1">
        <f t="shared" si="28"/>
        <v>3.0600000000000072E-3</v>
      </c>
      <c r="E311">
        <f t="shared" si="29"/>
        <v>4</v>
      </c>
      <c r="F311">
        <f t="shared" si="30"/>
        <v>24</v>
      </c>
      <c r="G311">
        <f t="shared" si="31"/>
        <v>4.4000000000000004</v>
      </c>
      <c r="H311">
        <f t="shared" si="32"/>
        <v>264</v>
      </c>
      <c r="I311" s="3">
        <f t="shared" si="33"/>
        <v>68.181818181818187</v>
      </c>
      <c r="J311" t="str">
        <f t="shared" si="34"/>
        <v>F</v>
      </c>
    </row>
    <row r="312" spans="1:10" hidden="1" x14ac:dyDescent="0.25">
      <c r="A312" s="4" t="s">
        <v>59</v>
      </c>
      <c r="B312" s="1">
        <v>0.91732499999999995</v>
      </c>
      <c r="C312" s="1">
        <v>0.91552900000000004</v>
      </c>
      <c r="D312" s="1">
        <f t="shared" si="28"/>
        <v>1.7959999999999088E-3</v>
      </c>
      <c r="E312">
        <f t="shared" si="29"/>
        <v>2</v>
      </c>
      <c r="F312">
        <f t="shared" si="30"/>
        <v>35</v>
      </c>
      <c r="G312">
        <f t="shared" si="31"/>
        <v>2.58</v>
      </c>
      <c r="H312">
        <f t="shared" si="32"/>
        <v>155</v>
      </c>
      <c r="I312" s="3">
        <f t="shared" si="33"/>
        <v>116.12903225806451</v>
      </c>
      <c r="J312" t="str">
        <f t="shared" si="34"/>
        <v>F</v>
      </c>
    </row>
    <row r="313" spans="1:10" hidden="1" x14ac:dyDescent="0.25">
      <c r="A313" s="4" t="s">
        <v>60</v>
      </c>
      <c r="B313" s="1">
        <v>0.56916199999999995</v>
      </c>
      <c r="C313" s="1">
        <v>0.56642999999999999</v>
      </c>
      <c r="D313" s="1">
        <f t="shared" si="28"/>
        <v>2.7319999999999567E-3</v>
      </c>
      <c r="E313">
        <f t="shared" si="29"/>
        <v>3</v>
      </c>
      <c r="F313">
        <f t="shared" si="30"/>
        <v>56</v>
      </c>
      <c r="G313">
        <f t="shared" si="31"/>
        <v>3.93</v>
      </c>
      <c r="H313">
        <f t="shared" si="32"/>
        <v>236</v>
      </c>
      <c r="I313" s="3">
        <f t="shared" si="33"/>
        <v>76.271186440677965</v>
      </c>
      <c r="J313" t="str">
        <f t="shared" si="34"/>
        <v>F</v>
      </c>
    </row>
    <row r="314" spans="1:10" hidden="1" x14ac:dyDescent="0.25">
      <c r="A314" s="4" t="s">
        <v>61</v>
      </c>
      <c r="B314" s="1">
        <v>0.44656000000000001</v>
      </c>
      <c r="C314" s="1">
        <v>0.449212</v>
      </c>
      <c r="D314" s="1">
        <f t="shared" si="28"/>
        <v>2.6519999999999877E-3</v>
      </c>
      <c r="E314">
        <f t="shared" si="29"/>
        <v>3</v>
      </c>
      <c r="F314">
        <f t="shared" si="30"/>
        <v>49</v>
      </c>
      <c r="G314">
        <f t="shared" si="31"/>
        <v>3.82</v>
      </c>
      <c r="H314">
        <f t="shared" si="32"/>
        <v>229</v>
      </c>
      <c r="I314" s="3">
        <f t="shared" si="33"/>
        <v>78.602620087336248</v>
      </c>
      <c r="J314" t="str">
        <f t="shared" si="34"/>
        <v>F</v>
      </c>
    </row>
    <row r="315" spans="1:10" hidden="1" x14ac:dyDescent="0.25">
      <c r="A315" s="4" t="s">
        <v>62</v>
      </c>
      <c r="B315" s="1">
        <v>0.61977899999999997</v>
      </c>
      <c r="C315" s="1">
        <v>0.62161100000000002</v>
      </c>
      <c r="D315" s="1">
        <f t="shared" si="28"/>
        <v>1.8320000000000558E-3</v>
      </c>
      <c r="E315">
        <f t="shared" si="29"/>
        <v>2</v>
      </c>
      <c r="F315">
        <f t="shared" si="30"/>
        <v>38</v>
      </c>
      <c r="G315">
        <f t="shared" si="31"/>
        <v>2.63</v>
      </c>
      <c r="H315">
        <f t="shared" si="32"/>
        <v>158</v>
      </c>
      <c r="I315" s="3">
        <f t="shared" si="33"/>
        <v>113.92405063291139</v>
      </c>
      <c r="J315" t="str">
        <f t="shared" si="34"/>
        <v>F</v>
      </c>
    </row>
    <row r="316" spans="1:10" hidden="1" x14ac:dyDescent="0.25">
      <c r="A316" s="4" t="s">
        <v>63</v>
      </c>
      <c r="B316" s="1">
        <v>0.35734100000000002</v>
      </c>
      <c r="C316" s="1">
        <v>0.355101</v>
      </c>
      <c r="D316" s="1">
        <f t="shared" si="28"/>
        <v>2.2400000000000198E-3</v>
      </c>
      <c r="E316">
        <f t="shared" si="29"/>
        <v>3</v>
      </c>
      <c r="F316">
        <f t="shared" si="30"/>
        <v>14</v>
      </c>
      <c r="G316">
        <f t="shared" si="31"/>
        <v>3.23</v>
      </c>
      <c r="H316">
        <f t="shared" si="32"/>
        <v>194</v>
      </c>
      <c r="I316" s="3">
        <f t="shared" si="33"/>
        <v>92.783505154639187</v>
      </c>
      <c r="J316" t="str">
        <f t="shared" si="34"/>
        <v>F</v>
      </c>
    </row>
    <row r="317" spans="1:10" hidden="1" x14ac:dyDescent="0.25">
      <c r="A317" s="4" t="s">
        <v>64</v>
      </c>
      <c r="B317" s="1">
        <v>0.31358399999999997</v>
      </c>
      <c r="C317" s="1">
        <v>0.317444</v>
      </c>
      <c r="D317" s="1">
        <f t="shared" si="28"/>
        <v>3.8600000000000301E-3</v>
      </c>
      <c r="E317">
        <f t="shared" si="29"/>
        <v>5</v>
      </c>
      <c r="F317">
        <f t="shared" si="30"/>
        <v>34</v>
      </c>
      <c r="G317">
        <f t="shared" si="31"/>
        <v>5.57</v>
      </c>
      <c r="H317">
        <f t="shared" si="32"/>
        <v>334</v>
      </c>
      <c r="I317" s="3">
        <f t="shared" si="33"/>
        <v>53.892215568862277</v>
      </c>
      <c r="J317" t="str">
        <f t="shared" si="34"/>
        <v>F</v>
      </c>
    </row>
    <row r="318" spans="1:10" hidden="1" x14ac:dyDescent="0.25">
      <c r="A318" s="4" t="s">
        <v>65</v>
      </c>
      <c r="B318" s="1">
        <v>0.51582700000000004</v>
      </c>
      <c r="C318" s="1">
        <v>0.51399899999999998</v>
      </c>
      <c r="D318" s="1">
        <f t="shared" si="28"/>
        <v>1.8280000000000518E-3</v>
      </c>
      <c r="E318">
        <f t="shared" si="29"/>
        <v>2</v>
      </c>
      <c r="F318">
        <f t="shared" si="30"/>
        <v>38</v>
      </c>
      <c r="G318">
        <f t="shared" si="31"/>
        <v>2.63</v>
      </c>
      <c r="H318">
        <f t="shared" si="32"/>
        <v>158</v>
      </c>
      <c r="I318" s="3">
        <f t="shared" si="33"/>
        <v>113.92405063291139</v>
      </c>
      <c r="J318" t="str">
        <f t="shared" si="34"/>
        <v>F</v>
      </c>
    </row>
    <row r="319" spans="1:10" hidden="1" x14ac:dyDescent="0.25">
      <c r="A319" s="4" t="s">
        <v>66</v>
      </c>
      <c r="B319" s="1">
        <v>0.336086</v>
      </c>
      <c r="C319" s="1">
        <v>0.33219799999999999</v>
      </c>
      <c r="D319" s="1">
        <f t="shared" si="28"/>
        <v>3.8880000000000026E-3</v>
      </c>
      <c r="E319">
        <f t="shared" si="29"/>
        <v>5</v>
      </c>
      <c r="F319">
        <f t="shared" si="30"/>
        <v>36</v>
      </c>
      <c r="G319">
        <f t="shared" si="31"/>
        <v>5.6</v>
      </c>
      <c r="H319">
        <f t="shared" si="32"/>
        <v>336</v>
      </c>
      <c r="I319" s="3">
        <f t="shared" si="33"/>
        <v>53.571428571428569</v>
      </c>
      <c r="J319" t="str">
        <f t="shared" si="34"/>
        <v>F</v>
      </c>
    </row>
    <row r="320" spans="1:10" hidden="1" x14ac:dyDescent="0.25">
      <c r="A320" s="4" t="s">
        <v>67</v>
      </c>
      <c r="B320" s="1">
        <v>0.60153500000000004</v>
      </c>
      <c r="C320" s="1">
        <v>0.59848699999999999</v>
      </c>
      <c r="D320" s="1">
        <f t="shared" si="28"/>
        <v>3.0480000000000507E-3</v>
      </c>
      <c r="E320">
        <f t="shared" si="29"/>
        <v>4</v>
      </c>
      <c r="F320">
        <f t="shared" si="30"/>
        <v>23</v>
      </c>
      <c r="G320">
        <f t="shared" si="31"/>
        <v>4.38</v>
      </c>
      <c r="H320">
        <f t="shared" si="32"/>
        <v>263</v>
      </c>
      <c r="I320" s="3">
        <f t="shared" si="33"/>
        <v>68.441064638783274</v>
      </c>
      <c r="J320" t="str">
        <f t="shared" si="34"/>
        <v>F</v>
      </c>
    </row>
    <row r="321" spans="1:10" hidden="1" x14ac:dyDescent="0.25">
      <c r="A321" s="4" t="s">
        <v>68</v>
      </c>
      <c r="B321" s="1">
        <v>0.52852399999999999</v>
      </c>
      <c r="C321" s="1">
        <v>0.52494399999999997</v>
      </c>
      <c r="D321" s="1">
        <f t="shared" si="28"/>
        <v>3.5800000000000276E-3</v>
      </c>
      <c r="E321">
        <f t="shared" si="29"/>
        <v>5</v>
      </c>
      <c r="F321">
        <f t="shared" si="30"/>
        <v>9</v>
      </c>
      <c r="G321">
        <f t="shared" si="31"/>
        <v>5.15</v>
      </c>
      <c r="H321">
        <f t="shared" si="32"/>
        <v>309</v>
      </c>
      <c r="I321" s="3">
        <f t="shared" si="33"/>
        <v>58.252427184466022</v>
      </c>
      <c r="J321" t="str">
        <f t="shared" si="34"/>
        <v>F</v>
      </c>
    </row>
    <row r="322" spans="1:10" hidden="1" x14ac:dyDescent="0.25">
      <c r="A322" s="4" t="s">
        <v>69</v>
      </c>
      <c r="B322" s="1">
        <v>0.52150200000000002</v>
      </c>
      <c r="C322" s="1">
        <v>0.517926</v>
      </c>
      <c r="D322" s="1">
        <f t="shared" si="28"/>
        <v>3.5760000000000236E-3</v>
      </c>
      <c r="E322">
        <f t="shared" si="29"/>
        <v>5</v>
      </c>
      <c r="F322">
        <f t="shared" si="30"/>
        <v>9</v>
      </c>
      <c r="G322">
        <f t="shared" si="31"/>
        <v>5.15</v>
      </c>
      <c r="H322">
        <f t="shared" si="32"/>
        <v>309</v>
      </c>
      <c r="I322" s="3">
        <f t="shared" si="33"/>
        <v>58.252427184466022</v>
      </c>
      <c r="J322" t="str">
        <f t="shared" si="34"/>
        <v>F</v>
      </c>
    </row>
    <row r="323" spans="1:10" hidden="1" x14ac:dyDescent="0.25">
      <c r="A323" s="4" t="s">
        <v>70</v>
      </c>
      <c r="B323" s="1">
        <v>0.55355699999999997</v>
      </c>
      <c r="C323" s="1">
        <v>0.55564499999999994</v>
      </c>
      <c r="D323" s="1">
        <f t="shared" ref="D323:D386" si="35">IF(B323&gt;C323,B323-C323,C323-B323)</f>
        <v>2.0879999999999788E-3</v>
      </c>
      <c r="E323">
        <f t="shared" ref="E323:E386" si="36">MINUTE(D323)</f>
        <v>3</v>
      </c>
      <c r="F323">
        <f t="shared" ref="F323:F386" si="37">SECOND(D323)</f>
        <v>0</v>
      </c>
      <c r="G323">
        <f t="shared" ref="G323:G386" si="38">ROUND(E323+F323/60,2)</f>
        <v>3</v>
      </c>
      <c r="H323">
        <f t="shared" ref="H323:H386" si="39">60*E323+F323</f>
        <v>180</v>
      </c>
      <c r="I323" s="3">
        <f t="shared" ref="I323:I386" si="40">5*(3600/H323)</f>
        <v>100</v>
      </c>
      <c r="J323" t="str">
        <f t="shared" ref="J323:J386" si="41">IF(MID(A323,3,2)="18","T","F")</f>
        <v>F</v>
      </c>
    </row>
    <row r="324" spans="1:10" hidden="1" x14ac:dyDescent="0.25">
      <c r="A324" s="4" t="s">
        <v>71</v>
      </c>
      <c r="B324" s="1">
        <v>0.61365199999999998</v>
      </c>
      <c r="C324" s="1">
        <v>0.61106000000000005</v>
      </c>
      <c r="D324" s="1">
        <f t="shared" si="35"/>
        <v>2.5919999999999277E-3</v>
      </c>
      <c r="E324">
        <f t="shared" si="36"/>
        <v>3</v>
      </c>
      <c r="F324">
        <f t="shared" si="37"/>
        <v>44</v>
      </c>
      <c r="G324">
        <f t="shared" si="38"/>
        <v>3.73</v>
      </c>
      <c r="H324">
        <f t="shared" si="39"/>
        <v>224</v>
      </c>
      <c r="I324" s="3">
        <f t="shared" si="40"/>
        <v>80.357142857142861</v>
      </c>
      <c r="J324" t="str">
        <f t="shared" si="41"/>
        <v>F</v>
      </c>
    </row>
    <row r="325" spans="1:10" hidden="1" x14ac:dyDescent="0.25">
      <c r="A325" s="4" t="s">
        <v>72</v>
      </c>
      <c r="B325" s="1">
        <v>0.35344900000000001</v>
      </c>
      <c r="C325" s="1">
        <v>0.35718100000000003</v>
      </c>
      <c r="D325" s="1">
        <f t="shared" si="35"/>
        <v>3.7320000000000131E-3</v>
      </c>
      <c r="E325">
        <f t="shared" si="36"/>
        <v>5</v>
      </c>
      <c r="F325">
        <f t="shared" si="37"/>
        <v>22</v>
      </c>
      <c r="G325">
        <f t="shared" si="38"/>
        <v>5.37</v>
      </c>
      <c r="H325">
        <f t="shared" si="39"/>
        <v>322</v>
      </c>
      <c r="I325" s="3">
        <f t="shared" si="40"/>
        <v>55.900621118012424</v>
      </c>
      <c r="J325" t="str">
        <f t="shared" si="41"/>
        <v>F</v>
      </c>
    </row>
    <row r="326" spans="1:10" hidden="1" x14ac:dyDescent="0.25">
      <c r="A326" s="4" t="s">
        <v>73</v>
      </c>
      <c r="B326" s="1">
        <v>0.31540200000000002</v>
      </c>
      <c r="C326" s="1">
        <v>0.31398599999999999</v>
      </c>
      <c r="D326" s="1">
        <f t="shared" si="35"/>
        <v>1.4160000000000283E-3</v>
      </c>
      <c r="E326">
        <f t="shared" si="36"/>
        <v>2</v>
      </c>
      <c r="F326">
        <f t="shared" si="37"/>
        <v>2</v>
      </c>
      <c r="G326">
        <f t="shared" si="38"/>
        <v>2.0299999999999998</v>
      </c>
      <c r="H326">
        <f t="shared" si="39"/>
        <v>122</v>
      </c>
      <c r="I326" s="3">
        <f t="shared" si="40"/>
        <v>147.54098360655738</v>
      </c>
      <c r="J326" t="str">
        <f t="shared" si="41"/>
        <v>F</v>
      </c>
    </row>
    <row r="327" spans="1:10" hidden="1" x14ac:dyDescent="0.25">
      <c r="A327" s="4" t="s">
        <v>74</v>
      </c>
      <c r="B327" s="1">
        <v>0.20558899999999999</v>
      </c>
      <c r="C327" s="1">
        <v>0.20712900000000001</v>
      </c>
      <c r="D327" s="1">
        <f t="shared" si="35"/>
        <v>1.5400000000000136E-3</v>
      </c>
      <c r="E327">
        <f t="shared" si="36"/>
        <v>2</v>
      </c>
      <c r="F327">
        <f t="shared" si="37"/>
        <v>13</v>
      </c>
      <c r="G327">
        <f t="shared" si="38"/>
        <v>2.2200000000000002</v>
      </c>
      <c r="H327">
        <f t="shared" si="39"/>
        <v>133</v>
      </c>
      <c r="I327" s="3">
        <f t="shared" si="40"/>
        <v>135.33834586466165</v>
      </c>
      <c r="J327" t="str">
        <f t="shared" si="41"/>
        <v>F</v>
      </c>
    </row>
    <row r="328" spans="1:10" hidden="1" x14ac:dyDescent="0.25">
      <c r="A328" s="4" t="s">
        <v>75</v>
      </c>
      <c r="B328" s="1">
        <v>0.87064699999999995</v>
      </c>
      <c r="C328" s="1">
        <v>0.87361100000000003</v>
      </c>
      <c r="D328" s="1">
        <f t="shared" si="35"/>
        <v>2.9640000000000777E-3</v>
      </c>
      <c r="E328">
        <f t="shared" si="36"/>
        <v>4</v>
      </c>
      <c r="F328">
        <f t="shared" si="37"/>
        <v>16</v>
      </c>
      <c r="G328">
        <f t="shared" si="38"/>
        <v>4.2699999999999996</v>
      </c>
      <c r="H328">
        <f t="shared" si="39"/>
        <v>256</v>
      </c>
      <c r="I328" s="3">
        <f t="shared" si="40"/>
        <v>70.3125</v>
      </c>
      <c r="J328" t="str">
        <f t="shared" si="41"/>
        <v>F</v>
      </c>
    </row>
    <row r="329" spans="1:10" hidden="1" x14ac:dyDescent="0.25">
      <c r="A329" s="4" t="s">
        <v>76</v>
      </c>
      <c r="B329" s="1">
        <v>6.5492999999999996E-2</v>
      </c>
      <c r="C329" s="1">
        <v>6.8885000000000002E-2</v>
      </c>
      <c r="D329" s="1">
        <f t="shared" si="35"/>
        <v>3.3920000000000061E-3</v>
      </c>
      <c r="E329">
        <f t="shared" si="36"/>
        <v>4</v>
      </c>
      <c r="F329">
        <f t="shared" si="37"/>
        <v>53</v>
      </c>
      <c r="G329">
        <f t="shared" si="38"/>
        <v>4.88</v>
      </c>
      <c r="H329">
        <f t="shared" si="39"/>
        <v>293</v>
      </c>
      <c r="I329" s="3">
        <f t="shared" si="40"/>
        <v>61.43344709897611</v>
      </c>
      <c r="J329" t="str">
        <f t="shared" si="41"/>
        <v>F</v>
      </c>
    </row>
    <row r="330" spans="1:10" hidden="1" x14ac:dyDescent="0.25">
      <c r="A330" s="4" t="s">
        <v>77</v>
      </c>
      <c r="B330" s="1">
        <v>0.32361200000000001</v>
      </c>
      <c r="C330" s="1">
        <v>0.31988800000000001</v>
      </c>
      <c r="D330" s="1">
        <f t="shared" si="35"/>
        <v>3.7240000000000051E-3</v>
      </c>
      <c r="E330">
        <f t="shared" si="36"/>
        <v>5</v>
      </c>
      <c r="F330">
        <f t="shared" si="37"/>
        <v>22</v>
      </c>
      <c r="G330">
        <f t="shared" si="38"/>
        <v>5.37</v>
      </c>
      <c r="H330">
        <f t="shared" si="39"/>
        <v>322</v>
      </c>
      <c r="I330" s="3">
        <f t="shared" si="40"/>
        <v>55.900621118012424</v>
      </c>
      <c r="J330" t="str">
        <f t="shared" si="41"/>
        <v>F</v>
      </c>
    </row>
    <row r="331" spans="1:10" hidden="1" x14ac:dyDescent="0.25">
      <c r="A331" s="4" t="s">
        <v>78</v>
      </c>
      <c r="B331" s="1">
        <v>0.93040699999999998</v>
      </c>
      <c r="C331" s="1">
        <v>0.93328299999999997</v>
      </c>
      <c r="D331" s="1">
        <f t="shared" si="35"/>
        <v>2.8759999999999897E-3</v>
      </c>
      <c r="E331">
        <f t="shared" si="36"/>
        <v>4</v>
      </c>
      <c r="F331">
        <f t="shared" si="37"/>
        <v>8</v>
      </c>
      <c r="G331">
        <f t="shared" si="38"/>
        <v>4.13</v>
      </c>
      <c r="H331">
        <f t="shared" si="39"/>
        <v>248</v>
      </c>
      <c r="I331" s="3">
        <f t="shared" si="40"/>
        <v>72.58064516129032</v>
      </c>
      <c r="J331" t="str">
        <f t="shared" si="41"/>
        <v>F</v>
      </c>
    </row>
    <row r="332" spans="1:10" hidden="1" x14ac:dyDescent="0.25">
      <c r="A332" s="4" t="s">
        <v>79</v>
      </c>
      <c r="B332" s="1">
        <v>0.22035199999999999</v>
      </c>
      <c r="C332" s="1">
        <v>0.21679999999999999</v>
      </c>
      <c r="D332" s="1">
        <f t="shared" si="35"/>
        <v>3.5519999999999996E-3</v>
      </c>
      <c r="E332">
        <f t="shared" si="36"/>
        <v>5</v>
      </c>
      <c r="F332">
        <f t="shared" si="37"/>
        <v>7</v>
      </c>
      <c r="G332">
        <f t="shared" si="38"/>
        <v>5.12</v>
      </c>
      <c r="H332">
        <f t="shared" si="39"/>
        <v>307</v>
      </c>
      <c r="I332" s="3">
        <f t="shared" si="40"/>
        <v>58.631921824104232</v>
      </c>
      <c r="J332" t="str">
        <f t="shared" si="41"/>
        <v>F</v>
      </c>
    </row>
    <row r="333" spans="1:10" hidden="1" x14ac:dyDescent="0.25">
      <c r="A333" s="4" t="s">
        <v>80</v>
      </c>
      <c r="B333" s="1">
        <v>0.58458699999999997</v>
      </c>
      <c r="C333" s="1">
        <v>0.58833899999999995</v>
      </c>
      <c r="D333" s="1">
        <f t="shared" si="35"/>
        <v>3.7519999999999776E-3</v>
      </c>
      <c r="E333">
        <f t="shared" si="36"/>
        <v>5</v>
      </c>
      <c r="F333">
        <f t="shared" si="37"/>
        <v>24</v>
      </c>
      <c r="G333">
        <f t="shared" si="38"/>
        <v>5.4</v>
      </c>
      <c r="H333">
        <f t="shared" si="39"/>
        <v>324</v>
      </c>
      <c r="I333" s="3">
        <f t="shared" si="40"/>
        <v>55.555555555555557</v>
      </c>
      <c r="J333" t="str">
        <f t="shared" si="41"/>
        <v>F</v>
      </c>
    </row>
    <row r="334" spans="1:10" hidden="1" x14ac:dyDescent="0.25">
      <c r="A334" s="4" t="s">
        <v>81</v>
      </c>
      <c r="B334" s="1">
        <v>0.553678</v>
      </c>
      <c r="C334" s="1">
        <v>0.55054599999999998</v>
      </c>
      <c r="D334" s="1">
        <f t="shared" si="35"/>
        <v>3.1320000000000237E-3</v>
      </c>
      <c r="E334">
        <f t="shared" si="36"/>
        <v>4</v>
      </c>
      <c r="F334">
        <f t="shared" si="37"/>
        <v>31</v>
      </c>
      <c r="G334">
        <f t="shared" si="38"/>
        <v>4.5199999999999996</v>
      </c>
      <c r="H334">
        <f t="shared" si="39"/>
        <v>271</v>
      </c>
      <c r="I334" s="3">
        <f t="shared" si="40"/>
        <v>66.420664206642059</v>
      </c>
      <c r="J334" t="str">
        <f t="shared" si="41"/>
        <v>F</v>
      </c>
    </row>
    <row r="335" spans="1:10" hidden="1" x14ac:dyDescent="0.25">
      <c r="A335" s="4" t="s">
        <v>82</v>
      </c>
      <c r="B335" s="1">
        <v>0.34303299999999998</v>
      </c>
      <c r="C335" s="1">
        <v>0.34460099999999999</v>
      </c>
      <c r="D335" s="1">
        <f t="shared" si="35"/>
        <v>1.5680000000000138E-3</v>
      </c>
      <c r="E335">
        <f t="shared" si="36"/>
        <v>2</v>
      </c>
      <c r="F335">
        <f t="shared" si="37"/>
        <v>15</v>
      </c>
      <c r="G335">
        <f t="shared" si="38"/>
        <v>2.25</v>
      </c>
      <c r="H335">
        <f t="shared" si="39"/>
        <v>135</v>
      </c>
      <c r="I335" s="3">
        <f t="shared" si="40"/>
        <v>133.33333333333334</v>
      </c>
      <c r="J335" t="str">
        <f t="shared" si="41"/>
        <v>F</v>
      </c>
    </row>
    <row r="336" spans="1:10" hidden="1" x14ac:dyDescent="0.25">
      <c r="A336" s="4" t="s">
        <v>83</v>
      </c>
      <c r="B336" s="1">
        <v>0.48969400000000002</v>
      </c>
      <c r="C336" s="1">
        <v>0.48625800000000002</v>
      </c>
      <c r="D336" s="1">
        <f t="shared" si="35"/>
        <v>3.4359999999999946E-3</v>
      </c>
      <c r="E336">
        <f t="shared" si="36"/>
        <v>4</v>
      </c>
      <c r="F336">
        <f t="shared" si="37"/>
        <v>57</v>
      </c>
      <c r="G336">
        <f t="shared" si="38"/>
        <v>4.95</v>
      </c>
      <c r="H336">
        <f t="shared" si="39"/>
        <v>297</v>
      </c>
      <c r="I336" s="3">
        <f t="shared" si="40"/>
        <v>60.606060606060609</v>
      </c>
      <c r="J336" t="str">
        <f t="shared" si="41"/>
        <v>F</v>
      </c>
    </row>
    <row r="337" spans="1:10" hidden="1" x14ac:dyDescent="0.25">
      <c r="A337" s="4" t="s">
        <v>84</v>
      </c>
      <c r="B337" s="1">
        <v>0.51541800000000004</v>
      </c>
      <c r="C337" s="1">
        <v>0.51847399999999999</v>
      </c>
      <c r="D337" s="1">
        <f t="shared" si="35"/>
        <v>3.0559999999999476E-3</v>
      </c>
      <c r="E337">
        <f t="shared" si="36"/>
        <v>4</v>
      </c>
      <c r="F337">
        <f t="shared" si="37"/>
        <v>24</v>
      </c>
      <c r="G337">
        <f t="shared" si="38"/>
        <v>4.4000000000000004</v>
      </c>
      <c r="H337">
        <f t="shared" si="39"/>
        <v>264</v>
      </c>
      <c r="I337" s="3">
        <f t="shared" si="40"/>
        <v>68.181818181818187</v>
      </c>
      <c r="J337" t="str">
        <f t="shared" si="41"/>
        <v>F</v>
      </c>
    </row>
    <row r="338" spans="1:10" hidden="1" x14ac:dyDescent="0.25">
      <c r="A338" s="4" t="s">
        <v>85</v>
      </c>
      <c r="B338" s="1">
        <v>0.139958</v>
      </c>
      <c r="C338" s="1">
        <v>0.14291400000000001</v>
      </c>
      <c r="D338" s="1">
        <f t="shared" si="35"/>
        <v>2.9560000000000142E-3</v>
      </c>
      <c r="E338">
        <f t="shared" si="36"/>
        <v>4</v>
      </c>
      <c r="F338">
        <f t="shared" si="37"/>
        <v>15</v>
      </c>
      <c r="G338">
        <f t="shared" si="38"/>
        <v>4.25</v>
      </c>
      <c r="H338">
        <f t="shared" si="39"/>
        <v>255</v>
      </c>
      <c r="I338" s="3">
        <f t="shared" si="40"/>
        <v>70.588235294117652</v>
      </c>
      <c r="J338" t="str">
        <f t="shared" si="41"/>
        <v>F</v>
      </c>
    </row>
    <row r="339" spans="1:10" x14ac:dyDescent="0.25">
      <c r="A339" s="7" t="s">
        <v>169</v>
      </c>
      <c r="B339" s="1">
        <v>0.60565199999999997</v>
      </c>
      <c r="C339" s="1">
        <v>0.60829999999999995</v>
      </c>
      <c r="D339" s="1">
        <f t="shared" si="35"/>
        <v>2.6479999999999837E-3</v>
      </c>
      <c r="E339">
        <f t="shared" si="36"/>
        <v>3</v>
      </c>
      <c r="F339">
        <f t="shared" si="37"/>
        <v>49</v>
      </c>
      <c r="G339">
        <f t="shared" si="38"/>
        <v>3.82</v>
      </c>
      <c r="H339">
        <f t="shared" si="39"/>
        <v>229</v>
      </c>
      <c r="I339" s="6">
        <f t="shared" si="40"/>
        <v>78.602620087336248</v>
      </c>
      <c r="J339" t="str">
        <f t="shared" si="41"/>
        <v>T</v>
      </c>
    </row>
    <row r="340" spans="1:10" hidden="1" x14ac:dyDescent="0.25">
      <c r="A340" s="4" t="s">
        <v>87</v>
      </c>
      <c r="B340" s="1">
        <v>0.517347</v>
      </c>
      <c r="C340" s="1">
        <v>0.51533499999999999</v>
      </c>
      <c r="D340" s="1">
        <f t="shared" si="35"/>
        <v>2.0120000000000138E-3</v>
      </c>
      <c r="E340">
        <f t="shared" si="36"/>
        <v>2</v>
      </c>
      <c r="F340">
        <f t="shared" si="37"/>
        <v>54</v>
      </c>
      <c r="G340">
        <f t="shared" si="38"/>
        <v>2.9</v>
      </c>
      <c r="H340">
        <f t="shared" si="39"/>
        <v>174</v>
      </c>
      <c r="I340" s="3">
        <f t="shared" si="40"/>
        <v>103.44827586206897</v>
      </c>
      <c r="J340" t="str">
        <f t="shared" si="41"/>
        <v>F</v>
      </c>
    </row>
    <row r="341" spans="1:10" hidden="1" x14ac:dyDescent="0.25">
      <c r="A341" s="4" t="s">
        <v>88</v>
      </c>
      <c r="B341" s="1">
        <v>0.48257800000000001</v>
      </c>
      <c r="C341" s="1">
        <v>0.480354</v>
      </c>
      <c r="D341" s="1">
        <f t="shared" si="35"/>
        <v>2.2240000000000038E-3</v>
      </c>
      <c r="E341">
        <f t="shared" si="36"/>
        <v>3</v>
      </c>
      <c r="F341">
        <f t="shared" si="37"/>
        <v>12</v>
      </c>
      <c r="G341">
        <f t="shared" si="38"/>
        <v>3.2</v>
      </c>
      <c r="H341">
        <f t="shared" si="39"/>
        <v>192</v>
      </c>
      <c r="I341" s="3">
        <f t="shared" si="40"/>
        <v>93.75</v>
      </c>
      <c r="J341" t="str">
        <f t="shared" si="41"/>
        <v>F</v>
      </c>
    </row>
    <row r="342" spans="1:10" hidden="1" x14ac:dyDescent="0.25">
      <c r="A342" s="4" t="s">
        <v>89</v>
      </c>
      <c r="B342" s="1">
        <v>0.42967</v>
      </c>
      <c r="C342" s="1">
        <v>0.42654599999999998</v>
      </c>
      <c r="D342" s="1">
        <f t="shared" si="35"/>
        <v>3.1240000000000157E-3</v>
      </c>
      <c r="E342">
        <f t="shared" si="36"/>
        <v>4</v>
      </c>
      <c r="F342">
        <f t="shared" si="37"/>
        <v>30</v>
      </c>
      <c r="G342">
        <f t="shared" si="38"/>
        <v>4.5</v>
      </c>
      <c r="H342">
        <f t="shared" si="39"/>
        <v>270</v>
      </c>
      <c r="I342" s="3">
        <f t="shared" si="40"/>
        <v>66.666666666666671</v>
      </c>
      <c r="J342" t="str">
        <f t="shared" si="41"/>
        <v>F</v>
      </c>
    </row>
    <row r="343" spans="1:10" hidden="1" x14ac:dyDescent="0.25">
      <c r="A343" s="4" t="s">
        <v>90</v>
      </c>
      <c r="B343" s="1">
        <v>0.271982</v>
      </c>
      <c r="C343" s="1">
        <v>0.26878999999999997</v>
      </c>
      <c r="D343" s="1">
        <f t="shared" si="35"/>
        <v>3.1920000000000281E-3</v>
      </c>
      <c r="E343">
        <f t="shared" si="36"/>
        <v>4</v>
      </c>
      <c r="F343">
        <f t="shared" si="37"/>
        <v>36</v>
      </c>
      <c r="G343">
        <f t="shared" si="38"/>
        <v>4.5999999999999996</v>
      </c>
      <c r="H343">
        <f t="shared" si="39"/>
        <v>276</v>
      </c>
      <c r="I343" s="3">
        <f t="shared" si="40"/>
        <v>65.217391304347828</v>
      </c>
      <c r="J343" t="str">
        <f t="shared" si="41"/>
        <v>F</v>
      </c>
    </row>
    <row r="344" spans="1:10" hidden="1" x14ac:dyDescent="0.25">
      <c r="A344" s="4" t="s">
        <v>91</v>
      </c>
      <c r="B344" s="1">
        <v>0.97138999999999998</v>
      </c>
      <c r="C344" s="1">
        <v>0.97505799999999998</v>
      </c>
      <c r="D344" s="1">
        <f t="shared" si="35"/>
        <v>3.6680000000000046E-3</v>
      </c>
      <c r="E344">
        <f t="shared" si="36"/>
        <v>5</v>
      </c>
      <c r="F344">
        <f t="shared" si="37"/>
        <v>17</v>
      </c>
      <c r="G344">
        <f t="shared" si="38"/>
        <v>5.28</v>
      </c>
      <c r="H344">
        <f t="shared" si="39"/>
        <v>317</v>
      </c>
      <c r="I344" s="3">
        <f t="shared" si="40"/>
        <v>56.782334384858046</v>
      </c>
      <c r="J344" t="str">
        <f t="shared" si="41"/>
        <v>F</v>
      </c>
    </row>
    <row r="345" spans="1:10" hidden="1" x14ac:dyDescent="0.25">
      <c r="A345" s="4" t="s">
        <v>92</v>
      </c>
      <c r="B345" s="1">
        <v>0.78457500000000002</v>
      </c>
      <c r="C345" s="1">
        <v>0.78705899999999995</v>
      </c>
      <c r="D345" s="1">
        <f t="shared" si="35"/>
        <v>2.4839999999999307E-3</v>
      </c>
      <c r="E345">
        <f t="shared" si="36"/>
        <v>3</v>
      </c>
      <c r="F345">
        <f t="shared" si="37"/>
        <v>35</v>
      </c>
      <c r="G345">
        <f t="shared" si="38"/>
        <v>3.58</v>
      </c>
      <c r="H345">
        <f t="shared" si="39"/>
        <v>215</v>
      </c>
      <c r="I345" s="3">
        <f t="shared" si="40"/>
        <v>83.720930232558146</v>
      </c>
      <c r="J345" t="str">
        <f t="shared" si="41"/>
        <v>F</v>
      </c>
    </row>
    <row r="346" spans="1:10" hidden="1" x14ac:dyDescent="0.25">
      <c r="A346" s="4" t="s">
        <v>93</v>
      </c>
      <c r="B346" s="1">
        <v>0.64764299999999997</v>
      </c>
      <c r="C346" s="1">
        <v>0.64919099999999996</v>
      </c>
      <c r="D346" s="1">
        <f t="shared" si="35"/>
        <v>1.5479999999999938E-3</v>
      </c>
      <c r="E346">
        <f t="shared" si="36"/>
        <v>2</v>
      </c>
      <c r="F346">
        <f t="shared" si="37"/>
        <v>14</v>
      </c>
      <c r="G346">
        <f t="shared" si="38"/>
        <v>2.23</v>
      </c>
      <c r="H346">
        <f t="shared" si="39"/>
        <v>134</v>
      </c>
      <c r="I346" s="3">
        <f t="shared" si="40"/>
        <v>134.32835820895522</v>
      </c>
      <c r="J346" t="str">
        <f t="shared" si="41"/>
        <v>F</v>
      </c>
    </row>
    <row r="347" spans="1:10" hidden="1" x14ac:dyDescent="0.25">
      <c r="A347" s="4" t="s">
        <v>94</v>
      </c>
      <c r="B347" s="1">
        <v>0.44351000000000002</v>
      </c>
      <c r="C347" s="1">
        <v>0.44622200000000001</v>
      </c>
      <c r="D347" s="1">
        <f t="shared" si="35"/>
        <v>2.7119999999999922E-3</v>
      </c>
      <c r="E347">
        <f t="shared" si="36"/>
        <v>3</v>
      </c>
      <c r="F347">
        <f t="shared" si="37"/>
        <v>54</v>
      </c>
      <c r="G347">
        <f t="shared" si="38"/>
        <v>3.9</v>
      </c>
      <c r="H347">
        <f t="shared" si="39"/>
        <v>234</v>
      </c>
      <c r="I347" s="3">
        <f t="shared" si="40"/>
        <v>76.92307692307692</v>
      </c>
      <c r="J347" t="str">
        <f t="shared" si="41"/>
        <v>F</v>
      </c>
    </row>
    <row r="348" spans="1:10" hidden="1" x14ac:dyDescent="0.25">
      <c r="A348" s="4" t="s">
        <v>95</v>
      </c>
      <c r="B348" s="1">
        <v>0.18242900000000001</v>
      </c>
      <c r="C348" s="1">
        <v>0.18092900000000001</v>
      </c>
      <c r="D348" s="1">
        <f t="shared" si="35"/>
        <v>1.5000000000000013E-3</v>
      </c>
      <c r="E348">
        <f t="shared" si="36"/>
        <v>2</v>
      </c>
      <c r="F348">
        <f t="shared" si="37"/>
        <v>10</v>
      </c>
      <c r="G348">
        <f t="shared" si="38"/>
        <v>2.17</v>
      </c>
      <c r="H348">
        <f t="shared" si="39"/>
        <v>130</v>
      </c>
      <c r="I348" s="3">
        <f t="shared" si="40"/>
        <v>138.46153846153845</v>
      </c>
      <c r="J348" t="str">
        <f t="shared" si="41"/>
        <v>F</v>
      </c>
    </row>
    <row r="349" spans="1:10" hidden="1" x14ac:dyDescent="0.25">
      <c r="A349" s="4" t="s">
        <v>96</v>
      </c>
      <c r="B349" s="1">
        <v>0.699542</v>
      </c>
      <c r="C349" s="1">
        <v>0.70160199999999995</v>
      </c>
      <c r="D349" s="1">
        <f t="shared" si="35"/>
        <v>2.0599999999999508E-3</v>
      </c>
      <c r="E349">
        <f t="shared" si="36"/>
        <v>2</v>
      </c>
      <c r="F349">
        <f t="shared" si="37"/>
        <v>58</v>
      </c>
      <c r="G349">
        <f t="shared" si="38"/>
        <v>2.97</v>
      </c>
      <c r="H349">
        <f t="shared" si="39"/>
        <v>178</v>
      </c>
      <c r="I349" s="3">
        <f t="shared" si="40"/>
        <v>101.12359550561798</v>
      </c>
      <c r="J349" t="str">
        <f t="shared" si="41"/>
        <v>F</v>
      </c>
    </row>
    <row r="350" spans="1:10" hidden="1" x14ac:dyDescent="0.25">
      <c r="A350" s="4" t="s">
        <v>97</v>
      </c>
      <c r="B350" s="1">
        <v>0.79618299999999997</v>
      </c>
      <c r="C350" s="1">
        <v>0.79799500000000001</v>
      </c>
      <c r="D350" s="1">
        <f t="shared" si="35"/>
        <v>1.8120000000000358E-3</v>
      </c>
      <c r="E350">
        <f t="shared" si="36"/>
        <v>2</v>
      </c>
      <c r="F350">
        <f t="shared" si="37"/>
        <v>37</v>
      </c>
      <c r="G350">
        <f t="shared" si="38"/>
        <v>2.62</v>
      </c>
      <c r="H350">
        <f t="shared" si="39"/>
        <v>157</v>
      </c>
      <c r="I350" s="3">
        <f t="shared" si="40"/>
        <v>114.64968152866241</v>
      </c>
      <c r="J350" t="str">
        <f t="shared" si="41"/>
        <v>F</v>
      </c>
    </row>
    <row r="351" spans="1:10" hidden="1" x14ac:dyDescent="0.25">
      <c r="A351" s="4" t="s">
        <v>98</v>
      </c>
      <c r="B351" s="1">
        <v>0.456841</v>
      </c>
      <c r="C351" s="1">
        <v>0.45322499999999999</v>
      </c>
      <c r="D351" s="1">
        <f t="shared" si="35"/>
        <v>3.6160000000000081E-3</v>
      </c>
      <c r="E351">
        <f t="shared" si="36"/>
        <v>5</v>
      </c>
      <c r="F351">
        <f t="shared" si="37"/>
        <v>12</v>
      </c>
      <c r="G351">
        <f t="shared" si="38"/>
        <v>5.2</v>
      </c>
      <c r="H351">
        <f t="shared" si="39"/>
        <v>312</v>
      </c>
      <c r="I351" s="3">
        <f t="shared" si="40"/>
        <v>57.692307692307693</v>
      </c>
      <c r="J351" t="str">
        <f t="shared" si="41"/>
        <v>F</v>
      </c>
    </row>
    <row r="352" spans="1:10" hidden="1" x14ac:dyDescent="0.25">
      <c r="A352" s="4" t="s">
        <v>99</v>
      </c>
      <c r="B352" s="1">
        <v>0.51575599999999999</v>
      </c>
      <c r="C352" s="1">
        <v>0.51722000000000001</v>
      </c>
      <c r="D352" s="1">
        <f t="shared" si="35"/>
        <v>1.4640000000000208E-3</v>
      </c>
      <c r="E352">
        <f t="shared" si="36"/>
        <v>2</v>
      </c>
      <c r="F352">
        <f t="shared" si="37"/>
        <v>6</v>
      </c>
      <c r="G352">
        <f t="shared" si="38"/>
        <v>2.1</v>
      </c>
      <c r="H352">
        <f t="shared" si="39"/>
        <v>126</v>
      </c>
      <c r="I352" s="3">
        <f t="shared" si="40"/>
        <v>142.85714285714286</v>
      </c>
      <c r="J352" t="str">
        <f t="shared" si="41"/>
        <v>F</v>
      </c>
    </row>
    <row r="353" spans="1:10" hidden="1" x14ac:dyDescent="0.25">
      <c r="A353" s="4" t="s">
        <v>100</v>
      </c>
      <c r="B353" s="1">
        <v>0.98372400000000004</v>
      </c>
      <c r="C353" s="1">
        <v>0.98587599999999997</v>
      </c>
      <c r="D353" s="1">
        <f t="shared" si="35"/>
        <v>2.1519999999999317E-3</v>
      </c>
      <c r="E353">
        <f t="shared" si="36"/>
        <v>3</v>
      </c>
      <c r="F353">
        <f t="shared" si="37"/>
        <v>6</v>
      </c>
      <c r="G353">
        <f t="shared" si="38"/>
        <v>3.1</v>
      </c>
      <c r="H353">
        <f t="shared" si="39"/>
        <v>186</v>
      </c>
      <c r="I353" s="3">
        <f t="shared" si="40"/>
        <v>96.774193548387103</v>
      </c>
      <c r="J353" t="str">
        <f t="shared" si="41"/>
        <v>F</v>
      </c>
    </row>
    <row r="354" spans="1:10" hidden="1" x14ac:dyDescent="0.25">
      <c r="A354" s="4" t="s">
        <v>101</v>
      </c>
      <c r="B354" s="1">
        <v>0.37134800000000001</v>
      </c>
      <c r="C354" s="1">
        <v>0.374724</v>
      </c>
      <c r="D354" s="1">
        <f t="shared" si="35"/>
        <v>3.3759999999999901E-3</v>
      </c>
      <c r="E354">
        <f t="shared" si="36"/>
        <v>4</v>
      </c>
      <c r="F354">
        <f t="shared" si="37"/>
        <v>52</v>
      </c>
      <c r="G354">
        <f t="shared" si="38"/>
        <v>4.87</v>
      </c>
      <c r="H354">
        <f t="shared" si="39"/>
        <v>292</v>
      </c>
      <c r="I354" s="3">
        <f t="shared" si="40"/>
        <v>61.643835616438352</v>
      </c>
      <c r="J354" t="str">
        <f t="shared" si="41"/>
        <v>F</v>
      </c>
    </row>
    <row r="355" spans="1:10" hidden="1" x14ac:dyDescent="0.25">
      <c r="A355" s="4" t="s">
        <v>102</v>
      </c>
      <c r="B355" s="1">
        <v>0.69207300000000005</v>
      </c>
      <c r="C355" s="1">
        <v>0.68920499999999996</v>
      </c>
      <c r="D355" s="1">
        <f t="shared" si="35"/>
        <v>2.8680000000000927E-3</v>
      </c>
      <c r="E355">
        <f t="shared" si="36"/>
        <v>4</v>
      </c>
      <c r="F355">
        <f t="shared" si="37"/>
        <v>8</v>
      </c>
      <c r="G355">
        <f t="shared" si="38"/>
        <v>4.13</v>
      </c>
      <c r="H355">
        <f t="shared" si="39"/>
        <v>248</v>
      </c>
      <c r="I355" s="3">
        <f t="shared" si="40"/>
        <v>72.58064516129032</v>
      </c>
      <c r="J355" t="str">
        <f t="shared" si="41"/>
        <v>F</v>
      </c>
    </row>
    <row r="356" spans="1:10" hidden="1" x14ac:dyDescent="0.25">
      <c r="A356" s="4" t="s">
        <v>103</v>
      </c>
      <c r="B356" s="1">
        <v>0.28323100000000001</v>
      </c>
      <c r="C356" s="1">
        <v>0.28487099999999999</v>
      </c>
      <c r="D356" s="1">
        <f t="shared" si="35"/>
        <v>1.6399999999999748E-3</v>
      </c>
      <c r="E356">
        <f t="shared" si="36"/>
        <v>2</v>
      </c>
      <c r="F356">
        <f t="shared" si="37"/>
        <v>22</v>
      </c>
      <c r="G356">
        <f t="shared" si="38"/>
        <v>2.37</v>
      </c>
      <c r="H356">
        <f t="shared" si="39"/>
        <v>142</v>
      </c>
      <c r="I356" s="3">
        <f t="shared" si="40"/>
        <v>126.7605633802817</v>
      </c>
      <c r="J356" t="str">
        <f t="shared" si="41"/>
        <v>F</v>
      </c>
    </row>
    <row r="357" spans="1:10" hidden="1" x14ac:dyDescent="0.25">
      <c r="A357" s="4" t="s">
        <v>104</v>
      </c>
      <c r="B357" s="1">
        <v>0.18839400000000001</v>
      </c>
      <c r="C357" s="1">
        <v>0.191078</v>
      </c>
      <c r="D357" s="1">
        <f t="shared" si="35"/>
        <v>2.6839999999999919E-3</v>
      </c>
      <c r="E357">
        <f t="shared" si="36"/>
        <v>3</v>
      </c>
      <c r="F357">
        <f t="shared" si="37"/>
        <v>52</v>
      </c>
      <c r="G357">
        <f t="shared" si="38"/>
        <v>3.87</v>
      </c>
      <c r="H357">
        <f t="shared" si="39"/>
        <v>232</v>
      </c>
      <c r="I357" s="3">
        <f t="shared" si="40"/>
        <v>77.58620689655173</v>
      </c>
      <c r="J357" t="str">
        <f t="shared" si="41"/>
        <v>F</v>
      </c>
    </row>
    <row r="358" spans="1:10" hidden="1" x14ac:dyDescent="0.25">
      <c r="A358" s="4" t="s">
        <v>105</v>
      </c>
      <c r="B358" s="1">
        <v>9.3122999999999997E-2</v>
      </c>
      <c r="C358" s="1">
        <v>9.0423000000000003E-2</v>
      </c>
      <c r="D358" s="1">
        <f t="shared" si="35"/>
        <v>2.6999999999999941E-3</v>
      </c>
      <c r="E358">
        <f t="shared" si="36"/>
        <v>3</v>
      </c>
      <c r="F358">
        <f t="shared" si="37"/>
        <v>53</v>
      </c>
      <c r="G358">
        <f t="shared" si="38"/>
        <v>3.88</v>
      </c>
      <c r="H358">
        <f t="shared" si="39"/>
        <v>233</v>
      </c>
      <c r="I358" s="3">
        <f t="shared" si="40"/>
        <v>77.253218884120173</v>
      </c>
      <c r="J358" t="str">
        <f t="shared" si="41"/>
        <v>F</v>
      </c>
    </row>
    <row r="359" spans="1:10" hidden="1" x14ac:dyDescent="0.25">
      <c r="A359" s="4" t="s">
        <v>106</v>
      </c>
      <c r="B359" s="1">
        <v>0.97974099999999997</v>
      </c>
      <c r="C359" s="1">
        <v>0.98368500000000003</v>
      </c>
      <c r="D359" s="1">
        <f t="shared" si="35"/>
        <v>3.9440000000000586E-3</v>
      </c>
      <c r="E359">
        <f t="shared" si="36"/>
        <v>5</v>
      </c>
      <c r="F359">
        <f t="shared" si="37"/>
        <v>41</v>
      </c>
      <c r="G359">
        <f t="shared" si="38"/>
        <v>5.68</v>
      </c>
      <c r="H359">
        <f t="shared" si="39"/>
        <v>341</v>
      </c>
      <c r="I359" s="3">
        <f t="shared" si="40"/>
        <v>52.785923753665685</v>
      </c>
      <c r="J359" t="str">
        <f t="shared" si="41"/>
        <v>F</v>
      </c>
    </row>
    <row r="360" spans="1:10" hidden="1" x14ac:dyDescent="0.25">
      <c r="A360" s="4" t="s">
        <v>107</v>
      </c>
      <c r="B360" s="1">
        <v>0.40933199999999997</v>
      </c>
      <c r="C360" s="1">
        <v>0.41129199999999999</v>
      </c>
      <c r="D360" s="1">
        <f t="shared" si="35"/>
        <v>1.9600000000000173E-3</v>
      </c>
      <c r="E360">
        <f t="shared" si="36"/>
        <v>2</v>
      </c>
      <c r="F360">
        <f t="shared" si="37"/>
        <v>49</v>
      </c>
      <c r="G360">
        <f t="shared" si="38"/>
        <v>2.82</v>
      </c>
      <c r="H360">
        <f t="shared" si="39"/>
        <v>169</v>
      </c>
      <c r="I360" s="3">
        <f t="shared" si="40"/>
        <v>106.50887573964496</v>
      </c>
      <c r="J360" t="str">
        <f t="shared" si="41"/>
        <v>F</v>
      </c>
    </row>
    <row r="361" spans="1:10" hidden="1" x14ac:dyDescent="0.25">
      <c r="A361" s="4" t="s">
        <v>108</v>
      </c>
      <c r="B361" s="1">
        <v>0.39525900000000003</v>
      </c>
      <c r="C361" s="1">
        <v>0.39127499999999998</v>
      </c>
      <c r="D361" s="1">
        <f t="shared" si="35"/>
        <v>3.9840000000000431E-3</v>
      </c>
      <c r="E361">
        <f t="shared" si="36"/>
        <v>5</v>
      </c>
      <c r="F361">
        <f t="shared" si="37"/>
        <v>44</v>
      </c>
      <c r="G361">
        <f t="shared" si="38"/>
        <v>5.73</v>
      </c>
      <c r="H361">
        <f t="shared" si="39"/>
        <v>344</v>
      </c>
      <c r="I361" s="3">
        <f t="shared" si="40"/>
        <v>52.325581395348841</v>
      </c>
      <c r="J361" t="str">
        <f t="shared" si="41"/>
        <v>F</v>
      </c>
    </row>
    <row r="362" spans="1:10" hidden="1" x14ac:dyDescent="0.25">
      <c r="A362" s="4" t="s">
        <v>109</v>
      </c>
      <c r="B362" s="1">
        <v>0.30027799999999999</v>
      </c>
      <c r="C362" s="1">
        <v>0.30407800000000001</v>
      </c>
      <c r="D362" s="1">
        <f t="shared" si="35"/>
        <v>3.8000000000000256E-3</v>
      </c>
      <c r="E362">
        <f t="shared" si="36"/>
        <v>5</v>
      </c>
      <c r="F362">
        <f t="shared" si="37"/>
        <v>28</v>
      </c>
      <c r="G362">
        <f t="shared" si="38"/>
        <v>5.47</v>
      </c>
      <c r="H362">
        <f t="shared" si="39"/>
        <v>328</v>
      </c>
      <c r="I362" s="3">
        <f t="shared" si="40"/>
        <v>54.878048780487809</v>
      </c>
      <c r="J362" t="str">
        <f t="shared" si="41"/>
        <v>F</v>
      </c>
    </row>
    <row r="363" spans="1:10" hidden="1" x14ac:dyDescent="0.25">
      <c r="A363" s="4" t="s">
        <v>110</v>
      </c>
      <c r="B363" s="1">
        <v>0.56430000000000002</v>
      </c>
      <c r="C363" s="1">
        <v>0.56179999999999997</v>
      </c>
      <c r="D363" s="1">
        <f t="shared" si="35"/>
        <v>2.5000000000000577E-3</v>
      </c>
      <c r="E363">
        <f t="shared" si="36"/>
        <v>3</v>
      </c>
      <c r="F363">
        <f t="shared" si="37"/>
        <v>36</v>
      </c>
      <c r="G363">
        <f t="shared" si="38"/>
        <v>3.6</v>
      </c>
      <c r="H363">
        <f t="shared" si="39"/>
        <v>216</v>
      </c>
      <c r="I363" s="3">
        <f t="shared" si="40"/>
        <v>83.333333333333343</v>
      </c>
      <c r="J363" t="str">
        <f t="shared" si="41"/>
        <v>F</v>
      </c>
    </row>
    <row r="364" spans="1:10" hidden="1" x14ac:dyDescent="0.25">
      <c r="A364" s="4" t="s">
        <v>429</v>
      </c>
      <c r="B364" s="1">
        <v>0.192581</v>
      </c>
      <c r="C364" s="1">
        <v>0.18934500000000001</v>
      </c>
      <c r="D364" s="1">
        <f t="shared" si="35"/>
        <v>3.2359999999999889E-3</v>
      </c>
      <c r="E364">
        <f t="shared" si="36"/>
        <v>4</v>
      </c>
      <c r="F364">
        <f t="shared" si="37"/>
        <v>40</v>
      </c>
      <c r="G364">
        <f t="shared" si="38"/>
        <v>4.67</v>
      </c>
      <c r="H364">
        <f t="shared" si="39"/>
        <v>280</v>
      </c>
      <c r="I364" s="3">
        <f t="shared" si="40"/>
        <v>64.285714285714292</v>
      </c>
      <c r="J364" t="str">
        <f t="shared" si="41"/>
        <v>F</v>
      </c>
    </row>
    <row r="365" spans="1:10" hidden="1" x14ac:dyDescent="0.25">
      <c r="A365" s="4" t="s">
        <v>111</v>
      </c>
      <c r="B365" s="1">
        <v>0.66062200000000004</v>
      </c>
      <c r="C365" s="1">
        <v>0.65834599999999999</v>
      </c>
      <c r="D365" s="1">
        <f t="shared" si="35"/>
        <v>2.2760000000000558E-3</v>
      </c>
      <c r="E365">
        <f t="shared" si="36"/>
        <v>3</v>
      </c>
      <c r="F365">
        <f t="shared" si="37"/>
        <v>17</v>
      </c>
      <c r="G365">
        <f t="shared" si="38"/>
        <v>3.28</v>
      </c>
      <c r="H365">
        <f t="shared" si="39"/>
        <v>197</v>
      </c>
      <c r="I365" s="3">
        <f t="shared" si="40"/>
        <v>91.370558375634516</v>
      </c>
      <c r="J365" t="str">
        <f t="shared" si="41"/>
        <v>F</v>
      </c>
    </row>
    <row r="366" spans="1:10" hidden="1" x14ac:dyDescent="0.25">
      <c r="A366" s="4" t="s">
        <v>112</v>
      </c>
      <c r="B366" s="1">
        <v>0.85606400000000005</v>
      </c>
      <c r="C366" s="1">
        <v>0.85216400000000003</v>
      </c>
      <c r="D366" s="1">
        <f t="shared" si="35"/>
        <v>3.9000000000000146E-3</v>
      </c>
      <c r="E366">
        <f t="shared" si="36"/>
        <v>5</v>
      </c>
      <c r="F366">
        <f t="shared" si="37"/>
        <v>37</v>
      </c>
      <c r="G366">
        <f t="shared" si="38"/>
        <v>5.62</v>
      </c>
      <c r="H366">
        <f t="shared" si="39"/>
        <v>337</v>
      </c>
      <c r="I366" s="3">
        <f t="shared" si="40"/>
        <v>53.412462908011868</v>
      </c>
      <c r="J366" t="str">
        <f t="shared" si="41"/>
        <v>F</v>
      </c>
    </row>
    <row r="367" spans="1:10" hidden="1" x14ac:dyDescent="0.25">
      <c r="A367" s="4" t="s">
        <v>113</v>
      </c>
      <c r="B367" s="1">
        <v>0.93603599999999998</v>
      </c>
      <c r="C367" s="1">
        <v>0.93963600000000003</v>
      </c>
      <c r="D367" s="1">
        <f t="shared" si="35"/>
        <v>3.6000000000000476E-3</v>
      </c>
      <c r="E367">
        <f t="shared" si="36"/>
        <v>5</v>
      </c>
      <c r="F367">
        <f t="shared" si="37"/>
        <v>11</v>
      </c>
      <c r="G367">
        <f t="shared" si="38"/>
        <v>5.18</v>
      </c>
      <c r="H367">
        <f t="shared" si="39"/>
        <v>311</v>
      </c>
      <c r="I367" s="3">
        <f t="shared" si="40"/>
        <v>57.877813504823152</v>
      </c>
      <c r="J367" t="str">
        <f t="shared" si="41"/>
        <v>F</v>
      </c>
    </row>
    <row r="368" spans="1:10" hidden="1" x14ac:dyDescent="0.25">
      <c r="A368" s="4" t="s">
        <v>114</v>
      </c>
      <c r="B368" s="1">
        <v>0.56009799999999998</v>
      </c>
      <c r="C368" s="1">
        <v>0.55808599999999997</v>
      </c>
      <c r="D368" s="1">
        <f t="shared" si="35"/>
        <v>2.0120000000000138E-3</v>
      </c>
      <c r="E368">
        <f t="shared" si="36"/>
        <v>2</v>
      </c>
      <c r="F368">
        <f t="shared" si="37"/>
        <v>54</v>
      </c>
      <c r="G368">
        <f t="shared" si="38"/>
        <v>2.9</v>
      </c>
      <c r="H368">
        <f t="shared" si="39"/>
        <v>174</v>
      </c>
      <c r="I368" s="3">
        <f t="shared" si="40"/>
        <v>103.44827586206897</v>
      </c>
      <c r="J368" t="str">
        <f t="shared" si="41"/>
        <v>F</v>
      </c>
    </row>
    <row r="369" spans="1:10" hidden="1" x14ac:dyDescent="0.25">
      <c r="A369" s="4" t="s">
        <v>115</v>
      </c>
      <c r="B369" s="1">
        <v>0.98607599999999995</v>
      </c>
      <c r="C369" s="1">
        <v>0.98280400000000001</v>
      </c>
      <c r="D369" s="1">
        <f t="shared" si="35"/>
        <v>3.2719999999999416E-3</v>
      </c>
      <c r="E369">
        <f t="shared" si="36"/>
        <v>4</v>
      </c>
      <c r="F369">
        <f t="shared" si="37"/>
        <v>43</v>
      </c>
      <c r="G369">
        <f t="shared" si="38"/>
        <v>4.72</v>
      </c>
      <c r="H369">
        <f t="shared" si="39"/>
        <v>283</v>
      </c>
      <c r="I369" s="3">
        <f t="shared" si="40"/>
        <v>63.60424028268551</v>
      </c>
      <c r="J369" t="str">
        <f t="shared" si="41"/>
        <v>F</v>
      </c>
    </row>
    <row r="370" spans="1:10" hidden="1" x14ac:dyDescent="0.25">
      <c r="A370" s="4" t="s">
        <v>116</v>
      </c>
      <c r="B370" s="1">
        <v>0.31276999999999999</v>
      </c>
      <c r="C370" s="1">
        <v>0.31504599999999999</v>
      </c>
      <c r="D370" s="1">
        <f t="shared" si="35"/>
        <v>2.2760000000000002E-3</v>
      </c>
      <c r="E370">
        <f t="shared" si="36"/>
        <v>3</v>
      </c>
      <c r="F370">
        <f t="shared" si="37"/>
        <v>17</v>
      </c>
      <c r="G370">
        <f t="shared" si="38"/>
        <v>3.28</v>
      </c>
      <c r="H370">
        <f t="shared" si="39"/>
        <v>197</v>
      </c>
      <c r="I370" s="3">
        <f t="shared" si="40"/>
        <v>91.370558375634516</v>
      </c>
      <c r="J370" t="str">
        <f t="shared" si="41"/>
        <v>F</v>
      </c>
    </row>
    <row r="371" spans="1:10" hidden="1" x14ac:dyDescent="0.25">
      <c r="A371" s="4" t="s">
        <v>75</v>
      </c>
      <c r="B371" s="1">
        <v>0.66879599999999995</v>
      </c>
      <c r="C371" s="1">
        <v>0.67200400000000005</v>
      </c>
      <c r="D371" s="1">
        <f t="shared" si="35"/>
        <v>3.2080000000000997E-3</v>
      </c>
      <c r="E371">
        <f t="shared" si="36"/>
        <v>4</v>
      </c>
      <c r="F371">
        <f t="shared" si="37"/>
        <v>37</v>
      </c>
      <c r="G371">
        <f t="shared" si="38"/>
        <v>4.62</v>
      </c>
      <c r="H371">
        <f t="shared" si="39"/>
        <v>277</v>
      </c>
      <c r="I371" s="3">
        <f t="shared" si="40"/>
        <v>64.981949458483754</v>
      </c>
      <c r="J371" t="str">
        <f t="shared" si="41"/>
        <v>F</v>
      </c>
    </row>
    <row r="372" spans="1:10" hidden="1" x14ac:dyDescent="0.25">
      <c r="A372" s="4" t="s">
        <v>117</v>
      </c>
      <c r="B372" s="1">
        <v>0.26135000000000003</v>
      </c>
      <c r="C372" s="1">
        <v>0.26341399999999998</v>
      </c>
      <c r="D372" s="1">
        <f t="shared" si="35"/>
        <v>2.0639999999999548E-3</v>
      </c>
      <c r="E372">
        <f t="shared" si="36"/>
        <v>2</v>
      </c>
      <c r="F372">
        <f t="shared" si="37"/>
        <v>58</v>
      </c>
      <c r="G372">
        <f t="shared" si="38"/>
        <v>2.97</v>
      </c>
      <c r="H372">
        <f t="shared" si="39"/>
        <v>178</v>
      </c>
      <c r="I372" s="3">
        <f t="shared" si="40"/>
        <v>101.12359550561798</v>
      </c>
      <c r="J372" t="str">
        <f t="shared" si="41"/>
        <v>F</v>
      </c>
    </row>
    <row r="373" spans="1:10" hidden="1" x14ac:dyDescent="0.25">
      <c r="A373" s="4" t="s">
        <v>118</v>
      </c>
      <c r="B373" s="1">
        <v>0.657829</v>
      </c>
      <c r="C373" s="1">
        <v>0.65565300000000004</v>
      </c>
      <c r="D373" s="1">
        <f t="shared" si="35"/>
        <v>2.1759999999999557E-3</v>
      </c>
      <c r="E373">
        <f t="shared" si="36"/>
        <v>3</v>
      </c>
      <c r="F373">
        <f t="shared" si="37"/>
        <v>8</v>
      </c>
      <c r="G373">
        <f t="shared" si="38"/>
        <v>3.13</v>
      </c>
      <c r="H373">
        <f t="shared" si="39"/>
        <v>188</v>
      </c>
      <c r="I373" s="3">
        <f t="shared" si="40"/>
        <v>95.744680851063833</v>
      </c>
      <c r="J373" t="str">
        <f t="shared" si="41"/>
        <v>F</v>
      </c>
    </row>
    <row r="374" spans="1:10" hidden="1" x14ac:dyDescent="0.25">
      <c r="A374" s="4" t="s">
        <v>119</v>
      </c>
      <c r="B374" s="1">
        <v>0.80451099999999998</v>
      </c>
      <c r="C374" s="1">
        <v>0.80257900000000004</v>
      </c>
      <c r="D374" s="1">
        <f t="shared" si="35"/>
        <v>1.9319999999999338E-3</v>
      </c>
      <c r="E374">
        <f t="shared" si="36"/>
        <v>2</v>
      </c>
      <c r="F374">
        <f t="shared" si="37"/>
        <v>47</v>
      </c>
      <c r="G374">
        <f t="shared" si="38"/>
        <v>2.78</v>
      </c>
      <c r="H374">
        <f t="shared" si="39"/>
        <v>167</v>
      </c>
      <c r="I374" s="3">
        <f t="shared" si="40"/>
        <v>107.78443113772455</v>
      </c>
      <c r="J374" t="str">
        <f t="shared" si="41"/>
        <v>F</v>
      </c>
    </row>
    <row r="375" spans="1:10" hidden="1" x14ac:dyDescent="0.25">
      <c r="A375" s="4" t="s">
        <v>120</v>
      </c>
      <c r="B375" s="1">
        <v>0.42249799999999998</v>
      </c>
      <c r="C375" s="1">
        <v>0.42418600000000001</v>
      </c>
      <c r="D375" s="1">
        <f t="shared" si="35"/>
        <v>1.6880000000000228E-3</v>
      </c>
      <c r="E375">
        <f t="shared" si="36"/>
        <v>2</v>
      </c>
      <c r="F375">
        <f t="shared" si="37"/>
        <v>26</v>
      </c>
      <c r="G375">
        <f t="shared" si="38"/>
        <v>2.4300000000000002</v>
      </c>
      <c r="H375">
        <f t="shared" si="39"/>
        <v>146</v>
      </c>
      <c r="I375" s="3">
        <f t="shared" si="40"/>
        <v>123.2876712328767</v>
      </c>
      <c r="J375" t="str">
        <f t="shared" si="41"/>
        <v>F</v>
      </c>
    </row>
    <row r="376" spans="1:10" hidden="1" x14ac:dyDescent="0.25">
      <c r="A376" s="4" t="s">
        <v>121</v>
      </c>
      <c r="B376" s="1">
        <v>0.49659500000000001</v>
      </c>
      <c r="C376" s="1">
        <v>0.494703</v>
      </c>
      <c r="D376" s="1">
        <f t="shared" si="35"/>
        <v>1.8920000000000048E-3</v>
      </c>
      <c r="E376">
        <f t="shared" si="36"/>
        <v>2</v>
      </c>
      <c r="F376">
        <f t="shared" si="37"/>
        <v>43</v>
      </c>
      <c r="G376">
        <f t="shared" si="38"/>
        <v>2.72</v>
      </c>
      <c r="H376">
        <f t="shared" si="39"/>
        <v>163</v>
      </c>
      <c r="I376" s="3">
        <f t="shared" si="40"/>
        <v>110.42944785276075</v>
      </c>
      <c r="J376" t="str">
        <f t="shared" si="41"/>
        <v>F</v>
      </c>
    </row>
    <row r="377" spans="1:10" hidden="1" x14ac:dyDescent="0.25">
      <c r="A377" s="4" t="s">
        <v>122</v>
      </c>
      <c r="B377" s="1">
        <v>3.8954000000000003E-2</v>
      </c>
      <c r="C377" s="1">
        <v>4.0722000000000001E-2</v>
      </c>
      <c r="D377" s="1">
        <f t="shared" si="35"/>
        <v>1.7679999999999987E-3</v>
      </c>
      <c r="E377">
        <f t="shared" si="36"/>
        <v>2</v>
      </c>
      <c r="F377">
        <f t="shared" si="37"/>
        <v>33</v>
      </c>
      <c r="G377">
        <f t="shared" si="38"/>
        <v>2.5499999999999998</v>
      </c>
      <c r="H377">
        <f t="shared" si="39"/>
        <v>153</v>
      </c>
      <c r="I377" s="3">
        <f t="shared" si="40"/>
        <v>117.64705882352942</v>
      </c>
      <c r="J377" t="str">
        <f t="shared" si="41"/>
        <v>F</v>
      </c>
    </row>
    <row r="378" spans="1:10" hidden="1" x14ac:dyDescent="0.25">
      <c r="A378" s="4" t="s">
        <v>123</v>
      </c>
      <c r="B378" s="1">
        <v>0.97869200000000001</v>
      </c>
      <c r="C378" s="1">
        <v>0.97506400000000004</v>
      </c>
      <c r="D378" s="1">
        <f t="shared" si="35"/>
        <v>3.6279999999999646E-3</v>
      </c>
      <c r="E378">
        <f t="shared" si="36"/>
        <v>5</v>
      </c>
      <c r="F378">
        <f t="shared" si="37"/>
        <v>13</v>
      </c>
      <c r="G378">
        <f t="shared" si="38"/>
        <v>5.22</v>
      </c>
      <c r="H378">
        <f t="shared" si="39"/>
        <v>313</v>
      </c>
      <c r="I378" s="3">
        <f t="shared" si="40"/>
        <v>57.507987220447284</v>
      </c>
      <c r="J378" t="str">
        <f t="shared" si="41"/>
        <v>F</v>
      </c>
    </row>
    <row r="379" spans="1:10" hidden="1" x14ac:dyDescent="0.25">
      <c r="A379" s="4" t="s">
        <v>124</v>
      </c>
      <c r="B379" s="1">
        <v>0.37814999999999999</v>
      </c>
      <c r="C379" s="1">
        <v>0.38008599999999998</v>
      </c>
      <c r="D379" s="1">
        <f t="shared" si="35"/>
        <v>1.9359999999999933E-3</v>
      </c>
      <c r="E379">
        <f t="shared" si="36"/>
        <v>2</v>
      </c>
      <c r="F379">
        <f t="shared" si="37"/>
        <v>47</v>
      </c>
      <c r="G379">
        <f t="shared" si="38"/>
        <v>2.78</v>
      </c>
      <c r="H379">
        <f t="shared" si="39"/>
        <v>167</v>
      </c>
      <c r="I379" s="3">
        <f t="shared" si="40"/>
        <v>107.78443113772455</v>
      </c>
      <c r="J379" t="str">
        <f t="shared" si="41"/>
        <v>F</v>
      </c>
    </row>
    <row r="380" spans="1:10" hidden="1" x14ac:dyDescent="0.25">
      <c r="A380" s="4" t="s">
        <v>125</v>
      </c>
      <c r="B380" s="1">
        <v>0.93394999999999995</v>
      </c>
      <c r="C380" s="1">
        <v>0.93237000000000003</v>
      </c>
      <c r="D380" s="1">
        <f t="shared" si="35"/>
        <v>1.5799999999999148E-3</v>
      </c>
      <c r="E380">
        <f t="shared" si="36"/>
        <v>2</v>
      </c>
      <c r="F380">
        <f t="shared" si="37"/>
        <v>17</v>
      </c>
      <c r="G380">
        <f t="shared" si="38"/>
        <v>2.2799999999999998</v>
      </c>
      <c r="H380">
        <f t="shared" si="39"/>
        <v>137</v>
      </c>
      <c r="I380" s="3">
        <f t="shared" si="40"/>
        <v>131.38686131386862</v>
      </c>
      <c r="J380" t="str">
        <f t="shared" si="41"/>
        <v>F</v>
      </c>
    </row>
    <row r="381" spans="1:10" hidden="1" x14ac:dyDescent="0.25">
      <c r="A381" s="4" t="s">
        <v>87</v>
      </c>
      <c r="B381" s="1">
        <v>0.56462000000000001</v>
      </c>
      <c r="C381" s="1">
        <v>0.56223999999999996</v>
      </c>
      <c r="D381" s="1">
        <f t="shared" si="35"/>
        <v>2.3800000000000487E-3</v>
      </c>
      <c r="E381">
        <f t="shared" si="36"/>
        <v>3</v>
      </c>
      <c r="F381">
        <f t="shared" si="37"/>
        <v>26</v>
      </c>
      <c r="G381">
        <f t="shared" si="38"/>
        <v>3.43</v>
      </c>
      <c r="H381">
        <f t="shared" si="39"/>
        <v>206</v>
      </c>
      <c r="I381" s="3">
        <f t="shared" si="40"/>
        <v>87.378640776699029</v>
      </c>
      <c r="J381" t="str">
        <f t="shared" si="41"/>
        <v>F</v>
      </c>
    </row>
    <row r="382" spans="1:10" hidden="1" x14ac:dyDescent="0.25">
      <c r="A382" s="4" t="s">
        <v>126</v>
      </c>
      <c r="B382" s="1">
        <v>0.63802199999999998</v>
      </c>
      <c r="C382" s="1">
        <v>0.64200199999999996</v>
      </c>
      <c r="D382" s="1">
        <f t="shared" si="35"/>
        <v>3.9799999999999836E-3</v>
      </c>
      <c r="E382">
        <f t="shared" si="36"/>
        <v>5</v>
      </c>
      <c r="F382">
        <f t="shared" si="37"/>
        <v>44</v>
      </c>
      <c r="G382">
        <f t="shared" si="38"/>
        <v>5.73</v>
      </c>
      <c r="H382">
        <f t="shared" si="39"/>
        <v>344</v>
      </c>
      <c r="I382" s="3">
        <f t="shared" si="40"/>
        <v>52.325581395348841</v>
      </c>
      <c r="J382" t="str">
        <f t="shared" si="41"/>
        <v>F</v>
      </c>
    </row>
    <row r="383" spans="1:10" hidden="1" x14ac:dyDescent="0.25">
      <c r="A383" s="4" t="s">
        <v>127</v>
      </c>
      <c r="B383" s="1">
        <v>0.74746999999999997</v>
      </c>
      <c r="C383" s="1">
        <v>0.74487400000000004</v>
      </c>
      <c r="D383" s="1">
        <f t="shared" si="35"/>
        <v>2.5959999999999317E-3</v>
      </c>
      <c r="E383">
        <f t="shared" si="36"/>
        <v>3</v>
      </c>
      <c r="F383">
        <f t="shared" si="37"/>
        <v>44</v>
      </c>
      <c r="G383">
        <f t="shared" si="38"/>
        <v>3.73</v>
      </c>
      <c r="H383">
        <f t="shared" si="39"/>
        <v>224</v>
      </c>
      <c r="I383" s="3">
        <f t="shared" si="40"/>
        <v>80.357142857142861</v>
      </c>
      <c r="J383" t="str">
        <f t="shared" si="41"/>
        <v>F</v>
      </c>
    </row>
    <row r="384" spans="1:10" hidden="1" x14ac:dyDescent="0.25">
      <c r="A384" s="4" t="s">
        <v>128</v>
      </c>
      <c r="B384" s="1">
        <v>0.63809400000000005</v>
      </c>
      <c r="C384" s="1">
        <v>0.63576600000000005</v>
      </c>
      <c r="D384" s="1">
        <f t="shared" si="35"/>
        <v>2.3279999999999967E-3</v>
      </c>
      <c r="E384">
        <f t="shared" si="36"/>
        <v>3</v>
      </c>
      <c r="F384">
        <f t="shared" si="37"/>
        <v>21</v>
      </c>
      <c r="G384">
        <f t="shared" si="38"/>
        <v>3.35</v>
      </c>
      <c r="H384">
        <f t="shared" si="39"/>
        <v>201</v>
      </c>
      <c r="I384" s="3">
        <f t="shared" si="40"/>
        <v>89.552238805970148</v>
      </c>
      <c r="J384" t="str">
        <f t="shared" si="41"/>
        <v>F</v>
      </c>
    </row>
    <row r="385" spans="1:10" hidden="1" x14ac:dyDescent="0.25">
      <c r="A385" s="4" t="s">
        <v>129</v>
      </c>
      <c r="B385" s="1">
        <v>0.30509900000000001</v>
      </c>
      <c r="C385" s="1">
        <v>0.308195</v>
      </c>
      <c r="D385" s="1">
        <f t="shared" si="35"/>
        <v>3.0959999999999877E-3</v>
      </c>
      <c r="E385">
        <f t="shared" si="36"/>
        <v>4</v>
      </c>
      <c r="F385">
        <f t="shared" si="37"/>
        <v>27</v>
      </c>
      <c r="G385">
        <f t="shared" si="38"/>
        <v>4.45</v>
      </c>
      <c r="H385">
        <f t="shared" si="39"/>
        <v>267</v>
      </c>
      <c r="I385" s="3">
        <f t="shared" si="40"/>
        <v>67.415730337078642</v>
      </c>
      <c r="J385" t="str">
        <f t="shared" si="41"/>
        <v>F</v>
      </c>
    </row>
    <row r="386" spans="1:10" hidden="1" x14ac:dyDescent="0.25">
      <c r="A386" s="4" t="s">
        <v>130</v>
      </c>
      <c r="B386" s="1">
        <v>0.23073199999999999</v>
      </c>
      <c r="C386" s="1">
        <v>0.22701199999999999</v>
      </c>
      <c r="D386" s="1">
        <f t="shared" si="35"/>
        <v>3.7200000000000011E-3</v>
      </c>
      <c r="E386">
        <f t="shared" si="36"/>
        <v>5</v>
      </c>
      <c r="F386">
        <f t="shared" si="37"/>
        <v>21</v>
      </c>
      <c r="G386">
        <f t="shared" si="38"/>
        <v>5.35</v>
      </c>
      <c r="H386">
        <f t="shared" si="39"/>
        <v>321</v>
      </c>
      <c r="I386" s="3">
        <f t="shared" si="40"/>
        <v>56.074766355140184</v>
      </c>
      <c r="J386" t="str">
        <f t="shared" si="41"/>
        <v>F</v>
      </c>
    </row>
    <row r="387" spans="1:10" hidden="1" x14ac:dyDescent="0.25">
      <c r="A387" s="4" t="s">
        <v>131</v>
      </c>
      <c r="B387" s="1">
        <v>0.64960200000000001</v>
      </c>
      <c r="C387" s="1">
        <v>0.65140200000000004</v>
      </c>
      <c r="D387" s="1">
        <f t="shared" ref="D387:D450" si="42">IF(B387&gt;C387,B387-C387,C387-B387)</f>
        <v>1.8000000000000238E-3</v>
      </c>
      <c r="E387">
        <f t="shared" ref="E387:E450" si="43">MINUTE(D387)</f>
        <v>2</v>
      </c>
      <c r="F387">
        <f t="shared" ref="F387:F450" si="44">SECOND(D387)</f>
        <v>36</v>
      </c>
      <c r="G387">
        <f t="shared" ref="G387:G450" si="45">ROUND(E387+F387/60,2)</f>
        <v>2.6</v>
      </c>
      <c r="H387">
        <f t="shared" ref="H387:H450" si="46">60*E387+F387</f>
        <v>156</v>
      </c>
      <c r="I387" s="3">
        <f t="shared" ref="I387:I450" si="47">5*(3600/H387)</f>
        <v>115.38461538461539</v>
      </c>
      <c r="J387" t="str">
        <f t="shared" ref="J387:J450" si="48">IF(MID(A387,3,2)="18","T","F")</f>
        <v>F</v>
      </c>
    </row>
    <row r="388" spans="1:10" hidden="1" x14ac:dyDescent="0.25">
      <c r="A388" s="4" t="s">
        <v>132</v>
      </c>
      <c r="B388" s="1">
        <v>0.64908500000000002</v>
      </c>
      <c r="C388" s="1">
        <v>0.65082499999999999</v>
      </c>
      <c r="D388" s="1">
        <f t="shared" si="42"/>
        <v>1.7399999999999638E-3</v>
      </c>
      <c r="E388">
        <f t="shared" si="43"/>
        <v>2</v>
      </c>
      <c r="F388">
        <f t="shared" si="44"/>
        <v>30</v>
      </c>
      <c r="G388">
        <f t="shared" si="45"/>
        <v>2.5</v>
      </c>
      <c r="H388">
        <f t="shared" si="46"/>
        <v>150</v>
      </c>
      <c r="I388" s="3">
        <f t="shared" si="47"/>
        <v>120</v>
      </c>
      <c r="J388" t="str">
        <f t="shared" si="48"/>
        <v>F</v>
      </c>
    </row>
    <row r="389" spans="1:10" hidden="1" x14ac:dyDescent="0.25">
      <c r="A389" s="4" t="s">
        <v>170</v>
      </c>
      <c r="B389" s="1">
        <v>0.46080500000000002</v>
      </c>
      <c r="C389" s="1">
        <v>0.46401300000000001</v>
      </c>
      <c r="D389" s="1">
        <f t="shared" si="42"/>
        <v>3.2079999999999886E-3</v>
      </c>
      <c r="E389">
        <f t="shared" si="43"/>
        <v>4</v>
      </c>
      <c r="F389">
        <f t="shared" si="44"/>
        <v>37</v>
      </c>
      <c r="G389">
        <f t="shared" si="45"/>
        <v>4.62</v>
      </c>
      <c r="H389">
        <f t="shared" si="46"/>
        <v>277</v>
      </c>
      <c r="I389" s="3">
        <f t="shared" si="47"/>
        <v>64.981949458483754</v>
      </c>
      <c r="J389" t="str">
        <f t="shared" si="48"/>
        <v>F</v>
      </c>
    </row>
    <row r="390" spans="1:10" hidden="1" x14ac:dyDescent="0.25">
      <c r="A390" s="4" t="s">
        <v>134</v>
      </c>
      <c r="B390" s="1">
        <v>0.86431400000000003</v>
      </c>
      <c r="C390" s="1">
        <v>0.86280199999999996</v>
      </c>
      <c r="D390" s="1">
        <f t="shared" si="42"/>
        <v>1.5120000000000688E-3</v>
      </c>
      <c r="E390">
        <f t="shared" si="43"/>
        <v>2</v>
      </c>
      <c r="F390">
        <f t="shared" si="44"/>
        <v>11</v>
      </c>
      <c r="G390">
        <f t="shared" si="45"/>
        <v>2.1800000000000002</v>
      </c>
      <c r="H390">
        <f t="shared" si="46"/>
        <v>131</v>
      </c>
      <c r="I390" s="3">
        <f t="shared" si="47"/>
        <v>137.40458015267177</v>
      </c>
      <c r="J390" t="str">
        <f t="shared" si="48"/>
        <v>F</v>
      </c>
    </row>
    <row r="391" spans="1:10" hidden="1" x14ac:dyDescent="0.25">
      <c r="A391" s="4" t="s">
        <v>135</v>
      </c>
      <c r="B391" s="1">
        <v>0.55270699999999995</v>
      </c>
      <c r="C391" s="1">
        <v>0.55523100000000003</v>
      </c>
      <c r="D391" s="1">
        <f t="shared" si="42"/>
        <v>2.5240000000000817E-3</v>
      </c>
      <c r="E391">
        <f t="shared" si="43"/>
        <v>3</v>
      </c>
      <c r="F391">
        <f t="shared" si="44"/>
        <v>38</v>
      </c>
      <c r="G391">
        <f t="shared" si="45"/>
        <v>3.63</v>
      </c>
      <c r="H391">
        <f t="shared" si="46"/>
        <v>218</v>
      </c>
      <c r="I391" s="3">
        <f t="shared" si="47"/>
        <v>82.568807339449535</v>
      </c>
      <c r="J391" t="str">
        <f t="shared" si="48"/>
        <v>F</v>
      </c>
    </row>
    <row r="392" spans="1:10" hidden="1" x14ac:dyDescent="0.25">
      <c r="A392" s="4" t="s">
        <v>136</v>
      </c>
      <c r="B392" s="1">
        <v>0.41161799999999998</v>
      </c>
      <c r="C392" s="1">
        <v>0.40927400000000003</v>
      </c>
      <c r="D392" s="1">
        <f t="shared" si="42"/>
        <v>2.3439999999999572E-3</v>
      </c>
      <c r="E392">
        <f t="shared" si="43"/>
        <v>3</v>
      </c>
      <c r="F392">
        <f t="shared" si="44"/>
        <v>23</v>
      </c>
      <c r="G392">
        <f t="shared" si="45"/>
        <v>3.38</v>
      </c>
      <c r="H392">
        <f t="shared" si="46"/>
        <v>203</v>
      </c>
      <c r="I392" s="3">
        <f t="shared" si="47"/>
        <v>88.66995073891627</v>
      </c>
      <c r="J392" t="str">
        <f t="shared" si="48"/>
        <v>F</v>
      </c>
    </row>
    <row r="393" spans="1:10" hidden="1" x14ac:dyDescent="0.25">
      <c r="A393" s="4" t="s">
        <v>137</v>
      </c>
      <c r="B393" s="1">
        <v>0.15091399999999999</v>
      </c>
      <c r="C393" s="1">
        <v>0.14927399999999999</v>
      </c>
      <c r="D393" s="1">
        <f t="shared" si="42"/>
        <v>1.6400000000000026E-3</v>
      </c>
      <c r="E393">
        <f t="shared" si="43"/>
        <v>2</v>
      </c>
      <c r="F393">
        <f t="shared" si="44"/>
        <v>22</v>
      </c>
      <c r="G393">
        <f t="shared" si="45"/>
        <v>2.37</v>
      </c>
      <c r="H393">
        <f t="shared" si="46"/>
        <v>142</v>
      </c>
      <c r="I393" s="3">
        <f t="shared" si="47"/>
        <v>126.7605633802817</v>
      </c>
      <c r="J393" t="str">
        <f t="shared" si="48"/>
        <v>F</v>
      </c>
    </row>
    <row r="394" spans="1:10" hidden="1" x14ac:dyDescent="0.25">
      <c r="A394" s="4" t="s">
        <v>138</v>
      </c>
      <c r="B394" s="1">
        <v>0.92752500000000004</v>
      </c>
      <c r="C394" s="1">
        <v>0.92424099999999998</v>
      </c>
      <c r="D394" s="1">
        <f t="shared" si="42"/>
        <v>3.2840000000000646E-3</v>
      </c>
      <c r="E394">
        <f t="shared" si="43"/>
        <v>4</v>
      </c>
      <c r="F394">
        <f t="shared" si="44"/>
        <v>44</v>
      </c>
      <c r="G394">
        <f t="shared" si="45"/>
        <v>4.7300000000000004</v>
      </c>
      <c r="H394">
        <f t="shared" si="46"/>
        <v>284</v>
      </c>
      <c r="I394" s="3">
        <f t="shared" si="47"/>
        <v>63.380281690140848</v>
      </c>
      <c r="J394" t="str">
        <f t="shared" si="48"/>
        <v>F</v>
      </c>
    </row>
    <row r="395" spans="1:10" hidden="1" x14ac:dyDescent="0.25">
      <c r="A395" s="4" t="s">
        <v>139</v>
      </c>
      <c r="B395" s="1">
        <v>0.89180499999999996</v>
      </c>
      <c r="C395" s="1">
        <v>0.89452100000000001</v>
      </c>
      <c r="D395" s="1">
        <f t="shared" si="42"/>
        <v>2.7160000000000517E-3</v>
      </c>
      <c r="E395">
        <f t="shared" si="43"/>
        <v>3</v>
      </c>
      <c r="F395">
        <f t="shared" si="44"/>
        <v>55</v>
      </c>
      <c r="G395">
        <f t="shared" si="45"/>
        <v>3.92</v>
      </c>
      <c r="H395">
        <f t="shared" si="46"/>
        <v>235</v>
      </c>
      <c r="I395" s="3">
        <f t="shared" si="47"/>
        <v>76.59574468085107</v>
      </c>
      <c r="J395" t="str">
        <f t="shared" si="48"/>
        <v>F</v>
      </c>
    </row>
    <row r="396" spans="1:10" hidden="1" x14ac:dyDescent="0.25">
      <c r="A396" s="4" t="s">
        <v>140</v>
      </c>
      <c r="B396" s="1">
        <v>0.94930499999999995</v>
      </c>
      <c r="C396" s="1">
        <v>0.95100099999999999</v>
      </c>
      <c r="D396" s="1">
        <f t="shared" si="42"/>
        <v>1.6960000000000308E-3</v>
      </c>
      <c r="E396">
        <f t="shared" si="43"/>
        <v>2</v>
      </c>
      <c r="F396">
        <f t="shared" si="44"/>
        <v>27</v>
      </c>
      <c r="G396">
        <f t="shared" si="45"/>
        <v>2.4500000000000002</v>
      </c>
      <c r="H396">
        <f t="shared" si="46"/>
        <v>147</v>
      </c>
      <c r="I396" s="3">
        <f t="shared" si="47"/>
        <v>122.44897959183673</v>
      </c>
      <c r="J396" t="str">
        <f t="shared" si="48"/>
        <v>F</v>
      </c>
    </row>
    <row r="397" spans="1:10" hidden="1" x14ac:dyDescent="0.25">
      <c r="A397" s="4" t="s">
        <v>141</v>
      </c>
      <c r="B397" s="1">
        <v>0.99470000000000003</v>
      </c>
      <c r="C397" s="1">
        <v>0.99698399999999998</v>
      </c>
      <c r="D397" s="1">
        <f t="shared" si="42"/>
        <v>2.2839999999999527E-3</v>
      </c>
      <c r="E397">
        <f t="shared" si="43"/>
        <v>3</v>
      </c>
      <c r="F397">
        <f t="shared" si="44"/>
        <v>17</v>
      </c>
      <c r="G397">
        <f t="shared" si="45"/>
        <v>3.28</v>
      </c>
      <c r="H397">
        <f t="shared" si="46"/>
        <v>197</v>
      </c>
      <c r="I397" s="3">
        <f t="shared" si="47"/>
        <v>91.370558375634516</v>
      </c>
      <c r="J397" t="str">
        <f t="shared" si="48"/>
        <v>F</v>
      </c>
    </row>
    <row r="398" spans="1:10" hidden="1" x14ac:dyDescent="0.25">
      <c r="A398" s="4" t="s">
        <v>142</v>
      </c>
      <c r="B398" s="1">
        <v>0.924736</v>
      </c>
      <c r="C398" s="1">
        <v>0.92187600000000003</v>
      </c>
      <c r="D398" s="1">
        <f t="shared" si="42"/>
        <v>2.8599999999999737E-3</v>
      </c>
      <c r="E398">
        <f t="shared" si="43"/>
        <v>4</v>
      </c>
      <c r="F398">
        <f t="shared" si="44"/>
        <v>7</v>
      </c>
      <c r="G398">
        <f t="shared" si="45"/>
        <v>4.12</v>
      </c>
      <c r="H398">
        <f t="shared" si="46"/>
        <v>247</v>
      </c>
      <c r="I398" s="3">
        <f t="shared" si="47"/>
        <v>72.874493927125513</v>
      </c>
      <c r="J398" t="str">
        <f t="shared" si="48"/>
        <v>F</v>
      </c>
    </row>
    <row r="399" spans="1:10" hidden="1" x14ac:dyDescent="0.25">
      <c r="A399" s="4" t="s">
        <v>143</v>
      </c>
      <c r="B399" s="1">
        <v>0.34360400000000002</v>
      </c>
      <c r="C399" s="1">
        <v>0.345912</v>
      </c>
      <c r="D399" s="1">
        <f t="shared" si="42"/>
        <v>2.3079999999999767E-3</v>
      </c>
      <c r="E399">
        <f t="shared" si="43"/>
        <v>3</v>
      </c>
      <c r="F399">
        <f t="shared" si="44"/>
        <v>19</v>
      </c>
      <c r="G399">
        <f t="shared" si="45"/>
        <v>3.32</v>
      </c>
      <c r="H399">
        <f t="shared" si="46"/>
        <v>199</v>
      </c>
      <c r="I399" s="3">
        <f t="shared" si="47"/>
        <v>90.452261306532648</v>
      </c>
      <c r="J399" t="str">
        <f t="shared" si="48"/>
        <v>F</v>
      </c>
    </row>
    <row r="400" spans="1:10" hidden="1" x14ac:dyDescent="0.25">
      <c r="A400" s="4" t="s">
        <v>144</v>
      </c>
      <c r="B400" s="1">
        <v>3.9156999999999997E-2</v>
      </c>
      <c r="C400" s="1">
        <v>4.1876999999999998E-2</v>
      </c>
      <c r="D400" s="1">
        <f t="shared" si="42"/>
        <v>2.7200000000000002E-3</v>
      </c>
      <c r="E400">
        <f t="shared" si="43"/>
        <v>3</v>
      </c>
      <c r="F400">
        <f t="shared" si="44"/>
        <v>55</v>
      </c>
      <c r="G400">
        <f t="shared" si="45"/>
        <v>3.92</v>
      </c>
      <c r="H400">
        <f t="shared" si="46"/>
        <v>235</v>
      </c>
      <c r="I400" s="3">
        <f t="shared" si="47"/>
        <v>76.59574468085107</v>
      </c>
      <c r="J400" t="str">
        <f t="shared" si="48"/>
        <v>F</v>
      </c>
    </row>
    <row r="401" spans="1:10" hidden="1" x14ac:dyDescent="0.25">
      <c r="A401" s="4" t="s">
        <v>145</v>
      </c>
      <c r="B401" s="1">
        <v>0.70873299999999995</v>
      </c>
      <c r="C401" s="1">
        <v>0.71220499999999998</v>
      </c>
      <c r="D401" s="1">
        <f t="shared" si="42"/>
        <v>3.4720000000000306E-3</v>
      </c>
      <c r="E401">
        <f t="shared" si="43"/>
        <v>5</v>
      </c>
      <c r="F401">
        <f t="shared" si="44"/>
        <v>0</v>
      </c>
      <c r="G401">
        <f t="shared" si="45"/>
        <v>5</v>
      </c>
      <c r="H401">
        <f t="shared" si="46"/>
        <v>300</v>
      </c>
      <c r="I401" s="3">
        <f t="shared" si="47"/>
        <v>60</v>
      </c>
      <c r="J401" t="str">
        <f t="shared" si="48"/>
        <v>F</v>
      </c>
    </row>
    <row r="402" spans="1:10" hidden="1" x14ac:dyDescent="0.25">
      <c r="A402" s="4" t="s">
        <v>146</v>
      </c>
      <c r="B402" s="1">
        <v>0.61743499999999996</v>
      </c>
      <c r="C402" s="1">
        <v>0.61920299999999995</v>
      </c>
      <c r="D402" s="1">
        <f t="shared" si="42"/>
        <v>1.7679999999999918E-3</v>
      </c>
      <c r="E402">
        <f t="shared" si="43"/>
        <v>2</v>
      </c>
      <c r="F402">
        <f t="shared" si="44"/>
        <v>33</v>
      </c>
      <c r="G402">
        <f t="shared" si="45"/>
        <v>2.5499999999999998</v>
      </c>
      <c r="H402">
        <f t="shared" si="46"/>
        <v>153</v>
      </c>
      <c r="I402" s="3">
        <f t="shared" si="47"/>
        <v>117.64705882352942</v>
      </c>
      <c r="J402" t="str">
        <f t="shared" si="48"/>
        <v>F</v>
      </c>
    </row>
    <row r="403" spans="1:10" hidden="1" x14ac:dyDescent="0.25">
      <c r="A403" s="4" t="s">
        <v>147</v>
      </c>
      <c r="B403" s="1">
        <v>0.75391399999999997</v>
      </c>
      <c r="C403" s="1">
        <v>0.75674200000000003</v>
      </c>
      <c r="D403" s="1">
        <f t="shared" si="42"/>
        <v>2.8280000000000527E-3</v>
      </c>
      <c r="E403">
        <f t="shared" si="43"/>
        <v>4</v>
      </c>
      <c r="F403">
        <f t="shared" si="44"/>
        <v>4</v>
      </c>
      <c r="G403">
        <f t="shared" si="45"/>
        <v>4.07</v>
      </c>
      <c r="H403">
        <f t="shared" si="46"/>
        <v>244</v>
      </c>
      <c r="I403" s="3">
        <f t="shared" si="47"/>
        <v>73.770491803278688</v>
      </c>
      <c r="J403" t="str">
        <f t="shared" si="48"/>
        <v>F</v>
      </c>
    </row>
    <row r="404" spans="1:10" hidden="1" x14ac:dyDescent="0.25">
      <c r="A404" s="4" t="s">
        <v>148</v>
      </c>
      <c r="B404" s="1">
        <v>0.924647</v>
      </c>
      <c r="C404" s="1">
        <v>0.92724300000000004</v>
      </c>
      <c r="D404" s="1">
        <f t="shared" si="42"/>
        <v>2.5960000000000427E-3</v>
      </c>
      <c r="E404">
        <f t="shared" si="43"/>
        <v>3</v>
      </c>
      <c r="F404">
        <f t="shared" si="44"/>
        <v>44</v>
      </c>
      <c r="G404">
        <f t="shared" si="45"/>
        <v>3.73</v>
      </c>
      <c r="H404">
        <f t="shared" si="46"/>
        <v>224</v>
      </c>
      <c r="I404" s="3">
        <f t="shared" si="47"/>
        <v>80.357142857142861</v>
      </c>
      <c r="J404" t="str">
        <f t="shared" si="48"/>
        <v>F</v>
      </c>
    </row>
    <row r="405" spans="1:10" hidden="1" x14ac:dyDescent="0.25">
      <c r="A405" s="4" t="s">
        <v>149</v>
      </c>
      <c r="B405" s="1">
        <v>0.13003200000000001</v>
      </c>
      <c r="C405" s="1">
        <v>0.13252800000000001</v>
      </c>
      <c r="D405" s="1">
        <f t="shared" si="42"/>
        <v>2.4959999999999982E-3</v>
      </c>
      <c r="E405">
        <f t="shared" si="43"/>
        <v>3</v>
      </c>
      <c r="F405">
        <f t="shared" si="44"/>
        <v>36</v>
      </c>
      <c r="G405">
        <f t="shared" si="45"/>
        <v>3.6</v>
      </c>
      <c r="H405">
        <f t="shared" si="46"/>
        <v>216</v>
      </c>
      <c r="I405" s="3">
        <f t="shared" si="47"/>
        <v>83.333333333333343</v>
      </c>
      <c r="J405" t="str">
        <f t="shared" si="48"/>
        <v>F</v>
      </c>
    </row>
    <row r="406" spans="1:10" hidden="1" x14ac:dyDescent="0.25">
      <c r="A406" s="4" t="s">
        <v>150</v>
      </c>
      <c r="B406" s="1">
        <v>0.52590599999999998</v>
      </c>
      <c r="C406" s="1">
        <v>0.52823399999999998</v>
      </c>
      <c r="D406" s="1">
        <f t="shared" si="42"/>
        <v>2.3279999999999967E-3</v>
      </c>
      <c r="E406">
        <f t="shared" si="43"/>
        <v>3</v>
      </c>
      <c r="F406">
        <f t="shared" si="44"/>
        <v>21</v>
      </c>
      <c r="G406">
        <f t="shared" si="45"/>
        <v>3.35</v>
      </c>
      <c r="H406">
        <f t="shared" si="46"/>
        <v>201</v>
      </c>
      <c r="I406" s="3">
        <f t="shared" si="47"/>
        <v>89.552238805970148</v>
      </c>
      <c r="J406" t="str">
        <f t="shared" si="48"/>
        <v>F</v>
      </c>
    </row>
    <row r="407" spans="1:10" x14ac:dyDescent="0.25">
      <c r="A407" s="7" t="s">
        <v>171</v>
      </c>
      <c r="B407" s="1">
        <v>0.60342499999999999</v>
      </c>
      <c r="C407" s="1">
        <v>0.605105</v>
      </c>
      <c r="D407" s="1">
        <f t="shared" si="42"/>
        <v>1.6800000000000148E-3</v>
      </c>
      <c r="E407">
        <f t="shared" si="43"/>
        <v>2</v>
      </c>
      <c r="F407">
        <f t="shared" si="44"/>
        <v>25</v>
      </c>
      <c r="G407">
        <f t="shared" si="45"/>
        <v>2.42</v>
      </c>
      <c r="H407">
        <f t="shared" si="46"/>
        <v>145</v>
      </c>
      <c r="I407" s="6">
        <f t="shared" si="47"/>
        <v>124.13793103448276</v>
      </c>
      <c r="J407" t="str">
        <f t="shared" si="48"/>
        <v>T</v>
      </c>
    </row>
    <row r="408" spans="1:10" hidden="1" x14ac:dyDescent="0.25">
      <c r="A408" s="4" t="s">
        <v>152</v>
      </c>
      <c r="B408" s="1">
        <v>1.2241E-2</v>
      </c>
      <c r="C408" s="1">
        <v>1.6216999999999999E-2</v>
      </c>
      <c r="D408" s="1">
        <f t="shared" si="42"/>
        <v>3.9759999999999986E-3</v>
      </c>
      <c r="E408">
        <f t="shared" si="43"/>
        <v>5</v>
      </c>
      <c r="F408">
        <f t="shared" si="44"/>
        <v>44</v>
      </c>
      <c r="G408">
        <f t="shared" si="45"/>
        <v>5.73</v>
      </c>
      <c r="H408">
        <f t="shared" si="46"/>
        <v>344</v>
      </c>
      <c r="I408" s="3">
        <f t="shared" si="47"/>
        <v>52.325581395348841</v>
      </c>
      <c r="J408" t="str">
        <f t="shared" si="48"/>
        <v>F</v>
      </c>
    </row>
    <row r="409" spans="1:10" hidden="1" x14ac:dyDescent="0.25">
      <c r="A409" s="4" t="s">
        <v>153</v>
      </c>
      <c r="B409" s="1">
        <v>0.13258500000000001</v>
      </c>
      <c r="C409" s="1">
        <v>0.13410900000000001</v>
      </c>
      <c r="D409" s="1">
        <f t="shared" si="42"/>
        <v>1.5239999999999976E-3</v>
      </c>
      <c r="E409">
        <f t="shared" si="43"/>
        <v>2</v>
      </c>
      <c r="F409">
        <f t="shared" si="44"/>
        <v>12</v>
      </c>
      <c r="G409">
        <f t="shared" si="45"/>
        <v>2.2000000000000002</v>
      </c>
      <c r="H409">
        <f t="shared" si="46"/>
        <v>132</v>
      </c>
      <c r="I409" s="3">
        <f t="shared" si="47"/>
        <v>136.36363636363637</v>
      </c>
      <c r="J409" t="str">
        <f t="shared" si="48"/>
        <v>F</v>
      </c>
    </row>
    <row r="410" spans="1:10" hidden="1" x14ac:dyDescent="0.25">
      <c r="A410" s="4" t="s">
        <v>154</v>
      </c>
      <c r="B410" s="1">
        <v>0.44955299999999998</v>
      </c>
      <c r="C410" s="1">
        <v>0.447237</v>
      </c>
      <c r="D410" s="1">
        <f t="shared" si="42"/>
        <v>2.3159999999999847E-3</v>
      </c>
      <c r="E410">
        <f t="shared" si="43"/>
        <v>3</v>
      </c>
      <c r="F410">
        <f t="shared" si="44"/>
        <v>20</v>
      </c>
      <c r="G410">
        <f t="shared" si="45"/>
        <v>3.33</v>
      </c>
      <c r="H410">
        <f t="shared" si="46"/>
        <v>200</v>
      </c>
      <c r="I410" s="3">
        <f t="shared" si="47"/>
        <v>90</v>
      </c>
      <c r="J410" t="str">
        <f t="shared" si="48"/>
        <v>F</v>
      </c>
    </row>
    <row r="411" spans="1:10" hidden="1" x14ac:dyDescent="0.25">
      <c r="A411" s="4" t="s">
        <v>155</v>
      </c>
      <c r="B411" s="1">
        <v>0.113997</v>
      </c>
      <c r="C411" s="1">
        <v>0.117621</v>
      </c>
      <c r="D411" s="1">
        <f t="shared" si="42"/>
        <v>3.6240000000000022E-3</v>
      </c>
      <c r="E411">
        <f t="shared" si="43"/>
        <v>5</v>
      </c>
      <c r="F411">
        <f t="shared" si="44"/>
        <v>13</v>
      </c>
      <c r="G411">
        <f t="shared" si="45"/>
        <v>5.22</v>
      </c>
      <c r="H411">
        <f t="shared" si="46"/>
        <v>313</v>
      </c>
      <c r="I411" s="3">
        <f t="shared" si="47"/>
        <v>57.507987220447284</v>
      </c>
      <c r="J411" t="str">
        <f t="shared" si="48"/>
        <v>F</v>
      </c>
    </row>
    <row r="412" spans="1:10" hidden="1" x14ac:dyDescent="0.25">
      <c r="A412" s="4" t="s">
        <v>156</v>
      </c>
      <c r="B412" s="1">
        <v>0.77753799999999995</v>
      </c>
      <c r="C412" s="1">
        <v>0.774814</v>
      </c>
      <c r="D412" s="1">
        <f t="shared" si="42"/>
        <v>2.7239999999999487E-3</v>
      </c>
      <c r="E412">
        <f t="shared" si="43"/>
        <v>3</v>
      </c>
      <c r="F412">
        <f t="shared" si="44"/>
        <v>55</v>
      </c>
      <c r="G412">
        <f t="shared" si="45"/>
        <v>3.92</v>
      </c>
      <c r="H412">
        <f t="shared" si="46"/>
        <v>235</v>
      </c>
      <c r="I412" s="3">
        <f t="shared" si="47"/>
        <v>76.59574468085107</v>
      </c>
      <c r="J412" t="str">
        <f t="shared" si="48"/>
        <v>F</v>
      </c>
    </row>
    <row r="413" spans="1:10" hidden="1" x14ac:dyDescent="0.25">
      <c r="A413" s="4" t="s">
        <v>157</v>
      </c>
      <c r="B413" s="1">
        <v>0.82582299999999997</v>
      </c>
      <c r="C413" s="1">
        <v>0.82754700000000003</v>
      </c>
      <c r="D413" s="1">
        <f t="shared" si="42"/>
        <v>1.7240000000000588E-3</v>
      </c>
      <c r="E413">
        <f t="shared" si="43"/>
        <v>2</v>
      </c>
      <c r="F413">
        <f t="shared" si="44"/>
        <v>29</v>
      </c>
      <c r="G413">
        <f t="shared" si="45"/>
        <v>2.48</v>
      </c>
      <c r="H413">
        <f t="shared" si="46"/>
        <v>149</v>
      </c>
      <c r="I413" s="3">
        <f t="shared" si="47"/>
        <v>120.80536912751677</v>
      </c>
      <c r="J413" t="str">
        <f t="shared" si="48"/>
        <v>F</v>
      </c>
    </row>
    <row r="414" spans="1:10" hidden="1" x14ac:dyDescent="0.25">
      <c r="A414" s="4" t="s">
        <v>158</v>
      </c>
      <c r="B414" s="1">
        <v>0.20841899999999999</v>
      </c>
      <c r="C414" s="1">
        <v>0.212231</v>
      </c>
      <c r="D414" s="1">
        <f t="shared" si="42"/>
        <v>3.8120000000000098E-3</v>
      </c>
      <c r="E414">
        <f t="shared" si="43"/>
        <v>5</v>
      </c>
      <c r="F414">
        <f t="shared" si="44"/>
        <v>29</v>
      </c>
      <c r="G414">
        <f t="shared" si="45"/>
        <v>5.48</v>
      </c>
      <c r="H414">
        <f t="shared" si="46"/>
        <v>329</v>
      </c>
      <c r="I414" s="3">
        <f t="shared" si="47"/>
        <v>54.711246200607903</v>
      </c>
      <c r="J414" t="str">
        <f t="shared" si="48"/>
        <v>F</v>
      </c>
    </row>
    <row r="415" spans="1:10" hidden="1" x14ac:dyDescent="0.25">
      <c r="A415" s="4" t="s">
        <v>159</v>
      </c>
      <c r="B415" s="1">
        <v>0.39568500000000001</v>
      </c>
      <c r="C415" s="1">
        <v>0.39231700000000003</v>
      </c>
      <c r="D415" s="1">
        <f t="shared" si="42"/>
        <v>3.3679999999999821E-3</v>
      </c>
      <c r="E415">
        <f t="shared" si="43"/>
        <v>4</v>
      </c>
      <c r="F415">
        <f t="shared" si="44"/>
        <v>51</v>
      </c>
      <c r="G415">
        <f t="shared" si="45"/>
        <v>4.8499999999999996</v>
      </c>
      <c r="H415">
        <f t="shared" si="46"/>
        <v>291</v>
      </c>
      <c r="I415" s="3">
        <f t="shared" si="47"/>
        <v>61.855670103092784</v>
      </c>
      <c r="J415" t="str">
        <f t="shared" si="48"/>
        <v>F</v>
      </c>
    </row>
    <row r="416" spans="1:10" hidden="1" x14ac:dyDescent="0.25">
      <c r="A416" s="4" t="s">
        <v>160</v>
      </c>
      <c r="B416" s="1">
        <v>1.9332999999999999E-2</v>
      </c>
      <c r="C416" s="1">
        <v>1.6733000000000001E-2</v>
      </c>
      <c r="D416" s="1">
        <f t="shared" si="42"/>
        <v>2.5999999999999981E-3</v>
      </c>
      <c r="E416">
        <f t="shared" si="43"/>
        <v>3</v>
      </c>
      <c r="F416">
        <f t="shared" si="44"/>
        <v>45</v>
      </c>
      <c r="G416">
        <f t="shared" si="45"/>
        <v>3.75</v>
      </c>
      <c r="H416">
        <f t="shared" si="46"/>
        <v>225</v>
      </c>
      <c r="I416" s="3">
        <f t="shared" si="47"/>
        <v>80</v>
      </c>
      <c r="J416" t="str">
        <f t="shared" si="48"/>
        <v>F</v>
      </c>
    </row>
    <row r="417" spans="1:10" hidden="1" x14ac:dyDescent="0.25">
      <c r="A417" s="4" t="s">
        <v>161</v>
      </c>
      <c r="B417" s="1">
        <v>0.37874799999999997</v>
      </c>
      <c r="C417" s="1">
        <v>0.382492</v>
      </c>
      <c r="D417" s="1">
        <f t="shared" si="42"/>
        <v>3.7440000000000251E-3</v>
      </c>
      <c r="E417">
        <f t="shared" si="43"/>
        <v>5</v>
      </c>
      <c r="F417">
        <f t="shared" si="44"/>
        <v>23</v>
      </c>
      <c r="G417">
        <f t="shared" si="45"/>
        <v>5.38</v>
      </c>
      <c r="H417">
        <f t="shared" si="46"/>
        <v>323</v>
      </c>
      <c r="I417" s="3">
        <f t="shared" si="47"/>
        <v>55.727554179566567</v>
      </c>
      <c r="J417" t="str">
        <f t="shared" si="48"/>
        <v>F</v>
      </c>
    </row>
    <row r="418" spans="1:10" hidden="1" x14ac:dyDescent="0.25">
      <c r="A418" s="4" t="s">
        <v>162</v>
      </c>
      <c r="B418" s="1">
        <v>0.72762800000000005</v>
      </c>
      <c r="C418" s="1">
        <v>0.73021999999999998</v>
      </c>
      <c r="D418" s="1">
        <f t="shared" si="42"/>
        <v>2.5919999999999277E-3</v>
      </c>
      <c r="E418">
        <f t="shared" si="43"/>
        <v>3</v>
      </c>
      <c r="F418">
        <f t="shared" si="44"/>
        <v>44</v>
      </c>
      <c r="G418">
        <f t="shared" si="45"/>
        <v>3.73</v>
      </c>
      <c r="H418">
        <f t="shared" si="46"/>
        <v>224</v>
      </c>
      <c r="I418" s="3">
        <f t="shared" si="47"/>
        <v>80.357142857142861</v>
      </c>
      <c r="J418" t="str">
        <f t="shared" si="48"/>
        <v>F</v>
      </c>
    </row>
    <row r="419" spans="1:10" hidden="1" x14ac:dyDescent="0.25">
      <c r="A419" s="4" t="s">
        <v>163</v>
      </c>
      <c r="B419" s="1">
        <v>0.69269999999999998</v>
      </c>
      <c r="C419" s="1">
        <v>0.69043600000000005</v>
      </c>
      <c r="D419" s="1">
        <f t="shared" si="42"/>
        <v>2.2639999999999327E-3</v>
      </c>
      <c r="E419">
        <f t="shared" si="43"/>
        <v>3</v>
      </c>
      <c r="F419">
        <f t="shared" si="44"/>
        <v>16</v>
      </c>
      <c r="G419">
        <f t="shared" si="45"/>
        <v>3.27</v>
      </c>
      <c r="H419">
        <f t="shared" si="46"/>
        <v>196</v>
      </c>
      <c r="I419" s="3">
        <f t="shared" si="47"/>
        <v>91.83673469387756</v>
      </c>
      <c r="J419" t="str">
        <f t="shared" si="48"/>
        <v>F</v>
      </c>
    </row>
    <row r="420" spans="1:10" hidden="1" x14ac:dyDescent="0.25">
      <c r="A420" s="4" t="s">
        <v>172</v>
      </c>
      <c r="B420" s="1">
        <v>0.90573400000000004</v>
      </c>
      <c r="C420" s="1">
        <v>0.90789799999999998</v>
      </c>
      <c r="D420" s="1">
        <f t="shared" si="42"/>
        <v>2.1639999999999437E-3</v>
      </c>
      <c r="E420">
        <f t="shared" si="43"/>
        <v>3</v>
      </c>
      <c r="F420">
        <f t="shared" si="44"/>
        <v>7</v>
      </c>
      <c r="G420">
        <f t="shared" si="45"/>
        <v>3.12</v>
      </c>
      <c r="H420">
        <f t="shared" si="46"/>
        <v>187</v>
      </c>
      <c r="I420" s="3">
        <f t="shared" si="47"/>
        <v>96.256684491978604</v>
      </c>
      <c r="J420" t="str">
        <f t="shared" si="48"/>
        <v>F</v>
      </c>
    </row>
    <row r="421" spans="1:10" hidden="1" x14ac:dyDescent="0.25">
      <c r="A421" s="4" t="s">
        <v>16</v>
      </c>
      <c r="B421" s="1">
        <v>0.376137</v>
      </c>
      <c r="C421" s="1">
        <v>0.37329699999999999</v>
      </c>
      <c r="D421" s="1">
        <f t="shared" si="42"/>
        <v>2.8400000000000092E-3</v>
      </c>
      <c r="E421">
        <f t="shared" si="43"/>
        <v>4</v>
      </c>
      <c r="F421">
        <f t="shared" si="44"/>
        <v>5</v>
      </c>
      <c r="G421">
        <f t="shared" si="45"/>
        <v>4.08</v>
      </c>
      <c r="H421">
        <f t="shared" si="46"/>
        <v>245</v>
      </c>
      <c r="I421" s="3">
        <f t="shared" si="47"/>
        <v>73.469387755102048</v>
      </c>
      <c r="J421" t="str">
        <f t="shared" si="48"/>
        <v>F</v>
      </c>
    </row>
    <row r="422" spans="1:10" hidden="1" x14ac:dyDescent="0.25">
      <c r="A422" s="4" t="s">
        <v>64</v>
      </c>
      <c r="B422" s="1">
        <v>0.352136</v>
      </c>
      <c r="C422" s="1">
        <v>0.35384399999999999</v>
      </c>
      <c r="D422" s="1">
        <f t="shared" si="42"/>
        <v>1.7079999999999873E-3</v>
      </c>
      <c r="E422">
        <f t="shared" si="43"/>
        <v>2</v>
      </c>
      <c r="F422">
        <f t="shared" si="44"/>
        <v>28</v>
      </c>
      <c r="G422">
        <f t="shared" si="45"/>
        <v>2.4700000000000002</v>
      </c>
      <c r="H422">
        <f t="shared" si="46"/>
        <v>148</v>
      </c>
      <c r="I422" s="3">
        <f t="shared" si="47"/>
        <v>121.62162162162161</v>
      </c>
      <c r="J422" t="str">
        <f t="shared" si="48"/>
        <v>F</v>
      </c>
    </row>
    <row r="423" spans="1:10" hidden="1" x14ac:dyDescent="0.25">
      <c r="A423" s="4" t="s">
        <v>155</v>
      </c>
      <c r="B423" s="1">
        <v>0.247169</v>
      </c>
      <c r="C423" s="1">
        <v>0.24446100000000001</v>
      </c>
      <c r="D423" s="1">
        <f t="shared" si="42"/>
        <v>2.7079999999999882E-3</v>
      </c>
      <c r="E423">
        <f t="shared" si="43"/>
        <v>3</v>
      </c>
      <c r="F423">
        <f t="shared" si="44"/>
        <v>54</v>
      </c>
      <c r="G423">
        <f t="shared" si="45"/>
        <v>3.9</v>
      </c>
      <c r="H423">
        <f t="shared" si="46"/>
        <v>234</v>
      </c>
      <c r="I423" s="3">
        <f t="shared" si="47"/>
        <v>76.92307692307692</v>
      </c>
      <c r="J423" t="str">
        <f t="shared" si="48"/>
        <v>F</v>
      </c>
    </row>
    <row r="424" spans="1:10" hidden="1" x14ac:dyDescent="0.25">
      <c r="A424" s="4" t="s">
        <v>74</v>
      </c>
      <c r="B424" s="1">
        <v>0.64918399999999998</v>
      </c>
      <c r="C424" s="1">
        <v>0.64702800000000005</v>
      </c>
      <c r="D424" s="1">
        <f t="shared" si="42"/>
        <v>2.1559999999999357E-3</v>
      </c>
      <c r="E424">
        <f t="shared" si="43"/>
        <v>3</v>
      </c>
      <c r="F424">
        <f t="shared" si="44"/>
        <v>6</v>
      </c>
      <c r="G424">
        <f t="shared" si="45"/>
        <v>3.1</v>
      </c>
      <c r="H424">
        <f t="shared" si="46"/>
        <v>186</v>
      </c>
      <c r="I424" s="3">
        <f t="shared" si="47"/>
        <v>96.774193548387103</v>
      </c>
      <c r="J424" t="str">
        <f t="shared" si="48"/>
        <v>F</v>
      </c>
    </row>
    <row r="425" spans="1:10" hidden="1" x14ac:dyDescent="0.25">
      <c r="A425" s="4" t="s">
        <v>21</v>
      </c>
      <c r="B425" s="1">
        <v>0.36847200000000002</v>
      </c>
      <c r="C425" s="1">
        <v>0.364732</v>
      </c>
      <c r="D425" s="1">
        <f t="shared" si="42"/>
        <v>3.7400000000000211E-3</v>
      </c>
      <c r="E425">
        <f t="shared" si="43"/>
        <v>5</v>
      </c>
      <c r="F425">
        <f t="shared" si="44"/>
        <v>23</v>
      </c>
      <c r="G425">
        <f t="shared" si="45"/>
        <v>5.38</v>
      </c>
      <c r="H425">
        <f t="shared" si="46"/>
        <v>323</v>
      </c>
      <c r="I425" s="3">
        <f t="shared" si="47"/>
        <v>55.727554179566567</v>
      </c>
      <c r="J425" t="str">
        <f t="shared" si="48"/>
        <v>F</v>
      </c>
    </row>
    <row r="426" spans="1:10" hidden="1" x14ac:dyDescent="0.25">
      <c r="A426" s="4" t="s">
        <v>27</v>
      </c>
      <c r="B426" s="1">
        <v>0.15427399999999999</v>
      </c>
      <c r="C426" s="1">
        <v>0.151698</v>
      </c>
      <c r="D426" s="1">
        <f t="shared" si="42"/>
        <v>2.575999999999995E-3</v>
      </c>
      <c r="E426">
        <f t="shared" si="43"/>
        <v>3</v>
      </c>
      <c r="F426">
        <f t="shared" si="44"/>
        <v>43</v>
      </c>
      <c r="G426">
        <f t="shared" si="45"/>
        <v>3.72</v>
      </c>
      <c r="H426">
        <f t="shared" si="46"/>
        <v>223</v>
      </c>
      <c r="I426" s="3">
        <f t="shared" si="47"/>
        <v>80.717488789237677</v>
      </c>
      <c r="J426" t="str">
        <f t="shared" si="48"/>
        <v>F</v>
      </c>
    </row>
    <row r="427" spans="1:10" hidden="1" x14ac:dyDescent="0.25">
      <c r="A427" s="4" t="s">
        <v>83</v>
      </c>
      <c r="B427" s="1">
        <v>0.67313500000000004</v>
      </c>
      <c r="C427" s="1">
        <v>0.67577900000000002</v>
      </c>
      <c r="D427" s="1">
        <f t="shared" si="42"/>
        <v>2.6439999999999797E-3</v>
      </c>
      <c r="E427">
        <f t="shared" si="43"/>
        <v>3</v>
      </c>
      <c r="F427">
        <f t="shared" si="44"/>
        <v>48</v>
      </c>
      <c r="G427">
        <f t="shared" si="45"/>
        <v>3.8</v>
      </c>
      <c r="H427">
        <f t="shared" si="46"/>
        <v>228</v>
      </c>
      <c r="I427" s="3">
        <f t="shared" si="47"/>
        <v>78.94736842105263</v>
      </c>
      <c r="J427" t="str">
        <f t="shared" si="48"/>
        <v>F</v>
      </c>
    </row>
    <row r="428" spans="1:10" hidden="1" x14ac:dyDescent="0.25">
      <c r="A428" s="4" t="s">
        <v>60</v>
      </c>
      <c r="B428" s="1">
        <v>0.97160000000000002</v>
      </c>
      <c r="C428" s="1">
        <v>0.96899999999999997</v>
      </c>
      <c r="D428" s="1">
        <f t="shared" si="42"/>
        <v>2.6000000000000467E-3</v>
      </c>
      <c r="E428">
        <f t="shared" si="43"/>
        <v>3</v>
      </c>
      <c r="F428">
        <f t="shared" si="44"/>
        <v>45</v>
      </c>
      <c r="G428">
        <f t="shared" si="45"/>
        <v>3.75</v>
      </c>
      <c r="H428">
        <f t="shared" si="46"/>
        <v>225</v>
      </c>
      <c r="I428" s="3">
        <f t="shared" si="47"/>
        <v>80</v>
      </c>
      <c r="J428" t="str">
        <f t="shared" si="48"/>
        <v>F</v>
      </c>
    </row>
    <row r="429" spans="1:10" hidden="1" x14ac:dyDescent="0.25">
      <c r="A429" s="4" t="s">
        <v>12</v>
      </c>
      <c r="B429" s="1">
        <v>0.33185700000000001</v>
      </c>
      <c r="C429" s="1">
        <v>0.33362900000000001</v>
      </c>
      <c r="D429" s="1">
        <f t="shared" si="42"/>
        <v>1.7719999999999958E-3</v>
      </c>
      <c r="E429">
        <f t="shared" si="43"/>
        <v>2</v>
      </c>
      <c r="F429">
        <f t="shared" si="44"/>
        <v>33</v>
      </c>
      <c r="G429">
        <f t="shared" si="45"/>
        <v>2.5499999999999998</v>
      </c>
      <c r="H429">
        <f t="shared" si="46"/>
        <v>153</v>
      </c>
      <c r="I429" s="3">
        <f t="shared" si="47"/>
        <v>117.64705882352942</v>
      </c>
      <c r="J429" t="str">
        <f t="shared" si="48"/>
        <v>F</v>
      </c>
    </row>
    <row r="430" spans="1:10" hidden="1" x14ac:dyDescent="0.25">
      <c r="A430" s="4" t="s">
        <v>49</v>
      </c>
      <c r="B430" s="1">
        <v>0.94723900000000005</v>
      </c>
      <c r="C430" s="1">
        <v>0.94938299999999998</v>
      </c>
      <c r="D430" s="1">
        <f t="shared" si="42"/>
        <v>2.1439999999999237E-3</v>
      </c>
      <c r="E430">
        <f t="shared" si="43"/>
        <v>3</v>
      </c>
      <c r="F430">
        <f t="shared" si="44"/>
        <v>5</v>
      </c>
      <c r="G430">
        <f t="shared" si="45"/>
        <v>3.08</v>
      </c>
      <c r="H430">
        <f t="shared" si="46"/>
        <v>185</v>
      </c>
      <c r="I430" s="3">
        <f t="shared" si="47"/>
        <v>97.297297297297291</v>
      </c>
      <c r="J430" t="str">
        <f t="shared" si="48"/>
        <v>F</v>
      </c>
    </row>
    <row r="431" spans="1:10" hidden="1" x14ac:dyDescent="0.25">
      <c r="A431" s="4" t="s">
        <v>47</v>
      </c>
      <c r="B431" s="1">
        <v>6.2723000000000001E-2</v>
      </c>
      <c r="C431" s="1">
        <v>6.6118999999999997E-2</v>
      </c>
      <c r="D431" s="1">
        <f t="shared" si="42"/>
        <v>3.3959999999999962E-3</v>
      </c>
      <c r="E431">
        <f t="shared" si="43"/>
        <v>4</v>
      </c>
      <c r="F431">
        <f t="shared" si="44"/>
        <v>53</v>
      </c>
      <c r="G431">
        <f t="shared" si="45"/>
        <v>4.88</v>
      </c>
      <c r="H431">
        <f t="shared" si="46"/>
        <v>293</v>
      </c>
      <c r="I431" s="3">
        <f t="shared" si="47"/>
        <v>61.43344709897611</v>
      </c>
      <c r="J431" t="str">
        <f t="shared" si="48"/>
        <v>F</v>
      </c>
    </row>
    <row r="432" spans="1:10" hidden="1" x14ac:dyDescent="0.25">
      <c r="A432" s="4" t="s">
        <v>41</v>
      </c>
      <c r="B432" s="1">
        <v>0.78174299999999997</v>
      </c>
      <c r="C432" s="1">
        <v>0.78416300000000005</v>
      </c>
      <c r="D432" s="1">
        <f t="shared" si="42"/>
        <v>2.4200000000000887E-3</v>
      </c>
      <c r="E432">
        <f t="shared" si="43"/>
        <v>3</v>
      </c>
      <c r="F432">
        <f t="shared" si="44"/>
        <v>29</v>
      </c>
      <c r="G432">
        <f t="shared" si="45"/>
        <v>3.48</v>
      </c>
      <c r="H432">
        <f t="shared" si="46"/>
        <v>209</v>
      </c>
      <c r="I432" s="3">
        <f t="shared" si="47"/>
        <v>86.124401913875602</v>
      </c>
      <c r="J432" t="str">
        <f t="shared" si="48"/>
        <v>F</v>
      </c>
    </row>
    <row r="433" spans="1:10" hidden="1" x14ac:dyDescent="0.25">
      <c r="A433" s="4" t="s">
        <v>117</v>
      </c>
      <c r="B433" s="1">
        <v>0.17993500000000001</v>
      </c>
      <c r="C433" s="1">
        <v>0.17603099999999999</v>
      </c>
      <c r="D433" s="1">
        <f t="shared" si="42"/>
        <v>3.9040000000000186E-3</v>
      </c>
      <c r="E433">
        <f t="shared" si="43"/>
        <v>5</v>
      </c>
      <c r="F433">
        <f t="shared" si="44"/>
        <v>37</v>
      </c>
      <c r="G433">
        <f t="shared" si="45"/>
        <v>5.62</v>
      </c>
      <c r="H433">
        <f t="shared" si="46"/>
        <v>337</v>
      </c>
      <c r="I433" s="3">
        <f t="shared" si="47"/>
        <v>53.412462908011868</v>
      </c>
      <c r="J433" t="str">
        <f t="shared" si="48"/>
        <v>F</v>
      </c>
    </row>
    <row r="434" spans="1:10" hidden="1" x14ac:dyDescent="0.25">
      <c r="A434" s="4" t="s">
        <v>162</v>
      </c>
      <c r="B434" s="1">
        <v>0.29753600000000002</v>
      </c>
      <c r="C434" s="1">
        <v>0.30076399999999998</v>
      </c>
      <c r="D434" s="1">
        <f t="shared" si="42"/>
        <v>3.2279999999999531E-3</v>
      </c>
      <c r="E434">
        <f t="shared" si="43"/>
        <v>4</v>
      </c>
      <c r="F434">
        <f t="shared" si="44"/>
        <v>39</v>
      </c>
      <c r="G434">
        <f t="shared" si="45"/>
        <v>4.6500000000000004</v>
      </c>
      <c r="H434">
        <f t="shared" si="46"/>
        <v>279</v>
      </c>
      <c r="I434" s="3">
        <f t="shared" si="47"/>
        <v>64.516129032258064</v>
      </c>
      <c r="J434" t="str">
        <f t="shared" si="48"/>
        <v>F</v>
      </c>
    </row>
    <row r="435" spans="1:10" hidden="1" x14ac:dyDescent="0.25">
      <c r="A435" s="4" t="s">
        <v>5</v>
      </c>
      <c r="B435" s="1">
        <v>0.98460700000000001</v>
      </c>
      <c r="C435" s="1">
        <v>0.98188699999999995</v>
      </c>
      <c r="D435" s="1">
        <f t="shared" si="42"/>
        <v>2.7200000000000557E-3</v>
      </c>
      <c r="E435">
        <f t="shared" si="43"/>
        <v>3</v>
      </c>
      <c r="F435">
        <f t="shared" si="44"/>
        <v>55</v>
      </c>
      <c r="G435">
        <f t="shared" si="45"/>
        <v>3.92</v>
      </c>
      <c r="H435">
        <f t="shared" si="46"/>
        <v>235</v>
      </c>
      <c r="I435" s="3">
        <f t="shared" si="47"/>
        <v>76.59574468085107</v>
      </c>
      <c r="J435" t="str">
        <f t="shared" si="48"/>
        <v>F</v>
      </c>
    </row>
    <row r="436" spans="1:10" hidden="1" x14ac:dyDescent="0.25">
      <c r="A436" s="4" t="s">
        <v>109</v>
      </c>
      <c r="B436" s="1">
        <v>0.78365300000000004</v>
      </c>
      <c r="C436" s="1">
        <v>0.78609700000000005</v>
      </c>
      <c r="D436" s="1">
        <f t="shared" si="42"/>
        <v>2.4440000000000017E-3</v>
      </c>
      <c r="E436">
        <f t="shared" si="43"/>
        <v>3</v>
      </c>
      <c r="F436">
        <f t="shared" si="44"/>
        <v>31</v>
      </c>
      <c r="G436">
        <f t="shared" si="45"/>
        <v>3.52</v>
      </c>
      <c r="H436">
        <f t="shared" si="46"/>
        <v>211</v>
      </c>
      <c r="I436" s="3">
        <f t="shared" si="47"/>
        <v>85.308056872037923</v>
      </c>
      <c r="J436" t="str">
        <f t="shared" si="48"/>
        <v>F</v>
      </c>
    </row>
    <row r="437" spans="1:10" hidden="1" x14ac:dyDescent="0.25">
      <c r="A437" s="4" t="s">
        <v>75</v>
      </c>
      <c r="B437" s="1">
        <v>0.169961</v>
      </c>
      <c r="C437" s="1">
        <v>0.17214099999999999</v>
      </c>
      <c r="D437" s="1">
        <f t="shared" si="42"/>
        <v>2.1799999999999875E-3</v>
      </c>
      <c r="E437">
        <f t="shared" si="43"/>
        <v>3</v>
      </c>
      <c r="F437">
        <f t="shared" si="44"/>
        <v>8</v>
      </c>
      <c r="G437">
        <f t="shared" si="45"/>
        <v>3.13</v>
      </c>
      <c r="H437">
        <f t="shared" si="46"/>
        <v>188</v>
      </c>
      <c r="I437" s="3">
        <f t="shared" si="47"/>
        <v>95.744680851063833</v>
      </c>
      <c r="J437" t="str">
        <f t="shared" si="48"/>
        <v>F</v>
      </c>
    </row>
    <row r="438" spans="1:10" hidden="1" x14ac:dyDescent="0.25">
      <c r="A438" s="4" t="s">
        <v>75</v>
      </c>
      <c r="B438" s="1">
        <v>0.400312</v>
      </c>
      <c r="C438" s="1">
        <v>0.40276000000000001</v>
      </c>
      <c r="D438" s="1">
        <f t="shared" si="42"/>
        <v>2.4480000000000057E-3</v>
      </c>
      <c r="E438">
        <f t="shared" si="43"/>
        <v>3</v>
      </c>
      <c r="F438">
        <f t="shared" si="44"/>
        <v>32</v>
      </c>
      <c r="G438">
        <f t="shared" si="45"/>
        <v>3.53</v>
      </c>
      <c r="H438">
        <f t="shared" si="46"/>
        <v>212</v>
      </c>
      <c r="I438" s="3">
        <f t="shared" si="47"/>
        <v>84.905660377358487</v>
      </c>
      <c r="J438" t="str">
        <f t="shared" si="48"/>
        <v>F</v>
      </c>
    </row>
    <row r="439" spans="1:10" hidden="1" x14ac:dyDescent="0.25">
      <c r="A439" s="4" t="s">
        <v>68</v>
      </c>
      <c r="B439" s="1">
        <v>0.25546200000000002</v>
      </c>
      <c r="C439" s="1">
        <v>0.25842199999999999</v>
      </c>
      <c r="D439" s="1">
        <f t="shared" si="42"/>
        <v>2.9599999999999627E-3</v>
      </c>
      <c r="E439">
        <f t="shared" si="43"/>
        <v>4</v>
      </c>
      <c r="F439">
        <f t="shared" si="44"/>
        <v>16</v>
      </c>
      <c r="G439">
        <f t="shared" si="45"/>
        <v>4.2699999999999996</v>
      </c>
      <c r="H439">
        <f t="shared" si="46"/>
        <v>256</v>
      </c>
      <c r="I439" s="3">
        <f t="shared" si="47"/>
        <v>70.3125</v>
      </c>
      <c r="J439" t="str">
        <f t="shared" si="48"/>
        <v>F</v>
      </c>
    </row>
    <row r="440" spans="1:10" hidden="1" x14ac:dyDescent="0.25">
      <c r="A440" s="4" t="s">
        <v>72</v>
      </c>
      <c r="B440" s="1">
        <v>0.33413399999999999</v>
      </c>
      <c r="C440" s="1">
        <v>0.33112599999999998</v>
      </c>
      <c r="D440" s="1">
        <f t="shared" si="42"/>
        <v>3.0080000000000107E-3</v>
      </c>
      <c r="E440">
        <f t="shared" si="43"/>
        <v>4</v>
      </c>
      <c r="F440">
        <f t="shared" si="44"/>
        <v>20</v>
      </c>
      <c r="G440">
        <f t="shared" si="45"/>
        <v>4.33</v>
      </c>
      <c r="H440">
        <f t="shared" si="46"/>
        <v>260</v>
      </c>
      <c r="I440" s="3">
        <f t="shared" si="47"/>
        <v>69.230769230769226</v>
      </c>
      <c r="J440" t="str">
        <f t="shared" si="48"/>
        <v>F</v>
      </c>
    </row>
    <row r="441" spans="1:10" hidden="1" x14ac:dyDescent="0.25">
      <c r="A441" s="4" t="s">
        <v>3</v>
      </c>
      <c r="B441" s="1">
        <v>0.83289800000000003</v>
      </c>
      <c r="C441" s="1">
        <v>0.82982199999999995</v>
      </c>
      <c r="D441" s="1">
        <f t="shared" si="42"/>
        <v>3.0760000000000787E-3</v>
      </c>
      <c r="E441">
        <f t="shared" si="43"/>
        <v>4</v>
      </c>
      <c r="F441">
        <f t="shared" si="44"/>
        <v>26</v>
      </c>
      <c r="G441">
        <f t="shared" si="45"/>
        <v>4.43</v>
      </c>
      <c r="H441">
        <f t="shared" si="46"/>
        <v>266</v>
      </c>
      <c r="I441" s="3">
        <f t="shared" si="47"/>
        <v>67.669172932330824</v>
      </c>
      <c r="J441" t="str">
        <f t="shared" si="48"/>
        <v>F</v>
      </c>
    </row>
    <row r="442" spans="1:10" hidden="1" x14ac:dyDescent="0.25">
      <c r="A442" s="4" t="s">
        <v>107</v>
      </c>
      <c r="B442" s="1">
        <v>0.27387699999999998</v>
      </c>
      <c r="C442" s="1">
        <v>0.271065</v>
      </c>
      <c r="D442" s="1">
        <f t="shared" si="42"/>
        <v>2.8119999999999812E-3</v>
      </c>
      <c r="E442">
        <f t="shared" si="43"/>
        <v>4</v>
      </c>
      <c r="F442">
        <f t="shared" si="44"/>
        <v>3</v>
      </c>
      <c r="G442">
        <f t="shared" si="45"/>
        <v>4.05</v>
      </c>
      <c r="H442">
        <f t="shared" si="46"/>
        <v>243</v>
      </c>
      <c r="I442" s="3">
        <f t="shared" si="47"/>
        <v>74.074074074074076</v>
      </c>
      <c r="J442" t="str">
        <f t="shared" si="48"/>
        <v>F</v>
      </c>
    </row>
    <row r="443" spans="1:10" hidden="1" x14ac:dyDescent="0.25">
      <c r="A443" s="4" t="s">
        <v>16</v>
      </c>
      <c r="B443" s="1">
        <v>0.82084800000000002</v>
      </c>
      <c r="C443" s="1">
        <v>0.81814399999999998</v>
      </c>
      <c r="D443" s="1">
        <f t="shared" si="42"/>
        <v>2.7040000000000397E-3</v>
      </c>
      <c r="E443">
        <f t="shared" si="43"/>
        <v>3</v>
      </c>
      <c r="F443">
        <f t="shared" si="44"/>
        <v>54</v>
      </c>
      <c r="G443">
        <f t="shared" si="45"/>
        <v>3.9</v>
      </c>
      <c r="H443">
        <f t="shared" si="46"/>
        <v>234</v>
      </c>
      <c r="I443" s="3">
        <f t="shared" si="47"/>
        <v>76.92307692307692</v>
      </c>
      <c r="J443" t="str">
        <f t="shared" si="48"/>
        <v>F</v>
      </c>
    </row>
    <row r="444" spans="1:10" hidden="1" x14ac:dyDescent="0.25">
      <c r="A444" s="4" t="s">
        <v>64</v>
      </c>
      <c r="B444" s="1">
        <v>0.43862400000000001</v>
      </c>
      <c r="C444" s="1">
        <v>0.43687599999999999</v>
      </c>
      <c r="D444" s="1">
        <f t="shared" si="42"/>
        <v>1.7480000000000273E-3</v>
      </c>
      <c r="E444">
        <f t="shared" si="43"/>
        <v>2</v>
      </c>
      <c r="F444">
        <f t="shared" si="44"/>
        <v>31</v>
      </c>
      <c r="G444">
        <f t="shared" si="45"/>
        <v>2.52</v>
      </c>
      <c r="H444">
        <f t="shared" si="46"/>
        <v>151</v>
      </c>
      <c r="I444" s="3">
        <f t="shared" si="47"/>
        <v>119.20529801324504</v>
      </c>
      <c r="J444" t="str">
        <f t="shared" si="48"/>
        <v>F</v>
      </c>
    </row>
    <row r="445" spans="1:10" hidden="1" x14ac:dyDescent="0.25">
      <c r="A445" s="4" t="s">
        <v>155</v>
      </c>
      <c r="B445" s="1">
        <v>0.93974999999999997</v>
      </c>
      <c r="C445" s="1">
        <v>0.94196199999999997</v>
      </c>
      <c r="D445" s="1">
        <f t="shared" si="42"/>
        <v>2.2119999999999918E-3</v>
      </c>
      <c r="E445">
        <f t="shared" si="43"/>
        <v>3</v>
      </c>
      <c r="F445">
        <f t="shared" si="44"/>
        <v>11</v>
      </c>
      <c r="G445">
        <f t="shared" si="45"/>
        <v>3.18</v>
      </c>
      <c r="H445">
        <f t="shared" si="46"/>
        <v>191</v>
      </c>
      <c r="I445" s="3">
        <f t="shared" si="47"/>
        <v>94.240837696335092</v>
      </c>
      <c r="J445" t="str">
        <f t="shared" si="48"/>
        <v>F</v>
      </c>
    </row>
    <row r="446" spans="1:10" hidden="1" x14ac:dyDescent="0.25">
      <c r="A446" s="4" t="s">
        <v>74</v>
      </c>
      <c r="B446" s="1">
        <v>0.27588800000000002</v>
      </c>
      <c r="C446" s="1">
        <v>0.27738800000000002</v>
      </c>
      <c r="D446" s="1">
        <f t="shared" si="42"/>
        <v>1.5000000000000013E-3</v>
      </c>
      <c r="E446">
        <f t="shared" si="43"/>
        <v>2</v>
      </c>
      <c r="F446">
        <f t="shared" si="44"/>
        <v>10</v>
      </c>
      <c r="G446">
        <f t="shared" si="45"/>
        <v>2.17</v>
      </c>
      <c r="H446">
        <f t="shared" si="46"/>
        <v>130</v>
      </c>
      <c r="I446" s="3">
        <f t="shared" si="47"/>
        <v>138.46153846153845</v>
      </c>
      <c r="J446" t="str">
        <f t="shared" si="48"/>
        <v>F</v>
      </c>
    </row>
    <row r="447" spans="1:10" hidden="1" x14ac:dyDescent="0.25">
      <c r="A447" s="4" t="s">
        <v>21</v>
      </c>
      <c r="B447" s="1">
        <v>0.72038999999999997</v>
      </c>
      <c r="C447" s="1">
        <v>0.722634</v>
      </c>
      <c r="D447" s="1">
        <f t="shared" si="42"/>
        <v>2.2440000000000238E-3</v>
      </c>
      <c r="E447">
        <f t="shared" si="43"/>
        <v>3</v>
      </c>
      <c r="F447">
        <f t="shared" si="44"/>
        <v>14</v>
      </c>
      <c r="G447">
        <f t="shared" si="45"/>
        <v>3.23</v>
      </c>
      <c r="H447">
        <f t="shared" si="46"/>
        <v>194</v>
      </c>
      <c r="I447" s="3">
        <f t="shared" si="47"/>
        <v>92.783505154639187</v>
      </c>
      <c r="J447" t="str">
        <f t="shared" si="48"/>
        <v>F</v>
      </c>
    </row>
    <row r="448" spans="1:10" hidden="1" x14ac:dyDescent="0.25">
      <c r="A448" s="4" t="s">
        <v>27</v>
      </c>
      <c r="B448" s="1">
        <v>0.19815199999999999</v>
      </c>
      <c r="C448" s="1">
        <v>0.20089599999999999</v>
      </c>
      <c r="D448" s="1">
        <f t="shared" si="42"/>
        <v>2.7439999999999964E-3</v>
      </c>
      <c r="E448">
        <f t="shared" si="43"/>
        <v>3</v>
      </c>
      <c r="F448">
        <f t="shared" si="44"/>
        <v>57</v>
      </c>
      <c r="G448">
        <f t="shared" si="45"/>
        <v>3.95</v>
      </c>
      <c r="H448">
        <f t="shared" si="46"/>
        <v>237</v>
      </c>
      <c r="I448" s="3">
        <f t="shared" si="47"/>
        <v>75.949367088607588</v>
      </c>
      <c r="J448" t="str">
        <f t="shared" si="48"/>
        <v>F</v>
      </c>
    </row>
    <row r="449" spans="1:10" hidden="1" x14ac:dyDescent="0.25">
      <c r="A449" s="4" t="s">
        <v>83</v>
      </c>
      <c r="B449" s="1">
        <v>0.72719900000000004</v>
      </c>
      <c r="C449" s="1">
        <v>0.72877099999999995</v>
      </c>
      <c r="D449" s="1">
        <f t="shared" si="42"/>
        <v>1.5719999999999068E-3</v>
      </c>
      <c r="E449">
        <f t="shared" si="43"/>
        <v>2</v>
      </c>
      <c r="F449">
        <f t="shared" si="44"/>
        <v>16</v>
      </c>
      <c r="G449">
        <f t="shared" si="45"/>
        <v>2.27</v>
      </c>
      <c r="H449">
        <f t="shared" si="46"/>
        <v>136</v>
      </c>
      <c r="I449" s="3">
        <f t="shared" si="47"/>
        <v>132.35294117647058</v>
      </c>
      <c r="J449" t="str">
        <f t="shared" si="48"/>
        <v>F</v>
      </c>
    </row>
    <row r="450" spans="1:10" hidden="1" x14ac:dyDescent="0.25">
      <c r="A450" s="4" t="s">
        <v>60</v>
      </c>
      <c r="B450" s="1">
        <v>0.71798300000000004</v>
      </c>
      <c r="C450" s="1">
        <v>0.71585500000000002</v>
      </c>
      <c r="D450" s="1">
        <f t="shared" si="42"/>
        <v>2.1280000000000188E-3</v>
      </c>
      <c r="E450">
        <f t="shared" si="43"/>
        <v>3</v>
      </c>
      <c r="F450">
        <f t="shared" si="44"/>
        <v>4</v>
      </c>
      <c r="G450">
        <f t="shared" si="45"/>
        <v>3.07</v>
      </c>
      <c r="H450">
        <f t="shared" si="46"/>
        <v>184</v>
      </c>
      <c r="I450" s="3">
        <f t="shared" si="47"/>
        <v>97.826086956521735</v>
      </c>
      <c r="J450" t="str">
        <f t="shared" si="48"/>
        <v>F</v>
      </c>
    </row>
    <row r="451" spans="1:10" hidden="1" x14ac:dyDescent="0.25">
      <c r="A451" s="4" t="s">
        <v>12</v>
      </c>
      <c r="B451" s="1">
        <v>0.74244399999999999</v>
      </c>
      <c r="C451" s="1">
        <v>0.73979200000000001</v>
      </c>
      <c r="D451" s="1">
        <f t="shared" ref="D451:D514" si="49">IF(B451&gt;C451,B451-C451,C451-B451)</f>
        <v>2.6519999999999877E-3</v>
      </c>
      <c r="E451">
        <f t="shared" ref="E451:E514" si="50">MINUTE(D451)</f>
        <v>3</v>
      </c>
      <c r="F451">
        <f t="shared" ref="F451:F514" si="51">SECOND(D451)</f>
        <v>49</v>
      </c>
      <c r="G451">
        <f t="shared" ref="G451:G514" si="52">ROUND(E451+F451/60,2)</f>
        <v>3.82</v>
      </c>
      <c r="H451">
        <f t="shared" ref="H451:H514" si="53">60*E451+F451</f>
        <v>229</v>
      </c>
      <c r="I451" s="3">
        <f t="shared" ref="I451:I514" si="54">5*(3600/H451)</f>
        <v>78.602620087336248</v>
      </c>
      <c r="J451" t="str">
        <f t="shared" ref="J451:J514" si="55">IF(MID(A451,3,2)="18","T","F")</f>
        <v>F</v>
      </c>
    </row>
    <row r="452" spans="1:10" hidden="1" x14ac:dyDescent="0.25">
      <c r="A452" s="4" t="s">
        <v>49</v>
      </c>
      <c r="B452" s="1">
        <v>0.16655700000000001</v>
      </c>
      <c r="C452" s="1">
        <v>0.168625</v>
      </c>
      <c r="D452" s="1">
        <f t="shared" si="49"/>
        <v>2.0679999999999865E-3</v>
      </c>
      <c r="E452">
        <f t="shared" si="50"/>
        <v>2</v>
      </c>
      <c r="F452">
        <f t="shared" si="51"/>
        <v>59</v>
      </c>
      <c r="G452">
        <f t="shared" si="52"/>
        <v>2.98</v>
      </c>
      <c r="H452">
        <f t="shared" si="53"/>
        <v>179</v>
      </c>
      <c r="I452" s="3">
        <f t="shared" si="54"/>
        <v>100.55865921787711</v>
      </c>
      <c r="J452" t="str">
        <f t="shared" si="55"/>
        <v>F</v>
      </c>
    </row>
    <row r="453" spans="1:10" hidden="1" x14ac:dyDescent="0.25">
      <c r="A453" s="4" t="s">
        <v>47</v>
      </c>
      <c r="B453" s="1">
        <v>0.138625</v>
      </c>
      <c r="C453" s="1">
        <v>0.14114499999999999</v>
      </c>
      <c r="D453" s="1">
        <f t="shared" si="49"/>
        <v>2.5199999999999945E-3</v>
      </c>
      <c r="E453">
        <f t="shared" si="50"/>
        <v>3</v>
      </c>
      <c r="F453">
        <f t="shared" si="51"/>
        <v>38</v>
      </c>
      <c r="G453">
        <f t="shared" si="52"/>
        <v>3.63</v>
      </c>
      <c r="H453">
        <f t="shared" si="53"/>
        <v>218</v>
      </c>
      <c r="I453" s="3">
        <f t="shared" si="54"/>
        <v>82.568807339449535</v>
      </c>
      <c r="J453" t="str">
        <f t="shared" si="55"/>
        <v>F</v>
      </c>
    </row>
    <row r="454" spans="1:10" hidden="1" x14ac:dyDescent="0.25">
      <c r="A454" s="4" t="s">
        <v>41</v>
      </c>
      <c r="B454" s="1">
        <v>0.79450500000000002</v>
      </c>
      <c r="C454" s="1">
        <v>0.79184500000000002</v>
      </c>
      <c r="D454" s="1">
        <f t="shared" si="49"/>
        <v>2.6599999999999957E-3</v>
      </c>
      <c r="E454">
        <f t="shared" si="50"/>
        <v>3</v>
      </c>
      <c r="F454">
        <f t="shared" si="51"/>
        <v>50</v>
      </c>
      <c r="G454">
        <f t="shared" si="52"/>
        <v>3.83</v>
      </c>
      <c r="H454">
        <f t="shared" si="53"/>
        <v>230</v>
      </c>
      <c r="I454" s="3">
        <f t="shared" si="54"/>
        <v>78.260869565217391</v>
      </c>
      <c r="J454" t="str">
        <f t="shared" si="55"/>
        <v>F</v>
      </c>
    </row>
    <row r="455" spans="1:10" hidden="1" x14ac:dyDescent="0.25">
      <c r="A455" s="4" t="s">
        <v>117</v>
      </c>
      <c r="B455" s="1">
        <v>0.97350800000000004</v>
      </c>
      <c r="C455" s="1">
        <v>0.97145199999999998</v>
      </c>
      <c r="D455" s="1">
        <f t="shared" si="49"/>
        <v>2.0560000000000578E-3</v>
      </c>
      <c r="E455">
        <f t="shared" si="50"/>
        <v>2</v>
      </c>
      <c r="F455">
        <f t="shared" si="51"/>
        <v>58</v>
      </c>
      <c r="G455">
        <f t="shared" si="52"/>
        <v>2.97</v>
      </c>
      <c r="H455">
        <f t="shared" si="53"/>
        <v>178</v>
      </c>
      <c r="I455" s="3">
        <f t="shared" si="54"/>
        <v>101.12359550561798</v>
      </c>
      <c r="J455" t="str">
        <f t="shared" si="55"/>
        <v>F</v>
      </c>
    </row>
    <row r="456" spans="1:10" hidden="1" x14ac:dyDescent="0.25">
      <c r="A456" s="4" t="s">
        <v>162</v>
      </c>
      <c r="B456" s="1">
        <v>0.43030000000000002</v>
      </c>
      <c r="C456" s="1">
        <v>0.432728</v>
      </c>
      <c r="D456" s="1">
        <f t="shared" si="49"/>
        <v>2.4279999999999857E-3</v>
      </c>
      <c r="E456">
        <f t="shared" si="50"/>
        <v>3</v>
      </c>
      <c r="F456">
        <f t="shared" si="51"/>
        <v>30</v>
      </c>
      <c r="G456">
        <f t="shared" si="52"/>
        <v>3.5</v>
      </c>
      <c r="H456">
        <f t="shared" si="53"/>
        <v>210</v>
      </c>
      <c r="I456" s="3">
        <f t="shared" si="54"/>
        <v>85.714285714285708</v>
      </c>
      <c r="J456" t="str">
        <f t="shared" si="55"/>
        <v>F</v>
      </c>
    </row>
    <row r="457" spans="1:10" hidden="1" x14ac:dyDescent="0.25">
      <c r="A457" s="4" t="s">
        <v>5</v>
      </c>
      <c r="B457" s="1">
        <v>0.42173100000000002</v>
      </c>
      <c r="C457" s="1">
        <v>0.42501100000000003</v>
      </c>
      <c r="D457" s="1">
        <f t="shared" si="49"/>
        <v>3.2800000000000051E-3</v>
      </c>
      <c r="E457">
        <f t="shared" si="50"/>
        <v>4</v>
      </c>
      <c r="F457">
        <f t="shared" si="51"/>
        <v>43</v>
      </c>
      <c r="G457">
        <f t="shared" si="52"/>
        <v>4.72</v>
      </c>
      <c r="H457">
        <f t="shared" si="53"/>
        <v>283</v>
      </c>
      <c r="I457" s="3">
        <f t="shared" si="54"/>
        <v>63.60424028268551</v>
      </c>
      <c r="J457" t="str">
        <f t="shared" si="55"/>
        <v>F</v>
      </c>
    </row>
    <row r="458" spans="1:10" hidden="1" x14ac:dyDescent="0.25">
      <c r="A458" s="4" t="s">
        <v>109</v>
      </c>
      <c r="B458" s="1">
        <v>0.61124299999999998</v>
      </c>
      <c r="C458" s="1">
        <v>0.61519100000000004</v>
      </c>
      <c r="D458" s="1">
        <f t="shared" si="49"/>
        <v>3.9480000000000626E-3</v>
      </c>
      <c r="E458">
        <f t="shared" si="50"/>
        <v>5</v>
      </c>
      <c r="F458">
        <f t="shared" si="51"/>
        <v>41</v>
      </c>
      <c r="G458">
        <f t="shared" si="52"/>
        <v>5.68</v>
      </c>
      <c r="H458">
        <f t="shared" si="53"/>
        <v>341</v>
      </c>
      <c r="I458" s="3">
        <f t="shared" si="54"/>
        <v>52.785923753665685</v>
      </c>
      <c r="J458" t="str">
        <f t="shared" si="55"/>
        <v>F</v>
      </c>
    </row>
    <row r="459" spans="1:10" hidden="1" x14ac:dyDescent="0.25">
      <c r="A459" s="4" t="s">
        <v>75</v>
      </c>
      <c r="B459" s="1">
        <v>0.48200599999999999</v>
      </c>
      <c r="C459" s="1">
        <v>0.485122</v>
      </c>
      <c r="D459" s="1">
        <f t="shared" si="49"/>
        <v>3.1160000000000077E-3</v>
      </c>
      <c r="E459">
        <f t="shared" si="50"/>
        <v>4</v>
      </c>
      <c r="F459">
        <f t="shared" si="51"/>
        <v>29</v>
      </c>
      <c r="G459">
        <f t="shared" si="52"/>
        <v>4.4800000000000004</v>
      </c>
      <c r="H459">
        <f t="shared" si="53"/>
        <v>269</v>
      </c>
      <c r="I459" s="3">
        <f t="shared" si="54"/>
        <v>66.914498141263948</v>
      </c>
      <c r="J459" t="str">
        <f t="shared" si="55"/>
        <v>F</v>
      </c>
    </row>
    <row r="460" spans="1:10" hidden="1" x14ac:dyDescent="0.25">
      <c r="A460" s="4" t="s">
        <v>75</v>
      </c>
      <c r="B460" s="1">
        <v>0.75184499999999999</v>
      </c>
      <c r="C460" s="1">
        <v>0.75461699999999998</v>
      </c>
      <c r="D460" s="1">
        <f t="shared" si="49"/>
        <v>2.7719999999999967E-3</v>
      </c>
      <c r="E460">
        <f t="shared" si="50"/>
        <v>4</v>
      </c>
      <c r="F460">
        <f t="shared" si="51"/>
        <v>0</v>
      </c>
      <c r="G460">
        <f t="shared" si="52"/>
        <v>4</v>
      </c>
      <c r="H460">
        <f t="shared" si="53"/>
        <v>240</v>
      </c>
      <c r="I460" s="3">
        <f t="shared" si="54"/>
        <v>75</v>
      </c>
      <c r="J460" t="str">
        <f t="shared" si="55"/>
        <v>F</v>
      </c>
    </row>
    <row r="461" spans="1:10" hidden="1" x14ac:dyDescent="0.25">
      <c r="A461" s="4" t="s">
        <v>68</v>
      </c>
      <c r="B461" s="1">
        <v>0.98681600000000003</v>
      </c>
      <c r="C461" s="1">
        <v>0.98857600000000001</v>
      </c>
      <c r="D461" s="1">
        <f t="shared" si="49"/>
        <v>1.7599999999999838E-3</v>
      </c>
      <c r="E461">
        <f t="shared" si="50"/>
        <v>2</v>
      </c>
      <c r="F461">
        <f t="shared" si="51"/>
        <v>32</v>
      </c>
      <c r="G461">
        <f t="shared" si="52"/>
        <v>2.5299999999999998</v>
      </c>
      <c r="H461">
        <f t="shared" si="53"/>
        <v>152</v>
      </c>
      <c r="I461" s="3">
        <f t="shared" si="54"/>
        <v>118.42105263157896</v>
      </c>
      <c r="J461" t="str">
        <f t="shared" si="55"/>
        <v>F</v>
      </c>
    </row>
    <row r="462" spans="1:10" hidden="1" x14ac:dyDescent="0.25">
      <c r="A462" s="4" t="s">
        <v>72</v>
      </c>
      <c r="B462" s="1">
        <v>0.22588900000000001</v>
      </c>
      <c r="C462" s="1">
        <v>0.224385</v>
      </c>
      <c r="D462" s="1">
        <f t="shared" si="49"/>
        <v>1.5040000000000053E-3</v>
      </c>
      <c r="E462">
        <f t="shared" si="50"/>
        <v>2</v>
      </c>
      <c r="F462">
        <f t="shared" si="51"/>
        <v>10</v>
      </c>
      <c r="G462">
        <f t="shared" si="52"/>
        <v>2.17</v>
      </c>
      <c r="H462">
        <f t="shared" si="53"/>
        <v>130</v>
      </c>
      <c r="I462" s="3">
        <f t="shared" si="54"/>
        <v>138.46153846153845</v>
      </c>
      <c r="J462" t="str">
        <f t="shared" si="55"/>
        <v>F</v>
      </c>
    </row>
    <row r="463" spans="1:10" hidden="1" x14ac:dyDescent="0.25">
      <c r="A463" s="4" t="s">
        <v>3</v>
      </c>
      <c r="B463" s="1">
        <v>9.0769000000000002E-2</v>
      </c>
      <c r="C463" s="1">
        <v>9.3213000000000004E-2</v>
      </c>
      <c r="D463" s="1">
        <f t="shared" si="49"/>
        <v>2.4440000000000017E-3</v>
      </c>
      <c r="E463">
        <f t="shared" si="50"/>
        <v>3</v>
      </c>
      <c r="F463">
        <f t="shared" si="51"/>
        <v>31</v>
      </c>
      <c r="G463">
        <f t="shared" si="52"/>
        <v>3.52</v>
      </c>
      <c r="H463">
        <f t="shared" si="53"/>
        <v>211</v>
      </c>
      <c r="I463" s="3">
        <f t="shared" si="54"/>
        <v>85.308056872037923</v>
      </c>
      <c r="J463" t="str">
        <f t="shared" si="55"/>
        <v>F</v>
      </c>
    </row>
    <row r="464" spans="1:10" hidden="1" x14ac:dyDescent="0.25">
      <c r="A464" s="4" t="s">
        <v>47</v>
      </c>
      <c r="B464" s="1">
        <v>0.76115200000000005</v>
      </c>
      <c r="C464" s="1">
        <v>0.75938799999999995</v>
      </c>
      <c r="D464" s="1">
        <f t="shared" si="49"/>
        <v>1.7640000000000988E-3</v>
      </c>
      <c r="E464">
        <f t="shared" si="50"/>
        <v>2</v>
      </c>
      <c r="F464">
        <f t="shared" si="51"/>
        <v>32</v>
      </c>
      <c r="G464">
        <f t="shared" si="52"/>
        <v>2.5299999999999998</v>
      </c>
      <c r="H464">
        <f t="shared" si="53"/>
        <v>152</v>
      </c>
      <c r="I464" s="3">
        <f t="shared" si="54"/>
        <v>118.42105263157896</v>
      </c>
      <c r="J464" t="str">
        <f t="shared" si="55"/>
        <v>F</v>
      </c>
    </row>
    <row r="465" spans="1:10" hidden="1" x14ac:dyDescent="0.25">
      <c r="A465" s="4" t="s">
        <v>41</v>
      </c>
      <c r="B465" s="1">
        <v>0.61574300000000004</v>
      </c>
      <c r="C465" s="1">
        <v>0.61297900000000005</v>
      </c>
      <c r="D465" s="1">
        <f t="shared" si="49"/>
        <v>2.7639999999999887E-3</v>
      </c>
      <c r="E465">
        <f t="shared" si="50"/>
        <v>3</v>
      </c>
      <c r="F465">
        <f t="shared" si="51"/>
        <v>59</v>
      </c>
      <c r="G465">
        <f t="shared" si="52"/>
        <v>3.98</v>
      </c>
      <c r="H465">
        <f t="shared" si="53"/>
        <v>239</v>
      </c>
      <c r="I465" s="3">
        <f t="shared" si="54"/>
        <v>75.313807531380746</v>
      </c>
      <c r="J465" t="str">
        <f t="shared" si="55"/>
        <v>F</v>
      </c>
    </row>
    <row r="466" spans="1:10" hidden="1" x14ac:dyDescent="0.25">
      <c r="A466" s="4" t="s">
        <v>117</v>
      </c>
      <c r="B466" s="1">
        <v>0.67266300000000001</v>
      </c>
      <c r="C466" s="1">
        <v>0.676651</v>
      </c>
      <c r="D466" s="1">
        <f t="shared" si="49"/>
        <v>3.9879999999999916E-3</v>
      </c>
      <c r="E466">
        <f t="shared" si="50"/>
        <v>5</v>
      </c>
      <c r="F466">
        <f t="shared" si="51"/>
        <v>45</v>
      </c>
      <c r="G466">
        <f t="shared" si="52"/>
        <v>5.75</v>
      </c>
      <c r="H466">
        <f t="shared" si="53"/>
        <v>345</v>
      </c>
      <c r="I466" s="3">
        <f t="shared" si="54"/>
        <v>52.173913043478265</v>
      </c>
      <c r="J466" t="str">
        <f t="shared" si="55"/>
        <v>F</v>
      </c>
    </row>
    <row r="467" spans="1:10" hidden="1" x14ac:dyDescent="0.25">
      <c r="A467" s="4" t="s">
        <v>173</v>
      </c>
      <c r="B467" s="1">
        <v>0.45782299999999998</v>
      </c>
      <c r="C467" s="1">
        <v>0.45575500000000002</v>
      </c>
      <c r="D467" s="1">
        <f t="shared" si="49"/>
        <v>2.0679999999999588E-3</v>
      </c>
      <c r="E467">
        <f t="shared" si="50"/>
        <v>2</v>
      </c>
      <c r="F467">
        <f t="shared" si="51"/>
        <v>59</v>
      </c>
      <c r="G467">
        <f t="shared" si="52"/>
        <v>2.98</v>
      </c>
      <c r="H467">
        <f t="shared" si="53"/>
        <v>179</v>
      </c>
      <c r="I467" s="3">
        <f t="shared" si="54"/>
        <v>100.55865921787711</v>
      </c>
      <c r="J467" t="str">
        <f t="shared" si="55"/>
        <v>F</v>
      </c>
    </row>
    <row r="468" spans="1:10" hidden="1" x14ac:dyDescent="0.25">
      <c r="A468" s="4" t="s">
        <v>5</v>
      </c>
      <c r="B468" s="1">
        <v>0.85437099999999999</v>
      </c>
      <c r="C468" s="1">
        <v>0.85165500000000005</v>
      </c>
      <c r="D468" s="1">
        <f t="shared" si="49"/>
        <v>2.7159999999999407E-3</v>
      </c>
      <c r="E468">
        <f t="shared" si="50"/>
        <v>3</v>
      </c>
      <c r="F468">
        <f t="shared" si="51"/>
        <v>55</v>
      </c>
      <c r="G468">
        <f t="shared" si="52"/>
        <v>3.92</v>
      </c>
      <c r="H468">
        <f t="shared" si="53"/>
        <v>235</v>
      </c>
      <c r="I468" s="3">
        <f t="shared" si="54"/>
        <v>76.59574468085107</v>
      </c>
      <c r="J468" t="str">
        <f t="shared" si="55"/>
        <v>F</v>
      </c>
    </row>
    <row r="469" spans="1:10" hidden="1" x14ac:dyDescent="0.25">
      <c r="A469" s="4" t="s">
        <v>109</v>
      </c>
      <c r="B469" s="1">
        <v>0.59859799999999996</v>
      </c>
      <c r="C469" s="1">
        <v>0.59520600000000001</v>
      </c>
      <c r="D469" s="1">
        <f t="shared" si="49"/>
        <v>3.3919999999999506E-3</v>
      </c>
      <c r="E469">
        <f t="shared" si="50"/>
        <v>4</v>
      </c>
      <c r="F469">
        <f t="shared" si="51"/>
        <v>53</v>
      </c>
      <c r="G469">
        <f t="shared" si="52"/>
        <v>4.88</v>
      </c>
      <c r="H469">
        <f t="shared" si="53"/>
        <v>293</v>
      </c>
      <c r="I469" s="3">
        <f t="shared" si="54"/>
        <v>61.43344709897611</v>
      </c>
      <c r="J469" t="str">
        <f t="shared" si="55"/>
        <v>F</v>
      </c>
    </row>
    <row r="470" spans="1:10" hidden="1" x14ac:dyDescent="0.25">
      <c r="A470" s="4" t="s">
        <v>47</v>
      </c>
      <c r="B470" s="1">
        <v>0.39534399999999997</v>
      </c>
      <c r="C470" s="1">
        <v>0.39347199999999999</v>
      </c>
      <c r="D470" s="1">
        <f t="shared" si="49"/>
        <v>1.8719999999999848E-3</v>
      </c>
      <c r="E470">
        <f t="shared" si="50"/>
        <v>2</v>
      </c>
      <c r="F470">
        <f t="shared" si="51"/>
        <v>42</v>
      </c>
      <c r="G470">
        <f t="shared" si="52"/>
        <v>2.7</v>
      </c>
      <c r="H470">
        <f t="shared" si="53"/>
        <v>162</v>
      </c>
      <c r="I470" s="3">
        <f t="shared" si="54"/>
        <v>111.11111111111111</v>
      </c>
      <c r="J470" t="str">
        <f t="shared" si="55"/>
        <v>F</v>
      </c>
    </row>
    <row r="471" spans="1:10" hidden="1" x14ac:dyDescent="0.25">
      <c r="A471" s="4" t="s">
        <v>41</v>
      </c>
      <c r="B471" s="1">
        <v>0.811751</v>
      </c>
      <c r="C471" s="1">
        <v>0.81549499999999997</v>
      </c>
      <c r="D471" s="1">
        <f t="shared" si="49"/>
        <v>3.7439999999999696E-3</v>
      </c>
      <c r="E471">
        <f t="shared" si="50"/>
        <v>5</v>
      </c>
      <c r="F471">
        <f t="shared" si="51"/>
        <v>23</v>
      </c>
      <c r="G471">
        <f t="shared" si="52"/>
        <v>5.38</v>
      </c>
      <c r="H471">
        <f t="shared" si="53"/>
        <v>323</v>
      </c>
      <c r="I471" s="3">
        <f t="shared" si="54"/>
        <v>55.727554179566567</v>
      </c>
      <c r="J471" t="str">
        <f t="shared" si="55"/>
        <v>F</v>
      </c>
    </row>
    <row r="472" spans="1:10" hidden="1" x14ac:dyDescent="0.25">
      <c r="A472" s="4" t="s">
        <v>117</v>
      </c>
      <c r="B472" s="1">
        <v>0.57271000000000005</v>
      </c>
      <c r="C472" s="1">
        <v>0.57501000000000002</v>
      </c>
      <c r="D472" s="1">
        <f t="shared" si="49"/>
        <v>2.2999999999999687E-3</v>
      </c>
      <c r="E472">
        <f t="shared" si="50"/>
        <v>3</v>
      </c>
      <c r="F472">
        <f t="shared" si="51"/>
        <v>19</v>
      </c>
      <c r="G472">
        <f t="shared" si="52"/>
        <v>3.32</v>
      </c>
      <c r="H472">
        <f t="shared" si="53"/>
        <v>199</v>
      </c>
      <c r="I472" s="3">
        <f t="shared" si="54"/>
        <v>90.452261306532648</v>
      </c>
      <c r="J472" t="str">
        <f t="shared" si="55"/>
        <v>F</v>
      </c>
    </row>
    <row r="473" spans="1:10" hidden="1" x14ac:dyDescent="0.25">
      <c r="A473" s="4" t="s">
        <v>162</v>
      </c>
      <c r="B473" s="1">
        <v>0.81777500000000003</v>
      </c>
      <c r="C473" s="1">
        <v>0.81406699999999999</v>
      </c>
      <c r="D473" s="1">
        <f t="shared" si="49"/>
        <v>3.7080000000000446E-3</v>
      </c>
      <c r="E473">
        <f t="shared" si="50"/>
        <v>5</v>
      </c>
      <c r="F473">
        <f t="shared" si="51"/>
        <v>20</v>
      </c>
      <c r="G473">
        <f t="shared" si="52"/>
        <v>5.33</v>
      </c>
      <c r="H473">
        <f t="shared" si="53"/>
        <v>320</v>
      </c>
      <c r="I473" s="3">
        <f t="shared" si="54"/>
        <v>56.25</v>
      </c>
      <c r="J473" t="str">
        <f t="shared" si="55"/>
        <v>F</v>
      </c>
    </row>
    <row r="474" spans="1:10" hidden="1" x14ac:dyDescent="0.25">
      <c r="A474" s="4" t="s">
        <v>5</v>
      </c>
      <c r="B474" s="1">
        <v>0.72962700000000003</v>
      </c>
      <c r="C474" s="1">
        <v>0.72729500000000002</v>
      </c>
      <c r="D474" s="1">
        <f t="shared" si="49"/>
        <v>2.3320000000000007E-3</v>
      </c>
      <c r="E474">
        <f t="shared" si="50"/>
        <v>3</v>
      </c>
      <c r="F474">
        <f t="shared" si="51"/>
        <v>21</v>
      </c>
      <c r="G474">
        <f t="shared" si="52"/>
        <v>3.35</v>
      </c>
      <c r="H474">
        <f t="shared" si="53"/>
        <v>201</v>
      </c>
      <c r="I474" s="3">
        <f t="shared" si="54"/>
        <v>89.552238805970148</v>
      </c>
      <c r="J474" t="str">
        <f t="shared" si="55"/>
        <v>F</v>
      </c>
    </row>
    <row r="475" spans="1:10" hidden="1" x14ac:dyDescent="0.25">
      <c r="A475" s="4" t="s">
        <v>109</v>
      </c>
      <c r="B475" s="1">
        <v>0.20138</v>
      </c>
      <c r="C475" s="1">
        <v>0.197932</v>
      </c>
      <c r="D475" s="1">
        <f t="shared" si="49"/>
        <v>3.4480000000000066E-3</v>
      </c>
      <c r="E475">
        <f t="shared" si="50"/>
        <v>4</v>
      </c>
      <c r="F475">
        <f t="shared" si="51"/>
        <v>58</v>
      </c>
      <c r="G475">
        <f t="shared" si="52"/>
        <v>4.97</v>
      </c>
      <c r="H475">
        <f t="shared" si="53"/>
        <v>298</v>
      </c>
      <c r="I475" s="3">
        <f t="shared" si="54"/>
        <v>60.402684563758385</v>
      </c>
      <c r="J475" t="str">
        <f t="shared" si="55"/>
        <v>F</v>
      </c>
    </row>
    <row r="476" spans="1:10" hidden="1" x14ac:dyDescent="0.25">
      <c r="A476" s="4" t="s">
        <v>47</v>
      </c>
      <c r="B476" s="1">
        <v>0.30973099999999998</v>
      </c>
      <c r="C476" s="1">
        <v>0.31371900000000003</v>
      </c>
      <c r="D476" s="1">
        <f t="shared" si="49"/>
        <v>3.9880000000000471E-3</v>
      </c>
      <c r="E476">
        <f t="shared" si="50"/>
        <v>5</v>
      </c>
      <c r="F476">
        <f t="shared" si="51"/>
        <v>45</v>
      </c>
      <c r="G476">
        <f t="shared" si="52"/>
        <v>5.75</v>
      </c>
      <c r="H476">
        <f t="shared" si="53"/>
        <v>345</v>
      </c>
      <c r="I476" s="3">
        <f t="shared" si="54"/>
        <v>52.173913043478265</v>
      </c>
      <c r="J476" t="str">
        <f t="shared" si="55"/>
        <v>F</v>
      </c>
    </row>
    <row r="477" spans="1:10" hidden="1" x14ac:dyDescent="0.25">
      <c r="A477" s="4" t="s">
        <v>41</v>
      </c>
      <c r="B477" s="1">
        <v>0.90852699999999997</v>
      </c>
      <c r="C477" s="1">
        <v>0.90690300000000001</v>
      </c>
      <c r="D477" s="1">
        <f t="shared" si="49"/>
        <v>1.6239999999999588E-3</v>
      </c>
      <c r="E477">
        <f t="shared" si="50"/>
        <v>2</v>
      </c>
      <c r="F477">
        <f t="shared" si="51"/>
        <v>20</v>
      </c>
      <c r="G477">
        <f t="shared" si="52"/>
        <v>2.33</v>
      </c>
      <c r="H477">
        <f t="shared" si="53"/>
        <v>140</v>
      </c>
      <c r="I477" s="3">
        <f t="shared" si="54"/>
        <v>128.57142857142858</v>
      </c>
      <c r="J477" t="str">
        <f t="shared" si="55"/>
        <v>F</v>
      </c>
    </row>
    <row r="478" spans="1:10" hidden="1" x14ac:dyDescent="0.25">
      <c r="A478" s="4" t="s">
        <v>117</v>
      </c>
      <c r="B478" s="1">
        <v>3.3759999999999998E-2</v>
      </c>
      <c r="C478" s="1">
        <v>3.5316E-2</v>
      </c>
      <c r="D478" s="1">
        <f t="shared" si="49"/>
        <v>1.5560000000000018E-3</v>
      </c>
      <c r="E478">
        <f t="shared" si="50"/>
        <v>2</v>
      </c>
      <c r="F478">
        <f t="shared" si="51"/>
        <v>14</v>
      </c>
      <c r="G478">
        <f t="shared" si="52"/>
        <v>2.23</v>
      </c>
      <c r="H478">
        <f t="shared" si="53"/>
        <v>134</v>
      </c>
      <c r="I478" s="3">
        <f t="shared" si="54"/>
        <v>134.32835820895522</v>
      </c>
      <c r="J478" t="str">
        <f t="shared" si="55"/>
        <v>F</v>
      </c>
    </row>
    <row r="479" spans="1:10" hidden="1" x14ac:dyDescent="0.25">
      <c r="A479" s="4" t="s">
        <v>162</v>
      </c>
      <c r="B479" s="1">
        <v>0.97303899999999999</v>
      </c>
      <c r="C479" s="1">
        <v>0.97464700000000004</v>
      </c>
      <c r="D479" s="1">
        <f t="shared" si="49"/>
        <v>1.6080000000000538E-3</v>
      </c>
      <c r="E479">
        <f t="shared" si="50"/>
        <v>2</v>
      </c>
      <c r="F479">
        <f t="shared" si="51"/>
        <v>19</v>
      </c>
      <c r="G479">
        <f t="shared" si="52"/>
        <v>2.3199999999999998</v>
      </c>
      <c r="H479">
        <f t="shared" si="53"/>
        <v>139</v>
      </c>
      <c r="I479" s="3">
        <f t="shared" si="54"/>
        <v>129.49640287769785</v>
      </c>
      <c r="J479" t="str">
        <f t="shared" si="55"/>
        <v>F</v>
      </c>
    </row>
    <row r="480" spans="1:10" hidden="1" x14ac:dyDescent="0.25">
      <c r="A480" s="4" t="s">
        <v>5</v>
      </c>
      <c r="B480" s="1">
        <v>0.14322299999999999</v>
      </c>
      <c r="C480" s="1">
        <v>0.14696300000000001</v>
      </c>
      <c r="D480" s="1">
        <f t="shared" si="49"/>
        <v>3.7400000000000211E-3</v>
      </c>
      <c r="E480">
        <f t="shared" si="50"/>
        <v>5</v>
      </c>
      <c r="F480">
        <f t="shared" si="51"/>
        <v>23</v>
      </c>
      <c r="G480">
        <f t="shared" si="52"/>
        <v>5.38</v>
      </c>
      <c r="H480">
        <f t="shared" si="53"/>
        <v>323</v>
      </c>
      <c r="I480" s="3">
        <f t="shared" si="54"/>
        <v>55.727554179566567</v>
      </c>
      <c r="J480" t="str">
        <f t="shared" si="55"/>
        <v>F</v>
      </c>
    </row>
    <row r="481" spans="1:10" hidden="1" x14ac:dyDescent="0.25">
      <c r="A481" s="4" t="s">
        <v>109</v>
      </c>
      <c r="B481" s="1">
        <v>0.87870300000000001</v>
      </c>
      <c r="C481" s="1">
        <v>0.87566699999999997</v>
      </c>
      <c r="D481" s="1">
        <f t="shared" si="49"/>
        <v>3.0360000000000387E-3</v>
      </c>
      <c r="E481">
        <f t="shared" si="50"/>
        <v>4</v>
      </c>
      <c r="F481">
        <f t="shared" si="51"/>
        <v>22</v>
      </c>
      <c r="G481">
        <f t="shared" si="52"/>
        <v>4.37</v>
      </c>
      <c r="H481">
        <f t="shared" si="53"/>
        <v>262</v>
      </c>
      <c r="I481" s="3">
        <f t="shared" si="54"/>
        <v>68.702290076335885</v>
      </c>
      <c r="J481" t="str">
        <f t="shared" si="55"/>
        <v>F</v>
      </c>
    </row>
    <row r="482" spans="1:10" hidden="1" x14ac:dyDescent="0.25">
      <c r="A482" s="4" t="s">
        <v>47</v>
      </c>
      <c r="B482" s="1">
        <v>0.78562500000000002</v>
      </c>
      <c r="C482" s="1">
        <v>0.78268499999999996</v>
      </c>
      <c r="D482" s="1">
        <f t="shared" si="49"/>
        <v>2.9400000000000537E-3</v>
      </c>
      <c r="E482">
        <f t="shared" si="50"/>
        <v>4</v>
      </c>
      <c r="F482">
        <f t="shared" si="51"/>
        <v>14</v>
      </c>
      <c r="G482">
        <f t="shared" si="52"/>
        <v>4.2300000000000004</v>
      </c>
      <c r="H482">
        <f t="shared" si="53"/>
        <v>254</v>
      </c>
      <c r="I482" s="3">
        <f t="shared" si="54"/>
        <v>70.866141732283467</v>
      </c>
      <c r="J482" t="str">
        <f t="shared" si="55"/>
        <v>F</v>
      </c>
    </row>
    <row r="483" spans="1:10" hidden="1" x14ac:dyDescent="0.25">
      <c r="A483" s="4" t="s">
        <v>41</v>
      </c>
      <c r="B483" s="1">
        <v>0.86237600000000003</v>
      </c>
      <c r="C483" s="1">
        <v>0.86603200000000002</v>
      </c>
      <c r="D483" s="1">
        <f t="shared" si="49"/>
        <v>3.6559999999999926E-3</v>
      </c>
      <c r="E483">
        <f t="shared" si="50"/>
        <v>5</v>
      </c>
      <c r="F483">
        <f t="shared" si="51"/>
        <v>16</v>
      </c>
      <c r="G483">
        <f t="shared" si="52"/>
        <v>5.27</v>
      </c>
      <c r="H483">
        <f t="shared" si="53"/>
        <v>316</v>
      </c>
      <c r="I483" s="3">
        <f t="shared" si="54"/>
        <v>56.962025316455694</v>
      </c>
      <c r="J483" t="str">
        <f t="shared" si="55"/>
        <v>F</v>
      </c>
    </row>
    <row r="484" spans="1:10" hidden="1" x14ac:dyDescent="0.25">
      <c r="A484" s="4" t="s">
        <v>117</v>
      </c>
      <c r="B484" s="1">
        <v>0.95934200000000003</v>
      </c>
      <c r="C484" s="1">
        <v>0.95758200000000004</v>
      </c>
      <c r="D484" s="1">
        <f t="shared" si="49"/>
        <v>1.7599999999999838E-3</v>
      </c>
      <c r="E484">
        <f t="shared" si="50"/>
        <v>2</v>
      </c>
      <c r="F484">
        <f t="shared" si="51"/>
        <v>32</v>
      </c>
      <c r="G484">
        <f t="shared" si="52"/>
        <v>2.5299999999999998</v>
      </c>
      <c r="H484">
        <f t="shared" si="53"/>
        <v>152</v>
      </c>
      <c r="I484" s="3">
        <f t="shared" si="54"/>
        <v>118.42105263157896</v>
      </c>
      <c r="J484" t="str">
        <f t="shared" si="55"/>
        <v>F</v>
      </c>
    </row>
    <row r="485" spans="1:10" hidden="1" x14ac:dyDescent="0.25">
      <c r="A485" s="4" t="s">
        <v>162</v>
      </c>
      <c r="B485" s="1">
        <v>0.74316700000000002</v>
      </c>
      <c r="C485" s="1">
        <v>0.74651500000000004</v>
      </c>
      <c r="D485" s="1">
        <f t="shared" si="49"/>
        <v>3.3480000000000176E-3</v>
      </c>
      <c r="E485">
        <f t="shared" si="50"/>
        <v>4</v>
      </c>
      <c r="F485">
        <f t="shared" si="51"/>
        <v>49</v>
      </c>
      <c r="G485">
        <f t="shared" si="52"/>
        <v>4.82</v>
      </c>
      <c r="H485">
        <f t="shared" si="53"/>
        <v>289</v>
      </c>
      <c r="I485" s="3">
        <f t="shared" si="54"/>
        <v>62.283737024221459</v>
      </c>
      <c r="J485" t="str">
        <f t="shared" si="55"/>
        <v>F</v>
      </c>
    </row>
    <row r="486" spans="1:10" hidden="1" x14ac:dyDescent="0.25">
      <c r="A486" s="4" t="s">
        <v>5</v>
      </c>
      <c r="B486" s="1">
        <v>0.74470000000000003</v>
      </c>
      <c r="C486" s="1">
        <v>0.74815600000000004</v>
      </c>
      <c r="D486" s="1">
        <f t="shared" si="49"/>
        <v>3.4560000000000146E-3</v>
      </c>
      <c r="E486">
        <f t="shared" si="50"/>
        <v>4</v>
      </c>
      <c r="F486">
        <f t="shared" si="51"/>
        <v>59</v>
      </c>
      <c r="G486">
        <f t="shared" si="52"/>
        <v>4.9800000000000004</v>
      </c>
      <c r="H486">
        <f t="shared" si="53"/>
        <v>299</v>
      </c>
      <c r="I486" s="3">
        <f t="shared" si="54"/>
        <v>60.200668896321076</v>
      </c>
      <c r="J486" t="str">
        <f t="shared" si="55"/>
        <v>F</v>
      </c>
    </row>
    <row r="487" spans="1:10" hidden="1" x14ac:dyDescent="0.25">
      <c r="A487" s="4" t="s">
        <v>109</v>
      </c>
      <c r="B487" s="1">
        <v>0.74424900000000005</v>
      </c>
      <c r="C487" s="1">
        <v>0.74671699999999996</v>
      </c>
      <c r="D487" s="1">
        <f t="shared" si="49"/>
        <v>2.4679999999999147E-3</v>
      </c>
      <c r="E487">
        <f t="shared" si="50"/>
        <v>3</v>
      </c>
      <c r="F487">
        <f t="shared" si="51"/>
        <v>33</v>
      </c>
      <c r="G487">
        <f t="shared" si="52"/>
        <v>3.55</v>
      </c>
      <c r="H487">
        <f t="shared" si="53"/>
        <v>213</v>
      </c>
      <c r="I487" s="3">
        <f t="shared" si="54"/>
        <v>84.507042253521121</v>
      </c>
      <c r="J487" t="str">
        <f t="shared" si="55"/>
        <v>F</v>
      </c>
    </row>
    <row r="488" spans="1:10" hidden="1" x14ac:dyDescent="0.25">
      <c r="A488" s="4" t="s">
        <v>162</v>
      </c>
      <c r="B488" s="1">
        <v>0.245144</v>
      </c>
      <c r="C488" s="1">
        <v>0.242704</v>
      </c>
      <c r="D488" s="1">
        <f t="shared" si="49"/>
        <v>2.4399999999999977E-3</v>
      </c>
      <c r="E488">
        <f t="shared" si="50"/>
        <v>3</v>
      </c>
      <c r="F488">
        <f t="shared" si="51"/>
        <v>31</v>
      </c>
      <c r="G488">
        <f t="shared" si="52"/>
        <v>3.52</v>
      </c>
      <c r="H488">
        <f t="shared" si="53"/>
        <v>211</v>
      </c>
      <c r="I488" s="3">
        <f t="shared" si="54"/>
        <v>85.308056872037923</v>
      </c>
      <c r="J488" t="str">
        <f t="shared" si="55"/>
        <v>F</v>
      </c>
    </row>
    <row r="489" spans="1:10" hidden="1" x14ac:dyDescent="0.25">
      <c r="A489" s="4" t="s">
        <v>5</v>
      </c>
      <c r="B489" s="1">
        <v>0.95478200000000002</v>
      </c>
      <c r="C489" s="1">
        <v>0.95157000000000003</v>
      </c>
      <c r="D489" s="1">
        <f t="shared" si="49"/>
        <v>3.2119999999999926E-3</v>
      </c>
      <c r="E489">
        <f t="shared" si="50"/>
        <v>4</v>
      </c>
      <c r="F489">
        <f t="shared" si="51"/>
        <v>38</v>
      </c>
      <c r="G489">
        <f t="shared" si="52"/>
        <v>4.63</v>
      </c>
      <c r="H489">
        <f t="shared" si="53"/>
        <v>278</v>
      </c>
      <c r="I489" s="3">
        <f t="shared" si="54"/>
        <v>64.748201438848923</v>
      </c>
      <c r="J489" t="str">
        <f t="shared" si="55"/>
        <v>F</v>
      </c>
    </row>
    <row r="490" spans="1:10" hidden="1" x14ac:dyDescent="0.25">
      <c r="A490" s="4" t="s">
        <v>109</v>
      </c>
      <c r="B490" s="1">
        <v>0.19941800000000001</v>
      </c>
      <c r="C490" s="1">
        <v>0.20191799999999999</v>
      </c>
      <c r="D490" s="1">
        <f t="shared" si="49"/>
        <v>2.4999999999999745E-3</v>
      </c>
      <c r="E490">
        <f t="shared" si="50"/>
        <v>3</v>
      </c>
      <c r="F490">
        <f t="shared" si="51"/>
        <v>36</v>
      </c>
      <c r="G490">
        <f t="shared" si="52"/>
        <v>3.6</v>
      </c>
      <c r="H490">
        <f t="shared" si="53"/>
        <v>216</v>
      </c>
      <c r="I490" s="3">
        <f t="shared" si="54"/>
        <v>83.333333333333343</v>
      </c>
      <c r="J490" t="str">
        <f t="shared" si="55"/>
        <v>F</v>
      </c>
    </row>
    <row r="491" spans="1:10" hidden="1" x14ac:dyDescent="0.25">
      <c r="A491" s="4" t="s">
        <v>162</v>
      </c>
      <c r="B491" s="1">
        <v>0.44693699999999997</v>
      </c>
      <c r="C491" s="1">
        <v>0.44320900000000002</v>
      </c>
      <c r="D491" s="1">
        <f t="shared" si="49"/>
        <v>3.7279999999999536E-3</v>
      </c>
      <c r="E491">
        <f t="shared" si="50"/>
        <v>5</v>
      </c>
      <c r="F491">
        <f t="shared" si="51"/>
        <v>22</v>
      </c>
      <c r="G491">
        <f t="shared" si="52"/>
        <v>5.37</v>
      </c>
      <c r="H491">
        <f t="shared" si="53"/>
        <v>322</v>
      </c>
      <c r="I491" s="3">
        <f t="shared" si="54"/>
        <v>55.900621118012424</v>
      </c>
      <c r="J491" t="str">
        <f t="shared" si="55"/>
        <v>F</v>
      </c>
    </row>
    <row r="492" spans="1:10" hidden="1" x14ac:dyDescent="0.25">
      <c r="A492" s="4" t="s">
        <v>5</v>
      </c>
      <c r="B492" s="1">
        <v>0.13649500000000001</v>
      </c>
      <c r="C492" s="1">
        <v>0.139319</v>
      </c>
      <c r="D492" s="1">
        <f t="shared" si="49"/>
        <v>2.8239999999999932E-3</v>
      </c>
      <c r="E492">
        <f t="shared" si="50"/>
        <v>4</v>
      </c>
      <c r="F492">
        <f t="shared" si="51"/>
        <v>4</v>
      </c>
      <c r="G492">
        <f t="shared" si="52"/>
        <v>4.07</v>
      </c>
      <c r="H492">
        <f t="shared" si="53"/>
        <v>244</v>
      </c>
      <c r="I492" s="3">
        <f t="shared" si="54"/>
        <v>73.770491803278688</v>
      </c>
      <c r="J492" t="str">
        <f t="shared" si="55"/>
        <v>F</v>
      </c>
    </row>
    <row r="493" spans="1:10" hidden="1" x14ac:dyDescent="0.25">
      <c r="A493" s="4" t="s">
        <v>109</v>
      </c>
      <c r="B493" s="1">
        <v>0.86325399999999997</v>
      </c>
      <c r="C493" s="1">
        <v>0.86702199999999996</v>
      </c>
      <c r="D493" s="1">
        <f t="shared" si="49"/>
        <v>3.7679999999999936E-3</v>
      </c>
      <c r="E493">
        <f t="shared" si="50"/>
        <v>5</v>
      </c>
      <c r="F493">
        <f t="shared" si="51"/>
        <v>26</v>
      </c>
      <c r="G493">
        <f t="shared" si="52"/>
        <v>5.43</v>
      </c>
      <c r="H493">
        <f t="shared" si="53"/>
        <v>326</v>
      </c>
      <c r="I493" s="3">
        <f t="shared" si="54"/>
        <v>55.214723926380373</v>
      </c>
      <c r="J493" t="str">
        <f t="shared" si="55"/>
        <v>F</v>
      </c>
    </row>
    <row r="494" spans="1:10" hidden="1" x14ac:dyDescent="0.25">
      <c r="A494" s="4" t="s">
        <v>162</v>
      </c>
      <c r="B494" s="1">
        <v>2.3812E-2</v>
      </c>
      <c r="C494" s="1">
        <v>2.0455999999999998E-2</v>
      </c>
      <c r="D494" s="1">
        <f t="shared" si="49"/>
        <v>3.3560000000000013E-3</v>
      </c>
      <c r="E494">
        <f t="shared" si="50"/>
        <v>4</v>
      </c>
      <c r="F494">
        <f t="shared" si="51"/>
        <v>50</v>
      </c>
      <c r="G494">
        <f t="shared" si="52"/>
        <v>4.83</v>
      </c>
      <c r="H494">
        <f t="shared" si="53"/>
        <v>290</v>
      </c>
      <c r="I494" s="3">
        <f t="shared" si="54"/>
        <v>62.068965517241381</v>
      </c>
      <c r="J494" t="str">
        <f t="shared" si="55"/>
        <v>F</v>
      </c>
    </row>
    <row r="495" spans="1:10" hidden="1" x14ac:dyDescent="0.25">
      <c r="A495" s="4" t="s">
        <v>5</v>
      </c>
      <c r="B495" s="1">
        <v>0.13581199999999999</v>
      </c>
      <c r="C495" s="1">
        <v>0.13939199999999999</v>
      </c>
      <c r="D495" s="1">
        <f t="shared" si="49"/>
        <v>3.5799999999999998E-3</v>
      </c>
      <c r="E495">
        <f t="shared" si="50"/>
        <v>5</v>
      </c>
      <c r="F495">
        <f t="shared" si="51"/>
        <v>9</v>
      </c>
      <c r="G495">
        <f t="shared" si="52"/>
        <v>5.15</v>
      </c>
      <c r="H495">
        <f t="shared" si="53"/>
        <v>309</v>
      </c>
      <c r="I495" s="3">
        <f t="shared" si="54"/>
        <v>58.252427184466022</v>
      </c>
      <c r="J495" t="str">
        <f t="shared" si="55"/>
        <v>F</v>
      </c>
    </row>
    <row r="496" spans="1:10" hidden="1" x14ac:dyDescent="0.25">
      <c r="A496" s="4" t="s">
        <v>109</v>
      </c>
      <c r="B496" s="1">
        <v>0.60236199999999995</v>
      </c>
      <c r="C496" s="1">
        <v>0.60606199999999999</v>
      </c>
      <c r="D496" s="1">
        <f t="shared" si="49"/>
        <v>3.7000000000000366E-3</v>
      </c>
      <c r="E496">
        <f t="shared" si="50"/>
        <v>5</v>
      </c>
      <c r="F496">
        <f t="shared" si="51"/>
        <v>20</v>
      </c>
      <c r="G496">
        <f t="shared" si="52"/>
        <v>5.33</v>
      </c>
      <c r="H496">
        <f t="shared" si="53"/>
        <v>320</v>
      </c>
      <c r="I496" s="3">
        <f t="shared" si="54"/>
        <v>56.25</v>
      </c>
      <c r="J496" t="str">
        <f t="shared" si="55"/>
        <v>F</v>
      </c>
    </row>
    <row r="497" spans="1:10" hidden="1" x14ac:dyDescent="0.25">
      <c r="A497" s="4" t="s">
        <v>87</v>
      </c>
      <c r="B497" s="1">
        <v>0.74911300000000003</v>
      </c>
      <c r="C497" s="1">
        <v>0.745757</v>
      </c>
      <c r="D497" s="1">
        <f t="shared" si="49"/>
        <v>3.3560000000000256E-3</v>
      </c>
      <c r="E497">
        <f t="shared" si="50"/>
        <v>4</v>
      </c>
      <c r="F497">
        <f t="shared" si="51"/>
        <v>50</v>
      </c>
      <c r="G497">
        <f t="shared" si="52"/>
        <v>4.83</v>
      </c>
      <c r="H497">
        <f t="shared" si="53"/>
        <v>290</v>
      </c>
      <c r="I497" s="3">
        <f t="shared" si="54"/>
        <v>62.068965517241381</v>
      </c>
      <c r="J497" t="str">
        <f t="shared" si="55"/>
        <v>F</v>
      </c>
    </row>
    <row r="498" spans="1:10" hidden="1" x14ac:dyDescent="0.25">
      <c r="A498" s="4" t="s">
        <v>87</v>
      </c>
      <c r="B498" s="1">
        <v>0.32229000000000002</v>
      </c>
      <c r="C498" s="1">
        <v>0.31961000000000001</v>
      </c>
      <c r="D498" s="1">
        <f t="shared" si="49"/>
        <v>2.6800000000000157E-3</v>
      </c>
      <c r="E498">
        <f t="shared" si="50"/>
        <v>3</v>
      </c>
      <c r="F498">
        <f t="shared" si="51"/>
        <v>52</v>
      </c>
      <c r="G498">
        <f t="shared" si="52"/>
        <v>3.87</v>
      </c>
      <c r="H498">
        <f t="shared" si="53"/>
        <v>232</v>
      </c>
      <c r="I498" s="3">
        <f t="shared" si="54"/>
        <v>77.58620689655173</v>
      </c>
      <c r="J498" t="str">
        <f t="shared" si="55"/>
        <v>F</v>
      </c>
    </row>
    <row r="499" spans="1:10" hidden="1" x14ac:dyDescent="0.25">
      <c r="A499" s="4" t="s">
        <v>87</v>
      </c>
      <c r="B499" s="1">
        <v>0.25899800000000001</v>
      </c>
      <c r="C499" s="1">
        <v>0.26230599999999998</v>
      </c>
      <c r="D499" s="1">
        <f t="shared" si="49"/>
        <v>3.3079999999999776E-3</v>
      </c>
      <c r="E499">
        <f t="shared" si="50"/>
        <v>4</v>
      </c>
      <c r="F499">
        <f t="shared" si="51"/>
        <v>46</v>
      </c>
      <c r="G499">
        <f t="shared" si="52"/>
        <v>4.7699999999999996</v>
      </c>
      <c r="H499">
        <f t="shared" si="53"/>
        <v>286</v>
      </c>
      <c r="I499" s="3">
        <f t="shared" si="54"/>
        <v>62.937062937062933</v>
      </c>
      <c r="J499" t="str">
        <f t="shared" si="55"/>
        <v>F</v>
      </c>
    </row>
    <row r="500" spans="1:10" hidden="1" x14ac:dyDescent="0.25">
      <c r="A500" s="4" t="s">
        <v>87</v>
      </c>
      <c r="B500" s="1">
        <v>0.16008700000000001</v>
      </c>
      <c r="C500" s="1">
        <v>0.15717100000000001</v>
      </c>
      <c r="D500" s="1">
        <f t="shared" si="49"/>
        <v>2.9160000000000019E-3</v>
      </c>
      <c r="E500">
        <f t="shared" si="50"/>
        <v>4</v>
      </c>
      <c r="F500">
        <f t="shared" si="51"/>
        <v>12</v>
      </c>
      <c r="G500">
        <f t="shared" si="52"/>
        <v>4.2</v>
      </c>
      <c r="H500">
        <f t="shared" si="53"/>
        <v>252</v>
      </c>
      <c r="I500" s="3">
        <f t="shared" si="54"/>
        <v>71.428571428571431</v>
      </c>
      <c r="J500" t="str">
        <f t="shared" si="55"/>
        <v>F</v>
      </c>
    </row>
    <row r="501" spans="1:10" hidden="1" x14ac:dyDescent="0.25">
      <c r="A501" s="4" t="s">
        <v>56</v>
      </c>
      <c r="B501" s="1">
        <v>0.34593800000000002</v>
      </c>
      <c r="C501" s="1">
        <v>0.34431400000000001</v>
      </c>
      <c r="D501" s="1">
        <f t="shared" si="49"/>
        <v>1.6240000000000143E-3</v>
      </c>
      <c r="E501">
        <f t="shared" si="50"/>
        <v>2</v>
      </c>
      <c r="F501">
        <f t="shared" si="51"/>
        <v>20</v>
      </c>
      <c r="G501">
        <f t="shared" si="52"/>
        <v>2.33</v>
      </c>
      <c r="H501">
        <f t="shared" si="53"/>
        <v>140</v>
      </c>
      <c r="I501" s="3">
        <f t="shared" si="54"/>
        <v>128.57142857142858</v>
      </c>
      <c r="J501" t="str">
        <f t="shared" si="55"/>
        <v>F</v>
      </c>
    </row>
    <row r="502" spans="1:10" hidden="1" x14ac:dyDescent="0.25">
      <c r="A502" s="4" t="s">
        <v>132</v>
      </c>
      <c r="B502" s="1">
        <v>4.0057000000000002E-2</v>
      </c>
      <c r="C502" s="1">
        <v>4.1741E-2</v>
      </c>
      <c r="D502" s="1">
        <f t="shared" si="49"/>
        <v>1.683999999999998E-3</v>
      </c>
      <c r="E502">
        <f t="shared" si="50"/>
        <v>2</v>
      </c>
      <c r="F502">
        <f t="shared" si="51"/>
        <v>25</v>
      </c>
      <c r="G502">
        <f t="shared" si="52"/>
        <v>2.42</v>
      </c>
      <c r="H502">
        <f t="shared" si="53"/>
        <v>145</v>
      </c>
      <c r="I502" s="3">
        <f t="shared" si="54"/>
        <v>124.13793103448276</v>
      </c>
      <c r="J502" t="str">
        <f t="shared" si="55"/>
        <v>F</v>
      </c>
    </row>
    <row r="503" spans="1:10" hidden="1" x14ac:dyDescent="0.25">
      <c r="A503" s="4" t="s">
        <v>18</v>
      </c>
      <c r="B503" s="1">
        <v>1.0023960000000001</v>
      </c>
      <c r="C503" s="1">
        <v>0.99877199999999999</v>
      </c>
      <c r="D503" s="1">
        <f t="shared" si="49"/>
        <v>3.6240000000000716E-3</v>
      </c>
      <c r="E503">
        <f t="shared" si="50"/>
        <v>5</v>
      </c>
      <c r="F503">
        <f t="shared" si="51"/>
        <v>13</v>
      </c>
      <c r="G503">
        <f t="shared" si="52"/>
        <v>5.22</v>
      </c>
      <c r="H503">
        <f t="shared" si="53"/>
        <v>313</v>
      </c>
      <c r="I503" s="3">
        <f t="shared" si="54"/>
        <v>57.507987220447284</v>
      </c>
      <c r="J503" t="str">
        <f t="shared" si="55"/>
        <v>F</v>
      </c>
    </row>
    <row r="504" spans="1:10" hidden="1" x14ac:dyDescent="0.25">
      <c r="A504" s="4" t="s">
        <v>85</v>
      </c>
      <c r="B504" s="1">
        <v>9.6156000000000005E-2</v>
      </c>
      <c r="C504" s="1">
        <v>9.7767999999999994E-2</v>
      </c>
      <c r="D504" s="1">
        <f t="shared" si="49"/>
        <v>1.6119999999999884E-3</v>
      </c>
      <c r="E504">
        <f t="shared" si="50"/>
        <v>2</v>
      </c>
      <c r="F504">
        <f t="shared" si="51"/>
        <v>19</v>
      </c>
      <c r="G504">
        <f t="shared" si="52"/>
        <v>2.3199999999999998</v>
      </c>
      <c r="H504">
        <f t="shared" si="53"/>
        <v>139</v>
      </c>
      <c r="I504" s="3">
        <f t="shared" si="54"/>
        <v>129.49640287769785</v>
      </c>
      <c r="J504" t="str">
        <f t="shared" si="55"/>
        <v>F</v>
      </c>
    </row>
    <row r="505" spans="1:10" hidden="1" x14ac:dyDescent="0.25">
      <c r="A505" s="4" t="s">
        <v>112</v>
      </c>
      <c r="B505" s="1">
        <v>0.82941900000000002</v>
      </c>
      <c r="C505" s="1">
        <v>0.82691499999999996</v>
      </c>
      <c r="D505" s="1">
        <f t="shared" si="49"/>
        <v>2.5040000000000617E-3</v>
      </c>
      <c r="E505">
        <f t="shared" si="50"/>
        <v>3</v>
      </c>
      <c r="F505">
        <f t="shared" si="51"/>
        <v>36</v>
      </c>
      <c r="G505">
        <f t="shared" si="52"/>
        <v>3.6</v>
      </c>
      <c r="H505">
        <f t="shared" si="53"/>
        <v>216</v>
      </c>
      <c r="I505" s="3">
        <f t="shared" si="54"/>
        <v>83.333333333333343</v>
      </c>
      <c r="J505" t="str">
        <f t="shared" si="55"/>
        <v>F</v>
      </c>
    </row>
    <row r="506" spans="1:10" hidden="1" x14ac:dyDescent="0.25">
      <c r="A506" s="4" t="s">
        <v>103</v>
      </c>
      <c r="B506" s="1">
        <v>0.92061899999999997</v>
      </c>
      <c r="C506" s="1">
        <v>0.92293099999999995</v>
      </c>
      <c r="D506" s="1">
        <f t="shared" si="49"/>
        <v>2.3119999999999807E-3</v>
      </c>
      <c r="E506">
        <f t="shared" si="50"/>
        <v>3</v>
      </c>
      <c r="F506">
        <f t="shared" si="51"/>
        <v>20</v>
      </c>
      <c r="G506">
        <f t="shared" si="52"/>
        <v>3.33</v>
      </c>
      <c r="H506">
        <f t="shared" si="53"/>
        <v>200</v>
      </c>
      <c r="I506" s="3">
        <f t="shared" si="54"/>
        <v>90</v>
      </c>
      <c r="J506" t="str">
        <f t="shared" si="55"/>
        <v>F</v>
      </c>
    </row>
    <row r="507" spans="1:10" hidden="1" x14ac:dyDescent="0.25">
      <c r="A507" s="4" t="s">
        <v>57</v>
      </c>
      <c r="B507" s="1">
        <v>0.66941799999999996</v>
      </c>
      <c r="C507" s="1">
        <v>0.66777399999999998</v>
      </c>
      <c r="D507" s="1">
        <f t="shared" si="49"/>
        <v>1.6439999999999788E-3</v>
      </c>
      <c r="E507">
        <f t="shared" si="50"/>
        <v>2</v>
      </c>
      <c r="F507">
        <f t="shared" si="51"/>
        <v>22</v>
      </c>
      <c r="G507">
        <f t="shared" si="52"/>
        <v>2.37</v>
      </c>
      <c r="H507">
        <f t="shared" si="53"/>
        <v>142</v>
      </c>
      <c r="I507" s="3">
        <f t="shared" si="54"/>
        <v>126.7605633802817</v>
      </c>
      <c r="J507" t="str">
        <f t="shared" si="55"/>
        <v>F</v>
      </c>
    </row>
    <row r="508" spans="1:10" hidden="1" x14ac:dyDescent="0.25">
      <c r="A508" s="4" t="s">
        <v>3</v>
      </c>
      <c r="B508" s="1">
        <v>0.31244499999999997</v>
      </c>
      <c r="C508" s="1">
        <v>0.31022499999999997</v>
      </c>
      <c r="D508" s="1">
        <f t="shared" si="49"/>
        <v>2.2199999999999998E-3</v>
      </c>
      <c r="E508">
        <f t="shared" si="50"/>
        <v>3</v>
      </c>
      <c r="F508">
        <f t="shared" si="51"/>
        <v>12</v>
      </c>
      <c r="G508">
        <f t="shared" si="52"/>
        <v>3.2</v>
      </c>
      <c r="H508">
        <f t="shared" si="53"/>
        <v>192</v>
      </c>
      <c r="I508" s="3">
        <f t="shared" si="54"/>
        <v>93.75</v>
      </c>
      <c r="J508" t="str">
        <f t="shared" si="55"/>
        <v>F</v>
      </c>
    </row>
    <row r="509" spans="1:10" hidden="1" x14ac:dyDescent="0.25">
      <c r="A509" s="4" t="s">
        <v>4</v>
      </c>
      <c r="B509" s="1">
        <v>0.16196199999999999</v>
      </c>
      <c r="C509" s="1">
        <v>0.16370999999999999</v>
      </c>
      <c r="D509" s="1">
        <f t="shared" si="49"/>
        <v>1.7479999999999996E-3</v>
      </c>
      <c r="E509">
        <f t="shared" si="50"/>
        <v>2</v>
      </c>
      <c r="F509">
        <f t="shared" si="51"/>
        <v>31</v>
      </c>
      <c r="G509">
        <f t="shared" si="52"/>
        <v>2.52</v>
      </c>
      <c r="H509">
        <f t="shared" si="53"/>
        <v>151</v>
      </c>
      <c r="I509" s="3">
        <f t="shared" si="54"/>
        <v>119.20529801324504</v>
      </c>
      <c r="J509" t="str">
        <f t="shared" si="55"/>
        <v>F</v>
      </c>
    </row>
    <row r="510" spans="1:10" hidden="1" x14ac:dyDescent="0.25">
      <c r="A510" s="4" t="s">
        <v>5</v>
      </c>
      <c r="B510" s="1">
        <v>4.0059999999999998E-2</v>
      </c>
      <c r="C510" s="1">
        <v>3.8204000000000002E-2</v>
      </c>
      <c r="D510" s="1">
        <f t="shared" si="49"/>
        <v>1.8559999999999965E-3</v>
      </c>
      <c r="E510">
        <f t="shared" si="50"/>
        <v>2</v>
      </c>
      <c r="F510">
        <f t="shared" si="51"/>
        <v>40</v>
      </c>
      <c r="G510">
        <f t="shared" si="52"/>
        <v>2.67</v>
      </c>
      <c r="H510">
        <f t="shared" si="53"/>
        <v>160</v>
      </c>
      <c r="I510" s="3">
        <f t="shared" si="54"/>
        <v>112.5</v>
      </c>
      <c r="J510" t="str">
        <f t="shared" si="55"/>
        <v>F</v>
      </c>
    </row>
    <row r="511" spans="1:10" hidden="1" x14ac:dyDescent="0.25">
      <c r="A511" s="4" t="s">
        <v>6</v>
      </c>
      <c r="B511" s="1">
        <v>0.71089100000000005</v>
      </c>
      <c r="C511" s="1">
        <v>0.71311899999999995</v>
      </c>
      <c r="D511" s="1">
        <f t="shared" si="49"/>
        <v>2.2279999999998967E-3</v>
      </c>
      <c r="E511">
        <f t="shared" si="50"/>
        <v>3</v>
      </c>
      <c r="F511">
        <f t="shared" si="51"/>
        <v>12</v>
      </c>
      <c r="G511">
        <f t="shared" si="52"/>
        <v>3.2</v>
      </c>
      <c r="H511">
        <f t="shared" si="53"/>
        <v>192</v>
      </c>
      <c r="I511" s="3">
        <f t="shared" si="54"/>
        <v>93.75</v>
      </c>
      <c r="J511" t="str">
        <f t="shared" si="55"/>
        <v>F</v>
      </c>
    </row>
    <row r="512" spans="1:10" hidden="1" x14ac:dyDescent="0.25">
      <c r="A512" s="4" t="s">
        <v>7</v>
      </c>
      <c r="B512" s="1">
        <v>0.172735</v>
      </c>
      <c r="C512" s="1">
        <v>0.17081499999999999</v>
      </c>
      <c r="D512" s="1">
        <f t="shared" si="49"/>
        <v>1.920000000000005E-3</v>
      </c>
      <c r="E512">
        <f t="shared" si="50"/>
        <v>2</v>
      </c>
      <c r="F512">
        <f t="shared" si="51"/>
        <v>46</v>
      </c>
      <c r="G512">
        <f t="shared" si="52"/>
        <v>2.77</v>
      </c>
      <c r="H512">
        <f t="shared" si="53"/>
        <v>166</v>
      </c>
      <c r="I512" s="3">
        <f t="shared" si="54"/>
        <v>108.43373493975903</v>
      </c>
      <c r="J512" t="str">
        <f t="shared" si="55"/>
        <v>F</v>
      </c>
    </row>
    <row r="513" spans="1:10" hidden="1" x14ac:dyDescent="0.25">
      <c r="A513" s="4" t="s">
        <v>8</v>
      </c>
      <c r="B513" s="1">
        <v>0.89442100000000002</v>
      </c>
      <c r="C513" s="1">
        <v>0.89109700000000003</v>
      </c>
      <c r="D513" s="1">
        <f t="shared" si="49"/>
        <v>3.3239999999999936E-3</v>
      </c>
      <c r="E513">
        <f t="shared" si="50"/>
        <v>4</v>
      </c>
      <c r="F513">
        <f t="shared" si="51"/>
        <v>47</v>
      </c>
      <c r="G513">
        <f t="shared" si="52"/>
        <v>4.78</v>
      </c>
      <c r="H513">
        <f t="shared" si="53"/>
        <v>287</v>
      </c>
      <c r="I513" s="3">
        <f t="shared" si="54"/>
        <v>62.717770034843205</v>
      </c>
      <c r="J513" t="str">
        <f t="shared" si="55"/>
        <v>F</v>
      </c>
    </row>
    <row r="514" spans="1:10" hidden="1" x14ac:dyDescent="0.25">
      <c r="A514" s="4" t="s">
        <v>9</v>
      </c>
      <c r="B514" s="1">
        <v>3.9071000000000002E-2</v>
      </c>
      <c r="C514" s="1">
        <v>4.2567000000000001E-2</v>
      </c>
      <c r="D514" s="1">
        <f t="shared" si="49"/>
        <v>3.4959999999999991E-3</v>
      </c>
      <c r="E514">
        <f t="shared" si="50"/>
        <v>5</v>
      </c>
      <c r="F514">
        <f t="shared" si="51"/>
        <v>2</v>
      </c>
      <c r="G514">
        <f t="shared" si="52"/>
        <v>5.03</v>
      </c>
      <c r="H514">
        <f t="shared" si="53"/>
        <v>302</v>
      </c>
      <c r="I514" s="3">
        <f t="shared" si="54"/>
        <v>59.602649006622521</v>
      </c>
      <c r="J514" t="str">
        <f t="shared" si="55"/>
        <v>F</v>
      </c>
    </row>
    <row r="515" spans="1:10" hidden="1" x14ac:dyDescent="0.25">
      <c r="A515" s="4" t="s">
        <v>10</v>
      </c>
      <c r="B515" s="1">
        <v>3.9606000000000002E-2</v>
      </c>
      <c r="C515" s="1">
        <v>3.7274000000000002E-2</v>
      </c>
      <c r="D515" s="1">
        <f t="shared" ref="D515:D578" si="56">IF(B515&gt;C515,B515-C515,C515-B515)</f>
        <v>2.3320000000000007E-3</v>
      </c>
      <c r="E515">
        <f t="shared" ref="E515:E578" si="57">MINUTE(D515)</f>
        <v>3</v>
      </c>
      <c r="F515">
        <f t="shared" ref="F515:F578" si="58">SECOND(D515)</f>
        <v>21</v>
      </c>
      <c r="G515">
        <f t="shared" ref="G515:G578" si="59">ROUND(E515+F515/60,2)</f>
        <v>3.35</v>
      </c>
      <c r="H515">
        <f t="shared" ref="H515:H578" si="60">60*E515+F515</f>
        <v>201</v>
      </c>
      <c r="I515" s="3">
        <f t="shared" ref="I515:I578" si="61">5*(3600/H515)</f>
        <v>89.552238805970148</v>
      </c>
      <c r="J515" t="str">
        <f t="shared" ref="J515:J578" si="62">IF(MID(A515,3,2)="18","T","F")</f>
        <v>F</v>
      </c>
    </row>
    <row r="516" spans="1:10" hidden="1" x14ac:dyDescent="0.25">
      <c r="A516" s="4" t="s">
        <v>11</v>
      </c>
      <c r="B516" s="1">
        <v>0.91238200000000003</v>
      </c>
      <c r="C516" s="1">
        <v>0.91429400000000005</v>
      </c>
      <c r="D516" s="1">
        <f t="shared" si="56"/>
        <v>1.9120000000000248E-3</v>
      </c>
      <c r="E516">
        <f t="shared" si="57"/>
        <v>2</v>
      </c>
      <c r="F516">
        <f t="shared" si="58"/>
        <v>45</v>
      </c>
      <c r="G516">
        <f t="shared" si="59"/>
        <v>2.75</v>
      </c>
      <c r="H516">
        <f t="shared" si="60"/>
        <v>165</v>
      </c>
      <c r="I516" s="3">
        <f t="shared" si="61"/>
        <v>109.09090909090908</v>
      </c>
      <c r="J516" t="str">
        <f t="shared" si="62"/>
        <v>F</v>
      </c>
    </row>
    <row r="517" spans="1:10" hidden="1" x14ac:dyDescent="0.25">
      <c r="A517" s="4" t="s">
        <v>12</v>
      </c>
      <c r="B517" s="1">
        <v>0.43819900000000001</v>
      </c>
      <c r="C517" s="1">
        <v>0.43998700000000002</v>
      </c>
      <c r="D517" s="1">
        <f t="shared" si="56"/>
        <v>1.7880000000000118E-3</v>
      </c>
      <c r="E517">
        <f t="shared" si="57"/>
        <v>2</v>
      </c>
      <c r="F517">
        <f t="shared" si="58"/>
        <v>34</v>
      </c>
      <c r="G517">
        <f t="shared" si="59"/>
        <v>2.57</v>
      </c>
      <c r="H517">
        <f t="shared" si="60"/>
        <v>154</v>
      </c>
      <c r="I517" s="3">
        <f t="shared" si="61"/>
        <v>116.88311688311688</v>
      </c>
      <c r="J517" t="str">
        <f t="shared" si="62"/>
        <v>F</v>
      </c>
    </row>
    <row r="518" spans="1:10" hidden="1" x14ac:dyDescent="0.25">
      <c r="A518" s="4" t="s">
        <v>13</v>
      </c>
      <c r="B518" s="1">
        <v>0.188942</v>
      </c>
      <c r="C518" s="1">
        <v>0.186422</v>
      </c>
      <c r="D518" s="1">
        <f t="shared" si="56"/>
        <v>2.5199999999999945E-3</v>
      </c>
      <c r="E518">
        <f t="shared" si="57"/>
        <v>3</v>
      </c>
      <c r="F518">
        <f t="shared" si="58"/>
        <v>38</v>
      </c>
      <c r="G518">
        <f t="shared" si="59"/>
        <v>3.63</v>
      </c>
      <c r="H518">
        <f t="shared" si="60"/>
        <v>218</v>
      </c>
      <c r="I518" s="3">
        <f t="shared" si="61"/>
        <v>82.568807339449535</v>
      </c>
      <c r="J518" t="str">
        <f t="shared" si="62"/>
        <v>F</v>
      </c>
    </row>
    <row r="519" spans="1:10" hidden="1" x14ac:dyDescent="0.25">
      <c r="A519" s="4" t="s">
        <v>14</v>
      </c>
      <c r="B519" s="1">
        <v>0.63127299999999997</v>
      </c>
      <c r="C519" s="1">
        <v>0.63441700000000001</v>
      </c>
      <c r="D519" s="1">
        <f t="shared" si="56"/>
        <v>3.1440000000000357E-3</v>
      </c>
      <c r="E519">
        <f t="shared" si="57"/>
        <v>4</v>
      </c>
      <c r="F519">
        <f t="shared" si="58"/>
        <v>32</v>
      </c>
      <c r="G519">
        <f t="shared" si="59"/>
        <v>4.53</v>
      </c>
      <c r="H519">
        <f t="shared" si="60"/>
        <v>272</v>
      </c>
      <c r="I519" s="3">
        <f t="shared" si="61"/>
        <v>66.17647058823529</v>
      </c>
      <c r="J519" t="str">
        <f t="shared" si="62"/>
        <v>F</v>
      </c>
    </row>
    <row r="520" spans="1:10" hidden="1" x14ac:dyDescent="0.25">
      <c r="A520" s="4" t="s">
        <v>15</v>
      </c>
      <c r="B520" s="1">
        <v>5.6968999999999999E-2</v>
      </c>
      <c r="C520" s="1">
        <v>5.4597E-2</v>
      </c>
      <c r="D520" s="1">
        <f t="shared" si="56"/>
        <v>2.3719999999999991E-3</v>
      </c>
      <c r="E520">
        <f t="shared" si="57"/>
        <v>3</v>
      </c>
      <c r="F520">
        <f t="shared" si="58"/>
        <v>25</v>
      </c>
      <c r="G520">
        <f t="shared" si="59"/>
        <v>3.42</v>
      </c>
      <c r="H520">
        <f t="shared" si="60"/>
        <v>205</v>
      </c>
      <c r="I520" s="3">
        <f t="shared" si="61"/>
        <v>87.804878048780495</v>
      </c>
      <c r="J520" t="str">
        <f t="shared" si="62"/>
        <v>F</v>
      </c>
    </row>
    <row r="521" spans="1:10" hidden="1" x14ac:dyDescent="0.25">
      <c r="A521" s="4" t="s">
        <v>16</v>
      </c>
      <c r="B521" s="1">
        <v>0.129272</v>
      </c>
      <c r="C521" s="1">
        <v>0.12600800000000001</v>
      </c>
      <c r="D521" s="1">
        <f t="shared" si="56"/>
        <v>3.2639999999999891E-3</v>
      </c>
      <c r="E521">
        <f t="shared" si="57"/>
        <v>4</v>
      </c>
      <c r="F521">
        <f t="shared" si="58"/>
        <v>42</v>
      </c>
      <c r="G521">
        <f t="shared" si="59"/>
        <v>4.7</v>
      </c>
      <c r="H521">
        <f t="shared" si="60"/>
        <v>282</v>
      </c>
      <c r="I521" s="3">
        <f t="shared" si="61"/>
        <v>63.829787234042556</v>
      </c>
      <c r="J521" t="str">
        <f t="shared" si="62"/>
        <v>F</v>
      </c>
    </row>
    <row r="522" spans="1:10" hidden="1" x14ac:dyDescent="0.25">
      <c r="A522" s="4" t="s">
        <v>17</v>
      </c>
      <c r="B522" s="1">
        <v>9.0898999999999994E-2</v>
      </c>
      <c r="C522" s="1">
        <v>9.3718999999999997E-2</v>
      </c>
      <c r="D522" s="1">
        <f t="shared" si="56"/>
        <v>2.8200000000000031E-3</v>
      </c>
      <c r="E522">
        <f t="shared" si="57"/>
        <v>4</v>
      </c>
      <c r="F522">
        <f t="shared" si="58"/>
        <v>4</v>
      </c>
      <c r="G522">
        <f t="shared" si="59"/>
        <v>4.07</v>
      </c>
      <c r="H522">
        <f t="shared" si="60"/>
        <v>244</v>
      </c>
      <c r="I522" s="3">
        <f t="shared" si="61"/>
        <v>73.770491803278688</v>
      </c>
      <c r="J522" t="str">
        <f t="shared" si="62"/>
        <v>F</v>
      </c>
    </row>
    <row r="523" spans="1:10" hidden="1" x14ac:dyDescent="0.25">
      <c r="A523" s="4" t="s">
        <v>18</v>
      </c>
      <c r="B523" s="1">
        <v>0.77679200000000004</v>
      </c>
      <c r="C523" s="1">
        <v>0.77528799999999998</v>
      </c>
      <c r="D523" s="1">
        <f t="shared" si="56"/>
        <v>1.5040000000000608E-3</v>
      </c>
      <c r="E523">
        <f t="shared" si="57"/>
        <v>2</v>
      </c>
      <c r="F523">
        <f t="shared" si="58"/>
        <v>10</v>
      </c>
      <c r="G523">
        <f t="shared" si="59"/>
        <v>2.17</v>
      </c>
      <c r="H523">
        <f t="shared" si="60"/>
        <v>130</v>
      </c>
      <c r="I523" s="3">
        <f t="shared" si="61"/>
        <v>138.46153846153845</v>
      </c>
      <c r="J523" t="str">
        <f t="shared" si="62"/>
        <v>F</v>
      </c>
    </row>
    <row r="524" spans="1:10" hidden="1" x14ac:dyDescent="0.25">
      <c r="A524" s="4" t="s">
        <v>19</v>
      </c>
      <c r="B524" s="1">
        <v>0.94621999999999995</v>
      </c>
      <c r="C524" s="1">
        <v>0.948376</v>
      </c>
      <c r="D524" s="1">
        <f t="shared" si="56"/>
        <v>2.1560000000000468E-3</v>
      </c>
      <c r="E524">
        <f t="shared" si="57"/>
        <v>3</v>
      </c>
      <c r="F524">
        <f t="shared" si="58"/>
        <v>6</v>
      </c>
      <c r="G524">
        <f t="shared" si="59"/>
        <v>3.1</v>
      </c>
      <c r="H524">
        <f t="shared" si="60"/>
        <v>186</v>
      </c>
      <c r="I524" s="3">
        <f t="shared" si="61"/>
        <v>96.774193548387103</v>
      </c>
      <c r="J524" t="str">
        <f t="shared" si="62"/>
        <v>F</v>
      </c>
    </row>
    <row r="525" spans="1:10" hidden="1" x14ac:dyDescent="0.25">
      <c r="A525" s="4" t="s">
        <v>20</v>
      </c>
      <c r="B525" s="1">
        <v>0.262909</v>
      </c>
      <c r="C525" s="1">
        <v>0.26447300000000001</v>
      </c>
      <c r="D525" s="1">
        <f t="shared" si="56"/>
        <v>1.5640000000000098E-3</v>
      </c>
      <c r="E525">
        <f t="shared" si="57"/>
        <v>2</v>
      </c>
      <c r="F525">
        <f t="shared" si="58"/>
        <v>15</v>
      </c>
      <c r="G525">
        <f t="shared" si="59"/>
        <v>2.25</v>
      </c>
      <c r="H525">
        <f t="shared" si="60"/>
        <v>135</v>
      </c>
      <c r="I525" s="3">
        <f t="shared" si="61"/>
        <v>133.33333333333334</v>
      </c>
      <c r="J525" t="str">
        <f t="shared" si="62"/>
        <v>F</v>
      </c>
    </row>
    <row r="526" spans="1:10" hidden="1" x14ac:dyDescent="0.25">
      <c r="A526" s="4" t="s">
        <v>21</v>
      </c>
      <c r="B526" s="1">
        <v>0.99788299999999996</v>
      </c>
      <c r="C526" s="1">
        <v>0.99948300000000001</v>
      </c>
      <c r="D526" s="1">
        <f t="shared" si="56"/>
        <v>1.6000000000000458E-3</v>
      </c>
      <c r="E526">
        <f t="shared" si="57"/>
        <v>2</v>
      </c>
      <c r="F526">
        <f t="shared" si="58"/>
        <v>18</v>
      </c>
      <c r="G526">
        <f t="shared" si="59"/>
        <v>2.2999999999999998</v>
      </c>
      <c r="H526">
        <f t="shared" si="60"/>
        <v>138</v>
      </c>
      <c r="I526" s="3">
        <f t="shared" si="61"/>
        <v>130.43478260869566</v>
      </c>
      <c r="J526" t="str">
        <f t="shared" si="62"/>
        <v>F</v>
      </c>
    </row>
    <row r="527" spans="1:10" hidden="1" x14ac:dyDescent="0.25">
      <c r="A527" s="4" t="s">
        <v>22</v>
      </c>
      <c r="B527" s="1">
        <v>0.96167100000000005</v>
      </c>
      <c r="C527" s="1">
        <v>0.95925099999999996</v>
      </c>
      <c r="D527" s="1">
        <f t="shared" si="56"/>
        <v>2.4200000000000887E-3</v>
      </c>
      <c r="E527">
        <f t="shared" si="57"/>
        <v>3</v>
      </c>
      <c r="F527">
        <f t="shared" si="58"/>
        <v>29</v>
      </c>
      <c r="G527">
        <f t="shared" si="59"/>
        <v>3.48</v>
      </c>
      <c r="H527">
        <f t="shared" si="60"/>
        <v>209</v>
      </c>
      <c r="I527" s="3">
        <f t="shared" si="61"/>
        <v>86.124401913875602</v>
      </c>
      <c r="J527" t="str">
        <f t="shared" si="62"/>
        <v>F</v>
      </c>
    </row>
    <row r="528" spans="1:10" hidden="1" x14ac:dyDescent="0.25">
      <c r="A528" s="4" t="s">
        <v>23</v>
      </c>
      <c r="B528" s="1">
        <v>0.50349999999999995</v>
      </c>
      <c r="C528" s="1">
        <v>0.50675999999999999</v>
      </c>
      <c r="D528" s="1">
        <f t="shared" si="56"/>
        <v>3.2600000000000406E-3</v>
      </c>
      <c r="E528">
        <f t="shared" si="57"/>
        <v>4</v>
      </c>
      <c r="F528">
        <f t="shared" si="58"/>
        <v>42</v>
      </c>
      <c r="G528">
        <f t="shared" si="59"/>
        <v>4.7</v>
      </c>
      <c r="H528">
        <f t="shared" si="60"/>
        <v>282</v>
      </c>
      <c r="I528" s="3">
        <f t="shared" si="61"/>
        <v>63.829787234042556</v>
      </c>
      <c r="J528" t="str">
        <f t="shared" si="62"/>
        <v>F</v>
      </c>
    </row>
    <row r="529" spans="1:10" hidden="1" x14ac:dyDescent="0.25">
      <c r="A529" s="4" t="s">
        <v>24</v>
      </c>
      <c r="B529" s="1">
        <v>0.355049</v>
      </c>
      <c r="C529" s="1">
        <v>0.358705</v>
      </c>
      <c r="D529" s="1">
        <f t="shared" si="56"/>
        <v>3.6559999999999926E-3</v>
      </c>
      <c r="E529">
        <f t="shared" si="57"/>
        <v>5</v>
      </c>
      <c r="F529">
        <f t="shared" si="58"/>
        <v>16</v>
      </c>
      <c r="G529">
        <f t="shared" si="59"/>
        <v>5.27</v>
      </c>
      <c r="H529">
        <f t="shared" si="60"/>
        <v>316</v>
      </c>
      <c r="I529" s="3">
        <f t="shared" si="61"/>
        <v>56.962025316455694</v>
      </c>
      <c r="J529" t="str">
        <f t="shared" si="62"/>
        <v>F</v>
      </c>
    </row>
    <row r="530" spans="1:10" hidden="1" x14ac:dyDescent="0.25">
      <c r="A530" s="4" t="s">
        <v>25</v>
      </c>
      <c r="B530" s="1">
        <v>0.93257800000000002</v>
      </c>
      <c r="C530" s="1">
        <v>0.92980200000000002</v>
      </c>
      <c r="D530" s="1">
        <f t="shared" si="56"/>
        <v>2.7760000000000007E-3</v>
      </c>
      <c r="E530">
        <f t="shared" si="57"/>
        <v>4</v>
      </c>
      <c r="F530">
        <f t="shared" si="58"/>
        <v>0</v>
      </c>
      <c r="G530">
        <f t="shared" si="59"/>
        <v>4</v>
      </c>
      <c r="H530">
        <f t="shared" si="60"/>
        <v>240</v>
      </c>
      <c r="I530" s="3">
        <f t="shared" si="61"/>
        <v>75</v>
      </c>
      <c r="J530" t="str">
        <f t="shared" si="62"/>
        <v>F</v>
      </c>
    </row>
    <row r="531" spans="1:10" hidden="1" x14ac:dyDescent="0.25">
      <c r="A531" s="4" t="s">
        <v>26</v>
      </c>
      <c r="B531" s="1">
        <v>0.34465099999999999</v>
      </c>
      <c r="C531" s="1">
        <v>0.347607</v>
      </c>
      <c r="D531" s="1">
        <f t="shared" si="56"/>
        <v>2.9560000000000142E-3</v>
      </c>
      <c r="E531">
        <f t="shared" si="57"/>
        <v>4</v>
      </c>
      <c r="F531">
        <f t="shared" si="58"/>
        <v>15</v>
      </c>
      <c r="G531">
        <f t="shared" si="59"/>
        <v>4.25</v>
      </c>
      <c r="H531">
        <f t="shared" si="60"/>
        <v>255</v>
      </c>
      <c r="I531" s="3">
        <f t="shared" si="61"/>
        <v>70.588235294117652</v>
      </c>
      <c r="J531" t="str">
        <f t="shared" si="62"/>
        <v>F</v>
      </c>
    </row>
    <row r="532" spans="1:10" hidden="1" x14ac:dyDescent="0.25">
      <c r="A532" s="4" t="s">
        <v>27</v>
      </c>
      <c r="B532" s="1">
        <v>0.16414500000000001</v>
      </c>
      <c r="C532" s="1">
        <v>0.16232099999999999</v>
      </c>
      <c r="D532" s="1">
        <f t="shared" si="56"/>
        <v>1.82400000000002E-3</v>
      </c>
      <c r="E532">
        <f t="shared" si="57"/>
        <v>2</v>
      </c>
      <c r="F532">
        <f t="shared" si="58"/>
        <v>38</v>
      </c>
      <c r="G532">
        <f t="shared" si="59"/>
        <v>2.63</v>
      </c>
      <c r="H532">
        <f t="shared" si="60"/>
        <v>158</v>
      </c>
      <c r="I532" s="3">
        <f t="shared" si="61"/>
        <v>113.92405063291139</v>
      </c>
      <c r="J532" t="str">
        <f t="shared" si="62"/>
        <v>F</v>
      </c>
    </row>
    <row r="533" spans="1:10" hidden="1" x14ac:dyDescent="0.25">
      <c r="A533" s="4" t="s">
        <v>28</v>
      </c>
      <c r="B533" s="1">
        <v>0.52204899999999999</v>
      </c>
      <c r="C533" s="1">
        <v>0.52420900000000004</v>
      </c>
      <c r="D533" s="1">
        <f t="shared" si="56"/>
        <v>2.1600000000000508E-3</v>
      </c>
      <c r="E533">
        <f t="shared" si="57"/>
        <v>3</v>
      </c>
      <c r="F533">
        <f t="shared" si="58"/>
        <v>7</v>
      </c>
      <c r="G533">
        <f t="shared" si="59"/>
        <v>3.12</v>
      </c>
      <c r="H533">
        <f t="shared" si="60"/>
        <v>187</v>
      </c>
      <c r="I533" s="3">
        <f t="shared" si="61"/>
        <v>96.256684491978604</v>
      </c>
      <c r="J533" t="str">
        <f t="shared" si="62"/>
        <v>F</v>
      </c>
    </row>
    <row r="534" spans="1:10" hidden="1" x14ac:dyDescent="0.25">
      <c r="A534" s="4" t="s">
        <v>29</v>
      </c>
      <c r="B534" s="1">
        <v>0.39477299999999999</v>
      </c>
      <c r="C534" s="1">
        <v>0.39140900000000001</v>
      </c>
      <c r="D534" s="1">
        <f t="shared" si="56"/>
        <v>3.3639999999999781E-3</v>
      </c>
      <c r="E534">
        <f t="shared" si="57"/>
        <v>4</v>
      </c>
      <c r="F534">
        <f t="shared" si="58"/>
        <v>51</v>
      </c>
      <c r="G534">
        <f t="shared" si="59"/>
        <v>4.8499999999999996</v>
      </c>
      <c r="H534">
        <f t="shared" si="60"/>
        <v>291</v>
      </c>
      <c r="I534" s="3">
        <f t="shared" si="61"/>
        <v>61.855670103092784</v>
      </c>
      <c r="J534" t="str">
        <f t="shared" si="62"/>
        <v>F</v>
      </c>
    </row>
    <row r="535" spans="1:10" hidden="1" x14ac:dyDescent="0.25">
      <c r="A535" s="4" t="s">
        <v>30</v>
      </c>
      <c r="B535" s="1">
        <v>0.13069600000000001</v>
      </c>
      <c r="C535" s="1">
        <v>0.134684</v>
      </c>
      <c r="D535" s="1">
        <f t="shared" si="56"/>
        <v>3.9879999999999916E-3</v>
      </c>
      <c r="E535">
        <f t="shared" si="57"/>
        <v>5</v>
      </c>
      <c r="F535">
        <f t="shared" si="58"/>
        <v>45</v>
      </c>
      <c r="G535">
        <f t="shared" si="59"/>
        <v>5.75</v>
      </c>
      <c r="H535">
        <f t="shared" si="60"/>
        <v>345</v>
      </c>
      <c r="I535" s="3">
        <f t="shared" si="61"/>
        <v>52.173913043478265</v>
      </c>
      <c r="J535" t="str">
        <f t="shared" si="62"/>
        <v>F</v>
      </c>
    </row>
    <row r="536" spans="1:10" hidden="1" x14ac:dyDescent="0.25">
      <c r="A536" s="4" t="s">
        <v>31</v>
      </c>
      <c r="B536" s="1">
        <v>0.108847</v>
      </c>
      <c r="C536" s="1">
        <v>0.105555</v>
      </c>
      <c r="D536" s="1">
        <f t="shared" si="56"/>
        <v>3.2920000000000033E-3</v>
      </c>
      <c r="E536">
        <f t="shared" si="57"/>
        <v>4</v>
      </c>
      <c r="F536">
        <f t="shared" si="58"/>
        <v>44</v>
      </c>
      <c r="G536">
        <f t="shared" si="59"/>
        <v>4.7300000000000004</v>
      </c>
      <c r="H536">
        <f t="shared" si="60"/>
        <v>284</v>
      </c>
      <c r="I536" s="3">
        <f t="shared" si="61"/>
        <v>63.380281690140848</v>
      </c>
      <c r="J536" t="str">
        <f t="shared" si="62"/>
        <v>F</v>
      </c>
    </row>
    <row r="537" spans="1:10" hidden="1" x14ac:dyDescent="0.25">
      <c r="A537" s="4" t="s">
        <v>32</v>
      </c>
      <c r="B537" s="1">
        <v>0.62104000000000004</v>
      </c>
      <c r="C537" s="1">
        <v>0.62345200000000001</v>
      </c>
      <c r="D537" s="1">
        <f t="shared" si="56"/>
        <v>2.4119999999999697E-3</v>
      </c>
      <c r="E537">
        <f t="shared" si="57"/>
        <v>3</v>
      </c>
      <c r="F537">
        <f t="shared" si="58"/>
        <v>28</v>
      </c>
      <c r="G537">
        <f t="shared" si="59"/>
        <v>3.47</v>
      </c>
      <c r="H537">
        <f t="shared" si="60"/>
        <v>208</v>
      </c>
      <c r="I537" s="3">
        <f t="shared" si="61"/>
        <v>86.538461538461533</v>
      </c>
      <c r="J537" t="str">
        <f t="shared" si="62"/>
        <v>F</v>
      </c>
    </row>
    <row r="538" spans="1:10" hidden="1" x14ac:dyDescent="0.25">
      <c r="A538" s="4" t="s">
        <v>33</v>
      </c>
      <c r="B538" s="1">
        <v>0.915269</v>
      </c>
      <c r="C538" s="1">
        <v>0.91838500000000001</v>
      </c>
      <c r="D538" s="1">
        <f t="shared" si="56"/>
        <v>3.1160000000000077E-3</v>
      </c>
      <c r="E538">
        <f t="shared" si="57"/>
        <v>4</v>
      </c>
      <c r="F538">
        <f t="shared" si="58"/>
        <v>29</v>
      </c>
      <c r="G538">
        <f t="shared" si="59"/>
        <v>4.4800000000000004</v>
      </c>
      <c r="H538">
        <f t="shared" si="60"/>
        <v>269</v>
      </c>
      <c r="I538" s="3">
        <f t="shared" si="61"/>
        <v>66.914498141263948</v>
      </c>
      <c r="J538" t="str">
        <f t="shared" si="62"/>
        <v>F</v>
      </c>
    </row>
    <row r="539" spans="1:10" hidden="1" x14ac:dyDescent="0.25">
      <c r="A539" s="4" t="s">
        <v>174</v>
      </c>
      <c r="B539" s="1">
        <v>0.39857500000000001</v>
      </c>
      <c r="C539" s="1">
        <v>0.40067900000000001</v>
      </c>
      <c r="D539" s="1">
        <f t="shared" si="56"/>
        <v>2.1039999999999948E-3</v>
      </c>
      <c r="E539">
        <f t="shared" si="57"/>
        <v>3</v>
      </c>
      <c r="F539">
        <f t="shared" si="58"/>
        <v>2</v>
      </c>
      <c r="G539">
        <f t="shared" si="59"/>
        <v>3.03</v>
      </c>
      <c r="H539">
        <f t="shared" si="60"/>
        <v>182</v>
      </c>
      <c r="I539" s="3">
        <f t="shared" si="61"/>
        <v>98.901098901098905</v>
      </c>
      <c r="J539" t="str">
        <f t="shared" si="62"/>
        <v>F</v>
      </c>
    </row>
    <row r="540" spans="1:10" hidden="1" x14ac:dyDescent="0.25">
      <c r="A540" s="4" t="s">
        <v>428</v>
      </c>
      <c r="B540" s="1">
        <v>0.67204299999999995</v>
      </c>
      <c r="C540" s="1">
        <v>0.67345100000000002</v>
      </c>
      <c r="D540" s="1">
        <f t="shared" si="56"/>
        <v>1.4080000000000759E-3</v>
      </c>
      <c r="E540">
        <f t="shared" si="57"/>
        <v>2</v>
      </c>
      <c r="F540">
        <f t="shared" si="58"/>
        <v>2</v>
      </c>
      <c r="G540">
        <f t="shared" si="59"/>
        <v>2.0299999999999998</v>
      </c>
      <c r="H540">
        <f t="shared" si="60"/>
        <v>122</v>
      </c>
      <c r="I540" s="3">
        <f t="shared" si="61"/>
        <v>147.54098360655738</v>
      </c>
      <c r="J540" t="str">
        <f t="shared" si="62"/>
        <v>F</v>
      </c>
    </row>
    <row r="541" spans="1:10" hidden="1" x14ac:dyDescent="0.25">
      <c r="A541" s="4" t="s">
        <v>35</v>
      </c>
      <c r="B541" s="1">
        <v>3.5965999999999998E-2</v>
      </c>
      <c r="C541" s="1">
        <v>3.7982000000000002E-2</v>
      </c>
      <c r="D541" s="1">
        <f t="shared" si="56"/>
        <v>2.0160000000000039E-3</v>
      </c>
      <c r="E541">
        <f t="shared" si="57"/>
        <v>2</v>
      </c>
      <c r="F541">
        <f t="shared" si="58"/>
        <v>54</v>
      </c>
      <c r="G541">
        <f t="shared" si="59"/>
        <v>2.9</v>
      </c>
      <c r="H541">
        <f t="shared" si="60"/>
        <v>174</v>
      </c>
      <c r="I541" s="3">
        <f t="shared" si="61"/>
        <v>103.44827586206897</v>
      </c>
      <c r="J541" t="str">
        <f t="shared" si="62"/>
        <v>F</v>
      </c>
    </row>
    <row r="542" spans="1:10" hidden="1" x14ac:dyDescent="0.25">
      <c r="A542" s="4" t="s">
        <v>36</v>
      </c>
      <c r="B542" s="1">
        <v>0.514571</v>
      </c>
      <c r="C542" s="1">
        <v>0.51262700000000005</v>
      </c>
      <c r="D542" s="1">
        <f t="shared" si="56"/>
        <v>1.9439999999999458E-3</v>
      </c>
      <c r="E542">
        <f t="shared" si="57"/>
        <v>2</v>
      </c>
      <c r="F542">
        <f t="shared" si="58"/>
        <v>48</v>
      </c>
      <c r="G542">
        <f t="shared" si="59"/>
        <v>2.8</v>
      </c>
      <c r="H542">
        <f t="shared" si="60"/>
        <v>168</v>
      </c>
      <c r="I542" s="3">
        <f t="shared" si="61"/>
        <v>107.14285714285714</v>
      </c>
      <c r="J542" t="str">
        <f t="shared" si="62"/>
        <v>F</v>
      </c>
    </row>
    <row r="543" spans="1:10" hidden="1" x14ac:dyDescent="0.25">
      <c r="A543" s="4" t="s">
        <v>37</v>
      </c>
      <c r="B543" s="1">
        <v>0.923041</v>
      </c>
      <c r="C543" s="1">
        <v>0.92067699999999997</v>
      </c>
      <c r="D543" s="1">
        <f t="shared" si="56"/>
        <v>2.3640000000000327E-3</v>
      </c>
      <c r="E543">
        <f t="shared" si="57"/>
        <v>3</v>
      </c>
      <c r="F543">
        <f t="shared" si="58"/>
        <v>24</v>
      </c>
      <c r="G543">
        <f t="shared" si="59"/>
        <v>3.4</v>
      </c>
      <c r="H543">
        <f t="shared" si="60"/>
        <v>204</v>
      </c>
      <c r="I543" s="3">
        <f t="shared" si="61"/>
        <v>88.235294117647072</v>
      </c>
      <c r="J543" t="str">
        <f t="shared" si="62"/>
        <v>F</v>
      </c>
    </row>
    <row r="544" spans="1:10" hidden="1" x14ac:dyDescent="0.25">
      <c r="A544" s="4" t="s">
        <v>38</v>
      </c>
      <c r="B544" s="1">
        <v>0.14195199999999999</v>
      </c>
      <c r="C544" s="1">
        <v>0.13925599999999999</v>
      </c>
      <c r="D544" s="1">
        <f t="shared" si="56"/>
        <v>2.6960000000000039E-3</v>
      </c>
      <c r="E544">
        <f t="shared" si="57"/>
        <v>3</v>
      </c>
      <c r="F544">
        <f t="shared" si="58"/>
        <v>53</v>
      </c>
      <c r="G544">
        <f t="shared" si="59"/>
        <v>3.88</v>
      </c>
      <c r="H544">
        <f t="shared" si="60"/>
        <v>233</v>
      </c>
      <c r="I544" s="3">
        <f t="shared" si="61"/>
        <v>77.253218884120173</v>
      </c>
      <c r="J544" t="str">
        <f t="shared" si="62"/>
        <v>F</v>
      </c>
    </row>
    <row r="545" spans="1:10" hidden="1" x14ac:dyDescent="0.25">
      <c r="A545" s="4" t="s">
        <v>175</v>
      </c>
      <c r="B545" s="1">
        <v>0.832403</v>
      </c>
      <c r="C545" s="1">
        <v>0.83075900000000003</v>
      </c>
      <c r="D545" s="1">
        <f t="shared" si="56"/>
        <v>1.6439999999999788E-3</v>
      </c>
      <c r="E545">
        <f t="shared" si="57"/>
        <v>2</v>
      </c>
      <c r="F545">
        <f t="shared" si="58"/>
        <v>22</v>
      </c>
      <c r="G545">
        <f t="shared" si="59"/>
        <v>2.37</v>
      </c>
      <c r="H545">
        <f t="shared" si="60"/>
        <v>142</v>
      </c>
      <c r="I545" s="3">
        <f t="shared" si="61"/>
        <v>126.7605633802817</v>
      </c>
      <c r="J545" t="str">
        <f t="shared" si="62"/>
        <v>F</v>
      </c>
    </row>
    <row r="546" spans="1:10" hidden="1" x14ac:dyDescent="0.25">
      <c r="A546" s="4" t="s">
        <v>40</v>
      </c>
      <c r="B546" s="1">
        <v>0.67679900000000004</v>
      </c>
      <c r="C546" s="1">
        <v>0.67894299999999996</v>
      </c>
      <c r="D546" s="1">
        <f t="shared" si="56"/>
        <v>2.1439999999999237E-3</v>
      </c>
      <c r="E546">
        <f t="shared" si="57"/>
        <v>3</v>
      </c>
      <c r="F546">
        <f t="shared" si="58"/>
        <v>5</v>
      </c>
      <c r="G546">
        <f t="shared" si="59"/>
        <v>3.08</v>
      </c>
      <c r="H546">
        <f t="shared" si="60"/>
        <v>185</v>
      </c>
      <c r="I546" s="3">
        <f t="shared" si="61"/>
        <v>97.297297297297291</v>
      </c>
      <c r="J546" t="str">
        <f t="shared" si="62"/>
        <v>F</v>
      </c>
    </row>
    <row r="547" spans="1:10" hidden="1" x14ac:dyDescent="0.25">
      <c r="A547" s="4" t="s">
        <v>41</v>
      </c>
      <c r="B547" s="1">
        <v>0.33540799999999998</v>
      </c>
      <c r="C547" s="1">
        <v>0.33905200000000002</v>
      </c>
      <c r="D547" s="1">
        <f t="shared" si="56"/>
        <v>3.6440000000000361E-3</v>
      </c>
      <c r="E547">
        <f t="shared" si="57"/>
        <v>5</v>
      </c>
      <c r="F547">
        <f t="shared" si="58"/>
        <v>15</v>
      </c>
      <c r="G547">
        <f t="shared" si="59"/>
        <v>5.25</v>
      </c>
      <c r="H547">
        <f t="shared" si="60"/>
        <v>315</v>
      </c>
      <c r="I547" s="3">
        <f t="shared" si="61"/>
        <v>57.142857142857146</v>
      </c>
      <c r="J547" t="str">
        <f t="shared" si="62"/>
        <v>F</v>
      </c>
    </row>
    <row r="548" spans="1:10" hidden="1" x14ac:dyDescent="0.25">
      <c r="A548" s="4" t="s">
        <v>176</v>
      </c>
      <c r="B548" s="1">
        <v>0.71115899999999999</v>
      </c>
      <c r="C548" s="1">
        <v>0.70776300000000003</v>
      </c>
      <c r="D548" s="1">
        <f t="shared" si="56"/>
        <v>3.3959999999999546E-3</v>
      </c>
      <c r="E548">
        <f t="shared" si="57"/>
        <v>4</v>
      </c>
      <c r="F548">
        <f t="shared" si="58"/>
        <v>53</v>
      </c>
      <c r="G548">
        <f t="shared" si="59"/>
        <v>4.88</v>
      </c>
      <c r="H548">
        <f t="shared" si="60"/>
        <v>293</v>
      </c>
      <c r="I548" s="3">
        <f t="shared" si="61"/>
        <v>61.43344709897611</v>
      </c>
      <c r="J548" t="str">
        <f t="shared" si="62"/>
        <v>F</v>
      </c>
    </row>
    <row r="549" spans="1:10" hidden="1" x14ac:dyDescent="0.25">
      <c r="A549" s="4" t="s">
        <v>43</v>
      </c>
      <c r="B549" s="1">
        <v>0.71188700000000005</v>
      </c>
      <c r="C549" s="1">
        <v>0.715611</v>
      </c>
      <c r="D549" s="1">
        <f t="shared" si="56"/>
        <v>3.7239999999999496E-3</v>
      </c>
      <c r="E549">
        <f t="shared" si="57"/>
        <v>5</v>
      </c>
      <c r="F549">
        <f t="shared" si="58"/>
        <v>22</v>
      </c>
      <c r="G549">
        <f t="shared" si="59"/>
        <v>5.37</v>
      </c>
      <c r="H549">
        <f t="shared" si="60"/>
        <v>322</v>
      </c>
      <c r="I549" s="3">
        <f t="shared" si="61"/>
        <v>55.900621118012424</v>
      </c>
      <c r="J549" t="str">
        <f t="shared" si="62"/>
        <v>F</v>
      </c>
    </row>
    <row r="550" spans="1:10" hidden="1" x14ac:dyDescent="0.25">
      <c r="A550" s="4" t="s">
        <v>44</v>
      </c>
      <c r="B550" s="1">
        <v>0.40304299999999998</v>
      </c>
      <c r="C550" s="1">
        <v>0.399339</v>
      </c>
      <c r="D550" s="1">
        <f t="shared" si="56"/>
        <v>3.7039999999999851E-3</v>
      </c>
      <c r="E550">
        <f t="shared" si="57"/>
        <v>5</v>
      </c>
      <c r="F550">
        <f t="shared" si="58"/>
        <v>20</v>
      </c>
      <c r="G550">
        <f t="shared" si="59"/>
        <v>5.33</v>
      </c>
      <c r="H550">
        <f t="shared" si="60"/>
        <v>320</v>
      </c>
      <c r="I550" s="3">
        <f t="shared" si="61"/>
        <v>56.25</v>
      </c>
      <c r="J550" t="str">
        <f t="shared" si="62"/>
        <v>F</v>
      </c>
    </row>
    <row r="551" spans="1:10" hidden="1" x14ac:dyDescent="0.25">
      <c r="A551" s="4" t="s">
        <v>45</v>
      </c>
      <c r="B551" s="1">
        <v>0.90539000000000003</v>
      </c>
      <c r="C551" s="1">
        <v>0.90761800000000004</v>
      </c>
      <c r="D551" s="1">
        <f t="shared" si="56"/>
        <v>2.2280000000000078E-3</v>
      </c>
      <c r="E551">
        <f t="shared" si="57"/>
        <v>3</v>
      </c>
      <c r="F551">
        <f t="shared" si="58"/>
        <v>12</v>
      </c>
      <c r="G551">
        <f t="shared" si="59"/>
        <v>3.2</v>
      </c>
      <c r="H551">
        <f t="shared" si="60"/>
        <v>192</v>
      </c>
      <c r="I551" s="3">
        <f t="shared" si="61"/>
        <v>93.75</v>
      </c>
      <c r="J551" t="str">
        <f t="shared" si="62"/>
        <v>F</v>
      </c>
    </row>
    <row r="552" spans="1:10" hidden="1" x14ac:dyDescent="0.25">
      <c r="A552" s="4" t="s">
        <v>46</v>
      </c>
      <c r="B552" s="1">
        <v>0.23264499999999999</v>
      </c>
      <c r="C552" s="1">
        <v>0.235897</v>
      </c>
      <c r="D552" s="1">
        <f t="shared" si="56"/>
        <v>3.2520000000000049E-3</v>
      </c>
      <c r="E552">
        <f t="shared" si="57"/>
        <v>4</v>
      </c>
      <c r="F552">
        <f t="shared" si="58"/>
        <v>41</v>
      </c>
      <c r="G552">
        <f t="shared" si="59"/>
        <v>4.68</v>
      </c>
      <c r="H552">
        <f t="shared" si="60"/>
        <v>281</v>
      </c>
      <c r="I552" s="3">
        <f t="shared" si="61"/>
        <v>64.056939501779354</v>
      </c>
      <c r="J552" t="str">
        <f t="shared" si="62"/>
        <v>F</v>
      </c>
    </row>
    <row r="553" spans="1:10" hidden="1" x14ac:dyDescent="0.25">
      <c r="A553" s="4" t="s">
        <v>47</v>
      </c>
      <c r="B553" s="1">
        <v>0.23163800000000001</v>
      </c>
      <c r="C553" s="1">
        <v>0.23316999999999999</v>
      </c>
      <c r="D553" s="1">
        <f t="shared" si="56"/>
        <v>1.5319999999999778E-3</v>
      </c>
      <c r="E553">
        <f t="shared" si="57"/>
        <v>2</v>
      </c>
      <c r="F553">
        <f t="shared" si="58"/>
        <v>12</v>
      </c>
      <c r="G553">
        <f t="shared" si="59"/>
        <v>2.2000000000000002</v>
      </c>
      <c r="H553">
        <f t="shared" si="60"/>
        <v>132</v>
      </c>
      <c r="I553" s="3">
        <f t="shared" si="61"/>
        <v>136.36363636363637</v>
      </c>
      <c r="J553" t="str">
        <f t="shared" si="62"/>
        <v>F</v>
      </c>
    </row>
    <row r="554" spans="1:10" hidden="1" x14ac:dyDescent="0.25">
      <c r="A554" s="4" t="s">
        <v>48</v>
      </c>
      <c r="B554" s="1">
        <v>0.53415599999999996</v>
      </c>
      <c r="C554" s="1">
        <v>0.53560399999999997</v>
      </c>
      <c r="D554" s="1">
        <f t="shared" si="56"/>
        <v>1.4480000000000048E-3</v>
      </c>
      <c r="E554">
        <f t="shared" si="57"/>
        <v>2</v>
      </c>
      <c r="F554">
        <f t="shared" si="58"/>
        <v>5</v>
      </c>
      <c r="G554">
        <f t="shared" si="59"/>
        <v>2.08</v>
      </c>
      <c r="H554">
        <f t="shared" si="60"/>
        <v>125</v>
      </c>
      <c r="I554" s="3">
        <f t="shared" si="61"/>
        <v>144</v>
      </c>
      <c r="J554" t="str">
        <f t="shared" si="62"/>
        <v>F</v>
      </c>
    </row>
    <row r="555" spans="1:10" hidden="1" x14ac:dyDescent="0.25">
      <c r="A555" s="4" t="s">
        <v>49</v>
      </c>
      <c r="B555" s="1">
        <v>0.76181600000000005</v>
      </c>
      <c r="C555" s="1">
        <v>0.75960799999999995</v>
      </c>
      <c r="D555" s="1">
        <f t="shared" si="56"/>
        <v>2.2080000000000988E-3</v>
      </c>
      <c r="E555">
        <f t="shared" si="57"/>
        <v>3</v>
      </c>
      <c r="F555">
        <f t="shared" si="58"/>
        <v>11</v>
      </c>
      <c r="G555">
        <f t="shared" si="59"/>
        <v>3.18</v>
      </c>
      <c r="H555">
        <f t="shared" si="60"/>
        <v>191</v>
      </c>
      <c r="I555" s="3">
        <f t="shared" si="61"/>
        <v>94.240837696335092</v>
      </c>
      <c r="J555" t="str">
        <f t="shared" si="62"/>
        <v>F</v>
      </c>
    </row>
    <row r="556" spans="1:10" hidden="1" x14ac:dyDescent="0.25">
      <c r="A556" s="4" t="s">
        <v>50</v>
      </c>
      <c r="B556" s="1">
        <v>0.14851200000000001</v>
      </c>
      <c r="C556" s="1">
        <v>0.14644799999999999</v>
      </c>
      <c r="D556" s="1">
        <f t="shared" si="56"/>
        <v>2.0640000000000103E-3</v>
      </c>
      <c r="E556">
        <f t="shared" si="57"/>
        <v>2</v>
      </c>
      <c r="F556">
        <f t="shared" si="58"/>
        <v>58</v>
      </c>
      <c r="G556">
        <f t="shared" si="59"/>
        <v>2.97</v>
      </c>
      <c r="H556">
        <f t="shared" si="60"/>
        <v>178</v>
      </c>
      <c r="I556" s="3">
        <f t="shared" si="61"/>
        <v>101.12359550561798</v>
      </c>
      <c r="J556" t="str">
        <f t="shared" si="62"/>
        <v>F</v>
      </c>
    </row>
    <row r="557" spans="1:10" hidden="1" x14ac:dyDescent="0.25">
      <c r="A557" s="4" t="s">
        <v>51</v>
      </c>
      <c r="B557" s="1">
        <v>0.231432</v>
      </c>
      <c r="C557" s="1">
        <v>0.22759199999999999</v>
      </c>
      <c r="D557" s="1">
        <f t="shared" si="56"/>
        <v>3.8400000000000101E-3</v>
      </c>
      <c r="E557">
        <f t="shared" si="57"/>
        <v>5</v>
      </c>
      <c r="F557">
        <f t="shared" si="58"/>
        <v>32</v>
      </c>
      <c r="G557">
        <f t="shared" si="59"/>
        <v>5.53</v>
      </c>
      <c r="H557">
        <f t="shared" si="60"/>
        <v>332</v>
      </c>
      <c r="I557" s="3">
        <f t="shared" si="61"/>
        <v>54.216867469879517</v>
      </c>
      <c r="J557" t="str">
        <f t="shared" si="62"/>
        <v>F</v>
      </c>
    </row>
    <row r="558" spans="1:10" hidden="1" x14ac:dyDescent="0.25">
      <c r="A558" s="4" t="s">
        <v>52</v>
      </c>
      <c r="B558" s="1">
        <v>0.86003499999999999</v>
      </c>
      <c r="C558" s="1">
        <v>0.85779499999999997</v>
      </c>
      <c r="D558" s="1">
        <f t="shared" si="56"/>
        <v>2.2400000000000198E-3</v>
      </c>
      <c r="E558">
        <f t="shared" si="57"/>
        <v>3</v>
      </c>
      <c r="F558">
        <f t="shared" si="58"/>
        <v>14</v>
      </c>
      <c r="G558">
        <f t="shared" si="59"/>
        <v>3.23</v>
      </c>
      <c r="H558">
        <f t="shared" si="60"/>
        <v>194</v>
      </c>
      <c r="I558" s="3">
        <f t="shared" si="61"/>
        <v>92.783505154639187</v>
      </c>
      <c r="J558" t="str">
        <f t="shared" si="62"/>
        <v>F</v>
      </c>
    </row>
    <row r="559" spans="1:10" hidden="1" x14ac:dyDescent="0.25">
      <c r="A559" s="4" t="s">
        <v>53</v>
      </c>
      <c r="B559" s="1">
        <v>0.57415799999999995</v>
      </c>
      <c r="C559" s="1">
        <v>0.57219399999999998</v>
      </c>
      <c r="D559" s="1">
        <f t="shared" si="56"/>
        <v>1.9639999999999658E-3</v>
      </c>
      <c r="E559">
        <f t="shared" si="57"/>
        <v>2</v>
      </c>
      <c r="F559">
        <f t="shared" si="58"/>
        <v>50</v>
      </c>
      <c r="G559">
        <f t="shared" si="59"/>
        <v>2.83</v>
      </c>
      <c r="H559">
        <f t="shared" si="60"/>
        <v>170</v>
      </c>
      <c r="I559" s="3">
        <f t="shared" si="61"/>
        <v>105.88235294117646</v>
      </c>
      <c r="J559" t="str">
        <f t="shared" si="62"/>
        <v>F</v>
      </c>
    </row>
    <row r="560" spans="1:10" hidden="1" x14ac:dyDescent="0.25">
      <c r="A560" s="4" t="s">
        <v>54</v>
      </c>
      <c r="B560" s="1">
        <v>0.10882</v>
      </c>
      <c r="C560" s="1">
        <v>0.104932</v>
      </c>
      <c r="D560" s="1">
        <f t="shared" si="56"/>
        <v>3.8880000000000026E-3</v>
      </c>
      <c r="E560">
        <f t="shared" si="57"/>
        <v>5</v>
      </c>
      <c r="F560">
        <f t="shared" si="58"/>
        <v>36</v>
      </c>
      <c r="G560">
        <f t="shared" si="59"/>
        <v>5.6</v>
      </c>
      <c r="H560">
        <f t="shared" si="60"/>
        <v>336</v>
      </c>
      <c r="I560" s="3">
        <f t="shared" si="61"/>
        <v>53.571428571428569</v>
      </c>
      <c r="J560" t="str">
        <f t="shared" si="62"/>
        <v>F</v>
      </c>
    </row>
    <row r="561" spans="1:10" hidden="1" x14ac:dyDescent="0.25">
      <c r="A561" s="4" t="s">
        <v>55</v>
      </c>
      <c r="B561" s="1">
        <v>0.72411499999999995</v>
      </c>
      <c r="C561" s="1">
        <v>0.72764300000000004</v>
      </c>
      <c r="D561" s="1">
        <f t="shared" si="56"/>
        <v>3.5280000000000866E-3</v>
      </c>
      <c r="E561">
        <f t="shared" si="57"/>
        <v>5</v>
      </c>
      <c r="F561">
        <f t="shared" si="58"/>
        <v>5</v>
      </c>
      <c r="G561">
        <f t="shared" si="59"/>
        <v>5.08</v>
      </c>
      <c r="H561">
        <f t="shared" si="60"/>
        <v>305</v>
      </c>
      <c r="I561" s="3">
        <f t="shared" si="61"/>
        <v>59.016393442622956</v>
      </c>
      <c r="J561" t="str">
        <f t="shared" si="62"/>
        <v>F</v>
      </c>
    </row>
    <row r="562" spans="1:10" hidden="1" x14ac:dyDescent="0.25">
      <c r="A562" s="4" t="s">
        <v>56</v>
      </c>
      <c r="B562" s="1">
        <v>0.45928099999999999</v>
      </c>
      <c r="C562" s="1">
        <v>0.45549299999999998</v>
      </c>
      <c r="D562" s="1">
        <f t="shared" si="56"/>
        <v>3.7880000000000136E-3</v>
      </c>
      <c r="E562">
        <f t="shared" si="57"/>
        <v>5</v>
      </c>
      <c r="F562">
        <f t="shared" si="58"/>
        <v>27</v>
      </c>
      <c r="G562">
        <f t="shared" si="59"/>
        <v>5.45</v>
      </c>
      <c r="H562">
        <f t="shared" si="60"/>
        <v>327</v>
      </c>
      <c r="I562" s="3">
        <f t="shared" si="61"/>
        <v>55.045871559633028</v>
      </c>
      <c r="J562" t="str">
        <f t="shared" si="62"/>
        <v>F</v>
      </c>
    </row>
    <row r="563" spans="1:10" hidden="1" x14ac:dyDescent="0.25">
      <c r="A563" s="4" t="s">
        <v>57</v>
      </c>
      <c r="B563" s="1">
        <v>0.99172199999999999</v>
      </c>
      <c r="C563" s="1">
        <v>0.99490199999999995</v>
      </c>
      <c r="D563" s="1">
        <f t="shared" si="56"/>
        <v>3.1799999999999606E-3</v>
      </c>
      <c r="E563">
        <f t="shared" si="57"/>
        <v>4</v>
      </c>
      <c r="F563">
        <f t="shared" si="58"/>
        <v>35</v>
      </c>
      <c r="G563">
        <f t="shared" si="59"/>
        <v>4.58</v>
      </c>
      <c r="H563">
        <f t="shared" si="60"/>
        <v>275</v>
      </c>
      <c r="I563" s="3">
        <f t="shared" si="61"/>
        <v>65.454545454545453</v>
      </c>
      <c r="J563" t="str">
        <f t="shared" si="62"/>
        <v>F</v>
      </c>
    </row>
    <row r="564" spans="1:10" hidden="1" x14ac:dyDescent="0.25">
      <c r="A564" s="4" t="s">
        <v>58</v>
      </c>
      <c r="B564" s="1">
        <v>0.90173300000000001</v>
      </c>
      <c r="C564" s="1">
        <v>0.905613</v>
      </c>
      <c r="D564" s="1">
        <f t="shared" si="56"/>
        <v>3.8799999999999946E-3</v>
      </c>
      <c r="E564">
        <f t="shared" si="57"/>
        <v>5</v>
      </c>
      <c r="F564">
        <f t="shared" si="58"/>
        <v>35</v>
      </c>
      <c r="G564">
        <f t="shared" si="59"/>
        <v>5.58</v>
      </c>
      <c r="H564">
        <f t="shared" si="60"/>
        <v>335</v>
      </c>
      <c r="I564" s="3">
        <f t="shared" si="61"/>
        <v>53.731343283582092</v>
      </c>
      <c r="J564" t="str">
        <f t="shared" si="62"/>
        <v>F</v>
      </c>
    </row>
    <row r="565" spans="1:10" hidden="1" x14ac:dyDescent="0.25">
      <c r="A565" s="4" t="s">
        <v>59</v>
      </c>
      <c r="B565" s="1">
        <v>0.99075100000000005</v>
      </c>
      <c r="C565" s="1">
        <v>0.98880699999999999</v>
      </c>
      <c r="D565" s="1">
        <f t="shared" si="56"/>
        <v>1.9440000000000568E-3</v>
      </c>
      <c r="E565">
        <f t="shared" si="57"/>
        <v>2</v>
      </c>
      <c r="F565">
        <f t="shared" si="58"/>
        <v>48</v>
      </c>
      <c r="G565">
        <f t="shared" si="59"/>
        <v>2.8</v>
      </c>
      <c r="H565">
        <f t="shared" si="60"/>
        <v>168</v>
      </c>
      <c r="I565" s="3">
        <f t="shared" si="61"/>
        <v>107.14285714285714</v>
      </c>
      <c r="J565" t="str">
        <f t="shared" si="62"/>
        <v>F</v>
      </c>
    </row>
    <row r="566" spans="1:10" hidden="1" x14ac:dyDescent="0.25">
      <c r="A566" s="4" t="s">
        <v>60</v>
      </c>
      <c r="B566" s="1">
        <v>0.71294500000000005</v>
      </c>
      <c r="C566" s="1">
        <v>0.716229</v>
      </c>
      <c r="D566" s="1">
        <f t="shared" si="56"/>
        <v>3.2839999999999536E-3</v>
      </c>
      <c r="E566">
        <f t="shared" si="57"/>
        <v>4</v>
      </c>
      <c r="F566">
        <f t="shared" si="58"/>
        <v>44</v>
      </c>
      <c r="G566">
        <f t="shared" si="59"/>
        <v>4.7300000000000004</v>
      </c>
      <c r="H566">
        <f t="shared" si="60"/>
        <v>284</v>
      </c>
      <c r="I566" s="3">
        <f t="shared" si="61"/>
        <v>63.380281690140848</v>
      </c>
      <c r="J566" t="str">
        <f t="shared" si="62"/>
        <v>F</v>
      </c>
    </row>
    <row r="567" spans="1:10" hidden="1" x14ac:dyDescent="0.25">
      <c r="A567" s="4" t="s">
        <v>61</v>
      </c>
      <c r="B567" s="1">
        <v>0.25781799999999999</v>
      </c>
      <c r="C567" s="1">
        <v>0.25594600000000001</v>
      </c>
      <c r="D567" s="1">
        <f t="shared" si="56"/>
        <v>1.8719999999999848E-3</v>
      </c>
      <c r="E567">
        <f t="shared" si="57"/>
        <v>2</v>
      </c>
      <c r="F567">
        <f t="shared" si="58"/>
        <v>42</v>
      </c>
      <c r="G567">
        <f t="shared" si="59"/>
        <v>2.7</v>
      </c>
      <c r="H567">
        <f t="shared" si="60"/>
        <v>162</v>
      </c>
      <c r="I567" s="3">
        <f t="shared" si="61"/>
        <v>111.11111111111111</v>
      </c>
      <c r="J567" t="str">
        <f t="shared" si="62"/>
        <v>F</v>
      </c>
    </row>
    <row r="568" spans="1:10" hidden="1" x14ac:dyDescent="0.25">
      <c r="A568" s="4" t="s">
        <v>62</v>
      </c>
      <c r="B568" s="1">
        <v>8.6955000000000005E-2</v>
      </c>
      <c r="C568" s="1">
        <v>8.5378999999999997E-2</v>
      </c>
      <c r="D568" s="1">
        <f t="shared" si="56"/>
        <v>1.576000000000008E-3</v>
      </c>
      <c r="E568">
        <f t="shared" si="57"/>
        <v>2</v>
      </c>
      <c r="F568">
        <f t="shared" si="58"/>
        <v>16</v>
      </c>
      <c r="G568">
        <f t="shared" si="59"/>
        <v>2.27</v>
      </c>
      <c r="H568">
        <f t="shared" si="60"/>
        <v>136</v>
      </c>
      <c r="I568" s="3">
        <f t="shared" si="61"/>
        <v>132.35294117647058</v>
      </c>
      <c r="J568" t="str">
        <f t="shared" si="62"/>
        <v>F</v>
      </c>
    </row>
    <row r="569" spans="1:10" hidden="1" x14ac:dyDescent="0.25">
      <c r="A569" s="4" t="s">
        <v>63</v>
      </c>
      <c r="B569" s="1">
        <v>0.35100700000000001</v>
      </c>
      <c r="C569" s="1">
        <v>0.35246300000000003</v>
      </c>
      <c r="D569" s="1">
        <f t="shared" si="56"/>
        <v>1.4560000000000128E-3</v>
      </c>
      <c r="E569">
        <f t="shared" si="57"/>
        <v>2</v>
      </c>
      <c r="F569">
        <f t="shared" si="58"/>
        <v>6</v>
      </c>
      <c r="G569">
        <f t="shared" si="59"/>
        <v>2.1</v>
      </c>
      <c r="H569">
        <f t="shared" si="60"/>
        <v>126</v>
      </c>
      <c r="I569" s="3">
        <f t="shared" si="61"/>
        <v>142.85714285714286</v>
      </c>
      <c r="J569" t="str">
        <f t="shared" si="62"/>
        <v>F</v>
      </c>
    </row>
    <row r="570" spans="1:10" hidden="1" x14ac:dyDescent="0.25">
      <c r="A570" s="4" t="s">
        <v>64</v>
      </c>
      <c r="B570" s="1">
        <v>0.82595300000000005</v>
      </c>
      <c r="C570" s="1">
        <v>0.82917700000000005</v>
      </c>
      <c r="D570" s="1">
        <f t="shared" si="56"/>
        <v>3.2240000000000046E-3</v>
      </c>
      <c r="E570">
        <f t="shared" si="57"/>
        <v>4</v>
      </c>
      <c r="F570">
        <f t="shared" si="58"/>
        <v>39</v>
      </c>
      <c r="G570">
        <f t="shared" si="59"/>
        <v>4.6500000000000004</v>
      </c>
      <c r="H570">
        <f t="shared" si="60"/>
        <v>279</v>
      </c>
      <c r="I570" s="3">
        <f t="shared" si="61"/>
        <v>64.516129032258064</v>
      </c>
      <c r="J570" t="str">
        <f t="shared" si="62"/>
        <v>F</v>
      </c>
    </row>
    <row r="571" spans="1:10" hidden="1" x14ac:dyDescent="0.25">
      <c r="A571" s="4" t="s">
        <v>65</v>
      </c>
      <c r="B571" s="1">
        <v>0.55854400000000004</v>
      </c>
      <c r="C571" s="1">
        <v>0.55462400000000001</v>
      </c>
      <c r="D571" s="1">
        <f t="shared" si="56"/>
        <v>3.9200000000000346E-3</v>
      </c>
      <c r="E571">
        <f t="shared" si="57"/>
        <v>5</v>
      </c>
      <c r="F571">
        <f t="shared" si="58"/>
        <v>39</v>
      </c>
      <c r="G571">
        <f t="shared" si="59"/>
        <v>5.65</v>
      </c>
      <c r="H571">
        <f t="shared" si="60"/>
        <v>339</v>
      </c>
      <c r="I571" s="3">
        <f t="shared" si="61"/>
        <v>53.097345132743364</v>
      </c>
      <c r="J571" t="str">
        <f t="shared" si="62"/>
        <v>F</v>
      </c>
    </row>
    <row r="572" spans="1:10" hidden="1" x14ac:dyDescent="0.25">
      <c r="A572" s="4" t="s">
        <v>66</v>
      </c>
      <c r="B572" s="1">
        <v>0.21590100000000001</v>
      </c>
      <c r="C572" s="1">
        <v>0.21798100000000001</v>
      </c>
      <c r="D572" s="1">
        <f t="shared" si="56"/>
        <v>2.0799999999999985E-3</v>
      </c>
      <c r="E572">
        <f t="shared" si="57"/>
        <v>3</v>
      </c>
      <c r="F572">
        <f t="shared" si="58"/>
        <v>0</v>
      </c>
      <c r="G572">
        <f t="shared" si="59"/>
        <v>3</v>
      </c>
      <c r="H572">
        <f t="shared" si="60"/>
        <v>180</v>
      </c>
      <c r="I572" s="3">
        <f t="shared" si="61"/>
        <v>100</v>
      </c>
      <c r="J572" t="str">
        <f t="shared" si="62"/>
        <v>F</v>
      </c>
    </row>
    <row r="573" spans="1:10" hidden="1" x14ac:dyDescent="0.25">
      <c r="A573" s="4" t="s">
        <v>67</v>
      </c>
      <c r="B573" s="1">
        <v>0.859155</v>
      </c>
      <c r="C573" s="1">
        <v>0.85716700000000001</v>
      </c>
      <c r="D573" s="1">
        <f t="shared" si="56"/>
        <v>1.9879999999999898E-3</v>
      </c>
      <c r="E573">
        <f t="shared" si="57"/>
        <v>2</v>
      </c>
      <c r="F573">
        <f t="shared" si="58"/>
        <v>52</v>
      </c>
      <c r="G573">
        <f t="shared" si="59"/>
        <v>2.87</v>
      </c>
      <c r="H573">
        <f t="shared" si="60"/>
        <v>172</v>
      </c>
      <c r="I573" s="3">
        <f t="shared" si="61"/>
        <v>104.65116279069768</v>
      </c>
      <c r="J573" t="str">
        <f t="shared" si="62"/>
        <v>F</v>
      </c>
    </row>
    <row r="574" spans="1:10" hidden="1" x14ac:dyDescent="0.25">
      <c r="A574" s="4" t="s">
        <v>68</v>
      </c>
      <c r="B574" s="1">
        <v>0.67446200000000001</v>
      </c>
      <c r="C574" s="1">
        <v>0.67788999999999999</v>
      </c>
      <c r="D574" s="1">
        <f t="shared" si="56"/>
        <v>3.4279999999999866E-3</v>
      </c>
      <c r="E574">
        <f t="shared" si="57"/>
        <v>4</v>
      </c>
      <c r="F574">
        <f t="shared" si="58"/>
        <v>56</v>
      </c>
      <c r="G574">
        <f t="shared" si="59"/>
        <v>4.93</v>
      </c>
      <c r="H574">
        <f t="shared" si="60"/>
        <v>296</v>
      </c>
      <c r="I574" s="3">
        <f t="shared" si="61"/>
        <v>60.810810810810807</v>
      </c>
      <c r="J574" t="str">
        <f t="shared" si="62"/>
        <v>F</v>
      </c>
    </row>
    <row r="575" spans="1:10" hidden="1" x14ac:dyDescent="0.25">
      <c r="A575" s="4" t="s">
        <v>69</v>
      </c>
      <c r="B575" s="1">
        <v>0.47924800000000001</v>
      </c>
      <c r="C575" s="1">
        <v>0.47626000000000002</v>
      </c>
      <c r="D575" s="1">
        <f t="shared" si="56"/>
        <v>2.9879999999999907E-3</v>
      </c>
      <c r="E575">
        <f t="shared" si="57"/>
        <v>4</v>
      </c>
      <c r="F575">
        <f t="shared" si="58"/>
        <v>18</v>
      </c>
      <c r="G575">
        <f t="shared" si="59"/>
        <v>4.3</v>
      </c>
      <c r="H575">
        <f t="shared" si="60"/>
        <v>258</v>
      </c>
      <c r="I575" s="3">
        <f t="shared" si="61"/>
        <v>69.767441860465112</v>
      </c>
      <c r="J575" t="str">
        <f t="shared" si="62"/>
        <v>F</v>
      </c>
    </row>
    <row r="576" spans="1:10" hidden="1" x14ac:dyDescent="0.25">
      <c r="A576" s="4" t="s">
        <v>70</v>
      </c>
      <c r="B576" s="1">
        <v>0.51831700000000003</v>
      </c>
      <c r="C576" s="1">
        <v>0.52147299999999996</v>
      </c>
      <c r="D576" s="1">
        <f t="shared" si="56"/>
        <v>3.1559999999999366E-3</v>
      </c>
      <c r="E576">
        <f t="shared" si="57"/>
        <v>4</v>
      </c>
      <c r="F576">
        <f t="shared" si="58"/>
        <v>33</v>
      </c>
      <c r="G576">
        <f t="shared" si="59"/>
        <v>4.55</v>
      </c>
      <c r="H576">
        <f t="shared" si="60"/>
        <v>273</v>
      </c>
      <c r="I576" s="3">
        <f t="shared" si="61"/>
        <v>65.934065934065927</v>
      </c>
      <c r="J576" t="str">
        <f t="shared" si="62"/>
        <v>F</v>
      </c>
    </row>
    <row r="577" spans="1:10" hidden="1" x14ac:dyDescent="0.25">
      <c r="A577" s="4" t="s">
        <v>71</v>
      </c>
      <c r="B577" s="1">
        <v>0.69348799999999999</v>
      </c>
      <c r="C577" s="1">
        <v>0.69093599999999999</v>
      </c>
      <c r="D577" s="1">
        <f t="shared" si="56"/>
        <v>2.5519999999999987E-3</v>
      </c>
      <c r="E577">
        <f t="shared" si="57"/>
        <v>3</v>
      </c>
      <c r="F577">
        <f t="shared" si="58"/>
        <v>40</v>
      </c>
      <c r="G577">
        <f t="shared" si="59"/>
        <v>3.67</v>
      </c>
      <c r="H577">
        <f t="shared" si="60"/>
        <v>220</v>
      </c>
      <c r="I577" s="3">
        <f t="shared" si="61"/>
        <v>81.818181818181813</v>
      </c>
      <c r="J577" t="str">
        <f t="shared" si="62"/>
        <v>F</v>
      </c>
    </row>
    <row r="578" spans="1:10" hidden="1" x14ac:dyDescent="0.25">
      <c r="A578" s="4" t="s">
        <v>72</v>
      </c>
      <c r="B578" s="1">
        <v>0.145533</v>
      </c>
      <c r="C578" s="1">
        <v>0.14855299999999999</v>
      </c>
      <c r="D578" s="1">
        <f t="shared" si="56"/>
        <v>3.0199999999999949E-3</v>
      </c>
      <c r="E578">
        <f t="shared" si="57"/>
        <v>4</v>
      </c>
      <c r="F578">
        <f t="shared" si="58"/>
        <v>21</v>
      </c>
      <c r="G578">
        <f t="shared" si="59"/>
        <v>4.3499999999999996</v>
      </c>
      <c r="H578">
        <f t="shared" si="60"/>
        <v>261</v>
      </c>
      <c r="I578" s="3">
        <f t="shared" si="61"/>
        <v>68.965517241379303</v>
      </c>
      <c r="J578" t="str">
        <f t="shared" si="62"/>
        <v>F</v>
      </c>
    </row>
    <row r="579" spans="1:10" hidden="1" x14ac:dyDescent="0.25">
      <c r="A579" s="4" t="s">
        <v>73</v>
      </c>
      <c r="B579" s="1">
        <v>0.94866899999999998</v>
      </c>
      <c r="C579" s="1">
        <v>0.950569</v>
      </c>
      <c r="D579" s="1">
        <f t="shared" ref="D579:D642" si="63">IF(B579&gt;C579,B579-C579,C579-B579)</f>
        <v>1.9000000000000128E-3</v>
      </c>
      <c r="E579">
        <f t="shared" ref="E579:E642" si="64">MINUTE(D579)</f>
        <v>2</v>
      </c>
      <c r="F579">
        <f t="shared" ref="F579:F642" si="65">SECOND(D579)</f>
        <v>44</v>
      </c>
      <c r="G579">
        <f t="shared" ref="G579:G642" si="66">ROUND(E579+F579/60,2)</f>
        <v>2.73</v>
      </c>
      <c r="H579">
        <f t="shared" ref="H579:H642" si="67">60*E579+F579</f>
        <v>164</v>
      </c>
      <c r="I579" s="3">
        <f t="shared" ref="I579:I642" si="68">5*(3600/H579)</f>
        <v>109.75609756097562</v>
      </c>
      <c r="J579" t="str">
        <f t="shared" ref="J579:J642" si="69">IF(MID(A579,3,2)="18","T","F")</f>
        <v>F</v>
      </c>
    </row>
    <row r="580" spans="1:10" hidden="1" x14ac:dyDescent="0.25">
      <c r="A580" s="4" t="s">
        <v>74</v>
      </c>
      <c r="B580" s="1">
        <v>0.61492599999999997</v>
      </c>
      <c r="C580" s="1">
        <v>0.61283799999999999</v>
      </c>
      <c r="D580" s="1">
        <f t="shared" si="63"/>
        <v>2.0879999999999788E-3</v>
      </c>
      <c r="E580">
        <f t="shared" si="64"/>
        <v>3</v>
      </c>
      <c r="F580">
        <f t="shared" si="65"/>
        <v>0</v>
      </c>
      <c r="G580">
        <f t="shared" si="66"/>
        <v>3</v>
      </c>
      <c r="H580">
        <f t="shared" si="67"/>
        <v>180</v>
      </c>
      <c r="I580" s="3">
        <f t="shared" si="68"/>
        <v>100</v>
      </c>
      <c r="J580" t="str">
        <f t="shared" si="69"/>
        <v>F</v>
      </c>
    </row>
    <row r="581" spans="1:10" hidden="1" x14ac:dyDescent="0.25">
      <c r="A581" s="4" t="s">
        <v>75</v>
      </c>
      <c r="B581" s="1">
        <v>0.80092399999999997</v>
      </c>
      <c r="C581" s="1">
        <v>0.79910400000000004</v>
      </c>
      <c r="D581" s="1">
        <f t="shared" si="63"/>
        <v>1.8199999999999328E-3</v>
      </c>
      <c r="E581">
        <f t="shared" si="64"/>
        <v>2</v>
      </c>
      <c r="F581">
        <f t="shared" si="65"/>
        <v>37</v>
      </c>
      <c r="G581">
        <f t="shared" si="66"/>
        <v>2.62</v>
      </c>
      <c r="H581">
        <f t="shared" si="67"/>
        <v>157</v>
      </c>
      <c r="I581" s="3">
        <f t="shared" si="68"/>
        <v>114.64968152866241</v>
      </c>
      <c r="J581" t="str">
        <f t="shared" si="69"/>
        <v>F</v>
      </c>
    </row>
    <row r="582" spans="1:10" hidden="1" x14ac:dyDescent="0.25">
      <c r="A582" s="4" t="s">
        <v>76</v>
      </c>
      <c r="B582" s="1">
        <v>0.80892299999999995</v>
      </c>
      <c r="C582" s="1">
        <v>0.806979</v>
      </c>
      <c r="D582" s="1">
        <f t="shared" si="63"/>
        <v>1.9439999999999458E-3</v>
      </c>
      <c r="E582">
        <f t="shared" si="64"/>
        <v>2</v>
      </c>
      <c r="F582">
        <f t="shared" si="65"/>
        <v>48</v>
      </c>
      <c r="G582">
        <f t="shared" si="66"/>
        <v>2.8</v>
      </c>
      <c r="H582">
        <f t="shared" si="67"/>
        <v>168</v>
      </c>
      <c r="I582" s="3">
        <f t="shared" si="68"/>
        <v>107.14285714285714</v>
      </c>
      <c r="J582" t="str">
        <f t="shared" si="69"/>
        <v>F</v>
      </c>
    </row>
    <row r="583" spans="1:10" hidden="1" x14ac:dyDescent="0.25">
      <c r="A583" s="4" t="s">
        <v>77</v>
      </c>
      <c r="B583" s="1">
        <v>2.6912999999999999E-2</v>
      </c>
      <c r="C583" s="1">
        <v>2.9256999999999998E-2</v>
      </c>
      <c r="D583" s="1">
        <f t="shared" si="63"/>
        <v>2.3439999999999989E-3</v>
      </c>
      <c r="E583">
        <f t="shared" si="64"/>
        <v>3</v>
      </c>
      <c r="F583">
        <f t="shared" si="65"/>
        <v>23</v>
      </c>
      <c r="G583">
        <f t="shared" si="66"/>
        <v>3.38</v>
      </c>
      <c r="H583">
        <f t="shared" si="67"/>
        <v>203</v>
      </c>
      <c r="I583" s="3">
        <f t="shared" si="68"/>
        <v>88.66995073891627</v>
      </c>
      <c r="J583" t="str">
        <f t="shared" si="69"/>
        <v>F</v>
      </c>
    </row>
    <row r="584" spans="1:10" hidden="1" x14ac:dyDescent="0.25">
      <c r="A584" s="4" t="s">
        <v>78</v>
      </c>
      <c r="B584" s="1">
        <v>0.84384199999999998</v>
      </c>
      <c r="C584" s="1">
        <v>0.845642</v>
      </c>
      <c r="D584" s="1">
        <f t="shared" si="63"/>
        <v>1.8000000000000238E-3</v>
      </c>
      <c r="E584">
        <f t="shared" si="64"/>
        <v>2</v>
      </c>
      <c r="F584">
        <f t="shared" si="65"/>
        <v>36</v>
      </c>
      <c r="G584">
        <f t="shared" si="66"/>
        <v>2.6</v>
      </c>
      <c r="H584">
        <f t="shared" si="67"/>
        <v>156</v>
      </c>
      <c r="I584" s="3">
        <f t="shared" si="68"/>
        <v>115.38461538461539</v>
      </c>
      <c r="J584" t="str">
        <f t="shared" si="69"/>
        <v>F</v>
      </c>
    </row>
    <row r="585" spans="1:10" hidden="1" x14ac:dyDescent="0.25">
      <c r="A585" s="4" t="s">
        <v>79</v>
      </c>
      <c r="B585" s="1">
        <v>0.81873700000000005</v>
      </c>
      <c r="C585" s="1">
        <v>0.82059300000000002</v>
      </c>
      <c r="D585" s="1">
        <f t="shared" si="63"/>
        <v>1.8559999999999688E-3</v>
      </c>
      <c r="E585">
        <f t="shared" si="64"/>
        <v>2</v>
      </c>
      <c r="F585">
        <f t="shared" si="65"/>
        <v>40</v>
      </c>
      <c r="G585">
        <f t="shared" si="66"/>
        <v>2.67</v>
      </c>
      <c r="H585">
        <f t="shared" si="67"/>
        <v>160</v>
      </c>
      <c r="I585" s="3">
        <f t="shared" si="68"/>
        <v>112.5</v>
      </c>
      <c r="J585" t="str">
        <f t="shared" si="69"/>
        <v>F</v>
      </c>
    </row>
    <row r="586" spans="1:10" hidden="1" x14ac:dyDescent="0.25">
      <c r="A586" s="4" t="s">
        <v>80</v>
      </c>
      <c r="B586" s="1">
        <v>0.77809700000000004</v>
      </c>
      <c r="C586" s="1">
        <v>0.77524899999999997</v>
      </c>
      <c r="D586" s="1">
        <f t="shared" si="63"/>
        <v>2.8480000000000727E-3</v>
      </c>
      <c r="E586">
        <f t="shared" si="64"/>
        <v>4</v>
      </c>
      <c r="F586">
        <f t="shared" si="65"/>
        <v>6</v>
      </c>
      <c r="G586">
        <f t="shared" si="66"/>
        <v>4.0999999999999996</v>
      </c>
      <c r="H586">
        <f t="shared" si="67"/>
        <v>246</v>
      </c>
      <c r="I586" s="3">
        <f t="shared" si="68"/>
        <v>73.170731707317074</v>
      </c>
      <c r="J586" t="str">
        <f t="shared" si="69"/>
        <v>F</v>
      </c>
    </row>
    <row r="587" spans="1:10" hidden="1" x14ac:dyDescent="0.25">
      <c r="A587" s="4" t="s">
        <v>81</v>
      </c>
      <c r="B587" s="1">
        <v>0.83649600000000002</v>
      </c>
      <c r="C587" s="1">
        <v>0.83909599999999995</v>
      </c>
      <c r="D587" s="1">
        <f t="shared" si="63"/>
        <v>2.5999999999999357E-3</v>
      </c>
      <c r="E587">
        <f t="shared" si="64"/>
        <v>3</v>
      </c>
      <c r="F587">
        <f t="shared" si="65"/>
        <v>45</v>
      </c>
      <c r="G587">
        <f t="shared" si="66"/>
        <v>3.75</v>
      </c>
      <c r="H587">
        <f t="shared" si="67"/>
        <v>225</v>
      </c>
      <c r="I587" s="3">
        <f t="shared" si="68"/>
        <v>80</v>
      </c>
      <c r="J587" t="str">
        <f t="shared" si="69"/>
        <v>F</v>
      </c>
    </row>
    <row r="588" spans="1:10" hidden="1" x14ac:dyDescent="0.25">
      <c r="A588" s="4" t="s">
        <v>82</v>
      </c>
      <c r="B588" s="1">
        <v>0.63863800000000004</v>
      </c>
      <c r="C588" s="1">
        <v>0.64251000000000003</v>
      </c>
      <c r="D588" s="1">
        <f t="shared" si="63"/>
        <v>3.8719999999999866E-3</v>
      </c>
      <c r="E588">
        <f t="shared" si="64"/>
        <v>5</v>
      </c>
      <c r="F588">
        <f t="shared" si="65"/>
        <v>35</v>
      </c>
      <c r="G588">
        <f t="shared" si="66"/>
        <v>5.58</v>
      </c>
      <c r="H588">
        <f t="shared" si="67"/>
        <v>335</v>
      </c>
      <c r="I588" s="3">
        <f t="shared" si="68"/>
        <v>53.731343283582092</v>
      </c>
      <c r="J588" t="str">
        <f t="shared" si="69"/>
        <v>F</v>
      </c>
    </row>
    <row r="589" spans="1:10" hidden="1" x14ac:dyDescent="0.25">
      <c r="A589" s="4" t="s">
        <v>83</v>
      </c>
      <c r="B589" s="1">
        <v>0.43880400000000003</v>
      </c>
      <c r="C589" s="1">
        <v>0.435784</v>
      </c>
      <c r="D589" s="1">
        <f t="shared" si="63"/>
        <v>3.0200000000000227E-3</v>
      </c>
      <c r="E589">
        <f t="shared" si="64"/>
        <v>4</v>
      </c>
      <c r="F589">
        <f t="shared" si="65"/>
        <v>21</v>
      </c>
      <c r="G589">
        <f t="shared" si="66"/>
        <v>4.3499999999999996</v>
      </c>
      <c r="H589">
        <f t="shared" si="67"/>
        <v>261</v>
      </c>
      <c r="I589" s="3">
        <f t="shared" si="68"/>
        <v>68.965517241379303</v>
      </c>
      <c r="J589" t="str">
        <f t="shared" si="69"/>
        <v>F</v>
      </c>
    </row>
    <row r="590" spans="1:10" hidden="1" x14ac:dyDescent="0.25">
      <c r="A590" s="4" t="s">
        <v>84</v>
      </c>
      <c r="B590" s="1">
        <v>0.20413700000000001</v>
      </c>
      <c r="C590" s="1">
        <v>0.20184099999999999</v>
      </c>
      <c r="D590" s="1">
        <f t="shared" si="63"/>
        <v>2.2960000000000202E-3</v>
      </c>
      <c r="E590">
        <f t="shared" si="64"/>
        <v>3</v>
      </c>
      <c r="F590">
        <f t="shared" si="65"/>
        <v>18</v>
      </c>
      <c r="G590">
        <f t="shared" si="66"/>
        <v>3.3</v>
      </c>
      <c r="H590">
        <f t="shared" si="67"/>
        <v>198</v>
      </c>
      <c r="I590" s="3">
        <f t="shared" si="68"/>
        <v>90.909090909090921</v>
      </c>
      <c r="J590" t="str">
        <f t="shared" si="69"/>
        <v>F</v>
      </c>
    </row>
    <row r="591" spans="1:10" hidden="1" x14ac:dyDescent="0.25">
      <c r="A591" s="4" t="s">
        <v>85</v>
      </c>
      <c r="B591" s="1">
        <v>0.88788900000000004</v>
      </c>
      <c r="C591" s="1">
        <v>0.88389300000000004</v>
      </c>
      <c r="D591" s="1">
        <f t="shared" si="63"/>
        <v>3.9959999999999996E-3</v>
      </c>
      <c r="E591">
        <f t="shared" si="64"/>
        <v>5</v>
      </c>
      <c r="F591">
        <f t="shared" si="65"/>
        <v>45</v>
      </c>
      <c r="G591">
        <f t="shared" si="66"/>
        <v>5.75</v>
      </c>
      <c r="H591">
        <f t="shared" si="67"/>
        <v>345</v>
      </c>
      <c r="I591" s="3">
        <f t="shared" si="68"/>
        <v>52.173913043478265</v>
      </c>
      <c r="J591" t="str">
        <f t="shared" si="69"/>
        <v>F</v>
      </c>
    </row>
    <row r="592" spans="1:10" x14ac:dyDescent="0.25">
      <c r="A592" s="7" t="s">
        <v>177</v>
      </c>
      <c r="B592" s="1">
        <v>0.96728700000000001</v>
      </c>
      <c r="C592" s="1">
        <v>0.97079099999999996</v>
      </c>
      <c r="D592" s="1">
        <f t="shared" si="63"/>
        <v>3.5039999999999516E-3</v>
      </c>
      <c r="E592">
        <f t="shared" si="64"/>
        <v>5</v>
      </c>
      <c r="F592">
        <f t="shared" si="65"/>
        <v>3</v>
      </c>
      <c r="G592">
        <f t="shared" si="66"/>
        <v>5.05</v>
      </c>
      <c r="H592">
        <f t="shared" si="67"/>
        <v>303</v>
      </c>
      <c r="I592" s="6">
        <f t="shared" si="68"/>
        <v>59.405940594059402</v>
      </c>
      <c r="J592" t="str">
        <f t="shared" si="69"/>
        <v>T</v>
      </c>
    </row>
    <row r="593" spans="1:10" hidden="1" x14ac:dyDescent="0.25">
      <c r="A593" s="4" t="s">
        <v>87</v>
      </c>
      <c r="B593" s="1">
        <v>0.121395</v>
      </c>
      <c r="C593" s="1">
        <v>0.124755</v>
      </c>
      <c r="D593" s="1">
        <f t="shared" si="63"/>
        <v>3.3600000000000019E-3</v>
      </c>
      <c r="E593">
        <f t="shared" si="64"/>
        <v>4</v>
      </c>
      <c r="F593">
        <f t="shared" si="65"/>
        <v>50</v>
      </c>
      <c r="G593">
        <f t="shared" si="66"/>
        <v>4.83</v>
      </c>
      <c r="H593">
        <f t="shared" si="67"/>
        <v>290</v>
      </c>
      <c r="I593" s="3">
        <f t="shared" si="68"/>
        <v>62.068965517241381</v>
      </c>
      <c r="J593" t="str">
        <f t="shared" si="69"/>
        <v>F</v>
      </c>
    </row>
    <row r="594" spans="1:10" hidden="1" x14ac:dyDescent="0.25">
      <c r="A594" s="4" t="s">
        <v>88</v>
      </c>
      <c r="B594" s="1">
        <v>5.8613999999999999E-2</v>
      </c>
      <c r="C594" s="1">
        <v>5.6474000000000003E-2</v>
      </c>
      <c r="D594" s="1">
        <f t="shared" si="63"/>
        <v>2.1399999999999961E-3</v>
      </c>
      <c r="E594">
        <f t="shared" si="64"/>
        <v>3</v>
      </c>
      <c r="F594">
        <f t="shared" si="65"/>
        <v>5</v>
      </c>
      <c r="G594">
        <f t="shared" si="66"/>
        <v>3.08</v>
      </c>
      <c r="H594">
        <f t="shared" si="67"/>
        <v>185</v>
      </c>
      <c r="I594" s="3">
        <f t="shared" si="68"/>
        <v>97.297297297297291</v>
      </c>
      <c r="J594" t="str">
        <f t="shared" si="69"/>
        <v>F</v>
      </c>
    </row>
    <row r="595" spans="1:10" hidden="1" x14ac:dyDescent="0.25">
      <c r="A595" s="4" t="s">
        <v>89</v>
      </c>
      <c r="B595" s="1">
        <v>0.79559199999999997</v>
      </c>
      <c r="C595" s="1">
        <v>0.792188</v>
      </c>
      <c r="D595" s="1">
        <f t="shared" si="63"/>
        <v>3.4039999999999626E-3</v>
      </c>
      <c r="E595">
        <f t="shared" si="64"/>
        <v>4</v>
      </c>
      <c r="F595">
        <f t="shared" si="65"/>
        <v>54</v>
      </c>
      <c r="G595">
        <f t="shared" si="66"/>
        <v>4.9000000000000004</v>
      </c>
      <c r="H595">
        <f t="shared" si="67"/>
        <v>294</v>
      </c>
      <c r="I595" s="3">
        <f t="shared" si="68"/>
        <v>61.224489795918366</v>
      </c>
      <c r="J595" t="str">
        <f t="shared" si="69"/>
        <v>F</v>
      </c>
    </row>
    <row r="596" spans="1:10" hidden="1" x14ac:dyDescent="0.25">
      <c r="A596" s="4" t="s">
        <v>90</v>
      </c>
      <c r="B596" s="1">
        <v>0.63536800000000004</v>
      </c>
      <c r="C596" s="1">
        <v>0.639208</v>
      </c>
      <c r="D596" s="1">
        <f t="shared" si="63"/>
        <v>3.8399999999999546E-3</v>
      </c>
      <c r="E596">
        <f t="shared" si="64"/>
        <v>5</v>
      </c>
      <c r="F596">
        <f t="shared" si="65"/>
        <v>32</v>
      </c>
      <c r="G596">
        <f t="shared" si="66"/>
        <v>5.53</v>
      </c>
      <c r="H596">
        <f t="shared" si="67"/>
        <v>332</v>
      </c>
      <c r="I596" s="3">
        <f t="shared" si="68"/>
        <v>54.216867469879517</v>
      </c>
      <c r="J596" t="str">
        <f t="shared" si="69"/>
        <v>F</v>
      </c>
    </row>
    <row r="597" spans="1:10" hidden="1" x14ac:dyDescent="0.25">
      <c r="A597" s="4" t="s">
        <v>91</v>
      </c>
      <c r="B597" s="1">
        <v>0.29477999999999999</v>
      </c>
      <c r="C597" s="1">
        <v>0.29804799999999998</v>
      </c>
      <c r="D597" s="1">
        <f t="shared" si="63"/>
        <v>3.2679999999999931E-3</v>
      </c>
      <c r="E597">
        <f t="shared" si="64"/>
        <v>4</v>
      </c>
      <c r="F597">
        <f t="shared" si="65"/>
        <v>42</v>
      </c>
      <c r="G597">
        <f t="shared" si="66"/>
        <v>4.7</v>
      </c>
      <c r="H597">
        <f t="shared" si="67"/>
        <v>282</v>
      </c>
      <c r="I597" s="3">
        <f t="shared" si="68"/>
        <v>63.829787234042556</v>
      </c>
      <c r="J597" t="str">
        <f t="shared" si="69"/>
        <v>F</v>
      </c>
    </row>
    <row r="598" spans="1:10" hidden="1" x14ac:dyDescent="0.25">
      <c r="A598" s="4" t="s">
        <v>92</v>
      </c>
      <c r="B598" s="1">
        <v>0.312112</v>
      </c>
      <c r="C598" s="1">
        <v>0.31450800000000001</v>
      </c>
      <c r="D598" s="1">
        <f t="shared" si="63"/>
        <v>2.3960000000000092E-3</v>
      </c>
      <c r="E598">
        <f t="shared" si="64"/>
        <v>3</v>
      </c>
      <c r="F598">
        <f t="shared" si="65"/>
        <v>27</v>
      </c>
      <c r="G598">
        <f t="shared" si="66"/>
        <v>3.45</v>
      </c>
      <c r="H598">
        <f t="shared" si="67"/>
        <v>207</v>
      </c>
      <c r="I598" s="3">
        <f t="shared" si="68"/>
        <v>86.956521739130437</v>
      </c>
      <c r="J598" t="str">
        <f t="shared" si="69"/>
        <v>F</v>
      </c>
    </row>
    <row r="599" spans="1:10" hidden="1" x14ac:dyDescent="0.25">
      <c r="A599" s="4" t="s">
        <v>93</v>
      </c>
      <c r="B599" s="1">
        <v>2.2315999999999999E-2</v>
      </c>
      <c r="C599" s="1">
        <v>1.9543999999999999E-2</v>
      </c>
      <c r="D599" s="1">
        <f t="shared" si="63"/>
        <v>2.7720000000000002E-3</v>
      </c>
      <c r="E599">
        <f t="shared" si="64"/>
        <v>4</v>
      </c>
      <c r="F599">
        <f t="shared" si="65"/>
        <v>0</v>
      </c>
      <c r="G599">
        <f t="shared" si="66"/>
        <v>4</v>
      </c>
      <c r="H599">
        <f t="shared" si="67"/>
        <v>240</v>
      </c>
      <c r="I599" s="3">
        <f t="shared" si="68"/>
        <v>75</v>
      </c>
      <c r="J599" t="str">
        <f t="shared" si="69"/>
        <v>F</v>
      </c>
    </row>
    <row r="600" spans="1:10" hidden="1" x14ac:dyDescent="0.25">
      <c r="A600" s="4" t="s">
        <v>94</v>
      </c>
      <c r="B600" s="1">
        <v>0.65988999999999998</v>
      </c>
      <c r="C600" s="1">
        <v>0.65681</v>
      </c>
      <c r="D600" s="1">
        <f t="shared" si="63"/>
        <v>3.0799999999999716E-3</v>
      </c>
      <c r="E600">
        <f t="shared" si="64"/>
        <v>4</v>
      </c>
      <c r="F600">
        <f t="shared" si="65"/>
        <v>26</v>
      </c>
      <c r="G600">
        <f t="shared" si="66"/>
        <v>4.43</v>
      </c>
      <c r="H600">
        <f t="shared" si="67"/>
        <v>266</v>
      </c>
      <c r="I600" s="3">
        <f t="shared" si="68"/>
        <v>67.669172932330824</v>
      </c>
      <c r="J600" t="str">
        <f t="shared" si="69"/>
        <v>F</v>
      </c>
    </row>
    <row r="601" spans="1:10" hidden="1" x14ac:dyDescent="0.25">
      <c r="A601" s="4" t="s">
        <v>95</v>
      </c>
      <c r="B601" s="1">
        <v>0.75181399999999998</v>
      </c>
      <c r="C601" s="1">
        <v>0.74925399999999998</v>
      </c>
      <c r="D601" s="1">
        <f t="shared" si="63"/>
        <v>2.5600000000000067E-3</v>
      </c>
      <c r="E601">
        <f t="shared" si="64"/>
        <v>3</v>
      </c>
      <c r="F601">
        <f t="shared" si="65"/>
        <v>41</v>
      </c>
      <c r="G601">
        <f t="shared" si="66"/>
        <v>3.68</v>
      </c>
      <c r="H601">
        <f t="shared" si="67"/>
        <v>221</v>
      </c>
      <c r="I601" s="3">
        <f t="shared" si="68"/>
        <v>81.447963800904972</v>
      </c>
      <c r="J601" t="str">
        <f t="shared" si="69"/>
        <v>F</v>
      </c>
    </row>
    <row r="602" spans="1:10" hidden="1" x14ac:dyDescent="0.25">
      <c r="A602" s="4" t="s">
        <v>96</v>
      </c>
      <c r="B602" s="1">
        <v>0.69461200000000001</v>
      </c>
      <c r="C602" s="1">
        <v>0.69851200000000002</v>
      </c>
      <c r="D602" s="1">
        <f t="shared" si="63"/>
        <v>3.9000000000000146E-3</v>
      </c>
      <c r="E602">
        <f t="shared" si="64"/>
        <v>5</v>
      </c>
      <c r="F602">
        <f t="shared" si="65"/>
        <v>37</v>
      </c>
      <c r="G602">
        <f t="shared" si="66"/>
        <v>5.62</v>
      </c>
      <c r="H602">
        <f t="shared" si="67"/>
        <v>337</v>
      </c>
      <c r="I602" s="3">
        <f t="shared" si="68"/>
        <v>53.412462908011868</v>
      </c>
      <c r="J602" t="str">
        <f t="shared" si="69"/>
        <v>F</v>
      </c>
    </row>
    <row r="603" spans="1:10" hidden="1" x14ac:dyDescent="0.25">
      <c r="A603" s="4" t="s">
        <v>97</v>
      </c>
      <c r="B603" s="1">
        <v>0.217417</v>
      </c>
      <c r="C603" s="1">
        <v>0.215721</v>
      </c>
      <c r="D603" s="1">
        <f t="shared" si="63"/>
        <v>1.6960000000000031E-3</v>
      </c>
      <c r="E603">
        <f t="shared" si="64"/>
        <v>2</v>
      </c>
      <c r="F603">
        <f t="shared" si="65"/>
        <v>27</v>
      </c>
      <c r="G603">
        <f t="shared" si="66"/>
        <v>2.4500000000000002</v>
      </c>
      <c r="H603">
        <f t="shared" si="67"/>
        <v>147</v>
      </c>
      <c r="I603" s="3">
        <f t="shared" si="68"/>
        <v>122.44897959183673</v>
      </c>
      <c r="J603" t="str">
        <f t="shared" si="69"/>
        <v>F</v>
      </c>
    </row>
    <row r="604" spans="1:10" hidden="1" x14ac:dyDescent="0.25">
      <c r="A604" s="4" t="s">
        <v>98</v>
      </c>
      <c r="B604" s="1">
        <v>0.248913</v>
      </c>
      <c r="C604" s="1">
        <v>0.25204100000000002</v>
      </c>
      <c r="D604" s="1">
        <f t="shared" si="63"/>
        <v>3.1280000000000197E-3</v>
      </c>
      <c r="E604">
        <f t="shared" si="64"/>
        <v>4</v>
      </c>
      <c r="F604">
        <f t="shared" si="65"/>
        <v>30</v>
      </c>
      <c r="G604">
        <f t="shared" si="66"/>
        <v>4.5</v>
      </c>
      <c r="H604">
        <f t="shared" si="67"/>
        <v>270</v>
      </c>
      <c r="I604" s="3">
        <f t="shared" si="68"/>
        <v>66.666666666666671</v>
      </c>
      <c r="J604" t="str">
        <f t="shared" si="69"/>
        <v>F</v>
      </c>
    </row>
    <row r="605" spans="1:10" hidden="1" x14ac:dyDescent="0.25">
      <c r="A605" s="4" t="s">
        <v>99</v>
      </c>
      <c r="B605" s="1">
        <v>9.5533999999999994E-2</v>
      </c>
      <c r="C605" s="1">
        <v>9.1910000000000006E-2</v>
      </c>
      <c r="D605" s="1">
        <f t="shared" si="63"/>
        <v>3.6239999999999883E-3</v>
      </c>
      <c r="E605">
        <f t="shared" si="64"/>
        <v>5</v>
      </c>
      <c r="F605">
        <f t="shared" si="65"/>
        <v>13</v>
      </c>
      <c r="G605">
        <f t="shared" si="66"/>
        <v>5.22</v>
      </c>
      <c r="H605">
        <f t="shared" si="67"/>
        <v>313</v>
      </c>
      <c r="I605" s="3">
        <f t="shared" si="68"/>
        <v>57.507987220447284</v>
      </c>
      <c r="J605" t="str">
        <f t="shared" si="69"/>
        <v>F</v>
      </c>
    </row>
    <row r="606" spans="1:10" hidden="1" x14ac:dyDescent="0.25">
      <c r="A606" s="4" t="s">
        <v>100</v>
      </c>
      <c r="B606" s="1">
        <v>0.56021500000000002</v>
      </c>
      <c r="C606" s="1">
        <v>0.56196699999999999</v>
      </c>
      <c r="D606" s="1">
        <f t="shared" si="63"/>
        <v>1.7519999999999758E-3</v>
      </c>
      <c r="E606">
        <f t="shared" si="64"/>
        <v>2</v>
      </c>
      <c r="F606">
        <f t="shared" si="65"/>
        <v>31</v>
      </c>
      <c r="G606">
        <f t="shared" si="66"/>
        <v>2.52</v>
      </c>
      <c r="H606">
        <f t="shared" si="67"/>
        <v>151</v>
      </c>
      <c r="I606" s="3">
        <f t="shared" si="68"/>
        <v>119.20529801324504</v>
      </c>
      <c r="J606" t="str">
        <f t="shared" si="69"/>
        <v>F</v>
      </c>
    </row>
    <row r="607" spans="1:10" hidden="1" x14ac:dyDescent="0.25">
      <c r="A607" s="4" t="s">
        <v>101</v>
      </c>
      <c r="B607" s="1">
        <v>9.8788000000000001E-2</v>
      </c>
      <c r="C607" s="1">
        <v>9.6680000000000002E-2</v>
      </c>
      <c r="D607" s="1">
        <f t="shared" si="63"/>
        <v>2.1079999999999988E-3</v>
      </c>
      <c r="E607">
        <f t="shared" si="64"/>
        <v>3</v>
      </c>
      <c r="F607">
        <f t="shared" si="65"/>
        <v>2</v>
      </c>
      <c r="G607">
        <f t="shared" si="66"/>
        <v>3.03</v>
      </c>
      <c r="H607">
        <f t="shared" si="67"/>
        <v>182</v>
      </c>
      <c r="I607" s="3">
        <f t="shared" si="68"/>
        <v>98.901098901098905</v>
      </c>
      <c r="J607" t="str">
        <f t="shared" si="69"/>
        <v>F</v>
      </c>
    </row>
    <row r="608" spans="1:10" hidden="1" x14ac:dyDescent="0.25">
      <c r="A608" s="4" t="s">
        <v>102</v>
      </c>
      <c r="B608" s="1">
        <v>0.66766999999999999</v>
      </c>
      <c r="C608" s="1">
        <v>0.67010999999999998</v>
      </c>
      <c r="D608" s="1">
        <f t="shared" si="63"/>
        <v>2.4399999999999977E-3</v>
      </c>
      <c r="E608">
        <f t="shared" si="64"/>
        <v>3</v>
      </c>
      <c r="F608">
        <f t="shared" si="65"/>
        <v>31</v>
      </c>
      <c r="G608">
        <f t="shared" si="66"/>
        <v>3.52</v>
      </c>
      <c r="H608">
        <f t="shared" si="67"/>
        <v>211</v>
      </c>
      <c r="I608" s="3">
        <f t="shared" si="68"/>
        <v>85.308056872037923</v>
      </c>
      <c r="J608" t="str">
        <f t="shared" si="69"/>
        <v>F</v>
      </c>
    </row>
    <row r="609" spans="1:10" hidden="1" x14ac:dyDescent="0.25">
      <c r="A609" s="4" t="s">
        <v>103</v>
      </c>
      <c r="B609" s="1">
        <v>0.69916400000000001</v>
      </c>
      <c r="C609" s="1">
        <v>0.70058399999999998</v>
      </c>
      <c r="D609" s="1">
        <f t="shared" si="63"/>
        <v>1.4199999999999768E-3</v>
      </c>
      <c r="E609">
        <f t="shared" si="64"/>
        <v>2</v>
      </c>
      <c r="F609">
        <f t="shared" si="65"/>
        <v>3</v>
      </c>
      <c r="G609">
        <f t="shared" si="66"/>
        <v>2.0499999999999998</v>
      </c>
      <c r="H609">
        <f t="shared" si="67"/>
        <v>123</v>
      </c>
      <c r="I609" s="3">
        <f t="shared" si="68"/>
        <v>146.34146341463415</v>
      </c>
      <c r="J609" t="str">
        <f t="shared" si="69"/>
        <v>F</v>
      </c>
    </row>
    <row r="610" spans="1:10" hidden="1" x14ac:dyDescent="0.25">
      <c r="A610" s="4" t="s">
        <v>104</v>
      </c>
      <c r="B610" s="1">
        <v>0.50448999999999999</v>
      </c>
      <c r="C610" s="1">
        <v>0.50298200000000004</v>
      </c>
      <c r="D610" s="1">
        <f t="shared" si="63"/>
        <v>1.5079999999999538E-3</v>
      </c>
      <c r="E610">
        <f t="shared" si="64"/>
        <v>2</v>
      </c>
      <c r="F610">
        <f t="shared" si="65"/>
        <v>10</v>
      </c>
      <c r="G610">
        <f t="shared" si="66"/>
        <v>2.17</v>
      </c>
      <c r="H610">
        <f t="shared" si="67"/>
        <v>130</v>
      </c>
      <c r="I610" s="3">
        <f t="shared" si="68"/>
        <v>138.46153846153845</v>
      </c>
      <c r="J610" t="str">
        <f t="shared" si="69"/>
        <v>F</v>
      </c>
    </row>
    <row r="611" spans="1:10" hidden="1" x14ac:dyDescent="0.25">
      <c r="A611" s="4" t="s">
        <v>105</v>
      </c>
      <c r="B611" s="1">
        <v>0.70912799999999998</v>
      </c>
      <c r="C611" s="1">
        <v>0.70633199999999996</v>
      </c>
      <c r="D611" s="1">
        <f t="shared" si="63"/>
        <v>2.7960000000000207E-3</v>
      </c>
      <c r="E611">
        <f t="shared" si="64"/>
        <v>4</v>
      </c>
      <c r="F611">
        <f t="shared" si="65"/>
        <v>2</v>
      </c>
      <c r="G611">
        <f t="shared" si="66"/>
        <v>4.03</v>
      </c>
      <c r="H611">
        <f t="shared" si="67"/>
        <v>242</v>
      </c>
      <c r="I611" s="3">
        <f t="shared" si="68"/>
        <v>74.380165289256198</v>
      </c>
      <c r="J611" t="str">
        <f t="shared" si="69"/>
        <v>F</v>
      </c>
    </row>
    <row r="612" spans="1:10" hidden="1" x14ac:dyDescent="0.25">
      <c r="A612" s="4" t="s">
        <v>106</v>
      </c>
      <c r="B612" s="1">
        <v>0.25471199999999999</v>
      </c>
      <c r="C612" s="1">
        <v>0.25790400000000002</v>
      </c>
      <c r="D612" s="1">
        <f t="shared" si="63"/>
        <v>3.1920000000000281E-3</v>
      </c>
      <c r="E612">
        <f t="shared" si="64"/>
        <v>4</v>
      </c>
      <c r="F612">
        <f t="shared" si="65"/>
        <v>36</v>
      </c>
      <c r="G612">
        <f t="shared" si="66"/>
        <v>4.5999999999999996</v>
      </c>
      <c r="H612">
        <f t="shared" si="67"/>
        <v>276</v>
      </c>
      <c r="I612" s="3">
        <f t="shared" si="68"/>
        <v>65.217391304347828</v>
      </c>
      <c r="J612" t="str">
        <f t="shared" si="69"/>
        <v>F</v>
      </c>
    </row>
    <row r="613" spans="1:10" hidden="1" x14ac:dyDescent="0.25">
      <c r="A613" s="4" t="s">
        <v>178</v>
      </c>
      <c r="B613" s="1">
        <v>0.52383800000000003</v>
      </c>
      <c r="C613" s="1">
        <v>0.52654999999999996</v>
      </c>
      <c r="D613" s="1">
        <f t="shared" si="63"/>
        <v>2.7119999999999367E-3</v>
      </c>
      <c r="E613">
        <f t="shared" si="64"/>
        <v>3</v>
      </c>
      <c r="F613">
        <f t="shared" si="65"/>
        <v>54</v>
      </c>
      <c r="G613">
        <f t="shared" si="66"/>
        <v>3.9</v>
      </c>
      <c r="H613">
        <f t="shared" si="67"/>
        <v>234</v>
      </c>
      <c r="I613" s="3">
        <f t="shared" si="68"/>
        <v>76.92307692307692</v>
      </c>
      <c r="J613" t="str">
        <f t="shared" si="69"/>
        <v>F</v>
      </c>
    </row>
    <row r="614" spans="1:10" hidden="1" x14ac:dyDescent="0.25">
      <c r="A614" s="4" t="s">
        <v>108</v>
      </c>
      <c r="B614" s="1">
        <v>9.1436000000000003E-2</v>
      </c>
      <c r="C614" s="1">
        <v>9.3964000000000006E-2</v>
      </c>
      <c r="D614" s="1">
        <f t="shared" si="63"/>
        <v>2.5280000000000025E-3</v>
      </c>
      <c r="E614">
        <f t="shared" si="64"/>
        <v>3</v>
      </c>
      <c r="F614">
        <f t="shared" si="65"/>
        <v>38</v>
      </c>
      <c r="G614">
        <f t="shared" si="66"/>
        <v>3.63</v>
      </c>
      <c r="H614">
        <f t="shared" si="67"/>
        <v>218</v>
      </c>
      <c r="I614" s="3">
        <f t="shared" si="68"/>
        <v>82.568807339449535</v>
      </c>
      <c r="J614" t="str">
        <f t="shared" si="69"/>
        <v>F</v>
      </c>
    </row>
    <row r="615" spans="1:10" hidden="1" x14ac:dyDescent="0.25">
      <c r="A615" s="4" t="s">
        <v>109</v>
      </c>
      <c r="B615" s="1">
        <v>0.404277</v>
      </c>
      <c r="C615" s="1">
        <v>0.40759299999999998</v>
      </c>
      <c r="D615" s="1">
        <f t="shared" si="63"/>
        <v>3.3159999999999856E-3</v>
      </c>
      <c r="E615">
        <f t="shared" si="64"/>
        <v>4</v>
      </c>
      <c r="F615">
        <f t="shared" si="65"/>
        <v>47</v>
      </c>
      <c r="G615">
        <f t="shared" si="66"/>
        <v>4.78</v>
      </c>
      <c r="H615">
        <f t="shared" si="67"/>
        <v>287</v>
      </c>
      <c r="I615" s="3">
        <f t="shared" si="68"/>
        <v>62.717770034843205</v>
      </c>
      <c r="J615" t="str">
        <f t="shared" si="69"/>
        <v>F</v>
      </c>
    </row>
    <row r="616" spans="1:10" hidden="1" x14ac:dyDescent="0.25">
      <c r="A616" s="4" t="s">
        <v>110</v>
      </c>
      <c r="B616" s="1">
        <v>0.11290600000000001</v>
      </c>
      <c r="C616" s="1">
        <v>0.11459</v>
      </c>
      <c r="D616" s="1">
        <f t="shared" si="63"/>
        <v>1.6839999999999911E-3</v>
      </c>
      <c r="E616">
        <f t="shared" si="64"/>
        <v>2</v>
      </c>
      <c r="F616">
        <f t="shared" si="65"/>
        <v>25</v>
      </c>
      <c r="G616">
        <f t="shared" si="66"/>
        <v>2.42</v>
      </c>
      <c r="H616">
        <f t="shared" si="67"/>
        <v>145</v>
      </c>
      <c r="I616" s="3">
        <f t="shared" si="68"/>
        <v>124.13793103448276</v>
      </c>
      <c r="J616" t="str">
        <f t="shared" si="69"/>
        <v>F</v>
      </c>
    </row>
    <row r="617" spans="1:10" hidden="1" x14ac:dyDescent="0.25">
      <c r="A617" s="4" t="s">
        <v>429</v>
      </c>
      <c r="B617" s="1">
        <v>0.95077199999999995</v>
      </c>
      <c r="C617" s="1">
        <v>0.94779599999999997</v>
      </c>
      <c r="D617" s="1">
        <f t="shared" si="63"/>
        <v>2.9759999999999787E-3</v>
      </c>
      <c r="E617">
        <f t="shared" si="64"/>
        <v>4</v>
      </c>
      <c r="F617">
        <f t="shared" si="65"/>
        <v>17</v>
      </c>
      <c r="G617">
        <f t="shared" si="66"/>
        <v>4.28</v>
      </c>
      <c r="H617">
        <f t="shared" si="67"/>
        <v>257</v>
      </c>
      <c r="I617" s="3">
        <f t="shared" si="68"/>
        <v>70.038910505836583</v>
      </c>
      <c r="J617" t="str">
        <f t="shared" si="69"/>
        <v>F</v>
      </c>
    </row>
    <row r="618" spans="1:10" hidden="1" x14ac:dyDescent="0.25">
      <c r="A618" s="4" t="s">
        <v>111</v>
      </c>
      <c r="B618" s="1">
        <v>0.37411299999999997</v>
      </c>
      <c r="C618" s="1">
        <v>0.37249300000000002</v>
      </c>
      <c r="D618" s="1">
        <f t="shared" si="63"/>
        <v>1.6199999999999548E-3</v>
      </c>
      <c r="E618">
        <f t="shared" si="64"/>
        <v>2</v>
      </c>
      <c r="F618">
        <f t="shared" si="65"/>
        <v>20</v>
      </c>
      <c r="G618">
        <f t="shared" si="66"/>
        <v>2.33</v>
      </c>
      <c r="H618">
        <f t="shared" si="67"/>
        <v>140</v>
      </c>
      <c r="I618" s="3">
        <f t="shared" si="68"/>
        <v>128.57142857142858</v>
      </c>
      <c r="J618" t="str">
        <f t="shared" si="69"/>
        <v>F</v>
      </c>
    </row>
    <row r="619" spans="1:10" hidden="1" x14ac:dyDescent="0.25">
      <c r="A619" s="4" t="s">
        <v>112</v>
      </c>
      <c r="B619" s="1">
        <v>0.43324000000000001</v>
      </c>
      <c r="C619" s="1">
        <v>0.43135600000000002</v>
      </c>
      <c r="D619" s="1">
        <f t="shared" si="63"/>
        <v>1.8839999999999968E-3</v>
      </c>
      <c r="E619">
        <f t="shared" si="64"/>
        <v>2</v>
      </c>
      <c r="F619">
        <f t="shared" si="65"/>
        <v>43</v>
      </c>
      <c r="G619">
        <f t="shared" si="66"/>
        <v>2.72</v>
      </c>
      <c r="H619">
        <f t="shared" si="67"/>
        <v>163</v>
      </c>
      <c r="I619" s="3">
        <f t="shared" si="68"/>
        <v>110.42944785276075</v>
      </c>
      <c r="J619" t="str">
        <f t="shared" si="69"/>
        <v>F</v>
      </c>
    </row>
    <row r="620" spans="1:10" hidden="1" x14ac:dyDescent="0.25">
      <c r="A620" s="4" t="s">
        <v>113</v>
      </c>
      <c r="B620" s="1">
        <v>0.16992399999999999</v>
      </c>
      <c r="C620" s="1">
        <v>0.166296</v>
      </c>
      <c r="D620" s="1">
        <f t="shared" si="63"/>
        <v>3.6279999999999923E-3</v>
      </c>
      <c r="E620">
        <f t="shared" si="64"/>
        <v>5</v>
      </c>
      <c r="F620">
        <f t="shared" si="65"/>
        <v>13</v>
      </c>
      <c r="G620">
        <f t="shared" si="66"/>
        <v>5.22</v>
      </c>
      <c r="H620">
        <f t="shared" si="67"/>
        <v>313</v>
      </c>
      <c r="I620" s="3">
        <f t="shared" si="68"/>
        <v>57.507987220447284</v>
      </c>
      <c r="J620" t="str">
        <f t="shared" si="69"/>
        <v>F</v>
      </c>
    </row>
    <row r="621" spans="1:10" hidden="1" x14ac:dyDescent="0.25">
      <c r="A621" s="4" t="s">
        <v>114</v>
      </c>
      <c r="B621" s="1">
        <v>0.21842300000000001</v>
      </c>
      <c r="C621" s="1">
        <v>0.21506700000000001</v>
      </c>
      <c r="D621" s="1">
        <f t="shared" si="63"/>
        <v>3.3559999999999979E-3</v>
      </c>
      <c r="E621">
        <f t="shared" si="64"/>
        <v>4</v>
      </c>
      <c r="F621">
        <f t="shared" si="65"/>
        <v>50</v>
      </c>
      <c r="G621">
        <f t="shared" si="66"/>
        <v>4.83</v>
      </c>
      <c r="H621">
        <f t="shared" si="67"/>
        <v>290</v>
      </c>
      <c r="I621" s="3">
        <f t="shared" si="68"/>
        <v>62.068965517241381</v>
      </c>
      <c r="J621" t="str">
        <f t="shared" si="69"/>
        <v>F</v>
      </c>
    </row>
    <row r="622" spans="1:10" hidden="1" x14ac:dyDescent="0.25">
      <c r="A622" s="4" t="s">
        <v>115</v>
      </c>
      <c r="B622" s="1">
        <v>0.492419</v>
      </c>
      <c r="C622" s="1">
        <v>0.49516300000000002</v>
      </c>
      <c r="D622" s="1">
        <f t="shared" si="63"/>
        <v>2.7440000000000242E-3</v>
      </c>
      <c r="E622">
        <f t="shared" si="64"/>
        <v>3</v>
      </c>
      <c r="F622">
        <f t="shared" si="65"/>
        <v>57</v>
      </c>
      <c r="G622">
        <f t="shared" si="66"/>
        <v>3.95</v>
      </c>
      <c r="H622">
        <f t="shared" si="67"/>
        <v>237</v>
      </c>
      <c r="I622" s="3">
        <f t="shared" si="68"/>
        <v>75.949367088607588</v>
      </c>
      <c r="J622" t="str">
        <f t="shared" si="69"/>
        <v>F</v>
      </c>
    </row>
    <row r="623" spans="1:10" hidden="1" x14ac:dyDescent="0.25">
      <c r="A623" s="4" t="s">
        <v>116</v>
      </c>
      <c r="B623" s="1">
        <v>0.73995699999999998</v>
      </c>
      <c r="C623" s="1">
        <v>0.74338499999999996</v>
      </c>
      <c r="D623" s="1">
        <f t="shared" si="63"/>
        <v>3.4279999999999866E-3</v>
      </c>
      <c r="E623">
        <f t="shared" si="64"/>
        <v>4</v>
      </c>
      <c r="F623">
        <f t="shared" si="65"/>
        <v>56</v>
      </c>
      <c r="G623">
        <f t="shared" si="66"/>
        <v>4.93</v>
      </c>
      <c r="H623">
        <f t="shared" si="67"/>
        <v>296</v>
      </c>
      <c r="I623" s="3">
        <f t="shared" si="68"/>
        <v>60.810810810810807</v>
      </c>
      <c r="J623" t="str">
        <f t="shared" si="69"/>
        <v>F</v>
      </c>
    </row>
    <row r="624" spans="1:10" hidden="1" x14ac:dyDescent="0.25">
      <c r="A624" s="4" t="s">
        <v>75</v>
      </c>
      <c r="B624" s="1">
        <v>0.19887299999999999</v>
      </c>
      <c r="C624" s="1">
        <v>0.196909</v>
      </c>
      <c r="D624" s="1">
        <f t="shared" si="63"/>
        <v>1.9639999999999935E-3</v>
      </c>
      <c r="E624">
        <f t="shared" si="64"/>
        <v>2</v>
      </c>
      <c r="F624">
        <f t="shared" si="65"/>
        <v>50</v>
      </c>
      <c r="G624">
        <f t="shared" si="66"/>
        <v>2.83</v>
      </c>
      <c r="H624">
        <f t="shared" si="67"/>
        <v>170</v>
      </c>
      <c r="I624" s="3">
        <f t="shared" si="68"/>
        <v>105.88235294117646</v>
      </c>
      <c r="J624" t="str">
        <f t="shared" si="69"/>
        <v>F</v>
      </c>
    </row>
    <row r="625" spans="1:10" hidden="1" x14ac:dyDescent="0.25">
      <c r="A625" s="4" t="s">
        <v>117</v>
      </c>
      <c r="B625" s="1">
        <v>0.82010700000000003</v>
      </c>
      <c r="C625" s="1">
        <v>0.82233500000000004</v>
      </c>
      <c r="D625" s="1">
        <f t="shared" si="63"/>
        <v>2.2280000000000078E-3</v>
      </c>
      <c r="E625">
        <f t="shared" si="64"/>
        <v>3</v>
      </c>
      <c r="F625">
        <f t="shared" si="65"/>
        <v>12</v>
      </c>
      <c r="G625">
        <f t="shared" si="66"/>
        <v>3.2</v>
      </c>
      <c r="H625">
        <f t="shared" si="67"/>
        <v>192</v>
      </c>
      <c r="I625" s="3">
        <f t="shared" si="68"/>
        <v>93.75</v>
      </c>
      <c r="J625" t="str">
        <f t="shared" si="69"/>
        <v>F</v>
      </c>
    </row>
    <row r="626" spans="1:10" hidden="1" x14ac:dyDescent="0.25">
      <c r="A626" s="4" t="s">
        <v>118</v>
      </c>
      <c r="B626" s="1">
        <v>0.83749799999999996</v>
      </c>
      <c r="C626" s="1">
        <v>0.83599400000000001</v>
      </c>
      <c r="D626" s="1">
        <f t="shared" si="63"/>
        <v>1.5039999999999498E-3</v>
      </c>
      <c r="E626">
        <f t="shared" si="64"/>
        <v>2</v>
      </c>
      <c r="F626">
        <f t="shared" si="65"/>
        <v>10</v>
      </c>
      <c r="G626">
        <f t="shared" si="66"/>
        <v>2.17</v>
      </c>
      <c r="H626">
        <f t="shared" si="67"/>
        <v>130</v>
      </c>
      <c r="I626" s="3">
        <f t="shared" si="68"/>
        <v>138.46153846153845</v>
      </c>
      <c r="J626" t="str">
        <f t="shared" si="69"/>
        <v>F</v>
      </c>
    </row>
    <row r="627" spans="1:10" hidden="1" x14ac:dyDescent="0.25">
      <c r="A627" s="4" t="s">
        <v>119</v>
      </c>
      <c r="B627" s="1">
        <v>0.71098499999999998</v>
      </c>
      <c r="C627" s="1">
        <v>0.70876899999999998</v>
      </c>
      <c r="D627" s="1">
        <f t="shared" si="63"/>
        <v>2.2159999999999958E-3</v>
      </c>
      <c r="E627">
        <f t="shared" si="64"/>
        <v>3</v>
      </c>
      <c r="F627">
        <f t="shared" si="65"/>
        <v>11</v>
      </c>
      <c r="G627">
        <f t="shared" si="66"/>
        <v>3.18</v>
      </c>
      <c r="H627">
        <f t="shared" si="67"/>
        <v>191</v>
      </c>
      <c r="I627" s="3">
        <f t="shared" si="68"/>
        <v>94.240837696335092</v>
      </c>
      <c r="J627" t="str">
        <f t="shared" si="69"/>
        <v>F</v>
      </c>
    </row>
    <row r="628" spans="1:10" hidden="1" x14ac:dyDescent="0.25">
      <c r="A628" s="4" t="s">
        <v>120</v>
      </c>
      <c r="B628" s="1">
        <v>2.4251999999999999E-2</v>
      </c>
      <c r="C628" s="1">
        <v>2.2828000000000001E-2</v>
      </c>
      <c r="D628" s="1">
        <f t="shared" si="63"/>
        <v>1.4239999999999982E-3</v>
      </c>
      <c r="E628">
        <f t="shared" si="64"/>
        <v>2</v>
      </c>
      <c r="F628">
        <f t="shared" si="65"/>
        <v>3</v>
      </c>
      <c r="G628">
        <f t="shared" si="66"/>
        <v>2.0499999999999998</v>
      </c>
      <c r="H628">
        <f t="shared" si="67"/>
        <v>123</v>
      </c>
      <c r="I628" s="3">
        <f t="shared" si="68"/>
        <v>146.34146341463415</v>
      </c>
      <c r="J628" t="str">
        <f t="shared" si="69"/>
        <v>F</v>
      </c>
    </row>
    <row r="629" spans="1:10" hidden="1" x14ac:dyDescent="0.25">
      <c r="A629" s="4" t="s">
        <v>121</v>
      </c>
      <c r="B629" s="1">
        <v>0.49061199999999999</v>
      </c>
      <c r="C629" s="1">
        <v>0.48800399999999999</v>
      </c>
      <c r="D629" s="1">
        <f t="shared" si="63"/>
        <v>2.6079999999999992E-3</v>
      </c>
      <c r="E629">
        <f t="shared" si="64"/>
        <v>3</v>
      </c>
      <c r="F629">
        <f t="shared" si="65"/>
        <v>45</v>
      </c>
      <c r="G629">
        <f t="shared" si="66"/>
        <v>3.75</v>
      </c>
      <c r="H629">
        <f t="shared" si="67"/>
        <v>225</v>
      </c>
      <c r="I629" s="3">
        <f t="shared" si="68"/>
        <v>80</v>
      </c>
      <c r="J629" t="str">
        <f t="shared" si="69"/>
        <v>F</v>
      </c>
    </row>
    <row r="630" spans="1:10" hidden="1" x14ac:dyDescent="0.25">
      <c r="A630" s="4" t="s">
        <v>122</v>
      </c>
      <c r="B630" s="1">
        <v>0.68302600000000002</v>
      </c>
      <c r="C630" s="1">
        <v>0.68075799999999997</v>
      </c>
      <c r="D630" s="1">
        <f t="shared" si="63"/>
        <v>2.2680000000000478E-3</v>
      </c>
      <c r="E630">
        <f t="shared" si="64"/>
        <v>3</v>
      </c>
      <c r="F630">
        <f t="shared" si="65"/>
        <v>16</v>
      </c>
      <c r="G630">
        <f t="shared" si="66"/>
        <v>3.27</v>
      </c>
      <c r="H630">
        <f t="shared" si="67"/>
        <v>196</v>
      </c>
      <c r="I630" s="3">
        <f t="shared" si="68"/>
        <v>91.83673469387756</v>
      </c>
      <c r="J630" t="str">
        <f t="shared" si="69"/>
        <v>F</v>
      </c>
    </row>
    <row r="631" spans="1:10" hidden="1" x14ac:dyDescent="0.25">
      <c r="A631" s="4" t="s">
        <v>123</v>
      </c>
      <c r="B631" s="1">
        <v>0.38374799999999998</v>
      </c>
      <c r="C631" s="1">
        <v>0.38646399999999997</v>
      </c>
      <c r="D631" s="1">
        <f t="shared" si="63"/>
        <v>2.7159999999999962E-3</v>
      </c>
      <c r="E631">
        <f t="shared" si="64"/>
        <v>3</v>
      </c>
      <c r="F631">
        <f t="shared" si="65"/>
        <v>55</v>
      </c>
      <c r="G631">
        <f t="shared" si="66"/>
        <v>3.92</v>
      </c>
      <c r="H631">
        <f t="shared" si="67"/>
        <v>235</v>
      </c>
      <c r="I631" s="3">
        <f t="shared" si="68"/>
        <v>76.59574468085107</v>
      </c>
      <c r="J631" t="str">
        <f t="shared" si="69"/>
        <v>F</v>
      </c>
    </row>
    <row r="632" spans="1:10" hidden="1" x14ac:dyDescent="0.25">
      <c r="A632" s="4" t="s">
        <v>124</v>
      </c>
      <c r="B632" s="1">
        <v>5.1858000000000001E-2</v>
      </c>
      <c r="C632" s="1">
        <v>5.5253999999999998E-2</v>
      </c>
      <c r="D632" s="1">
        <f t="shared" si="63"/>
        <v>3.3959999999999962E-3</v>
      </c>
      <c r="E632">
        <f t="shared" si="64"/>
        <v>4</v>
      </c>
      <c r="F632">
        <f t="shared" si="65"/>
        <v>53</v>
      </c>
      <c r="G632">
        <f t="shared" si="66"/>
        <v>4.88</v>
      </c>
      <c r="H632">
        <f t="shared" si="67"/>
        <v>293</v>
      </c>
      <c r="I632" s="3">
        <f t="shared" si="68"/>
        <v>61.43344709897611</v>
      </c>
      <c r="J632" t="str">
        <f t="shared" si="69"/>
        <v>F</v>
      </c>
    </row>
    <row r="633" spans="1:10" hidden="1" x14ac:dyDescent="0.25">
      <c r="A633" s="4" t="s">
        <v>125</v>
      </c>
      <c r="B633" s="1">
        <v>0.56990099999999999</v>
      </c>
      <c r="C633" s="1">
        <v>0.57219699999999996</v>
      </c>
      <c r="D633" s="1">
        <f t="shared" si="63"/>
        <v>2.2959999999999647E-3</v>
      </c>
      <c r="E633">
        <f t="shared" si="64"/>
        <v>3</v>
      </c>
      <c r="F633">
        <f t="shared" si="65"/>
        <v>18</v>
      </c>
      <c r="G633">
        <f t="shared" si="66"/>
        <v>3.3</v>
      </c>
      <c r="H633">
        <f t="shared" si="67"/>
        <v>198</v>
      </c>
      <c r="I633" s="3">
        <f t="shared" si="68"/>
        <v>90.909090909090921</v>
      </c>
      <c r="J633" t="str">
        <f t="shared" si="69"/>
        <v>F</v>
      </c>
    </row>
    <row r="634" spans="1:10" hidden="1" x14ac:dyDescent="0.25">
      <c r="A634" s="4" t="s">
        <v>87</v>
      </c>
      <c r="B634" s="1">
        <v>0.44867299999999999</v>
      </c>
      <c r="C634" s="1">
        <v>0.45009300000000002</v>
      </c>
      <c r="D634" s="1">
        <f t="shared" si="63"/>
        <v>1.4200000000000323E-3</v>
      </c>
      <c r="E634">
        <f t="shared" si="64"/>
        <v>2</v>
      </c>
      <c r="F634">
        <f t="shared" si="65"/>
        <v>3</v>
      </c>
      <c r="G634">
        <f t="shared" si="66"/>
        <v>2.0499999999999998</v>
      </c>
      <c r="H634">
        <f t="shared" si="67"/>
        <v>123</v>
      </c>
      <c r="I634" s="3">
        <f t="shared" si="68"/>
        <v>146.34146341463415</v>
      </c>
      <c r="J634" t="str">
        <f t="shared" si="69"/>
        <v>F</v>
      </c>
    </row>
    <row r="635" spans="1:10" hidden="1" x14ac:dyDescent="0.25">
      <c r="A635" s="4" t="s">
        <v>126</v>
      </c>
      <c r="B635" s="1">
        <v>0.80859300000000001</v>
      </c>
      <c r="C635" s="1">
        <v>0.80629700000000004</v>
      </c>
      <c r="D635" s="1">
        <f t="shared" si="63"/>
        <v>2.2959999999999647E-3</v>
      </c>
      <c r="E635">
        <f t="shared" si="64"/>
        <v>3</v>
      </c>
      <c r="F635">
        <f t="shared" si="65"/>
        <v>18</v>
      </c>
      <c r="G635">
        <f t="shared" si="66"/>
        <v>3.3</v>
      </c>
      <c r="H635">
        <f t="shared" si="67"/>
        <v>198</v>
      </c>
      <c r="I635" s="3">
        <f t="shared" si="68"/>
        <v>90.909090909090921</v>
      </c>
      <c r="J635" t="str">
        <f t="shared" si="69"/>
        <v>F</v>
      </c>
    </row>
    <row r="636" spans="1:10" hidden="1" x14ac:dyDescent="0.25">
      <c r="A636" s="4" t="s">
        <v>127</v>
      </c>
      <c r="B636" s="1">
        <v>0.82420800000000005</v>
      </c>
      <c r="C636" s="1">
        <v>0.82768799999999998</v>
      </c>
      <c r="D636" s="1">
        <f t="shared" si="63"/>
        <v>3.4799999999999276E-3</v>
      </c>
      <c r="E636">
        <f t="shared" si="64"/>
        <v>5</v>
      </c>
      <c r="F636">
        <f t="shared" si="65"/>
        <v>1</v>
      </c>
      <c r="G636">
        <f t="shared" si="66"/>
        <v>5.0199999999999996</v>
      </c>
      <c r="H636">
        <f t="shared" si="67"/>
        <v>301</v>
      </c>
      <c r="I636" s="3">
        <f t="shared" si="68"/>
        <v>59.800664451827245</v>
      </c>
      <c r="J636" t="str">
        <f t="shared" si="69"/>
        <v>F</v>
      </c>
    </row>
    <row r="637" spans="1:10" hidden="1" x14ac:dyDescent="0.25">
      <c r="A637" s="4" t="s">
        <v>128</v>
      </c>
      <c r="B637" s="1">
        <v>6.3480999999999996E-2</v>
      </c>
      <c r="C637" s="1">
        <v>6.6905000000000006E-2</v>
      </c>
      <c r="D637" s="1">
        <f t="shared" si="63"/>
        <v>3.4240000000000104E-3</v>
      </c>
      <c r="E637">
        <f t="shared" si="64"/>
        <v>4</v>
      </c>
      <c r="F637">
        <f t="shared" si="65"/>
        <v>56</v>
      </c>
      <c r="G637">
        <f t="shared" si="66"/>
        <v>4.93</v>
      </c>
      <c r="H637">
        <f t="shared" si="67"/>
        <v>296</v>
      </c>
      <c r="I637" s="3">
        <f t="shared" si="68"/>
        <v>60.810810810810807</v>
      </c>
      <c r="J637" t="str">
        <f t="shared" si="69"/>
        <v>F</v>
      </c>
    </row>
    <row r="638" spans="1:10" hidden="1" x14ac:dyDescent="0.25">
      <c r="A638" s="4" t="s">
        <v>129</v>
      </c>
      <c r="B638" s="1">
        <v>0.89078199999999996</v>
      </c>
      <c r="C638" s="1">
        <v>0.89239400000000002</v>
      </c>
      <c r="D638" s="1">
        <f t="shared" si="63"/>
        <v>1.6120000000000578E-3</v>
      </c>
      <c r="E638">
        <f t="shared" si="64"/>
        <v>2</v>
      </c>
      <c r="F638">
        <f t="shared" si="65"/>
        <v>19</v>
      </c>
      <c r="G638">
        <f t="shared" si="66"/>
        <v>2.3199999999999998</v>
      </c>
      <c r="H638">
        <f t="shared" si="67"/>
        <v>139</v>
      </c>
      <c r="I638" s="3">
        <f t="shared" si="68"/>
        <v>129.49640287769785</v>
      </c>
      <c r="J638" t="str">
        <f t="shared" si="69"/>
        <v>F</v>
      </c>
    </row>
    <row r="639" spans="1:10" hidden="1" x14ac:dyDescent="0.25">
      <c r="A639" s="4" t="s">
        <v>130</v>
      </c>
      <c r="B639" s="1">
        <v>0.54161700000000002</v>
      </c>
      <c r="C639" s="1">
        <v>0.53762900000000002</v>
      </c>
      <c r="D639" s="1">
        <f t="shared" si="63"/>
        <v>3.9879999999999916E-3</v>
      </c>
      <c r="E639">
        <f t="shared" si="64"/>
        <v>5</v>
      </c>
      <c r="F639">
        <f t="shared" si="65"/>
        <v>45</v>
      </c>
      <c r="G639">
        <f t="shared" si="66"/>
        <v>5.75</v>
      </c>
      <c r="H639">
        <f t="shared" si="67"/>
        <v>345</v>
      </c>
      <c r="I639" s="3">
        <f t="shared" si="68"/>
        <v>52.173913043478265</v>
      </c>
      <c r="J639" t="str">
        <f t="shared" si="69"/>
        <v>F</v>
      </c>
    </row>
    <row r="640" spans="1:10" hidden="1" x14ac:dyDescent="0.25">
      <c r="A640" s="4" t="s">
        <v>131</v>
      </c>
      <c r="B640" s="1">
        <v>5.3295000000000002E-2</v>
      </c>
      <c r="C640" s="1">
        <v>5.0727000000000001E-2</v>
      </c>
      <c r="D640" s="1">
        <f t="shared" si="63"/>
        <v>2.5680000000000008E-3</v>
      </c>
      <c r="E640">
        <f t="shared" si="64"/>
        <v>3</v>
      </c>
      <c r="F640">
        <f t="shared" si="65"/>
        <v>42</v>
      </c>
      <c r="G640">
        <f t="shared" si="66"/>
        <v>3.7</v>
      </c>
      <c r="H640">
        <f t="shared" si="67"/>
        <v>222</v>
      </c>
      <c r="I640" s="3">
        <f t="shared" si="68"/>
        <v>81.081081081081095</v>
      </c>
      <c r="J640" t="str">
        <f t="shared" si="69"/>
        <v>F</v>
      </c>
    </row>
    <row r="641" spans="1:10" hidden="1" x14ac:dyDescent="0.25">
      <c r="A641" s="4" t="s">
        <v>132</v>
      </c>
      <c r="B641" s="1">
        <v>6.6352999999999995E-2</v>
      </c>
      <c r="C641" s="1">
        <v>6.3589000000000007E-2</v>
      </c>
      <c r="D641" s="1">
        <f t="shared" si="63"/>
        <v>2.7639999999999887E-3</v>
      </c>
      <c r="E641">
        <f t="shared" si="64"/>
        <v>3</v>
      </c>
      <c r="F641">
        <f t="shared" si="65"/>
        <v>59</v>
      </c>
      <c r="G641">
        <f t="shared" si="66"/>
        <v>3.98</v>
      </c>
      <c r="H641">
        <f t="shared" si="67"/>
        <v>239</v>
      </c>
      <c r="I641" s="3">
        <f t="shared" si="68"/>
        <v>75.313807531380746</v>
      </c>
      <c r="J641" t="str">
        <f t="shared" si="69"/>
        <v>F</v>
      </c>
    </row>
    <row r="642" spans="1:10" x14ac:dyDescent="0.25">
      <c r="A642" s="7" t="s">
        <v>179</v>
      </c>
      <c r="B642" s="1">
        <v>0.92008900000000005</v>
      </c>
      <c r="C642" s="1">
        <v>0.92382900000000001</v>
      </c>
      <c r="D642" s="1">
        <f t="shared" si="63"/>
        <v>3.7399999999999656E-3</v>
      </c>
      <c r="E642">
        <f t="shared" si="64"/>
        <v>5</v>
      </c>
      <c r="F642">
        <f t="shared" si="65"/>
        <v>23</v>
      </c>
      <c r="G642">
        <f t="shared" si="66"/>
        <v>5.38</v>
      </c>
      <c r="H642">
        <f t="shared" si="67"/>
        <v>323</v>
      </c>
      <c r="I642" s="6">
        <f t="shared" si="68"/>
        <v>55.727554179566567</v>
      </c>
      <c r="J642" t="str">
        <f t="shared" si="69"/>
        <v>T</v>
      </c>
    </row>
    <row r="643" spans="1:10" hidden="1" x14ac:dyDescent="0.25">
      <c r="A643" s="4" t="s">
        <v>134</v>
      </c>
      <c r="B643" s="1">
        <v>0.16026199999999999</v>
      </c>
      <c r="C643" s="1">
        <v>0.16416600000000001</v>
      </c>
      <c r="D643" s="1">
        <f t="shared" ref="D643:D706" si="70">IF(B643&gt;C643,B643-C643,C643-B643)</f>
        <v>3.9040000000000186E-3</v>
      </c>
      <c r="E643">
        <f t="shared" ref="E643:E706" si="71">MINUTE(D643)</f>
        <v>5</v>
      </c>
      <c r="F643">
        <f t="shared" ref="F643:F706" si="72">SECOND(D643)</f>
        <v>37</v>
      </c>
      <c r="G643">
        <f t="shared" ref="G643:G706" si="73">ROUND(E643+F643/60,2)</f>
        <v>5.62</v>
      </c>
      <c r="H643">
        <f t="shared" ref="H643:H706" si="74">60*E643+F643</f>
        <v>337</v>
      </c>
      <c r="I643" s="3">
        <f t="shared" ref="I643:I706" si="75">5*(3600/H643)</f>
        <v>53.412462908011868</v>
      </c>
      <c r="J643" t="str">
        <f t="shared" ref="J643:J706" si="76">IF(MID(A643,3,2)="18","T","F")</f>
        <v>F</v>
      </c>
    </row>
    <row r="644" spans="1:10" hidden="1" x14ac:dyDescent="0.25">
      <c r="A644" s="4" t="s">
        <v>135</v>
      </c>
      <c r="B644" s="1">
        <v>2.2994000000000001E-2</v>
      </c>
      <c r="C644" s="1">
        <v>2.5885999999999999E-2</v>
      </c>
      <c r="D644" s="1">
        <f t="shared" si="70"/>
        <v>2.8919999999999987E-3</v>
      </c>
      <c r="E644">
        <f t="shared" si="71"/>
        <v>4</v>
      </c>
      <c r="F644">
        <f t="shared" si="72"/>
        <v>10</v>
      </c>
      <c r="G644">
        <f t="shared" si="73"/>
        <v>4.17</v>
      </c>
      <c r="H644">
        <f t="shared" si="74"/>
        <v>250</v>
      </c>
      <c r="I644" s="3">
        <f t="shared" si="75"/>
        <v>72</v>
      </c>
      <c r="J644" t="str">
        <f t="shared" si="76"/>
        <v>F</v>
      </c>
    </row>
    <row r="645" spans="1:10" hidden="1" x14ac:dyDescent="0.25">
      <c r="A645" s="4" t="s">
        <v>136</v>
      </c>
      <c r="B645" s="1">
        <v>0.67697099999999999</v>
      </c>
      <c r="C645" s="1">
        <v>0.67554700000000001</v>
      </c>
      <c r="D645" s="1">
        <f t="shared" si="70"/>
        <v>1.4239999999999808E-3</v>
      </c>
      <c r="E645">
        <f t="shared" si="71"/>
        <v>2</v>
      </c>
      <c r="F645">
        <f t="shared" si="72"/>
        <v>3</v>
      </c>
      <c r="G645">
        <f t="shared" si="73"/>
        <v>2.0499999999999998</v>
      </c>
      <c r="H645">
        <f t="shared" si="74"/>
        <v>123</v>
      </c>
      <c r="I645" s="3">
        <f t="shared" si="75"/>
        <v>146.34146341463415</v>
      </c>
      <c r="J645" t="str">
        <f t="shared" si="76"/>
        <v>F</v>
      </c>
    </row>
    <row r="646" spans="1:10" hidden="1" x14ac:dyDescent="0.25">
      <c r="A646" s="4" t="s">
        <v>137</v>
      </c>
      <c r="B646" s="1">
        <v>0.78898900000000005</v>
      </c>
      <c r="C646" s="1">
        <v>0.78733299999999995</v>
      </c>
      <c r="D646" s="1">
        <f t="shared" si="70"/>
        <v>1.6560000000001018E-3</v>
      </c>
      <c r="E646">
        <f t="shared" si="71"/>
        <v>2</v>
      </c>
      <c r="F646">
        <f t="shared" si="72"/>
        <v>23</v>
      </c>
      <c r="G646">
        <f t="shared" si="73"/>
        <v>2.38</v>
      </c>
      <c r="H646">
        <f t="shared" si="74"/>
        <v>143</v>
      </c>
      <c r="I646" s="3">
        <f t="shared" si="75"/>
        <v>125.87412587412587</v>
      </c>
      <c r="J646" t="str">
        <f t="shared" si="76"/>
        <v>F</v>
      </c>
    </row>
    <row r="647" spans="1:10" hidden="1" x14ac:dyDescent="0.25">
      <c r="A647" s="4" t="s">
        <v>138</v>
      </c>
      <c r="B647" s="1">
        <v>0.94605499999999998</v>
      </c>
      <c r="C647" s="1">
        <v>0.94314699999999996</v>
      </c>
      <c r="D647" s="1">
        <f t="shared" si="70"/>
        <v>2.9080000000000217E-3</v>
      </c>
      <c r="E647">
        <f t="shared" si="71"/>
        <v>4</v>
      </c>
      <c r="F647">
        <f t="shared" si="72"/>
        <v>11</v>
      </c>
      <c r="G647">
        <f t="shared" si="73"/>
        <v>4.18</v>
      </c>
      <c r="H647">
        <f t="shared" si="74"/>
        <v>251</v>
      </c>
      <c r="I647" s="3">
        <f t="shared" si="75"/>
        <v>71.713147410358559</v>
      </c>
      <c r="J647" t="str">
        <f t="shared" si="76"/>
        <v>F</v>
      </c>
    </row>
    <row r="648" spans="1:10" hidden="1" x14ac:dyDescent="0.25">
      <c r="A648" s="4" t="s">
        <v>139</v>
      </c>
      <c r="B648" s="1">
        <v>0.28436099999999997</v>
      </c>
      <c r="C648" s="1">
        <v>0.286385</v>
      </c>
      <c r="D648" s="1">
        <f t="shared" si="70"/>
        <v>2.0240000000000258E-3</v>
      </c>
      <c r="E648">
        <f t="shared" si="71"/>
        <v>2</v>
      </c>
      <c r="F648">
        <f t="shared" si="72"/>
        <v>55</v>
      </c>
      <c r="G648">
        <f t="shared" si="73"/>
        <v>2.92</v>
      </c>
      <c r="H648">
        <f t="shared" si="74"/>
        <v>175</v>
      </c>
      <c r="I648" s="3">
        <f t="shared" si="75"/>
        <v>102.85714285714286</v>
      </c>
      <c r="J648" t="str">
        <f t="shared" si="76"/>
        <v>F</v>
      </c>
    </row>
    <row r="649" spans="1:10" hidden="1" x14ac:dyDescent="0.25">
      <c r="A649" s="4" t="s">
        <v>140</v>
      </c>
      <c r="B649" s="1">
        <v>0.90234800000000004</v>
      </c>
      <c r="C649" s="1">
        <v>0.89943600000000001</v>
      </c>
      <c r="D649" s="1">
        <f t="shared" si="70"/>
        <v>2.9120000000000257E-3</v>
      </c>
      <c r="E649">
        <f t="shared" si="71"/>
        <v>4</v>
      </c>
      <c r="F649">
        <f t="shared" si="72"/>
        <v>12</v>
      </c>
      <c r="G649">
        <f t="shared" si="73"/>
        <v>4.2</v>
      </c>
      <c r="H649">
        <f t="shared" si="74"/>
        <v>252</v>
      </c>
      <c r="I649" s="3">
        <f t="shared" si="75"/>
        <v>71.428571428571431</v>
      </c>
      <c r="J649" t="str">
        <f t="shared" si="76"/>
        <v>F</v>
      </c>
    </row>
    <row r="650" spans="1:10" hidden="1" x14ac:dyDescent="0.25">
      <c r="A650" s="4" t="s">
        <v>141</v>
      </c>
      <c r="B650" s="1">
        <v>0.85301000000000005</v>
      </c>
      <c r="C650" s="1">
        <v>0.85059799999999997</v>
      </c>
      <c r="D650" s="1">
        <f t="shared" si="70"/>
        <v>2.4120000000000807E-3</v>
      </c>
      <c r="E650">
        <f t="shared" si="71"/>
        <v>3</v>
      </c>
      <c r="F650">
        <f t="shared" si="72"/>
        <v>28</v>
      </c>
      <c r="G650">
        <f t="shared" si="73"/>
        <v>3.47</v>
      </c>
      <c r="H650">
        <f t="shared" si="74"/>
        <v>208</v>
      </c>
      <c r="I650" s="3">
        <f t="shared" si="75"/>
        <v>86.538461538461533</v>
      </c>
      <c r="J650" t="str">
        <f t="shared" si="76"/>
        <v>F</v>
      </c>
    </row>
    <row r="651" spans="1:10" hidden="1" x14ac:dyDescent="0.25">
      <c r="A651" s="4" t="s">
        <v>142</v>
      </c>
      <c r="B651" s="1">
        <v>0.24293500000000001</v>
      </c>
      <c r="C651" s="1">
        <v>0.24593100000000001</v>
      </c>
      <c r="D651" s="1">
        <f t="shared" si="70"/>
        <v>2.9959999999999987E-3</v>
      </c>
      <c r="E651">
        <f t="shared" si="71"/>
        <v>4</v>
      </c>
      <c r="F651">
        <f t="shared" si="72"/>
        <v>19</v>
      </c>
      <c r="G651">
        <f t="shared" si="73"/>
        <v>4.32</v>
      </c>
      <c r="H651">
        <f t="shared" si="74"/>
        <v>259</v>
      </c>
      <c r="I651" s="3">
        <f t="shared" si="75"/>
        <v>69.498069498069498</v>
      </c>
      <c r="J651" t="str">
        <f t="shared" si="76"/>
        <v>F</v>
      </c>
    </row>
    <row r="652" spans="1:10" hidden="1" x14ac:dyDescent="0.25">
      <c r="A652" s="4" t="s">
        <v>143</v>
      </c>
      <c r="B652" s="1">
        <v>0.80431299999999994</v>
      </c>
      <c r="C652" s="1">
        <v>0.80078099999999997</v>
      </c>
      <c r="D652" s="1">
        <f t="shared" si="70"/>
        <v>3.5319999999999796E-3</v>
      </c>
      <c r="E652">
        <f t="shared" si="71"/>
        <v>5</v>
      </c>
      <c r="F652">
        <f t="shared" si="72"/>
        <v>5</v>
      </c>
      <c r="G652">
        <f t="shared" si="73"/>
        <v>5.08</v>
      </c>
      <c r="H652">
        <f t="shared" si="74"/>
        <v>305</v>
      </c>
      <c r="I652" s="3">
        <f t="shared" si="75"/>
        <v>59.016393442622956</v>
      </c>
      <c r="J652" t="str">
        <f t="shared" si="76"/>
        <v>F</v>
      </c>
    </row>
    <row r="653" spans="1:10" hidden="1" x14ac:dyDescent="0.25">
      <c r="A653" s="4" t="s">
        <v>144</v>
      </c>
      <c r="B653" s="1">
        <v>0.73835600000000001</v>
      </c>
      <c r="C653" s="1">
        <v>0.73983200000000005</v>
      </c>
      <c r="D653" s="1">
        <f t="shared" si="70"/>
        <v>1.4760000000000328E-3</v>
      </c>
      <c r="E653">
        <f t="shared" si="71"/>
        <v>2</v>
      </c>
      <c r="F653">
        <f t="shared" si="72"/>
        <v>8</v>
      </c>
      <c r="G653">
        <f t="shared" si="73"/>
        <v>2.13</v>
      </c>
      <c r="H653">
        <f t="shared" si="74"/>
        <v>128</v>
      </c>
      <c r="I653" s="3">
        <f t="shared" si="75"/>
        <v>140.625</v>
      </c>
      <c r="J653" t="str">
        <f t="shared" si="76"/>
        <v>F</v>
      </c>
    </row>
    <row r="654" spans="1:10" hidden="1" x14ac:dyDescent="0.25">
      <c r="A654" s="4" t="s">
        <v>145</v>
      </c>
      <c r="B654" s="1">
        <v>0.47162799999999999</v>
      </c>
      <c r="C654" s="1">
        <v>0.46820800000000001</v>
      </c>
      <c r="D654" s="1">
        <f t="shared" si="70"/>
        <v>3.4199999999999786E-3</v>
      </c>
      <c r="E654">
        <f t="shared" si="71"/>
        <v>4</v>
      </c>
      <c r="F654">
        <f t="shared" si="72"/>
        <v>55</v>
      </c>
      <c r="G654">
        <f t="shared" si="73"/>
        <v>4.92</v>
      </c>
      <c r="H654">
        <f t="shared" si="74"/>
        <v>295</v>
      </c>
      <c r="I654" s="3">
        <f t="shared" si="75"/>
        <v>61.016949152542367</v>
      </c>
      <c r="J654" t="str">
        <f t="shared" si="76"/>
        <v>F</v>
      </c>
    </row>
    <row r="655" spans="1:10" hidden="1" x14ac:dyDescent="0.25">
      <c r="A655" s="4" t="s">
        <v>146</v>
      </c>
      <c r="B655" s="1">
        <v>0.72777400000000003</v>
      </c>
      <c r="C655" s="1">
        <v>0.72487400000000002</v>
      </c>
      <c r="D655" s="1">
        <f t="shared" si="70"/>
        <v>2.9000000000000137E-3</v>
      </c>
      <c r="E655">
        <f t="shared" si="71"/>
        <v>4</v>
      </c>
      <c r="F655">
        <f t="shared" si="72"/>
        <v>11</v>
      </c>
      <c r="G655">
        <f t="shared" si="73"/>
        <v>4.18</v>
      </c>
      <c r="H655">
        <f t="shared" si="74"/>
        <v>251</v>
      </c>
      <c r="I655" s="3">
        <f t="shared" si="75"/>
        <v>71.713147410358559</v>
      </c>
      <c r="J655" t="str">
        <f t="shared" si="76"/>
        <v>F</v>
      </c>
    </row>
    <row r="656" spans="1:10" hidden="1" x14ac:dyDescent="0.25">
      <c r="A656" s="4" t="s">
        <v>147</v>
      </c>
      <c r="B656" s="1">
        <v>0.42548399999999997</v>
      </c>
      <c r="C656" s="1">
        <v>0.42727199999999999</v>
      </c>
      <c r="D656" s="1">
        <f t="shared" si="70"/>
        <v>1.7880000000000118E-3</v>
      </c>
      <c r="E656">
        <f t="shared" si="71"/>
        <v>2</v>
      </c>
      <c r="F656">
        <f t="shared" si="72"/>
        <v>34</v>
      </c>
      <c r="G656">
        <f t="shared" si="73"/>
        <v>2.57</v>
      </c>
      <c r="H656">
        <f t="shared" si="74"/>
        <v>154</v>
      </c>
      <c r="I656" s="3">
        <f t="shared" si="75"/>
        <v>116.88311688311688</v>
      </c>
      <c r="J656" t="str">
        <f t="shared" si="76"/>
        <v>F</v>
      </c>
    </row>
    <row r="657" spans="1:10" hidden="1" x14ac:dyDescent="0.25">
      <c r="A657" s="4" t="s">
        <v>148</v>
      </c>
      <c r="B657" s="1">
        <v>0.84191199999999999</v>
      </c>
      <c r="C657" s="1">
        <v>0.84441600000000006</v>
      </c>
      <c r="D657" s="1">
        <f t="shared" si="70"/>
        <v>2.5040000000000617E-3</v>
      </c>
      <c r="E657">
        <f t="shared" si="71"/>
        <v>3</v>
      </c>
      <c r="F657">
        <f t="shared" si="72"/>
        <v>36</v>
      </c>
      <c r="G657">
        <f t="shared" si="73"/>
        <v>3.6</v>
      </c>
      <c r="H657">
        <f t="shared" si="74"/>
        <v>216</v>
      </c>
      <c r="I657" s="3">
        <f t="shared" si="75"/>
        <v>83.333333333333343</v>
      </c>
      <c r="J657" t="str">
        <f t="shared" si="76"/>
        <v>F</v>
      </c>
    </row>
    <row r="658" spans="1:10" hidden="1" x14ac:dyDescent="0.25">
      <c r="A658" s="4" t="s">
        <v>149</v>
      </c>
      <c r="B658" s="1">
        <v>0.84406099999999995</v>
      </c>
      <c r="C658" s="1">
        <v>0.84692100000000003</v>
      </c>
      <c r="D658" s="1">
        <f t="shared" si="70"/>
        <v>2.8600000000000847E-3</v>
      </c>
      <c r="E658">
        <f t="shared" si="71"/>
        <v>4</v>
      </c>
      <c r="F658">
        <f t="shared" si="72"/>
        <v>7</v>
      </c>
      <c r="G658">
        <f t="shared" si="73"/>
        <v>4.12</v>
      </c>
      <c r="H658">
        <f t="shared" si="74"/>
        <v>247</v>
      </c>
      <c r="I658" s="3">
        <f t="shared" si="75"/>
        <v>72.874493927125513</v>
      </c>
      <c r="J658" t="str">
        <f t="shared" si="76"/>
        <v>F</v>
      </c>
    </row>
    <row r="659" spans="1:10" hidden="1" x14ac:dyDescent="0.25">
      <c r="A659" s="4" t="s">
        <v>150</v>
      </c>
      <c r="B659" s="1">
        <v>0.71468200000000004</v>
      </c>
      <c r="C659" s="1">
        <v>0.71811000000000003</v>
      </c>
      <c r="D659" s="1">
        <f t="shared" si="70"/>
        <v>3.4279999999999866E-3</v>
      </c>
      <c r="E659">
        <f t="shared" si="71"/>
        <v>4</v>
      </c>
      <c r="F659">
        <f t="shared" si="72"/>
        <v>56</v>
      </c>
      <c r="G659">
        <f t="shared" si="73"/>
        <v>4.93</v>
      </c>
      <c r="H659">
        <f t="shared" si="74"/>
        <v>296</v>
      </c>
      <c r="I659" s="3">
        <f t="shared" si="75"/>
        <v>60.810810810810807</v>
      </c>
      <c r="J659" t="str">
        <f t="shared" si="76"/>
        <v>F</v>
      </c>
    </row>
    <row r="660" spans="1:10" x14ac:dyDescent="0.25">
      <c r="A660" s="7" t="s">
        <v>180</v>
      </c>
      <c r="B660" s="1">
        <v>0.14814099999999999</v>
      </c>
      <c r="C660" s="1">
        <v>0.14450499999999999</v>
      </c>
      <c r="D660" s="1">
        <f t="shared" si="70"/>
        <v>3.6360000000000003E-3</v>
      </c>
      <c r="E660">
        <f t="shared" si="71"/>
        <v>5</v>
      </c>
      <c r="F660">
        <f t="shared" si="72"/>
        <v>14</v>
      </c>
      <c r="G660">
        <f t="shared" si="73"/>
        <v>5.23</v>
      </c>
      <c r="H660">
        <f t="shared" si="74"/>
        <v>314</v>
      </c>
      <c r="I660" s="6">
        <f t="shared" si="75"/>
        <v>57.324840764331206</v>
      </c>
      <c r="J660" t="str">
        <f t="shared" si="76"/>
        <v>T</v>
      </c>
    </row>
    <row r="661" spans="1:10" hidden="1" x14ac:dyDescent="0.25">
      <c r="A661" s="4" t="s">
        <v>152</v>
      </c>
      <c r="B661" s="1">
        <v>0.76902999999999999</v>
      </c>
      <c r="C661" s="1">
        <v>0.76503399999999999</v>
      </c>
      <c r="D661" s="1">
        <f t="shared" si="70"/>
        <v>3.9959999999999996E-3</v>
      </c>
      <c r="E661">
        <f t="shared" si="71"/>
        <v>5</v>
      </c>
      <c r="F661">
        <f t="shared" si="72"/>
        <v>45</v>
      </c>
      <c r="G661">
        <f t="shared" si="73"/>
        <v>5.75</v>
      </c>
      <c r="H661">
        <f t="shared" si="74"/>
        <v>345</v>
      </c>
      <c r="I661" s="3">
        <f t="shared" si="75"/>
        <v>52.173913043478265</v>
      </c>
      <c r="J661" t="str">
        <f t="shared" si="76"/>
        <v>F</v>
      </c>
    </row>
    <row r="662" spans="1:10" hidden="1" x14ac:dyDescent="0.25">
      <c r="A662" s="4" t="s">
        <v>153</v>
      </c>
      <c r="B662" s="1">
        <v>0.36479400000000001</v>
      </c>
      <c r="C662" s="1">
        <v>0.36725799999999997</v>
      </c>
      <c r="D662" s="1">
        <f t="shared" si="70"/>
        <v>2.4639999999999662E-3</v>
      </c>
      <c r="E662">
        <f t="shared" si="71"/>
        <v>3</v>
      </c>
      <c r="F662">
        <f t="shared" si="72"/>
        <v>33</v>
      </c>
      <c r="G662">
        <f t="shared" si="73"/>
        <v>3.55</v>
      </c>
      <c r="H662">
        <f t="shared" si="74"/>
        <v>213</v>
      </c>
      <c r="I662" s="3">
        <f t="shared" si="75"/>
        <v>84.507042253521121</v>
      </c>
      <c r="J662" t="str">
        <f t="shared" si="76"/>
        <v>F</v>
      </c>
    </row>
    <row r="663" spans="1:10" hidden="1" x14ac:dyDescent="0.25">
      <c r="A663" s="4" t="s">
        <v>154</v>
      </c>
      <c r="B663" s="1">
        <v>0.53641000000000005</v>
      </c>
      <c r="C663" s="1">
        <v>0.53306200000000004</v>
      </c>
      <c r="D663" s="1">
        <f t="shared" si="70"/>
        <v>3.3480000000000176E-3</v>
      </c>
      <c r="E663">
        <f t="shared" si="71"/>
        <v>4</v>
      </c>
      <c r="F663">
        <f t="shared" si="72"/>
        <v>49</v>
      </c>
      <c r="G663">
        <f t="shared" si="73"/>
        <v>4.82</v>
      </c>
      <c r="H663">
        <f t="shared" si="74"/>
        <v>289</v>
      </c>
      <c r="I663" s="3">
        <f t="shared" si="75"/>
        <v>62.283737024221459</v>
      </c>
      <c r="J663" t="str">
        <f t="shared" si="76"/>
        <v>F</v>
      </c>
    </row>
    <row r="664" spans="1:10" hidden="1" x14ac:dyDescent="0.25">
      <c r="A664" s="4" t="s">
        <v>155</v>
      </c>
      <c r="B664" s="1">
        <v>0.38238299999999997</v>
      </c>
      <c r="C664" s="1">
        <v>0.38064700000000001</v>
      </c>
      <c r="D664" s="1">
        <f t="shared" si="70"/>
        <v>1.7359999999999598E-3</v>
      </c>
      <c r="E664">
        <f t="shared" si="71"/>
        <v>2</v>
      </c>
      <c r="F664">
        <f t="shared" si="72"/>
        <v>30</v>
      </c>
      <c r="G664">
        <f t="shared" si="73"/>
        <v>2.5</v>
      </c>
      <c r="H664">
        <f t="shared" si="74"/>
        <v>150</v>
      </c>
      <c r="I664" s="3">
        <f t="shared" si="75"/>
        <v>120</v>
      </c>
      <c r="J664" t="str">
        <f t="shared" si="76"/>
        <v>F</v>
      </c>
    </row>
    <row r="665" spans="1:10" hidden="1" x14ac:dyDescent="0.25">
      <c r="A665" s="4" t="s">
        <v>156</v>
      </c>
      <c r="B665" s="1">
        <v>0.47500999999999999</v>
      </c>
      <c r="C665" s="1">
        <v>0.47900199999999998</v>
      </c>
      <c r="D665" s="1">
        <f t="shared" si="70"/>
        <v>3.9919999999999956E-3</v>
      </c>
      <c r="E665">
        <f t="shared" si="71"/>
        <v>5</v>
      </c>
      <c r="F665">
        <f t="shared" si="72"/>
        <v>45</v>
      </c>
      <c r="G665">
        <f t="shared" si="73"/>
        <v>5.75</v>
      </c>
      <c r="H665">
        <f t="shared" si="74"/>
        <v>345</v>
      </c>
      <c r="I665" s="3">
        <f t="shared" si="75"/>
        <v>52.173913043478265</v>
      </c>
      <c r="J665" t="str">
        <f t="shared" si="76"/>
        <v>F</v>
      </c>
    </row>
    <row r="666" spans="1:10" hidden="1" x14ac:dyDescent="0.25">
      <c r="A666" s="4" t="s">
        <v>157</v>
      </c>
      <c r="B666" s="1">
        <v>0.72528599999999999</v>
      </c>
      <c r="C666" s="1">
        <v>0.72699800000000003</v>
      </c>
      <c r="D666" s="1">
        <f t="shared" si="70"/>
        <v>1.7120000000000468E-3</v>
      </c>
      <c r="E666">
        <f t="shared" si="71"/>
        <v>2</v>
      </c>
      <c r="F666">
        <f t="shared" si="72"/>
        <v>28</v>
      </c>
      <c r="G666">
        <f t="shared" si="73"/>
        <v>2.4700000000000002</v>
      </c>
      <c r="H666">
        <f t="shared" si="74"/>
        <v>148</v>
      </c>
      <c r="I666" s="3">
        <f t="shared" si="75"/>
        <v>121.62162162162161</v>
      </c>
      <c r="J666" t="str">
        <f t="shared" si="76"/>
        <v>F</v>
      </c>
    </row>
    <row r="667" spans="1:10" hidden="1" x14ac:dyDescent="0.25">
      <c r="A667" s="4" t="s">
        <v>158</v>
      </c>
      <c r="B667" s="1">
        <v>0.58547800000000005</v>
      </c>
      <c r="C667" s="1">
        <v>0.58823000000000003</v>
      </c>
      <c r="D667" s="1">
        <f t="shared" si="70"/>
        <v>2.7519999999999767E-3</v>
      </c>
      <c r="E667">
        <f t="shared" si="71"/>
        <v>3</v>
      </c>
      <c r="F667">
        <f t="shared" si="72"/>
        <v>58</v>
      </c>
      <c r="G667">
        <f t="shared" si="73"/>
        <v>3.97</v>
      </c>
      <c r="H667">
        <f t="shared" si="74"/>
        <v>238</v>
      </c>
      <c r="I667" s="3">
        <f t="shared" si="75"/>
        <v>75.630252100840337</v>
      </c>
      <c r="J667" t="str">
        <f t="shared" si="76"/>
        <v>F</v>
      </c>
    </row>
    <row r="668" spans="1:10" hidden="1" x14ac:dyDescent="0.25">
      <c r="A668" s="4" t="s">
        <v>159</v>
      </c>
      <c r="B668" s="1">
        <v>0.37415799999999999</v>
      </c>
      <c r="C668" s="1">
        <v>0.375778</v>
      </c>
      <c r="D668" s="1">
        <f t="shared" si="70"/>
        <v>1.6200000000000103E-3</v>
      </c>
      <c r="E668">
        <f t="shared" si="71"/>
        <v>2</v>
      </c>
      <c r="F668">
        <f t="shared" si="72"/>
        <v>20</v>
      </c>
      <c r="G668">
        <f t="shared" si="73"/>
        <v>2.33</v>
      </c>
      <c r="H668">
        <f t="shared" si="74"/>
        <v>140</v>
      </c>
      <c r="I668" s="3">
        <f t="shared" si="75"/>
        <v>128.57142857142858</v>
      </c>
      <c r="J668" t="str">
        <f t="shared" si="76"/>
        <v>F</v>
      </c>
    </row>
    <row r="669" spans="1:10" hidden="1" x14ac:dyDescent="0.25">
      <c r="A669" s="4" t="s">
        <v>160</v>
      </c>
      <c r="B669" s="1">
        <v>0.85336199999999995</v>
      </c>
      <c r="C669" s="1">
        <v>0.85630600000000001</v>
      </c>
      <c r="D669" s="1">
        <f t="shared" si="70"/>
        <v>2.9440000000000577E-3</v>
      </c>
      <c r="E669">
        <f t="shared" si="71"/>
        <v>4</v>
      </c>
      <c r="F669">
        <f t="shared" si="72"/>
        <v>14</v>
      </c>
      <c r="G669">
        <f t="shared" si="73"/>
        <v>4.2300000000000004</v>
      </c>
      <c r="H669">
        <f t="shared" si="74"/>
        <v>254</v>
      </c>
      <c r="I669" s="3">
        <f t="shared" si="75"/>
        <v>70.866141732283467</v>
      </c>
      <c r="J669" t="str">
        <f t="shared" si="76"/>
        <v>F</v>
      </c>
    </row>
    <row r="670" spans="1:10" hidden="1" x14ac:dyDescent="0.25">
      <c r="A670" s="4" t="s">
        <v>161</v>
      </c>
      <c r="B670" s="1">
        <v>0.87226400000000004</v>
      </c>
      <c r="C670" s="1">
        <v>0.86888399999999999</v>
      </c>
      <c r="D670" s="1">
        <f t="shared" si="70"/>
        <v>3.3800000000000496E-3</v>
      </c>
      <c r="E670">
        <f t="shared" si="71"/>
        <v>4</v>
      </c>
      <c r="F670">
        <f t="shared" si="72"/>
        <v>52</v>
      </c>
      <c r="G670">
        <f t="shared" si="73"/>
        <v>4.87</v>
      </c>
      <c r="H670">
        <f t="shared" si="74"/>
        <v>292</v>
      </c>
      <c r="I670" s="3">
        <f t="shared" si="75"/>
        <v>61.643835616438352</v>
      </c>
      <c r="J670" t="str">
        <f t="shared" si="76"/>
        <v>F</v>
      </c>
    </row>
    <row r="671" spans="1:10" hidden="1" x14ac:dyDescent="0.25">
      <c r="A671" s="4" t="s">
        <v>162</v>
      </c>
      <c r="B671" s="1">
        <v>0.42178399999999999</v>
      </c>
      <c r="C671" s="1">
        <v>0.42480400000000001</v>
      </c>
      <c r="D671" s="1">
        <f t="shared" si="70"/>
        <v>3.0200000000000227E-3</v>
      </c>
      <c r="E671">
        <f t="shared" si="71"/>
        <v>4</v>
      </c>
      <c r="F671">
        <f t="shared" si="72"/>
        <v>21</v>
      </c>
      <c r="G671">
        <f t="shared" si="73"/>
        <v>4.3499999999999996</v>
      </c>
      <c r="H671">
        <f t="shared" si="74"/>
        <v>261</v>
      </c>
      <c r="I671" s="3">
        <f t="shared" si="75"/>
        <v>68.965517241379303</v>
      </c>
      <c r="J671" t="str">
        <f t="shared" si="76"/>
        <v>F</v>
      </c>
    </row>
    <row r="672" spans="1:10" hidden="1" x14ac:dyDescent="0.25">
      <c r="A672" s="4" t="s">
        <v>163</v>
      </c>
      <c r="B672" s="1">
        <v>0.71701300000000001</v>
      </c>
      <c r="C672" s="1">
        <v>0.71365299999999998</v>
      </c>
      <c r="D672" s="1">
        <f t="shared" si="70"/>
        <v>3.3600000000000296E-3</v>
      </c>
      <c r="E672">
        <f t="shared" si="71"/>
        <v>4</v>
      </c>
      <c r="F672">
        <f t="shared" si="72"/>
        <v>50</v>
      </c>
      <c r="G672">
        <f t="shared" si="73"/>
        <v>4.83</v>
      </c>
      <c r="H672">
        <f t="shared" si="74"/>
        <v>290</v>
      </c>
      <c r="I672" s="3">
        <f t="shared" si="75"/>
        <v>62.068965517241381</v>
      </c>
      <c r="J672" t="str">
        <f t="shared" si="76"/>
        <v>F</v>
      </c>
    </row>
    <row r="673" spans="1:10" hidden="1" x14ac:dyDescent="0.25">
      <c r="A673" s="4" t="s">
        <v>107</v>
      </c>
      <c r="B673" s="1">
        <v>2.9825000000000001E-2</v>
      </c>
      <c r="C673" s="1">
        <v>3.3637E-2</v>
      </c>
      <c r="D673" s="1">
        <f t="shared" si="70"/>
        <v>3.8119999999999994E-3</v>
      </c>
      <c r="E673">
        <f t="shared" si="71"/>
        <v>5</v>
      </c>
      <c r="F673">
        <f t="shared" si="72"/>
        <v>29</v>
      </c>
      <c r="G673">
        <f t="shared" si="73"/>
        <v>5.48</v>
      </c>
      <c r="H673">
        <f t="shared" si="74"/>
        <v>329</v>
      </c>
      <c r="I673" s="3">
        <f t="shared" si="75"/>
        <v>54.711246200607903</v>
      </c>
      <c r="J673" t="str">
        <f t="shared" si="76"/>
        <v>F</v>
      </c>
    </row>
    <row r="674" spans="1:10" hidden="1" x14ac:dyDescent="0.25">
      <c r="A674" s="4" t="s">
        <v>16</v>
      </c>
      <c r="B674" s="1">
        <v>0.26755400000000001</v>
      </c>
      <c r="C674" s="1">
        <v>0.266042</v>
      </c>
      <c r="D674" s="1">
        <f t="shared" si="70"/>
        <v>1.5120000000000133E-3</v>
      </c>
      <c r="E674">
        <f t="shared" si="71"/>
        <v>2</v>
      </c>
      <c r="F674">
        <f t="shared" si="72"/>
        <v>11</v>
      </c>
      <c r="G674">
        <f t="shared" si="73"/>
        <v>2.1800000000000002</v>
      </c>
      <c r="H674">
        <f t="shared" si="74"/>
        <v>131</v>
      </c>
      <c r="I674" s="3">
        <f t="shared" si="75"/>
        <v>137.40458015267177</v>
      </c>
      <c r="J674" t="str">
        <f t="shared" si="76"/>
        <v>F</v>
      </c>
    </row>
    <row r="675" spans="1:10" hidden="1" x14ac:dyDescent="0.25">
      <c r="A675" s="4" t="s">
        <v>64</v>
      </c>
      <c r="B675" s="1">
        <v>0.184341</v>
      </c>
      <c r="C675" s="1">
        <v>0.18803700000000001</v>
      </c>
      <c r="D675" s="1">
        <f t="shared" si="70"/>
        <v>3.6960000000000048E-3</v>
      </c>
      <c r="E675">
        <f t="shared" si="71"/>
        <v>5</v>
      </c>
      <c r="F675">
        <f t="shared" si="72"/>
        <v>19</v>
      </c>
      <c r="G675">
        <f t="shared" si="73"/>
        <v>5.32</v>
      </c>
      <c r="H675">
        <f t="shared" si="74"/>
        <v>319</v>
      </c>
      <c r="I675" s="3">
        <f t="shared" si="75"/>
        <v>56.426332288401255</v>
      </c>
      <c r="J675" t="str">
        <f t="shared" si="76"/>
        <v>F</v>
      </c>
    </row>
    <row r="676" spans="1:10" hidden="1" x14ac:dyDescent="0.25">
      <c r="A676" s="4" t="s">
        <v>155</v>
      </c>
      <c r="B676" s="1">
        <v>0.55934799999999996</v>
      </c>
      <c r="C676" s="1">
        <v>0.55619200000000002</v>
      </c>
      <c r="D676" s="1">
        <f t="shared" si="70"/>
        <v>3.1559999999999366E-3</v>
      </c>
      <c r="E676">
        <f t="shared" si="71"/>
        <v>4</v>
      </c>
      <c r="F676">
        <f t="shared" si="72"/>
        <v>33</v>
      </c>
      <c r="G676">
        <f t="shared" si="73"/>
        <v>4.55</v>
      </c>
      <c r="H676">
        <f t="shared" si="74"/>
        <v>273</v>
      </c>
      <c r="I676" s="3">
        <f t="shared" si="75"/>
        <v>65.934065934065927</v>
      </c>
      <c r="J676" t="str">
        <f t="shared" si="76"/>
        <v>F</v>
      </c>
    </row>
    <row r="677" spans="1:10" hidden="1" x14ac:dyDescent="0.25">
      <c r="A677" s="4" t="s">
        <v>74</v>
      </c>
      <c r="B677" s="1">
        <v>0.30348399999999998</v>
      </c>
      <c r="C677" s="1">
        <v>0.30182799999999999</v>
      </c>
      <c r="D677" s="1">
        <f t="shared" si="70"/>
        <v>1.6559999999999908E-3</v>
      </c>
      <c r="E677">
        <f t="shared" si="71"/>
        <v>2</v>
      </c>
      <c r="F677">
        <f t="shared" si="72"/>
        <v>23</v>
      </c>
      <c r="G677">
        <f t="shared" si="73"/>
        <v>2.38</v>
      </c>
      <c r="H677">
        <f t="shared" si="74"/>
        <v>143</v>
      </c>
      <c r="I677" s="3">
        <f t="shared" si="75"/>
        <v>125.87412587412587</v>
      </c>
      <c r="J677" t="str">
        <f t="shared" si="76"/>
        <v>F</v>
      </c>
    </row>
    <row r="678" spans="1:10" hidden="1" x14ac:dyDescent="0.25">
      <c r="A678" s="4" t="s">
        <v>21</v>
      </c>
      <c r="B678" s="1">
        <v>0.25031599999999998</v>
      </c>
      <c r="C678" s="1">
        <v>0.24890399999999999</v>
      </c>
      <c r="D678" s="1">
        <f t="shared" si="70"/>
        <v>1.4119999999999966E-3</v>
      </c>
      <c r="E678">
        <f t="shared" si="71"/>
        <v>2</v>
      </c>
      <c r="F678">
        <f t="shared" si="72"/>
        <v>2</v>
      </c>
      <c r="G678">
        <f t="shared" si="73"/>
        <v>2.0299999999999998</v>
      </c>
      <c r="H678">
        <f t="shared" si="74"/>
        <v>122</v>
      </c>
      <c r="I678" s="3">
        <f t="shared" si="75"/>
        <v>147.54098360655738</v>
      </c>
      <c r="J678" t="str">
        <f t="shared" si="76"/>
        <v>F</v>
      </c>
    </row>
    <row r="679" spans="1:10" hidden="1" x14ac:dyDescent="0.25">
      <c r="A679" s="4" t="s">
        <v>27</v>
      </c>
      <c r="B679" s="1">
        <v>7.0146E-2</v>
      </c>
      <c r="C679" s="1">
        <v>6.633E-2</v>
      </c>
      <c r="D679" s="1">
        <f t="shared" si="70"/>
        <v>3.8159999999999999E-3</v>
      </c>
      <c r="E679">
        <f t="shared" si="71"/>
        <v>5</v>
      </c>
      <c r="F679">
        <f t="shared" si="72"/>
        <v>30</v>
      </c>
      <c r="G679">
        <f t="shared" si="73"/>
        <v>5.5</v>
      </c>
      <c r="H679">
        <f t="shared" si="74"/>
        <v>330</v>
      </c>
      <c r="I679" s="3">
        <f t="shared" si="75"/>
        <v>54.54545454545454</v>
      </c>
      <c r="J679" t="str">
        <f t="shared" si="76"/>
        <v>F</v>
      </c>
    </row>
    <row r="680" spans="1:10" hidden="1" x14ac:dyDescent="0.25">
      <c r="A680" s="4" t="s">
        <v>83</v>
      </c>
      <c r="B680" s="1">
        <v>6.6768999999999995E-2</v>
      </c>
      <c r="C680" s="1">
        <v>6.9177000000000002E-2</v>
      </c>
      <c r="D680" s="1">
        <f t="shared" si="70"/>
        <v>2.4080000000000074E-3</v>
      </c>
      <c r="E680">
        <f t="shared" si="71"/>
        <v>3</v>
      </c>
      <c r="F680">
        <f t="shared" si="72"/>
        <v>28</v>
      </c>
      <c r="G680">
        <f t="shared" si="73"/>
        <v>3.47</v>
      </c>
      <c r="H680">
        <f t="shared" si="74"/>
        <v>208</v>
      </c>
      <c r="I680" s="3">
        <f t="shared" si="75"/>
        <v>86.538461538461533</v>
      </c>
      <c r="J680" t="str">
        <f t="shared" si="76"/>
        <v>F</v>
      </c>
    </row>
    <row r="681" spans="1:10" hidden="1" x14ac:dyDescent="0.25">
      <c r="A681" s="4" t="s">
        <v>60</v>
      </c>
      <c r="B681" s="1">
        <v>0.42548900000000001</v>
      </c>
      <c r="C681" s="1">
        <v>0.42702099999999998</v>
      </c>
      <c r="D681" s="1">
        <f t="shared" si="70"/>
        <v>1.5319999999999778E-3</v>
      </c>
      <c r="E681">
        <f t="shared" si="71"/>
        <v>2</v>
      </c>
      <c r="F681">
        <f t="shared" si="72"/>
        <v>12</v>
      </c>
      <c r="G681">
        <f t="shared" si="73"/>
        <v>2.2000000000000002</v>
      </c>
      <c r="H681">
        <f t="shared" si="74"/>
        <v>132</v>
      </c>
      <c r="I681" s="3">
        <f t="shared" si="75"/>
        <v>136.36363636363637</v>
      </c>
      <c r="J681" t="str">
        <f t="shared" si="76"/>
        <v>F</v>
      </c>
    </row>
    <row r="682" spans="1:10" hidden="1" x14ac:dyDescent="0.25">
      <c r="A682" s="4" t="s">
        <v>12</v>
      </c>
      <c r="B682" s="1">
        <v>0.67800800000000006</v>
      </c>
      <c r="C682" s="1">
        <v>0.67982399999999998</v>
      </c>
      <c r="D682" s="1">
        <f t="shared" si="70"/>
        <v>1.8159999999999288E-3</v>
      </c>
      <c r="E682">
        <f t="shared" si="71"/>
        <v>2</v>
      </c>
      <c r="F682">
        <f t="shared" si="72"/>
        <v>37</v>
      </c>
      <c r="G682">
        <f t="shared" si="73"/>
        <v>2.62</v>
      </c>
      <c r="H682">
        <f t="shared" si="74"/>
        <v>157</v>
      </c>
      <c r="I682" s="3">
        <f t="shared" si="75"/>
        <v>114.64968152866241</v>
      </c>
      <c r="J682" t="str">
        <f t="shared" si="76"/>
        <v>F</v>
      </c>
    </row>
    <row r="683" spans="1:10" hidden="1" x14ac:dyDescent="0.25">
      <c r="A683" s="4" t="s">
        <v>49</v>
      </c>
      <c r="B683" s="1">
        <v>0.76098399999999999</v>
      </c>
      <c r="C683" s="1">
        <v>0.75931599999999999</v>
      </c>
      <c r="D683" s="1">
        <f t="shared" si="70"/>
        <v>1.6680000000000028E-3</v>
      </c>
      <c r="E683">
        <f t="shared" si="71"/>
        <v>2</v>
      </c>
      <c r="F683">
        <f t="shared" si="72"/>
        <v>24</v>
      </c>
      <c r="G683">
        <f t="shared" si="73"/>
        <v>2.4</v>
      </c>
      <c r="H683">
        <f t="shared" si="74"/>
        <v>144</v>
      </c>
      <c r="I683" s="3">
        <f t="shared" si="75"/>
        <v>125</v>
      </c>
      <c r="J683" t="str">
        <f t="shared" si="76"/>
        <v>F</v>
      </c>
    </row>
    <row r="684" spans="1:10" hidden="1" x14ac:dyDescent="0.25">
      <c r="A684" s="4" t="s">
        <v>47</v>
      </c>
      <c r="B684" s="1">
        <v>0.203124</v>
      </c>
      <c r="C684" s="1">
        <v>0.204928</v>
      </c>
      <c r="D684" s="1">
        <f t="shared" si="70"/>
        <v>1.804E-3</v>
      </c>
      <c r="E684">
        <f t="shared" si="71"/>
        <v>2</v>
      </c>
      <c r="F684">
        <f t="shared" si="72"/>
        <v>36</v>
      </c>
      <c r="G684">
        <f t="shared" si="73"/>
        <v>2.6</v>
      </c>
      <c r="H684">
        <f t="shared" si="74"/>
        <v>156</v>
      </c>
      <c r="I684" s="3">
        <f t="shared" si="75"/>
        <v>115.38461538461539</v>
      </c>
      <c r="J684" t="str">
        <f t="shared" si="76"/>
        <v>F</v>
      </c>
    </row>
    <row r="685" spans="1:10" hidden="1" x14ac:dyDescent="0.25">
      <c r="A685" s="4" t="s">
        <v>41</v>
      </c>
      <c r="B685" s="1">
        <v>0.55237700000000001</v>
      </c>
      <c r="C685" s="1">
        <v>0.55376899999999996</v>
      </c>
      <c r="D685" s="1">
        <f t="shared" si="70"/>
        <v>1.3919999999999488E-3</v>
      </c>
      <c r="E685">
        <f t="shared" si="71"/>
        <v>2</v>
      </c>
      <c r="F685">
        <f t="shared" si="72"/>
        <v>0</v>
      </c>
      <c r="G685">
        <f t="shared" si="73"/>
        <v>2</v>
      </c>
      <c r="H685">
        <f t="shared" si="74"/>
        <v>120</v>
      </c>
      <c r="I685" s="3">
        <f t="shared" si="75"/>
        <v>150</v>
      </c>
      <c r="J685" t="str">
        <f t="shared" si="76"/>
        <v>F</v>
      </c>
    </row>
    <row r="686" spans="1:10" hidden="1" x14ac:dyDescent="0.25">
      <c r="A686" s="4" t="s">
        <v>117</v>
      </c>
      <c r="B686" s="1">
        <v>0.184863</v>
      </c>
      <c r="C686" s="1">
        <v>0.181919</v>
      </c>
      <c r="D686" s="1">
        <f t="shared" si="70"/>
        <v>2.9440000000000022E-3</v>
      </c>
      <c r="E686">
        <f t="shared" si="71"/>
        <v>4</v>
      </c>
      <c r="F686">
        <f t="shared" si="72"/>
        <v>14</v>
      </c>
      <c r="G686">
        <f t="shared" si="73"/>
        <v>4.2300000000000004</v>
      </c>
      <c r="H686">
        <f t="shared" si="74"/>
        <v>254</v>
      </c>
      <c r="I686" s="3">
        <f t="shared" si="75"/>
        <v>70.866141732283467</v>
      </c>
      <c r="J686" t="str">
        <f t="shared" si="76"/>
        <v>F</v>
      </c>
    </row>
    <row r="687" spans="1:10" hidden="1" x14ac:dyDescent="0.25">
      <c r="A687" s="4" t="s">
        <v>162</v>
      </c>
      <c r="B687" s="1">
        <v>0.15484700000000001</v>
      </c>
      <c r="C687" s="1">
        <v>0.152063</v>
      </c>
      <c r="D687" s="1">
        <f t="shared" si="70"/>
        <v>2.7840000000000087E-3</v>
      </c>
      <c r="E687">
        <f t="shared" si="71"/>
        <v>4</v>
      </c>
      <c r="F687">
        <f t="shared" si="72"/>
        <v>1</v>
      </c>
      <c r="G687">
        <f t="shared" si="73"/>
        <v>4.0199999999999996</v>
      </c>
      <c r="H687">
        <f t="shared" si="74"/>
        <v>241</v>
      </c>
      <c r="I687" s="3">
        <f t="shared" si="75"/>
        <v>74.68879668049793</v>
      </c>
      <c r="J687" t="str">
        <f t="shared" si="76"/>
        <v>F</v>
      </c>
    </row>
    <row r="688" spans="1:10" hidden="1" x14ac:dyDescent="0.25">
      <c r="A688" s="4" t="s">
        <v>5</v>
      </c>
      <c r="B688" s="1">
        <v>0.19459099999999999</v>
      </c>
      <c r="C688" s="1">
        <v>0.196183</v>
      </c>
      <c r="D688" s="1">
        <f t="shared" si="70"/>
        <v>1.5920000000000101E-3</v>
      </c>
      <c r="E688">
        <f t="shared" si="71"/>
        <v>2</v>
      </c>
      <c r="F688">
        <f t="shared" si="72"/>
        <v>18</v>
      </c>
      <c r="G688">
        <f t="shared" si="73"/>
        <v>2.2999999999999998</v>
      </c>
      <c r="H688">
        <f t="shared" si="74"/>
        <v>138</v>
      </c>
      <c r="I688" s="3">
        <f t="shared" si="75"/>
        <v>130.43478260869566</v>
      </c>
      <c r="J688" t="str">
        <f t="shared" si="76"/>
        <v>F</v>
      </c>
    </row>
    <row r="689" spans="1:10" hidden="1" x14ac:dyDescent="0.25">
      <c r="A689" s="4" t="s">
        <v>109</v>
      </c>
      <c r="B689" s="1">
        <v>0.36385299999999998</v>
      </c>
      <c r="C689" s="1">
        <v>0.36585299999999998</v>
      </c>
      <c r="D689" s="1">
        <f t="shared" si="70"/>
        <v>2.0000000000000018E-3</v>
      </c>
      <c r="E689">
        <f t="shared" si="71"/>
        <v>2</v>
      </c>
      <c r="F689">
        <f t="shared" si="72"/>
        <v>53</v>
      </c>
      <c r="G689">
        <f t="shared" si="73"/>
        <v>2.88</v>
      </c>
      <c r="H689">
        <f t="shared" si="74"/>
        <v>173</v>
      </c>
      <c r="I689" s="3">
        <f t="shared" si="75"/>
        <v>104.04624277456648</v>
      </c>
      <c r="J689" t="str">
        <f t="shared" si="76"/>
        <v>F</v>
      </c>
    </row>
    <row r="690" spans="1:10" hidden="1" x14ac:dyDescent="0.25">
      <c r="A690" s="4" t="s">
        <v>75</v>
      </c>
      <c r="B690" s="1">
        <v>0.33326600000000001</v>
      </c>
      <c r="C690" s="1">
        <v>0.32928600000000002</v>
      </c>
      <c r="D690" s="1">
        <f t="shared" si="70"/>
        <v>3.9799999999999836E-3</v>
      </c>
      <c r="E690">
        <f t="shared" si="71"/>
        <v>5</v>
      </c>
      <c r="F690">
        <f t="shared" si="72"/>
        <v>44</v>
      </c>
      <c r="G690">
        <f t="shared" si="73"/>
        <v>5.73</v>
      </c>
      <c r="H690">
        <f t="shared" si="74"/>
        <v>344</v>
      </c>
      <c r="I690" s="3">
        <f t="shared" si="75"/>
        <v>52.325581395348841</v>
      </c>
      <c r="J690" t="str">
        <f t="shared" si="76"/>
        <v>F</v>
      </c>
    </row>
    <row r="691" spans="1:10" hidden="1" x14ac:dyDescent="0.25">
      <c r="A691" s="4" t="s">
        <v>75</v>
      </c>
      <c r="B691" s="1">
        <v>0.75790400000000002</v>
      </c>
      <c r="C691" s="1">
        <v>0.75648000000000004</v>
      </c>
      <c r="D691" s="1">
        <f t="shared" si="70"/>
        <v>1.4239999999999808E-3</v>
      </c>
      <c r="E691">
        <f t="shared" si="71"/>
        <v>2</v>
      </c>
      <c r="F691">
        <f t="shared" si="72"/>
        <v>3</v>
      </c>
      <c r="G691">
        <f t="shared" si="73"/>
        <v>2.0499999999999998</v>
      </c>
      <c r="H691">
        <f t="shared" si="74"/>
        <v>123</v>
      </c>
      <c r="I691" s="3">
        <f t="shared" si="75"/>
        <v>146.34146341463415</v>
      </c>
      <c r="J691" t="str">
        <f t="shared" si="76"/>
        <v>F</v>
      </c>
    </row>
    <row r="692" spans="1:10" hidden="1" x14ac:dyDescent="0.25">
      <c r="A692" s="4" t="s">
        <v>68</v>
      </c>
      <c r="B692" s="1">
        <v>0.40887499999999999</v>
      </c>
      <c r="C692" s="1">
        <v>0.40652700000000003</v>
      </c>
      <c r="D692" s="1">
        <f t="shared" si="70"/>
        <v>2.3479999999999612E-3</v>
      </c>
      <c r="E692">
        <f t="shared" si="71"/>
        <v>3</v>
      </c>
      <c r="F692">
        <f t="shared" si="72"/>
        <v>23</v>
      </c>
      <c r="G692">
        <f t="shared" si="73"/>
        <v>3.38</v>
      </c>
      <c r="H692">
        <f t="shared" si="74"/>
        <v>203</v>
      </c>
      <c r="I692" s="3">
        <f t="shared" si="75"/>
        <v>88.66995073891627</v>
      </c>
      <c r="J692" t="str">
        <f t="shared" si="76"/>
        <v>F</v>
      </c>
    </row>
    <row r="693" spans="1:10" hidden="1" x14ac:dyDescent="0.25">
      <c r="A693" s="4" t="s">
        <v>72</v>
      </c>
      <c r="B693" s="1">
        <v>0.44072499999999998</v>
      </c>
      <c r="C693" s="1">
        <v>0.43829299999999999</v>
      </c>
      <c r="D693" s="1">
        <f t="shared" si="70"/>
        <v>2.4319999999999897E-3</v>
      </c>
      <c r="E693">
        <f t="shared" si="71"/>
        <v>3</v>
      </c>
      <c r="F693">
        <f t="shared" si="72"/>
        <v>30</v>
      </c>
      <c r="G693">
        <f t="shared" si="73"/>
        <v>3.5</v>
      </c>
      <c r="H693">
        <f t="shared" si="74"/>
        <v>210</v>
      </c>
      <c r="I693" s="3">
        <f t="shared" si="75"/>
        <v>85.714285714285708</v>
      </c>
      <c r="J693" t="str">
        <f t="shared" si="76"/>
        <v>F</v>
      </c>
    </row>
    <row r="694" spans="1:10" hidden="1" x14ac:dyDescent="0.25">
      <c r="A694" s="4" t="s">
        <v>3</v>
      </c>
      <c r="B694" s="1">
        <v>0.640208</v>
      </c>
      <c r="C694" s="1">
        <v>0.64333600000000002</v>
      </c>
      <c r="D694" s="1">
        <f t="shared" si="70"/>
        <v>3.1280000000000197E-3</v>
      </c>
      <c r="E694">
        <f t="shared" si="71"/>
        <v>4</v>
      </c>
      <c r="F694">
        <f t="shared" si="72"/>
        <v>30</v>
      </c>
      <c r="G694">
        <f t="shared" si="73"/>
        <v>4.5</v>
      </c>
      <c r="H694">
        <f t="shared" si="74"/>
        <v>270</v>
      </c>
      <c r="I694" s="3">
        <f t="shared" si="75"/>
        <v>66.666666666666671</v>
      </c>
      <c r="J694" t="str">
        <f t="shared" si="76"/>
        <v>F</v>
      </c>
    </row>
    <row r="695" spans="1:10" hidden="1" x14ac:dyDescent="0.25">
      <c r="A695" s="4" t="s">
        <v>181</v>
      </c>
      <c r="B695" s="1">
        <v>0.89040600000000003</v>
      </c>
      <c r="C695" s="1">
        <v>0.88888599999999995</v>
      </c>
      <c r="D695" s="1">
        <f t="shared" si="70"/>
        <v>1.5200000000000768E-3</v>
      </c>
      <c r="E695">
        <f t="shared" si="71"/>
        <v>2</v>
      </c>
      <c r="F695">
        <f t="shared" si="72"/>
        <v>11</v>
      </c>
      <c r="G695">
        <f t="shared" si="73"/>
        <v>2.1800000000000002</v>
      </c>
      <c r="H695">
        <f t="shared" si="74"/>
        <v>131</v>
      </c>
      <c r="I695" s="3">
        <f t="shared" si="75"/>
        <v>137.40458015267177</v>
      </c>
      <c r="J695" t="str">
        <f t="shared" si="76"/>
        <v>F</v>
      </c>
    </row>
    <row r="696" spans="1:10" hidden="1" x14ac:dyDescent="0.25">
      <c r="A696" s="4" t="s">
        <v>16</v>
      </c>
      <c r="B696" s="1">
        <v>0.25660300000000003</v>
      </c>
      <c r="C696" s="1">
        <v>0.25871100000000002</v>
      </c>
      <c r="D696" s="1">
        <f t="shared" si="70"/>
        <v>2.1079999999999988E-3</v>
      </c>
      <c r="E696">
        <f t="shared" si="71"/>
        <v>3</v>
      </c>
      <c r="F696">
        <f t="shared" si="72"/>
        <v>2</v>
      </c>
      <c r="G696">
        <f t="shared" si="73"/>
        <v>3.03</v>
      </c>
      <c r="H696">
        <f t="shared" si="74"/>
        <v>182</v>
      </c>
      <c r="I696" s="3">
        <f t="shared" si="75"/>
        <v>98.901098901098905</v>
      </c>
      <c r="J696" t="str">
        <f t="shared" si="76"/>
        <v>F</v>
      </c>
    </row>
    <row r="697" spans="1:10" hidden="1" x14ac:dyDescent="0.25">
      <c r="A697" s="4" t="s">
        <v>64</v>
      </c>
      <c r="B697" s="1">
        <v>0.122706</v>
      </c>
      <c r="C697" s="1">
        <v>0.118814</v>
      </c>
      <c r="D697" s="1">
        <f t="shared" si="70"/>
        <v>3.8919999999999927E-3</v>
      </c>
      <c r="E697">
        <f t="shared" si="71"/>
        <v>5</v>
      </c>
      <c r="F697">
        <f t="shared" si="72"/>
        <v>36</v>
      </c>
      <c r="G697">
        <f t="shared" si="73"/>
        <v>5.6</v>
      </c>
      <c r="H697">
        <f t="shared" si="74"/>
        <v>336</v>
      </c>
      <c r="I697" s="3">
        <f t="shared" si="75"/>
        <v>53.571428571428569</v>
      </c>
      <c r="J697" t="str">
        <f t="shared" si="76"/>
        <v>F</v>
      </c>
    </row>
    <row r="698" spans="1:10" hidden="1" x14ac:dyDescent="0.25">
      <c r="A698" s="4" t="s">
        <v>155</v>
      </c>
      <c r="B698" s="1">
        <v>0.58026999999999995</v>
      </c>
      <c r="C698" s="1">
        <v>0.58299400000000001</v>
      </c>
      <c r="D698" s="1">
        <f t="shared" si="70"/>
        <v>2.7240000000000597E-3</v>
      </c>
      <c r="E698">
        <f t="shared" si="71"/>
        <v>3</v>
      </c>
      <c r="F698">
        <f t="shared" si="72"/>
        <v>55</v>
      </c>
      <c r="G698">
        <f t="shared" si="73"/>
        <v>3.92</v>
      </c>
      <c r="H698">
        <f t="shared" si="74"/>
        <v>235</v>
      </c>
      <c r="I698" s="3">
        <f t="shared" si="75"/>
        <v>76.59574468085107</v>
      </c>
      <c r="J698" t="str">
        <f t="shared" si="76"/>
        <v>F</v>
      </c>
    </row>
    <row r="699" spans="1:10" hidden="1" x14ac:dyDescent="0.25">
      <c r="A699" s="4" t="s">
        <v>74</v>
      </c>
      <c r="B699" s="1">
        <v>0.91838799999999998</v>
      </c>
      <c r="C699" s="1">
        <v>0.91548399999999996</v>
      </c>
      <c r="D699" s="1">
        <f t="shared" si="70"/>
        <v>2.9040000000000177E-3</v>
      </c>
      <c r="E699">
        <f t="shared" si="71"/>
        <v>4</v>
      </c>
      <c r="F699">
        <f t="shared" si="72"/>
        <v>11</v>
      </c>
      <c r="G699">
        <f t="shared" si="73"/>
        <v>4.18</v>
      </c>
      <c r="H699">
        <f t="shared" si="74"/>
        <v>251</v>
      </c>
      <c r="I699" s="3">
        <f t="shared" si="75"/>
        <v>71.713147410358559</v>
      </c>
      <c r="J699" t="str">
        <f t="shared" si="76"/>
        <v>F</v>
      </c>
    </row>
    <row r="700" spans="1:10" hidden="1" x14ac:dyDescent="0.25">
      <c r="A700" s="4" t="s">
        <v>21</v>
      </c>
      <c r="B700" s="1">
        <v>0.54036300000000004</v>
      </c>
      <c r="C700" s="1">
        <v>0.54307099999999997</v>
      </c>
      <c r="D700" s="1">
        <f t="shared" si="70"/>
        <v>2.7079999999999327E-3</v>
      </c>
      <c r="E700">
        <f t="shared" si="71"/>
        <v>3</v>
      </c>
      <c r="F700">
        <f t="shared" si="72"/>
        <v>54</v>
      </c>
      <c r="G700">
        <f t="shared" si="73"/>
        <v>3.9</v>
      </c>
      <c r="H700">
        <f t="shared" si="74"/>
        <v>234</v>
      </c>
      <c r="I700" s="3">
        <f t="shared" si="75"/>
        <v>76.92307692307692</v>
      </c>
      <c r="J700" t="str">
        <f t="shared" si="76"/>
        <v>F</v>
      </c>
    </row>
    <row r="701" spans="1:10" hidden="1" x14ac:dyDescent="0.25">
      <c r="A701" s="4" t="s">
        <v>27</v>
      </c>
      <c r="B701" s="1">
        <v>0.45537100000000003</v>
      </c>
      <c r="C701" s="1">
        <v>0.45788699999999999</v>
      </c>
      <c r="D701" s="1">
        <f t="shared" si="70"/>
        <v>2.5159999999999627E-3</v>
      </c>
      <c r="E701">
        <f t="shared" si="71"/>
        <v>3</v>
      </c>
      <c r="F701">
        <f t="shared" si="72"/>
        <v>37</v>
      </c>
      <c r="G701">
        <f t="shared" si="73"/>
        <v>3.62</v>
      </c>
      <c r="H701">
        <f t="shared" si="74"/>
        <v>217</v>
      </c>
      <c r="I701" s="3">
        <f t="shared" si="75"/>
        <v>82.94930875576037</v>
      </c>
      <c r="J701" t="str">
        <f t="shared" si="76"/>
        <v>F</v>
      </c>
    </row>
    <row r="702" spans="1:10" hidden="1" x14ac:dyDescent="0.25">
      <c r="A702" s="4" t="s">
        <v>83</v>
      </c>
      <c r="B702" s="1">
        <v>0.91982600000000003</v>
      </c>
      <c r="C702" s="1">
        <v>0.91775399999999996</v>
      </c>
      <c r="D702" s="1">
        <f t="shared" si="70"/>
        <v>2.0720000000000738E-3</v>
      </c>
      <c r="E702">
        <f t="shared" si="71"/>
        <v>2</v>
      </c>
      <c r="F702">
        <f t="shared" si="72"/>
        <v>59</v>
      </c>
      <c r="G702">
        <f t="shared" si="73"/>
        <v>2.98</v>
      </c>
      <c r="H702">
        <f t="shared" si="74"/>
        <v>179</v>
      </c>
      <c r="I702" s="3">
        <f t="shared" si="75"/>
        <v>100.55865921787711</v>
      </c>
      <c r="J702" t="str">
        <f t="shared" si="76"/>
        <v>F</v>
      </c>
    </row>
    <row r="703" spans="1:10" hidden="1" x14ac:dyDescent="0.25">
      <c r="A703" s="4" t="s">
        <v>60</v>
      </c>
      <c r="B703" s="1">
        <v>0.22966</v>
      </c>
      <c r="C703" s="1">
        <v>0.23246800000000001</v>
      </c>
      <c r="D703" s="1">
        <f t="shared" si="70"/>
        <v>2.8080000000000049E-3</v>
      </c>
      <c r="E703">
        <f t="shared" si="71"/>
        <v>4</v>
      </c>
      <c r="F703">
        <f t="shared" si="72"/>
        <v>3</v>
      </c>
      <c r="G703">
        <f t="shared" si="73"/>
        <v>4.05</v>
      </c>
      <c r="H703">
        <f t="shared" si="74"/>
        <v>243</v>
      </c>
      <c r="I703" s="3">
        <f t="shared" si="75"/>
        <v>74.074074074074076</v>
      </c>
      <c r="J703" t="str">
        <f t="shared" si="76"/>
        <v>F</v>
      </c>
    </row>
    <row r="704" spans="1:10" hidden="1" x14ac:dyDescent="0.25">
      <c r="A704" s="4" t="s">
        <v>12</v>
      </c>
      <c r="B704" s="1">
        <v>0.55209399999999997</v>
      </c>
      <c r="C704" s="1">
        <v>0.54861000000000004</v>
      </c>
      <c r="D704" s="1">
        <f t="shared" si="70"/>
        <v>3.4839999999999316E-3</v>
      </c>
      <c r="E704">
        <f t="shared" si="71"/>
        <v>5</v>
      </c>
      <c r="F704">
        <f t="shared" si="72"/>
        <v>1</v>
      </c>
      <c r="G704">
        <f t="shared" si="73"/>
        <v>5.0199999999999996</v>
      </c>
      <c r="H704">
        <f t="shared" si="74"/>
        <v>301</v>
      </c>
      <c r="I704" s="3">
        <f t="shared" si="75"/>
        <v>59.800664451827245</v>
      </c>
      <c r="J704" t="str">
        <f t="shared" si="76"/>
        <v>F</v>
      </c>
    </row>
    <row r="705" spans="1:10" hidden="1" x14ac:dyDescent="0.25">
      <c r="A705" s="4" t="s">
        <v>49</v>
      </c>
      <c r="B705" s="1">
        <v>0.558307</v>
      </c>
      <c r="C705" s="1">
        <v>0.55478700000000003</v>
      </c>
      <c r="D705" s="1">
        <f t="shared" si="70"/>
        <v>3.5199999999999676E-3</v>
      </c>
      <c r="E705">
        <f t="shared" si="71"/>
        <v>5</v>
      </c>
      <c r="F705">
        <f t="shared" si="72"/>
        <v>4</v>
      </c>
      <c r="G705">
        <f t="shared" si="73"/>
        <v>5.07</v>
      </c>
      <c r="H705">
        <f t="shared" si="74"/>
        <v>304</v>
      </c>
      <c r="I705" s="3">
        <f t="shared" si="75"/>
        <v>59.21052631578948</v>
      </c>
      <c r="J705" t="str">
        <f t="shared" si="76"/>
        <v>F</v>
      </c>
    </row>
    <row r="706" spans="1:10" hidden="1" x14ac:dyDescent="0.25">
      <c r="A706" s="4" t="s">
        <v>47</v>
      </c>
      <c r="B706" s="1">
        <v>0.33376899999999998</v>
      </c>
      <c r="C706" s="1">
        <v>0.33111299999999999</v>
      </c>
      <c r="D706" s="1">
        <f t="shared" si="70"/>
        <v>2.6559999999999917E-3</v>
      </c>
      <c r="E706">
        <f t="shared" si="71"/>
        <v>3</v>
      </c>
      <c r="F706">
        <f t="shared" si="72"/>
        <v>49</v>
      </c>
      <c r="G706">
        <f t="shared" si="73"/>
        <v>3.82</v>
      </c>
      <c r="H706">
        <f t="shared" si="74"/>
        <v>229</v>
      </c>
      <c r="I706" s="3">
        <f t="shared" si="75"/>
        <v>78.602620087336248</v>
      </c>
      <c r="J706" t="str">
        <f t="shared" si="76"/>
        <v>F</v>
      </c>
    </row>
    <row r="707" spans="1:10" hidden="1" x14ac:dyDescent="0.25">
      <c r="A707" s="4" t="s">
        <v>41</v>
      </c>
      <c r="B707" s="1">
        <v>0.57073399999999996</v>
      </c>
      <c r="C707" s="1">
        <v>0.56704200000000005</v>
      </c>
      <c r="D707" s="1">
        <f t="shared" ref="D707:D770" si="77">IF(B707&gt;C707,B707-C707,C707-B707)</f>
        <v>3.6919999999999176E-3</v>
      </c>
      <c r="E707">
        <f t="shared" ref="E707:E770" si="78">MINUTE(D707)</f>
        <v>5</v>
      </c>
      <c r="F707">
        <f t="shared" ref="F707:F770" si="79">SECOND(D707)</f>
        <v>19</v>
      </c>
      <c r="G707">
        <f t="shared" ref="G707:G770" si="80">ROUND(E707+F707/60,2)</f>
        <v>5.32</v>
      </c>
      <c r="H707">
        <f t="shared" ref="H707:H770" si="81">60*E707+F707</f>
        <v>319</v>
      </c>
      <c r="I707" s="3">
        <f t="shared" ref="I707:I770" si="82">5*(3600/H707)</f>
        <v>56.426332288401255</v>
      </c>
      <c r="J707" t="str">
        <f t="shared" ref="J707:J770" si="83">IF(MID(A707,3,2)="18","T","F")</f>
        <v>F</v>
      </c>
    </row>
    <row r="708" spans="1:10" hidden="1" x14ac:dyDescent="0.25">
      <c r="A708" s="4" t="s">
        <v>117</v>
      </c>
      <c r="B708" s="1">
        <v>0.73974700000000004</v>
      </c>
      <c r="C708" s="1">
        <v>0.74296300000000004</v>
      </c>
      <c r="D708" s="1">
        <f t="shared" si="77"/>
        <v>3.2159999999999966E-3</v>
      </c>
      <c r="E708">
        <f t="shared" si="78"/>
        <v>4</v>
      </c>
      <c r="F708">
        <f t="shared" si="79"/>
        <v>38</v>
      </c>
      <c r="G708">
        <f t="shared" si="80"/>
        <v>4.63</v>
      </c>
      <c r="H708">
        <f t="shared" si="81"/>
        <v>278</v>
      </c>
      <c r="I708" s="3">
        <f t="shared" si="82"/>
        <v>64.748201438848923</v>
      </c>
      <c r="J708" t="str">
        <f t="shared" si="83"/>
        <v>F</v>
      </c>
    </row>
    <row r="709" spans="1:10" hidden="1" x14ac:dyDescent="0.25">
      <c r="A709" s="4" t="s">
        <v>182</v>
      </c>
      <c r="B709" s="1">
        <v>0.83426</v>
      </c>
      <c r="C709" s="1">
        <v>0.83696800000000005</v>
      </c>
      <c r="D709" s="1">
        <f t="shared" si="77"/>
        <v>2.7080000000000437E-3</v>
      </c>
      <c r="E709">
        <f t="shared" si="78"/>
        <v>3</v>
      </c>
      <c r="F709">
        <f t="shared" si="79"/>
        <v>54</v>
      </c>
      <c r="G709">
        <f t="shared" si="80"/>
        <v>3.9</v>
      </c>
      <c r="H709">
        <f t="shared" si="81"/>
        <v>234</v>
      </c>
      <c r="I709" s="3">
        <f t="shared" si="82"/>
        <v>76.92307692307692</v>
      </c>
      <c r="J709" t="str">
        <f t="shared" si="83"/>
        <v>F</v>
      </c>
    </row>
    <row r="710" spans="1:10" hidden="1" x14ac:dyDescent="0.25">
      <c r="A710" s="4" t="s">
        <v>5</v>
      </c>
      <c r="B710" s="1">
        <v>0.53817999999999999</v>
      </c>
      <c r="C710" s="1">
        <v>0.53967600000000004</v>
      </c>
      <c r="D710" s="1">
        <f t="shared" si="77"/>
        <v>1.4960000000000528E-3</v>
      </c>
      <c r="E710">
        <f t="shared" si="78"/>
        <v>2</v>
      </c>
      <c r="F710">
        <f t="shared" si="79"/>
        <v>9</v>
      </c>
      <c r="G710">
        <f t="shared" si="80"/>
        <v>2.15</v>
      </c>
      <c r="H710">
        <f t="shared" si="81"/>
        <v>129</v>
      </c>
      <c r="I710" s="3">
        <f t="shared" si="82"/>
        <v>139.53488372093022</v>
      </c>
      <c r="J710" t="str">
        <f t="shared" si="83"/>
        <v>F</v>
      </c>
    </row>
    <row r="711" spans="1:10" hidden="1" x14ac:dyDescent="0.25">
      <c r="A711" s="4" t="s">
        <v>109</v>
      </c>
      <c r="B711" s="1">
        <v>0.58387299999999998</v>
      </c>
      <c r="C711" s="1">
        <v>0.58202500000000001</v>
      </c>
      <c r="D711" s="1">
        <f t="shared" si="77"/>
        <v>1.8479999999999608E-3</v>
      </c>
      <c r="E711">
        <f t="shared" si="78"/>
        <v>2</v>
      </c>
      <c r="F711">
        <f t="shared" si="79"/>
        <v>40</v>
      </c>
      <c r="G711">
        <f t="shared" si="80"/>
        <v>2.67</v>
      </c>
      <c r="H711">
        <f t="shared" si="81"/>
        <v>160</v>
      </c>
      <c r="I711" s="3">
        <f t="shared" si="82"/>
        <v>112.5</v>
      </c>
      <c r="J711" t="str">
        <f t="shared" si="83"/>
        <v>F</v>
      </c>
    </row>
    <row r="712" spans="1:10" hidden="1" x14ac:dyDescent="0.25">
      <c r="A712" s="4" t="s">
        <v>75</v>
      </c>
      <c r="B712" s="1">
        <v>0.55288199999999998</v>
      </c>
      <c r="C712" s="1">
        <v>0.55628200000000005</v>
      </c>
      <c r="D712" s="1">
        <f t="shared" si="77"/>
        <v>3.4000000000000696E-3</v>
      </c>
      <c r="E712">
        <f t="shared" si="78"/>
        <v>4</v>
      </c>
      <c r="F712">
        <f t="shared" si="79"/>
        <v>54</v>
      </c>
      <c r="G712">
        <f t="shared" si="80"/>
        <v>4.9000000000000004</v>
      </c>
      <c r="H712">
        <f t="shared" si="81"/>
        <v>294</v>
      </c>
      <c r="I712" s="3">
        <f t="shared" si="82"/>
        <v>61.224489795918366</v>
      </c>
      <c r="J712" t="str">
        <f t="shared" si="83"/>
        <v>F</v>
      </c>
    </row>
    <row r="713" spans="1:10" hidden="1" x14ac:dyDescent="0.25">
      <c r="A713" s="4" t="s">
        <v>75</v>
      </c>
      <c r="B713" s="1">
        <v>0.294576</v>
      </c>
      <c r="C713" s="1">
        <v>0.292016</v>
      </c>
      <c r="D713" s="1">
        <f t="shared" si="77"/>
        <v>2.5600000000000067E-3</v>
      </c>
      <c r="E713">
        <f t="shared" si="78"/>
        <v>3</v>
      </c>
      <c r="F713">
        <f t="shared" si="79"/>
        <v>41</v>
      </c>
      <c r="G713">
        <f t="shared" si="80"/>
        <v>3.68</v>
      </c>
      <c r="H713">
        <f t="shared" si="81"/>
        <v>221</v>
      </c>
      <c r="I713" s="3">
        <f t="shared" si="82"/>
        <v>81.447963800904972</v>
      </c>
      <c r="J713" t="str">
        <f t="shared" si="83"/>
        <v>F</v>
      </c>
    </row>
    <row r="714" spans="1:10" hidden="1" x14ac:dyDescent="0.25">
      <c r="A714" s="4" t="s">
        <v>68</v>
      </c>
      <c r="B714" s="1">
        <v>0.71384899999999996</v>
      </c>
      <c r="C714" s="1">
        <v>0.71065299999999998</v>
      </c>
      <c r="D714" s="1">
        <f t="shared" si="77"/>
        <v>3.1959999999999766E-3</v>
      </c>
      <c r="E714">
        <f t="shared" si="78"/>
        <v>4</v>
      </c>
      <c r="F714">
        <f t="shared" si="79"/>
        <v>36</v>
      </c>
      <c r="G714">
        <f t="shared" si="80"/>
        <v>4.5999999999999996</v>
      </c>
      <c r="H714">
        <f t="shared" si="81"/>
        <v>276</v>
      </c>
      <c r="I714" s="3">
        <f t="shared" si="82"/>
        <v>65.217391304347828</v>
      </c>
      <c r="J714" t="str">
        <f t="shared" si="83"/>
        <v>F</v>
      </c>
    </row>
    <row r="715" spans="1:10" hidden="1" x14ac:dyDescent="0.25">
      <c r="A715" s="4" t="s">
        <v>72</v>
      </c>
      <c r="B715" s="1">
        <v>0.40520400000000001</v>
      </c>
      <c r="C715" s="1">
        <v>0.40260400000000002</v>
      </c>
      <c r="D715" s="1">
        <f t="shared" si="77"/>
        <v>2.5999999999999912E-3</v>
      </c>
      <c r="E715">
        <f t="shared" si="78"/>
        <v>3</v>
      </c>
      <c r="F715">
        <f t="shared" si="79"/>
        <v>45</v>
      </c>
      <c r="G715">
        <f t="shared" si="80"/>
        <v>3.75</v>
      </c>
      <c r="H715">
        <f t="shared" si="81"/>
        <v>225</v>
      </c>
      <c r="I715" s="3">
        <f t="shared" si="82"/>
        <v>80</v>
      </c>
      <c r="J715" t="str">
        <f t="shared" si="83"/>
        <v>F</v>
      </c>
    </row>
    <row r="716" spans="1:10" hidden="1" x14ac:dyDescent="0.25">
      <c r="A716" s="4" t="s">
        <v>3</v>
      </c>
      <c r="B716" s="1">
        <v>0.59558999999999995</v>
      </c>
      <c r="C716" s="1">
        <v>0.59787400000000002</v>
      </c>
      <c r="D716" s="1">
        <f t="shared" si="77"/>
        <v>2.2840000000000638E-3</v>
      </c>
      <c r="E716">
        <f t="shared" si="78"/>
        <v>3</v>
      </c>
      <c r="F716">
        <f t="shared" si="79"/>
        <v>17</v>
      </c>
      <c r="G716">
        <f t="shared" si="80"/>
        <v>3.28</v>
      </c>
      <c r="H716">
        <f t="shared" si="81"/>
        <v>197</v>
      </c>
      <c r="I716" s="3">
        <f t="shared" si="82"/>
        <v>91.370558375634516</v>
      </c>
      <c r="J716" t="str">
        <f t="shared" si="83"/>
        <v>F</v>
      </c>
    </row>
    <row r="717" spans="1:10" hidden="1" x14ac:dyDescent="0.25">
      <c r="A717" s="4" t="s">
        <v>47</v>
      </c>
      <c r="B717" s="1">
        <v>0.56683799999999995</v>
      </c>
      <c r="C717" s="1">
        <v>0.56295399999999995</v>
      </c>
      <c r="D717" s="1">
        <f t="shared" si="77"/>
        <v>3.8839999999999986E-3</v>
      </c>
      <c r="E717">
        <f t="shared" si="78"/>
        <v>5</v>
      </c>
      <c r="F717">
        <f t="shared" si="79"/>
        <v>36</v>
      </c>
      <c r="G717">
        <f t="shared" si="80"/>
        <v>5.6</v>
      </c>
      <c r="H717">
        <f t="shared" si="81"/>
        <v>336</v>
      </c>
      <c r="I717" s="3">
        <f t="shared" si="82"/>
        <v>53.571428571428569</v>
      </c>
      <c r="J717" t="str">
        <f t="shared" si="83"/>
        <v>F</v>
      </c>
    </row>
    <row r="718" spans="1:10" hidden="1" x14ac:dyDescent="0.25">
      <c r="A718" s="4" t="s">
        <v>41</v>
      </c>
      <c r="B718" s="1">
        <v>0.101677</v>
      </c>
      <c r="C718" s="1">
        <v>9.9404999999999993E-2</v>
      </c>
      <c r="D718" s="1">
        <f t="shared" si="77"/>
        <v>2.2720000000000101E-3</v>
      </c>
      <c r="E718">
        <f t="shared" si="78"/>
        <v>3</v>
      </c>
      <c r="F718">
        <f t="shared" si="79"/>
        <v>16</v>
      </c>
      <c r="G718">
        <f t="shared" si="80"/>
        <v>3.27</v>
      </c>
      <c r="H718">
        <f t="shared" si="81"/>
        <v>196</v>
      </c>
      <c r="I718" s="3">
        <f t="shared" si="82"/>
        <v>91.83673469387756</v>
      </c>
      <c r="J718" t="str">
        <f t="shared" si="83"/>
        <v>F</v>
      </c>
    </row>
    <row r="719" spans="1:10" hidden="1" x14ac:dyDescent="0.25">
      <c r="A719" s="4" t="s">
        <v>117</v>
      </c>
      <c r="B719" s="1">
        <v>0.803373</v>
      </c>
      <c r="C719" s="1">
        <v>0.79982900000000001</v>
      </c>
      <c r="D719" s="1">
        <f t="shared" si="77"/>
        <v>3.5439999999999916E-3</v>
      </c>
      <c r="E719">
        <f t="shared" si="78"/>
        <v>5</v>
      </c>
      <c r="F719">
        <f t="shared" si="79"/>
        <v>6</v>
      </c>
      <c r="G719">
        <f t="shared" si="80"/>
        <v>5.0999999999999996</v>
      </c>
      <c r="H719">
        <f t="shared" si="81"/>
        <v>306</v>
      </c>
      <c r="I719" s="3">
        <f t="shared" si="82"/>
        <v>58.82352941176471</v>
      </c>
      <c r="J719" t="str">
        <f t="shared" si="83"/>
        <v>F</v>
      </c>
    </row>
    <row r="720" spans="1:10" hidden="1" x14ac:dyDescent="0.25">
      <c r="A720" s="4" t="s">
        <v>162</v>
      </c>
      <c r="B720" s="1">
        <v>0.57133</v>
      </c>
      <c r="C720" s="1">
        <v>0.57415400000000005</v>
      </c>
      <c r="D720" s="1">
        <f t="shared" si="77"/>
        <v>2.8240000000000487E-3</v>
      </c>
      <c r="E720">
        <f t="shared" si="78"/>
        <v>4</v>
      </c>
      <c r="F720">
        <f t="shared" si="79"/>
        <v>4</v>
      </c>
      <c r="G720">
        <f t="shared" si="80"/>
        <v>4.07</v>
      </c>
      <c r="H720">
        <f t="shared" si="81"/>
        <v>244</v>
      </c>
      <c r="I720" s="3">
        <f t="shared" si="82"/>
        <v>73.770491803278688</v>
      </c>
      <c r="J720" t="str">
        <f t="shared" si="83"/>
        <v>F</v>
      </c>
    </row>
    <row r="721" spans="1:10" hidden="1" x14ac:dyDescent="0.25">
      <c r="A721" s="4" t="s">
        <v>5</v>
      </c>
      <c r="B721" s="1">
        <v>0.33269399999999999</v>
      </c>
      <c r="C721" s="1">
        <v>0.33667799999999998</v>
      </c>
      <c r="D721" s="1">
        <f t="shared" si="77"/>
        <v>3.9839999999999876E-3</v>
      </c>
      <c r="E721">
        <f t="shared" si="78"/>
        <v>5</v>
      </c>
      <c r="F721">
        <f t="shared" si="79"/>
        <v>44</v>
      </c>
      <c r="G721">
        <f t="shared" si="80"/>
        <v>5.73</v>
      </c>
      <c r="H721">
        <f t="shared" si="81"/>
        <v>344</v>
      </c>
      <c r="I721" s="3">
        <f t="shared" si="82"/>
        <v>52.325581395348841</v>
      </c>
      <c r="J721" t="str">
        <f t="shared" si="83"/>
        <v>F</v>
      </c>
    </row>
    <row r="722" spans="1:10" hidden="1" x14ac:dyDescent="0.25">
      <c r="A722" s="4" t="s">
        <v>109</v>
      </c>
      <c r="B722" s="1">
        <v>0.23508799999999999</v>
      </c>
      <c r="C722" s="1">
        <v>0.23294000000000001</v>
      </c>
      <c r="D722" s="1">
        <f t="shared" si="77"/>
        <v>2.1479999999999833E-3</v>
      </c>
      <c r="E722">
        <f t="shared" si="78"/>
        <v>3</v>
      </c>
      <c r="F722">
        <f t="shared" si="79"/>
        <v>6</v>
      </c>
      <c r="G722">
        <f t="shared" si="80"/>
        <v>3.1</v>
      </c>
      <c r="H722">
        <f t="shared" si="81"/>
        <v>186</v>
      </c>
      <c r="I722" s="3">
        <f t="shared" si="82"/>
        <v>96.774193548387103</v>
      </c>
      <c r="J722" t="str">
        <f t="shared" si="83"/>
        <v>F</v>
      </c>
    </row>
    <row r="723" spans="1:10" hidden="1" x14ac:dyDescent="0.25">
      <c r="A723" s="4" t="s">
        <v>47</v>
      </c>
      <c r="B723" s="1">
        <v>0.36631000000000002</v>
      </c>
      <c r="C723" s="1">
        <v>0.36299799999999999</v>
      </c>
      <c r="D723" s="1">
        <f t="shared" si="77"/>
        <v>3.3120000000000371E-3</v>
      </c>
      <c r="E723">
        <f t="shared" si="78"/>
        <v>4</v>
      </c>
      <c r="F723">
        <f t="shared" si="79"/>
        <v>46</v>
      </c>
      <c r="G723">
        <f t="shared" si="80"/>
        <v>4.7699999999999996</v>
      </c>
      <c r="H723">
        <f t="shared" si="81"/>
        <v>286</v>
      </c>
      <c r="I723" s="3">
        <f t="shared" si="82"/>
        <v>62.937062937062933</v>
      </c>
      <c r="J723" t="str">
        <f t="shared" si="83"/>
        <v>F</v>
      </c>
    </row>
    <row r="724" spans="1:10" hidden="1" x14ac:dyDescent="0.25">
      <c r="A724" s="4" t="s">
        <v>41</v>
      </c>
      <c r="B724" s="1">
        <v>0.52646300000000001</v>
      </c>
      <c r="C724" s="1">
        <v>0.52316700000000005</v>
      </c>
      <c r="D724" s="1">
        <f t="shared" si="77"/>
        <v>3.2959999999999656E-3</v>
      </c>
      <c r="E724">
        <f t="shared" si="78"/>
        <v>4</v>
      </c>
      <c r="F724">
        <f t="shared" si="79"/>
        <v>45</v>
      </c>
      <c r="G724">
        <f t="shared" si="80"/>
        <v>4.75</v>
      </c>
      <c r="H724">
        <f t="shared" si="81"/>
        <v>285</v>
      </c>
      <c r="I724" s="3">
        <f t="shared" si="82"/>
        <v>63.15789473684211</v>
      </c>
      <c r="J724" t="str">
        <f t="shared" si="83"/>
        <v>F</v>
      </c>
    </row>
    <row r="725" spans="1:10" hidden="1" x14ac:dyDescent="0.25">
      <c r="A725" s="4" t="s">
        <v>117</v>
      </c>
      <c r="B725" s="1">
        <v>0.93513800000000002</v>
      </c>
      <c r="C725" s="1">
        <v>0.93698199999999998</v>
      </c>
      <c r="D725" s="1">
        <f t="shared" si="77"/>
        <v>1.8439999999999568E-3</v>
      </c>
      <c r="E725">
        <f t="shared" si="78"/>
        <v>2</v>
      </c>
      <c r="F725">
        <f t="shared" si="79"/>
        <v>39</v>
      </c>
      <c r="G725">
        <f t="shared" si="80"/>
        <v>2.65</v>
      </c>
      <c r="H725">
        <f t="shared" si="81"/>
        <v>159</v>
      </c>
      <c r="I725" s="3">
        <f t="shared" si="82"/>
        <v>113.20754716981131</v>
      </c>
      <c r="J725" t="str">
        <f t="shared" si="83"/>
        <v>F</v>
      </c>
    </row>
    <row r="726" spans="1:10" hidden="1" x14ac:dyDescent="0.25">
      <c r="A726" s="4" t="s">
        <v>162</v>
      </c>
      <c r="B726" s="1">
        <v>0.73413300000000004</v>
      </c>
      <c r="C726" s="1">
        <v>0.73189300000000002</v>
      </c>
      <c r="D726" s="1">
        <f t="shared" si="77"/>
        <v>2.2400000000000198E-3</v>
      </c>
      <c r="E726">
        <f t="shared" si="78"/>
        <v>3</v>
      </c>
      <c r="F726">
        <f t="shared" si="79"/>
        <v>14</v>
      </c>
      <c r="G726">
        <f t="shared" si="80"/>
        <v>3.23</v>
      </c>
      <c r="H726">
        <f t="shared" si="81"/>
        <v>194</v>
      </c>
      <c r="I726" s="3">
        <f t="shared" si="82"/>
        <v>92.783505154639187</v>
      </c>
      <c r="J726" t="str">
        <f t="shared" si="83"/>
        <v>F</v>
      </c>
    </row>
    <row r="727" spans="1:10" hidden="1" x14ac:dyDescent="0.25">
      <c r="A727" s="4" t="s">
        <v>5</v>
      </c>
      <c r="B727" s="1">
        <v>0.84894400000000003</v>
      </c>
      <c r="C727" s="1">
        <v>0.84666799999999998</v>
      </c>
      <c r="D727" s="1">
        <f t="shared" si="77"/>
        <v>2.2760000000000558E-3</v>
      </c>
      <c r="E727">
        <f t="shared" si="78"/>
        <v>3</v>
      </c>
      <c r="F727">
        <f t="shared" si="79"/>
        <v>17</v>
      </c>
      <c r="G727">
        <f t="shared" si="80"/>
        <v>3.28</v>
      </c>
      <c r="H727">
        <f t="shared" si="81"/>
        <v>197</v>
      </c>
      <c r="I727" s="3">
        <f t="shared" si="82"/>
        <v>91.370558375634516</v>
      </c>
      <c r="J727" t="str">
        <f t="shared" si="83"/>
        <v>F</v>
      </c>
    </row>
    <row r="728" spans="1:10" hidden="1" x14ac:dyDescent="0.25">
      <c r="A728" s="4" t="s">
        <v>109</v>
      </c>
      <c r="B728" s="1">
        <v>0.38767800000000002</v>
      </c>
      <c r="C728" s="1">
        <v>0.38923000000000002</v>
      </c>
      <c r="D728" s="1">
        <f t="shared" si="77"/>
        <v>1.5519999999999978E-3</v>
      </c>
      <c r="E728">
        <f t="shared" si="78"/>
        <v>2</v>
      </c>
      <c r="F728">
        <f t="shared" si="79"/>
        <v>14</v>
      </c>
      <c r="G728">
        <f t="shared" si="80"/>
        <v>2.23</v>
      </c>
      <c r="H728">
        <f t="shared" si="81"/>
        <v>134</v>
      </c>
      <c r="I728" s="3">
        <f t="shared" si="82"/>
        <v>134.32835820895522</v>
      </c>
      <c r="J728" t="str">
        <f t="shared" si="83"/>
        <v>F</v>
      </c>
    </row>
    <row r="729" spans="1:10" hidden="1" x14ac:dyDescent="0.25">
      <c r="A729" s="4" t="s">
        <v>47</v>
      </c>
      <c r="B729" s="1">
        <v>4.8843999999999999E-2</v>
      </c>
      <c r="C729" s="1">
        <v>5.1991999999999997E-2</v>
      </c>
      <c r="D729" s="1">
        <f t="shared" si="77"/>
        <v>3.147999999999998E-3</v>
      </c>
      <c r="E729">
        <f t="shared" si="78"/>
        <v>4</v>
      </c>
      <c r="F729">
        <f t="shared" si="79"/>
        <v>32</v>
      </c>
      <c r="G729">
        <f t="shared" si="80"/>
        <v>4.53</v>
      </c>
      <c r="H729">
        <f t="shared" si="81"/>
        <v>272</v>
      </c>
      <c r="I729" s="3">
        <f t="shared" si="82"/>
        <v>66.17647058823529</v>
      </c>
      <c r="J729" t="str">
        <f t="shared" si="83"/>
        <v>F</v>
      </c>
    </row>
    <row r="730" spans="1:10" hidden="1" x14ac:dyDescent="0.25">
      <c r="A730" s="4" t="s">
        <v>41</v>
      </c>
      <c r="B730" s="1">
        <v>0.44640400000000002</v>
      </c>
      <c r="C730" s="1">
        <v>0.4481</v>
      </c>
      <c r="D730" s="1">
        <f t="shared" si="77"/>
        <v>1.6959999999999753E-3</v>
      </c>
      <c r="E730">
        <f t="shared" si="78"/>
        <v>2</v>
      </c>
      <c r="F730">
        <f t="shared" si="79"/>
        <v>27</v>
      </c>
      <c r="G730">
        <f t="shared" si="80"/>
        <v>2.4500000000000002</v>
      </c>
      <c r="H730">
        <f t="shared" si="81"/>
        <v>147</v>
      </c>
      <c r="I730" s="3">
        <f t="shared" si="82"/>
        <v>122.44897959183673</v>
      </c>
      <c r="J730" t="str">
        <f t="shared" si="83"/>
        <v>F</v>
      </c>
    </row>
    <row r="731" spans="1:10" hidden="1" x14ac:dyDescent="0.25">
      <c r="A731" s="4" t="s">
        <v>117</v>
      </c>
      <c r="B731" s="1">
        <v>0.56385600000000002</v>
      </c>
      <c r="C731" s="1">
        <v>0.56057199999999996</v>
      </c>
      <c r="D731" s="1">
        <f t="shared" si="77"/>
        <v>3.2840000000000646E-3</v>
      </c>
      <c r="E731">
        <f t="shared" si="78"/>
        <v>4</v>
      </c>
      <c r="F731">
        <f t="shared" si="79"/>
        <v>44</v>
      </c>
      <c r="G731">
        <f t="shared" si="80"/>
        <v>4.7300000000000004</v>
      </c>
      <c r="H731">
        <f t="shared" si="81"/>
        <v>284</v>
      </c>
      <c r="I731" s="3">
        <f t="shared" si="82"/>
        <v>63.380281690140848</v>
      </c>
      <c r="J731" t="str">
        <f t="shared" si="83"/>
        <v>F</v>
      </c>
    </row>
    <row r="732" spans="1:10" hidden="1" x14ac:dyDescent="0.25">
      <c r="A732" s="4" t="s">
        <v>162</v>
      </c>
      <c r="B732" s="1">
        <v>0.48971599999999998</v>
      </c>
      <c r="C732" s="1">
        <v>0.492728</v>
      </c>
      <c r="D732" s="1">
        <f t="shared" si="77"/>
        <v>3.0120000000000147E-3</v>
      </c>
      <c r="E732">
        <f t="shared" si="78"/>
        <v>4</v>
      </c>
      <c r="F732">
        <f t="shared" si="79"/>
        <v>20</v>
      </c>
      <c r="G732">
        <f t="shared" si="80"/>
        <v>4.33</v>
      </c>
      <c r="H732">
        <f t="shared" si="81"/>
        <v>260</v>
      </c>
      <c r="I732" s="3">
        <f t="shared" si="82"/>
        <v>69.230769230769226</v>
      </c>
      <c r="J732" t="str">
        <f t="shared" si="83"/>
        <v>F</v>
      </c>
    </row>
    <row r="733" spans="1:10" hidden="1" x14ac:dyDescent="0.25">
      <c r="A733" s="4" t="s">
        <v>5</v>
      </c>
      <c r="B733" s="1">
        <v>0.95572699999999999</v>
      </c>
      <c r="C733" s="1">
        <v>0.95332300000000003</v>
      </c>
      <c r="D733" s="1">
        <f t="shared" si="77"/>
        <v>2.4039999999999617E-3</v>
      </c>
      <c r="E733">
        <f t="shared" si="78"/>
        <v>3</v>
      </c>
      <c r="F733">
        <f t="shared" si="79"/>
        <v>28</v>
      </c>
      <c r="G733">
        <f t="shared" si="80"/>
        <v>3.47</v>
      </c>
      <c r="H733">
        <f t="shared" si="81"/>
        <v>208</v>
      </c>
      <c r="I733" s="3">
        <f t="shared" si="82"/>
        <v>86.538461538461533</v>
      </c>
      <c r="J733" t="str">
        <f t="shared" si="83"/>
        <v>F</v>
      </c>
    </row>
    <row r="734" spans="1:10" hidden="1" x14ac:dyDescent="0.25">
      <c r="A734" s="4" t="s">
        <v>109</v>
      </c>
      <c r="B734" s="1">
        <v>0.73162199999999999</v>
      </c>
      <c r="C734" s="1">
        <v>0.73468599999999995</v>
      </c>
      <c r="D734" s="1">
        <f t="shared" si="77"/>
        <v>3.0639999999999556E-3</v>
      </c>
      <c r="E734">
        <f t="shared" si="78"/>
        <v>4</v>
      </c>
      <c r="F734">
        <f t="shared" si="79"/>
        <v>25</v>
      </c>
      <c r="G734">
        <f t="shared" si="80"/>
        <v>4.42</v>
      </c>
      <c r="H734">
        <f t="shared" si="81"/>
        <v>265</v>
      </c>
      <c r="I734" s="3">
        <f t="shared" si="82"/>
        <v>67.924528301886795</v>
      </c>
      <c r="J734" t="str">
        <f t="shared" si="83"/>
        <v>F</v>
      </c>
    </row>
    <row r="735" spans="1:10" hidden="1" x14ac:dyDescent="0.25">
      <c r="A735" s="4" t="s">
        <v>47</v>
      </c>
      <c r="B735" s="1">
        <v>0.35125499999999998</v>
      </c>
      <c r="C735" s="1">
        <v>0.349383</v>
      </c>
      <c r="D735" s="1">
        <f t="shared" si="77"/>
        <v>1.8719999999999848E-3</v>
      </c>
      <c r="E735">
        <f t="shared" si="78"/>
        <v>2</v>
      </c>
      <c r="F735">
        <f t="shared" si="79"/>
        <v>42</v>
      </c>
      <c r="G735">
        <f t="shared" si="80"/>
        <v>2.7</v>
      </c>
      <c r="H735">
        <f t="shared" si="81"/>
        <v>162</v>
      </c>
      <c r="I735" s="3">
        <f t="shared" si="82"/>
        <v>111.11111111111111</v>
      </c>
      <c r="J735" t="str">
        <f t="shared" si="83"/>
        <v>F</v>
      </c>
    </row>
    <row r="736" spans="1:10" hidden="1" x14ac:dyDescent="0.25">
      <c r="A736" s="4" t="s">
        <v>41</v>
      </c>
      <c r="B736" s="1">
        <v>0.70953299999999997</v>
      </c>
      <c r="C736" s="1">
        <v>0.71285699999999996</v>
      </c>
      <c r="D736" s="1">
        <f t="shared" si="77"/>
        <v>3.3239999999999936E-3</v>
      </c>
      <c r="E736">
        <f t="shared" si="78"/>
        <v>4</v>
      </c>
      <c r="F736">
        <f t="shared" si="79"/>
        <v>47</v>
      </c>
      <c r="G736">
        <f t="shared" si="80"/>
        <v>4.78</v>
      </c>
      <c r="H736">
        <f t="shared" si="81"/>
        <v>287</v>
      </c>
      <c r="I736" s="3">
        <f t="shared" si="82"/>
        <v>62.717770034843205</v>
      </c>
      <c r="J736" t="str">
        <f t="shared" si="83"/>
        <v>F</v>
      </c>
    </row>
    <row r="737" spans="1:10" hidden="1" x14ac:dyDescent="0.25">
      <c r="A737" s="4" t="s">
        <v>117</v>
      </c>
      <c r="B737" s="1">
        <v>0.54806999999999995</v>
      </c>
      <c r="C737" s="1">
        <v>0.54442199999999996</v>
      </c>
      <c r="D737" s="1">
        <f t="shared" si="77"/>
        <v>3.6479999999999846E-3</v>
      </c>
      <c r="E737">
        <f t="shared" si="78"/>
        <v>5</v>
      </c>
      <c r="F737">
        <f t="shared" si="79"/>
        <v>15</v>
      </c>
      <c r="G737">
        <f t="shared" si="80"/>
        <v>5.25</v>
      </c>
      <c r="H737">
        <f t="shared" si="81"/>
        <v>315</v>
      </c>
      <c r="I737" s="3">
        <f t="shared" si="82"/>
        <v>57.142857142857146</v>
      </c>
      <c r="J737" t="str">
        <f t="shared" si="83"/>
        <v>F</v>
      </c>
    </row>
    <row r="738" spans="1:10" hidden="1" x14ac:dyDescent="0.25">
      <c r="A738" s="4" t="s">
        <v>162</v>
      </c>
      <c r="B738" s="1">
        <v>0.90659900000000004</v>
      </c>
      <c r="C738" s="1">
        <v>0.90828699999999996</v>
      </c>
      <c r="D738" s="1">
        <f t="shared" si="77"/>
        <v>1.6879999999999118E-3</v>
      </c>
      <c r="E738">
        <f t="shared" si="78"/>
        <v>2</v>
      </c>
      <c r="F738">
        <f t="shared" si="79"/>
        <v>26</v>
      </c>
      <c r="G738">
        <f t="shared" si="80"/>
        <v>2.4300000000000002</v>
      </c>
      <c r="H738">
        <f t="shared" si="81"/>
        <v>146</v>
      </c>
      <c r="I738" s="3">
        <f t="shared" si="82"/>
        <v>123.2876712328767</v>
      </c>
      <c r="J738" t="str">
        <f t="shared" si="83"/>
        <v>F</v>
      </c>
    </row>
    <row r="739" spans="1:10" hidden="1" x14ac:dyDescent="0.25">
      <c r="A739" s="4" t="s">
        <v>5</v>
      </c>
      <c r="B739" s="1">
        <v>0.52575099999999997</v>
      </c>
      <c r="C739" s="1">
        <v>0.52411099999999999</v>
      </c>
      <c r="D739" s="1">
        <f t="shared" si="77"/>
        <v>1.6399999999999748E-3</v>
      </c>
      <c r="E739">
        <f t="shared" si="78"/>
        <v>2</v>
      </c>
      <c r="F739">
        <f t="shared" si="79"/>
        <v>22</v>
      </c>
      <c r="G739">
        <f t="shared" si="80"/>
        <v>2.37</v>
      </c>
      <c r="H739">
        <f t="shared" si="81"/>
        <v>142</v>
      </c>
      <c r="I739" s="3">
        <f t="shared" si="82"/>
        <v>126.7605633802817</v>
      </c>
      <c r="J739" t="str">
        <f t="shared" si="83"/>
        <v>F</v>
      </c>
    </row>
    <row r="740" spans="1:10" hidden="1" x14ac:dyDescent="0.25">
      <c r="A740" s="4" t="s">
        <v>109</v>
      </c>
      <c r="B740" s="1">
        <v>0.114372</v>
      </c>
      <c r="C740" s="1">
        <v>0.116748</v>
      </c>
      <c r="D740" s="1">
        <f t="shared" si="77"/>
        <v>2.3760000000000031E-3</v>
      </c>
      <c r="E740">
        <f t="shared" si="78"/>
        <v>3</v>
      </c>
      <c r="F740">
        <f t="shared" si="79"/>
        <v>25</v>
      </c>
      <c r="G740">
        <f t="shared" si="80"/>
        <v>3.42</v>
      </c>
      <c r="H740">
        <f t="shared" si="81"/>
        <v>205</v>
      </c>
      <c r="I740" s="3">
        <f t="shared" si="82"/>
        <v>87.804878048780495</v>
      </c>
      <c r="J740" t="str">
        <f t="shared" si="83"/>
        <v>F</v>
      </c>
    </row>
    <row r="741" spans="1:10" hidden="1" x14ac:dyDescent="0.25">
      <c r="A741" s="4" t="s">
        <v>162</v>
      </c>
      <c r="B741" s="1">
        <v>8.4322999999999995E-2</v>
      </c>
      <c r="C741" s="1">
        <v>8.0866999999999994E-2</v>
      </c>
      <c r="D741" s="1">
        <f t="shared" si="77"/>
        <v>3.4560000000000007E-3</v>
      </c>
      <c r="E741">
        <f t="shared" si="78"/>
        <v>4</v>
      </c>
      <c r="F741">
        <f t="shared" si="79"/>
        <v>59</v>
      </c>
      <c r="G741">
        <f t="shared" si="80"/>
        <v>4.9800000000000004</v>
      </c>
      <c r="H741">
        <f t="shared" si="81"/>
        <v>299</v>
      </c>
      <c r="I741" s="3">
        <f t="shared" si="82"/>
        <v>60.200668896321076</v>
      </c>
      <c r="J741" t="str">
        <f t="shared" si="83"/>
        <v>F</v>
      </c>
    </row>
    <row r="742" spans="1:10" hidden="1" x14ac:dyDescent="0.25">
      <c r="A742" s="4" t="s">
        <v>5</v>
      </c>
      <c r="B742" s="1">
        <v>0.12634100000000001</v>
      </c>
      <c r="C742" s="1">
        <v>0.122433</v>
      </c>
      <c r="D742" s="1">
        <f t="shared" si="77"/>
        <v>3.9080000000000087E-3</v>
      </c>
      <c r="E742">
        <f t="shared" si="78"/>
        <v>5</v>
      </c>
      <c r="F742">
        <f t="shared" si="79"/>
        <v>38</v>
      </c>
      <c r="G742">
        <f t="shared" si="80"/>
        <v>5.63</v>
      </c>
      <c r="H742">
        <f t="shared" si="81"/>
        <v>338</v>
      </c>
      <c r="I742" s="3">
        <f t="shared" si="82"/>
        <v>53.254437869822482</v>
      </c>
      <c r="J742" t="str">
        <f t="shared" si="83"/>
        <v>F</v>
      </c>
    </row>
    <row r="743" spans="1:10" hidden="1" x14ac:dyDescent="0.25">
      <c r="A743" s="4" t="s">
        <v>109</v>
      </c>
      <c r="B743" s="1">
        <v>0.44507799999999997</v>
      </c>
      <c r="C743" s="1">
        <v>0.44834600000000002</v>
      </c>
      <c r="D743" s="1">
        <f t="shared" si="77"/>
        <v>3.2680000000000486E-3</v>
      </c>
      <c r="E743">
        <f t="shared" si="78"/>
        <v>4</v>
      </c>
      <c r="F743">
        <f t="shared" si="79"/>
        <v>42</v>
      </c>
      <c r="G743">
        <f t="shared" si="80"/>
        <v>4.7</v>
      </c>
      <c r="H743">
        <f t="shared" si="81"/>
        <v>282</v>
      </c>
      <c r="I743" s="3">
        <f t="shared" si="82"/>
        <v>63.829787234042556</v>
      </c>
      <c r="J743" t="str">
        <f t="shared" si="83"/>
        <v>F</v>
      </c>
    </row>
    <row r="744" spans="1:10" hidden="1" x14ac:dyDescent="0.25">
      <c r="A744" s="4" t="s">
        <v>162</v>
      </c>
      <c r="B744" s="1">
        <v>1.2021E-2</v>
      </c>
      <c r="C744" s="1">
        <v>1.3877E-2</v>
      </c>
      <c r="D744" s="1">
        <f t="shared" si="77"/>
        <v>1.856E-3</v>
      </c>
      <c r="E744">
        <f t="shared" si="78"/>
        <v>2</v>
      </c>
      <c r="F744">
        <f t="shared" si="79"/>
        <v>40</v>
      </c>
      <c r="G744">
        <f t="shared" si="80"/>
        <v>2.67</v>
      </c>
      <c r="H744">
        <f t="shared" si="81"/>
        <v>160</v>
      </c>
      <c r="I744" s="3">
        <f t="shared" si="82"/>
        <v>112.5</v>
      </c>
      <c r="J744" t="str">
        <f t="shared" si="83"/>
        <v>F</v>
      </c>
    </row>
    <row r="745" spans="1:10" hidden="1" x14ac:dyDescent="0.25">
      <c r="A745" s="4" t="s">
        <v>5</v>
      </c>
      <c r="B745" s="1">
        <v>0.18615499999999999</v>
      </c>
      <c r="C745" s="1">
        <v>0.18418699999999999</v>
      </c>
      <c r="D745" s="1">
        <f t="shared" si="77"/>
        <v>1.9679999999999975E-3</v>
      </c>
      <c r="E745">
        <f t="shared" si="78"/>
        <v>2</v>
      </c>
      <c r="F745">
        <f t="shared" si="79"/>
        <v>50</v>
      </c>
      <c r="G745">
        <f t="shared" si="80"/>
        <v>2.83</v>
      </c>
      <c r="H745">
        <f t="shared" si="81"/>
        <v>170</v>
      </c>
      <c r="I745" s="3">
        <f t="shared" si="82"/>
        <v>105.88235294117646</v>
      </c>
      <c r="J745" t="str">
        <f t="shared" si="83"/>
        <v>F</v>
      </c>
    </row>
    <row r="746" spans="1:10" hidden="1" x14ac:dyDescent="0.25">
      <c r="A746" s="4" t="s">
        <v>109</v>
      </c>
      <c r="B746" s="1">
        <v>5.2546000000000002E-2</v>
      </c>
      <c r="C746" s="1">
        <v>5.0361999999999997E-2</v>
      </c>
      <c r="D746" s="1">
        <f t="shared" si="77"/>
        <v>2.1840000000000054E-3</v>
      </c>
      <c r="E746">
        <f t="shared" si="78"/>
        <v>3</v>
      </c>
      <c r="F746">
        <f t="shared" si="79"/>
        <v>9</v>
      </c>
      <c r="G746">
        <f t="shared" si="80"/>
        <v>3.15</v>
      </c>
      <c r="H746">
        <f t="shared" si="81"/>
        <v>189</v>
      </c>
      <c r="I746" s="3">
        <f t="shared" si="82"/>
        <v>95.238095238095241</v>
      </c>
      <c r="J746" t="str">
        <f t="shared" si="83"/>
        <v>F</v>
      </c>
    </row>
    <row r="747" spans="1:10" hidden="1" x14ac:dyDescent="0.25">
      <c r="A747" s="4" t="s">
        <v>162</v>
      </c>
      <c r="B747" s="1">
        <v>0.33263599999999999</v>
      </c>
      <c r="C747" s="1">
        <v>0.32883600000000002</v>
      </c>
      <c r="D747" s="1">
        <f t="shared" si="77"/>
        <v>3.7999999999999701E-3</v>
      </c>
      <c r="E747">
        <f t="shared" si="78"/>
        <v>5</v>
      </c>
      <c r="F747">
        <f t="shared" si="79"/>
        <v>28</v>
      </c>
      <c r="G747">
        <f t="shared" si="80"/>
        <v>5.47</v>
      </c>
      <c r="H747">
        <f t="shared" si="81"/>
        <v>328</v>
      </c>
      <c r="I747" s="3">
        <f t="shared" si="82"/>
        <v>54.878048780487809</v>
      </c>
      <c r="J747" t="str">
        <f t="shared" si="83"/>
        <v>F</v>
      </c>
    </row>
    <row r="748" spans="1:10" hidden="1" x14ac:dyDescent="0.25">
      <c r="A748" s="4" t="s">
        <v>5</v>
      </c>
      <c r="B748" s="1">
        <v>0.82136500000000001</v>
      </c>
      <c r="C748" s="1">
        <v>0.82473700000000005</v>
      </c>
      <c r="D748" s="1">
        <f t="shared" si="77"/>
        <v>3.3720000000000416E-3</v>
      </c>
      <c r="E748">
        <f t="shared" si="78"/>
        <v>4</v>
      </c>
      <c r="F748">
        <f t="shared" si="79"/>
        <v>51</v>
      </c>
      <c r="G748">
        <f t="shared" si="80"/>
        <v>4.8499999999999996</v>
      </c>
      <c r="H748">
        <f t="shared" si="81"/>
        <v>291</v>
      </c>
      <c r="I748" s="3">
        <f t="shared" si="82"/>
        <v>61.855670103092784</v>
      </c>
      <c r="J748" t="str">
        <f t="shared" si="83"/>
        <v>F</v>
      </c>
    </row>
    <row r="749" spans="1:10" hidden="1" x14ac:dyDescent="0.25">
      <c r="A749" s="4" t="s">
        <v>109</v>
      </c>
      <c r="B749" s="1">
        <v>0.51990700000000001</v>
      </c>
      <c r="C749" s="1">
        <v>0.52331899999999998</v>
      </c>
      <c r="D749" s="1">
        <f t="shared" si="77"/>
        <v>3.4119999999999706E-3</v>
      </c>
      <c r="E749">
        <f t="shared" si="78"/>
        <v>4</v>
      </c>
      <c r="F749">
        <f t="shared" si="79"/>
        <v>55</v>
      </c>
      <c r="G749">
        <f t="shared" si="80"/>
        <v>4.92</v>
      </c>
      <c r="H749">
        <f t="shared" si="81"/>
        <v>295</v>
      </c>
      <c r="I749" s="3">
        <f t="shared" si="82"/>
        <v>61.016949152542367</v>
      </c>
      <c r="J749" t="str">
        <f t="shared" si="83"/>
        <v>F</v>
      </c>
    </row>
    <row r="750" spans="1:10" hidden="1" x14ac:dyDescent="0.25">
      <c r="A750" s="4" t="s">
        <v>87</v>
      </c>
      <c r="B750" s="1">
        <v>0.193798</v>
      </c>
      <c r="C750" s="1">
        <v>0.19087000000000001</v>
      </c>
      <c r="D750" s="1">
        <f t="shared" si="77"/>
        <v>2.9279999999999862E-3</v>
      </c>
      <c r="E750">
        <f t="shared" si="78"/>
        <v>4</v>
      </c>
      <c r="F750">
        <f t="shared" si="79"/>
        <v>13</v>
      </c>
      <c r="G750">
        <f t="shared" si="80"/>
        <v>4.22</v>
      </c>
      <c r="H750">
        <f t="shared" si="81"/>
        <v>253</v>
      </c>
      <c r="I750" s="3">
        <f t="shared" si="82"/>
        <v>71.146245059288532</v>
      </c>
      <c r="J750" t="str">
        <f t="shared" si="83"/>
        <v>F</v>
      </c>
    </row>
    <row r="751" spans="1:10" hidden="1" x14ac:dyDescent="0.25">
      <c r="A751" s="4" t="s">
        <v>87</v>
      </c>
      <c r="B751" s="1">
        <v>0.52210599999999996</v>
      </c>
      <c r="C751" s="1">
        <v>0.52360600000000002</v>
      </c>
      <c r="D751" s="1">
        <f t="shared" si="77"/>
        <v>1.5000000000000568E-3</v>
      </c>
      <c r="E751">
        <f t="shared" si="78"/>
        <v>2</v>
      </c>
      <c r="F751">
        <f t="shared" si="79"/>
        <v>10</v>
      </c>
      <c r="G751">
        <f t="shared" si="80"/>
        <v>2.17</v>
      </c>
      <c r="H751">
        <f t="shared" si="81"/>
        <v>130</v>
      </c>
      <c r="I751" s="3">
        <f t="shared" si="82"/>
        <v>138.46153846153845</v>
      </c>
      <c r="J751" t="str">
        <f t="shared" si="83"/>
        <v>F</v>
      </c>
    </row>
    <row r="752" spans="1:10" hidden="1" x14ac:dyDescent="0.25">
      <c r="A752" s="4" t="s">
        <v>87</v>
      </c>
      <c r="B752" s="1">
        <v>7.9268000000000005E-2</v>
      </c>
      <c r="C752" s="1">
        <v>8.1591999999999998E-2</v>
      </c>
      <c r="D752" s="1">
        <f t="shared" si="77"/>
        <v>2.3239999999999927E-3</v>
      </c>
      <c r="E752">
        <f t="shared" si="78"/>
        <v>3</v>
      </c>
      <c r="F752">
        <f t="shared" si="79"/>
        <v>21</v>
      </c>
      <c r="G752">
        <f t="shared" si="80"/>
        <v>3.35</v>
      </c>
      <c r="H752">
        <f t="shared" si="81"/>
        <v>201</v>
      </c>
      <c r="I752" s="3">
        <f t="shared" si="82"/>
        <v>89.552238805970148</v>
      </c>
      <c r="J752" t="str">
        <f t="shared" si="83"/>
        <v>F</v>
      </c>
    </row>
    <row r="753" spans="1:10" hidden="1" x14ac:dyDescent="0.25">
      <c r="A753" s="4" t="s">
        <v>87</v>
      </c>
      <c r="B753" s="1">
        <v>0.290101</v>
      </c>
      <c r="C753" s="1">
        <v>0.29200100000000001</v>
      </c>
      <c r="D753" s="1">
        <f t="shared" si="77"/>
        <v>1.9000000000000128E-3</v>
      </c>
      <c r="E753">
        <f t="shared" si="78"/>
        <v>2</v>
      </c>
      <c r="F753">
        <f t="shared" si="79"/>
        <v>44</v>
      </c>
      <c r="G753">
        <f t="shared" si="80"/>
        <v>2.73</v>
      </c>
      <c r="H753">
        <f t="shared" si="81"/>
        <v>164</v>
      </c>
      <c r="I753" s="3">
        <f t="shared" si="82"/>
        <v>109.75609756097562</v>
      </c>
      <c r="J753" t="str">
        <f t="shared" si="83"/>
        <v>F</v>
      </c>
    </row>
    <row r="754" spans="1:10" hidden="1" x14ac:dyDescent="0.25">
      <c r="A754" s="4" t="s">
        <v>56</v>
      </c>
      <c r="B754" s="1">
        <v>0.76231800000000005</v>
      </c>
      <c r="C754" s="1">
        <v>0.75952200000000003</v>
      </c>
      <c r="D754" s="1">
        <f t="shared" si="77"/>
        <v>2.7960000000000207E-3</v>
      </c>
      <c r="E754">
        <f t="shared" si="78"/>
        <v>4</v>
      </c>
      <c r="F754">
        <f t="shared" si="79"/>
        <v>2</v>
      </c>
      <c r="G754">
        <f t="shared" si="80"/>
        <v>4.03</v>
      </c>
      <c r="H754">
        <f t="shared" si="81"/>
        <v>242</v>
      </c>
      <c r="I754" s="3">
        <f t="shared" si="82"/>
        <v>74.380165289256198</v>
      </c>
      <c r="J754" t="str">
        <f t="shared" si="83"/>
        <v>F</v>
      </c>
    </row>
    <row r="755" spans="1:10" hidden="1" x14ac:dyDescent="0.25">
      <c r="A755" s="4" t="s">
        <v>132</v>
      </c>
      <c r="B755" s="1">
        <v>2.7099000000000002E-2</v>
      </c>
      <c r="C755" s="1">
        <v>2.2926999999999999E-2</v>
      </c>
      <c r="D755" s="1">
        <f t="shared" si="77"/>
        <v>4.1720000000000021E-3</v>
      </c>
      <c r="E755">
        <f t="shared" si="78"/>
        <v>6</v>
      </c>
      <c r="F755">
        <f t="shared" si="79"/>
        <v>0</v>
      </c>
      <c r="G755">
        <f t="shared" si="80"/>
        <v>6</v>
      </c>
      <c r="H755">
        <f t="shared" si="81"/>
        <v>360</v>
      </c>
      <c r="I755" s="3">
        <f t="shared" si="82"/>
        <v>50</v>
      </c>
      <c r="J755" t="str">
        <f t="shared" si="83"/>
        <v>F</v>
      </c>
    </row>
    <row r="756" spans="1:10" hidden="1" x14ac:dyDescent="0.25">
      <c r="A756" s="4" t="s">
        <v>18</v>
      </c>
      <c r="B756" s="1">
        <v>0.97761100000000001</v>
      </c>
      <c r="C756" s="1">
        <v>0.98051100000000002</v>
      </c>
      <c r="D756" s="1">
        <f t="shared" si="77"/>
        <v>2.9000000000000137E-3</v>
      </c>
      <c r="E756">
        <f t="shared" si="78"/>
        <v>4</v>
      </c>
      <c r="F756">
        <f t="shared" si="79"/>
        <v>11</v>
      </c>
      <c r="G756">
        <f t="shared" si="80"/>
        <v>4.18</v>
      </c>
      <c r="H756">
        <f t="shared" si="81"/>
        <v>251</v>
      </c>
      <c r="I756" s="3">
        <f t="shared" si="82"/>
        <v>71.713147410358559</v>
      </c>
      <c r="J756" t="str">
        <f t="shared" si="83"/>
        <v>F</v>
      </c>
    </row>
    <row r="757" spans="1:10" hidden="1" x14ac:dyDescent="0.25">
      <c r="A757" s="4" t="s">
        <v>85</v>
      </c>
      <c r="B757" s="1">
        <v>0.85538400000000003</v>
      </c>
      <c r="C757" s="1">
        <v>0.85827600000000004</v>
      </c>
      <c r="D757" s="1">
        <f t="shared" si="77"/>
        <v>2.8920000000000057E-3</v>
      </c>
      <c r="E757">
        <f t="shared" si="78"/>
        <v>4</v>
      </c>
      <c r="F757">
        <f t="shared" si="79"/>
        <v>10</v>
      </c>
      <c r="G757">
        <f t="shared" si="80"/>
        <v>4.17</v>
      </c>
      <c r="H757">
        <f t="shared" si="81"/>
        <v>250</v>
      </c>
      <c r="I757" s="3">
        <f t="shared" si="82"/>
        <v>72</v>
      </c>
      <c r="J757" t="str">
        <f t="shared" si="83"/>
        <v>F</v>
      </c>
    </row>
    <row r="758" spans="1:10" hidden="1" x14ac:dyDescent="0.25">
      <c r="A758" s="4" t="s">
        <v>112</v>
      </c>
      <c r="B758" s="1">
        <v>8.3103999999999997E-2</v>
      </c>
      <c r="C758" s="1">
        <v>8.0135999999999999E-2</v>
      </c>
      <c r="D758" s="1">
        <f t="shared" si="77"/>
        <v>2.9679999999999984E-3</v>
      </c>
      <c r="E758">
        <f t="shared" si="78"/>
        <v>4</v>
      </c>
      <c r="F758">
        <f t="shared" si="79"/>
        <v>16</v>
      </c>
      <c r="G758">
        <f t="shared" si="80"/>
        <v>4.2699999999999996</v>
      </c>
      <c r="H758">
        <f t="shared" si="81"/>
        <v>256</v>
      </c>
      <c r="I758" s="3">
        <f t="shared" si="82"/>
        <v>70.3125</v>
      </c>
      <c r="J758" t="str">
        <f t="shared" si="83"/>
        <v>F</v>
      </c>
    </row>
    <row r="759" spans="1:10" hidden="1" x14ac:dyDescent="0.25">
      <c r="A759" s="4" t="s">
        <v>103</v>
      </c>
      <c r="B759" s="1">
        <v>0.39823199999999997</v>
      </c>
      <c r="C759" s="1">
        <v>0.40016400000000002</v>
      </c>
      <c r="D759" s="1">
        <f t="shared" si="77"/>
        <v>1.9320000000000448E-3</v>
      </c>
      <c r="E759">
        <f t="shared" si="78"/>
        <v>2</v>
      </c>
      <c r="F759">
        <f t="shared" si="79"/>
        <v>47</v>
      </c>
      <c r="G759">
        <f t="shared" si="80"/>
        <v>2.78</v>
      </c>
      <c r="H759">
        <f t="shared" si="81"/>
        <v>167</v>
      </c>
      <c r="I759" s="3">
        <f t="shared" si="82"/>
        <v>107.78443113772455</v>
      </c>
      <c r="J759" t="str">
        <f t="shared" si="83"/>
        <v>F</v>
      </c>
    </row>
    <row r="760" spans="1:10" hidden="1" x14ac:dyDescent="0.25">
      <c r="A760" s="4" t="s">
        <v>57</v>
      </c>
      <c r="B760" s="1">
        <v>0.885293</v>
      </c>
      <c r="C760" s="1">
        <v>0.88205699999999998</v>
      </c>
      <c r="D760" s="1">
        <f t="shared" si="77"/>
        <v>3.2360000000000166E-3</v>
      </c>
      <c r="E760">
        <f t="shared" si="78"/>
        <v>4</v>
      </c>
      <c r="F760">
        <f t="shared" si="79"/>
        <v>40</v>
      </c>
      <c r="G760">
        <f t="shared" si="80"/>
        <v>4.67</v>
      </c>
      <c r="H760">
        <f t="shared" si="81"/>
        <v>280</v>
      </c>
      <c r="I760" s="3">
        <f t="shared" si="82"/>
        <v>64.285714285714292</v>
      </c>
      <c r="J760" t="str">
        <f t="shared" si="83"/>
        <v>F</v>
      </c>
    </row>
    <row r="761" spans="1:10" hidden="1" x14ac:dyDescent="0.25">
      <c r="A761" s="4" t="s">
        <v>183</v>
      </c>
      <c r="B761" s="1">
        <v>0.100374</v>
      </c>
      <c r="C761" s="1">
        <v>9.8185999999999996E-2</v>
      </c>
      <c r="D761" s="1">
        <f t="shared" si="77"/>
        <v>2.1880000000000094E-3</v>
      </c>
      <c r="E761">
        <f t="shared" si="78"/>
        <v>3</v>
      </c>
      <c r="F761">
        <f t="shared" si="79"/>
        <v>9</v>
      </c>
      <c r="G761">
        <f t="shared" si="80"/>
        <v>3.15</v>
      </c>
      <c r="H761">
        <f t="shared" si="81"/>
        <v>189</v>
      </c>
      <c r="I761" s="3">
        <f t="shared" si="82"/>
        <v>95.238095238095241</v>
      </c>
      <c r="J761" t="str">
        <f t="shared" si="83"/>
        <v>F</v>
      </c>
    </row>
    <row r="762" spans="1:10" hidden="1" x14ac:dyDescent="0.25">
      <c r="A762" s="4" t="s">
        <v>184</v>
      </c>
      <c r="B762" s="1">
        <v>0.58142000000000005</v>
      </c>
      <c r="C762" s="1">
        <v>0.58476799999999995</v>
      </c>
      <c r="D762" s="1">
        <f t="shared" si="77"/>
        <v>3.3479999999999066E-3</v>
      </c>
      <c r="E762">
        <f t="shared" si="78"/>
        <v>4</v>
      </c>
      <c r="F762">
        <f t="shared" si="79"/>
        <v>49</v>
      </c>
      <c r="G762">
        <f t="shared" si="80"/>
        <v>4.82</v>
      </c>
      <c r="H762">
        <f t="shared" si="81"/>
        <v>289</v>
      </c>
      <c r="I762" s="3">
        <f t="shared" si="82"/>
        <v>62.283737024221459</v>
      </c>
      <c r="J762" t="str">
        <f t="shared" si="83"/>
        <v>F</v>
      </c>
    </row>
    <row r="763" spans="1:10" hidden="1" x14ac:dyDescent="0.25">
      <c r="A763" s="4" t="s">
        <v>185</v>
      </c>
      <c r="B763" s="1">
        <v>0.79104600000000003</v>
      </c>
      <c r="C763" s="1">
        <v>0.78865799999999997</v>
      </c>
      <c r="D763" s="1">
        <f t="shared" si="77"/>
        <v>2.3880000000000567E-3</v>
      </c>
      <c r="E763">
        <f t="shared" si="78"/>
        <v>3</v>
      </c>
      <c r="F763">
        <f t="shared" si="79"/>
        <v>26</v>
      </c>
      <c r="G763">
        <f t="shared" si="80"/>
        <v>3.43</v>
      </c>
      <c r="H763">
        <f t="shared" si="81"/>
        <v>206</v>
      </c>
      <c r="I763" s="3">
        <f t="shared" si="82"/>
        <v>87.378640776699029</v>
      </c>
      <c r="J763" t="str">
        <f t="shared" si="83"/>
        <v>F</v>
      </c>
    </row>
    <row r="764" spans="1:10" hidden="1" x14ac:dyDescent="0.25">
      <c r="A764" s="4" t="s">
        <v>186</v>
      </c>
      <c r="B764" s="1">
        <v>0.53231499999999998</v>
      </c>
      <c r="C764" s="1">
        <v>0.52875499999999998</v>
      </c>
      <c r="D764" s="1">
        <f t="shared" si="77"/>
        <v>3.5600000000000076E-3</v>
      </c>
      <c r="E764">
        <f t="shared" si="78"/>
        <v>5</v>
      </c>
      <c r="F764">
        <f t="shared" si="79"/>
        <v>8</v>
      </c>
      <c r="G764">
        <f t="shared" si="80"/>
        <v>5.13</v>
      </c>
      <c r="H764">
        <f t="shared" si="81"/>
        <v>308</v>
      </c>
      <c r="I764" s="3">
        <f t="shared" si="82"/>
        <v>58.441558441558442</v>
      </c>
      <c r="J764" t="str">
        <f t="shared" si="83"/>
        <v>F</v>
      </c>
    </row>
    <row r="765" spans="1:10" hidden="1" x14ac:dyDescent="0.25">
      <c r="A765" s="4" t="s">
        <v>187</v>
      </c>
      <c r="B765" s="1">
        <v>0.688388</v>
      </c>
      <c r="C765" s="1">
        <v>0.69217200000000001</v>
      </c>
      <c r="D765" s="1">
        <f t="shared" si="77"/>
        <v>3.7840000000000096E-3</v>
      </c>
      <c r="E765">
        <f t="shared" si="78"/>
        <v>5</v>
      </c>
      <c r="F765">
        <f t="shared" si="79"/>
        <v>27</v>
      </c>
      <c r="G765">
        <f t="shared" si="80"/>
        <v>5.45</v>
      </c>
      <c r="H765">
        <f t="shared" si="81"/>
        <v>327</v>
      </c>
      <c r="I765" s="3">
        <f t="shared" si="82"/>
        <v>55.045871559633028</v>
      </c>
      <c r="J765" t="str">
        <f t="shared" si="83"/>
        <v>F</v>
      </c>
    </row>
    <row r="766" spans="1:10" hidden="1" x14ac:dyDescent="0.25">
      <c r="A766" s="4" t="s">
        <v>188</v>
      </c>
      <c r="B766" s="1">
        <v>0.28119699999999997</v>
      </c>
      <c r="C766" s="1">
        <v>0.27765699999999999</v>
      </c>
      <c r="D766" s="1">
        <f t="shared" si="77"/>
        <v>3.5399999999999876E-3</v>
      </c>
      <c r="E766">
        <f t="shared" si="78"/>
        <v>5</v>
      </c>
      <c r="F766">
        <f t="shared" si="79"/>
        <v>6</v>
      </c>
      <c r="G766">
        <f t="shared" si="80"/>
        <v>5.0999999999999996</v>
      </c>
      <c r="H766">
        <f t="shared" si="81"/>
        <v>306</v>
      </c>
      <c r="I766" s="3">
        <f t="shared" si="82"/>
        <v>58.82352941176471</v>
      </c>
      <c r="J766" t="str">
        <f t="shared" si="83"/>
        <v>F</v>
      </c>
    </row>
    <row r="767" spans="1:10" hidden="1" x14ac:dyDescent="0.25">
      <c r="A767" s="4" t="s">
        <v>189</v>
      </c>
      <c r="B767" s="1">
        <v>0.99743400000000004</v>
      </c>
      <c r="C767" s="1">
        <v>0.99429400000000001</v>
      </c>
      <c r="D767" s="1">
        <f t="shared" si="77"/>
        <v>3.1400000000000317E-3</v>
      </c>
      <c r="E767">
        <f t="shared" si="78"/>
        <v>4</v>
      </c>
      <c r="F767">
        <f t="shared" si="79"/>
        <v>31</v>
      </c>
      <c r="G767">
        <f t="shared" si="80"/>
        <v>4.5199999999999996</v>
      </c>
      <c r="H767">
        <f t="shared" si="81"/>
        <v>271</v>
      </c>
      <c r="I767" s="3">
        <f t="shared" si="82"/>
        <v>66.420664206642059</v>
      </c>
      <c r="J767" t="str">
        <f t="shared" si="83"/>
        <v>F</v>
      </c>
    </row>
    <row r="768" spans="1:10" hidden="1" x14ac:dyDescent="0.25">
      <c r="A768" s="4" t="s">
        <v>190</v>
      </c>
      <c r="B768" s="1">
        <v>0.78212599999999999</v>
      </c>
      <c r="C768" s="1">
        <v>0.779918</v>
      </c>
      <c r="D768" s="1">
        <f t="shared" si="77"/>
        <v>2.2079999999999878E-3</v>
      </c>
      <c r="E768">
        <f t="shared" si="78"/>
        <v>3</v>
      </c>
      <c r="F768">
        <f t="shared" si="79"/>
        <v>11</v>
      </c>
      <c r="G768">
        <f t="shared" si="80"/>
        <v>3.18</v>
      </c>
      <c r="H768">
        <f t="shared" si="81"/>
        <v>191</v>
      </c>
      <c r="I768" s="3">
        <f t="shared" si="82"/>
        <v>94.240837696335092</v>
      </c>
      <c r="J768" t="str">
        <f t="shared" si="83"/>
        <v>F</v>
      </c>
    </row>
    <row r="769" spans="1:10" hidden="1" x14ac:dyDescent="0.25">
      <c r="A769" s="4" t="s">
        <v>191</v>
      </c>
      <c r="B769" s="1">
        <v>0.193879</v>
      </c>
      <c r="C769" s="1">
        <v>0.19175500000000001</v>
      </c>
      <c r="D769" s="1">
        <f t="shared" si="77"/>
        <v>2.123999999999987E-3</v>
      </c>
      <c r="E769">
        <f t="shared" si="78"/>
        <v>3</v>
      </c>
      <c r="F769">
        <f t="shared" si="79"/>
        <v>4</v>
      </c>
      <c r="G769">
        <f t="shared" si="80"/>
        <v>3.07</v>
      </c>
      <c r="H769">
        <f t="shared" si="81"/>
        <v>184</v>
      </c>
      <c r="I769" s="3">
        <f t="shared" si="82"/>
        <v>97.826086956521735</v>
      </c>
      <c r="J769" t="str">
        <f t="shared" si="83"/>
        <v>F</v>
      </c>
    </row>
    <row r="770" spans="1:10" hidden="1" x14ac:dyDescent="0.25">
      <c r="A770" s="4" t="s">
        <v>192</v>
      </c>
      <c r="B770" s="1">
        <v>0.23611099999999999</v>
      </c>
      <c r="C770" s="1">
        <v>0.23797099999999999</v>
      </c>
      <c r="D770" s="1">
        <f t="shared" si="77"/>
        <v>1.8600000000000005E-3</v>
      </c>
      <c r="E770">
        <f t="shared" si="78"/>
        <v>2</v>
      </c>
      <c r="F770">
        <f t="shared" si="79"/>
        <v>41</v>
      </c>
      <c r="G770">
        <f t="shared" si="80"/>
        <v>2.68</v>
      </c>
      <c r="H770">
        <f t="shared" si="81"/>
        <v>161</v>
      </c>
      <c r="I770" s="3">
        <f t="shared" si="82"/>
        <v>111.80124223602485</v>
      </c>
      <c r="J770" t="str">
        <f t="shared" si="83"/>
        <v>F</v>
      </c>
    </row>
    <row r="771" spans="1:10" hidden="1" x14ac:dyDescent="0.25">
      <c r="A771" s="4" t="s">
        <v>193</v>
      </c>
      <c r="B771" s="1">
        <v>0.122076</v>
      </c>
      <c r="C771" s="1">
        <v>0.12460400000000001</v>
      </c>
      <c r="D771" s="1">
        <f t="shared" ref="D771:D834" si="84">IF(B771&gt;C771,B771-C771,C771-B771)</f>
        <v>2.5280000000000025E-3</v>
      </c>
      <c r="E771">
        <f t="shared" ref="E771:E834" si="85">MINUTE(D771)</f>
        <v>3</v>
      </c>
      <c r="F771">
        <f t="shared" ref="F771:F834" si="86">SECOND(D771)</f>
        <v>38</v>
      </c>
      <c r="G771">
        <f t="shared" ref="G771:G834" si="87">ROUND(E771+F771/60,2)</f>
        <v>3.63</v>
      </c>
      <c r="H771">
        <f t="shared" ref="H771:H834" si="88">60*E771+F771</f>
        <v>218</v>
      </c>
      <c r="I771" s="3">
        <f t="shared" ref="I771:I834" si="89">5*(3600/H771)</f>
        <v>82.568807339449535</v>
      </c>
      <c r="J771" t="str">
        <f t="shared" ref="J771:J834" si="90">IF(MID(A771,3,2)="18","T","F")</f>
        <v>F</v>
      </c>
    </row>
    <row r="772" spans="1:10" hidden="1" x14ac:dyDescent="0.25">
      <c r="A772" s="4" t="s">
        <v>194</v>
      </c>
      <c r="B772" s="1">
        <v>0.59056699999999995</v>
      </c>
      <c r="C772" s="1">
        <v>0.58848299999999998</v>
      </c>
      <c r="D772" s="1">
        <f t="shared" si="84"/>
        <v>2.0839999999999748E-3</v>
      </c>
      <c r="E772">
        <f t="shared" si="85"/>
        <v>3</v>
      </c>
      <c r="F772">
        <f t="shared" si="86"/>
        <v>0</v>
      </c>
      <c r="G772">
        <f t="shared" si="87"/>
        <v>3</v>
      </c>
      <c r="H772">
        <f t="shared" si="88"/>
        <v>180</v>
      </c>
      <c r="I772" s="3">
        <f t="shared" si="89"/>
        <v>100</v>
      </c>
      <c r="J772" t="str">
        <f t="shared" si="90"/>
        <v>F</v>
      </c>
    </row>
    <row r="773" spans="1:10" hidden="1" x14ac:dyDescent="0.25">
      <c r="A773" s="4" t="s">
        <v>195</v>
      </c>
      <c r="B773" s="1">
        <v>0.41790500000000003</v>
      </c>
      <c r="C773" s="1">
        <v>0.415773</v>
      </c>
      <c r="D773" s="1">
        <f t="shared" si="84"/>
        <v>2.1320000000000228E-3</v>
      </c>
      <c r="E773">
        <f t="shared" si="85"/>
        <v>3</v>
      </c>
      <c r="F773">
        <f t="shared" si="86"/>
        <v>4</v>
      </c>
      <c r="G773">
        <f t="shared" si="87"/>
        <v>3.07</v>
      </c>
      <c r="H773">
        <f t="shared" si="88"/>
        <v>184</v>
      </c>
      <c r="I773" s="3">
        <f t="shared" si="89"/>
        <v>97.826086956521735</v>
      </c>
      <c r="J773" t="str">
        <f t="shared" si="90"/>
        <v>F</v>
      </c>
    </row>
    <row r="774" spans="1:10" hidden="1" x14ac:dyDescent="0.25">
      <c r="A774" s="4" t="s">
        <v>196</v>
      </c>
      <c r="B774" s="1">
        <v>0.73899499999999996</v>
      </c>
      <c r="C774" s="1">
        <v>0.74130700000000005</v>
      </c>
      <c r="D774" s="1">
        <f t="shared" si="84"/>
        <v>2.3120000000000918E-3</v>
      </c>
      <c r="E774">
        <f t="shared" si="85"/>
        <v>3</v>
      </c>
      <c r="F774">
        <f t="shared" si="86"/>
        <v>20</v>
      </c>
      <c r="G774">
        <f t="shared" si="87"/>
        <v>3.33</v>
      </c>
      <c r="H774">
        <f t="shared" si="88"/>
        <v>200</v>
      </c>
      <c r="I774" s="3">
        <f t="shared" si="89"/>
        <v>90</v>
      </c>
      <c r="J774" t="str">
        <f t="shared" si="90"/>
        <v>F</v>
      </c>
    </row>
    <row r="775" spans="1:10" hidden="1" x14ac:dyDescent="0.25">
      <c r="A775" s="4" t="s">
        <v>197</v>
      </c>
      <c r="B775" s="1">
        <v>0.35936200000000001</v>
      </c>
      <c r="C775" s="1">
        <v>0.35786600000000002</v>
      </c>
      <c r="D775" s="1">
        <f t="shared" si="84"/>
        <v>1.4959999999999973E-3</v>
      </c>
      <c r="E775">
        <f t="shared" si="85"/>
        <v>2</v>
      </c>
      <c r="F775">
        <f t="shared" si="86"/>
        <v>9</v>
      </c>
      <c r="G775">
        <f t="shared" si="87"/>
        <v>2.15</v>
      </c>
      <c r="H775">
        <f t="shared" si="88"/>
        <v>129</v>
      </c>
      <c r="I775" s="3">
        <f t="shared" si="89"/>
        <v>139.53488372093022</v>
      </c>
      <c r="J775" t="str">
        <f t="shared" si="90"/>
        <v>F</v>
      </c>
    </row>
    <row r="776" spans="1:10" hidden="1" x14ac:dyDescent="0.25">
      <c r="A776" s="4" t="s">
        <v>198</v>
      </c>
      <c r="B776" s="1">
        <v>0.220692</v>
      </c>
      <c r="C776" s="1">
        <v>0.218588</v>
      </c>
      <c r="D776" s="1">
        <f t="shared" si="84"/>
        <v>2.1039999999999948E-3</v>
      </c>
      <c r="E776">
        <f t="shared" si="85"/>
        <v>3</v>
      </c>
      <c r="F776">
        <f t="shared" si="86"/>
        <v>2</v>
      </c>
      <c r="G776">
        <f t="shared" si="87"/>
        <v>3.03</v>
      </c>
      <c r="H776">
        <f t="shared" si="88"/>
        <v>182</v>
      </c>
      <c r="I776" s="3">
        <f t="shared" si="89"/>
        <v>98.901098901098905</v>
      </c>
      <c r="J776" t="str">
        <f t="shared" si="90"/>
        <v>F</v>
      </c>
    </row>
    <row r="777" spans="1:10" hidden="1" x14ac:dyDescent="0.25">
      <c r="A777" s="4" t="s">
        <v>199</v>
      </c>
      <c r="B777" s="1">
        <v>5.1676E-2</v>
      </c>
      <c r="C777" s="1">
        <v>5.3148000000000001E-2</v>
      </c>
      <c r="D777" s="1">
        <f t="shared" si="84"/>
        <v>1.4720000000000011E-3</v>
      </c>
      <c r="E777">
        <f t="shared" si="85"/>
        <v>2</v>
      </c>
      <c r="F777">
        <f t="shared" si="86"/>
        <v>7</v>
      </c>
      <c r="G777">
        <f t="shared" si="87"/>
        <v>2.12</v>
      </c>
      <c r="H777">
        <f t="shared" si="88"/>
        <v>127</v>
      </c>
      <c r="I777" s="3">
        <f t="shared" si="89"/>
        <v>141.73228346456693</v>
      </c>
      <c r="J777" t="str">
        <f t="shared" si="90"/>
        <v>F</v>
      </c>
    </row>
    <row r="778" spans="1:10" hidden="1" x14ac:dyDescent="0.25">
      <c r="A778" s="4" t="s">
        <v>200</v>
      </c>
      <c r="B778" s="1">
        <v>0.64594499999999999</v>
      </c>
      <c r="C778" s="1">
        <v>0.649501</v>
      </c>
      <c r="D778" s="1">
        <f t="shared" si="84"/>
        <v>3.5560000000000036E-3</v>
      </c>
      <c r="E778">
        <f t="shared" si="85"/>
        <v>5</v>
      </c>
      <c r="F778">
        <f t="shared" si="86"/>
        <v>7</v>
      </c>
      <c r="G778">
        <f t="shared" si="87"/>
        <v>5.12</v>
      </c>
      <c r="H778">
        <f t="shared" si="88"/>
        <v>307</v>
      </c>
      <c r="I778" s="3">
        <f t="shared" si="89"/>
        <v>58.631921824104232</v>
      </c>
      <c r="J778" t="str">
        <f t="shared" si="90"/>
        <v>F</v>
      </c>
    </row>
    <row r="779" spans="1:10" hidden="1" x14ac:dyDescent="0.25">
      <c r="A779" s="4" t="s">
        <v>201</v>
      </c>
      <c r="B779" s="1">
        <v>1.3842999999999999E-2</v>
      </c>
      <c r="C779" s="1">
        <v>1.1911E-2</v>
      </c>
      <c r="D779" s="1">
        <f t="shared" si="84"/>
        <v>1.9319999999999997E-3</v>
      </c>
      <c r="E779">
        <f t="shared" si="85"/>
        <v>2</v>
      </c>
      <c r="F779">
        <f t="shared" si="86"/>
        <v>47</v>
      </c>
      <c r="G779">
        <f t="shared" si="87"/>
        <v>2.78</v>
      </c>
      <c r="H779">
        <f t="shared" si="88"/>
        <v>167</v>
      </c>
      <c r="I779" s="3">
        <f t="shared" si="89"/>
        <v>107.78443113772455</v>
      </c>
      <c r="J779" t="str">
        <f t="shared" si="90"/>
        <v>F</v>
      </c>
    </row>
    <row r="780" spans="1:10" hidden="1" x14ac:dyDescent="0.25">
      <c r="A780" s="4" t="s">
        <v>202</v>
      </c>
      <c r="B780" s="1">
        <v>0.817774</v>
      </c>
      <c r="C780" s="1">
        <v>0.82153799999999999</v>
      </c>
      <c r="D780" s="1">
        <f t="shared" si="84"/>
        <v>3.7639999999999896E-3</v>
      </c>
      <c r="E780">
        <f t="shared" si="85"/>
        <v>5</v>
      </c>
      <c r="F780">
        <f t="shared" si="86"/>
        <v>25</v>
      </c>
      <c r="G780">
        <f t="shared" si="87"/>
        <v>5.42</v>
      </c>
      <c r="H780">
        <f t="shared" si="88"/>
        <v>325</v>
      </c>
      <c r="I780" s="3">
        <f t="shared" si="89"/>
        <v>55.384615384615387</v>
      </c>
      <c r="J780" t="str">
        <f t="shared" si="90"/>
        <v>F</v>
      </c>
    </row>
    <row r="781" spans="1:10" hidden="1" x14ac:dyDescent="0.25">
      <c r="A781" s="4" t="s">
        <v>203</v>
      </c>
      <c r="B781" s="1">
        <v>0.49404599999999999</v>
      </c>
      <c r="C781" s="1">
        <v>0.49249399999999999</v>
      </c>
      <c r="D781" s="1">
        <f t="shared" si="84"/>
        <v>1.5519999999999978E-3</v>
      </c>
      <c r="E781">
        <f t="shared" si="85"/>
        <v>2</v>
      </c>
      <c r="F781">
        <f t="shared" si="86"/>
        <v>14</v>
      </c>
      <c r="G781">
        <f t="shared" si="87"/>
        <v>2.23</v>
      </c>
      <c r="H781">
        <f t="shared" si="88"/>
        <v>134</v>
      </c>
      <c r="I781" s="3">
        <f t="shared" si="89"/>
        <v>134.32835820895522</v>
      </c>
      <c r="J781" t="str">
        <f t="shared" si="90"/>
        <v>F</v>
      </c>
    </row>
    <row r="782" spans="1:10" hidden="1" x14ac:dyDescent="0.25">
      <c r="A782" s="4" t="s">
        <v>204</v>
      </c>
      <c r="B782" s="1">
        <v>0.62856599999999996</v>
      </c>
      <c r="C782" s="1">
        <v>0.631602</v>
      </c>
      <c r="D782" s="1">
        <f t="shared" si="84"/>
        <v>3.0360000000000387E-3</v>
      </c>
      <c r="E782">
        <f t="shared" si="85"/>
        <v>4</v>
      </c>
      <c r="F782">
        <f t="shared" si="86"/>
        <v>22</v>
      </c>
      <c r="G782">
        <f t="shared" si="87"/>
        <v>4.37</v>
      </c>
      <c r="H782">
        <f t="shared" si="88"/>
        <v>262</v>
      </c>
      <c r="I782" s="3">
        <f t="shared" si="89"/>
        <v>68.702290076335885</v>
      </c>
      <c r="J782" t="str">
        <f t="shared" si="90"/>
        <v>F</v>
      </c>
    </row>
    <row r="783" spans="1:10" hidden="1" x14ac:dyDescent="0.25">
      <c r="A783" s="4" t="s">
        <v>205</v>
      </c>
      <c r="B783" s="1">
        <v>0.62204599999999999</v>
      </c>
      <c r="C783" s="1">
        <v>0.62412999999999996</v>
      </c>
      <c r="D783" s="1">
        <f t="shared" si="84"/>
        <v>2.0839999999999748E-3</v>
      </c>
      <c r="E783">
        <f t="shared" si="85"/>
        <v>3</v>
      </c>
      <c r="F783">
        <f t="shared" si="86"/>
        <v>0</v>
      </c>
      <c r="G783">
        <f t="shared" si="87"/>
        <v>3</v>
      </c>
      <c r="H783">
        <f t="shared" si="88"/>
        <v>180</v>
      </c>
      <c r="I783" s="3">
        <f t="shared" si="89"/>
        <v>100</v>
      </c>
      <c r="J783" t="str">
        <f t="shared" si="90"/>
        <v>F</v>
      </c>
    </row>
    <row r="784" spans="1:10" hidden="1" x14ac:dyDescent="0.25">
      <c r="A784" s="4" t="s">
        <v>206</v>
      </c>
      <c r="B784" s="1">
        <v>0.65591200000000005</v>
      </c>
      <c r="C784" s="1">
        <v>0.65336000000000005</v>
      </c>
      <c r="D784" s="1">
        <f t="shared" si="84"/>
        <v>2.5519999999999987E-3</v>
      </c>
      <c r="E784">
        <f t="shared" si="85"/>
        <v>3</v>
      </c>
      <c r="F784">
        <f t="shared" si="86"/>
        <v>40</v>
      </c>
      <c r="G784">
        <f t="shared" si="87"/>
        <v>3.67</v>
      </c>
      <c r="H784">
        <f t="shared" si="88"/>
        <v>220</v>
      </c>
      <c r="I784" s="3">
        <f t="shared" si="89"/>
        <v>81.818181818181813</v>
      </c>
      <c r="J784" t="str">
        <f t="shared" si="90"/>
        <v>F</v>
      </c>
    </row>
    <row r="785" spans="1:10" hidden="1" x14ac:dyDescent="0.25">
      <c r="A785" s="4" t="s">
        <v>207</v>
      </c>
      <c r="B785" s="1">
        <v>0.68479000000000001</v>
      </c>
      <c r="C785" s="1">
        <v>0.68872999999999995</v>
      </c>
      <c r="D785" s="1">
        <f t="shared" si="84"/>
        <v>3.9399999999999435E-3</v>
      </c>
      <c r="E785">
        <f t="shared" si="85"/>
        <v>5</v>
      </c>
      <c r="F785">
        <f t="shared" si="86"/>
        <v>40</v>
      </c>
      <c r="G785">
        <f t="shared" si="87"/>
        <v>5.67</v>
      </c>
      <c r="H785">
        <f t="shared" si="88"/>
        <v>340</v>
      </c>
      <c r="I785" s="3">
        <f t="shared" si="89"/>
        <v>52.941176470588232</v>
      </c>
      <c r="J785" t="str">
        <f t="shared" si="90"/>
        <v>F</v>
      </c>
    </row>
    <row r="786" spans="1:10" hidden="1" x14ac:dyDescent="0.25">
      <c r="A786" s="4" t="s">
        <v>208</v>
      </c>
      <c r="B786" s="1">
        <v>0.81711299999999998</v>
      </c>
      <c r="C786" s="1">
        <v>0.81896500000000005</v>
      </c>
      <c r="D786" s="1">
        <f t="shared" si="84"/>
        <v>1.8520000000000758E-3</v>
      </c>
      <c r="E786">
        <f t="shared" si="85"/>
        <v>2</v>
      </c>
      <c r="F786">
        <f t="shared" si="86"/>
        <v>40</v>
      </c>
      <c r="G786">
        <f t="shared" si="87"/>
        <v>2.67</v>
      </c>
      <c r="H786">
        <f t="shared" si="88"/>
        <v>160</v>
      </c>
      <c r="I786" s="3">
        <f t="shared" si="89"/>
        <v>112.5</v>
      </c>
      <c r="J786" t="str">
        <f t="shared" si="90"/>
        <v>F</v>
      </c>
    </row>
    <row r="787" spans="1:10" hidden="1" x14ac:dyDescent="0.25">
      <c r="A787" s="4" t="s">
        <v>209</v>
      </c>
      <c r="B787" s="1">
        <v>0.40768100000000002</v>
      </c>
      <c r="C787" s="1">
        <v>0.40382499999999999</v>
      </c>
      <c r="D787" s="1">
        <f t="shared" si="84"/>
        <v>3.8560000000000261E-3</v>
      </c>
      <c r="E787">
        <f t="shared" si="85"/>
        <v>5</v>
      </c>
      <c r="F787">
        <f t="shared" si="86"/>
        <v>33</v>
      </c>
      <c r="G787">
        <f t="shared" si="87"/>
        <v>5.55</v>
      </c>
      <c r="H787">
        <f t="shared" si="88"/>
        <v>333</v>
      </c>
      <c r="I787" s="3">
        <f t="shared" si="89"/>
        <v>54.054054054054049</v>
      </c>
      <c r="J787" t="str">
        <f t="shared" si="90"/>
        <v>F</v>
      </c>
    </row>
    <row r="788" spans="1:10" hidden="1" x14ac:dyDescent="0.25">
      <c r="A788" s="4" t="s">
        <v>210</v>
      </c>
      <c r="B788" s="1">
        <v>0.32662200000000002</v>
      </c>
      <c r="C788" s="1">
        <v>0.32874599999999998</v>
      </c>
      <c r="D788" s="1">
        <f t="shared" si="84"/>
        <v>2.1239999999999593E-3</v>
      </c>
      <c r="E788">
        <f t="shared" si="85"/>
        <v>3</v>
      </c>
      <c r="F788">
        <f t="shared" si="86"/>
        <v>4</v>
      </c>
      <c r="G788">
        <f t="shared" si="87"/>
        <v>3.07</v>
      </c>
      <c r="H788">
        <f t="shared" si="88"/>
        <v>184</v>
      </c>
      <c r="I788" s="3">
        <f t="shared" si="89"/>
        <v>97.826086956521735</v>
      </c>
      <c r="J788" t="str">
        <f t="shared" si="90"/>
        <v>F</v>
      </c>
    </row>
    <row r="789" spans="1:10" hidden="1" x14ac:dyDescent="0.25">
      <c r="A789" s="4" t="s">
        <v>211</v>
      </c>
      <c r="B789" s="1">
        <v>0.29138900000000001</v>
      </c>
      <c r="C789" s="1">
        <v>0.29344100000000001</v>
      </c>
      <c r="D789" s="1">
        <f t="shared" si="84"/>
        <v>2.0519999999999983E-3</v>
      </c>
      <c r="E789">
        <f t="shared" si="85"/>
        <v>2</v>
      </c>
      <c r="F789">
        <f t="shared" si="86"/>
        <v>57</v>
      </c>
      <c r="G789">
        <f t="shared" si="87"/>
        <v>2.95</v>
      </c>
      <c r="H789">
        <f t="shared" si="88"/>
        <v>177</v>
      </c>
      <c r="I789" s="3">
        <f t="shared" si="89"/>
        <v>101.69491525423729</v>
      </c>
      <c r="J789" t="str">
        <f t="shared" si="90"/>
        <v>F</v>
      </c>
    </row>
    <row r="790" spans="1:10" hidden="1" x14ac:dyDescent="0.25">
      <c r="A790" s="4" t="s">
        <v>212</v>
      </c>
      <c r="B790" s="1">
        <v>0.15565499999999999</v>
      </c>
      <c r="C790" s="1">
        <v>0.151727</v>
      </c>
      <c r="D790" s="1">
        <f t="shared" si="84"/>
        <v>3.9279999999999871E-3</v>
      </c>
      <c r="E790">
        <f t="shared" si="85"/>
        <v>5</v>
      </c>
      <c r="F790">
        <f t="shared" si="86"/>
        <v>39</v>
      </c>
      <c r="G790">
        <f t="shared" si="87"/>
        <v>5.65</v>
      </c>
      <c r="H790">
        <f t="shared" si="88"/>
        <v>339</v>
      </c>
      <c r="I790" s="3">
        <f t="shared" si="89"/>
        <v>53.097345132743364</v>
      </c>
      <c r="J790" t="str">
        <f t="shared" si="90"/>
        <v>F</v>
      </c>
    </row>
    <row r="791" spans="1:10" hidden="1" x14ac:dyDescent="0.25">
      <c r="A791" s="4" t="s">
        <v>213</v>
      </c>
      <c r="B791" s="1">
        <v>0.88904300000000003</v>
      </c>
      <c r="C791" s="1">
        <v>0.88658300000000001</v>
      </c>
      <c r="D791" s="1">
        <f t="shared" si="84"/>
        <v>2.4600000000000177E-3</v>
      </c>
      <c r="E791">
        <f t="shared" si="85"/>
        <v>3</v>
      </c>
      <c r="F791">
        <f t="shared" si="86"/>
        <v>33</v>
      </c>
      <c r="G791">
        <f t="shared" si="87"/>
        <v>3.55</v>
      </c>
      <c r="H791">
        <f t="shared" si="88"/>
        <v>213</v>
      </c>
      <c r="I791" s="3">
        <f t="shared" si="89"/>
        <v>84.507042253521121</v>
      </c>
      <c r="J791" t="str">
        <f t="shared" si="90"/>
        <v>F</v>
      </c>
    </row>
    <row r="792" spans="1:10" hidden="1" x14ac:dyDescent="0.25">
      <c r="A792" s="4" t="s">
        <v>214</v>
      </c>
      <c r="B792" s="1">
        <v>0.64281900000000003</v>
      </c>
      <c r="C792" s="1">
        <v>0.64061900000000005</v>
      </c>
      <c r="D792" s="1">
        <f t="shared" si="84"/>
        <v>2.1999999999999797E-3</v>
      </c>
      <c r="E792">
        <f t="shared" si="85"/>
        <v>3</v>
      </c>
      <c r="F792">
        <f t="shared" si="86"/>
        <v>10</v>
      </c>
      <c r="G792">
        <f t="shared" si="87"/>
        <v>3.17</v>
      </c>
      <c r="H792">
        <f t="shared" si="88"/>
        <v>190</v>
      </c>
      <c r="I792" s="3">
        <f t="shared" si="89"/>
        <v>94.73684210526315</v>
      </c>
      <c r="J792" t="str">
        <f t="shared" si="90"/>
        <v>F</v>
      </c>
    </row>
    <row r="793" spans="1:10" hidden="1" x14ac:dyDescent="0.25">
      <c r="A793" s="4" t="s">
        <v>215</v>
      </c>
      <c r="B793" s="1">
        <v>0.92084600000000005</v>
      </c>
      <c r="C793" s="1">
        <v>0.924014</v>
      </c>
      <c r="D793" s="1">
        <f t="shared" si="84"/>
        <v>3.1679999999999486E-3</v>
      </c>
      <c r="E793">
        <f t="shared" si="85"/>
        <v>4</v>
      </c>
      <c r="F793">
        <f t="shared" si="86"/>
        <v>34</v>
      </c>
      <c r="G793">
        <f t="shared" si="87"/>
        <v>4.57</v>
      </c>
      <c r="H793">
        <f t="shared" si="88"/>
        <v>274</v>
      </c>
      <c r="I793" s="3">
        <f t="shared" si="89"/>
        <v>65.693430656934311</v>
      </c>
      <c r="J793" t="str">
        <f t="shared" si="90"/>
        <v>F</v>
      </c>
    </row>
    <row r="794" spans="1:10" hidden="1" x14ac:dyDescent="0.25">
      <c r="A794" s="4" t="s">
        <v>216</v>
      </c>
      <c r="B794" s="1">
        <v>0.21799099999999999</v>
      </c>
      <c r="C794" s="1">
        <v>0.21532299999999999</v>
      </c>
      <c r="D794" s="1">
        <f t="shared" si="84"/>
        <v>2.6680000000000037E-3</v>
      </c>
      <c r="E794">
        <f t="shared" si="85"/>
        <v>3</v>
      </c>
      <c r="F794">
        <f t="shared" si="86"/>
        <v>51</v>
      </c>
      <c r="G794">
        <f t="shared" si="87"/>
        <v>3.85</v>
      </c>
      <c r="H794">
        <f t="shared" si="88"/>
        <v>231</v>
      </c>
      <c r="I794" s="3">
        <f t="shared" si="89"/>
        <v>77.922077922077918</v>
      </c>
      <c r="J794" t="str">
        <f t="shared" si="90"/>
        <v>F</v>
      </c>
    </row>
    <row r="795" spans="1:10" hidden="1" x14ac:dyDescent="0.25">
      <c r="A795" s="4" t="s">
        <v>217</v>
      </c>
      <c r="B795" s="1">
        <v>9.6702999999999997E-2</v>
      </c>
      <c r="C795" s="1">
        <v>9.4674999999999995E-2</v>
      </c>
      <c r="D795" s="1">
        <f t="shared" si="84"/>
        <v>2.028000000000002E-3</v>
      </c>
      <c r="E795">
        <f t="shared" si="85"/>
        <v>2</v>
      </c>
      <c r="F795">
        <f t="shared" si="86"/>
        <v>55</v>
      </c>
      <c r="G795">
        <f t="shared" si="87"/>
        <v>2.92</v>
      </c>
      <c r="H795">
        <f t="shared" si="88"/>
        <v>175</v>
      </c>
      <c r="I795" s="3">
        <f t="shared" si="89"/>
        <v>102.85714285714286</v>
      </c>
      <c r="J795" t="str">
        <f t="shared" si="90"/>
        <v>F</v>
      </c>
    </row>
    <row r="796" spans="1:10" hidden="1" x14ac:dyDescent="0.25">
      <c r="A796" s="4" t="s">
        <v>218</v>
      </c>
      <c r="B796" s="1">
        <v>4.9180000000000001E-2</v>
      </c>
      <c r="C796" s="1">
        <v>4.5275999999999997E-2</v>
      </c>
      <c r="D796" s="1">
        <f t="shared" si="84"/>
        <v>3.9040000000000047E-3</v>
      </c>
      <c r="E796">
        <f t="shared" si="85"/>
        <v>5</v>
      </c>
      <c r="F796">
        <f t="shared" si="86"/>
        <v>37</v>
      </c>
      <c r="G796">
        <f t="shared" si="87"/>
        <v>5.62</v>
      </c>
      <c r="H796">
        <f t="shared" si="88"/>
        <v>337</v>
      </c>
      <c r="I796" s="3">
        <f t="shared" si="89"/>
        <v>53.412462908011868</v>
      </c>
      <c r="J796" t="str">
        <f t="shared" si="90"/>
        <v>F</v>
      </c>
    </row>
    <row r="797" spans="1:10" hidden="1" x14ac:dyDescent="0.25">
      <c r="A797" s="4" t="s">
        <v>219</v>
      </c>
      <c r="B797" s="1">
        <v>0.51214999999999999</v>
      </c>
      <c r="C797" s="1">
        <v>0.50854600000000005</v>
      </c>
      <c r="D797" s="1">
        <f t="shared" si="84"/>
        <v>3.6039999999999406E-3</v>
      </c>
      <c r="E797">
        <f t="shared" si="85"/>
        <v>5</v>
      </c>
      <c r="F797">
        <f t="shared" si="86"/>
        <v>11</v>
      </c>
      <c r="G797">
        <f t="shared" si="87"/>
        <v>5.18</v>
      </c>
      <c r="H797">
        <f t="shared" si="88"/>
        <v>311</v>
      </c>
      <c r="I797" s="3">
        <f t="shared" si="89"/>
        <v>57.877813504823152</v>
      </c>
      <c r="J797" t="str">
        <f t="shared" si="90"/>
        <v>F</v>
      </c>
    </row>
    <row r="798" spans="1:10" hidden="1" x14ac:dyDescent="0.25">
      <c r="A798" s="4" t="s">
        <v>220</v>
      </c>
      <c r="B798" s="1">
        <v>0.56824699999999995</v>
      </c>
      <c r="C798" s="1">
        <v>0.56993099999999997</v>
      </c>
      <c r="D798" s="1">
        <f t="shared" si="84"/>
        <v>1.6840000000000188E-3</v>
      </c>
      <c r="E798">
        <f t="shared" si="85"/>
        <v>2</v>
      </c>
      <c r="F798">
        <f t="shared" si="86"/>
        <v>25</v>
      </c>
      <c r="G798">
        <f t="shared" si="87"/>
        <v>2.42</v>
      </c>
      <c r="H798">
        <f t="shared" si="88"/>
        <v>145</v>
      </c>
      <c r="I798" s="3">
        <f t="shared" si="89"/>
        <v>124.13793103448276</v>
      </c>
      <c r="J798" t="str">
        <f t="shared" si="90"/>
        <v>F</v>
      </c>
    </row>
    <row r="799" spans="1:10" hidden="1" x14ac:dyDescent="0.25">
      <c r="A799" s="4" t="s">
        <v>221</v>
      </c>
      <c r="B799" s="1">
        <v>0.83130700000000002</v>
      </c>
      <c r="C799" s="1">
        <v>0.82957099999999995</v>
      </c>
      <c r="D799" s="1">
        <f t="shared" si="84"/>
        <v>1.7360000000000708E-3</v>
      </c>
      <c r="E799">
        <f t="shared" si="85"/>
        <v>2</v>
      </c>
      <c r="F799">
        <f t="shared" si="86"/>
        <v>30</v>
      </c>
      <c r="G799">
        <f t="shared" si="87"/>
        <v>2.5</v>
      </c>
      <c r="H799">
        <f t="shared" si="88"/>
        <v>150</v>
      </c>
      <c r="I799" s="3">
        <f t="shared" si="89"/>
        <v>120</v>
      </c>
      <c r="J799" t="str">
        <f t="shared" si="90"/>
        <v>F</v>
      </c>
    </row>
    <row r="800" spans="1:10" hidden="1" x14ac:dyDescent="0.25">
      <c r="A800" s="4" t="s">
        <v>222</v>
      </c>
      <c r="B800" s="1">
        <v>0.16234899999999999</v>
      </c>
      <c r="C800" s="1">
        <v>0.15942100000000001</v>
      </c>
      <c r="D800" s="1">
        <f t="shared" si="84"/>
        <v>2.9279999999999862E-3</v>
      </c>
      <c r="E800">
        <f t="shared" si="85"/>
        <v>4</v>
      </c>
      <c r="F800">
        <f t="shared" si="86"/>
        <v>13</v>
      </c>
      <c r="G800">
        <f t="shared" si="87"/>
        <v>4.22</v>
      </c>
      <c r="H800">
        <f t="shared" si="88"/>
        <v>253</v>
      </c>
      <c r="I800" s="3">
        <f t="shared" si="89"/>
        <v>71.146245059288532</v>
      </c>
      <c r="J800" t="str">
        <f t="shared" si="90"/>
        <v>F</v>
      </c>
    </row>
    <row r="801" spans="1:10" hidden="1" x14ac:dyDescent="0.25">
      <c r="A801" s="4" t="s">
        <v>223</v>
      </c>
      <c r="B801" s="1">
        <v>0.66965399999999997</v>
      </c>
      <c r="C801" s="1">
        <v>0.66589399999999999</v>
      </c>
      <c r="D801" s="1">
        <f t="shared" si="84"/>
        <v>3.7599999999999856E-3</v>
      </c>
      <c r="E801">
        <f t="shared" si="85"/>
        <v>5</v>
      </c>
      <c r="F801">
        <f t="shared" si="86"/>
        <v>25</v>
      </c>
      <c r="G801">
        <f t="shared" si="87"/>
        <v>5.42</v>
      </c>
      <c r="H801">
        <f t="shared" si="88"/>
        <v>325</v>
      </c>
      <c r="I801" s="3">
        <f t="shared" si="89"/>
        <v>55.384615384615387</v>
      </c>
      <c r="J801" t="str">
        <f t="shared" si="90"/>
        <v>F</v>
      </c>
    </row>
    <row r="802" spans="1:10" hidden="1" x14ac:dyDescent="0.25">
      <c r="A802" s="4" t="s">
        <v>224</v>
      </c>
      <c r="B802" s="1">
        <v>0.88523799999999997</v>
      </c>
      <c r="C802" s="1">
        <v>0.88202999999999998</v>
      </c>
      <c r="D802" s="1">
        <f t="shared" si="84"/>
        <v>3.2079999999999886E-3</v>
      </c>
      <c r="E802">
        <f t="shared" si="85"/>
        <v>4</v>
      </c>
      <c r="F802">
        <f t="shared" si="86"/>
        <v>37</v>
      </c>
      <c r="G802">
        <f t="shared" si="87"/>
        <v>4.62</v>
      </c>
      <c r="H802">
        <f t="shared" si="88"/>
        <v>277</v>
      </c>
      <c r="I802" s="3">
        <f t="shared" si="89"/>
        <v>64.981949458483754</v>
      </c>
      <c r="J802" t="str">
        <f t="shared" si="90"/>
        <v>F</v>
      </c>
    </row>
    <row r="803" spans="1:10" hidden="1" x14ac:dyDescent="0.25">
      <c r="A803" s="4" t="s">
        <v>225</v>
      </c>
      <c r="B803" s="1">
        <v>0.13014400000000001</v>
      </c>
      <c r="C803" s="1">
        <v>0.133712</v>
      </c>
      <c r="D803" s="1">
        <f t="shared" si="84"/>
        <v>3.5679999999999878E-3</v>
      </c>
      <c r="E803">
        <f t="shared" si="85"/>
        <v>5</v>
      </c>
      <c r="F803">
        <f t="shared" si="86"/>
        <v>8</v>
      </c>
      <c r="G803">
        <f t="shared" si="87"/>
        <v>5.13</v>
      </c>
      <c r="H803">
        <f t="shared" si="88"/>
        <v>308</v>
      </c>
      <c r="I803" s="3">
        <f t="shared" si="89"/>
        <v>58.441558441558442</v>
      </c>
      <c r="J803" t="str">
        <f t="shared" si="90"/>
        <v>F</v>
      </c>
    </row>
    <row r="804" spans="1:10" hidden="1" x14ac:dyDescent="0.25">
      <c r="A804" s="4" t="s">
        <v>226</v>
      </c>
      <c r="B804" s="1">
        <v>0.30818200000000001</v>
      </c>
      <c r="C804" s="1">
        <v>0.30521399999999999</v>
      </c>
      <c r="D804" s="1">
        <f t="shared" si="84"/>
        <v>2.9680000000000262E-3</v>
      </c>
      <c r="E804">
        <f t="shared" si="85"/>
        <v>4</v>
      </c>
      <c r="F804">
        <f t="shared" si="86"/>
        <v>16</v>
      </c>
      <c r="G804">
        <f t="shared" si="87"/>
        <v>4.2699999999999996</v>
      </c>
      <c r="H804">
        <f t="shared" si="88"/>
        <v>256</v>
      </c>
      <c r="I804" s="3">
        <f t="shared" si="89"/>
        <v>70.3125</v>
      </c>
      <c r="J804" t="str">
        <f t="shared" si="90"/>
        <v>F</v>
      </c>
    </row>
    <row r="805" spans="1:10" hidden="1" x14ac:dyDescent="0.25">
      <c r="A805" s="4" t="s">
        <v>227</v>
      </c>
      <c r="B805" s="1">
        <v>0.529331</v>
      </c>
      <c r="C805" s="1">
        <v>0.532107</v>
      </c>
      <c r="D805" s="1">
        <f t="shared" si="84"/>
        <v>2.7760000000000007E-3</v>
      </c>
      <c r="E805">
        <f t="shared" si="85"/>
        <v>4</v>
      </c>
      <c r="F805">
        <f t="shared" si="86"/>
        <v>0</v>
      </c>
      <c r="G805">
        <f t="shared" si="87"/>
        <v>4</v>
      </c>
      <c r="H805">
        <f t="shared" si="88"/>
        <v>240</v>
      </c>
      <c r="I805" s="3">
        <f t="shared" si="89"/>
        <v>75</v>
      </c>
      <c r="J805" t="str">
        <f t="shared" si="90"/>
        <v>F</v>
      </c>
    </row>
    <row r="806" spans="1:10" hidden="1" x14ac:dyDescent="0.25">
      <c r="A806" s="4" t="s">
        <v>228</v>
      </c>
      <c r="B806" s="1">
        <v>3.1982999999999998E-2</v>
      </c>
      <c r="C806" s="1">
        <v>3.5730999999999999E-2</v>
      </c>
      <c r="D806" s="1">
        <f t="shared" si="84"/>
        <v>3.7480000000000013E-3</v>
      </c>
      <c r="E806">
        <f t="shared" si="85"/>
        <v>5</v>
      </c>
      <c r="F806">
        <f t="shared" si="86"/>
        <v>24</v>
      </c>
      <c r="G806">
        <f t="shared" si="87"/>
        <v>5.4</v>
      </c>
      <c r="H806">
        <f t="shared" si="88"/>
        <v>324</v>
      </c>
      <c r="I806" s="3">
        <f t="shared" si="89"/>
        <v>55.555555555555557</v>
      </c>
      <c r="J806" t="str">
        <f t="shared" si="90"/>
        <v>F</v>
      </c>
    </row>
    <row r="807" spans="1:10" hidden="1" x14ac:dyDescent="0.25">
      <c r="A807" s="4" t="s">
        <v>229</v>
      </c>
      <c r="B807" s="1">
        <v>0.119934</v>
      </c>
      <c r="C807" s="1">
        <v>0.11670999999999999</v>
      </c>
      <c r="D807" s="1">
        <f t="shared" si="84"/>
        <v>3.2240000000000046E-3</v>
      </c>
      <c r="E807">
        <f t="shared" si="85"/>
        <v>4</v>
      </c>
      <c r="F807">
        <f t="shared" si="86"/>
        <v>39</v>
      </c>
      <c r="G807">
        <f t="shared" si="87"/>
        <v>4.6500000000000004</v>
      </c>
      <c r="H807">
        <f t="shared" si="88"/>
        <v>279</v>
      </c>
      <c r="I807" s="3">
        <f t="shared" si="89"/>
        <v>64.516129032258064</v>
      </c>
      <c r="J807" t="str">
        <f t="shared" si="90"/>
        <v>F</v>
      </c>
    </row>
    <row r="808" spans="1:10" hidden="1" x14ac:dyDescent="0.25">
      <c r="A808" s="4" t="s">
        <v>230</v>
      </c>
      <c r="B808" s="1">
        <v>0.86723899999999998</v>
      </c>
      <c r="C808" s="1">
        <v>0.86434699999999998</v>
      </c>
      <c r="D808" s="1">
        <f t="shared" si="84"/>
        <v>2.8920000000000057E-3</v>
      </c>
      <c r="E808">
        <f t="shared" si="85"/>
        <v>4</v>
      </c>
      <c r="F808">
        <f t="shared" si="86"/>
        <v>10</v>
      </c>
      <c r="G808">
        <f t="shared" si="87"/>
        <v>4.17</v>
      </c>
      <c r="H808">
        <f t="shared" si="88"/>
        <v>250</v>
      </c>
      <c r="I808" s="3">
        <f t="shared" si="89"/>
        <v>72</v>
      </c>
      <c r="J808" t="str">
        <f t="shared" si="90"/>
        <v>F</v>
      </c>
    </row>
    <row r="809" spans="1:10" hidden="1" x14ac:dyDescent="0.25">
      <c r="A809" s="4" t="s">
        <v>231</v>
      </c>
      <c r="B809" s="1">
        <v>1.7892000000000002E-2</v>
      </c>
      <c r="C809" s="1">
        <v>1.4028000000000001E-2</v>
      </c>
      <c r="D809" s="1">
        <f t="shared" si="84"/>
        <v>3.8640000000000011E-3</v>
      </c>
      <c r="E809">
        <f t="shared" si="85"/>
        <v>5</v>
      </c>
      <c r="F809">
        <f t="shared" si="86"/>
        <v>34</v>
      </c>
      <c r="G809">
        <f t="shared" si="87"/>
        <v>5.57</v>
      </c>
      <c r="H809">
        <f t="shared" si="88"/>
        <v>334</v>
      </c>
      <c r="I809" s="3">
        <f t="shared" si="89"/>
        <v>53.892215568862277</v>
      </c>
      <c r="J809" t="str">
        <f t="shared" si="90"/>
        <v>F</v>
      </c>
    </row>
    <row r="810" spans="1:10" hidden="1" x14ac:dyDescent="0.25">
      <c r="A810" s="4" t="s">
        <v>232</v>
      </c>
      <c r="B810" s="1">
        <v>0.29889700000000002</v>
      </c>
      <c r="C810" s="1">
        <v>0.29667300000000002</v>
      </c>
      <c r="D810" s="1">
        <f t="shared" si="84"/>
        <v>2.2240000000000038E-3</v>
      </c>
      <c r="E810">
        <f t="shared" si="85"/>
        <v>3</v>
      </c>
      <c r="F810">
        <f t="shared" si="86"/>
        <v>12</v>
      </c>
      <c r="G810">
        <f t="shared" si="87"/>
        <v>3.2</v>
      </c>
      <c r="H810">
        <f t="shared" si="88"/>
        <v>192</v>
      </c>
      <c r="I810" s="3">
        <f t="shared" si="89"/>
        <v>93.75</v>
      </c>
      <c r="J810" t="str">
        <f t="shared" si="90"/>
        <v>F</v>
      </c>
    </row>
    <row r="811" spans="1:10" hidden="1" x14ac:dyDescent="0.25">
      <c r="A811" s="4" t="s">
        <v>233</v>
      </c>
      <c r="B811" s="1">
        <v>0.423147</v>
      </c>
      <c r="C811" s="1">
        <v>0.419211</v>
      </c>
      <c r="D811" s="1">
        <f t="shared" si="84"/>
        <v>3.9359999999999951E-3</v>
      </c>
      <c r="E811">
        <f t="shared" si="85"/>
        <v>5</v>
      </c>
      <c r="F811">
        <f t="shared" si="86"/>
        <v>40</v>
      </c>
      <c r="G811">
        <f t="shared" si="87"/>
        <v>5.67</v>
      </c>
      <c r="H811">
        <f t="shared" si="88"/>
        <v>340</v>
      </c>
      <c r="I811" s="3">
        <f t="shared" si="89"/>
        <v>52.941176470588232</v>
      </c>
      <c r="J811" t="str">
        <f t="shared" si="90"/>
        <v>F</v>
      </c>
    </row>
    <row r="812" spans="1:10" hidden="1" x14ac:dyDescent="0.25">
      <c r="A812" s="4" t="s">
        <v>234</v>
      </c>
      <c r="B812" s="1">
        <v>0.53744899999999995</v>
      </c>
      <c r="C812" s="1">
        <v>0.53895300000000002</v>
      </c>
      <c r="D812" s="1">
        <f t="shared" si="84"/>
        <v>1.5040000000000608E-3</v>
      </c>
      <c r="E812">
        <f t="shared" si="85"/>
        <v>2</v>
      </c>
      <c r="F812">
        <f t="shared" si="86"/>
        <v>10</v>
      </c>
      <c r="G812">
        <f t="shared" si="87"/>
        <v>2.17</v>
      </c>
      <c r="H812">
        <f t="shared" si="88"/>
        <v>130</v>
      </c>
      <c r="I812" s="3">
        <f t="shared" si="89"/>
        <v>138.46153846153845</v>
      </c>
      <c r="J812" t="str">
        <f t="shared" si="90"/>
        <v>F</v>
      </c>
    </row>
    <row r="813" spans="1:10" hidden="1" x14ac:dyDescent="0.25">
      <c r="A813" s="4" t="s">
        <v>235</v>
      </c>
      <c r="B813" s="1">
        <v>0.24182600000000001</v>
      </c>
      <c r="C813" s="1">
        <v>0.23921000000000001</v>
      </c>
      <c r="D813" s="1">
        <f t="shared" si="84"/>
        <v>2.6160000000000072E-3</v>
      </c>
      <c r="E813">
        <f t="shared" si="85"/>
        <v>3</v>
      </c>
      <c r="F813">
        <f t="shared" si="86"/>
        <v>46</v>
      </c>
      <c r="G813">
        <f t="shared" si="87"/>
        <v>3.77</v>
      </c>
      <c r="H813">
        <f t="shared" si="88"/>
        <v>226</v>
      </c>
      <c r="I813" s="3">
        <f t="shared" si="89"/>
        <v>79.646017699115049</v>
      </c>
      <c r="J813" t="str">
        <f t="shared" si="90"/>
        <v>F</v>
      </c>
    </row>
    <row r="814" spans="1:10" hidden="1" x14ac:dyDescent="0.25">
      <c r="A814" s="4" t="s">
        <v>236</v>
      </c>
      <c r="B814" s="1">
        <v>0.74470800000000004</v>
      </c>
      <c r="C814" s="1">
        <v>0.74641199999999996</v>
      </c>
      <c r="D814" s="1">
        <f t="shared" si="84"/>
        <v>1.7039999999999278E-3</v>
      </c>
      <c r="E814">
        <f t="shared" si="85"/>
        <v>2</v>
      </c>
      <c r="F814">
        <f t="shared" si="86"/>
        <v>27</v>
      </c>
      <c r="G814">
        <f t="shared" si="87"/>
        <v>2.4500000000000002</v>
      </c>
      <c r="H814">
        <f t="shared" si="88"/>
        <v>147</v>
      </c>
      <c r="I814" s="3">
        <f t="shared" si="89"/>
        <v>122.44897959183673</v>
      </c>
      <c r="J814" t="str">
        <f t="shared" si="90"/>
        <v>F</v>
      </c>
    </row>
    <row r="815" spans="1:10" hidden="1" x14ac:dyDescent="0.25">
      <c r="A815" s="4" t="s">
        <v>237</v>
      </c>
      <c r="B815" s="1">
        <v>0.83006999999999997</v>
      </c>
      <c r="C815" s="1">
        <v>0.82670600000000005</v>
      </c>
      <c r="D815" s="1">
        <f t="shared" si="84"/>
        <v>3.3639999999999226E-3</v>
      </c>
      <c r="E815">
        <f t="shared" si="85"/>
        <v>4</v>
      </c>
      <c r="F815">
        <f t="shared" si="86"/>
        <v>51</v>
      </c>
      <c r="G815">
        <f t="shared" si="87"/>
        <v>4.8499999999999996</v>
      </c>
      <c r="H815">
        <f t="shared" si="88"/>
        <v>291</v>
      </c>
      <c r="I815" s="3">
        <f t="shared" si="89"/>
        <v>61.855670103092784</v>
      </c>
      <c r="J815" t="str">
        <f t="shared" si="90"/>
        <v>F</v>
      </c>
    </row>
    <row r="816" spans="1:10" hidden="1" x14ac:dyDescent="0.25">
      <c r="A816" s="4" t="s">
        <v>238</v>
      </c>
      <c r="B816" s="1">
        <v>3.8924E-2</v>
      </c>
      <c r="C816" s="1">
        <v>3.7212000000000002E-2</v>
      </c>
      <c r="D816" s="1">
        <f t="shared" si="84"/>
        <v>1.7119999999999982E-3</v>
      </c>
      <c r="E816">
        <f t="shared" si="85"/>
        <v>2</v>
      </c>
      <c r="F816">
        <f t="shared" si="86"/>
        <v>28</v>
      </c>
      <c r="G816">
        <f t="shared" si="87"/>
        <v>2.4700000000000002</v>
      </c>
      <c r="H816">
        <f t="shared" si="88"/>
        <v>148</v>
      </c>
      <c r="I816" s="3">
        <f t="shared" si="89"/>
        <v>121.62162162162161</v>
      </c>
      <c r="J816" t="str">
        <f t="shared" si="90"/>
        <v>F</v>
      </c>
    </row>
    <row r="817" spans="1:10" hidden="1" x14ac:dyDescent="0.25">
      <c r="A817" s="4" t="s">
        <v>239</v>
      </c>
      <c r="B817" s="1">
        <v>0.346945</v>
      </c>
      <c r="C817" s="1">
        <v>0.35031299999999999</v>
      </c>
      <c r="D817" s="1">
        <f t="shared" si="84"/>
        <v>3.3679999999999821E-3</v>
      </c>
      <c r="E817">
        <f t="shared" si="85"/>
        <v>4</v>
      </c>
      <c r="F817">
        <f t="shared" si="86"/>
        <v>51</v>
      </c>
      <c r="G817">
        <f t="shared" si="87"/>
        <v>4.8499999999999996</v>
      </c>
      <c r="H817">
        <f t="shared" si="88"/>
        <v>291</v>
      </c>
      <c r="I817" s="3">
        <f t="shared" si="89"/>
        <v>61.855670103092784</v>
      </c>
      <c r="J817" t="str">
        <f t="shared" si="90"/>
        <v>F</v>
      </c>
    </row>
    <row r="818" spans="1:10" hidden="1" x14ac:dyDescent="0.25">
      <c r="A818" s="4" t="s">
        <v>240</v>
      </c>
      <c r="B818" s="1">
        <v>0.76658499999999996</v>
      </c>
      <c r="C818" s="1">
        <v>0.763181</v>
      </c>
      <c r="D818" s="1">
        <f t="shared" si="84"/>
        <v>3.4039999999999626E-3</v>
      </c>
      <c r="E818">
        <f t="shared" si="85"/>
        <v>4</v>
      </c>
      <c r="F818">
        <f t="shared" si="86"/>
        <v>54</v>
      </c>
      <c r="G818">
        <f t="shared" si="87"/>
        <v>4.9000000000000004</v>
      </c>
      <c r="H818">
        <f t="shared" si="88"/>
        <v>294</v>
      </c>
      <c r="I818" s="3">
        <f t="shared" si="89"/>
        <v>61.224489795918366</v>
      </c>
      <c r="J818" t="str">
        <f t="shared" si="90"/>
        <v>F</v>
      </c>
    </row>
    <row r="819" spans="1:10" hidden="1" x14ac:dyDescent="0.25">
      <c r="A819" s="4" t="s">
        <v>241</v>
      </c>
      <c r="B819" s="1">
        <v>0.12286</v>
      </c>
      <c r="C819" s="1">
        <v>0.12078800000000001</v>
      </c>
      <c r="D819" s="1">
        <f t="shared" si="84"/>
        <v>2.0719999999999905E-3</v>
      </c>
      <c r="E819">
        <f t="shared" si="85"/>
        <v>2</v>
      </c>
      <c r="F819">
        <f t="shared" si="86"/>
        <v>59</v>
      </c>
      <c r="G819">
        <f t="shared" si="87"/>
        <v>2.98</v>
      </c>
      <c r="H819">
        <f t="shared" si="88"/>
        <v>179</v>
      </c>
      <c r="I819" s="3">
        <f t="shared" si="89"/>
        <v>100.55865921787711</v>
      </c>
      <c r="J819" t="str">
        <f t="shared" si="90"/>
        <v>F</v>
      </c>
    </row>
    <row r="820" spans="1:10" hidden="1" x14ac:dyDescent="0.25">
      <c r="A820" s="4" t="s">
        <v>242</v>
      </c>
      <c r="B820" s="1">
        <v>0.29494700000000001</v>
      </c>
      <c r="C820" s="1">
        <v>0.29311900000000002</v>
      </c>
      <c r="D820" s="1">
        <f t="shared" si="84"/>
        <v>1.8279999999999963E-3</v>
      </c>
      <c r="E820">
        <f t="shared" si="85"/>
        <v>2</v>
      </c>
      <c r="F820">
        <f t="shared" si="86"/>
        <v>38</v>
      </c>
      <c r="G820">
        <f t="shared" si="87"/>
        <v>2.63</v>
      </c>
      <c r="H820">
        <f t="shared" si="88"/>
        <v>158</v>
      </c>
      <c r="I820" s="3">
        <f t="shared" si="89"/>
        <v>113.92405063291139</v>
      </c>
      <c r="J820" t="str">
        <f t="shared" si="90"/>
        <v>F</v>
      </c>
    </row>
    <row r="821" spans="1:10" hidden="1" x14ac:dyDescent="0.25">
      <c r="A821" s="4" t="s">
        <v>243</v>
      </c>
      <c r="B821" s="1">
        <v>0.32779999999999998</v>
      </c>
      <c r="C821" s="1">
        <v>0.32583200000000001</v>
      </c>
      <c r="D821" s="1">
        <f t="shared" si="84"/>
        <v>1.9679999999999698E-3</v>
      </c>
      <c r="E821">
        <f t="shared" si="85"/>
        <v>2</v>
      </c>
      <c r="F821">
        <f t="shared" si="86"/>
        <v>50</v>
      </c>
      <c r="G821">
        <f t="shared" si="87"/>
        <v>2.83</v>
      </c>
      <c r="H821">
        <f t="shared" si="88"/>
        <v>170</v>
      </c>
      <c r="I821" s="3">
        <f t="shared" si="89"/>
        <v>105.88235294117646</v>
      </c>
      <c r="J821" t="str">
        <f t="shared" si="90"/>
        <v>F</v>
      </c>
    </row>
    <row r="822" spans="1:10" hidden="1" x14ac:dyDescent="0.25">
      <c r="A822" s="4" t="s">
        <v>244</v>
      </c>
      <c r="B822" s="1">
        <v>0.71818000000000004</v>
      </c>
      <c r="C822" s="1">
        <v>0.714916</v>
      </c>
      <c r="D822" s="1">
        <f t="shared" si="84"/>
        <v>3.2640000000000446E-3</v>
      </c>
      <c r="E822">
        <f t="shared" si="85"/>
        <v>4</v>
      </c>
      <c r="F822">
        <f t="shared" si="86"/>
        <v>42</v>
      </c>
      <c r="G822">
        <f t="shared" si="87"/>
        <v>4.7</v>
      </c>
      <c r="H822">
        <f t="shared" si="88"/>
        <v>282</v>
      </c>
      <c r="I822" s="3">
        <f t="shared" si="89"/>
        <v>63.829787234042556</v>
      </c>
      <c r="J822" t="str">
        <f t="shared" si="90"/>
        <v>F</v>
      </c>
    </row>
    <row r="823" spans="1:10" hidden="1" x14ac:dyDescent="0.25">
      <c r="A823" s="4" t="s">
        <v>245</v>
      </c>
      <c r="B823" s="1">
        <v>0.57927600000000001</v>
      </c>
      <c r="C823" s="1">
        <v>0.58151200000000003</v>
      </c>
      <c r="D823" s="1">
        <f t="shared" si="84"/>
        <v>2.2360000000000158E-3</v>
      </c>
      <c r="E823">
        <f t="shared" si="85"/>
        <v>3</v>
      </c>
      <c r="F823">
        <f t="shared" si="86"/>
        <v>13</v>
      </c>
      <c r="G823">
        <f t="shared" si="87"/>
        <v>3.22</v>
      </c>
      <c r="H823">
        <f t="shared" si="88"/>
        <v>193</v>
      </c>
      <c r="I823" s="3">
        <f t="shared" si="89"/>
        <v>93.264248704663203</v>
      </c>
      <c r="J823" t="str">
        <f t="shared" si="90"/>
        <v>F</v>
      </c>
    </row>
    <row r="824" spans="1:10" hidden="1" x14ac:dyDescent="0.25">
      <c r="A824" s="4" t="s">
        <v>246</v>
      </c>
      <c r="B824" s="1">
        <v>0.55222700000000002</v>
      </c>
      <c r="C824" s="1">
        <v>0.550759</v>
      </c>
      <c r="D824" s="1">
        <f t="shared" si="84"/>
        <v>1.4680000000000248E-3</v>
      </c>
      <c r="E824">
        <f t="shared" si="85"/>
        <v>2</v>
      </c>
      <c r="F824">
        <f t="shared" si="86"/>
        <v>7</v>
      </c>
      <c r="G824">
        <f t="shared" si="87"/>
        <v>2.12</v>
      </c>
      <c r="H824">
        <f t="shared" si="88"/>
        <v>127</v>
      </c>
      <c r="I824" s="3">
        <f t="shared" si="89"/>
        <v>141.73228346456693</v>
      </c>
      <c r="J824" t="str">
        <f t="shared" si="90"/>
        <v>F</v>
      </c>
    </row>
    <row r="825" spans="1:10" hidden="1" x14ac:dyDescent="0.25">
      <c r="A825" s="4" t="s">
        <v>247</v>
      </c>
      <c r="B825" s="1">
        <v>0.30108499999999999</v>
      </c>
      <c r="C825" s="1">
        <v>0.29910100000000001</v>
      </c>
      <c r="D825" s="1">
        <f t="shared" si="84"/>
        <v>1.9839999999999858E-3</v>
      </c>
      <c r="E825">
        <f t="shared" si="85"/>
        <v>2</v>
      </c>
      <c r="F825">
        <f t="shared" si="86"/>
        <v>51</v>
      </c>
      <c r="G825">
        <f t="shared" si="87"/>
        <v>2.85</v>
      </c>
      <c r="H825">
        <f t="shared" si="88"/>
        <v>171</v>
      </c>
      <c r="I825" s="3">
        <f t="shared" si="89"/>
        <v>105.26315789473685</v>
      </c>
      <c r="J825" t="str">
        <f t="shared" si="90"/>
        <v>F</v>
      </c>
    </row>
    <row r="826" spans="1:10" hidden="1" x14ac:dyDescent="0.25">
      <c r="A826" s="4" t="s">
        <v>248</v>
      </c>
      <c r="B826" s="1">
        <v>0.27788099999999999</v>
      </c>
      <c r="C826" s="1">
        <v>0.280553</v>
      </c>
      <c r="D826" s="1">
        <f t="shared" si="84"/>
        <v>2.6720000000000077E-3</v>
      </c>
      <c r="E826">
        <f t="shared" si="85"/>
        <v>3</v>
      </c>
      <c r="F826">
        <f t="shared" si="86"/>
        <v>51</v>
      </c>
      <c r="G826">
        <f t="shared" si="87"/>
        <v>3.85</v>
      </c>
      <c r="H826">
        <f t="shared" si="88"/>
        <v>231</v>
      </c>
      <c r="I826" s="3">
        <f t="shared" si="89"/>
        <v>77.922077922077918</v>
      </c>
      <c r="J826" t="str">
        <f t="shared" si="90"/>
        <v>F</v>
      </c>
    </row>
    <row r="827" spans="1:10" hidden="1" x14ac:dyDescent="0.25">
      <c r="A827" s="4" t="s">
        <v>249</v>
      </c>
      <c r="B827" s="1">
        <v>0.261075</v>
      </c>
      <c r="C827" s="1">
        <v>0.257411</v>
      </c>
      <c r="D827" s="1">
        <f t="shared" si="84"/>
        <v>3.6640000000000006E-3</v>
      </c>
      <c r="E827">
        <f t="shared" si="85"/>
        <v>5</v>
      </c>
      <c r="F827">
        <f t="shared" si="86"/>
        <v>17</v>
      </c>
      <c r="G827">
        <f t="shared" si="87"/>
        <v>5.28</v>
      </c>
      <c r="H827">
        <f t="shared" si="88"/>
        <v>317</v>
      </c>
      <c r="I827" s="3">
        <f t="shared" si="89"/>
        <v>56.782334384858046</v>
      </c>
      <c r="J827" t="str">
        <f t="shared" si="90"/>
        <v>F</v>
      </c>
    </row>
    <row r="828" spans="1:10" hidden="1" x14ac:dyDescent="0.25">
      <c r="A828" s="4" t="s">
        <v>250</v>
      </c>
      <c r="B828" s="1">
        <v>0.69297900000000001</v>
      </c>
      <c r="C828" s="1">
        <v>0.69500300000000004</v>
      </c>
      <c r="D828" s="1">
        <f t="shared" si="84"/>
        <v>2.0240000000000258E-3</v>
      </c>
      <c r="E828">
        <f t="shared" si="85"/>
        <v>2</v>
      </c>
      <c r="F828">
        <f t="shared" si="86"/>
        <v>55</v>
      </c>
      <c r="G828">
        <f t="shared" si="87"/>
        <v>2.92</v>
      </c>
      <c r="H828">
        <f t="shared" si="88"/>
        <v>175</v>
      </c>
      <c r="I828" s="3">
        <f t="shared" si="89"/>
        <v>102.85714285714286</v>
      </c>
      <c r="J828" t="str">
        <f t="shared" si="90"/>
        <v>F</v>
      </c>
    </row>
    <row r="829" spans="1:10" hidden="1" x14ac:dyDescent="0.25">
      <c r="A829" s="4" t="s">
        <v>251</v>
      </c>
      <c r="B829" s="1">
        <v>5.1720000000000002E-2</v>
      </c>
      <c r="C829" s="1">
        <v>5.4052000000000003E-2</v>
      </c>
      <c r="D829" s="1">
        <f t="shared" si="84"/>
        <v>2.3320000000000007E-3</v>
      </c>
      <c r="E829">
        <f t="shared" si="85"/>
        <v>3</v>
      </c>
      <c r="F829">
        <f t="shared" si="86"/>
        <v>21</v>
      </c>
      <c r="G829">
        <f t="shared" si="87"/>
        <v>3.35</v>
      </c>
      <c r="H829">
        <f t="shared" si="88"/>
        <v>201</v>
      </c>
      <c r="I829" s="3">
        <f t="shared" si="89"/>
        <v>89.552238805970148</v>
      </c>
      <c r="J829" t="str">
        <f t="shared" si="90"/>
        <v>F</v>
      </c>
    </row>
    <row r="830" spans="1:10" hidden="1" x14ac:dyDescent="0.25">
      <c r="A830" s="4" t="s">
        <v>252</v>
      </c>
      <c r="B830" s="1">
        <v>0.40370400000000001</v>
      </c>
      <c r="C830" s="1">
        <v>0.40213199999999999</v>
      </c>
      <c r="D830" s="1">
        <f t="shared" si="84"/>
        <v>1.5720000000000178E-3</v>
      </c>
      <c r="E830">
        <f t="shared" si="85"/>
        <v>2</v>
      </c>
      <c r="F830">
        <f t="shared" si="86"/>
        <v>16</v>
      </c>
      <c r="G830">
        <f t="shared" si="87"/>
        <v>2.27</v>
      </c>
      <c r="H830">
        <f t="shared" si="88"/>
        <v>136</v>
      </c>
      <c r="I830" s="3">
        <f t="shared" si="89"/>
        <v>132.35294117647058</v>
      </c>
      <c r="J830" t="str">
        <f t="shared" si="90"/>
        <v>F</v>
      </c>
    </row>
    <row r="831" spans="1:10" hidden="1" x14ac:dyDescent="0.25">
      <c r="A831" s="4" t="s">
        <v>253</v>
      </c>
      <c r="B831" s="1">
        <v>0.56004299999999996</v>
      </c>
      <c r="C831" s="1">
        <v>0.55661499999999997</v>
      </c>
      <c r="D831" s="1">
        <f t="shared" si="84"/>
        <v>3.4279999999999866E-3</v>
      </c>
      <c r="E831">
        <f t="shared" si="85"/>
        <v>4</v>
      </c>
      <c r="F831">
        <f t="shared" si="86"/>
        <v>56</v>
      </c>
      <c r="G831">
        <f t="shared" si="87"/>
        <v>4.93</v>
      </c>
      <c r="H831">
        <f t="shared" si="88"/>
        <v>296</v>
      </c>
      <c r="I831" s="3">
        <f t="shared" si="89"/>
        <v>60.810810810810807</v>
      </c>
      <c r="J831" t="str">
        <f t="shared" si="90"/>
        <v>F</v>
      </c>
    </row>
    <row r="832" spans="1:10" hidden="1" x14ac:dyDescent="0.25">
      <c r="A832" s="4" t="s">
        <v>430</v>
      </c>
      <c r="B832" s="1">
        <v>0.74694899999999997</v>
      </c>
      <c r="C832" s="1">
        <v>0.74481299999999995</v>
      </c>
      <c r="D832" s="1">
        <f t="shared" si="84"/>
        <v>2.1360000000000268E-3</v>
      </c>
      <c r="E832">
        <f t="shared" si="85"/>
        <v>3</v>
      </c>
      <c r="F832">
        <f t="shared" si="86"/>
        <v>5</v>
      </c>
      <c r="G832">
        <f t="shared" si="87"/>
        <v>3.08</v>
      </c>
      <c r="H832">
        <f t="shared" si="88"/>
        <v>185</v>
      </c>
      <c r="I832" s="3">
        <f t="shared" si="89"/>
        <v>97.297297297297291</v>
      </c>
      <c r="J832" t="str">
        <f t="shared" si="90"/>
        <v>F</v>
      </c>
    </row>
    <row r="833" spans="1:10" hidden="1" x14ac:dyDescent="0.25">
      <c r="A833" s="4" t="s">
        <v>254</v>
      </c>
      <c r="B833" s="1">
        <v>0.20783799999999999</v>
      </c>
      <c r="C833" s="1">
        <v>0.20622599999999999</v>
      </c>
      <c r="D833" s="1">
        <f t="shared" si="84"/>
        <v>1.6120000000000023E-3</v>
      </c>
      <c r="E833">
        <f t="shared" si="85"/>
        <v>2</v>
      </c>
      <c r="F833">
        <f t="shared" si="86"/>
        <v>19</v>
      </c>
      <c r="G833">
        <f t="shared" si="87"/>
        <v>2.3199999999999998</v>
      </c>
      <c r="H833">
        <f t="shared" si="88"/>
        <v>139</v>
      </c>
      <c r="I833" s="3">
        <f t="shared" si="89"/>
        <v>129.49640287769785</v>
      </c>
      <c r="J833" t="str">
        <f t="shared" si="90"/>
        <v>F</v>
      </c>
    </row>
    <row r="834" spans="1:10" hidden="1" x14ac:dyDescent="0.25">
      <c r="A834" s="4" t="s">
        <v>255</v>
      </c>
      <c r="B834" s="1">
        <v>0.25523400000000002</v>
      </c>
      <c r="C834" s="1">
        <v>0.25786199999999998</v>
      </c>
      <c r="D834" s="1">
        <f t="shared" si="84"/>
        <v>2.6279999999999637E-3</v>
      </c>
      <c r="E834">
        <f t="shared" si="85"/>
        <v>3</v>
      </c>
      <c r="F834">
        <f t="shared" si="86"/>
        <v>47</v>
      </c>
      <c r="G834">
        <f t="shared" si="87"/>
        <v>3.78</v>
      </c>
      <c r="H834">
        <f t="shared" si="88"/>
        <v>227</v>
      </c>
      <c r="I834" s="3">
        <f t="shared" si="89"/>
        <v>79.295154185022028</v>
      </c>
      <c r="J834" t="str">
        <f t="shared" si="90"/>
        <v>F</v>
      </c>
    </row>
    <row r="835" spans="1:10" hidden="1" x14ac:dyDescent="0.25">
      <c r="A835" s="4" t="s">
        <v>256</v>
      </c>
      <c r="B835" s="1">
        <v>0.72481799999999996</v>
      </c>
      <c r="C835" s="1">
        <v>0.72209800000000002</v>
      </c>
      <c r="D835" s="1">
        <f t="shared" ref="D835:D898" si="91">IF(B835&gt;C835,B835-C835,C835-B835)</f>
        <v>2.7199999999999447E-3</v>
      </c>
      <c r="E835">
        <f t="shared" ref="E835:E898" si="92">MINUTE(D835)</f>
        <v>3</v>
      </c>
      <c r="F835">
        <f t="shared" ref="F835:F898" si="93">SECOND(D835)</f>
        <v>55</v>
      </c>
      <c r="G835">
        <f t="shared" ref="G835:G898" si="94">ROUND(E835+F835/60,2)</f>
        <v>3.92</v>
      </c>
      <c r="H835">
        <f t="shared" ref="H835:H898" si="95">60*E835+F835</f>
        <v>235</v>
      </c>
      <c r="I835" s="3">
        <f t="shared" ref="I835:I898" si="96">5*(3600/H835)</f>
        <v>76.59574468085107</v>
      </c>
      <c r="J835" t="str">
        <f t="shared" ref="J835:J898" si="97">IF(MID(A835,3,2)="18","T","F")</f>
        <v>F</v>
      </c>
    </row>
    <row r="836" spans="1:10" hidden="1" x14ac:dyDescent="0.25">
      <c r="A836" s="4" t="s">
        <v>257</v>
      </c>
      <c r="B836" s="1">
        <v>0.66598000000000002</v>
      </c>
      <c r="C836" s="1">
        <v>0.66393599999999997</v>
      </c>
      <c r="D836" s="1">
        <f t="shared" si="91"/>
        <v>2.0440000000000458E-3</v>
      </c>
      <c r="E836">
        <f t="shared" si="92"/>
        <v>2</v>
      </c>
      <c r="F836">
        <f t="shared" si="93"/>
        <v>57</v>
      </c>
      <c r="G836">
        <f t="shared" si="94"/>
        <v>2.95</v>
      </c>
      <c r="H836">
        <f t="shared" si="95"/>
        <v>177</v>
      </c>
      <c r="I836" s="3">
        <f t="shared" si="96"/>
        <v>101.69491525423729</v>
      </c>
      <c r="J836" t="str">
        <f t="shared" si="97"/>
        <v>F</v>
      </c>
    </row>
    <row r="837" spans="1:10" hidden="1" x14ac:dyDescent="0.25">
      <c r="A837" s="4" t="s">
        <v>258</v>
      </c>
      <c r="B837" s="1">
        <v>0.75965099999999997</v>
      </c>
      <c r="C837" s="1">
        <v>0.76272300000000004</v>
      </c>
      <c r="D837" s="1">
        <f t="shared" si="91"/>
        <v>3.0720000000000747E-3</v>
      </c>
      <c r="E837">
        <f t="shared" si="92"/>
        <v>4</v>
      </c>
      <c r="F837">
        <f t="shared" si="93"/>
        <v>25</v>
      </c>
      <c r="G837">
        <f t="shared" si="94"/>
        <v>4.42</v>
      </c>
      <c r="H837">
        <f t="shared" si="95"/>
        <v>265</v>
      </c>
      <c r="I837" s="3">
        <f t="shared" si="96"/>
        <v>67.924528301886795</v>
      </c>
      <c r="J837" t="str">
        <f t="shared" si="97"/>
        <v>F</v>
      </c>
    </row>
    <row r="838" spans="1:10" hidden="1" x14ac:dyDescent="0.25">
      <c r="A838" s="4" t="s">
        <v>259</v>
      </c>
      <c r="B838" s="1">
        <v>0.72672199999999998</v>
      </c>
      <c r="C838" s="1">
        <v>0.72446999999999995</v>
      </c>
      <c r="D838" s="1">
        <f t="shared" si="91"/>
        <v>2.2520000000000318E-3</v>
      </c>
      <c r="E838">
        <f t="shared" si="92"/>
        <v>3</v>
      </c>
      <c r="F838">
        <f t="shared" si="93"/>
        <v>15</v>
      </c>
      <c r="G838">
        <f t="shared" si="94"/>
        <v>3.25</v>
      </c>
      <c r="H838">
        <f t="shared" si="95"/>
        <v>195</v>
      </c>
      <c r="I838" s="3">
        <f t="shared" si="96"/>
        <v>92.307692307692292</v>
      </c>
      <c r="J838" t="str">
        <f t="shared" si="97"/>
        <v>F</v>
      </c>
    </row>
    <row r="839" spans="1:10" hidden="1" x14ac:dyDescent="0.25">
      <c r="A839" s="4" t="s">
        <v>260</v>
      </c>
      <c r="B839" s="1">
        <v>0.38089400000000001</v>
      </c>
      <c r="C839" s="1">
        <v>0.37707400000000002</v>
      </c>
      <c r="D839" s="1">
        <f t="shared" si="91"/>
        <v>3.8199999999999901E-3</v>
      </c>
      <c r="E839">
        <f t="shared" si="92"/>
        <v>5</v>
      </c>
      <c r="F839">
        <f t="shared" si="93"/>
        <v>30</v>
      </c>
      <c r="G839">
        <f t="shared" si="94"/>
        <v>5.5</v>
      </c>
      <c r="H839">
        <f t="shared" si="95"/>
        <v>330</v>
      </c>
      <c r="I839" s="3">
        <f t="shared" si="96"/>
        <v>54.54545454545454</v>
      </c>
      <c r="J839" t="str">
        <f t="shared" si="97"/>
        <v>F</v>
      </c>
    </row>
    <row r="840" spans="1:10" hidden="1" x14ac:dyDescent="0.25">
      <c r="A840" s="4" t="s">
        <v>261</v>
      </c>
      <c r="B840" s="1">
        <v>0.34346399999999999</v>
      </c>
      <c r="C840" s="1">
        <v>0.34604400000000002</v>
      </c>
      <c r="D840" s="1">
        <f t="shared" si="91"/>
        <v>2.5800000000000267E-3</v>
      </c>
      <c r="E840">
        <f t="shared" si="92"/>
        <v>3</v>
      </c>
      <c r="F840">
        <f t="shared" si="93"/>
        <v>43</v>
      </c>
      <c r="G840">
        <f t="shared" si="94"/>
        <v>3.72</v>
      </c>
      <c r="H840">
        <f t="shared" si="95"/>
        <v>223</v>
      </c>
      <c r="I840" s="3">
        <f t="shared" si="96"/>
        <v>80.717488789237677</v>
      </c>
      <c r="J840" t="str">
        <f t="shared" si="97"/>
        <v>F</v>
      </c>
    </row>
    <row r="841" spans="1:10" hidden="1" x14ac:dyDescent="0.25">
      <c r="A841" s="4" t="s">
        <v>262</v>
      </c>
      <c r="B841" s="1">
        <v>6.8135000000000001E-2</v>
      </c>
      <c r="C841" s="1">
        <v>7.0362999999999995E-2</v>
      </c>
      <c r="D841" s="1">
        <f t="shared" si="91"/>
        <v>2.2279999999999939E-3</v>
      </c>
      <c r="E841">
        <f t="shared" si="92"/>
        <v>3</v>
      </c>
      <c r="F841">
        <f t="shared" si="93"/>
        <v>12</v>
      </c>
      <c r="G841">
        <f t="shared" si="94"/>
        <v>3.2</v>
      </c>
      <c r="H841">
        <f t="shared" si="95"/>
        <v>192</v>
      </c>
      <c r="I841" s="3">
        <f t="shared" si="96"/>
        <v>93.75</v>
      </c>
      <c r="J841" t="str">
        <f t="shared" si="97"/>
        <v>F</v>
      </c>
    </row>
    <row r="842" spans="1:10" hidden="1" x14ac:dyDescent="0.25">
      <c r="A842" s="4" t="s">
        <v>263</v>
      </c>
      <c r="B842" s="1">
        <v>3.39E-2</v>
      </c>
      <c r="C842" s="1">
        <v>3.2155999999999997E-2</v>
      </c>
      <c r="D842" s="1">
        <f t="shared" si="91"/>
        <v>1.7440000000000025E-3</v>
      </c>
      <c r="E842">
        <f t="shared" si="92"/>
        <v>2</v>
      </c>
      <c r="F842">
        <f t="shared" si="93"/>
        <v>31</v>
      </c>
      <c r="G842">
        <f t="shared" si="94"/>
        <v>2.52</v>
      </c>
      <c r="H842">
        <f t="shared" si="95"/>
        <v>151</v>
      </c>
      <c r="I842" s="3">
        <f t="shared" si="96"/>
        <v>119.20529801324504</v>
      </c>
      <c r="J842" t="str">
        <f t="shared" si="97"/>
        <v>F</v>
      </c>
    </row>
    <row r="843" spans="1:10" hidden="1" x14ac:dyDescent="0.25">
      <c r="A843" s="4" t="s">
        <v>264</v>
      </c>
      <c r="B843" s="1">
        <v>0.54122899999999996</v>
      </c>
      <c r="C843" s="1">
        <v>0.54350900000000002</v>
      </c>
      <c r="D843" s="1">
        <f t="shared" si="91"/>
        <v>2.2800000000000598E-3</v>
      </c>
      <c r="E843">
        <f t="shared" si="92"/>
        <v>3</v>
      </c>
      <c r="F843">
        <f t="shared" si="93"/>
        <v>17</v>
      </c>
      <c r="G843">
        <f t="shared" si="94"/>
        <v>3.28</v>
      </c>
      <c r="H843">
        <f t="shared" si="95"/>
        <v>197</v>
      </c>
      <c r="I843" s="3">
        <f t="shared" si="96"/>
        <v>91.370558375634516</v>
      </c>
      <c r="J843" t="str">
        <f t="shared" si="97"/>
        <v>F</v>
      </c>
    </row>
    <row r="844" spans="1:10" hidden="1" x14ac:dyDescent="0.25">
      <c r="A844" s="4" t="s">
        <v>265</v>
      </c>
      <c r="B844" s="1">
        <v>0.34791800000000001</v>
      </c>
      <c r="C844" s="1">
        <v>0.350962</v>
      </c>
      <c r="D844" s="1">
        <f t="shared" si="91"/>
        <v>3.0439999999999912E-3</v>
      </c>
      <c r="E844">
        <f t="shared" si="92"/>
        <v>4</v>
      </c>
      <c r="F844">
        <f t="shared" si="93"/>
        <v>23</v>
      </c>
      <c r="G844">
        <f t="shared" si="94"/>
        <v>4.38</v>
      </c>
      <c r="H844">
        <f t="shared" si="95"/>
        <v>263</v>
      </c>
      <c r="I844" s="3">
        <f t="shared" si="96"/>
        <v>68.441064638783274</v>
      </c>
      <c r="J844" t="str">
        <f t="shared" si="97"/>
        <v>F</v>
      </c>
    </row>
    <row r="845" spans="1:10" hidden="1" x14ac:dyDescent="0.25">
      <c r="A845" s="4" t="s">
        <v>266</v>
      </c>
      <c r="B845" s="1">
        <v>0.431591</v>
      </c>
      <c r="C845" s="1">
        <v>0.43324699999999999</v>
      </c>
      <c r="D845" s="1">
        <f t="shared" si="91"/>
        <v>1.6559999999999908E-3</v>
      </c>
      <c r="E845">
        <f t="shared" si="92"/>
        <v>2</v>
      </c>
      <c r="F845">
        <f t="shared" si="93"/>
        <v>23</v>
      </c>
      <c r="G845">
        <f t="shared" si="94"/>
        <v>2.38</v>
      </c>
      <c r="H845">
        <f t="shared" si="95"/>
        <v>143</v>
      </c>
      <c r="I845" s="3">
        <f t="shared" si="96"/>
        <v>125.87412587412587</v>
      </c>
      <c r="J845" t="str">
        <f t="shared" si="97"/>
        <v>F</v>
      </c>
    </row>
    <row r="846" spans="1:10" hidden="1" x14ac:dyDescent="0.25">
      <c r="A846" s="4" t="s">
        <v>267</v>
      </c>
      <c r="B846" s="1">
        <v>0.25780399999999998</v>
      </c>
      <c r="C846" s="1">
        <v>0.25446000000000002</v>
      </c>
      <c r="D846" s="1">
        <f t="shared" si="91"/>
        <v>3.3439999999999581E-3</v>
      </c>
      <c r="E846">
        <f t="shared" si="92"/>
        <v>4</v>
      </c>
      <c r="F846">
        <f t="shared" si="93"/>
        <v>49</v>
      </c>
      <c r="G846">
        <f t="shared" si="94"/>
        <v>4.82</v>
      </c>
      <c r="H846">
        <f t="shared" si="95"/>
        <v>289</v>
      </c>
      <c r="I846" s="3">
        <f t="shared" si="96"/>
        <v>62.283737024221459</v>
      </c>
      <c r="J846" t="str">
        <f t="shared" si="97"/>
        <v>F</v>
      </c>
    </row>
    <row r="847" spans="1:10" hidden="1" x14ac:dyDescent="0.25">
      <c r="A847" s="4" t="s">
        <v>60</v>
      </c>
      <c r="B847" s="1">
        <v>5.7468999999999999E-2</v>
      </c>
      <c r="C847" s="1">
        <v>5.4021E-2</v>
      </c>
      <c r="D847" s="1">
        <f t="shared" si="91"/>
        <v>3.4479999999999997E-3</v>
      </c>
      <c r="E847">
        <f t="shared" si="92"/>
        <v>4</v>
      </c>
      <c r="F847">
        <f t="shared" si="93"/>
        <v>58</v>
      </c>
      <c r="G847">
        <f t="shared" si="94"/>
        <v>4.97</v>
      </c>
      <c r="H847">
        <f t="shared" si="95"/>
        <v>298</v>
      </c>
      <c r="I847" s="3">
        <f t="shared" si="96"/>
        <v>60.402684563758385</v>
      </c>
      <c r="J847" t="str">
        <f t="shared" si="97"/>
        <v>F</v>
      </c>
    </row>
    <row r="848" spans="1:10" hidden="1" x14ac:dyDescent="0.25">
      <c r="A848" s="4" t="s">
        <v>12</v>
      </c>
      <c r="B848" s="1">
        <v>0.93074100000000004</v>
      </c>
      <c r="C848" s="1">
        <v>0.92855299999999996</v>
      </c>
      <c r="D848" s="1">
        <f t="shared" si="91"/>
        <v>2.1880000000000788E-3</v>
      </c>
      <c r="E848">
        <f t="shared" si="92"/>
        <v>3</v>
      </c>
      <c r="F848">
        <f t="shared" si="93"/>
        <v>9</v>
      </c>
      <c r="G848">
        <f t="shared" si="94"/>
        <v>3.15</v>
      </c>
      <c r="H848">
        <f t="shared" si="95"/>
        <v>189</v>
      </c>
      <c r="I848" s="3">
        <f t="shared" si="96"/>
        <v>95.238095238095241</v>
      </c>
      <c r="J848" t="str">
        <f t="shared" si="97"/>
        <v>F</v>
      </c>
    </row>
    <row r="849" spans="1:10" hidden="1" x14ac:dyDescent="0.25">
      <c r="A849" s="4" t="s">
        <v>268</v>
      </c>
      <c r="B849" s="1">
        <v>0.926319</v>
      </c>
      <c r="C849" s="1">
        <v>0.92290700000000003</v>
      </c>
      <c r="D849" s="1">
        <f t="shared" si="91"/>
        <v>3.4119999999999706E-3</v>
      </c>
      <c r="E849">
        <f t="shared" si="92"/>
        <v>4</v>
      </c>
      <c r="F849">
        <f t="shared" si="93"/>
        <v>55</v>
      </c>
      <c r="G849">
        <f t="shared" si="94"/>
        <v>4.92</v>
      </c>
      <c r="H849">
        <f t="shared" si="95"/>
        <v>295</v>
      </c>
      <c r="I849" s="3">
        <f t="shared" si="96"/>
        <v>61.016949152542367</v>
      </c>
      <c r="J849" t="str">
        <f t="shared" si="97"/>
        <v>F</v>
      </c>
    </row>
    <row r="850" spans="1:10" hidden="1" x14ac:dyDescent="0.25">
      <c r="A850" s="4" t="s">
        <v>269</v>
      </c>
      <c r="B850" s="1">
        <v>0.53266400000000003</v>
      </c>
      <c r="C850" s="1">
        <v>0.534856</v>
      </c>
      <c r="D850" s="1">
        <f t="shared" si="91"/>
        <v>2.1919999999999717E-3</v>
      </c>
      <c r="E850">
        <f t="shared" si="92"/>
        <v>3</v>
      </c>
      <c r="F850">
        <f t="shared" si="93"/>
        <v>9</v>
      </c>
      <c r="G850">
        <f t="shared" si="94"/>
        <v>3.15</v>
      </c>
      <c r="H850">
        <f t="shared" si="95"/>
        <v>189</v>
      </c>
      <c r="I850" s="3">
        <f t="shared" si="96"/>
        <v>95.238095238095241</v>
      </c>
      <c r="J850" t="str">
        <f t="shared" si="97"/>
        <v>F</v>
      </c>
    </row>
    <row r="851" spans="1:10" hidden="1" x14ac:dyDescent="0.25">
      <c r="A851" s="4" t="s">
        <v>270</v>
      </c>
      <c r="B851" s="1">
        <v>0.88112500000000005</v>
      </c>
      <c r="C851" s="1">
        <v>0.87737299999999996</v>
      </c>
      <c r="D851" s="1">
        <f t="shared" si="91"/>
        <v>3.7520000000000886E-3</v>
      </c>
      <c r="E851">
        <f t="shared" si="92"/>
        <v>5</v>
      </c>
      <c r="F851">
        <f t="shared" si="93"/>
        <v>24</v>
      </c>
      <c r="G851">
        <f t="shared" si="94"/>
        <v>5.4</v>
      </c>
      <c r="H851">
        <f t="shared" si="95"/>
        <v>324</v>
      </c>
      <c r="I851" s="3">
        <f t="shared" si="96"/>
        <v>55.555555555555557</v>
      </c>
      <c r="J851" t="str">
        <f t="shared" si="97"/>
        <v>F</v>
      </c>
    </row>
    <row r="852" spans="1:10" hidden="1" x14ac:dyDescent="0.25">
      <c r="A852" s="4" t="s">
        <v>271</v>
      </c>
      <c r="B852" s="1">
        <v>0.906107</v>
      </c>
      <c r="C852" s="1">
        <v>0.90796699999999997</v>
      </c>
      <c r="D852" s="1">
        <f t="shared" si="91"/>
        <v>1.8599999999999728E-3</v>
      </c>
      <c r="E852">
        <f t="shared" si="92"/>
        <v>2</v>
      </c>
      <c r="F852">
        <f t="shared" si="93"/>
        <v>41</v>
      </c>
      <c r="G852">
        <f t="shared" si="94"/>
        <v>2.68</v>
      </c>
      <c r="H852">
        <f t="shared" si="95"/>
        <v>161</v>
      </c>
      <c r="I852" s="3">
        <f t="shared" si="96"/>
        <v>111.80124223602485</v>
      </c>
      <c r="J852" t="str">
        <f t="shared" si="97"/>
        <v>F</v>
      </c>
    </row>
    <row r="853" spans="1:10" hidden="1" x14ac:dyDescent="0.25">
      <c r="A853" s="4" t="s">
        <v>272</v>
      </c>
      <c r="B853" s="1">
        <v>0.52357299999999996</v>
      </c>
      <c r="C853" s="1">
        <v>0.52576100000000003</v>
      </c>
      <c r="D853" s="1">
        <f t="shared" si="91"/>
        <v>2.1880000000000788E-3</v>
      </c>
      <c r="E853">
        <f t="shared" si="92"/>
        <v>3</v>
      </c>
      <c r="F853">
        <f t="shared" si="93"/>
        <v>9</v>
      </c>
      <c r="G853">
        <f t="shared" si="94"/>
        <v>3.15</v>
      </c>
      <c r="H853">
        <f t="shared" si="95"/>
        <v>189</v>
      </c>
      <c r="I853" s="3">
        <f t="shared" si="96"/>
        <v>95.238095238095241</v>
      </c>
      <c r="J853" t="str">
        <f t="shared" si="97"/>
        <v>F</v>
      </c>
    </row>
    <row r="854" spans="1:10" hidden="1" x14ac:dyDescent="0.25">
      <c r="A854" s="4" t="s">
        <v>273</v>
      </c>
      <c r="B854" s="1">
        <v>0.62061200000000005</v>
      </c>
      <c r="C854" s="1">
        <v>0.62377199999999999</v>
      </c>
      <c r="D854" s="1">
        <f t="shared" si="91"/>
        <v>3.1599999999999406E-3</v>
      </c>
      <c r="E854">
        <f t="shared" si="92"/>
        <v>4</v>
      </c>
      <c r="F854">
        <f t="shared" si="93"/>
        <v>33</v>
      </c>
      <c r="G854">
        <f t="shared" si="94"/>
        <v>4.55</v>
      </c>
      <c r="H854">
        <f t="shared" si="95"/>
        <v>273</v>
      </c>
      <c r="I854" s="3">
        <f t="shared" si="96"/>
        <v>65.934065934065927</v>
      </c>
      <c r="J854" t="str">
        <f t="shared" si="97"/>
        <v>F</v>
      </c>
    </row>
    <row r="855" spans="1:10" hidden="1" x14ac:dyDescent="0.25">
      <c r="A855" s="4" t="s">
        <v>274</v>
      </c>
      <c r="B855" s="1">
        <v>0.47454200000000002</v>
      </c>
      <c r="C855" s="1">
        <v>0.47071400000000002</v>
      </c>
      <c r="D855" s="1">
        <f t="shared" si="91"/>
        <v>3.8279999999999981E-3</v>
      </c>
      <c r="E855">
        <f t="shared" si="92"/>
        <v>5</v>
      </c>
      <c r="F855">
        <f t="shared" si="93"/>
        <v>31</v>
      </c>
      <c r="G855">
        <f t="shared" si="94"/>
        <v>5.52</v>
      </c>
      <c r="H855">
        <f t="shared" si="95"/>
        <v>331</v>
      </c>
      <c r="I855" s="3">
        <f t="shared" si="96"/>
        <v>54.380664652567972</v>
      </c>
      <c r="J855" t="str">
        <f t="shared" si="97"/>
        <v>F</v>
      </c>
    </row>
    <row r="856" spans="1:10" hidden="1" x14ac:dyDescent="0.25">
      <c r="A856" s="4" t="s">
        <v>275</v>
      </c>
      <c r="B856" s="1">
        <v>0.94390099999999999</v>
      </c>
      <c r="C856" s="1">
        <v>0.94228100000000004</v>
      </c>
      <c r="D856" s="1">
        <f t="shared" si="91"/>
        <v>1.6199999999999548E-3</v>
      </c>
      <c r="E856">
        <f t="shared" si="92"/>
        <v>2</v>
      </c>
      <c r="F856">
        <f t="shared" si="93"/>
        <v>20</v>
      </c>
      <c r="G856">
        <f t="shared" si="94"/>
        <v>2.33</v>
      </c>
      <c r="H856">
        <f t="shared" si="95"/>
        <v>140</v>
      </c>
      <c r="I856" s="3">
        <f t="shared" si="96"/>
        <v>128.57142857142858</v>
      </c>
      <c r="J856" t="str">
        <f t="shared" si="97"/>
        <v>F</v>
      </c>
    </row>
    <row r="857" spans="1:10" hidden="1" x14ac:dyDescent="0.25">
      <c r="A857" s="4" t="s">
        <v>276</v>
      </c>
      <c r="B857" s="1">
        <v>0.90642999999999996</v>
      </c>
      <c r="C857" s="1">
        <v>0.90972200000000003</v>
      </c>
      <c r="D857" s="1">
        <f t="shared" si="91"/>
        <v>3.2920000000000726E-3</v>
      </c>
      <c r="E857">
        <f t="shared" si="92"/>
        <v>4</v>
      </c>
      <c r="F857">
        <f t="shared" si="93"/>
        <v>44</v>
      </c>
      <c r="G857">
        <f t="shared" si="94"/>
        <v>4.7300000000000004</v>
      </c>
      <c r="H857">
        <f t="shared" si="95"/>
        <v>284</v>
      </c>
      <c r="I857" s="3">
        <f t="shared" si="96"/>
        <v>63.380281690140848</v>
      </c>
      <c r="J857" t="str">
        <f t="shared" si="97"/>
        <v>F</v>
      </c>
    </row>
    <row r="858" spans="1:10" hidden="1" x14ac:dyDescent="0.25">
      <c r="A858" s="4" t="s">
        <v>277</v>
      </c>
      <c r="B858" s="1">
        <v>0.344642</v>
      </c>
      <c r="C858" s="1">
        <v>0.34694999999999998</v>
      </c>
      <c r="D858" s="1">
        <f t="shared" si="91"/>
        <v>2.3079999999999767E-3</v>
      </c>
      <c r="E858">
        <f t="shared" si="92"/>
        <v>3</v>
      </c>
      <c r="F858">
        <f t="shared" si="93"/>
        <v>19</v>
      </c>
      <c r="G858">
        <f t="shared" si="94"/>
        <v>3.32</v>
      </c>
      <c r="H858">
        <f t="shared" si="95"/>
        <v>199</v>
      </c>
      <c r="I858" s="3">
        <f t="shared" si="96"/>
        <v>90.452261306532648</v>
      </c>
      <c r="J858" t="str">
        <f t="shared" si="97"/>
        <v>F</v>
      </c>
    </row>
    <row r="859" spans="1:10" hidden="1" x14ac:dyDescent="0.25">
      <c r="A859" s="4" t="s">
        <v>278</v>
      </c>
      <c r="B859" s="1">
        <v>0.29603000000000002</v>
      </c>
      <c r="C859" s="1">
        <v>0.29230200000000001</v>
      </c>
      <c r="D859" s="1">
        <f t="shared" si="91"/>
        <v>3.7280000000000091E-3</v>
      </c>
      <c r="E859">
        <f t="shared" si="92"/>
        <v>5</v>
      </c>
      <c r="F859">
        <f t="shared" si="93"/>
        <v>22</v>
      </c>
      <c r="G859">
        <f t="shared" si="94"/>
        <v>5.37</v>
      </c>
      <c r="H859">
        <f t="shared" si="95"/>
        <v>322</v>
      </c>
      <c r="I859" s="3">
        <f t="shared" si="96"/>
        <v>55.900621118012424</v>
      </c>
      <c r="J859" t="str">
        <f t="shared" si="97"/>
        <v>F</v>
      </c>
    </row>
    <row r="860" spans="1:10" hidden="1" x14ac:dyDescent="0.25">
      <c r="A860" s="4" t="s">
        <v>279</v>
      </c>
      <c r="B860" s="1">
        <v>0.20541999999999999</v>
      </c>
      <c r="C860" s="1">
        <v>0.20174800000000001</v>
      </c>
      <c r="D860" s="1">
        <f t="shared" si="91"/>
        <v>3.6719999999999808E-3</v>
      </c>
      <c r="E860">
        <f t="shared" si="92"/>
        <v>5</v>
      </c>
      <c r="F860">
        <f t="shared" si="93"/>
        <v>17</v>
      </c>
      <c r="G860">
        <f t="shared" si="94"/>
        <v>5.28</v>
      </c>
      <c r="H860">
        <f t="shared" si="95"/>
        <v>317</v>
      </c>
      <c r="I860" s="3">
        <f t="shared" si="96"/>
        <v>56.782334384858046</v>
      </c>
      <c r="J860" t="str">
        <f t="shared" si="97"/>
        <v>F</v>
      </c>
    </row>
    <row r="861" spans="1:10" hidden="1" x14ac:dyDescent="0.25">
      <c r="A861" s="4" t="s">
        <v>280</v>
      </c>
      <c r="B861" s="1">
        <v>8.2901000000000002E-2</v>
      </c>
      <c r="C861" s="1">
        <v>8.4425E-2</v>
      </c>
      <c r="D861" s="1">
        <f t="shared" si="91"/>
        <v>1.5239999999999976E-3</v>
      </c>
      <c r="E861">
        <f t="shared" si="92"/>
        <v>2</v>
      </c>
      <c r="F861">
        <f t="shared" si="93"/>
        <v>12</v>
      </c>
      <c r="G861">
        <f t="shared" si="94"/>
        <v>2.2000000000000002</v>
      </c>
      <c r="H861">
        <f t="shared" si="95"/>
        <v>132</v>
      </c>
      <c r="I861" s="3">
        <f t="shared" si="96"/>
        <v>136.36363636363637</v>
      </c>
      <c r="J861" t="str">
        <f t="shared" si="97"/>
        <v>F</v>
      </c>
    </row>
    <row r="862" spans="1:10" hidden="1" x14ac:dyDescent="0.25">
      <c r="A862" s="4" t="s">
        <v>281</v>
      </c>
      <c r="B862" s="1">
        <v>0.66776400000000002</v>
      </c>
      <c r="C862" s="1">
        <v>0.66424799999999995</v>
      </c>
      <c r="D862" s="1">
        <f t="shared" si="91"/>
        <v>3.5160000000000746E-3</v>
      </c>
      <c r="E862">
        <f t="shared" si="92"/>
        <v>5</v>
      </c>
      <c r="F862">
        <f t="shared" si="93"/>
        <v>4</v>
      </c>
      <c r="G862">
        <f t="shared" si="94"/>
        <v>5.07</v>
      </c>
      <c r="H862">
        <f t="shared" si="95"/>
        <v>304</v>
      </c>
      <c r="I862" s="3">
        <f t="shared" si="96"/>
        <v>59.21052631578948</v>
      </c>
      <c r="J862" t="str">
        <f t="shared" si="97"/>
        <v>F</v>
      </c>
    </row>
    <row r="863" spans="1:10" hidden="1" x14ac:dyDescent="0.25">
      <c r="A863" s="4" t="s">
        <v>282</v>
      </c>
      <c r="B863" s="1">
        <v>8.2269999999999999E-3</v>
      </c>
      <c r="C863" s="1">
        <v>1.0375000000000001E-2</v>
      </c>
      <c r="D863" s="1">
        <f t="shared" si="91"/>
        <v>2.1480000000000006E-3</v>
      </c>
      <c r="E863">
        <f t="shared" si="92"/>
        <v>3</v>
      </c>
      <c r="F863">
        <f t="shared" si="93"/>
        <v>6</v>
      </c>
      <c r="G863">
        <f t="shared" si="94"/>
        <v>3.1</v>
      </c>
      <c r="H863">
        <f t="shared" si="95"/>
        <v>186</v>
      </c>
      <c r="I863" s="3">
        <f t="shared" si="96"/>
        <v>96.774193548387103</v>
      </c>
      <c r="J863" t="str">
        <f t="shared" si="97"/>
        <v>F</v>
      </c>
    </row>
    <row r="864" spans="1:10" hidden="1" x14ac:dyDescent="0.25">
      <c r="A864" s="4" t="s">
        <v>283</v>
      </c>
      <c r="B864" s="1">
        <v>0.16709599999999999</v>
      </c>
      <c r="C864" s="1">
        <v>0.16858000000000001</v>
      </c>
      <c r="D864" s="1">
        <f t="shared" si="91"/>
        <v>1.4840000000000131E-3</v>
      </c>
      <c r="E864">
        <f t="shared" si="92"/>
        <v>2</v>
      </c>
      <c r="F864">
        <f t="shared" si="93"/>
        <v>8</v>
      </c>
      <c r="G864">
        <f t="shared" si="94"/>
        <v>2.13</v>
      </c>
      <c r="H864">
        <f t="shared" si="95"/>
        <v>128</v>
      </c>
      <c r="I864" s="3">
        <f t="shared" si="96"/>
        <v>140.625</v>
      </c>
      <c r="J864" t="str">
        <f t="shared" si="97"/>
        <v>F</v>
      </c>
    </row>
    <row r="865" spans="1:10" hidden="1" x14ac:dyDescent="0.25">
      <c r="A865" s="4" t="s">
        <v>284</v>
      </c>
      <c r="B865" s="1">
        <v>0.466858</v>
      </c>
      <c r="C865" s="1">
        <v>0.47053</v>
      </c>
      <c r="D865" s="1">
        <f t="shared" si="91"/>
        <v>3.6720000000000086E-3</v>
      </c>
      <c r="E865">
        <f t="shared" si="92"/>
        <v>5</v>
      </c>
      <c r="F865">
        <f t="shared" si="93"/>
        <v>17</v>
      </c>
      <c r="G865">
        <f t="shared" si="94"/>
        <v>5.28</v>
      </c>
      <c r="H865">
        <f t="shared" si="95"/>
        <v>317</v>
      </c>
      <c r="I865" s="3">
        <f t="shared" si="96"/>
        <v>56.782334384858046</v>
      </c>
      <c r="J865" t="str">
        <f t="shared" si="97"/>
        <v>F</v>
      </c>
    </row>
    <row r="866" spans="1:10" hidden="1" x14ac:dyDescent="0.25">
      <c r="A866" s="4" t="s">
        <v>285</v>
      </c>
      <c r="B866" s="1">
        <v>0.58929100000000001</v>
      </c>
      <c r="C866" s="1">
        <v>0.59181099999999998</v>
      </c>
      <c r="D866" s="1">
        <f t="shared" si="91"/>
        <v>2.5199999999999667E-3</v>
      </c>
      <c r="E866">
        <f t="shared" si="92"/>
        <v>3</v>
      </c>
      <c r="F866">
        <f t="shared" si="93"/>
        <v>38</v>
      </c>
      <c r="G866">
        <f t="shared" si="94"/>
        <v>3.63</v>
      </c>
      <c r="H866">
        <f t="shared" si="95"/>
        <v>218</v>
      </c>
      <c r="I866" s="3">
        <f t="shared" si="96"/>
        <v>82.568807339449535</v>
      </c>
      <c r="J866" t="str">
        <f t="shared" si="97"/>
        <v>F</v>
      </c>
    </row>
    <row r="867" spans="1:10" hidden="1" x14ac:dyDescent="0.25">
      <c r="A867" s="4" t="s">
        <v>286</v>
      </c>
      <c r="B867" s="1">
        <v>4.9029000000000003E-2</v>
      </c>
      <c r="C867" s="1">
        <v>5.2520999999999998E-2</v>
      </c>
      <c r="D867" s="1">
        <f t="shared" si="91"/>
        <v>3.4919999999999951E-3</v>
      </c>
      <c r="E867">
        <f t="shared" si="92"/>
        <v>5</v>
      </c>
      <c r="F867">
        <f t="shared" si="93"/>
        <v>2</v>
      </c>
      <c r="G867">
        <f t="shared" si="94"/>
        <v>5.03</v>
      </c>
      <c r="H867">
        <f t="shared" si="95"/>
        <v>302</v>
      </c>
      <c r="I867" s="3">
        <f t="shared" si="96"/>
        <v>59.602649006622521</v>
      </c>
      <c r="J867" t="str">
        <f t="shared" si="97"/>
        <v>F</v>
      </c>
    </row>
    <row r="868" spans="1:10" hidden="1" x14ac:dyDescent="0.25">
      <c r="A868" s="4" t="s">
        <v>287</v>
      </c>
      <c r="B868" s="1">
        <v>0.81754599999999999</v>
      </c>
      <c r="C868" s="1">
        <v>0.814446</v>
      </c>
      <c r="D868" s="1">
        <f t="shared" si="91"/>
        <v>3.0999999999999917E-3</v>
      </c>
      <c r="E868">
        <f t="shared" si="92"/>
        <v>4</v>
      </c>
      <c r="F868">
        <f t="shared" si="93"/>
        <v>28</v>
      </c>
      <c r="G868">
        <f t="shared" si="94"/>
        <v>4.47</v>
      </c>
      <c r="H868">
        <f t="shared" si="95"/>
        <v>268</v>
      </c>
      <c r="I868" s="3">
        <f t="shared" si="96"/>
        <v>67.164179104477611</v>
      </c>
      <c r="J868" t="str">
        <f t="shared" si="97"/>
        <v>F</v>
      </c>
    </row>
    <row r="869" spans="1:10" hidden="1" x14ac:dyDescent="0.25">
      <c r="A869" s="4" t="s">
        <v>288</v>
      </c>
      <c r="B869" s="1">
        <v>9.7457000000000002E-2</v>
      </c>
      <c r="C869" s="1">
        <v>9.9600999999999995E-2</v>
      </c>
      <c r="D869" s="1">
        <f t="shared" si="91"/>
        <v>2.1439999999999931E-3</v>
      </c>
      <c r="E869">
        <f t="shared" si="92"/>
        <v>3</v>
      </c>
      <c r="F869">
        <f t="shared" si="93"/>
        <v>5</v>
      </c>
      <c r="G869">
        <f t="shared" si="94"/>
        <v>3.08</v>
      </c>
      <c r="H869">
        <f t="shared" si="95"/>
        <v>185</v>
      </c>
      <c r="I869" s="3">
        <f t="shared" si="96"/>
        <v>97.297297297297291</v>
      </c>
      <c r="J869" t="str">
        <f t="shared" si="97"/>
        <v>F</v>
      </c>
    </row>
    <row r="870" spans="1:10" hidden="1" x14ac:dyDescent="0.25">
      <c r="A870" s="4" t="s">
        <v>289</v>
      </c>
      <c r="B870" s="1">
        <v>0.260156</v>
      </c>
      <c r="C870" s="1">
        <v>0.25726399999999999</v>
      </c>
      <c r="D870" s="1">
        <f t="shared" si="91"/>
        <v>2.8920000000000057E-3</v>
      </c>
      <c r="E870">
        <f t="shared" si="92"/>
        <v>4</v>
      </c>
      <c r="F870">
        <f t="shared" si="93"/>
        <v>10</v>
      </c>
      <c r="G870">
        <f t="shared" si="94"/>
        <v>4.17</v>
      </c>
      <c r="H870">
        <f t="shared" si="95"/>
        <v>250</v>
      </c>
      <c r="I870" s="3">
        <f t="shared" si="96"/>
        <v>72</v>
      </c>
      <c r="J870" t="str">
        <f t="shared" si="97"/>
        <v>F</v>
      </c>
    </row>
    <row r="871" spans="1:10" hidden="1" x14ac:dyDescent="0.25">
      <c r="A871" s="4" t="s">
        <v>290</v>
      </c>
      <c r="B871" s="1">
        <v>0.78090099999999996</v>
      </c>
      <c r="C871" s="1">
        <v>0.77821700000000005</v>
      </c>
      <c r="D871" s="1">
        <f t="shared" si="91"/>
        <v>2.6839999999999087E-3</v>
      </c>
      <c r="E871">
        <f t="shared" si="92"/>
        <v>3</v>
      </c>
      <c r="F871">
        <f t="shared" si="93"/>
        <v>52</v>
      </c>
      <c r="G871">
        <f t="shared" si="94"/>
        <v>3.87</v>
      </c>
      <c r="H871">
        <f t="shared" si="95"/>
        <v>232</v>
      </c>
      <c r="I871" s="3">
        <f t="shared" si="96"/>
        <v>77.58620689655173</v>
      </c>
      <c r="J871" t="str">
        <f t="shared" si="97"/>
        <v>F</v>
      </c>
    </row>
    <row r="872" spans="1:10" hidden="1" x14ac:dyDescent="0.25">
      <c r="A872" s="4" t="s">
        <v>291</v>
      </c>
      <c r="B872" s="1">
        <v>0.72183600000000003</v>
      </c>
      <c r="C872" s="1">
        <v>0.72330399999999995</v>
      </c>
      <c r="D872" s="1">
        <f t="shared" si="91"/>
        <v>1.4679999999999138E-3</v>
      </c>
      <c r="E872">
        <f t="shared" si="92"/>
        <v>2</v>
      </c>
      <c r="F872">
        <f t="shared" si="93"/>
        <v>7</v>
      </c>
      <c r="G872">
        <f t="shared" si="94"/>
        <v>2.12</v>
      </c>
      <c r="H872">
        <f t="shared" si="95"/>
        <v>127</v>
      </c>
      <c r="I872" s="3">
        <f t="shared" si="96"/>
        <v>141.73228346456693</v>
      </c>
      <c r="J872" t="str">
        <f t="shared" si="97"/>
        <v>F</v>
      </c>
    </row>
    <row r="873" spans="1:10" hidden="1" x14ac:dyDescent="0.25">
      <c r="A873" s="4" t="s">
        <v>292</v>
      </c>
      <c r="B873" s="1">
        <v>0.62462799999999996</v>
      </c>
      <c r="C873" s="1">
        <v>0.62682800000000005</v>
      </c>
      <c r="D873" s="1">
        <f t="shared" si="91"/>
        <v>2.2000000000000908E-3</v>
      </c>
      <c r="E873">
        <f t="shared" si="92"/>
        <v>3</v>
      </c>
      <c r="F873">
        <f t="shared" si="93"/>
        <v>10</v>
      </c>
      <c r="G873">
        <f t="shared" si="94"/>
        <v>3.17</v>
      </c>
      <c r="H873">
        <f t="shared" si="95"/>
        <v>190</v>
      </c>
      <c r="I873" s="3">
        <f t="shared" si="96"/>
        <v>94.73684210526315</v>
      </c>
      <c r="J873" t="str">
        <f t="shared" si="97"/>
        <v>F</v>
      </c>
    </row>
    <row r="874" spans="1:10" hidden="1" x14ac:dyDescent="0.25">
      <c r="A874" s="4" t="s">
        <v>293</v>
      </c>
      <c r="B874" s="1">
        <v>0.55314399999999997</v>
      </c>
      <c r="C874" s="1">
        <v>0.55515999999999999</v>
      </c>
      <c r="D874" s="1">
        <f t="shared" si="91"/>
        <v>2.0160000000000178E-3</v>
      </c>
      <c r="E874">
        <f t="shared" si="92"/>
        <v>2</v>
      </c>
      <c r="F874">
        <f t="shared" si="93"/>
        <v>54</v>
      </c>
      <c r="G874">
        <f t="shared" si="94"/>
        <v>2.9</v>
      </c>
      <c r="H874">
        <f t="shared" si="95"/>
        <v>174</v>
      </c>
      <c r="I874" s="3">
        <f t="shared" si="96"/>
        <v>103.44827586206897</v>
      </c>
      <c r="J874" t="str">
        <f t="shared" si="97"/>
        <v>F</v>
      </c>
    </row>
    <row r="875" spans="1:10" hidden="1" x14ac:dyDescent="0.25">
      <c r="A875" s="4" t="s">
        <v>87</v>
      </c>
      <c r="B875" s="1">
        <v>0.48994100000000002</v>
      </c>
      <c r="C875" s="1">
        <v>0.49311300000000002</v>
      </c>
      <c r="D875" s="1">
        <f t="shared" si="91"/>
        <v>3.1720000000000081E-3</v>
      </c>
      <c r="E875">
        <f t="shared" si="92"/>
        <v>4</v>
      </c>
      <c r="F875">
        <f t="shared" si="93"/>
        <v>34</v>
      </c>
      <c r="G875">
        <f t="shared" si="94"/>
        <v>4.57</v>
      </c>
      <c r="H875">
        <f t="shared" si="95"/>
        <v>274</v>
      </c>
      <c r="I875" s="3">
        <f t="shared" si="96"/>
        <v>65.693430656934311</v>
      </c>
      <c r="J875" t="str">
        <f t="shared" si="97"/>
        <v>F</v>
      </c>
    </row>
    <row r="876" spans="1:10" hidden="1" x14ac:dyDescent="0.25">
      <c r="A876" s="4" t="s">
        <v>87</v>
      </c>
      <c r="B876" s="1">
        <v>0.75573800000000002</v>
      </c>
      <c r="C876" s="1">
        <v>0.75292599999999998</v>
      </c>
      <c r="D876" s="1">
        <f t="shared" si="91"/>
        <v>2.8120000000000367E-3</v>
      </c>
      <c r="E876">
        <f t="shared" si="92"/>
        <v>4</v>
      </c>
      <c r="F876">
        <f t="shared" si="93"/>
        <v>3</v>
      </c>
      <c r="G876">
        <f t="shared" si="94"/>
        <v>4.05</v>
      </c>
      <c r="H876">
        <f t="shared" si="95"/>
        <v>243</v>
      </c>
      <c r="I876" s="3">
        <f t="shared" si="96"/>
        <v>74.074074074074076</v>
      </c>
      <c r="J876" t="str">
        <f t="shared" si="97"/>
        <v>F</v>
      </c>
    </row>
    <row r="877" spans="1:10" hidden="1" x14ac:dyDescent="0.25">
      <c r="A877" s="4" t="s">
        <v>294</v>
      </c>
      <c r="B877" s="1">
        <v>0.956812</v>
      </c>
      <c r="C877" s="1">
        <v>0.95374800000000004</v>
      </c>
      <c r="D877" s="1">
        <f t="shared" si="91"/>
        <v>3.0639999999999556E-3</v>
      </c>
      <c r="E877">
        <f t="shared" si="92"/>
        <v>4</v>
      </c>
      <c r="F877">
        <f t="shared" si="93"/>
        <v>25</v>
      </c>
      <c r="G877">
        <f t="shared" si="94"/>
        <v>4.42</v>
      </c>
      <c r="H877">
        <f t="shared" si="95"/>
        <v>265</v>
      </c>
      <c r="I877" s="3">
        <f t="shared" si="96"/>
        <v>67.924528301886795</v>
      </c>
      <c r="J877" t="str">
        <f t="shared" si="97"/>
        <v>F</v>
      </c>
    </row>
    <row r="878" spans="1:10" hidden="1" x14ac:dyDescent="0.25">
      <c r="A878" s="4" t="s">
        <v>295</v>
      </c>
      <c r="B878" s="1">
        <v>0.609267</v>
      </c>
      <c r="C878" s="1">
        <v>0.60625099999999998</v>
      </c>
      <c r="D878" s="1">
        <f t="shared" si="91"/>
        <v>3.0160000000000187E-3</v>
      </c>
      <c r="E878">
        <f t="shared" si="92"/>
        <v>4</v>
      </c>
      <c r="F878">
        <f t="shared" si="93"/>
        <v>21</v>
      </c>
      <c r="G878">
        <f t="shared" si="94"/>
        <v>4.3499999999999996</v>
      </c>
      <c r="H878">
        <f t="shared" si="95"/>
        <v>261</v>
      </c>
      <c r="I878" s="3">
        <f t="shared" si="96"/>
        <v>68.965517241379303</v>
      </c>
      <c r="J878" t="str">
        <f t="shared" si="97"/>
        <v>F</v>
      </c>
    </row>
    <row r="879" spans="1:10" hidden="1" x14ac:dyDescent="0.25">
      <c r="A879" s="4" t="s">
        <v>296</v>
      </c>
      <c r="B879" s="1">
        <v>0.48624499999999998</v>
      </c>
      <c r="C879" s="1">
        <v>0.48857299999999998</v>
      </c>
      <c r="D879" s="1">
        <f t="shared" si="91"/>
        <v>2.3279999999999967E-3</v>
      </c>
      <c r="E879">
        <f t="shared" si="92"/>
        <v>3</v>
      </c>
      <c r="F879">
        <f t="shared" si="93"/>
        <v>21</v>
      </c>
      <c r="G879">
        <f t="shared" si="94"/>
        <v>3.35</v>
      </c>
      <c r="H879">
        <f t="shared" si="95"/>
        <v>201</v>
      </c>
      <c r="I879" s="3">
        <f t="shared" si="96"/>
        <v>89.552238805970148</v>
      </c>
      <c r="J879" t="str">
        <f t="shared" si="97"/>
        <v>F</v>
      </c>
    </row>
    <row r="880" spans="1:10" hidden="1" x14ac:dyDescent="0.25">
      <c r="A880" s="4" t="s">
        <v>297</v>
      </c>
      <c r="B880" s="1">
        <v>0.63311200000000001</v>
      </c>
      <c r="C880" s="1">
        <v>0.63467600000000002</v>
      </c>
      <c r="D880" s="1">
        <f t="shared" si="91"/>
        <v>1.5640000000000098E-3</v>
      </c>
      <c r="E880">
        <f t="shared" si="92"/>
        <v>2</v>
      </c>
      <c r="F880">
        <f t="shared" si="93"/>
        <v>15</v>
      </c>
      <c r="G880">
        <f t="shared" si="94"/>
        <v>2.25</v>
      </c>
      <c r="H880">
        <f t="shared" si="95"/>
        <v>135</v>
      </c>
      <c r="I880" s="3">
        <f t="shared" si="96"/>
        <v>133.33333333333334</v>
      </c>
      <c r="J880" t="str">
        <f t="shared" si="97"/>
        <v>F</v>
      </c>
    </row>
    <row r="881" spans="1:10" hidden="1" x14ac:dyDescent="0.25">
      <c r="A881" s="4" t="s">
        <v>298</v>
      </c>
      <c r="B881" s="1">
        <v>0.71425300000000003</v>
      </c>
      <c r="C881" s="1">
        <v>0.71617299999999995</v>
      </c>
      <c r="D881" s="1">
        <f t="shared" si="91"/>
        <v>1.9199999999999218E-3</v>
      </c>
      <c r="E881">
        <f t="shared" si="92"/>
        <v>2</v>
      </c>
      <c r="F881">
        <f t="shared" si="93"/>
        <v>46</v>
      </c>
      <c r="G881">
        <f t="shared" si="94"/>
        <v>2.77</v>
      </c>
      <c r="H881">
        <f t="shared" si="95"/>
        <v>166</v>
      </c>
      <c r="I881" s="3">
        <f t="shared" si="96"/>
        <v>108.43373493975903</v>
      </c>
      <c r="J881" t="str">
        <f t="shared" si="97"/>
        <v>F</v>
      </c>
    </row>
    <row r="882" spans="1:10" hidden="1" x14ac:dyDescent="0.25">
      <c r="A882" s="4" t="s">
        <v>299</v>
      </c>
      <c r="B882" s="1">
        <v>0.58881899999999998</v>
      </c>
      <c r="C882" s="1">
        <v>0.58577100000000004</v>
      </c>
      <c r="D882" s="1">
        <f t="shared" si="91"/>
        <v>3.0479999999999396E-3</v>
      </c>
      <c r="E882">
        <f t="shared" si="92"/>
        <v>4</v>
      </c>
      <c r="F882">
        <f t="shared" si="93"/>
        <v>23</v>
      </c>
      <c r="G882">
        <f t="shared" si="94"/>
        <v>4.38</v>
      </c>
      <c r="H882">
        <f t="shared" si="95"/>
        <v>263</v>
      </c>
      <c r="I882" s="3">
        <f t="shared" si="96"/>
        <v>68.441064638783274</v>
      </c>
      <c r="J882" t="str">
        <f t="shared" si="97"/>
        <v>F</v>
      </c>
    </row>
    <row r="883" spans="1:10" hidden="1" x14ac:dyDescent="0.25">
      <c r="A883" s="4" t="s">
        <v>300</v>
      </c>
      <c r="B883" s="1">
        <v>0.21463699999999999</v>
      </c>
      <c r="C883" s="1">
        <v>0.21702099999999999</v>
      </c>
      <c r="D883" s="1">
        <f t="shared" si="91"/>
        <v>2.3839999999999972E-3</v>
      </c>
      <c r="E883">
        <f t="shared" si="92"/>
        <v>3</v>
      </c>
      <c r="F883">
        <f t="shared" si="93"/>
        <v>26</v>
      </c>
      <c r="G883">
        <f t="shared" si="94"/>
        <v>3.43</v>
      </c>
      <c r="H883">
        <f t="shared" si="95"/>
        <v>206</v>
      </c>
      <c r="I883" s="3">
        <f t="shared" si="96"/>
        <v>87.378640776699029</v>
      </c>
      <c r="J883" t="str">
        <f t="shared" si="97"/>
        <v>F</v>
      </c>
    </row>
    <row r="884" spans="1:10" hidden="1" x14ac:dyDescent="0.25">
      <c r="A884" s="4" t="s">
        <v>301</v>
      </c>
      <c r="B884" s="1">
        <v>4.1440000000000001E-3</v>
      </c>
      <c r="C884" s="1">
        <v>2.196E-3</v>
      </c>
      <c r="D884" s="1">
        <f t="shared" si="91"/>
        <v>1.9480000000000001E-3</v>
      </c>
      <c r="E884">
        <f t="shared" si="92"/>
        <v>2</v>
      </c>
      <c r="F884">
        <f t="shared" si="93"/>
        <v>48</v>
      </c>
      <c r="G884">
        <f t="shared" si="94"/>
        <v>2.8</v>
      </c>
      <c r="H884">
        <f t="shared" si="95"/>
        <v>168</v>
      </c>
      <c r="I884" s="3">
        <f t="shared" si="96"/>
        <v>107.14285714285714</v>
      </c>
      <c r="J884" t="str">
        <f t="shared" si="97"/>
        <v>F</v>
      </c>
    </row>
    <row r="885" spans="1:10" hidden="1" x14ac:dyDescent="0.25">
      <c r="A885" s="4" t="s">
        <v>431</v>
      </c>
      <c r="B885" s="1">
        <v>0.38372699999999998</v>
      </c>
      <c r="C885" s="1">
        <v>0.38029099999999999</v>
      </c>
      <c r="D885" s="1">
        <f t="shared" si="91"/>
        <v>3.4359999999999946E-3</v>
      </c>
      <c r="E885">
        <f t="shared" si="92"/>
        <v>4</v>
      </c>
      <c r="F885">
        <f t="shared" si="93"/>
        <v>57</v>
      </c>
      <c r="G885">
        <f t="shared" si="94"/>
        <v>4.95</v>
      </c>
      <c r="H885">
        <f t="shared" si="95"/>
        <v>297</v>
      </c>
      <c r="I885" s="3">
        <f t="shared" si="96"/>
        <v>60.606060606060609</v>
      </c>
      <c r="J885" t="str">
        <f t="shared" si="97"/>
        <v>F</v>
      </c>
    </row>
    <row r="886" spans="1:10" hidden="1" x14ac:dyDescent="0.25">
      <c r="A886" s="4" t="s">
        <v>302</v>
      </c>
      <c r="B886" s="1">
        <v>0.16837199999999999</v>
      </c>
      <c r="C886" s="1">
        <v>0.17019599999999999</v>
      </c>
      <c r="D886" s="1">
        <f t="shared" si="91"/>
        <v>1.8239999999999923E-3</v>
      </c>
      <c r="E886">
        <f t="shared" si="92"/>
        <v>2</v>
      </c>
      <c r="F886">
        <f t="shared" si="93"/>
        <v>38</v>
      </c>
      <c r="G886">
        <f t="shared" si="94"/>
        <v>2.63</v>
      </c>
      <c r="H886">
        <f t="shared" si="95"/>
        <v>158</v>
      </c>
      <c r="I886" s="3">
        <f t="shared" si="96"/>
        <v>113.92405063291139</v>
      </c>
      <c r="J886" t="str">
        <f t="shared" si="97"/>
        <v>F</v>
      </c>
    </row>
    <row r="887" spans="1:10" hidden="1" x14ac:dyDescent="0.25">
      <c r="A887" s="4" t="s">
        <v>303</v>
      </c>
      <c r="B887" s="1">
        <v>0.11633300000000001</v>
      </c>
      <c r="C887" s="1">
        <v>0.113373</v>
      </c>
      <c r="D887" s="1">
        <f t="shared" si="91"/>
        <v>2.9600000000000043E-3</v>
      </c>
      <c r="E887">
        <f t="shared" si="92"/>
        <v>4</v>
      </c>
      <c r="F887">
        <f t="shared" si="93"/>
        <v>16</v>
      </c>
      <c r="G887">
        <f t="shared" si="94"/>
        <v>4.2699999999999996</v>
      </c>
      <c r="H887">
        <f t="shared" si="95"/>
        <v>256</v>
      </c>
      <c r="I887" s="3">
        <f t="shared" si="96"/>
        <v>70.3125</v>
      </c>
      <c r="J887" t="str">
        <f t="shared" si="97"/>
        <v>F</v>
      </c>
    </row>
    <row r="888" spans="1:10" hidden="1" x14ac:dyDescent="0.25">
      <c r="A888" s="4" t="s">
        <v>304</v>
      </c>
      <c r="B888" s="1">
        <v>0.90426600000000001</v>
      </c>
      <c r="C888" s="1">
        <v>0.90610999999999997</v>
      </c>
      <c r="D888" s="1">
        <f t="shared" si="91"/>
        <v>1.8439999999999568E-3</v>
      </c>
      <c r="E888">
        <f t="shared" si="92"/>
        <v>2</v>
      </c>
      <c r="F888">
        <f t="shared" si="93"/>
        <v>39</v>
      </c>
      <c r="G888">
        <f t="shared" si="94"/>
        <v>2.65</v>
      </c>
      <c r="H888">
        <f t="shared" si="95"/>
        <v>159</v>
      </c>
      <c r="I888" s="3">
        <f t="shared" si="96"/>
        <v>113.20754716981131</v>
      </c>
      <c r="J888" t="str">
        <f t="shared" si="97"/>
        <v>F</v>
      </c>
    </row>
    <row r="889" spans="1:10" hidden="1" x14ac:dyDescent="0.25">
      <c r="A889" s="4" t="s">
        <v>305</v>
      </c>
      <c r="B889" s="1">
        <v>0.71706700000000001</v>
      </c>
      <c r="C889" s="1">
        <v>0.71400300000000005</v>
      </c>
      <c r="D889" s="1">
        <f t="shared" si="91"/>
        <v>3.0639999999999556E-3</v>
      </c>
      <c r="E889">
        <f t="shared" si="92"/>
        <v>4</v>
      </c>
      <c r="F889">
        <f t="shared" si="93"/>
        <v>25</v>
      </c>
      <c r="G889">
        <f t="shared" si="94"/>
        <v>4.42</v>
      </c>
      <c r="H889">
        <f t="shared" si="95"/>
        <v>265</v>
      </c>
      <c r="I889" s="3">
        <f t="shared" si="96"/>
        <v>67.924528301886795</v>
      </c>
      <c r="J889" t="str">
        <f t="shared" si="97"/>
        <v>F</v>
      </c>
    </row>
    <row r="890" spans="1:10" hidden="1" x14ac:dyDescent="0.25">
      <c r="A890" s="4" t="s">
        <v>306</v>
      </c>
      <c r="B890" s="1">
        <v>0.97919</v>
      </c>
      <c r="C890" s="1">
        <v>0.97728199999999998</v>
      </c>
      <c r="D890" s="1">
        <f t="shared" si="91"/>
        <v>1.9080000000000208E-3</v>
      </c>
      <c r="E890">
        <f t="shared" si="92"/>
        <v>2</v>
      </c>
      <c r="F890">
        <f t="shared" si="93"/>
        <v>45</v>
      </c>
      <c r="G890">
        <f t="shared" si="94"/>
        <v>2.75</v>
      </c>
      <c r="H890">
        <f t="shared" si="95"/>
        <v>165</v>
      </c>
      <c r="I890" s="3">
        <f t="shared" si="96"/>
        <v>109.09090909090908</v>
      </c>
      <c r="J890" t="str">
        <f t="shared" si="97"/>
        <v>F</v>
      </c>
    </row>
    <row r="891" spans="1:10" hidden="1" x14ac:dyDescent="0.25">
      <c r="A891" s="4" t="s">
        <v>307</v>
      </c>
      <c r="B891" s="1">
        <v>0.67436099999999999</v>
      </c>
      <c r="C891" s="1">
        <v>0.67042500000000005</v>
      </c>
      <c r="D891" s="1">
        <f t="shared" si="91"/>
        <v>3.9359999999999395E-3</v>
      </c>
      <c r="E891">
        <f t="shared" si="92"/>
        <v>5</v>
      </c>
      <c r="F891">
        <f t="shared" si="93"/>
        <v>40</v>
      </c>
      <c r="G891">
        <f t="shared" si="94"/>
        <v>5.67</v>
      </c>
      <c r="H891">
        <f t="shared" si="95"/>
        <v>340</v>
      </c>
      <c r="I891" s="3">
        <f t="shared" si="96"/>
        <v>52.941176470588232</v>
      </c>
      <c r="J891" t="str">
        <f t="shared" si="97"/>
        <v>F</v>
      </c>
    </row>
    <row r="892" spans="1:10" hidden="1" x14ac:dyDescent="0.25">
      <c r="A892" s="4" t="s">
        <v>308</v>
      </c>
      <c r="B892" s="1">
        <v>0.25362299999999999</v>
      </c>
      <c r="C892" s="1">
        <v>0.256579</v>
      </c>
      <c r="D892" s="1">
        <f t="shared" si="91"/>
        <v>2.9560000000000142E-3</v>
      </c>
      <c r="E892">
        <f t="shared" si="92"/>
        <v>4</v>
      </c>
      <c r="F892">
        <f t="shared" si="93"/>
        <v>15</v>
      </c>
      <c r="G892">
        <f t="shared" si="94"/>
        <v>4.25</v>
      </c>
      <c r="H892">
        <f t="shared" si="95"/>
        <v>255</v>
      </c>
      <c r="I892" s="3">
        <f t="shared" si="96"/>
        <v>70.588235294117652</v>
      </c>
      <c r="J892" t="str">
        <f t="shared" si="97"/>
        <v>F</v>
      </c>
    </row>
    <row r="893" spans="1:10" hidden="1" x14ac:dyDescent="0.25">
      <c r="A893" s="4" t="s">
        <v>309</v>
      </c>
      <c r="B893" s="1">
        <v>5.6481999999999997E-2</v>
      </c>
      <c r="C893" s="1">
        <v>5.8942000000000001E-2</v>
      </c>
      <c r="D893" s="1">
        <f t="shared" si="91"/>
        <v>2.4600000000000039E-3</v>
      </c>
      <c r="E893">
        <f t="shared" si="92"/>
        <v>3</v>
      </c>
      <c r="F893">
        <f t="shared" si="93"/>
        <v>33</v>
      </c>
      <c r="G893">
        <f t="shared" si="94"/>
        <v>3.55</v>
      </c>
      <c r="H893">
        <f t="shared" si="95"/>
        <v>213</v>
      </c>
      <c r="I893" s="3">
        <f t="shared" si="96"/>
        <v>84.507042253521121</v>
      </c>
      <c r="J893" t="str">
        <f t="shared" si="97"/>
        <v>F</v>
      </c>
    </row>
    <row r="894" spans="1:10" hidden="1" x14ac:dyDescent="0.25">
      <c r="A894" s="4" t="s">
        <v>310</v>
      </c>
      <c r="B894" s="1">
        <v>0.870444</v>
      </c>
      <c r="C894" s="1">
        <v>0.86865199999999998</v>
      </c>
      <c r="D894" s="1">
        <f t="shared" si="91"/>
        <v>1.7920000000000158E-3</v>
      </c>
      <c r="E894">
        <f t="shared" si="92"/>
        <v>2</v>
      </c>
      <c r="F894">
        <f t="shared" si="93"/>
        <v>35</v>
      </c>
      <c r="G894">
        <f t="shared" si="94"/>
        <v>2.58</v>
      </c>
      <c r="H894">
        <f t="shared" si="95"/>
        <v>155</v>
      </c>
      <c r="I894" s="3">
        <f t="shared" si="96"/>
        <v>116.12903225806451</v>
      </c>
      <c r="J894" t="str">
        <f t="shared" si="97"/>
        <v>F</v>
      </c>
    </row>
    <row r="895" spans="1:10" hidden="1" x14ac:dyDescent="0.25">
      <c r="A895" s="4" t="s">
        <v>311</v>
      </c>
      <c r="B895" s="1">
        <v>0.959534</v>
      </c>
      <c r="C895" s="1">
        <v>0.96345000000000003</v>
      </c>
      <c r="D895" s="1">
        <f t="shared" si="91"/>
        <v>3.9160000000000306E-3</v>
      </c>
      <c r="E895">
        <f t="shared" si="92"/>
        <v>5</v>
      </c>
      <c r="F895">
        <f t="shared" si="93"/>
        <v>38</v>
      </c>
      <c r="G895">
        <f t="shared" si="94"/>
        <v>5.63</v>
      </c>
      <c r="H895">
        <f t="shared" si="95"/>
        <v>338</v>
      </c>
      <c r="I895" s="3">
        <f t="shared" si="96"/>
        <v>53.254437869822482</v>
      </c>
      <c r="J895" t="str">
        <f t="shared" si="97"/>
        <v>F</v>
      </c>
    </row>
    <row r="896" spans="1:10" hidden="1" x14ac:dyDescent="0.25">
      <c r="A896" s="4" t="s">
        <v>312</v>
      </c>
      <c r="B896" s="1">
        <v>5.4336000000000002E-2</v>
      </c>
      <c r="C896" s="1">
        <v>5.8035999999999997E-2</v>
      </c>
      <c r="D896" s="1">
        <f t="shared" si="91"/>
        <v>3.699999999999995E-3</v>
      </c>
      <c r="E896">
        <f t="shared" si="92"/>
        <v>5</v>
      </c>
      <c r="F896">
        <f t="shared" si="93"/>
        <v>20</v>
      </c>
      <c r="G896">
        <f t="shared" si="94"/>
        <v>5.33</v>
      </c>
      <c r="H896">
        <f t="shared" si="95"/>
        <v>320</v>
      </c>
      <c r="I896" s="3">
        <f t="shared" si="96"/>
        <v>56.25</v>
      </c>
      <c r="J896" t="str">
        <f t="shared" si="97"/>
        <v>F</v>
      </c>
    </row>
    <row r="897" spans="1:10" hidden="1" x14ac:dyDescent="0.25">
      <c r="A897" s="4" t="s">
        <v>313</v>
      </c>
      <c r="B897" s="1">
        <v>0.83169999999999999</v>
      </c>
      <c r="C897" s="1">
        <v>0.82974400000000004</v>
      </c>
      <c r="D897" s="1">
        <f t="shared" si="91"/>
        <v>1.9559999999999578E-3</v>
      </c>
      <c r="E897">
        <f t="shared" si="92"/>
        <v>2</v>
      </c>
      <c r="F897">
        <f t="shared" si="93"/>
        <v>49</v>
      </c>
      <c r="G897">
        <f t="shared" si="94"/>
        <v>2.82</v>
      </c>
      <c r="H897">
        <f t="shared" si="95"/>
        <v>169</v>
      </c>
      <c r="I897" s="3">
        <f t="shared" si="96"/>
        <v>106.50887573964496</v>
      </c>
      <c r="J897" t="str">
        <f t="shared" si="97"/>
        <v>F</v>
      </c>
    </row>
    <row r="898" spans="1:10" hidden="1" x14ac:dyDescent="0.25">
      <c r="A898" s="4" t="s">
        <v>314</v>
      </c>
      <c r="B898" s="1">
        <v>0.62873999999999997</v>
      </c>
      <c r="C898" s="1">
        <v>0.63060400000000005</v>
      </c>
      <c r="D898" s="1">
        <f t="shared" si="91"/>
        <v>1.8640000000000878E-3</v>
      </c>
      <c r="E898">
        <f t="shared" si="92"/>
        <v>2</v>
      </c>
      <c r="F898">
        <f t="shared" si="93"/>
        <v>41</v>
      </c>
      <c r="G898">
        <f t="shared" si="94"/>
        <v>2.68</v>
      </c>
      <c r="H898">
        <f t="shared" si="95"/>
        <v>161</v>
      </c>
      <c r="I898" s="3">
        <f t="shared" si="96"/>
        <v>111.80124223602485</v>
      </c>
      <c r="J898" t="str">
        <f t="shared" si="97"/>
        <v>F</v>
      </c>
    </row>
    <row r="899" spans="1:10" hidden="1" x14ac:dyDescent="0.25">
      <c r="A899" s="4" t="s">
        <v>315</v>
      </c>
      <c r="B899" s="1">
        <v>0.91733100000000001</v>
      </c>
      <c r="C899" s="1">
        <v>0.91906299999999996</v>
      </c>
      <c r="D899" s="1">
        <f t="shared" ref="D899:D962" si="98">IF(B899&gt;C899,B899-C899,C899-B899)</f>
        <v>1.7319999999999558E-3</v>
      </c>
      <c r="E899">
        <f t="shared" ref="E899:E962" si="99">MINUTE(D899)</f>
        <v>2</v>
      </c>
      <c r="F899">
        <f t="shared" ref="F899:F962" si="100">SECOND(D899)</f>
        <v>30</v>
      </c>
      <c r="G899">
        <f t="shared" ref="G899:G962" si="101">ROUND(E899+F899/60,2)</f>
        <v>2.5</v>
      </c>
      <c r="H899">
        <f t="shared" ref="H899:H962" si="102">60*E899+F899</f>
        <v>150</v>
      </c>
      <c r="I899" s="3">
        <f t="shared" ref="I899:I962" si="103">5*(3600/H899)</f>
        <v>120</v>
      </c>
      <c r="J899" t="str">
        <f t="shared" ref="J899:J962" si="104">IF(MID(A899,3,2)="18","T","F")</f>
        <v>F</v>
      </c>
    </row>
    <row r="900" spans="1:10" hidden="1" x14ac:dyDescent="0.25">
      <c r="A900" s="4" t="s">
        <v>316</v>
      </c>
      <c r="B900" s="1">
        <v>0.444025</v>
      </c>
      <c r="C900" s="1">
        <v>0.44708500000000001</v>
      </c>
      <c r="D900" s="1">
        <f t="shared" si="98"/>
        <v>3.0600000000000072E-3</v>
      </c>
      <c r="E900">
        <f t="shared" si="99"/>
        <v>4</v>
      </c>
      <c r="F900">
        <f t="shared" si="100"/>
        <v>24</v>
      </c>
      <c r="G900">
        <f t="shared" si="101"/>
        <v>4.4000000000000004</v>
      </c>
      <c r="H900">
        <f t="shared" si="102"/>
        <v>264</v>
      </c>
      <c r="I900" s="3">
        <f t="shared" si="103"/>
        <v>68.181818181818187</v>
      </c>
      <c r="J900" t="str">
        <f t="shared" si="104"/>
        <v>F</v>
      </c>
    </row>
    <row r="901" spans="1:10" hidden="1" x14ac:dyDescent="0.25">
      <c r="A901" s="4" t="s">
        <v>317</v>
      </c>
      <c r="B901" s="1">
        <v>0.144228</v>
      </c>
      <c r="C901" s="1">
        <v>0.142376</v>
      </c>
      <c r="D901" s="1">
        <f t="shared" si="98"/>
        <v>1.8519999999999925E-3</v>
      </c>
      <c r="E901">
        <f t="shared" si="99"/>
        <v>2</v>
      </c>
      <c r="F901">
        <f t="shared" si="100"/>
        <v>40</v>
      </c>
      <c r="G901">
        <f t="shared" si="101"/>
        <v>2.67</v>
      </c>
      <c r="H901">
        <f t="shared" si="102"/>
        <v>160</v>
      </c>
      <c r="I901" s="3">
        <f t="shared" si="103"/>
        <v>112.5</v>
      </c>
      <c r="J901" t="str">
        <f t="shared" si="104"/>
        <v>F</v>
      </c>
    </row>
    <row r="902" spans="1:10" hidden="1" x14ac:dyDescent="0.25">
      <c r="A902" s="4" t="s">
        <v>318</v>
      </c>
      <c r="B902" s="1">
        <v>0.62203600000000003</v>
      </c>
      <c r="C902" s="1">
        <v>0.620224</v>
      </c>
      <c r="D902" s="1">
        <f t="shared" si="98"/>
        <v>1.8120000000000358E-3</v>
      </c>
      <c r="E902">
        <f t="shared" si="99"/>
        <v>2</v>
      </c>
      <c r="F902">
        <f t="shared" si="100"/>
        <v>37</v>
      </c>
      <c r="G902">
        <f t="shared" si="101"/>
        <v>2.62</v>
      </c>
      <c r="H902">
        <f t="shared" si="102"/>
        <v>157</v>
      </c>
      <c r="I902" s="3">
        <f t="shared" si="103"/>
        <v>114.64968152866241</v>
      </c>
      <c r="J902" t="str">
        <f t="shared" si="104"/>
        <v>F</v>
      </c>
    </row>
    <row r="903" spans="1:10" hidden="1" x14ac:dyDescent="0.25">
      <c r="A903" s="4" t="s">
        <v>319</v>
      </c>
      <c r="B903" s="1">
        <v>0.126361</v>
      </c>
      <c r="C903" s="1">
        <v>0.130357</v>
      </c>
      <c r="D903" s="1">
        <f t="shared" si="98"/>
        <v>3.9959999999999996E-3</v>
      </c>
      <c r="E903">
        <f t="shared" si="99"/>
        <v>5</v>
      </c>
      <c r="F903">
        <f t="shared" si="100"/>
        <v>45</v>
      </c>
      <c r="G903">
        <f t="shared" si="101"/>
        <v>5.75</v>
      </c>
      <c r="H903">
        <f t="shared" si="102"/>
        <v>345</v>
      </c>
      <c r="I903" s="3">
        <f t="shared" si="103"/>
        <v>52.173913043478265</v>
      </c>
      <c r="J903" t="str">
        <f t="shared" si="104"/>
        <v>F</v>
      </c>
    </row>
    <row r="904" spans="1:10" hidden="1" x14ac:dyDescent="0.25">
      <c r="A904" s="4" t="s">
        <v>320</v>
      </c>
      <c r="B904" s="1">
        <v>0.476607</v>
      </c>
      <c r="C904" s="1">
        <v>0.47875899999999999</v>
      </c>
      <c r="D904" s="1">
        <f t="shared" si="98"/>
        <v>2.1519999999999873E-3</v>
      </c>
      <c r="E904">
        <f t="shared" si="99"/>
        <v>3</v>
      </c>
      <c r="F904">
        <f t="shared" si="100"/>
        <v>6</v>
      </c>
      <c r="G904">
        <f t="shared" si="101"/>
        <v>3.1</v>
      </c>
      <c r="H904">
        <f t="shared" si="102"/>
        <v>186</v>
      </c>
      <c r="I904" s="3">
        <f t="shared" si="103"/>
        <v>96.774193548387103</v>
      </c>
      <c r="J904" t="str">
        <f t="shared" si="104"/>
        <v>F</v>
      </c>
    </row>
    <row r="905" spans="1:10" hidden="1" x14ac:dyDescent="0.25">
      <c r="A905" s="4" t="s">
        <v>321</v>
      </c>
      <c r="B905" s="1">
        <v>0.92649000000000004</v>
      </c>
      <c r="C905" s="1">
        <v>0.92508199999999996</v>
      </c>
      <c r="D905" s="1">
        <f t="shared" si="98"/>
        <v>1.4080000000000759E-3</v>
      </c>
      <c r="E905">
        <f t="shared" si="99"/>
        <v>2</v>
      </c>
      <c r="F905">
        <f t="shared" si="100"/>
        <v>2</v>
      </c>
      <c r="G905">
        <f t="shared" si="101"/>
        <v>2.0299999999999998</v>
      </c>
      <c r="H905">
        <f t="shared" si="102"/>
        <v>122</v>
      </c>
      <c r="I905" s="3">
        <f t="shared" si="103"/>
        <v>147.54098360655738</v>
      </c>
      <c r="J905" t="str">
        <f t="shared" si="104"/>
        <v>F</v>
      </c>
    </row>
    <row r="906" spans="1:10" hidden="1" x14ac:dyDescent="0.25">
      <c r="A906" s="4" t="s">
        <v>322</v>
      </c>
      <c r="B906" s="1">
        <v>0.91881100000000004</v>
      </c>
      <c r="C906" s="1">
        <v>0.915323</v>
      </c>
      <c r="D906" s="1">
        <f t="shared" si="98"/>
        <v>3.4880000000000466E-3</v>
      </c>
      <c r="E906">
        <f t="shared" si="99"/>
        <v>5</v>
      </c>
      <c r="F906">
        <f t="shared" si="100"/>
        <v>1</v>
      </c>
      <c r="G906">
        <f t="shared" si="101"/>
        <v>5.0199999999999996</v>
      </c>
      <c r="H906">
        <f t="shared" si="102"/>
        <v>301</v>
      </c>
      <c r="I906" s="3">
        <f t="shared" si="103"/>
        <v>59.800664451827245</v>
      </c>
      <c r="J906" t="str">
        <f t="shared" si="104"/>
        <v>F</v>
      </c>
    </row>
    <row r="907" spans="1:10" hidden="1" x14ac:dyDescent="0.25">
      <c r="A907" s="4" t="s">
        <v>323</v>
      </c>
      <c r="B907" s="1">
        <v>5.8838000000000001E-2</v>
      </c>
      <c r="C907" s="1">
        <v>5.6753999999999999E-2</v>
      </c>
      <c r="D907" s="1">
        <f t="shared" si="98"/>
        <v>2.0840000000000025E-3</v>
      </c>
      <c r="E907">
        <f t="shared" si="99"/>
        <v>3</v>
      </c>
      <c r="F907">
        <f t="shared" si="100"/>
        <v>0</v>
      </c>
      <c r="G907">
        <f t="shared" si="101"/>
        <v>3</v>
      </c>
      <c r="H907">
        <f t="shared" si="102"/>
        <v>180</v>
      </c>
      <c r="I907" s="3">
        <f t="shared" si="103"/>
        <v>100</v>
      </c>
      <c r="J907" t="str">
        <f t="shared" si="104"/>
        <v>F</v>
      </c>
    </row>
    <row r="908" spans="1:10" hidden="1" x14ac:dyDescent="0.25">
      <c r="A908" s="4" t="s">
        <v>324</v>
      </c>
      <c r="B908" s="1">
        <v>0.49864799999999998</v>
      </c>
      <c r="C908" s="1">
        <v>0.49723600000000001</v>
      </c>
      <c r="D908" s="1">
        <f t="shared" si="98"/>
        <v>1.4119999999999688E-3</v>
      </c>
      <c r="E908">
        <f t="shared" si="99"/>
        <v>2</v>
      </c>
      <c r="F908">
        <f t="shared" si="100"/>
        <v>2</v>
      </c>
      <c r="G908">
        <f t="shared" si="101"/>
        <v>2.0299999999999998</v>
      </c>
      <c r="H908">
        <f t="shared" si="102"/>
        <v>122</v>
      </c>
      <c r="I908" s="3">
        <f t="shared" si="103"/>
        <v>147.54098360655738</v>
      </c>
      <c r="J908" t="str">
        <f t="shared" si="104"/>
        <v>F</v>
      </c>
    </row>
    <row r="909" spans="1:10" hidden="1" x14ac:dyDescent="0.25">
      <c r="A909" s="4" t="s">
        <v>325</v>
      </c>
      <c r="B909" s="1">
        <v>0.46205000000000002</v>
      </c>
      <c r="C909" s="1">
        <v>0.45918999999999999</v>
      </c>
      <c r="D909" s="1">
        <f t="shared" si="98"/>
        <v>2.8600000000000292E-3</v>
      </c>
      <c r="E909">
        <f t="shared" si="99"/>
        <v>4</v>
      </c>
      <c r="F909">
        <f t="shared" si="100"/>
        <v>7</v>
      </c>
      <c r="G909">
        <f t="shared" si="101"/>
        <v>4.12</v>
      </c>
      <c r="H909">
        <f t="shared" si="102"/>
        <v>247</v>
      </c>
      <c r="I909" s="3">
        <f t="shared" si="103"/>
        <v>72.874493927125513</v>
      </c>
      <c r="J909" t="str">
        <f t="shared" si="104"/>
        <v>F</v>
      </c>
    </row>
    <row r="910" spans="1:10" hidden="1" x14ac:dyDescent="0.25">
      <c r="A910" s="4" t="s">
        <v>326</v>
      </c>
      <c r="B910" s="1">
        <v>0.76355799999999996</v>
      </c>
      <c r="C910" s="1">
        <v>0.76023399999999997</v>
      </c>
      <c r="D910" s="1">
        <f t="shared" si="98"/>
        <v>3.3239999999999936E-3</v>
      </c>
      <c r="E910">
        <f t="shared" si="99"/>
        <v>4</v>
      </c>
      <c r="F910">
        <f t="shared" si="100"/>
        <v>47</v>
      </c>
      <c r="G910">
        <f t="shared" si="101"/>
        <v>4.78</v>
      </c>
      <c r="H910">
        <f t="shared" si="102"/>
        <v>287</v>
      </c>
      <c r="I910" s="3">
        <f t="shared" si="103"/>
        <v>62.717770034843205</v>
      </c>
      <c r="J910" t="str">
        <f t="shared" si="104"/>
        <v>F</v>
      </c>
    </row>
    <row r="911" spans="1:10" hidden="1" x14ac:dyDescent="0.25">
      <c r="A911" s="4" t="s">
        <v>327</v>
      </c>
      <c r="B911" s="1">
        <v>7.5789999999999998E-3</v>
      </c>
      <c r="C911" s="1">
        <v>1.0695E-2</v>
      </c>
      <c r="D911" s="1">
        <f t="shared" si="98"/>
        <v>3.1159999999999998E-3</v>
      </c>
      <c r="E911">
        <f t="shared" si="99"/>
        <v>4</v>
      </c>
      <c r="F911">
        <f t="shared" si="100"/>
        <v>29</v>
      </c>
      <c r="G911">
        <f t="shared" si="101"/>
        <v>4.4800000000000004</v>
      </c>
      <c r="H911">
        <f t="shared" si="102"/>
        <v>269</v>
      </c>
      <c r="I911" s="3">
        <f t="shared" si="103"/>
        <v>66.914498141263948</v>
      </c>
      <c r="J911" t="str">
        <f t="shared" si="104"/>
        <v>F</v>
      </c>
    </row>
    <row r="912" spans="1:10" hidden="1" x14ac:dyDescent="0.25">
      <c r="A912" s="4" t="s">
        <v>328</v>
      </c>
      <c r="B912" s="1">
        <v>0.49057000000000001</v>
      </c>
      <c r="C912" s="1">
        <v>0.49304599999999998</v>
      </c>
      <c r="D912" s="1">
        <f t="shared" si="98"/>
        <v>2.4759999999999782E-3</v>
      </c>
      <c r="E912">
        <f t="shared" si="99"/>
        <v>3</v>
      </c>
      <c r="F912">
        <f t="shared" si="100"/>
        <v>34</v>
      </c>
      <c r="G912">
        <f t="shared" si="101"/>
        <v>3.57</v>
      </c>
      <c r="H912">
        <f t="shared" si="102"/>
        <v>214</v>
      </c>
      <c r="I912" s="3">
        <f t="shared" si="103"/>
        <v>84.112149532710276</v>
      </c>
      <c r="J912" t="str">
        <f t="shared" si="104"/>
        <v>F</v>
      </c>
    </row>
    <row r="913" spans="1:10" hidden="1" x14ac:dyDescent="0.25">
      <c r="A913" s="4" t="s">
        <v>329</v>
      </c>
      <c r="B913" s="1">
        <v>0.12620799999999999</v>
      </c>
      <c r="C913" s="1">
        <v>0.12831600000000001</v>
      </c>
      <c r="D913" s="1">
        <f t="shared" si="98"/>
        <v>2.1080000000000265E-3</v>
      </c>
      <c r="E913">
        <f t="shared" si="99"/>
        <v>3</v>
      </c>
      <c r="F913">
        <f t="shared" si="100"/>
        <v>2</v>
      </c>
      <c r="G913">
        <f t="shared" si="101"/>
        <v>3.03</v>
      </c>
      <c r="H913">
        <f t="shared" si="102"/>
        <v>182</v>
      </c>
      <c r="I913" s="3">
        <f t="shared" si="103"/>
        <v>98.901098901098905</v>
      </c>
      <c r="J913" t="str">
        <f t="shared" si="104"/>
        <v>F</v>
      </c>
    </row>
    <row r="914" spans="1:10" hidden="1" x14ac:dyDescent="0.25">
      <c r="A914" s="4" t="s">
        <v>330</v>
      </c>
      <c r="B914" s="1">
        <v>3.6773E-2</v>
      </c>
      <c r="C914" s="1">
        <v>3.4508999999999998E-2</v>
      </c>
      <c r="D914" s="1">
        <f t="shared" si="98"/>
        <v>2.2640000000000021E-3</v>
      </c>
      <c r="E914">
        <f t="shared" si="99"/>
        <v>3</v>
      </c>
      <c r="F914">
        <f t="shared" si="100"/>
        <v>16</v>
      </c>
      <c r="G914">
        <f t="shared" si="101"/>
        <v>3.27</v>
      </c>
      <c r="H914">
        <f t="shared" si="102"/>
        <v>196</v>
      </c>
      <c r="I914" s="3">
        <f t="shared" si="103"/>
        <v>91.83673469387756</v>
      </c>
      <c r="J914" t="str">
        <f t="shared" si="104"/>
        <v>F</v>
      </c>
    </row>
    <row r="915" spans="1:10" hidden="1" x14ac:dyDescent="0.25">
      <c r="A915" s="4" t="s">
        <v>331</v>
      </c>
      <c r="B915" s="1">
        <v>0.10241</v>
      </c>
      <c r="C915" s="1">
        <v>9.9713999999999997E-2</v>
      </c>
      <c r="D915" s="1">
        <f t="shared" si="98"/>
        <v>2.6960000000000039E-3</v>
      </c>
      <c r="E915">
        <f t="shared" si="99"/>
        <v>3</v>
      </c>
      <c r="F915">
        <f t="shared" si="100"/>
        <v>53</v>
      </c>
      <c r="G915">
        <f t="shared" si="101"/>
        <v>3.88</v>
      </c>
      <c r="H915">
        <f t="shared" si="102"/>
        <v>233</v>
      </c>
      <c r="I915" s="3">
        <f t="shared" si="103"/>
        <v>77.253218884120173</v>
      </c>
      <c r="J915" t="str">
        <f t="shared" si="104"/>
        <v>F</v>
      </c>
    </row>
    <row r="916" spans="1:10" hidden="1" x14ac:dyDescent="0.25">
      <c r="A916" s="4" t="s">
        <v>332</v>
      </c>
      <c r="B916" s="1">
        <v>0.71081099999999997</v>
      </c>
      <c r="C916" s="1">
        <v>0.70738299999999998</v>
      </c>
      <c r="D916" s="1">
        <f t="shared" si="98"/>
        <v>3.4279999999999866E-3</v>
      </c>
      <c r="E916">
        <f t="shared" si="99"/>
        <v>4</v>
      </c>
      <c r="F916">
        <f t="shared" si="100"/>
        <v>56</v>
      </c>
      <c r="G916">
        <f t="shared" si="101"/>
        <v>4.93</v>
      </c>
      <c r="H916">
        <f t="shared" si="102"/>
        <v>296</v>
      </c>
      <c r="I916" s="3">
        <f t="shared" si="103"/>
        <v>60.810810810810807</v>
      </c>
      <c r="J916" t="str">
        <f t="shared" si="104"/>
        <v>F</v>
      </c>
    </row>
    <row r="917" spans="1:10" hidden="1" x14ac:dyDescent="0.25">
      <c r="A917" s="4" t="s">
        <v>333</v>
      </c>
      <c r="B917" s="1">
        <v>0.288352</v>
      </c>
      <c r="C917" s="1">
        <v>0.29111999999999999</v>
      </c>
      <c r="D917" s="1">
        <f t="shared" si="98"/>
        <v>2.7679999999999927E-3</v>
      </c>
      <c r="E917">
        <f t="shared" si="99"/>
        <v>3</v>
      </c>
      <c r="F917">
        <f t="shared" si="100"/>
        <v>59</v>
      </c>
      <c r="G917">
        <f t="shared" si="101"/>
        <v>3.98</v>
      </c>
      <c r="H917">
        <f t="shared" si="102"/>
        <v>239</v>
      </c>
      <c r="I917" s="3">
        <f t="shared" si="103"/>
        <v>75.313807531380746</v>
      </c>
      <c r="J917" t="str">
        <f t="shared" si="104"/>
        <v>F</v>
      </c>
    </row>
    <row r="918" spans="1:10" hidden="1" x14ac:dyDescent="0.25">
      <c r="A918" s="4" t="s">
        <v>334</v>
      </c>
      <c r="B918" s="1">
        <v>0.14686399999999999</v>
      </c>
      <c r="C918" s="1">
        <v>0.14951200000000001</v>
      </c>
      <c r="D918" s="1">
        <f t="shared" si="98"/>
        <v>2.6480000000000115E-3</v>
      </c>
      <c r="E918">
        <f t="shared" si="99"/>
        <v>3</v>
      </c>
      <c r="F918">
        <f t="shared" si="100"/>
        <v>49</v>
      </c>
      <c r="G918">
        <f t="shared" si="101"/>
        <v>3.82</v>
      </c>
      <c r="H918">
        <f t="shared" si="102"/>
        <v>229</v>
      </c>
      <c r="I918" s="3">
        <f t="shared" si="103"/>
        <v>78.602620087336248</v>
      </c>
      <c r="J918" t="str">
        <f t="shared" si="104"/>
        <v>F</v>
      </c>
    </row>
    <row r="919" spans="1:10" hidden="1" x14ac:dyDescent="0.25">
      <c r="A919" s="4" t="s">
        <v>335</v>
      </c>
      <c r="B919" s="1">
        <v>0.42368600000000001</v>
      </c>
      <c r="C919" s="1">
        <v>0.42081000000000002</v>
      </c>
      <c r="D919" s="1">
        <f t="shared" si="98"/>
        <v>2.8759999999999897E-3</v>
      </c>
      <c r="E919">
        <f t="shared" si="99"/>
        <v>4</v>
      </c>
      <c r="F919">
        <f t="shared" si="100"/>
        <v>8</v>
      </c>
      <c r="G919">
        <f t="shared" si="101"/>
        <v>4.13</v>
      </c>
      <c r="H919">
        <f t="shared" si="102"/>
        <v>248</v>
      </c>
      <c r="I919" s="3">
        <f t="shared" si="103"/>
        <v>72.58064516129032</v>
      </c>
      <c r="J919" t="str">
        <f t="shared" si="104"/>
        <v>F</v>
      </c>
    </row>
    <row r="920" spans="1:10" hidden="1" x14ac:dyDescent="0.25">
      <c r="A920" s="4" t="s">
        <v>336</v>
      </c>
      <c r="B920" s="1">
        <v>0.96765500000000004</v>
      </c>
      <c r="C920" s="1">
        <v>0.96437899999999999</v>
      </c>
      <c r="D920" s="1">
        <f t="shared" si="98"/>
        <v>3.2760000000000566E-3</v>
      </c>
      <c r="E920">
        <f t="shared" si="99"/>
        <v>4</v>
      </c>
      <c r="F920">
        <f t="shared" si="100"/>
        <v>43</v>
      </c>
      <c r="G920">
        <f t="shared" si="101"/>
        <v>4.72</v>
      </c>
      <c r="H920">
        <f t="shared" si="102"/>
        <v>283</v>
      </c>
      <c r="I920" s="3">
        <f t="shared" si="103"/>
        <v>63.60424028268551</v>
      </c>
      <c r="J920" t="str">
        <f t="shared" si="104"/>
        <v>F</v>
      </c>
    </row>
    <row r="921" spans="1:10" hidden="1" x14ac:dyDescent="0.25">
      <c r="A921" s="4" t="s">
        <v>337</v>
      </c>
      <c r="B921" s="1">
        <v>5.2663000000000001E-2</v>
      </c>
      <c r="C921" s="1">
        <v>4.8890999999999997E-2</v>
      </c>
      <c r="D921" s="1">
        <f t="shared" si="98"/>
        <v>3.7720000000000045E-3</v>
      </c>
      <c r="E921">
        <f t="shared" si="99"/>
        <v>5</v>
      </c>
      <c r="F921">
        <f t="shared" si="100"/>
        <v>26</v>
      </c>
      <c r="G921">
        <f t="shared" si="101"/>
        <v>5.43</v>
      </c>
      <c r="H921">
        <f t="shared" si="102"/>
        <v>326</v>
      </c>
      <c r="I921" s="3">
        <f t="shared" si="103"/>
        <v>55.214723926380373</v>
      </c>
      <c r="J921" t="str">
        <f t="shared" si="104"/>
        <v>F</v>
      </c>
    </row>
    <row r="922" spans="1:10" hidden="1" x14ac:dyDescent="0.25">
      <c r="A922" s="4" t="s">
        <v>338</v>
      </c>
      <c r="B922" s="1">
        <v>0.114995</v>
      </c>
      <c r="C922" s="1">
        <v>0.113023</v>
      </c>
      <c r="D922" s="1">
        <f t="shared" si="98"/>
        <v>1.9720000000000015E-3</v>
      </c>
      <c r="E922">
        <f t="shared" si="99"/>
        <v>2</v>
      </c>
      <c r="F922">
        <f t="shared" si="100"/>
        <v>50</v>
      </c>
      <c r="G922">
        <f t="shared" si="101"/>
        <v>2.83</v>
      </c>
      <c r="H922">
        <f t="shared" si="102"/>
        <v>170</v>
      </c>
      <c r="I922" s="3">
        <f t="shared" si="103"/>
        <v>105.88235294117646</v>
      </c>
      <c r="J922" t="str">
        <f t="shared" si="104"/>
        <v>F</v>
      </c>
    </row>
    <row r="923" spans="1:10" hidden="1" x14ac:dyDescent="0.25">
      <c r="A923" s="4" t="s">
        <v>339</v>
      </c>
      <c r="B923" s="1">
        <v>0.55148399999999997</v>
      </c>
      <c r="C923" s="1">
        <v>0.55299600000000004</v>
      </c>
      <c r="D923" s="1">
        <f t="shared" si="98"/>
        <v>1.5120000000000688E-3</v>
      </c>
      <c r="E923">
        <f t="shared" si="99"/>
        <v>2</v>
      </c>
      <c r="F923">
        <f t="shared" si="100"/>
        <v>11</v>
      </c>
      <c r="G923">
        <f t="shared" si="101"/>
        <v>2.1800000000000002</v>
      </c>
      <c r="H923">
        <f t="shared" si="102"/>
        <v>131</v>
      </c>
      <c r="I923" s="3">
        <f t="shared" si="103"/>
        <v>137.40458015267177</v>
      </c>
      <c r="J923" t="str">
        <f t="shared" si="104"/>
        <v>F</v>
      </c>
    </row>
    <row r="924" spans="1:10" hidden="1" x14ac:dyDescent="0.25">
      <c r="A924" s="4" t="s">
        <v>340</v>
      </c>
      <c r="B924" s="1">
        <v>0.91144700000000001</v>
      </c>
      <c r="C924" s="1">
        <v>0.91473099999999996</v>
      </c>
      <c r="D924" s="1">
        <f t="shared" si="98"/>
        <v>3.2839999999999536E-3</v>
      </c>
      <c r="E924">
        <f t="shared" si="99"/>
        <v>4</v>
      </c>
      <c r="F924">
        <f t="shared" si="100"/>
        <v>44</v>
      </c>
      <c r="G924">
        <f t="shared" si="101"/>
        <v>4.7300000000000004</v>
      </c>
      <c r="H924">
        <f t="shared" si="102"/>
        <v>284</v>
      </c>
      <c r="I924" s="3">
        <f t="shared" si="103"/>
        <v>63.380281690140848</v>
      </c>
      <c r="J924" t="str">
        <f t="shared" si="104"/>
        <v>F</v>
      </c>
    </row>
    <row r="925" spans="1:10" hidden="1" x14ac:dyDescent="0.25">
      <c r="A925" s="4" t="s">
        <v>341</v>
      </c>
      <c r="B925" s="1">
        <v>0.70019799999999999</v>
      </c>
      <c r="C925" s="1">
        <v>0.70295399999999997</v>
      </c>
      <c r="D925" s="1">
        <f t="shared" si="98"/>
        <v>2.7559999999999807E-3</v>
      </c>
      <c r="E925">
        <f t="shared" si="99"/>
        <v>3</v>
      </c>
      <c r="F925">
        <f t="shared" si="100"/>
        <v>58</v>
      </c>
      <c r="G925">
        <f t="shared" si="101"/>
        <v>3.97</v>
      </c>
      <c r="H925">
        <f t="shared" si="102"/>
        <v>238</v>
      </c>
      <c r="I925" s="3">
        <f t="shared" si="103"/>
        <v>75.630252100840337</v>
      </c>
      <c r="J925" t="str">
        <f t="shared" si="104"/>
        <v>F</v>
      </c>
    </row>
    <row r="926" spans="1:10" hidden="1" x14ac:dyDescent="0.25">
      <c r="A926" s="4" t="s">
        <v>342</v>
      </c>
      <c r="B926" s="1">
        <v>0.52615599999999996</v>
      </c>
      <c r="C926" s="1">
        <v>0.52922000000000002</v>
      </c>
      <c r="D926" s="1">
        <f t="shared" si="98"/>
        <v>3.0640000000000667E-3</v>
      </c>
      <c r="E926">
        <f t="shared" si="99"/>
        <v>4</v>
      </c>
      <c r="F926">
        <f t="shared" si="100"/>
        <v>25</v>
      </c>
      <c r="G926">
        <f t="shared" si="101"/>
        <v>4.42</v>
      </c>
      <c r="H926">
        <f t="shared" si="102"/>
        <v>265</v>
      </c>
      <c r="I926" s="3">
        <f t="shared" si="103"/>
        <v>67.924528301886795</v>
      </c>
      <c r="J926" t="str">
        <f t="shared" si="104"/>
        <v>F</v>
      </c>
    </row>
    <row r="927" spans="1:10" hidden="1" x14ac:dyDescent="0.25">
      <c r="A927" s="4" t="s">
        <v>343</v>
      </c>
      <c r="B927" s="1">
        <v>0.68652000000000002</v>
      </c>
      <c r="C927" s="1">
        <v>0.68868399999999996</v>
      </c>
      <c r="D927" s="1">
        <f t="shared" si="98"/>
        <v>2.1639999999999437E-3</v>
      </c>
      <c r="E927">
        <f t="shared" si="99"/>
        <v>3</v>
      </c>
      <c r="F927">
        <f t="shared" si="100"/>
        <v>7</v>
      </c>
      <c r="G927">
        <f t="shared" si="101"/>
        <v>3.12</v>
      </c>
      <c r="H927">
        <f t="shared" si="102"/>
        <v>187</v>
      </c>
      <c r="I927" s="3">
        <f t="shared" si="103"/>
        <v>96.256684491978604</v>
      </c>
      <c r="J927" t="str">
        <f t="shared" si="104"/>
        <v>F</v>
      </c>
    </row>
    <row r="928" spans="1:10" hidden="1" x14ac:dyDescent="0.25">
      <c r="A928" s="4" t="s">
        <v>344</v>
      </c>
      <c r="B928" s="1">
        <v>0.35687200000000002</v>
      </c>
      <c r="C928" s="1">
        <v>0.3594</v>
      </c>
      <c r="D928" s="1">
        <f t="shared" si="98"/>
        <v>2.5279999999999747E-3</v>
      </c>
      <c r="E928">
        <f t="shared" si="99"/>
        <v>3</v>
      </c>
      <c r="F928">
        <f t="shared" si="100"/>
        <v>38</v>
      </c>
      <c r="G928">
        <f t="shared" si="101"/>
        <v>3.63</v>
      </c>
      <c r="H928">
        <f t="shared" si="102"/>
        <v>218</v>
      </c>
      <c r="I928" s="3">
        <f t="shared" si="103"/>
        <v>82.568807339449535</v>
      </c>
      <c r="J928" t="str">
        <f t="shared" si="104"/>
        <v>F</v>
      </c>
    </row>
    <row r="929" spans="1:10" hidden="1" x14ac:dyDescent="0.25">
      <c r="A929" s="4" t="s">
        <v>345</v>
      </c>
      <c r="B929" s="1">
        <v>0.77340900000000001</v>
      </c>
      <c r="C929" s="1">
        <v>0.77552900000000002</v>
      </c>
      <c r="D929" s="1">
        <f t="shared" si="98"/>
        <v>2.1200000000000108E-3</v>
      </c>
      <c r="E929">
        <f t="shared" si="99"/>
        <v>3</v>
      </c>
      <c r="F929">
        <f t="shared" si="100"/>
        <v>3</v>
      </c>
      <c r="G929">
        <f t="shared" si="101"/>
        <v>3.05</v>
      </c>
      <c r="H929">
        <f t="shared" si="102"/>
        <v>183</v>
      </c>
      <c r="I929" s="3">
        <f t="shared" si="103"/>
        <v>98.360655737704917</v>
      </c>
      <c r="J929" t="str">
        <f t="shared" si="104"/>
        <v>F</v>
      </c>
    </row>
    <row r="930" spans="1:10" hidden="1" x14ac:dyDescent="0.25">
      <c r="A930" s="4" t="s">
        <v>346</v>
      </c>
      <c r="B930" s="1">
        <v>0.11723</v>
      </c>
      <c r="C930" s="1">
        <v>0.115522</v>
      </c>
      <c r="D930" s="1">
        <f t="shared" si="98"/>
        <v>1.7080000000000012E-3</v>
      </c>
      <c r="E930">
        <f t="shared" si="99"/>
        <v>2</v>
      </c>
      <c r="F930">
        <f t="shared" si="100"/>
        <v>28</v>
      </c>
      <c r="G930">
        <f t="shared" si="101"/>
        <v>2.4700000000000002</v>
      </c>
      <c r="H930">
        <f t="shared" si="102"/>
        <v>148</v>
      </c>
      <c r="I930" s="3">
        <f t="shared" si="103"/>
        <v>121.62162162162161</v>
      </c>
      <c r="J930" t="str">
        <f t="shared" si="104"/>
        <v>F</v>
      </c>
    </row>
    <row r="931" spans="1:10" hidden="1" x14ac:dyDescent="0.25">
      <c r="A931" s="4" t="s">
        <v>347</v>
      </c>
      <c r="B931" s="1">
        <v>0.24433299999999999</v>
      </c>
      <c r="C931" s="1">
        <v>0.24707699999999999</v>
      </c>
      <c r="D931" s="1">
        <f t="shared" si="98"/>
        <v>2.7439999999999964E-3</v>
      </c>
      <c r="E931">
        <f t="shared" si="99"/>
        <v>3</v>
      </c>
      <c r="F931">
        <f t="shared" si="100"/>
        <v>57</v>
      </c>
      <c r="G931">
        <f t="shared" si="101"/>
        <v>3.95</v>
      </c>
      <c r="H931">
        <f t="shared" si="102"/>
        <v>237</v>
      </c>
      <c r="I931" s="3">
        <f t="shared" si="103"/>
        <v>75.949367088607588</v>
      </c>
      <c r="J931" t="str">
        <f t="shared" si="104"/>
        <v>F</v>
      </c>
    </row>
    <row r="932" spans="1:10" hidden="1" x14ac:dyDescent="0.25">
      <c r="A932" s="4" t="s">
        <v>348</v>
      </c>
      <c r="B932" s="1">
        <v>1.4217E-2</v>
      </c>
      <c r="C932" s="1">
        <v>1.1981E-2</v>
      </c>
      <c r="D932" s="1">
        <f t="shared" si="98"/>
        <v>2.2360000000000001E-3</v>
      </c>
      <c r="E932">
        <f t="shared" si="99"/>
        <v>3</v>
      </c>
      <c r="F932">
        <f t="shared" si="100"/>
        <v>13</v>
      </c>
      <c r="G932">
        <f t="shared" si="101"/>
        <v>3.22</v>
      </c>
      <c r="H932">
        <f t="shared" si="102"/>
        <v>193</v>
      </c>
      <c r="I932" s="3">
        <f t="shared" si="103"/>
        <v>93.264248704663203</v>
      </c>
      <c r="J932" t="str">
        <f t="shared" si="104"/>
        <v>F</v>
      </c>
    </row>
    <row r="933" spans="1:10" hidden="1" x14ac:dyDescent="0.25">
      <c r="A933" s="4" t="s">
        <v>349</v>
      </c>
      <c r="B933" s="1">
        <v>0.62740099999999999</v>
      </c>
      <c r="C933" s="1">
        <v>0.62578100000000003</v>
      </c>
      <c r="D933" s="1">
        <f t="shared" si="98"/>
        <v>1.6199999999999548E-3</v>
      </c>
      <c r="E933">
        <f t="shared" si="99"/>
        <v>2</v>
      </c>
      <c r="F933">
        <f t="shared" si="100"/>
        <v>20</v>
      </c>
      <c r="G933">
        <f t="shared" si="101"/>
        <v>2.33</v>
      </c>
      <c r="H933">
        <f t="shared" si="102"/>
        <v>140</v>
      </c>
      <c r="I933" s="3">
        <f t="shared" si="103"/>
        <v>128.57142857142858</v>
      </c>
      <c r="J933" t="str">
        <f t="shared" si="104"/>
        <v>F</v>
      </c>
    </row>
    <row r="934" spans="1:10" hidden="1" x14ac:dyDescent="0.25">
      <c r="A934" s="4" t="s">
        <v>350</v>
      </c>
      <c r="B934" s="1">
        <v>0.93858200000000003</v>
      </c>
      <c r="C934" s="1">
        <v>0.94195799999999996</v>
      </c>
      <c r="D934" s="1">
        <f t="shared" si="98"/>
        <v>3.3759999999999346E-3</v>
      </c>
      <c r="E934">
        <f t="shared" si="99"/>
        <v>4</v>
      </c>
      <c r="F934">
        <f t="shared" si="100"/>
        <v>52</v>
      </c>
      <c r="G934">
        <f t="shared" si="101"/>
        <v>4.87</v>
      </c>
      <c r="H934">
        <f t="shared" si="102"/>
        <v>292</v>
      </c>
      <c r="I934" s="3">
        <f t="shared" si="103"/>
        <v>61.643835616438352</v>
      </c>
      <c r="J934" t="str">
        <f t="shared" si="104"/>
        <v>F</v>
      </c>
    </row>
    <row r="935" spans="1:10" hidden="1" x14ac:dyDescent="0.25">
      <c r="A935" s="4" t="s">
        <v>351</v>
      </c>
      <c r="B935" s="1">
        <v>0.69694299999999998</v>
      </c>
      <c r="C935" s="1">
        <v>0.698627</v>
      </c>
      <c r="D935" s="1">
        <f t="shared" si="98"/>
        <v>1.6840000000000188E-3</v>
      </c>
      <c r="E935">
        <f t="shared" si="99"/>
        <v>2</v>
      </c>
      <c r="F935">
        <f t="shared" si="100"/>
        <v>25</v>
      </c>
      <c r="G935">
        <f t="shared" si="101"/>
        <v>2.42</v>
      </c>
      <c r="H935">
        <f t="shared" si="102"/>
        <v>145</v>
      </c>
      <c r="I935" s="3">
        <f t="shared" si="103"/>
        <v>124.13793103448276</v>
      </c>
      <c r="J935" t="str">
        <f t="shared" si="104"/>
        <v>F</v>
      </c>
    </row>
    <row r="936" spans="1:10" hidden="1" x14ac:dyDescent="0.25">
      <c r="A936" s="4" t="s">
        <v>352</v>
      </c>
      <c r="B936" s="1">
        <v>0.13768</v>
      </c>
      <c r="C936" s="1">
        <v>0.134328</v>
      </c>
      <c r="D936" s="1">
        <f t="shared" si="98"/>
        <v>3.3519999999999939E-3</v>
      </c>
      <c r="E936">
        <f t="shared" si="99"/>
        <v>4</v>
      </c>
      <c r="F936">
        <f t="shared" si="100"/>
        <v>50</v>
      </c>
      <c r="G936">
        <f t="shared" si="101"/>
        <v>4.83</v>
      </c>
      <c r="H936">
        <f t="shared" si="102"/>
        <v>290</v>
      </c>
      <c r="I936" s="3">
        <f t="shared" si="103"/>
        <v>62.068965517241381</v>
      </c>
      <c r="J936" t="str">
        <f t="shared" si="104"/>
        <v>F</v>
      </c>
    </row>
    <row r="937" spans="1:10" hidden="1" x14ac:dyDescent="0.25">
      <c r="A937" s="4" t="s">
        <v>353</v>
      </c>
      <c r="B937" s="1">
        <v>0.74910699999999997</v>
      </c>
      <c r="C937" s="1">
        <v>0.753027</v>
      </c>
      <c r="D937" s="1">
        <f t="shared" si="98"/>
        <v>3.9200000000000346E-3</v>
      </c>
      <c r="E937">
        <f t="shared" si="99"/>
        <v>5</v>
      </c>
      <c r="F937">
        <f t="shared" si="100"/>
        <v>39</v>
      </c>
      <c r="G937">
        <f t="shared" si="101"/>
        <v>5.65</v>
      </c>
      <c r="H937">
        <f t="shared" si="102"/>
        <v>339</v>
      </c>
      <c r="I937" s="3">
        <f t="shared" si="103"/>
        <v>53.097345132743364</v>
      </c>
      <c r="J937" t="str">
        <f t="shared" si="104"/>
        <v>F</v>
      </c>
    </row>
    <row r="938" spans="1:10" hidden="1" x14ac:dyDescent="0.25">
      <c r="A938" s="4" t="s">
        <v>354</v>
      </c>
      <c r="B938" s="1">
        <v>0.58568299999999995</v>
      </c>
      <c r="C938" s="1">
        <v>0.58726699999999998</v>
      </c>
      <c r="D938" s="1">
        <f t="shared" si="98"/>
        <v>1.5840000000000298E-3</v>
      </c>
      <c r="E938">
        <f t="shared" si="99"/>
        <v>2</v>
      </c>
      <c r="F938">
        <f t="shared" si="100"/>
        <v>17</v>
      </c>
      <c r="G938">
        <f t="shared" si="101"/>
        <v>2.2799999999999998</v>
      </c>
      <c r="H938">
        <f t="shared" si="102"/>
        <v>137</v>
      </c>
      <c r="I938" s="3">
        <f t="shared" si="103"/>
        <v>131.38686131386862</v>
      </c>
      <c r="J938" t="str">
        <f t="shared" si="104"/>
        <v>F</v>
      </c>
    </row>
    <row r="939" spans="1:10" hidden="1" x14ac:dyDescent="0.25">
      <c r="A939" s="4" t="s">
        <v>355</v>
      </c>
      <c r="B939" s="1">
        <v>0.59084800000000004</v>
      </c>
      <c r="C939" s="1">
        <v>0.59326400000000001</v>
      </c>
      <c r="D939" s="1">
        <f t="shared" si="98"/>
        <v>2.4159999999999737E-3</v>
      </c>
      <c r="E939">
        <f t="shared" si="99"/>
        <v>3</v>
      </c>
      <c r="F939">
        <f t="shared" si="100"/>
        <v>29</v>
      </c>
      <c r="G939">
        <f t="shared" si="101"/>
        <v>3.48</v>
      </c>
      <c r="H939">
        <f t="shared" si="102"/>
        <v>209</v>
      </c>
      <c r="I939" s="3">
        <f t="shared" si="103"/>
        <v>86.124401913875602</v>
      </c>
      <c r="J939" t="str">
        <f t="shared" si="104"/>
        <v>F</v>
      </c>
    </row>
    <row r="940" spans="1:10" hidden="1" x14ac:dyDescent="0.25">
      <c r="A940" s="4" t="s">
        <v>356</v>
      </c>
      <c r="B940" s="1">
        <v>0.14568999999999999</v>
      </c>
      <c r="C940" s="1">
        <v>0.14307400000000001</v>
      </c>
      <c r="D940" s="1">
        <f t="shared" si="98"/>
        <v>2.6159999999999795E-3</v>
      </c>
      <c r="E940">
        <f t="shared" si="99"/>
        <v>3</v>
      </c>
      <c r="F940">
        <f t="shared" si="100"/>
        <v>46</v>
      </c>
      <c r="G940">
        <f t="shared" si="101"/>
        <v>3.77</v>
      </c>
      <c r="H940">
        <f t="shared" si="102"/>
        <v>226</v>
      </c>
      <c r="I940" s="3">
        <f t="shared" si="103"/>
        <v>79.646017699115049</v>
      </c>
      <c r="J940" t="str">
        <f t="shared" si="104"/>
        <v>F</v>
      </c>
    </row>
    <row r="941" spans="1:10" hidden="1" x14ac:dyDescent="0.25">
      <c r="A941" s="4" t="s">
        <v>357</v>
      </c>
      <c r="B941" s="1">
        <v>0.63840600000000003</v>
      </c>
      <c r="C941" s="1">
        <v>0.64005400000000001</v>
      </c>
      <c r="D941" s="1">
        <f t="shared" si="98"/>
        <v>1.6479999999999828E-3</v>
      </c>
      <c r="E941">
        <f t="shared" si="99"/>
        <v>2</v>
      </c>
      <c r="F941">
        <f t="shared" si="100"/>
        <v>22</v>
      </c>
      <c r="G941">
        <f t="shared" si="101"/>
        <v>2.37</v>
      </c>
      <c r="H941">
        <f t="shared" si="102"/>
        <v>142</v>
      </c>
      <c r="I941" s="3">
        <f t="shared" si="103"/>
        <v>126.7605633802817</v>
      </c>
      <c r="J941" t="str">
        <f t="shared" si="104"/>
        <v>F</v>
      </c>
    </row>
    <row r="942" spans="1:10" hidden="1" x14ac:dyDescent="0.25">
      <c r="A942" s="4" t="s">
        <v>358</v>
      </c>
      <c r="B942" s="1">
        <v>0.76871599999999995</v>
      </c>
      <c r="C942" s="1">
        <v>0.77248799999999995</v>
      </c>
      <c r="D942" s="1">
        <f t="shared" si="98"/>
        <v>3.7719999999999976E-3</v>
      </c>
      <c r="E942">
        <f t="shared" si="99"/>
        <v>5</v>
      </c>
      <c r="F942">
        <f t="shared" si="100"/>
        <v>26</v>
      </c>
      <c r="G942">
        <f t="shared" si="101"/>
        <v>5.43</v>
      </c>
      <c r="H942">
        <f t="shared" si="102"/>
        <v>326</v>
      </c>
      <c r="I942" s="3">
        <f t="shared" si="103"/>
        <v>55.214723926380373</v>
      </c>
      <c r="J942" t="str">
        <f t="shared" si="104"/>
        <v>F</v>
      </c>
    </row>
    <row r="943" spans="1:10" hidden="1" x14ac:dyDescent="0.25">
      <c r="A943" s="4" t="s">
        <v>359</v>
      </c>
      <c r="B943" s="1">
        <v>0.81716200000000005</v>
      </c>
      <c r="C943" s="1">
        <v>0.81427000000000005</v>
      </c>
      <c r="D943" s="1">
        <f t="shared" si="98"/>
        <v>2.8920000000000057E-3</v>
      </c>
      <c r="E943">
        <f t="shared" si="99"/>
        <v>4</v>
      </c>
      <c r="F943">
        <f t="shared" si="100"/>
        <v>10</v>
      </c>
      <c r="G943">
        <f t="shared" si="101"/>
        <v>4.17</v>
      </c>
      <c r="H943">
        <f t="shared" si="102"/>
        <v>250</v>
      </c>
      <c r="I943" s="3">
        <f t="shared" si="103"/>
        <v>72</v>
      </c>
      <c r="J943" t="str">
        <f t="shared" si="104"/>
        <v>F</v>
      </c>
    </row>
    <row r="944" spans="1:10" hidden="1" x14ac:dyDescent="0.25">
      <c r="A944" s="4" t="s">
        <v>360</v>
      </c>
      <c r="B944" s="1">
        <v>0.85678500000000002</v>
      </c>
      <c r="C944" s="1">
        <v>0.85369300000000004</v>
      </c>
      <c r="D944" s="1">
        <f t="shared" si="98"/>
        <v>3.0919999999999837E-3</v>
      </c>
      <c r="E944">
        <f t="shared" si="99"/>
        <v>4</v>
      </c>
      <c r="F944">
        <f t="shared" si="100"/>
        <v>27</v>
      </c>
      <c r="G944">
        <f t="shared" si="101"/>
        <v>4.45</v>
      </c>
      <c r="H944">
        <f t="shared" si="102"/>
        <v>267</v>
      </c>
      <c r="I944" s="3">
        <f t="shared" si="103"/>
        <v>67.415730337078642</v>
      </c>
      <c r="J944" t="str">
        <f t="shared" si="104"/>
        <v>F</v>
      </c>
    </row>
    <row r="945" spans="1:10" hidden="1" x14ac:dyDescent="0.25">
      <c r="A945" s="4" t="s">
        <v>361</v>
      </c>
      <c r="B945" s="1">
        <v>0.45169599999999999</v>
      </c>
      <c r="C945" s="1">
        <v>0.45416800000000002</v>
      </c>
      <c r="D945" s="1">
        <f t="shared" si="98"/>
        <v>2.4720000000000297E-3</v>
      </c>
      <c r="E945">
        <f t="shared" si="99"/>
        <v>3</v>
      </c>
      <c r="F945">
        <f t="shared" si="100"/>
        <v>34</v>
      </c>
      <c r="G945">
        <f t="shared" si="101"/>
        <v>3.57</v>
      </c>
      <c r="H945">
        <f t="shared" si="102"/>
        <v>214</v>
      </c>
      <c r="I945" s="3">
        <f t="shared" si="103"/>
        <v>84.112149532710276</v>
      </c>
      <c r="J945" t="str">
        <f t="shared" si="104"/>
        <v>F</v>
      </c>
    </row>
    <row r="946" spans="1:10" hidden="1" x14ac:dyDescent="0.25">
      <c r="A946" s="4" t="s">
        <v>362</v>
      </c>
      <c r="B946" s="1">
        <v>0.61457899999999999</v>
      </c>
      <c r="C946" s="1">
        <v>0.61297100000000004</v>
      </c>
      <c r="D946" s="1">
        <f t="shared" si="98"/>
        <v>1.6079999999999428E-3</v>
      </c>
      <c r="E946">
        <f t="shared" si="99"/>
        <v>2</v>
      </c>
      <c r="F946">
        <f t="shared" si="100"/>
        <v>19</v>
      </c>
      <c r="G946">
        <f t="shared" si="101"/>
        <v>2.3199999999999998</v>
      </c>
      <c r="H946">
        <f t="shared" si="102"/>
        <v>139</v>
      </c>
      <c r="I946" s="3">
        <f t="shared" si="103"/>
        <v>129.49640287769785</v>
      </c>
      <c r="J946" t="str">
        <f t="shared" si="104"/>
        <v>F</v>
      </c>
    </row>
    <row r="947" spans="1:10" hidden="1" x14ac:dyDescent="0.25">
      <c r="A947" s="4" t="s">
        <v>363</v>
      </c>
      <c r="B947" s="1">
        <v>0.58136100000000002</v>
      </c>
      <c r="C947" s="1">
        <v>0.57852499999999996</v>
      </c>
      <c r="D947" s="1">
        <f t="shared" si="98"/>
        <v>2.8360000000000607E-3</v>
      </c>
      <c r="E947">
        <f t="shared" si="99"/>
        <v>4</v>
      </c>
      <c r="F947">
        <f t="shared" si="100"/>
        <v>5</v>
      </c>
      <c r="G947">
        <f t="shared" si="101"/>
        <v>4.08</v>
      </c>
      <c r="H947">
        <f t="shared" si="102"/>
        <v>245</v>
      </c>
      <c r="I947" s="3">
        <f t="shared" si="103"/>
        <v>73.469387755102048</v>
      </c>
      <c r="J947" t="str">
        <f t="shared" si="104"/>
        <v>F</v>
      </c>
    </row>
    <row r="948" spans="1:10" hidden="1" x14ac:dyDescent="0.25">
      <c r="A948" s="4" t="s">
        <v>364</v>
      </c>
      <c r="B948" s="1">
        <v>0.96552199999999999</v>
      </c>
      <c r="C948" s="1">
        <v>0.96191400000000005</v>
      </c>
      <c r="D948" s="1">
        <f t="shared" si="98"/>
        <v>3.6079999999999446E-3</v>
      </c>
      <c r="E948">
        <f t="shared" si="99"/>
        <v>5</v>
      </c>
      <c r="F948">
        <f t="shared" si="100"/>
        <v>12</v>
      </c>
      <c r="G948">
        <f t="shared" si="101"/>
        <v>5.2</v>
      </c>
      <c r="H948">
        <f t="shared" si="102"/>
        <v>312</v>
      </c>
      <c r="I948" s="3">
        <f t="shared" si="103"/>
        <v>57.692307692307693</v>
      </c>
      <c r="J948" t="str">
        <f t="shared" si="104"/>
        <v>F</v>
      </c>
    </row>
    <row r="949" spans="1:10" hidden="1" x14ac:dyDescent="0.25">
      <c r="A949" s="4" t="s">
        <v>365</v>
      </c>
      <c r="B949" s="1">
        <v>0.429481</v>
      </c>
      <c r="C949" s="1">
        <v>0.426261</v>
      </c>
      <c r="D949" s="1">
        <f t="shared" si="98"/>
        <v>3.2200000000000006E-3</v>
      </c>
      <c r="E949">
        <f t="shared" si="99"/>
        <v>4</v>
      </c>
      <c r="F949">
        <f t="shared" si="100"/>
        <v>38</v>
      </c>
      <c r="G949">
        <f t="shared" si="101"/>
        <v>4.63</v>
      </c>
      <c r="H949">
        <f t="shared" si="102"/>
        <v>278</v>
      </c>
      <c r="I949" s="3">
        <f t="shared" si="103"/>
        <v>64.748201438848923</v>
      </c>
      <c r="J949" t="str">
        <f t="shared" si="104"/>
        <v>F</v>
      </c>
    </row>
    <row r="950" spans="1:10" hidden="1" x14ac:dyDescent="0.25">
      <c r="A950" s="4" t="s">
        <v>366</v>
      </c>
      <c r="B950" s="1">
        <v>0.64231899999999997</v>
      </c>
      <c r="C950" s="1">
        <v>0.64493900000000004</v>
      </c>
      <c r="D950" s="1">
        <f t="shared" si="98"/>
        <v>2.6200000000000667E-3</v>
      </c>
      <c r="E950">
        <f t="shared" si="99"/>
        <v>3</v>
      </c>
      <c r="F950">
        <f t="shared" si="100"/>
        <v>46</v>
      </c>
      <c r="G950">
        <f t="shared" si="101"/>
        <v>3.77</v>
      </c>
      <c r="H950">
        <f t="shared" si="102"/>
        <v>226</v>
      </c>
      <c r="I950" s="3">
        <f t="shared" si="103"/>
        <v>79.646017699115049</v>
      </c>
      <c r="J950" t="str">
        <f t="shared" si="104"/>
        <v>F</v>
      </c>
    </row>
    <row r="951" spans="1:10" hidden="1" x14ac:dyDescent="0.25">
      <c r="A951" s="4" t="s">
        <v>367</v>
      </c>
      <c r="B951" s="1">
        <v>0.64812400000000003</v>
      </c>
      <c r="C951" s="1">
        <v>0.64603600000000005</v>
      </c>
      <c r="D951" s="1">
        <f t="shared" si="98"/>
        <v>2.0879999999999788E-3</v>
      </c>
      <c r="E951">
        <f t="shared" si="99"/>
        <v>3</v>
      </c>
      <c r="F951">
        <f t="shared" si="100"/>
        <v>0</v>
      </c>
      <c r="G951">
        <f t="shared" si="101"/>
        <v>3</v>
      </c>
      <c r="H951">
        <f t="shared" si="102"/>
        <v>180</v>
      </c>
      <c r="I951" s="3">
        <f t="shared" si="103"/>
        <v>100</v>
      </c>
      <c r="J951" t="str">
        <f t="shared" si="104"/>
        <v>F</v>
      </c>
    </row>
    <row r="952" spans="1:10" hidden="1" x14ac:dyDescent="0.25">
      <c r="A952" s="4" t="s">
        <v>368</v>
      </c>
      <c r="B952" s="1">
        <v>3.1189999999999999E-2</v>
      </c>
      <c r="C952" s="1">
        <v>2.8662E-2</v>
      </c>
      <c r="D952" s="1">
        <f t="shared" si="98"/>
        <v>2.527999999999999E-3</v>
      </c>
      <c r="E952">
        <f t="shared" si="99"/>
        <v>3</v>
      </c>
      <c r="F952">
        <f t="shared" si="100"/>
        <v>38</v>
      </c>
      <c r="G952">
        <f t="shared" si="101"/>
        <v>3.63</v>
      </c>
      <c r="H952">
        <f t="shared" si="102"/>
        <v>218</v>
      </c>
      <c r="I952" s="3">
        <f t="shared" si="103"/>
        <v>82.568807339449535</v>
      </c>
      <c r="J952" t="str">
        <f t="shared" si="104"/>
        <v>F</v>
      </c>
    </row>
    <row r="953" spans="1:10" hidden="1" x14ac:dyDescent="0.25">
      <c r="A953" s="4" t="s">
        <v>369</v>
      </c>
      <c r="B953" s="1">
        <v>0.78395599999999999</v>
      </c>
      <c r="C953" s="1">
        <v>0.78256400000000004</v>
      </c>
      <c r="D953" s="1">
        <f t="shared" si="98"/>
        <v>1.3919999999999488E-3</v>
      </c>
      <c r="E953">
        <f t="shared" si="99"/>
        <v>2</v>
      </c>
      <c r="F953">
        <f t="shared" si="100"/>
        <v>0</v>
      </c>
      <c r="G953">
        <f t="shared" si="101"/>
        <v>2</v>
      </c>
      <c r="H953">
        <f t="shared" si="102"/>
        <v>120</v>
      </c>
      <c r="I953" s="3">
        <f t="shared" si="103"/>
        <v>150</v>
      </c>
      <c r="J953" t="str">
        <f t="shared" si="104"/>
        <v>F</v>
      </c>
    </row>
    <row r="954" spans="1:10" hidden="1" x14ac:dyDescent="0.25">
      <c r="A954" s="4" t="s">
        <v>370</v>
      </c>
      <c r="B954" s="1">
        <v>0.77186999999999995</v>
      </c>
      <c r="C954" s="1">
        <v>0.76852600000000004</v>
      </c>
      <c r="D954" s="1">
        <f t="shared" si="98"/>
        <v>3.3439999999999026E-3</v>
      </c>
      <c r="E954">
        <f t="shared" si="99"/>
        <v>4</v>
      </c>
      <c r="F954">
        <f t="shared" si="100"/>
        <v>49</v>
      </c>
      <c r="G954">
        <f t="shared" si="101"/>
        <v>4.82</v>
      </c>
      <c r="H954">
        <f t="shared" si="102"/>
        <v>289</v>
      </c>
      <c r="I954" s="3">
        <f t="shared" si="103"/>
        <v>62.283737024221459</v>
      </c>
      <c r="J954" t="str">
        <f t="shared" si="104"/>
        <v>F</v>
      </c>
    </row>
    <row r="955" spans="1:10" hidden="1" x14ac:dyDescent="0.25">
      <c r="A955" s="4" t="s">
        <v>371</v>
      </c>
      <c r="B955" s="1">
        <v>0.99620900000000001</v>
      </c>
      <c r="C955" s="1">
        <v>0.99318499999999998</v>
      </c>
      <c r="D955" s="1">
        <f t="shared" si="98"/>
        <v>3.0240000000000267E-3</v>
      </c>
      <c r="E955">
        <f t="shared" si="99"/>
        <v>4</v>
      </c>
      <c r="F955">
        <f t="shared" si="100"/>
        <v>21</v>
      </c>
      <c r="G955">
        <f t="shared" si="101"/>
        <v>4.3499999999999996</v>
      </c>
      <c r="H955">
        <f t="shared" si="102"/>
        <v>261</v>
      </c>
      <c r="I955" s="3">
        <f t="shared" si="103"/>
        <v>68.965517241379303</v>
      </c>
      <c r="J955" t="str">
        <f t="shared" si="104"/>
        <v>F</v>
      </c>
    </row>
    <row r="956" spans="1:10" hidden="1" x14ac:dyDescent="0.25">
      <c r="A956" s="4" t="s">
        <v>372</v>
      </c>
      <c r="B956" s="1">
        <v>0.26910400000000001</v>
      </c>
      <c r="C956" s="1">
        <v>0.27073199999999997</v>
      </c>
      <c r="D956" s="1">
        <f t="shared" si="98"/>
        <v>1.6279999999999628E-3</v>
      </c>
      <c r="E956">
        <f t="shared" si="99"/>
        <v>2</v>
      </c>
      <c r="F956">
        <f t="shared" si="100"/>
        <v>21</v>
      </c>
      <c r="G956">
        <f t="shared" si="101"/>
        <v>2.35</v>
      </c>
      <c r="H956">
        <f t="shared" si="102"/>
        <v>141</v>
      </c>
      <c r="I956" s="3">
        <f t="shared" si="103"/>
        <v>127.65957446808511</v>
      </c>
      <c r="J956" t="str">
        <f t="shared" si="104"/>
        <v>F</v>
      </c>
    </row>
    <row r="957" spans="1:10" hidden="1" x14ac:dyDescent="0.25">
      <c r="A957" s="4" t="s">
        <v>373</v>
      </c>
      <c r="B957" s="1">
        <v>0.79386299999999999</v>
      </c>
      <c r="C957" s="1">
        <v>0.797763</v>
      </c>
      <c r="D957" s="1">
        <f t="shared" si="98"/>
        <v>3.9000000000000146E-3</v>
      </c>
      <c r="E957">
        <f t="shared" si="99"/>
        <v>5</v>
      </c>
      <c r="F957">
        <f t="shared" si="100"/>
        <v>37</v>
      </c>
      <c r="G957">
        <f t="shared" si="101"/>
        <v>5.62</v>
      </c>
      <c r="H957">
        <f t="shared" si="102"/>
        <v>337</v>
      </c>
      <c r="I957" s="3">
        <f t="shared" si="103"/>
        <v>53.412462908011868</v>
      </c>
      <c r="J957" t="str">
        <f t="shared" si="104"/>
        <v>F</v>
      </c>
    </row>
    <row r="958" spans="1:10" hidden="1" x14ac:dyDescent="0.25">
      <c r="A958" s="4" t="s">
        <v>374</v>
      </c>
      <c r="B958" s="1">
        <v>0.92735400000000001</v>
      </c>
      <c r="C958" s="1">
        <v>0.93079400000000001</v>
      </c>
      <c r="D958" s="1">
        <f t="shared" si="98"/>
        <v>3.4399999999999986E-3</v>
      </c>
      <c r="E958">
        <f t="shared" si="99"/>
        <v>4</v>
      </c>
      <c r="F958">
        <f t="shared" si="100"/>
        <v>57</v>
      </c>
      <c r="G958">
        <f t="shared" si="101"/>
        <v>4.95</v>
      </c>
      <c r="H958">
        <f t="shared" si="102"/>
        <v>297</v>
      </c>
      <c r="I958" s="3">
        <f t="shared" si="103"/>
        <v>60.606060606060609</v>
      </c>
      <c r="J958" t="str">
        <f t="shared" si="104"/>
        <v>F</v>
      </c>
    </row>
    <row r="959" spans="1:10" hidden="1" x14ac:dyDescent="0.25">
      <c r="A959" s="4" t="s">
        <v>375</v>
      </c>
      <c r="B959" s="1">
        <v>0.41383199999999998</v>
      </c>
      <c r="C959" s="1">
        <v>0.41626000000000002</v>
      </c>
      <c r="D959" s="1">
        <f t="shared" si="98"/>
        <v>2.4280000000000412E-3</v>
      </c>
      <c r="E959">
        <f t="shared" si="99"/>
        <v>3</v>
      </c>
      <c r="F959">
        <f t="shared" si="100"/>
        <v>30</v>
      </c>
      <c r="G959">
        <f t="shared" si="101"/>
        <v>3.5</v>
      </c>
      <c r="H959">
        <f t="shared" si="102"/>
        <v>210</v>
      </c>
      <c r="I959" s="3">
        <f t="shared" si="103"/>
        <v>85.714285714285708</v>
      </c>
      <c r="J959" t="str">
        <f t="shared" si="104"/>
        <v>F</v>
      </c>
    </row>
    <row r="960" spans="1:10" hidden="1" x14ac:dyDescent="0.25">
      <c r="A960" s="4" t="s">
        <v>376</v>
      </c>
      <c r="B960" s="1">
        <v>0.74587599999999998</v>
      </c>
      <c r="C960" s="1">
        <v>0.74849200000000005</v>
      </c>
      <c r="D960" s="1">
        <f t="shared" si="98"/>
        <v>2.6160000000000627E-3</v>
      </c>
      <c r="E960">
        <f t="shared" si="99"/>
        <v>3</v>
      </c>
      <c r="F960">
        <f t="shared" si="100"/>
        <v>46</v>
      </c>
      <c r="G960">
        <f t="shared" si="101"/>
        <v>3.77</v>
      </c>
      <c r="H960">
        <f t="shared" si="102"/>
        <v>226</v>
      </c>
      <c r="I960" s="3">
        <f t="shared" si="103"/>
        <v>79.646017699115049</v>
      </c>
      <c r="J960" t="str">
        <f t="shared" si="104"/>
        <v>F</v>
      </c>
    </row>
    <row r="961" spans="1:10" hidden="1" x14ac:dyDescent="0.25">
      <c r="A961" s="4" t="s">
        <v>377</v>
      </c>
      <c r="B961" s="1">
        <v>0.65303999999999995</v>
      </c>
      <c r="C961" s="1">
        <v>0.64914400000000005</v>
      </c>
      <c r="D961" s="1">
        <f t="shared" si="98"/>
        <v>3.8959999999998995E-3</v>
      </c>
      <c r="E961">
        <f t="shared" si="99"/>
        <v>5</v>
      </c>
      <c r="F961">
        <f t="shared" si="100"/>
        <v>37</v>
      </c>
      <c r="G961">
        <f t="shared" si="101"/>
        <v>5.62</v>
      </c>
      <c r="H961">
        <f t="shared" si="102"/>
        <v>337</v>
      </c>
      <c r="I961" s="3">
        <f t="shared" si="103"/>
        <v>53.412462908011868</v>
      </c>
      <c r="J961" t="str">
        <f t="shared" si="104"/>
        <v>F</v>
      </c>
    </row>
    <row r="962" spans="1:10" hidden="1" x14ac:dyDescent="0.25">
      <c r="A962" s="4" t="s">
        <v>378</v>
      </c>
      <c r="B962" s="1">
        <v>0.62776399999999999</v>
      </c>
      <c r="C962" s="1">
        <v>0.62426800000000005</v>
      </c>
      <c r="D962" s="1">
        <f t="shared" si="98"/>
        <v>3.4959999999999436E-3</v>
      </c>
      <c r="E962">
        <f t="shared" si="99"/>
        <v>5</v>
      </c>
      <c r="F962">
        <f t="shared" si="100"/>
        <v>2</v>
      </c>
      <c r="G962">
        <f t="shared" si="101"/>
        <v>5.03</v>
      </c>
      <c r="H962">
        <f t="shared" si="102"/>
        <v>302</v>
      </c>
      <c r="I962" s="3">
        <f t="shared" si="103"/>
        <v>59.602649006622521</v>
      </c>
      <c r="J962" t="str">
        <f t="shared" si="104"/>
        <v>F</v>
      </c>
    </row>
    <row r="963" spans="1:10" hidden="1" x14ac:dyDescent="0.25">
      <c r="A963" s="4" t="s">
        <v>379</v>
      </c>
      <c r="B963" s="1">
        <v>0.880853</v>
      </c>
      <c r="C963" s="1">
        <v>0.88298100000000002</v>
      </c>
      <c r="D963" s="1">
        <f t="shared" ref="D963:D1001" si="105">IF(B963&gt;C963,B963-C963,C963-B963)</f>
        <v>2.1280000000000188E-3</v>
      </c>
      <c r="E963">
        <f t="shared" ref="E963:E1001" si="106">MINUTE(D963)</f>
        <v>3</v>
      </c>
      <c r="F963">
        <f t="shared" ref="F963:F1001" si="107">SECOND(D963)</f>
        <v>4</v>
      </c>
      <c r="G963">
        <f t="shared" ref="G963:G1001" si="108">ROUND(E963+F963/60,2)</f>
        <v>3.07</v>
      </c>
      <c r="H963">
        <f t="shared" ref="H963:H1001" si="109">60*E963+F963</f>
        <v>184</v>
      </c>
      <c r="I963" s="3">
        <f t="shared" ref="I963:I1001" si="110">5*(3600/H963)</f>
        <v>97.826086956521735</v>
      </c>
      <c r="J963" t="str">
        <f t="shared" ref="J963:J1001" si="111">IF(MID(A963,3,2)="18","T","F")</f>
        <v>F</v>
      </c>
    </row>
    <row r="964" spans="1:10" hidden="1" x14ac:dyDescent="0.25">
      <c r="A964" s="4" t="s">
        <v>380</v>
      </c>
      <c r="B964" s="1">
        <v>0.64335699999999996</v>
      </c>
      <c r="C964" s="1">
        <v>0.63941700000000001</v>
      </c>
      <c r="D964" s="1">
        <f t="shared" si="105"/>
        <v>3.9399999999999435E-3</v>
      </c>
      <c r="E964">
        <f t="shared" si="106"/>
        <v>5</v>
      </c>
      <c r="F964">
        <f t="shared" si="107"/>
        <v>40</v>
      </c>
      <c r="G964">
        <f t="shared" si="108"/>
        <v>5.67</v>
      </c>
      <c r="H964">
        <f t="shared" si="109"/>
        <v>340</v>
      </c>
      <c r="I964" s="3">
        <f t="shared" si="110"/>
        <v>52.941176470588232</v>
      </c>
      <c r="J964" t="str">
        <f t="shared" si="111"/>
        <v>F</v>
      </c>
    </row>
    <row r="965" spans="1:10" hidden="1" x14ac:dyDescent="0.25">
      <c r="A965" s="4" t="s">
        <v>381</v>
      </c>
      <c r="B965" s="1">
        <v>0.89447600000000005</v>
      </c>
      <c r="C965" s="1">
        <v>0.89619199999999999</v>
      </c>
      <c r="D965" s="1">
        <f t="shared" si="105"/>
        <v>1.7159999999999398E-3</v>
      </c>
      <c r="E965">
        <f t="shared" si="106"/>
        <v>2</v>
      </c>
      <c r="F965">
        <f t="shared" si="107"/>
        <v>28</v>
      </c>
      <c r="G965">
        <f t="shared" si="108"/>
        <v>2.4700000000000002</v>
      </c>
      <c r="H965">
        <f t="shared" si="109"/>
        <v>148</v>
      </c>
      <c r="I965" s="3">
        <f t="shared" si="110"/>
        <v>121.62162162162161</v>
      </c>
      <c r="J965" t="str">
        <f t="shared" si="111"/>
        <v>F</v>
      </c>
    </row>
    <row r="966" spans="1:10" hidden="1" x14ac:dyDescent="0.25">
      <c r="A966" s="4" t="s">
        <v>382</v>
      </c>
      <c r="B966" s="1">
        <v>0.59115099999999998</v>
      </c>
      <c r="C966" s="1">
        <v>0.58769899999999997</v>
      </c>
      <c r="D966" s="1">
        <f t="shared" si="105"/>
        <v>3.4520000000000106E-3</v>
      </c>
      <c r="E966">
        <f t="shared" si="106"/>
        <v>4</v>
      </c>
      <c r="F966">
        <f t="shared" si="107"/>
        <v>58</v>
      </c>
      <c r="G966">
        <f t="shared" si="108"/>
        <v>4.97</v>
      </c>
      <c r="H966">
        <f t="shared" si="109"/>
        <v>298</v>
      </c>
      <c r="I966" s="3">
        <f t="shared" si="110"/>
        <v>60.402684563758385</v>
      </c>
      <c r="J966" t="str">
        <f t="shared" si="111"/>
        <v>F</v>
      </c>
    </row>
    <row r="967" spans="1:10" hidden="1" x14ac:dyDescent="0.25">
      <c r="A967" s="4" t="s">
        <v>383</v>
      </c>
      <c r="B967" s="1">
        <v>5.2143000000000002E-2</v>
      </c>
      <c r="C967" s="1">
        <v>5.0654999999999999E-2</v>
      </c>
      <c r="D967" s="1">
        <f t="shared" si="105"/>
        <v>1.4880000000000032E-3</v>
      </c>
      <c r="E967">
        <f t="shared" si="106"/>
        <v>2</v>
      </c>
      <c r="F967">
        <f t="shared" si="107"/>
        <v>9</v>
      </c>
      <c r="G967">
        <f t="shared" si="108"/>
        <v>2.15</v>
      </c>
      <c r="H967">
        <f t="shared" si="109"/>
        <v>129</v>
      </c>
      <c r="I967" s="3">
        <f t="shared" si="110"/>
        <v>139.53488372093022</v>
      </c>
      <c r="J967" t="str">
        <f t="shared" si="111"/>
        <v>F</v>
      </c>
    </row>
    <row r="968" spans="1:10" hidden="1" x14ac:dyDescent="0.25">
      <c r="A968" s="4" t="s">
        <v>384</v>
      </c>
      <c r="B968" s="1">
        <v>0.78184600000000004</v>
      </c>
      <c r="C968" s="1">
        <v>0.78475399999999995</v>
      </c>
      <c r="D968" s="1">
        <f t="shared" si="105"/>
        <v>2.9079999999999107E-3</v>
      </c>
      <c r="E968">
        <f t="shared" si="106"/>
        <v>4</v>
      </c>
      <c r="F968">
        <f t="shared" si="107"/>
        <v>11</v>
      </c>
      <c r="G968">
        <f t="shared" si="108"/>
        <v>4.18</v>
      </c>
      <c r="H968">
        <f t="shared" si="109"/>
        <v>251</v>
      </c>
      <c r="I968" s="3">
        <f t="shared" si="110"/>
        <v>71.713147410358559</v>
      </c>
      <c r="J968" t="str">
        <f t="shared" si="111"/>
        <v>F</v>
      </c>
    </row>
    <row r="969" spans="1:10" hidden="1" x14ac:dyDescent="0.25">
      <c r="A969" s="4" t="s">
        <v>385</v>
      </c>
      <c r="B969" s="1">
        <v>0.626494</v>
      </c>
      <c r="C969" s="1">
        <v>0.62833399999999995</v>
      </c>
      <c r="D969" s="1">
        <f t="shared" si="105"/>
        <v>1.8399999999999528E-3</v>
      </c>
      <c r="E969">
        <f t="shared" si="106"/>
        <v>2</v>
      </c>
      <c r="F969">
        <f t="shared" si="107"/>
        <v>39</v>
      </c>
      <c r="G969">
        <f t="shared" si="108"/>
        <v>2.65</v>
      </c>
      <c r="H969">
        <f t="shared" si="109"/>
        <v>159</v>
      </c>
      <c r="I969" s="3">
        <f t="shared" si="110"/>
        <v>113.20754716981131</v>
      </c>
      <c r="J969" t="str">
        <f t="shared" si="111"/>
        <v>F</v>
      </c>
    </row>
    <row r="970" spans="1:10" hidden="1" x14ac:dyDescent="0.25">
      <c r="A970" s="4" t="s">
        <v>386</v>
      </c>
      <c r="B970" s="1">
        <v>0.71810700000000005</v>
      </c>
      <c r="C970" s="1">
        <v>0.71969899999999998</v>
      </c>
      <c r="D970" s="1">
        <f t="shared" si="105"/>
        <v>1.5919999999999268E-3</v>
      </c>
      <c r="E970">
        <f t="shared" si="106"/>
        <v>2</v>
      </c>
      <c r="F970">
        <f t="shared" si="107"/>
        <v>18</v>
      </c>
      <c r="G970">
        <f t="shared" si="108"/>
        <v>2.2999999999999998</v>
      </c>
      <c r="H970">
        <f t="shared" si="109"/>
        <v>138</v>
      </c>
      <c r="I970" s="3">
        <f t="shared" si="110"/>
        <v>130.43478260869566</v>
      </c>
      <c r="J970" t="str">
        <f t="shared" si="111"/>
        <v>F</v>
      </c>
    </row>
    <row r="971" spans="1:10" hidden="1" x14ac:dyDescent="0.25">
      <c r="A971" s="4" t="s">
        <v>387</v>
      </c>
      <c r="B971" s="1">
        <v>0.59238800000000003</v>
      </c>
      <c r="C971" s="1">
        <v>0.58874800000000005</v>
      </c>
      <c r="D971" s="1">
        <f t="shared" si="105"/>
        <v>3.6399999999999766E-3</v>
      </c>
      <c r="E971">
        <f t="shared" si="106"/>
        <v>5</v>
      </c>
      <c r="F971">
        <f t="shared" si="107"/>
        <v>14</v>
      </c>
      <c r="G971">
        <f t="shared" si="108"/>
        <v>5.23</v>
      </c>
      <c r="H971">
        <f t="shared" si="109"/>
        <v>314</v>
      </c>
      <c r="I971" s="3">
        <f t="shared" si="110"/>
        <v>57.324840764331206</v>
      </c>
      <c r="J971" t="str">
        <f t="shared" si="111"/>
        <v>F</v>
      </c>
    </row>
    <row r="972" spans="1:10" hidden="1" x14ac:dyDescent="0.25">
      <c r="A972" s="4" t="s">
        <v>388</v>
      </c>
      <c r="B972" s="1">
        <v>0.68928500000000004</v>
      </c>
      <c r="C972" s="1">
        <v>0.68787699999999996</v>
      </c>
      <c r="D972" s="1">
        <f t="shared" si="105"/>
        <v>1.4080000000000759E-3</v>
      </c>
      <c r="E972">
        <f t="shared" si="106"/>
        <v>2</v>
      </c>
      <c r="F972">
        <f t="shared" si="107"/>
        <v>2</v>
      </c>
      <c r="G972">
        <f t="shared" si="108"/>
        <v>2.0299999999999998</v>
      </c>
      <c r="H972">
        <f t="shared" si="109"/>
        <v>122</v>
      </c>
      <c r="I972" s="3">
        <f t="shared" si="110"/>
        <v>147.54098360655738</v>
      </c>
      <c r="J972" t="str">
        <f t="shared" si="111"/>
        <v>F</v>
      </c>
    </row>
    <row r="973" spans="1:10" hidden="1" x14ac:dyDescent="0.25">
      <c r="A973" s="4" t="s">
        <v>389</v>
      </c>
      <c r="B973" s="1">
        <v>0.62056900000000004</v>
      </c>
      <c r="C973" s="1">
        <v>0.623081</v>
      </c>
      <c r="D973" s="1">
        <f t="shared" si="105"/>
        <v>2.5119999999999587E-3</v>
      </c>
      <c r="E973">
        <f t="shared" si="106"/>
        <v>3</v>
      </c>
      <c r="F973">
        <f t="shared" si="107"/>
        <v>37</v>
      </c>
      <c r="G973">
        <f t="shared" si="108"/>
        <v>3.62</v>
      </c>
      <c r="H973">
        <f t="shared" si="109"/>
        <v>217</v>
      </c>
      <c r="I973" s="3">
        <f t="shared" si="110"/>
        <v>82.94930875576037</v>
      </c>
      <c r="J973" t="str">
        <f t="shared" si="111"/>
        <v>F</v>
      </c>
    </row>
    <row r="974" spans="1:10" hidden="1" x14ac:dyDescent="0.25">
      <c r="A974" s="4" t="s">
        <v>390</v>
      </c>
      <c r="B974" s="1">
        <v>0.30533100000000002</v>
      </c>
      <c r="C974" s="1">
        <v>0.30848700000000001</v>
      </c>
      <c r="D974" s="1">
        <f t="shared" si="105"/>
        <v>3.1559999999999921E-3</v>
      </c>
      <c r="E974">
        <f t="shared" si="106"/>
        <v>4</v>
      </c>
      <c r="F974">
        <f t="shared" si="107"/>
        <v>33</v>
      </c>
      <c r="G974">
        <f t="shared" si="108"/>
        <v>4.55</v>
      </c>
      <c r="H974">
        <f t="shared" si="109"/>
        <v>273</v>
      </c>
      <c r="I974" s="3">
        <f t="shared" si="110"/>
        <v>65.934065934065927</v>
      </c>
      <c r="J974" t="str">
        <f t="shared" si="111"/>
        <v>F</v>
      </c>
    </row>
    <row r="975" spans="1:10" hidden="1" x14ac:dyDescent="0.25">
      <c r="A975" s="4" t="s">
        <v>391</v>
      </c>
      <c r="B975" s="1">
        <v>8.7454000000000004E-2</v>
      </c>
      <c r="C975" s="1">
        <v>8.9934E-2</v>
      </c>
      <c r="D975" s="1">
        <f t="shared" si="105"/>
        <v>2.4799999999999961E-3</v>
      </c>
      <c r="E975">
        <f t="shared" si="106"/>
        <v>3</v>
      </c>
      <c r="F975">
        <f t="shared" si="107"/>
        <v>34</v>
      </c>
      <c r="G975">
        <f t="shared" si="108"/>
        <v>3.57</v>
      </c>
      <c r="H975">
        <f t="shared" si="109"/>
        <v>214</v>
      </c>
      <c r="I975" s="3">
        <f t="shared" si="110"/>
        <v>84.112149532710276</v>
      </c>
      <c r="J975" t="str">
        <f t="shared" si="111"/>
        <v>F</v>
      </c>
    </row>
    <row r="976" spans="1:10" hidden="1" x14ac:dyDescent="0.25">
      <c r="A976" s="4" t="s">
        <v>392</v>
      </c>
      <c r="B976" s="1">
        <v>0.27104099999999998</v>
      </c>
      <c r="C976" s="1">
        <v>0.27402900000000002</v>
      </c>
      <c r="D976" s="1">
        <f t="shared" si="105"/>
        <v>2.9880000000000462E-3</v>
      </c>
      <c r="E976">
        <f t="shared" si="106"/>
        <v>4</v>
      </c>
      <c r="F976">
        <f t="shared" si="107"/>
        <v>18</v>
      </c>
      <c r="G976">
        <f t="shared" si="108"/>
        <v>4.3</v>
      </c>
      <c r="H976">
        <f t="shared" si="109"/>
        <v>258</v>
      </c>
      <c r="I976" s="3">
        <f t="shared" si="110"/>
        <v>69.767441860465112</v>
      </c>
      <c r="J976" t="str">
        <f t="shared" si="111"/>
        <v>F</v>
      </c>
    </row>
    <row r="977" spans="1:10" hidden="1" x14ac:dyDescent="0.25">
      <c r="A977" s="4" t="s">
        <v>393</v>
      </c>
      <c r="B977" s="1">
        <v>0.93926699999999996</v>
      </c>
      <c r="C977" s="1">
        <v>0.941751</v>
      </c>
      <c r="D977" s="1">
        <f t="shared" si="105"/>
        <v>2.4840000000000417E-3</v>
      </c>
      <c r="E977">
        <f t="shared" si="106"/>
        <v>3</v>
      </c>
      <c r="F977">
        <f t="shared" si="107"/>
        <v>35</v>
      </c>
      <c r="G977">
        <f t="shared" si="108"/>
        <v>3.58</v>
      </c>
      <c r="H977">
        <f t="shared" si="109"/>
        <v>215</v>
      </c>
      <c r="I977" s="3">
        <f t="shared" si="110"/>
        <v>83.720930232558146</v>
      </c>
      <c r="J977" t="str">
        <f t="shared" si="111"/>
        <v>F</v>
      </c>
    </row>
    <row r="978" spans="1:10" hidden="1" x14ac:dyDescent="0.25">
      <c r="A978" s="4" t="s">
        <v>394</v>
      </c>
      <c r="B978" s="1">
        <v>0.78683000000000003</v>
      </c>
      <c r="C978" s="1">
        <v>0.78496600000000005</v>
      </c>
      <c r="D978" s="1">
        <f t="shared" si="105"/>
        <v>1.8639999999999768E-3</v>
      </c>
      <c r="E978">
        <f t="shared" si="106"/>
        <v>2</v>
      </c>
      <c r="F978">
        <f t="shared" si="107"/>
        <v>41</v>
      </c>
      <c r="G978">
        <f t="shared" si="108"/>
        <v>2.68</v>
      </c>
      <c r="H978">
        <f t="shared" si="109"/>
        <v>161</v>
      </c>
      <c r="I978" s="3">
        <f t="shared" si="110"/>
        <v>111.80124223602485</v>
      </c>
      <c r="J978" t="str">
        <f t="shared" si="111"/>
        <v>F</v>
      </c>
    </row>
    <row r="979" spans="1:10" hidden="1" x14ac:dyDescent="0.25">
      <c r="A979" s="4" t="s">
        <v>395</v>
      </c>
      <c r="B979" s="1">
        <v>0.42941800000000002</v>
      </c>
      <c r="C979" s="1">
        <v>0.42563400000000001</v>
      </c>
      <c r="D979" s="1">
        <f t="shared" si="105"/>
        <v>3.7840000000000096E-3</v>
      </c>
      <c r="E979">
        <f t="shared" si="106"/>
        <v>5</v>
      </c>
      <c r="F979">
        <f t="shared" si="107"/>
        <v>27</v>
      </c>
      <c r="G979">
        <f t="shared" si="108"/>
        <v>5.45</v>
      </c>
      <c r="H979">
        <f t="shared" si="109"/>
        <v>327</v>
      </c>
      <c r="I979" s="3">
        <f t="shared" si="110"/>
        <v>55.045871559633028</v>
      </c>
      <c r="J979" t="str">
        <f t="shared" si="111"/>
        <v>F</v>
      </c>
    </row>
    <row r="980" spans="1:10" hidden="1" x14ac:dyDescent="0.25">
      <c r="A980" s="4" t="s">
        <v>396</v>
      </c>
      <c r="B980" s="1">
        <v>0.14202300000000001</v>
      </c>
      <c r="C980" s="1">
        <v>0.13999500000000001</v>
      </c>
      <c r="D980" s="1">
        <f t="shared" si="105"/>
        <v>2.028000000000002E-3</v>
      </c>
      <c r="E980">
        <f t="shared" si="106"/>
        <v>2</v>
      </c>
      <c r="F980">
        <f t="shared" si="107"/>
        <v>55</v>
      </c>
      <c r="G980">
        <f t="shared" si="108"/>
        <v>2.92</v>
      </c>
      <c r="H980">
        <f t="shared" si="109"/>
        <v>175</v>
      </c>
      <c r="I980" s="3">
        <f t="shared" si="110"/>
        <v>102.85714285714286</v>
      </c>
      <c r="J980" t="str">
        <f t="shared" si="111"/>
        <v>F</v>
      </c>
    </row>
    <row r="981" spans="1:10" hidden="1" x14ac:dyDescent="0.25">
      <c r="A981" s="4" t="s">
        <v>397</v>
      </c>
      <c r="B981" s="1">
        <v>0.62391700000000005</v>
      </c>
      <c r="C981" s="1">
        <v>0.62759699999999996</v>
      </c>
      <c r="D981" s="1">
        <f t="shared" si="105"/>
        <v>3.6799999999999056E-3</v>
      </c>
      <c r="E981">
        <f t="shared" si="106"/>
        <v>5</v>
      </c>
      <c r="F981">
        <f t="shared" si="107"/>
        <v>18</v>
      </c>
      <c r="G981">
        <f t="shared" si="108"/>
        <v>5.3</v>
      </c>
      <c r="H981">
        <f t="shared" si="109"/>
        <v>318</v>
      </c>
      <c r="I981" s="3">
        <f t="shared" si="110"/>
        <v>56.603773584905653</v>
      </c>
      <c r="J981" t="str">
        <f t="shared" si="111"/>
        <v>F</v>
      </c>
    </row>
    <row r="982" spans="1:10" hidden="1" x14ac:dyDescent="0.25">
      <c r="A982" s="4" t="s">
        <v>398</v>
      </c>
      <c r="B982" s="1">
        <v>0.62443000000000004</v>
      </c>
      <c r="C982" s="1">
        <v>0.62149799999999999</v>
      </c>
      <c r="D982" s="1">
        <f t="shared" si="105"/>
        <v>2.9320000000000457E-3</v>
      </c>
      <c r="E982">
        <f t="shared" si="106"/>
        <v>4</v>
      </c>
      <c r="F982">
        <f t="shared" si="107"/>
        <v>13</v>
      </c>
      <c r="G982">
        <f t="shared" si="108"/>
        <v>4.22</v>
      </c>
      <c r="H982">
        <f t="shared" si="109"/>
        <v>253</v>
      </c>
      <c r="I982" s="3">
        <f t="shared" si="110"/>
        <v>71.146245059288532</v>
      </c>
      <c r="J982" t="str">
        <f t="shared" si="111"/>
        <v>F</v>
      </c>
    </row>
    <row r="983" spans="1:10" hidden="1" x14ac:dyDescent="0.25">
      <c r="A983" s="4" t="s">
        <v>399</v>
      </c>
      <c r="B983" s="1">
        <v>0.86035300000000003</v>
      </c>
      <c r="C983" s="1">
        <v>0.86306099999999997</v>
      </c>
      <c r="D983" s="1">
        <f t="shared" si="105"/>
        <v>2.7079999999999327E-3</v>
      </c>
      <c r="E983">
        <f t="shared" si="106"/>
        <v>3</v>
      </c>
      <c r="F983">
        <f t="shared" si="107"/>
        <v>54</v>
      </c>
      <c r="G983">
        <f t="shared" si="108"/>
        <v>3.9</v>
      </c>
      <c r="H983">
        <f t="shared" si="109"/>
        <v>234</v>
      </c>
      <c r="I983" s="3">
        <f t="shared" si="110"/>
        <v>76.92307692307692</v>
      </c>
      <c r="J983" t="str">
        <f t="shared" si="111"/>
        <v>F</v>
      </c>
    </row>
    <row r="984" spans="1:10" hidden="1" x14ac:dyDescent="0.25">
      <c r="A984" s="4" t="s">
        <v>400</v>
      </c>
      <c r="B984" s="1">
        <v>0.50423899999999999</v>
      </c>
      <c r="C984" s="1">
        <v>0.502799</v>
      </c>
      <c r="D984" s="1">
        <f t="shared" si="105"/>
        <v>1.4399999999999968E-3</v>
      </c>
      <c r="E984">
        <f t="shared" si="106"/>
        <v>2</v>
      </c>
      <c r="F984">
        <f t="shared" si="107"/>
        <v>4</v>
      </c>
      <c r="G984">
        <f t="shared" si="108"/>
        <v>2.0699999999999998</v>
      </c>
      <c r="H984">
        <f t="shared" si="109"/>
        <v>124</v>
      </c>
      <c r="I984" s="3">
        <f t="shared" si="110"/>
        <v>145.16129032258064</v>
      </c>
      <c r="J984" t="str">
        <f t="shared" si="111"/>
        <v>F</v>
      </c>
    </row>
    <row r="985" spans="1:10" hidden="1" x14ac:dyDescent="0.25">
      <c r="A985" s="4" t="s">
        <v>401</v>
      </c>
      <c r="B985" s="1">
        <v>0.35245900000000002</v>
      </c>
      <c r="C985" s="1">
        <v>0.35557899999999998</v>
      </c>
      <c r="D985" s="1">
        <f t="shared" si="105"/>
        <v>3.1199999999999561E-3</v>
      </c>
      <c r="E985">
        <f t="shared" si="106"/>
        <v>4</v>
      </c>
      <c r="F985">
        <f t="shared" si="107"/>
        <v>30</v>
      </c>
      <c r="G985">
        <f t="shared" si="108"/>
        <v>4.5</v>
      </c>
      <c r="H985">
        <f t="shared" si="109"/>
        <v>270</v>
      </c>
      <c r="I985" s="3">
        <f t="shared" si="110"/>
        <v>66.666666666666671</v>
      </c>
      <c r="J985" t="str">
        <f t="shared" si="111"/>
        <v>F</v>
      </c>
    </row>
    <row r="986" spans="1:10" hidden="1" x14ac:dyDescent="0.25">
      <c r="A986" s="4" t="s">
        <v>402</v>
      </c>
      <c r="B986" s="1">
        <v>0.54644499999999996</v>
      </c>
      <c r="C986" s="1">
        <v>0.544157</v>
      </c>
      <c r="D986" s="1">
        <f t="shared" si="105"/>
        <v>2.2879999999999567E-3</v>
      </c>
      <c r="E986">
        <f t="shared" si="106"/>
        <v>3</v>
      </c>
      <c r="F986">
        <f t="shared" si="107"/>
        <v>18</v>
      </c>
      <c r="G986">
        <f t="shared" si="108"/>
        <v>3.3</v>
      </c>
      <c r="H986">
        <f t="shared" si="109"/>
        <v>198</v>
      </c>
      <c r="I986" s="3">
        <f t="shared" si="110"/>
        <v>90.909090909090921</v>
      </c>
      <c r="J986" t="str">
        <f t="shared" si="111"/>
        <v>F</v>
      </c>
    </row>
    <row r="987" spans="1:10" hidden="1" x14ac:dyDescent="0.25">
      <c r="A987" s="4" t="s">
        <v>403</v>
      </c>
      <c r="B987" s="1">
        <v>0.53043799999999997</v>
      </c>
      <c r="C987" s="1">
        <v>0.53306600000000004</v>
      </c>
      <c r="D987" s="1">
        <f t="shared" si="105"/>
        <v>2.6280000000000747E-3</v>
      </c>
      <c r="E987">
        <f t="shared" si="106"/>
        <v>3</v>
      </c>
      <c r="F987">
        <f t="shared" si="107"/>
        <v>47</v>
      </c>
      <c r="G987">
        <f t="shared" si="108"/>
        <v>3.78</v>
      </c>
      <c r="H987">
        <f t="shared" si="109"/>
        <v>227</v>
      </c>
      <c r="I987" s="3">
        <f t="shared" si="110"/>
        <v>79.295154185022028</v>
      </c>
      <c r="J987" t="str">
        <f t="shared" si="111"/>
        <v>F</v>
      </c>
    </row>
    <row r="988" spans="1:10" hidden="1" x14ac:dyDescent="0.25">
      <c r="A988" s="4" t="s">
        <v>404</v>
      </c>
      <c r="B988" s="1">
        <v>0.56015199999999998</v>
      </c>
      <c r="C988" s="1">
        <v>0.55632400000000004</v>
      </c>
      <c r="D988" s="1">
        <f t="shared" si="105"/>
        <v>3.8279999999999426E-3</v>
      </c>
      <c r="E988">
        <f t="shared" si="106"/>
        <v>5</v>
      </c>
      <c r="F988">
        <f t="shared" si="107"/>
        <v>31</v>
      </c>
      <c r="G988">
        <f t="shared" si="108"/>
        <v>5.52</v>
      </c>
      <c r="H988">
        <f t="shared" si="109"/>
        <v>331</v>
      </c>
      <c r="I988" s="3">
        <f t="shared" si="110"/>
        <v>54.380664652567972</v>
      </c>
      <c r="J988" t="str">
        <f t="shared" si="111"/>
        <v>F</v>
      </c>
    </row>
    <row r="989" spans="1:10" hidden="1" x14ac:dyDescent="0.25">
      <c r="A989" s="4" t="s">
        <v>405</v>
      </c>
      <c r="B989" s="1">
        <v>0.90301600000000004</v>
      </c>
      <c r="C989" s="1">
        <v>0.90554000000000001</v>
      </c>
      <c r="D989" s="1">
        <f t="shared" si="105"/>
        <v>2.5239999999999707E-3</v>
      </c>
      <c r="E989">
        <f t="shared" si="106"/>
        <v>3</v>
      </c>
      <c r="F989">
        <f t="shared" si="107"/>
        <v>38</v>
      </c>
      <c r="G989">
        <f t="shared" si="108"/>
        <v>3.63</v>
      </c>
      <c r="H989">
        <f t="shared" si="109"/>
        <v>218</v>
      </c>
      <c r="I989" s="3">
        <f t="shared" si="110"/>
        <v>82.568807339449535</v>
      </c>
      <c r="J989" t="str">
        <f t="shared" si="111"/>
        <v>F</v>
      </c>
    </row>
    <row r="990" spans="1:10" hidden="1" x14ac:dyDescent="0.25">
      <c r="A990" s="4" t="s">
        <v>406</v>
      </c>
      <c r="B990" s="1">
        <v>0.23919599999999999</v>
      </c>
      <c r="C990" s="1">
        <v>0.24299999999999999</v>
      </c>
      <c r="D990" s="1">
        <f t="shared" si="105"/>
        <v>3.8040000000000018E-3</v>
      </c>
      <c r="E990">
        <f t="shared" si="106"/>
        <v>5</v>
      </c>
      <c r="F990">
        <f t="shared" si="107"/>
        <v>29</v>
      </c>
      <c r="G990">
        <f t="shared" si="108"/>
        <v>5.48</v>
      </c>
      <c r="H990">
        <f t="shared" si="109"/>
        <v>329</v>
      </c>
      <c r="I990" s="3">
        <f t="shared" si="110"/>
        <v>54.711246200607903</v>
      </c>
      <c r="J990" t="str">
        <f t="shared" si="111"/>
        <v>F</v>
      </c>
    </row>
    <row r="991" spans="1:10" hidden="1" x14ac:dyDescent="0.25">
      <c r="A991" s="4" t="s">
        <v>407</v>
      </c>
      <c r="B991" s="1">
        <v>0.80954700000000002</v>
      </c>
      <c r="C991" s="1">
        <v>0.81194299999999997</v>
      </c>
      <c r="D991" s="1">
        <f t="shared" si="105"/>
        <v>2.3959999999999537E-3</v>
      </c>
      <c r="E991">
        <f t="shared" si="106"/>
        <v>3</v>
      </c>
      <c r="F991">
        <f t="shared" si="107"/>
        <v>27</v>
      </c>
      <c r="G991">
        <f t="shared" si="108"/>
        <v>3.45</v>
      </c>
      <c r="H991">
        <f t="shared" si="109"/>
        <v>207</v>
      </c>
      <c r="I991" s="3">
        <f t="shared" si="110"/>
        <v>86.956521739130437</v>
      </c>
      <c r="J991" t="str">
        <f t="shared" si="111"/>
        <v>F</v>
      </c>
    </row>
    <row r="992" spans="1:10" hidden="1" x14ac:dyDescent="0.25">
      <c r="A992" s="4" t="s">
        <v>408</v>
      </c>
      <c r="B992" s="1">
        <v>9.325E-3</v>
      </c>
      <c r="C992" s="1">
        <v>7.417E-3</v>
      </c>
      <c r="D992" s="1">
        <f t="shared" si="105"/>
        <v>1.908E-3</v>
      </c>
      <c r="E992">
        <f t="shared" si="106"/>
        <v>2</v>
      </c>
      <c r="F992">
        <f t="shared" si="107"/>
        <v>45</v>
      </c>
      <c r="G992">
        <f t="shared" si="108"/>
        <v>2.75</v>
      </c>
      <c r="H992">
        <f t="shared" si="109"/>
        <v>165</v>
      </c>
      <c r="I992" s="3">
        <f t="shared" si="110"/>
        <v>109.09090909090908</v>
      </c>
      <c r="J992" t="str">
        <f t="shared" si="111"/>
        <v>F</v>
      </c>
    </row>
    <row r="993" spans="1:10" hidden="1" x14ac:dyDescent="0.25">
      <c r="A993" s="4" t="s">
        <v>409</v>
      </c>
      <c r="B993" s="1">
        <v>0.92164199999999996</v>
      </c>
      <c r="C993" s="1">
        <v>0.92475799999999997</v>
      </c>
      <c r="D993" s="1">
        <f t="shared" si="105"/>
        <v>3.1160000000000077E-3</v>
      </c>
      <c r="E993">
        <f t="shared" si="106"/>
        <v>4</v>
      </c>
      <c r="F993">
        <f t="shared" si="107"/>
        <v>29</v>
      </c>
      <c r="G993">
        <f t="shared" si="108"/>
        <v>4.4800000000000004</v>
      </c>
      <c r="H993">
        <f t="shared" si="109"/>
        <v>269</v>
      </c>
      <c r="I993" s="3">
        <f t="shared" si="110"/>
        <v>66.914498141263948</v>
      </c>
      <c r="J993" t="str">
        <f t="shared" si="111"/>
        <v>F</v>
      </c>
    </row>
    <row r="994" spans="1:10" hidden="1" x14ac:dyDescent="0.25">
      <c r="A994" s="4" t="s">
        <v>410</v>
      </c>
      <c r="B994" s="1">
        <v>0.94211</v>
      </c>
      <c r="C994" s="1">
        <v>0.94560599999999995</v>
      </c>
      <c r="D994" s="1">
        <f t="shared" si="105"/>
        <v>3.4959999999999436E-3</v>
      </c>
      <c r="E994">
        <f t="shared" si="106"/>
        <v>5</v>
      </c>
      <c r="F994">
        <f t="shared" si="107"/>
        <v>2</v>
      </c>
      <c r="G994">
        <f t="shared" si="108"/>
        <v>5.03</v>
      </c>
      <c r="H994">
        <f t="shared" si="109"/>
        <v>302</v>
      </c>
      <c r="I994" s="3">
        <f t="shared" si="110"/>
        <v>59.602649006622521</v>
      </c>
      <c r="J994" t="str">
        <f t="shared" si="111"/>
        <v>F</v>
      </c>
    </row>
    <row r="995" spans="1:10" hidden="1" x14ac:dyDescent="0.25">
      <c r="A995" s="4" t="s">
        <v>411</v>
      </c>
      <c r="B995" s="1">
        <v>0.51790700000000001</v>
      </c>
      <c r="C995" s="1">
        <v>0.51618299999999995</v>
      </c>
      <c r="D995" s="1">
        <f t="shared" si="105"/>
        <v>1.7240000000000588E-3</v>
      </c>
      <c r="E995">
        <f t="shared" si="106"/>
        <v>2</v>
      </c>
      <c r="F995">
        <f t="shared" si="107"/>
        <v>29</v>
      </c>
      <c r="G995">
        <f t="shared" si="108"/>
        <v>2.48</v>
      </c>
      <c r="H995">
        <f t="shared" si="109"/>
        <v>149</v>
      </c>
      <c r="I995" s="3">
        <f t="shared" si="110"/>
        <v>120.80536912751677</v>
      </c>
      <c r="J995" t="str">
        <f t="shared" si="111"/>
        <v>F</v>
      </c>
    </row>
    <row r="996" spans="1:10" hidden="1" x14ac:dyDescent="0.25">
      <c r="A996" s="4" t="s">
        <v>412</v>
      </c>
      <c r="B996" s="1">
        <v>0.16583700000000001</v>
      </c>
      <c r="C996" s="1">
        <v>0.16724900000000001</v>
      </c>
      <c r="D996" s="1">
        <f t="shared" si="105"/>
        <v>1.4119999999999966E-3</v>
      </c>
      <c r="E996">
        <f t="shared" si="106"/>
        <v>2</v>
      </c>
      <c r="F996">
        <f t="shared" si="107"/>
        <v>2</v>
      </c>
      <c r="G996">
        <f t="shared" si="108"/>
        <v>2.0299999999999998</v>
      </c>
      <c r="H996">
        <f t="shared" si="109"/>
        <v>122</v>
      </c>
      <c r="I996" s="3">
        <f t="shared" si="110"/>
        <v>147.54098360655738</v>
      </c>
      <c r="J996" t="str">
        <f t="shared" si="111"/>
        <v>F</v>
      </c>
    </row>
    <row r="997" spans="1:10" hidden="1" x14ac:dyDescent="0.25">
      <c r="A997" s="4" t="s">
        <v>427</v>
      </c>
      <c r="B997" s="1">
        <v>2.5694999999999999E-2</v>
      </c>
      <c r="C997" s="1">
        <v>2.3115E-2</v>
      </c>
      <c r="D997" s="1">
        <f t="shared" si="105"/>
        <v>2.579999999999999E-3</v>
      </c>
      <c r="E997">
        <f t="shared" si="106"/>
        <v>3</v>
      </c>
      <c r="F997">
        <f t="shared" si="107"/>
        <v>43</v>
      </c>
      <c r="G997">
        <f t="shared" si="108"/>
        <v>3.72</v>
      </c>
      <c r="H997">
        <f t="shared" si="109"/>
        <v>223</v>
      </c>
      <c r="I997" s="3">
        <f t="shared" si="110"/>
        <v>80.717488789237677</v>
      </c>
      <c r="J997" t="str">
        <f t="shared" si="111"/>
        <v>F</v>
      </c>
    </row>
    <row r="998" spans="1:10" hidden="1" x14ac:dyDescent="0.25">
      <c r="A998" s="4" t="s">
        <v>413</v>
      </c>
      <c r="B998" s="1">
        <v>0.91312199999999999</v>
      </c>
      <c r="C998" s="1">
        <v>0.91059800000000002</v>
      </c>
      <c r="D998" s="1">
        <f t="shared" si="105"/>
        <v>2.5239999999999707E-3</v>
      </c>
      <c r="E998">
        <f t="shared" si="106"/>
        <v>3</v>
      </c>
      <c r="F998">
        <f t="shared" si="107"/>
        <v>38</v>
      </c>
      <c r="G998">
        <f t="shared" si="108"/>
        <v>3.63</v>
      </c>
      <c r="H998">
        <f t="shared" si="109"/>
        <v>218</v>
      </c>
      <c r="I998" s="3">
        <f t="shared" si="110"/>
        <v>82.568807339449535</v>
      </c>
      <c r="J998" t="str">
        <f t="shared" si="111"/>
        <v>F</v>
      </c>
    </row>
    <row r="999" spans="1:10" hidden="1" x14ac:dyDescent="0.25">
      <c r="A999" s="4" t="s">
        <v>414</v>
      </c>
      <c r="B999" s="1">
        <v>0.58483099999999999</v>
      </c>
      <c r="C999" s="1">
        <v>0.58725899999999998</v>
      </c>
      <c r="D999" s="1">
        <f t="shared" si="105"/>
        <v>2.4279999999999857E-3</v>
      </c>
      <c r="E999">
        <f t="shared" si="106"/>
        <v>3</v>
      </c>
      <c r="F999">
        <f t="shared" si="107"/>
        <v>30</v>
      </c>
      <c r="G999">
        <f t="shared" si="108"/>
        <v>3.5</v>
      </c>
      <c r="H999">
        <f t="shared" si="109"/>
        <v>210</v>
      </c>
      <c r="I999" s="3">
        <f t="shared" si="110"/>
        <v>85.714285714285708</v>
      </c>
      <c r="J999" t="str">
        <f t="shared" si="111"/>
        <v>F</v>
      </c>
    </row>
    <row r="1000" spans="1:10" hidden="1" x14ac:dyDescent="0.25">
      <c r="A1000" s="4" t="s">
        <v>415</v>
      </c>
      <c r="B1000" s="1">
        <v>0.80934099999999998</v>
      </c>
      <c r="C1000" s="1">
        <v>0.81267299999999998</v>
      </c>
      <c r="D1000" s="1">
        <f t="shared" si="105"/>
        <v>3.3320000000000016E-3</v>
      </c>
      <c r="E1000">
        <f t="shared" si="106"/>
        <v>4</v>
      </c>
      <c r="F1000">
        <f t="shared" si="107"/>
        <v>48</v>
      </c>
      <c r="G1000">
        <f t="shared" si="108"/>
        <v>4.8</v>
      </c>
      <c r="H1000">
        <f t="shared" si="109"/>
        <v>288</v>
      </c>
      <c r="I1000" s="3">
        <f t="shared" si="110"/>
        <v>62.5</v>
      </c>
      <c r="J1000" t="str">
        <f t="shared" si="111"/>
        <v>F</v>
      </c>
    </row>
    <row r="1001" spans="1:10" hidden="1" x14ac:dyDescent="0.25">
      <c r="A1001" s="4" t="s">
        <v>416</v>
      </c>
      <c r="B1001" s="1">
        <v>0.84869399999999995</v>
      </c>
      <c r="C1001" s="1">
        <v>0.85199800000000003</v>
      </c>
      <c r="D1001" s="1">
        <f t="shared" si="105"/>
        <v>3.3040000000000846E-3</v>
      </c>
      <c r="E1001">
        <f t="shared" si="106"/>
        <v>4</v>
      </c>
      <c r="F1001">
        <f t="shared" si="107"/>
        <v>45</v>
      </c>
      <c r="G1001">
        <f t="shared" si="108"/>
        <v>4.75</v>
      </c>
      <c r="H1001">
        <f t="shared" si="109"/>
        <v>285</v>
      </c>
      <c r="I1001" s="3">
        <f t="shared" si="110"/>
        <v>63.15789473684211</v>
      </c>
      <c r="J1001" t="str">
        <f t="shared" si="111"/>
        <v>F</v>
      </c>
    </row>
  </sheetData>
  <autoFilter ref="A1:J1001">
    <filterColumn colId="9">
      <filters>
        <filter val="T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01"/>
  <sheetViews>
    <sheetView workbookViewId="0">
      <selection activeCell="I292" sqref="I292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style="1" bestFit="1" customWidth="1"/>
    <col min="5" max="5" width="9.7109375" bestFit="1" customWidth="1"/>
    <col min="7" max="7" width="17" bestFit="1" customWidth="1"/>
    <col min="8" max="8" width="14.140625" bestFit="1" customWidth="1"/>
  </cols>
  <sheetData>
    <row r="1" spans="1:8" x14ac:dyDescent="0.25">
      <c r="A1" s="7" t="s">
        <v>0</v>
      </c>
      <c r="B1" s="1" t="s">
        <v>1</v>
      </c>
      <c r="C1" s="1" t="s">
        <v>2</v>
      </c>
      <c r="D1" s="1" t="s">
        <v>419</v>
      </c>
      <c r="E1" s="1" t="s">
        <v>420</v>
      </c>
      <c r="F1" s="1" t="s">
        <v>421</v>
      </c>
      <c r="G1" s="5" t="s">
        <v>423</v>
      </c>
      <c r="H1" s="1"/>
    </row>
    <row r="2" spans="1:8" hidden="1" x14ac:dyDescent="0.25">
      <c r="A2" s="4" t="s">
        <v>3</v>
      </c>
      <c r="B2" s="1">
        <v>0.121036</v>
      </c>
      <c r="C2" s="1">
        <v>0.12492</v>
      </c>
      <c r="D2" s="1">
        <f>IF(B2&gt;C2,B2-C2,C2-B2)</f>
        <v>3.8839999999999986E-3</v>
      </c>
      <c r="E2">
        <f>MINUTE(D2)</f>
        <v>5</v>
      </c>
      <c r="F2">
        <f>SECOND(D2)</f>
        <v>36</v>
      </c>
      <c r="G2">
        <f>ROUND(E2+F2/60,2)</f>
        <v>5.6</v>
      </c>
    </row>
    <row r="3" spans="1:8" hidden="1" x14ac:dyDescent="0.25">
      <c r="A3" s="4" t="s">
        <v>4</v>
      </c>
      <c r="B3" s="1">
        <v>0.92153600000000002</v>
      </c>
      <c r="C3" s="1">
        <v>0.91932400000000003</v>
      </c>
      <c r="D3" s="1">
        <f t="shared" ref="D3:D66" si="0">IF(B3&gt;C3,B3-C3,C3-B3)</f>
        <v>2.2119999999999918E-3</v>
      </c>
      <c r="E3">
        <f t="shared" ref="E3:E66" si="1">MINUTE(D3)</f>
        <v>3</v>
      </c>
      <c r="F3">
        <f t="shared" ref="F3:F66" si="2">SECOND(D3)</f>
        <v>11</v>
      </c>
      <c r="G3">
        <f t="shared" ref="G3:G66" si="3">ROUND(E3+F3/60,2)</f>
        <v>3.18</v>
      </c>
    </row>
    <row r="4" spans="1:8" hidden="1" x14ac:dyDescent="0.25">
      <c r="A4" s="4" t="s">
        <v>5</v>
      </c>
      <c r="B4" s="1">
        <v>0.43023099999999997</v>
      </c>
      <c r="C4" s="1">
        <v>0.43248700000000001</v>
      </c>
      <c r="D4" s="1">
        <f t="shared" si="0"/>
        <v>2.2560000000000358E-3</v>
      </c>
      <c r="E4">
        <f t="shared" si="1"/>
        <v>3</v>
      </c>
      <c r="F4">
        <f t="shared" si="2"/>
        <v>15</v>
      </c>
      <c r="G4">
        <f t="shared" si="3"/>
        <v>3.25</v>
      </c>
    </row>
    <row r="5" spans="1:8" hidden="1" x14ac:dyDescent="0.25">
      <c r="A5" s="4" t="s">
        <v>6</v>
      </c>
      <c r="B5" s="1">
        <v>0.33882099999999998</v>
      </c>
      <c r="C5" s="1">
        <v>0.342389</v>
      </c>
      <c r="D5" s="1">
        <f t="shared" si="0"/>
        <v>3.5680000000000156E-3</v>
      </c>
      <c r="E5">
        <f t="shared" si="1"/>
        <v>5</v>
      </c>
      <c r="F5">
        <f t="shared" si="2"/>
        <v>8</v>
      </c>
      <c r="G5">
        <f t="shared" si="3"/>
        <v>5.13</v>
      </c>
    </row>
    <row r="6" spans="1:8" hidden="1" x14ac:dyDescent="0.25">
      <c r="A6" s="4" t="s">
        <v>7</v>
      </c>
      <c r="B6" s="1">
        <v>0.16389799999999999</v>
      </c>
      <c r="C6" s="1">
        <v>0.16686999999999999</v>
      </c>
      <c r="D6" s="1">
        <f t="shared" si="0"/>
        <v>2.9720000000000024E-3</v>
      </c>
      <c r="E6">
        <f t="shared" si="1"/>
        <v>4</v>
      </c>
      <c r="F6">
        <f t="shared" si="2"/>
        <v>17</v>
      </c>
      <c r="G6">
        <f t="shared" si="3"/>
        <v>4.28</v>
      </c>
    </row>
    <row r="7" spans="1:8" hidden="1" x14ac:dyDescent="0.25">
      <c r="A7" s="4" t="s">
        <v>8</v>
      </c>
      <c r="B7" s="1">
        <v>0.25012200000000001</v>
      </c>
      <c r="C7" s="1">
        <v>0.24668599999999999</v>
      </c>
      <c r="D7" s="1">
        <f t="shared" si="0"/>
        <v>3.4360000000000224E-3</v>
      </c>
      <c r="E7">
        <f t="shared" si="1"/>
        <v>4</v>
      </c>
      <c r="F7">
        <f t="shared" si="2"/>
        <v>57</v>
      </c>
      <c r="G7">
        <f t="shared" si="3"/>
        <v>4.95</v>
      </c>
    </row>
    <row r="8" spans="1:8" hidden="1" x14ac:dyDescent="0.25">
      <c r="A8" s="4" t="s">
        <v>9</v>
      </c>
      <c r="B8" s="1">
        <v>0.20372499999999999</v>
      </c>
      <c r="C8" s="1">
        <v>0.20172899999999999</v>
      </c>
      <c r="D8" s="1">
        <f t="shared" si="0"/>
        <v>1.9959999999999978E-3</v>
      </c>
      <c r="E8">
        <f t="shared" si="1"/>
        <v>2</v>
      </c>
      <c r="F8">
        <f t="shared" si="2"/>
        <v>52</v>
      </c>
      <c r="G8">
        <f t="shared" si="3"/>
        <v>2.87</v>
      </c>
    </row>
    <row r="9" spans="1:8" hidden="1" x14ac:dyDescent="0.25">
      <c r="A9" s="4" t="s">
        <v>10</v>
      </c>
      <c r="B9" s="1">
        <v>0.53941499999999998</v>
      </c>
      <c r="C9" s="1">
        <v>0.53671100000000005</v>
      </c>
      <c r="D9" s="1">
        <f t="shared" si="0"/>
        <v>2.7039999999999287E-3</v>
      </c>
      <c r="E9">
        <f t="shared" si="1"/>
        <v>3</v>
      </c>
      <c r="F9">
        <f t="shared" si="2"/>
        <v>54</v>
      </c>
      <c r="G9">
        <f t="shared" si="3"/>
        <v>3.9</v>
      </c>
    </row>
    <row r="10" spans="1:8" hidden="1" x14ac:dyDescent="0.25">
      <c r="A10" s="4" t="s">
        <v>11</v>
      </c>
      <c r="B10" s="1">
        <v>0.93227400000000005</v>
      </c>
      <c r="C10" s="1">
        <v>0.93418999999999996</v>
      </c>
      <c r="D10" s="1">
        <f t="shared" si="0"/>
        <v>1.9159999999999178E-3</v>
      </c>
      <c r="E10">
        <f t="shared" si="1"/>
        <v>2</v>
      </c>
      <c r="F10">
        <f t="shared" si="2"/>
        <v>46</v>
      </c>
      <c r="G10">
        <f t="shared" si="3"/>
        <v>2.77</v>
      </c>
    </row>
    <row r="11" spans="1:8" hidden="1" x14ac:dyDescent="0.25">
      <c r="A11" s="4" t="s">
        <v>12</v>
      </c>
      <c r="B11" s="1">
        <v>0.65463899999999997</v>
      </c>
      <c r="C11" s="1">
        <v>0.65809899999999999</v>
      </c>
      <c r="D11" s="1">
        <f t="shared" si="0"/>
        <v>3.4600000000000186E-3</v>
      </c>
      <c r="E11">
        <f t="shared" si="1"/>
        <v>4</v>
      </c>
      <c r="F11">
        <f t="shared" si="2"/>
        <v>59</v>
      </c>
      <c r="G11">
        <f t="shared" si="3"/>
        <v>4.9800000000000004</v>
      </c>
    </row>
    <row r="12" spans="1:8" hidden="1" x14ac:dyDescent="0.25">
      <c r="A12" s="4" t="s">
        <v>13</v>
      </c>
      <c r="B12" s="1">
        <v>0.23710300000000001</v>
      </c>
      <c r="C12" s="1">
        <v>0.23566300000000001</v>
      </c>
      <c r="D12" s="1">
        <f t="shared" si="0"/>
        <v>1.4399999999999968E-3</v>
      </c>
      <c r="E12">
        <f t="shared" si="1"/>
        <v>2</v>
      </c>
      <c r="F12">
        <f t="shared" si="2"/>
        <v>4</v>
      </c>
      <c r="G12">
        <f t="shared" si="3"/>
        <v>2.0699999999999998</v>
      </c>
    </row>
    <row r="13" spans="1:8" hidden="1" x14ac:dyDescent="0.25">
      <c r="A13" s="4" t="s">
        <v>14</v>
      </c>
      <c r="B13" s="1">
        <v>0.24673800000000001</v>
      </c>
      <c r="C13" s="1">
        <v>0.24312600000000001</v>
      </c>
      <c r="D13" s="1">
        <f t="shared" si="0"/>
        <v>3.6120000000000041E-3</v>
      </c>
      <c r="E13">
        <f t="shared" si="1"/>
        <v>5</v>
      </c>
      <c r="F13">
        <f t="shared" si="2"/>
        <v>12</v>
      </c>
      <c r="G13">
        <f t="shared" si="3"/>
        <v>5.2</v>
      </c>
    </row>
    <row r="14" spans="1:8" hidden="1" x14ac:dyDescent="0.25">
      <c r="A14" s="4" t="s">
        <v>15</v>
      </c>
      <c r="B14" s="1">
        <v>0.66593500000000005</v>
      </c>
      <c r="C14" s="1">
        <v>0.66326300000000005</v>
      </c>
      <c r="D14" s="1">
        <f t="shared" si="0"/>
        <v>2.6720000000000077E-3</v>
      </c>
      <c r="E14">
        <f t="shared" si="1"/>
        <v>3</v>
      </c>
      <c r="F14">
        <f t="shared" si="2"/>
        <v>51</v>
      </c>
      <c r="G14">
        <f t="shared" si="3"/>
        <v>3.85</v>
      </c>
    </row>
    <row r="15" spans="1:8" hidden="1" x14ac:dyDescent="0.25">
      <c r="A15" s="4" t="s">
        <v>16</v>
      </c>
      <c r="B15" s="1">
        <v>0.22825400000000001</v>
      </c>
      <c r="C15" s="1">
        <v>0.22492999999999999</v>
      </c>
      <c r="D15" s="1">
        <f t="shared" si="0"/>
        <v>3.3240000000000214E-3</v>
      </c>
      <c r="E15">
        <f t="shared" si="1"/>
        <v>4</v>
      </c>
      <c r="F15">
        <f t="shared" si="2"/>
        <v>47</v>
      </c>
      <c r="G15">
        <f t="shared" si="3"/>
        <v>4.78</v>
      </c>
    </row>
    <row r="16" spans="1:8" hidden="1" x14ac:dyDescent="0.25">
      <c r="A16" s="4" t="s">
        <v>17</v>
      </c>
      <c r="B16" s="1">
        <v>0.136911</v>
      </c>
      <c r="C16" s="1">
        <v>0.134159</v>
      </c>
      <c r="D16" s="1">
        <f t="shared" si="0"/>
        <v>2.7520000000000044E-3</v>
      </c>
      <c r="E16">
        <f t="shared" si="1"/>
        <v>3</v>
      </c>
      <c r="F16">
        <f t="shared" si="2"/>
        <v>58</v>
      </c>
      <c r="G16">
        <f t="shared" si="3"/>
        <v>3.97</v>
      </c>
    </row>
    <row r="17" spans="1:7" hidden="1" x14ac:dyDescent="0.25">
      <c r="A17" s="4" t="s">
        <v>18</v>
      </c>
      <c r="B17" s="1">
        <v>5.8460999999999999E-2</v>
      </c>
      <c r="C17" s="1">
        <v>6.1785E-2</v>
      </c>
      <c r="D17" s="1">
        <f t="shared" si="0"/>
        <v>3.3240000000000006E-3</v>
      </c>
      <c r="E17">
        <f t="shared" si="1"/>
        <v>4</v>
      </c>
      <c r="F17">
        <f t="shared" si="2"/>
        <v>47</v>
      </c>
      <c r="G17">
        <f t="shared" si="3"/>
        <v>4.78</v>
      </c>
    </row>
    <row r="18" spans="1:7" hidden="1" x14ac:dyDescent="0.25">
      <c r="A18" s="4" t="s">
        <v>19</v>
      </c>
      <c r="B18" s="1">
        <v>0.324683</v>
      </c>
      <c r="C18" s="1">
        <v>0.32151099999999999</v>
      </c>
      <c r="D18" s="1">
        <f t="shared" si="0"/>
        <v>3.1720000000000081E-3</v>
      </c>
      <c r="E18">
        <f t="shared" si="1"/>
        <v>4</v>
      </c>
      <c r="F18">
        <f t="shared" si="2"/>
        <v>34</v>
      </c>
      <c r="G18">
        <f t="shared" si="3"/>
        <v>4.57</v>
      </c>
    </row>
    <row r="19" spans="1:7" hidden="1" x14ac:dyDescent="0.25">
      <c r="A19" s="4" t="s">
        <v>20</v>
      </c>
      <c r="B19" s="1">
        <v>0.127914</v>
      </c>
      <c r="C19" s="1">
        <v>0.12561800000000001</v>
      </c>
      <c r="D19" s="1">
        <f t="shared" si="0"/>
        <v>2.2959999999999925E-3</v>
      </c>
      <c r="E19">
        <f t="shared" si="1"/>
        <v>3</v>
      </c>
      <c r="F19">
        <f t="shared" si="2"/>
        <v>18</v>
      </c>
      <c r="G19">
        <f t="shared" si="3"/>
        <v>3.3</v>
      </c>
    </row>
    <row r="20" spans="1:7" hidden="1" x14ac:dyDescent="0.25">
      <c r="A20" s="4" t="s">
        <v>21</v>
      </c>
      <c r="B20" s="1">
        <v>0.58114299999999997</v>
      </c>
      <c r="C20" s="1">
        <v>0.58296700000000001</v>
      </c>
      <c r="D20" s="1">
        <f t="shared" si="0"/>
        <v>1.8240000000000478E-3</v>
      </c>
      <c r="E20">
        <f t="shared" si="1"/>
        <v>2</v>
      </c>
      <c r="F20">
        <f t="shared" si="2"/>
        <v>38</v>
      </c>
      <c r="G20">
        <f t="shared" si="3"/>
        <v>2.63</v>
      </c>
    </row>
    <row r="21" spans="1:7" hidden="1" x14ac:dyDescent="0.25">
      <c r="A21" s="4" t="s">
        <v>22</v>
      </c>
      <c r="B21" s="1">
        <v>7.6165999999999998E-2</v>
      </c>
      <c r="C21" s="1">
        <v>7.9481999999999997E-2</v>
      </c>
      <c r="D21" s="1">
        <f t="shared" si="0"/>
        <v>3.3159999999999995E-3</v>
      </c>
      <c r="E21">
        <f t="shared" si="1"/>
        <v>4</v>
      </c>
      <c r="F21">
        <f t="shared" si="2"/>
        <v>47</v>
      </c>
      <c r="G21">
        <f t="shared" si="3"/>
        <v>4.78</v>
      </c>
    </row>
    <row r="22" spans="1:7" hidden="1" x14ac:dyDescent="0.25">
      <c r="A22" s="4" t="s">
        <v>23</v>
      </c>
      <c r="B22" s="1">
        <v>0.41572100000000001</v>
      </c>
      <c r="C22" s="1">
        <v>0.414217</v>
      </c>
      <c r="D22" s="1">
        <f t="shared" si="0"/>
        <v>1.5040000000000053E-3</v>
      </c>
      <c r="E22">
        <f t="shared" si="1"/>
        <v>2</v>
      </c>
      <c r="F22">
        <f t="shared" si="2"/>
        <v>10</v>
      </c>
      <c r="G22">
        <f t="shared" si="3"/>
        <v>2.17</v>
      </c>
    </row>
    <row r="23" spans="1:7" hidden="1" x14ac:dyDescent="0.25">
      <c r="A23" s="4" t="s">
        <v>24</v>
      </c>
      <c r="B23" s="1">
        <v>0.72382100000000005</v>
      </c>
      <c r="C23" s="1">
        <v>0.72524900000000003</v>
      </c>
      <c r="D23" s="1">
        <f t="shared" si="0"/>
        <v>1.4279999999999848E-3</v>
      </c>
      <c r="E23">
        <f t="shared" si="1"/>
        <v>2</v>
      </c>
      <c r="F23">
        <f t="shared" si="2"/>
        <v>3</v>
      </c>
      <c r="G23">
        <f t="shared" si="3"/>
        <v>2.0499999999999998</v>
      </c>
    </row>
    <row r="24" spans="1:7" hidden="1" x14ac:dyDescent="0.25">
      <c r="A24" s="4" t="s">
        <v>25</v>
      </c>
      <c r="B24" s="1">
        <v>0.54693899999999995</v>
      </c>
      <c r="C24" s="1">
        <v>0.550423</v>
      </c>
      <c r="D24" s="1">
        <f t="shared" si="0"/>
        <v>3.4840000000000426E-3</v>
      </c>
      <c r="E24">
        <f t="shared" si="1"/>
        <v>5</v>
      </c>
      <c r="F24">
        <f t="shared" si="2"/>
        <v>1</v>
      </c>
      <c r="G24">
        <f t="shared" si="3"/>
        <v>5.0199999999999996</v>
      </c>
    </row>
    <row r="25" spans="1:7" hidden="1" x14ac:dyDescent="0.25">
      <c r="A25" s="4" t="s">
        <v>26</v>
      </c>
      <c r="B25" s="1">
        <v>0.32196599999999997</v>
      </c>
      <c r="C25" s="1">
        <v>0.32423800000000003</v>
      </c>
      <c r="D25" s="1">
        <f t="shared" si="0"/>
        <v>2.2720000000000518E-3</v>
      </c>
      <c r="E25">
        <f t="shared" si="1"/>
        <v>3</v>
      </c>
      <c r="F25">
        <f t="shared" si="2"/>
        <v>16</v>
      </c>
      <c r="G25">
        <f t="shared" si="3"/>
        <v>3.27</v>
      </c>
    </row>
    <row r="26" spans="1:7" hidden="1" x14ac:dyDescent="0.25">
      <c r="A26" s="4" t="s">
        <v>27</v>
      </c>
      <c r="B26" s="1">
        <v>0.94908300000000001</v>
      </c>
      <c r="C26" s="1">
        <v>0.94690700000000005</v>
      </c>
      <c r="D26" s="1">
        <f t="shared" si="0"/>
        <v>2.1759999999999557E-3</v>
      </c>
      <c r="E26">
        <f t="shared" si="1"/>
        <v>3</v>
      </c>
      <c r="F26">
        <f t="shared" si="2"/>
        <v>8</v>
      </c>
      <c r="G26">
        <f t="shared" si="3"/>
        <v>3.13</v>
      </c>
    </row>
    <row r="27" spans="1:7" hidden="1" x14ac:dyDescent="0.25">
      <c r="A27" s="4" t="s">
        <v>28</v>
      </c>
      <c r="B27" s="1">
        <v>0.38782699999999998</v>
      </c>
      <c r="C27" s="1">
        <v>0.38494699999999998</v>
      </c>
      <c r="D27" s="1">
        <f t="shared" si="0"/>
        <v>2.8799999999999937E-3</v>
      </c>
      <c r="E27">
        <f t="shared" si="1"/>
        <v>4</v>
      </c>
      <c r="F27">
        <f t="shared" si="2"/>
        <v>9</v>
      </c>
      <c r="G27">
        <f t="shared" si="3"/>
        <v>4.1500000000000004</v>
      </c>
    </row>
    <row r="28" spans="1:7" hidden="1" x14ac:dyDescent="0.25">
      <c r="A28" s="4" t="s">
        <v>29</v>
      </c>
      <c r="B28" s="1">
        <v>5.8074000000000001E-2</v>
      </c>
      <c r="C28" s="1">
        <v>5.5070000000000001E-2</v>
      </c>
      <c r="D28" s="1">
        <f t="shared" si="0"/>
        <v>3.0039999999999997E-3</v>
      </c>
      <c r="E28">
        <f t="shared" si="1"/>
        <v>4</v>
      </c>
      <c r="F28">
        <f t="shared" si="2"/>
        <v>20</v>
      </c>
      <c r="G28">
        <f t="shared" si="3"/>
        <v>4.33</v>
      </c>
    </row>
    <row r="29" spans="1:7" hidden="1" x14ac:dyDescent="0.25">
      <c r="A29" s="4" t="s">
        <v>30</v>
      </c>
      <c r="B29" s="1">
        <v>7.5792999999999999E-2</v>
      </c>
      <c r="C29" s="1">
        <v>7.8176999999999996E-2</v>
      </c>
      <c r="D29" s="1">
        <f t="shared" si="0"/>
        <v>2.3839999999999972E-3</v>
      </c>
      <c r="E29">
        <f t="shared" si="1"/>
        <v>3</v>
      </c>
      <c r="F29">
        <f t="shared" si="2"/>
        <v>26</v>
      </c>
      <c r="G29">
        <f t="shared" si="3"/>
        <v>3.43</v>
      </c>
    </row>
    <row r="30" spans="1:7" hidden="1" x14ac:dyDescent="0.25">
      <c r="A30" s="4" t="s">
        <v>31</v>
      </c>
      <c r="B30" s="1">
        <v>0.20865400000000001</v>
      </c>
      <c r="C30" s="1">
        <v>0.21079800000000001</v>
      </c>
      <c r="D30" s="1">
        <f t="shared" si="0"/>
        <v>2.144000000000007E-3</v>
      </c>
      <c r="E30">
        <f t="shared" si="1"/>
        <v>3</v>
      </c>
      <c r="F30">
        <f t="shared" si="2"/>
        <v>5</v>
      </c>
      <c r="G30">
        <f t="shared" si="3"/>
        <v>3.08</v>
      </c>
    </row>
    <row r="31" spans="1:7" hidden="1" x14ac:dyDescent="0.25">
      <c r="A31" s="4" t="s">
        <v>32</v>
      </c>
      <c r="B31" s="1">
        <v>0.959372</v>
      </c>
      <c r="C31" s="1">
        <v>0.956704</v>
      </c>
      <c r="D31" s="1">
        <f t="shared" si="0"/>
        <v>2.6680000000000037E-3</v>
      </c>
      <c r="E31">
        <f t="shared" si="1"/>
        <v>3</v>
      </c>
      <c r="F31">
        <f t="shared" si="2"/>
        <v>51</v>
      </c>
      <c r="G31">
        <f t="shared" si="3"/>
        <v>3.85</v>
      </c>
    </row>
    <row r="32" spans="1:7" hidden="1" x14ac:dyDescent="0.25">
      <c r="A32" s="4" t="s">
        <v>33</v>
      </c>
      <c r="B32" s="1">
        <v>0.92453600000000002</v>
      </c>
      <c r="C32" s="1">
        <v>0.92642400000000003</v>
      </c>
      <c r="D32" s="1">
        <f t="shared" si="0"/>
        <v>1.8880000000000008E-3</v>
      </c>
      <c r="E32">
        <f t="shared" si="1"/>
        <v>2</v>
      </c>
      <c r="F32">
        <f t="shared" si="2"/>
        <v>43</v>
      </c>
      <c r="G32">
        <f t="shared" si="3"/>
        <v>2.72</v>
      </c>
    </row>
    <row r="33" spans="1:7" x14ac:dyDescent="0.25">
      <c r="A33" s="7" t="s">
        <v>34</v>
      </c>
      <c r="B33" s="1">
        <v>0.23633899999999999</v>
      </c>
      <c r="C33" s="1">
        <v>0.23261499999999999</v>
      </c>
      <c r="D33" s="1">
        <f t="shared" si="0"/>
        <v>3.7240000000000051E-3</v>
      </c>
      <c r="E33">
        <f t="shared" si="1"/>
        <v>5</v>
      </c>
      <c r="F33">
        <f t="shared" si="2"/>
        <v>22</v>
      </c>
      <c r="G33" s="2">
        <f t="shared" si="3"/>
        <v>5.37</v>
      </c>
    </row>
    <row r="34" spans="1:7" hidden="1" x14ac:dyDescent="0.25">
      <c r="A34" s="4" t="s">
        <v>428</v>
      </c>
      <c r="B34" s="1">
        <v>0.66373000000000004</v>
      </c>
      <c r="C34" s="1">
        <v>0.66111399999999998</v>
      </c>
      <c r="D34" s="1">
        <f t="shared" si="0"/>
        <v>2.6160000000000627E-3</v>
      </c>
      <c r="E34">
        <f t="shared" si="1"/>
        <v>3</v>
      </c>
      <c r="F34">
        <f t="shared" si="2"/>
        <v>46</v>
      </c>
      <c r="G34">
        <f t="shared" si="3"/>
        <v>3.77</v>
      </c>
    </row>
    <row r="35" spans="1:7" hidden="1" x14ac:dyDescent="0.25">
      <c r="A35" s="4" t="s">
        <v>35</v>
      </c>
      <c r="B35" s="1">
        <v>0.220334</v>
      </c>
      <c r="C35" s="1">
        <v>0.22331400000000001</v>
      </c>
      <c r="D35" s="1">
        <f t="shared" si="0"/>
        <v>2.9800000000000104E-3</v>
      </c>
      <c r="E35">
        <f t="shared" si="1"/>
        <v>4</v>
      </c>
      <c r="F35">
        <f t="shared" si="2"/>
        <v>17</v>
      </c>
      <c r="G35">
        <f t="shared" si="3"/>
        <v>4.28</v>
      </c>
    </row>
    <row r="36" spans="1:7" hidden="1" x14ac:dyDescent="0.25">
      <c r="A36" s="4" t="s">
        <v>36</v>
      </c>
      <c r="B36" s="1">
        <v>0.43002600000000002</v>
      </c>
      <c r="C36" s="1">
        <v>0.42713400000000001</v>
      </c>
      <c r="D36" s="1">
        <f t="shared" si="0"/>
        <v>2.8920000000000057E-3</v>
      </c>
      <c r="E36">
        <f t="shared" si="1"/>
        <v>4</v>
      </c>
      <c r="F36">
        <f t="shared" si="2"/>
        <v>10</v>
      </c>
      <c r="G36">
        <f t="shared" si="3"/>
        <v>4.17</v>
      </c>
    </row>
    <row r="37" spans="1:7" hidden="1" x14ac:dyDescent="0.25">
      <c r="A37" s="4" t="s">
        <v>37</v>
      </c>
      <c r="B37" s="1">
        <v>0.62783900000000004</v>
      </c>
      <c r="C37" s="1">
        <v>0.62973500000000004</v>
      </c>
      <c r="D37" s="1">
        <f t="shared" si="0"/>
        <v>1.8960000000000088E-3</v>
      </c>
      <c r="E37">
        <f t="shared" si="1"/>
        <v>2</v>
      </c>
      <c r="F37">
        <f t="shared" si="2"/>
        <v>44</v>
      </c>
      <c r="G37">
        <f t="shared" si="3"/>
        <v>2.73</v>
      </c>
    </row>
    <row r="38" spans="1:7" hidden="1" x14ac:dyDescent="0.25">
      <c r="A38" s="4" t="s">
        <v>38</v>
      </c>
      <c r="B38" s="1">
        <v>0.72344799999999998</v>
      </c>
      <c r="C38" s="1">
        <v>0.72086399999999995</v>
      </c>
      <c r="D38" s="1">
        <f t="shared" si="0"/>
        <v>2.5840000000000307E-3</v>
      </c>
      <c r="E38">
        <f t="shared" si="1"/>
        <v>3</v>
      </c>
      <c r="F38">
        <f t="shared" si="2"/>
        <v>43</v>
      </c>
      <c r="G38">
        <f t="shared" si="3"/>
        <v>3.72</v>
      </c>
    </row>
    <row r="39" spans="1:7" x14ac:dyDescent="0.25">
      <c r="A39" s="7" t="s">
        <v>39</v>
      </c>
      <c r="B39" s="1">
        <v>8.9300000000000004E-2</v>
      </c>
      <c r="C39" s="1">
        <v>9.3151999999999999E-2</v>
      </c>
      <c r="D39" s="1">
        <f t="shared" si="0"/>
        <v>3.8519999999999943E-3</v>
      </c>
      <c r="E39">
        <f t="shared" si="1"/>
        <v>5</v>
      </c>
      <c r="F39">
        <f t="shared" si="2"/>
        <v>33</v>
      </c>
      <c r="G39" s="2">
        <f t="shared" si="3"/>
        <v>5.55</v>
      </c>
    </row>
    <row r="40" spans="1:7" hidden="1" x14ac:dyDescent="0.25">
      <c r="A40" s="4" t="s">
        <v>40</v>
      </c>
      <c r="B40" s="1">
        <v>0.89808900000000003</v>
      </c>
      <c r="C40" s="1">
        <v>0.900501</v>
      </c>
      <c r="D40" s="1">
        <f t="shared" si="0"/>
        <v>2.4119999999999697E-3</v>
      </c>
      <c r="E40">
        <f t="shared" si="1"/>
        <v>3</v>
      </c>
      <c r="F40">
        <f t="shared" si="2"/>
        <v>28</v>
      </c>
      <c r="G40">
        <f t="shared" si="3"/>
        <v>3.47</v>
      </c>
    </row>
    <row r="41" spans="1:7" hidden="1" x14ac:dyDescent="0.25">
      <c r="A41" s="4" t="s">
        <v>41</v>
      </c>
      <c r="B41" s="1">
        <v>0.54968600000000001</v>
      </c>
      <c r="C41" s="1">
        <v>0.55359800000000003</v>
      </c>
      <c r="D41" s="1">
        <f t="shared" si="0"/>
        <v>3.9120000000000266E-3</v>
      </c>
      <c r="E41">
        <f t="shared" si="1"/>
        <v>5</v>
      </c>
      <c r="F41">
        <f t="shared" si="2"/>
        <v>38</v>
      </c>
      <c r="G41">
        <f t="shared" si="3"/>
        <v>5.63</v>
      </c>
    </row>
    <row r="42" spans="1:7" x14ac:dyDescent="0.25">
      <c r="A42" s="7" t="s">
        <v>42</v>
      </c>
      <c r="B42" s="1">
        <v>2.5205000000000002E-2</v>
      </c>
      <c r="C42" s="1">
        <v>2.8740999999999999E-2</v>
      </c>
      <c r="D42" s="1">
        <f t="shared" si="0"/>
        <v>3.5359999999999975E-3</v>
      </c>
      <c r="E42">
        <f t="shared" si="1"/>
        <v>5</v>
      </c>
      <c r="F42">
        <f t="shared" si="2"/>
        <v>6</v>
      </c>
      <c r="G42" s="2">
        <f t="shared" si="3"/>
        <v>5.0999999999999996</v>
      </c>
    </row>
    <row r="43" spans="1:7" hidden="1" x14ac:dyDescent="0.25">
      <c r="A43" s="4" t="s">
        <v>43</v>
      </c>
      <c r="B43" s="1">
        <v>0.74113899999999999</v>
      </c>
      <c r="C43" s="1">
        <v>0.74283100000000002</v>
      </c>
      <c r="D43" s="1">
        <f t="shared" si="0"/>
        <v>1.6920000000000268E-3</v>
      </c>
      <c r="E43">
        <f t="shared" si="1"/>
        <v>2</v>
      </c>
      <c r="F43">
        <f t="shared" si="2"/>
        <v>26</v>
      </c>
      <c r="G43">
        <f t="shared" si="3"/>
        <v>2.4300000000000002</v>
      </c>
    </row>
    <row r="44" spans="1:7" hidden="1" x14ac:dyDescent="0.25">
      <c r="A44" s="4" t="s">
        <v>44</v>
      </c>
      <c r="B44" s="1">
        <v>0.45712199999999997</v>
      </c>
      <c r="C44" s="1">
        <v>0.45935799999999999</v>
      </c>
      <c r="D44" s="1">
        <f t="shared" si="0"/>
        <v>2.2360000000000158E-3</v>
      </c>
      <c r="E44">
        <f t="shared" si="1"/>
        <v>3</v>
      </c>
      <c r="F44">
        <f t="shared" si="2"/>
        <v>13</v>
      </c>
      <c r="G44">
        <f t="shared" si="3"/>
        <v>3.22</v>
      </c>
    </row>
    <row r="45" spans="1:7" hidden="1" x14ac:dyDescent="0.25">
      <c r="A45" s="4" t="s">
        <v>45</v>
      </c>
      <c r="B45" s="1">
        <v>0.26977200000000001</v>
      </c>
      <c r="C45" s="1">
        <v>0.2661</v>
      </c>
      <c r="D45" s="1">
        <f t="shared" si="0"/>
        <v>3.6720000000000086E-3</v>
      </c>
      <c r="E45">
        <f t="shared" si="1"/>
        <v>5</v>
      </c>
      <c r="F45">
        <f t="shared" si="2"/>
        <v>17</v>
      </c>
      <c r="G45">
        <f t="shared" si="3"/>
        <v>5.28</v>
      </c>
    </row>
    <row r="46" spans="1:7" hidden="1" x14ac:dyDescent="0.25">
      <c r="A46" s="4" t="s">
        <v>46</v>
      </c>
      <c r="B46" s="1">
        <v>0.193527</v>
      </c>
      <c r="C46" s="1">
        <v>0.18987100000000001</v>
      </c>
      <c r="D46" s="1">
        <f t="shared" si="0"/>
        <v>3.6559999999999926E-3</v>
      </c>
      <c r="E46">
        <f t="shared" si="1"/>
        <v>5</v>
      </c>
      <c r="F46">
        <f t="shared" si="2"/>
        <v>16</v>
      </c>
      <c r="G46">
        <f t="shared" si="3"/>
        <v>5.27</v>
      </c>
    </row>
    <row r="47" spans="1:7" hidden="1" x14ac:dyDescent="0.25">
      <c r="A47" s="4" t="s">
        <v>47</v>
      </c>
      <c r="B47" s="1">
        <v>0.73745799999999995</v>
      </c>
      <c r="C47" s="1">
        <v>0.73368199999999995</v>
      </c>
      <c r="D47" s="1">
        <f t="shared" si="0"/>
        <v>3.7760000000000016E-3</v>
      </c>
      <c r="E47">
        <f t="shared" si="1"/>
        <v>5</v>
      </c>
      <c r="F47">
        <f t="shared" si="2"/>
        <v>26</v>
      </c>
      <c r="G47">
        <f t="shared" si="3"/>
        <v>5.43</v>
      </c>
    </row>
    <row r="48" spans="1:7" hidden="1" x14ac:dyDescent="0.25">
      <c r="A48" s="4" t="s">
        <v>48</v>
      </c>
      <c r="B48" s="1">
        <v>0.29613200000000001</v>
      </c>
      <c r="C48" s="1">
        <v>0.29450799999999999</v>
      </c>
      <c r="D48" s="1">
        <f t="shared" si="0"/>
        <v>1.6240000000000143E-3</v>
      </c>
      <c r="E48">
        <f t="shared" si="1"/>
        <v>2</v>
      </c>
      <c r="F48">
        <f t="shared" si="2"/>
        <v>20</v>
      </c>
      <c r="G48">
        <f t="shared" si="3"/>
        <v>2.33</v>
      </c>
    </row>
    <row r="49" spans="1:7" hidden="1" x14ac:dyDescent="0.25">
      <c r="A49" s="4" t="s">
        <v>49</v>
      </c>
      <c r="B49" s="1">
        <v>0.55866400000000005</v>
      </c>
      <c r="C49" s="1">
        <v>0.55554400000000004</v>
      </c>
      <c r="D49" s="1">
        <f t="shared" si="0"/>
        <v>3.1200000000000117E-3</v>
      </c>
      <c r="E49">
        <f t="shared" si="1"/>
        <v>4</v>
      </c>
      <c r="F49">
        <f t="shared" si="2"/>
        <v>30</v>
      </c>
      <c r="G49">
        <f t="shared" si="3"/>
        <v>4.5</v>
      </c>
    </row>
    <row r="50" spans="1:7" hidden="1" x14ac:dyDescent="0.25">
      <c r="A50" s="4" t="s">
        <v>50</v>
      </c>
      <c r="B50" s="1">
        <v>0.46306999999999998</v>
      </c>
      <c r="C50" s="1">
        <v>0.466978</v>
      </c>
      <c r="D50" s="1">
        <f t="shared" si="0"/>
        <v>3.9080000000000226E-3</v>
      </c>
      <c r="E50">
        <f t="shared" si="1"/>
        <v>5</v>
      </c>
      <c r="F50">
        <f t="shared" si="2"/>
        <v>38</v>
      </c>
      <c r="G50">
        <f t="shared" si="3"/>
        <v>5.63</v>
      </c>
    </row>
    <row r="51" spans="1:7" hidden="1" x14ac:dyDescent="0.25">
      <c r="A51" s="4" t="s">
        <v>51</v>
      </c>
      <c r="B51" s="1">
        <v>0.20654</v>
      </c>
      <c r="C51" s="1">
        <v>0.20846000000000001</v>
      </c>
      <c r="D51" s="1">
        <f t="shared" si="0"/>
        <v>1.920000000000005E-3</v>
      </c>
      <c r="E51">
        <f t="shared" si="1"/>
        <v>2</v>
      </c>
      <c r="F51">
        <f t="shared" si="2"/>
        <v>46</v>
      </c>
      <c r="G51">
        <f t="shared" si="3"/>
        <v>2.77</v>
      </c>
    </row>
    <row r="52" spans="1:7" hidden="1" x14ac:dyDescent="0.25">
      <c r="A52" s="4" t="s">
        <v>52</v>
      </c>
      <c r="B52" s="1">
        <v>0.86371399999999998</v>
      </c>
      <c r="C52" s="1">
        <v>0.86516999999999999</v>
      </c>
      <c r="D52" s="1">
        <f t="shared" si="0"/>
        <v>1.4560000000000128E-3</v>
      </c>
      <c r="E52">
        <f t="shared" si="1"/>
        <v>2</v>
      </c>
      <c r="F52">
        <f t="shared" si="2"/>
        <v>6</v>
      </c>
      <c r="G52">
        <f t="shared" si="3"/>
        <v>2.1</v>
      </c>
    </row>
    <row r="53" spans="1:7" hidden="1" x14ac:dyDescent="0.25">
      <c r="A53" s="4" t="s">
        <v>53</v>
      </c>
      <c r="B53" s="1">
        <v>0.83620700000000003</v>
      </c>
      <c r="C53" s="1">
        <v>0.83887500000000004</v>
      </c>
      <c r="D53" s="1">
        <f t="shared" si="0"/>
        <v>2.6680000000000037E-3</v>
      </c>
      <c r="E53">
        <f t="shared" si="1"/>
        <v>3</v>
      </c>
      <c r="F53">
        <f t="shared" si="2"/>
        <v>51</v>
      </c>
      <c r="G53">
        <f t="shared" si="3"/>
        <v>3.85</v>
      </c>
    </row>
    <row r="54" spans="1:7" hidden="1" x14ac:dyDescent="0.25">
      <c r="A54" s="4" t="s">
        <v>54</v>
      </c>
      <c r="B54" s="1">
        <v>0.83164899999999997</v>
      </c>
      <c r="C54" s="1">
        <v>0.82985699999999996</v>
      </c>
      <c r="D54" s="1">
        <f t="shared" si="0"/>
        <v>1.7920000000000158E-3</v>
      </c>
      <c r="E54">
        <f t="shared" si="1"/>
        <v>2</v>
      </c>
      <c r="F54">
        <f t="shared" si="2"/>
        <v>35</v>
      </c>
      <c r="G54">
        <f t="shared" si="3"/>
        <v>2.58</v>
      </c>
    </row>
    <row r="55" spans="1:7" hidden="1" x14ac:dyDescent="0.25">
      <c r="A55" s="4" t="s">
        <v>55</v>
      </c>
      <c r="B55" s="1">
        <v>0.62158000000000002</v>
      </c>
      <c r="C55" s="1">
        <v>0.61829199999999995</v>
      </c>
      <c r="D55" s="1">
        <f t="shared" si="0"/>
        <v>3.2880000000000686E-3</v>
      </c>
      <c r="E55">
        <f t="shared" si="1"/>
        <v>4</v>
      </c>
      <c r="F55">
        <f t="shared" si="2"/>
        <v>44</v>
      </c>
      <c r="G55">
        <f t="shared" si="3"/>
        <v>4.7300000000000004</v>
      </c>
    </row>
    <row r="56" spans="1:7" hidden="1" x14ac:dyDescent="0.25">
      <c r="A56" s="4" t="s">
        <v>56</v>
      </c>
      <c r="B56" s="1">
        <v>0.34653200000000001</v>
      </c>
      <c r="C56" s="1">
        <v>0.34881600000000001</v>
      </c>
      <c r="D56" s="1">
        <f t="shared" si="0"/>
        <v>2.2840000000000082E-3</v>
      </c>
      <c r="E56">
        <f t="shared" si="1"/>
        <v>3</v>
      </c>
      <c r="F56">
        <f t="shared" si="2"/>
        <v>17</v>
      </c>
      <c r="G56">
        <f t="shared" si="3"/>
        <v>3.28</v>
      </c>
    </row>
    <row r="57" spans="1:7" hidden="1" x14ac:dyDescent="0.25">
      <c r="A57" s="4" t="s">
        <v>57</v>
      </c>
      <c r="B57" s="1">
        <v>0.95849399999999996</v>
      </c>
      <c r="C57" s="1">
        <v>0.96079800000000004</v>
      </c>
      <c r="D57" s="1">
        <f t="shared" si="0"/>
        <v>2.3040000000000838E-3</v>
      </c>
      <c r="E57">
        <f t="shared" si="1"/>
        <v>3</v>
      </c>
      <c r="F57">
        <f t="shared" si="2"/>
        <v>19</v>
      </c>
      <c r="G57">
        <f t="shared" si="3"/>
        <v>3.32</v>
      </c>
    </row>
    <row r="58" spans="1:7" hidden="1" x14ac:dyDescent="0.25">
      <c r="A58" s="4" t="s">
        <v>58</v>
      </c>
      <c r="B58" s="1">
        <v>0.88663099999999995</v>
      </c>
      <c r="C58" s="1">
        <v>0.888683</v>
      </c>
      <c r="D58" s="1">
        <f t="shared" si="0"/>
        <v>2.0520000000000538E-3</v>
      </c>
      <c r="E58">
        <f t="shared" si="1"/>
        <v>2</v>
      </c>
      <c r="F58">
        <f t="shared" si="2"/>
        <v>57</v>
      </c>
      <c r="G58">
        <f t="shared" si="3"/>
        <v>2.95</v>
      </c>
    </row>
    <row r="59" spans="1:7" hidden="1" x14ac:dyDescent="0.25">
      <c r="A59" s="4" t="s">
        <v>59</v>
      </c>
      <c r="B59" s="1">
        <v>0.54649099999999995</v>
      </c>
      <c r="C59" s="1">
        <v>0.54815899999999995</v>
      </c>
      <c r="D59" s="1">
        <f t="shared" si="0"/>
        <v>1.6680000000000028E-3</v>
      </c>
      <c r="E59">
        <f t="shared" si="1"/>
        <v>2</v>
      </c>
      <c r="F59">
        <f t="shared" si="2"/>
        <v>24</v>
      </c>
      <c r="G59">
        <f t="shared" si="3"/>
        <v>2.4</v>
      </c>
    </row>
    <row r="60" spans="1:7" hidden="1" x14ac:dyDescent="0.25">
      <c r="A60" s="4" t="s">
        <v>60</v>
      </c>
      <c r="B60" s="1">
        <v>0.715557</v>
      </c>
      <c r="C60" s="1">
        <v>0.71916100000000005</v>
      </c>
      <c r="D60" s="1">
        <f t="shared" si="0"/>
        <v>3.6040000000000516E-3</v>
      </c>
      <c r="E60">
        <f t="shared" si="1"/>
        <v>5</v>
      </c>
      <c r="F60">
        <f t="shared" si="2"/>
        <v>11</v>
      </c>
      <c r="G60">
        <f t="shared" si="3"/>
        <v>5.18</v>
      </c>
    </row>
    <row r="61" spans="1:7" hidden="1" x14ac:dyDescent="0.25">
      <c r="A61" s="4" t="s">
        <v>61</v>
      </c>
      <c r="B61" s="1">
        <v>0.95039600000000002</v>
      </c>
      <c r="C61" s="1">
        <v>0.95372400000000002</v>
      </c>
      <c r="D61" s="1">
        <f t="shared" si="0"/>
        <v>3.3279999999999976E-3</v>
      </c>
      <c r="E61">
        <f t="shared" si="1"/>
        <v>4</v>
      </c>
      <c r="F61">
        <f t="shared" si="2"/>
        <v>48</v>
      </c>
      <c r="G61">
        <f t="shared" si="3"/>
        <v>4.8</v>
      </c>
    </row>
    <row r="62" spans="1:7" hidden="1" x14ac:dyDescent="0.25">
      <c r="A62" s="4" t="s">
        <v>62</v>
      </c>
      <c r="B62" s="1">
        <v>0.703264</v>
      </c>
      <c r="C62" s="1">
        <v>0.70138800000000001</v>
      </c>
      <c r="D62" s="1">
        <f t="shared" si="0"/>
        <v>1.8759999999999888E-3</v>
      </c>
      <c r="E62">
        <f t="shared" si="1"/>
        <v>2</v>
      </c>
      <c r="F62">
        <f t="shared" si="2"/>
        <v>42</v>
      </c>
      <c r="G62">
        <f t="shared" si="3"/>
        <v>2.7</v>
      </c>
    </row>
    <row r="63" spans="1:7" hidden="1" x14ac:dyDescent="0.25">
      <c r="A63" s="4" t="s">
        <v>63</v>
      </c>
      <c r="B63" s="1">
        <v>0.122056</v>
      </c>
      <c r="C63" s="1">
        <v>0.12371600000000001</v>
      </c>
      <c r="D63" s="1">
        <f t="shared" si="0"/>
        <v>1.6600000000000087E-3</v>
      </c>
      <c r="E63">
        <f t="shared" si="1"/>
        <v>2</v>
      </c>
      <c r="F63">
        <f t="shared" si="2"/>
        <v>23</v>
      </c>
      <c r="G63">
        <f t="shared" si="3"/>
        <v>2.38</v>
      </c>
    </row>
    <row r="64" spans="1:7" hidden="1" x14ac:dyDescent="0.25">
      <c r="A64" s="4" t="s">
        <v>64</v>
      </c>
      <c r="B64" s="1">
        <v>0.21684999999999999</v>
      </c>
      <c r="C64" s="1">
        <v>0.21870999999999999</v>
      </c>
      <c r="D64" s="1">
        <f t="shared" si="0"/>
        <v>1.8600000000000005E-3</v>
      </c>
      <c r="E64">
        <f t="shared" si="1"/>
        <v>2</v>
      </c>
      <c r="F64">
        <f t="shared" si="2"/>
        <v>41</v>
      </c>
      <c r="G64">
        <f t="shared" si="3"/>
        <v>2.68</v>
      </c>
    </row>
    <row r="65" spans="1:7" hidden="1" x14ac:dyDescent="0.25">
      <c r="A65" s="4" t="s">
        <v>65</v>
      </c>
      <c r="B65" s="1">
        <v>0.79385700000000003</v>
      </c>
      <c r="C65" s="1">
        <v>0.79043699999999995</v>
      </c>
      <c r="D65" s="1">
        <f t="shared" si="0"/>
        <v>3.4200000000000896E-3</v>
      </c>
      <c r="E65">
        <f t="shared" si="1"/>
        <v>4</v>
      </c>
      <c r="F65">
        <f t="shared" si="2"/>
        <v>55</v>
      </c>
      <c r="G65">
        <f t="shared" si="3"/>
        <v>4.92</v>
      </c>
    </row>
    <row r="66" spans="1:7" hidden="1" x14ac:dyDescent="0.25">
      <c r="A66" s="4" t="s">
        <v>66</v>
      </c>
      <c r="B66" s="1">
        <v>6.5331E-2</v>
      </c>
      <c r="C66" s="1">
        <v>6.2547000000000005E-2</v>
      </c>
      <c r="D66" s="1">
        <f t="shared" si="0"/>
        <v>2.7839999999999948E-3</v>
      </c>
      <c r="E66">
        <f t="shared" si="1"/>
        <v>4</v>
      </c>
      <c r="F66">
        <f t="shared" si="2"/>
        <v>1</v>
      </c>
      <c r="G66">
        <f t="shared" si="3"/>
        <v>4.0199999999999996</v>
      </c>
    </row>
    <row r="67" spans="1:7" hidden="1" x14ac:dyDescent="0.25">
      <c r="A67" s="4" t="s">
        <v>67</v>
      </c>
      <c r="B67" s="1">
        <v>0.58044700000000005</v>
      </c>
      <c r="C67" s="1">
        <v>0.58282699999999998</v>
      </c>
      <c r="D67" s="1">
        <f t="shared" ref="D67:D130" si="4">IF(B67&gt;C67,B67-C67,C67-B67)</f>
        <v>2.3799999999999377E-3</v>
      </c>
      <c r="E67">
        <f t="shared" ref="E67:E130" si="5">MINUTE(D67)</f>
        <v>3</v>
      </c>
      <c r="F67">
        <f t="shared" ref="F67:F130" si="6">SECOND(D67)</f>
        <v>26</v>
      </c>
      <c r="G67">
        <f t="shared" ref="G67:G130" si="7">ROUND(E67+F67/60,2)</f>
        <v>3.43</v>
      </c>
    </row>
    <row r="68" spans="1:7" hidden="1" x14ac:dyDescent="0.25">
      <c r="A68" s="4" t="s">
        <v>68</v>
      </c>
      <c r="B68" s="1">
        <v>1.8766999999999999E-2</v>
      </c>
      <c r="C68" s="1">
        <v>2.1031000000000001E-2</v>
      </c>
      <c r="D68" s="1">
        <f t="shared" si="4"/>
        <v>2.2640000000000021E-3</v>
      </c>
      <c r="E68">
        <f t="shared" si="5"/>
        <v>3</v>
      </c>
      <c r="F68">
        <f t="shared" si="6"/>
        <v>16</v>
      </c>
      <c r="G68">
        <f t="shared" si="7"/>
        <v>3.27</v>
      </c>
    </row>
    <row r="69" spans="1:7" hidden="1" x14ac:dyDescent="0.25">
      <c r="A69" s="4" t="s">
        <v>69</v>
      </c>
      <c r="B69" s="1">
        <v>0.51825500000000002</v>
      </c>
      <c r="C69" s="1">
        <v>0.51454299999999997</v>
      </c>
      <c r="D69" s="1">
        <f t="shared" si="4"/>
        <v>3.7120000000000486E-3</v>
      </c>
      <c r="E69">
        <f t="shared" si="5"/>
        <v>5</v>
      </c>
      <c r="F69">
        <f t="shared" si="6"/>
        <v>21</v>
      </c>
      <c r="G69">
        <f t="shared" si="7"/>
        <v>5.35</v>
      </c>
    </row>
    <row r="70" spans="1:7" hidden="1" x14ac:dyDescent="0.25">
      <c r="A70" s="4" t="s">
        <v>70</v>
      </c>
      <c r="B70" s="1">
        <v>0.83702100000000002</v>
      </c>
      <c r="C70" s="1">
        <v>0.83974899999999997</v>
      </c>
      <c r="D70" s="1">
        <f t="shared" si="4"/>
        <v>2.7279999999999527E-3</v>
      </c>
      <c r="E70">
        <f t="shared" si="5"/>
        <v>3</v>
      </c>
      <c r="F70">
        <f t="shared" si="6"/>
        <v>56</v>
      </c>
      <c r="G70">
        <f t="shared" si="7"/>
        <v>3.93</v>
      </c>
    </row>
    <row r="71" spans="1:7" hidden="1" x14ac:dyDescent="0.25">
      <c r="A71" s="4" t="s">
        <v>71</v>
      </c>
      <c r="B71" s="1">
        <v>0.53334199999999998</v>
      </c>
      <c r="C71" s="1">
        <v>0.52953799999999995</v>
      </c>
      <c r="D71" s="1">
        <f t="shared" si="4"/>
        <v>3.8040000000000296E-3</v>
      </c>
      <c r="E71">
        <f t="shared" si="5"/>
        <v>5</v>
      </c>
      <c r="F71">
        <f t="shared" si="6"/>
        <v>29</v>
      </c>
      <c r="G71">
        <f t="shared" si="7"/>
        <v>5.48</v>
      </c>
    </row>
    <row r="72" spans="1:7" hidden="1" x14ac:dyDescent="0.25">
      <c r="A72" s="4" t="s">
        <v>72</v>
      </c>
      <c r="B72" s="1">
        <v>0.73590199999999995</v>
      </c>
      <c r="C72" s="1">
        <v>0.738062</v>
      </c>
      <c r="D72" s="1">
        <f t="shared" si="4"/>
        <v>2.1600000000000508E-3</v>
      </c>
      <c r="E72">
        <f t="shared" si="5"/>
        <v>3</v>
      </c>
      <c r="F72">
        <f t="shared" si="6"/>
        <v>7</v>
      </c>
      <c r="G72">
        <f t="shared" si="7"/>
        <v>3.12</v>
      </c>
    </row>
    <row r="73" spans="1:7" hidden="1" x14ac:dyDescent="0.25">
      <c r="A73" s="4" t="s">
        <v>73</v>
      </c>
      <c r="B73" s="1">
        <v>0.39306200000000002</v>
      </c>
      <c r="C73" s="1">
        <v>0.39612599999999998</v>
      </c>
      <c r="D73" s="1">
        <f t="shared" si="4"/>
        <v>3.0639999999999556E-3</v>
      </c>
      <c r="E73">
        <f t="shared" si="5"/>
        <v>4</v>
      </c>
      <c r="F73">
        <f t="shared" si="6"/>
        <v>25</v>
      </c>
      <c r="G73">
        <f t="shared" si="7"/>
        <v>4.42</v>
      </c>
    </row>
    <row r="74" spans="1:7" hidden="1" x14ac:dyDescent="0.25">
      <c r="A74" s="4" t="s">
        <v>74</v>
      </c>
      <c r="B74" s="1">
        <v>0.57475200000000004</v>
      </c>
      <c r="C74" s="1">
        <v>0.57793600000000001</v>
      </c>
      <c r="D74" s="1">
        <f t="shared" si="4"/>
        <v>3.1839999999999646E-3</v>
      </c>
      <c r="E74">
        <f t="shared" si="5"/>
        <v>4</v>
      </c>
      <c r="F74">
        <f t="shared" si="6"/>
        <v>35</v>
      </c>
      <c r="G74">
        <f t="shared" si="7"/>
        <v>4.58</v>
      </c>
    </row>
    <row r="75" spans="1:7" hidden="1" x14ac:dyDescent="0.25">
      <c r="A75" s="4" t="s">
        <v>75</v>
      </c>
      <c r="B75" s="1">
        <v>0.85006000000000004</v>
      </c>
      <c r="C75" s="1">
        <v>0.85299599999999998</v>
      </c>
      <c r="D75" s="1">
        <f t="shared" si="4"/>
        <v>2.9359999999999387E-3</v>
      </c>
      <c r="E75">
        <f t="shared" si="5"/>
        <v>4</v>
      </c>
      <c r="F75">
        <f t="shared" si="6"/>
        <v>14</v>
      </c>
      <c r="G75">
        <f t="shared" si="7"/>
        <v>4.2300000000000004</v>
      </c>
    </row>
    <row r="76" spans="1:7" hidden="1" x14ac:dyDescent="0.25">
      <c r="A76" s="4" t="s">
        <v>76</v>
      </c>
      <c r="B76" s="1">
        <v>0.51857500000000001</v>
      </c>
      <c r="C76" s="1">
        <v>0.51999099999999998</v>
      </c>
      <c r="D76" s="1">
        <f t="shared" si="4"/>
        <v>1.4159999999999728E-3</v>
      </c>
      <c r="E76">
        <f t="shared" si="5"/>
        <v>2</v>
      </c>
      <c r="F76">
        <f t="shared" si="6"/>
        <v>2</v>
      </c>
      <c r="G76">
        <f t="shared" si="7"/>
        <v>2.0299999999999998</v>
      </c>
    </row>
    <row r="77" spans="1:7" hidden="1" x14ac:dyDescent="0.25">
      <c r="A77" s="4" t="s">
        <v>77</v>
      </c>
      <c r="B77" s="1">
        <v>0.86746599999999996</v>
      </c>
      <c r="C77" s="1">
        <v>0.86568199999999995</v>
      </c>
      <c r="D77" s="1">
        <f t="shared" si="4"/>
        <v>1.7840000000000078E-3</v>
      </c>
      <c r="E77">
        <f t="shared" si="5"/>
        <v>2</v>
      </c>
      <c r="F77">
        <f t="shared" si="6"/>
        <v>34</v>
      </c>
      <c r="G77">
        <f t="shared" si="7"/>
        <v>2.57</v>
      </c>
    </row>
    <row r="78" spans="1:7" hidden="1" x14ac:dyDescent="0.25">
      <c r="A78" s="4" t="s">
        <v>78</v>
      </c>
      <c r="B78" s="1">
        <v>0.39455000000000001</v>
      </c>
      <c r="C78" s="1">
        <v>0.39648600000000001</v>
      </c>
      <c r="D78" s="1">
        <f t="shared" si="4"/>
        <v>1.9359999999999933E-3</v>
      </c>
      <c r="E78">
        <f t="shared" si="5"/>
        <v>2</v>
      </c>
      <c r="F78">
        <f t="shared" si="6"/>
        <v>47</v>
      </c>
      <c r="G78">
        <f t="shared" si="7"/>
        <v>2.78</v>
      </c>
    </row>
    <row r="79" spans="1:7" hidden="1" x14ac:dyDescent="0.25">
      <c r="A79" s="4" t="s">
        <v>79</v>
      </c>
      <c r="B79" s="1">
        <v>0.26555499999999999</v>
      </c>
      <c r="C79" s="1">
        <v>0.26725100000000002</v>
      </c>
      <c r="D79" s="1">
        <f t="shared" si="4"/>
        <v>1.6960000000000308E-3</v>
      </c>
      <c r="E79">
        <f t="shared" si="5"/>
        <v>2</v>
      </c>
      <c r="F79">
        <f t="shared" si="6"/>
        <v>27</v>
      </c>
      <c r="G79">
        <f t="shared" si="7"/>
        <v>2.4500000000000002</v>
      </c>
    </row>
    <row r="80" spans="1:7" hidden="1" x14ac:dyDescent="0.25">
      <c r="A80" s="4" t="s">
        <v>80</v>
      </c>
      <c r="B80" s="1">
        <v>0.73143899999999995</v>
      </c>
      <c r="C80" s="1">
        <v>0.73288699999999996</v>
      </c>
      <c r="D80" s="1">
        <f t="shared" si="4"/>
        <v>1.4480000000000048E-3</v>
      </c>
      <c r="E80">
        <f t="shared" si="5"/>
        <v>2</v>
      </c>
      <c r="F80">
        <f t="shared" si="6"/>
        <v>5</v>
      </c>
      <c r="G80">
        <f t="shared" si="7"/>
        <v>2.08</v>
      </c>
    </row>
    <row r="81" spans="1:7" hidden="1" x14ac:dyDescent="0.25">
      <c r="A81" s="4" t="s">
        <v>81</v>
      </c>
      <c r="B81" s="1">
        <v>0.60814999999999997</v>
      </c>
      <c r="C81" s="1">
        <v>0.61146599999999995</v>
      </c>
      <c r="D81" s="1">
        <f t="shared" si="4"/>
        <v>3.3159999999999856E-3</v>
      </c>
      <c r="E81">
        <f t="shared" si="5"/>
        <v>4</v>
      </c>
      <c r="F81">
        <f t="shared" si="6"/>
        <v>47</v>
      </c>
      <c r="G81">
        <f t="shared" si="7"/>
        <v>4.78</v>
      </c>
    </row>
    <row r="82" spans="1:7" hidden="1" x14ac:dyDescent="0.25">
      <c r="A82" s="4" t="s">
        <v>82</v>
      </c>
      <c r="B82" s="1">
        <v>0.78575300000000003</v>
      </c>
      <c r="C82" s="1">
        <v>0.789157</v>
      </c>
      <c r="D82" s="1">
        <f t="shared" si="4"/>
        <v>3.4039999999999626E-3</v>
      </c>
      <c r="E82">
        <f t="shared" si="5"/>
        <v>4</v>
      </c>
      <c r="F82">
        <f t="shared" si="6"/>
        <v>54</v>
      </c>
      <c r="G82">
        <f t="shared" si="7"/>
        <v>4.9000000000000004</v>
      </c>
    </row>
    <row r="83" spans="1:7" hidden="1" x14ac:dyDescent="0.25">
      <c r="A83" s="4" t="s">
        <v>83</v>
      </c>
      <c r="B83" s="1">
        <v>0.80414699999999995</v>
      </c>
      <c r="C83" s="1">
        <v>0.80682699999999996</v>
      </c>
      <c r="D83" s="1">
        <f t="shared" si="4"/>
        <v>2.6800000000000157E-3</v>
      </c>
      <c r="E83">
        <f t="shared" si="5"/>
        <v>3</v>
      </c>
      <c r="F83">
        <f t="shared" si="6"/>
        <v>52</v>
      </c>
      <c r="G83">
        <f t="shared" si="7"/>
        <v>3.87</v>
      </c>
    </row>
    <row r="84" spans="1:7" hidden="1" x14ac:dyDescent="0.25">
      <c r="A84" s="4" t="s">
        <v>84</v>
      </c>
      <c r="B84" s="1">
        <v>0.23138</v>
      </c>
      <c r="C84" s="1">
        <v>0.23502799999999999</v>
      </c>
      <c r="D84" s="1">
        <f t="shared" si="4"/>
        <v>3.6479999999999846E-3</v>
      </c>
      <c r="E84">
        <f t="shared" si="5"/>
        <v>5</v>
      </c>
      <c r="F84">
        <f t="shared" si="6"/>
        <v>15</v>
      </c>
      <c r="G84">
        <f t="shared" si="7"/>
        <v>5.25</v>
      </c>
    </row>
    <row r="85" spans="1:7" hidden="1" x14ac:dyDescent="0.25">
      <c r="A85" s="4" t="s">
        <v>85</v>
      </c>
      <c r="B85" s="1">
        <v>0.49402400000000002</v>
      </c>
      <c r="C85" s="1">
        <v>0.49656800000000001</v>
      </c>
      <c r="D85" s="1">
        <f t="shared" si="4"/>
        <v>2.5439999999999907E-3</v>
      </c>
      <c r="E85">
        <f t="shared" si="5"/>
        <v>3</v>
      </c>
      <c r="F85">
        <f t="shared" si="6"/>
        <v>40</v>
      </c>
      <c r="G85">
        <f t="shared" si="7"/>
        <v>3.67</v>
      </c>
    </row>
    <row r="86" spans="1:7" hidden="1" x14ac:dyDescent="0.25">
      <c r="A86" s="4" t="s">
        <v>86</v>
      </c>
      <c r="B86" s="1">
        <v>0.386492</v>
      </c>
      <c r="C86" s="1">
        <v>0.38474799999999998</v>
      </c>
      <c r="D86" s="1">
        <f t="shared" si="4"/>
        <v>1.7440000000000233E-3</v>
      </c>
      <c r="E86">
        <f t="shared" si="5"/>
        <v>2</v>
      </c>
      <c r="F86">
        <f t="shared" si="6"/>
        <v>31</v>
      </c>
      <c r="G86">
        <f t="shared" si="7"/>
        <v>2.52</v>
      </c>
    </row>
    <row r="87" spans="1:7" hidden="1" x14ac:dyDescent="0.25">
      <c r="A87" s="4" t="s">
        <v>87</v>
      </c>
      <c r="B87" s="1">
        <v>0.14188400000000001</v>
      </c>
      <c r="C87" s="1">
        <v>0.14574799999999999</v>
      </c>
      <c r="D87" s="1">
        <f t="shared" si="4"/>
        <v>3.8639999999999786E-3</v>
      </c>
      <c r="E87">
        <f t="shared" si="5"/>
        <v>5</v>
      </c>
      <c r="F87">
        <f t="shared" si="6"/>
        <v>34</v>
      </c>
      <c r="G87">
        <f t="shared" si="7"/>
        <v>5.57</v>
      </c>
    </row>
    <row r="88" spans="1:7" hidden="1" x14ac:dyDescent="0.25">
      <c r="A88" s="4" t="s">
        <v>88</v>
      </c>
      <c r="B88" s="1">
        <v>0.54971199999999998</v>
      </c>
      <c r="C88" s="1">
        <v>0.54660399999999998</v>
      </c>
      <c r="D88" s="1">
        <f t="shared" si="4"/>
        <v>3.1079999999999997E-3</v>
      </c>
      <c r="E88">
        <f t="shared" si="5"/>
        <v>4</v>
      </c>
      <c r="F88">
        <f t="shared" si="6"/>
        <v>29</v>
      </c>
      <c r="G88">
        <f t="shared" si="7"/>
        <v>4.4800000000000004</v>
      </c>
    </row>
    <row r="89" spans="1:7" hidden="1" x14ac:dyDescent="0.25">
      <c r="A89" s="4" t="s">
        <v>89</v>
      </c>
      <c r="B89" s="1">
        <v>0.90169999999999995</v>
      </c>
      <c r="C89" s="1">
        <v>0.90521200000000002</v>
      </c>
      <c r="D89" s="1">
        <f t="shared" si="4"/>
        <v>3.5120000000000706E-3</v>
      </c>
      <c r="E89">
        <f t="shared" si="5"/>
        <v>5</v>
      </c>
      <c r="F89">
        <f t="shared" si="6"/>
        <v>3</v>
      </c>
      <c r="G89">
        <f t="shared" si="7"/>
        <v>5.05</v>
      </c>
    </row>
    <row r="90" spans="1:7" hidden="1" x14ac:dyDescent="0.25">
      <c r="A90" s="4" t="s">
        <v>90</v>
      </c>
      <c r="B90" s="1">
        <v>2.0478E-2</v>
      </c>
      <c r="C90" s="1">
        <v>1.7805999999999999E-2</v>
      </c>
      <c r="D90" s="1">
        <f t="shared" si="4"/>
        <v>2.6720000000000008E-3</v>
      </c>
      <c r="E90">
        <f t="shared" si="5"/>
        <v>3</v>
      </c>
      <c r="F90">
        <f t="shared" si="6"/>
        <v>51</v>
      </c>
      <c r="G90">
        <f t="shared" si="7"/>
        <v>3.85</v>
      </c>
    </row>
    <row r="91" spans="1:7" hidden="1" x14ac:dyDescent="0.25">
      <c r="A91" s="4" t="s">
        <v>91</v>
      </c>
      <c r="B91" s="1">
        <v>0.52953499999999998</v>
      </c>
      <c r="C91" s="1">
        <v>0.52674299999999996</v>
      </c>
      <c r="D91" s="1">
        <f t="shared" si="4"/>
        <v>2.7920000000000167E-3</v>
      </c>
      <c r="E91">
        <f t="shared" si="5"/>
        <v>4</v>
      </c>
      <c r="F91">
        <f t="shared" si="6"/>
        <v>1</v>
      </c>
      <c r="G91">
        <f t="shared" si="7"/>
        <v>4.0199999999999996</v>
      </c>
    </row>
    <row r="92" spans="1:7" hidden="1" x14ac:dyDescent="0.25">
      <c r="A92" s="4" t="s">
        <v>92</v>
      </c>
      <c r="B92" s="1">
        <v>0.53350699999999995</v>
      </c>
      <c r="C92" s="1">
        <v>0.53640699999999997</v>
      </c>
      <c r="D92" s="1">
        <f t="shared" si="4"/>
        <v>2.9000000000000137E-3</v>
      </c>
      <c r="E92">
        <f t="shared" si="5"/>
        <v>4</v>
      </c>
      <c r="F92">
        <f t="shared" si="6"/>
        <v>11</v>
      </c>
      <c r="G92">
        <f t="shared" si="7"/>
        <v>4.18</v>
      </c>
    </row>
    <row r="93" spans="1:7" hidden="1" x14ac:dyDescent="0.25">
      <c r="A93" s="4" t="s">
        <v>93</v>
      </c>
      <c r="B93" s="1">
        <v>0.24371599999999999</v>
      </c>
      <c r="C93" s="1">
        <v>0.24526400000000001</v>
      </c>
      <c r="D93" s="1">
        <f t="shared" si="4"/>
        <v>1.5480000000000216E-3</v>
      </c>
      <c r="E93">
        <f t="shared" si="5"/>
        <v>2</v>
      </c>
      <c r="F93">
        <f t="shared" si="6"/>
        <v>14</v>
      </c>
      <c r="G93">
        <f t="shared" si="7"/>
        <v>2.23</v>
      </c>
    </row>
    <row r="94" spans="1:7" hidden="1" x14ac:dyDescent="0.25">
      <c r="A94" s="4" t="s">
        <v>94</v>
      </c>
      <c r="B94" s="1">
        <v>0.94168399999999997</v>
      </c>
      <c r="C94" s="1">
        <v>0.94411999999999996</v>
      </c>
      <c r="D94" s="1">
        <f t="shared" si="4"/>
        <v>2.4359999999999937E-3</v>
      </c>
      <c r="E94">
        <f t="shared" si="5"/>
        <v>3</v>
      </c>
      <c r="F94">
        <f t="shared" si="6"/>
        <v>30</v>
      </c>
      <c r="G94">
        <f t="shared" si="7"/>
        <v>3.5</v>
      </c>
    </row>
    <row r="95" spans="1:7" hidden="1" x14ac:dyDescent="0.25">
      <c r="A95" s="4" t="s">
        <v>95</v>
      </c>
      <c r="B95" s="1">
        <v>2.5318E-2</v>
      </c>
      <c r="C95" s="1">
        <v>2.8625999999999999E-2</v>
      </c>
      <c r="D95" s="1">
        <f t="shared" si="4"/>
        <v>3.3079999999999984E-3</v>
      </c>
      <c r="E95">
        <f t="shared" si="5"/>
        <v>4</v>
      </c>
      <c r="F95">
        <f t="shared" si="6"/>
        <v>46</v>
      </c>
      <c r="G95">
        <f t="shared" si="7"/>
        <v>4.7699999999999996</v>
      </c>
    </row>
    <row r="96" spans="1:7" hidden="1" x14ac:dyDescent="0.25">
      <c r="A96" s="4" t="s">
        <v>96</v>
      </c>
      <c r="B96" s="1">
        <v>0.116232</v>
      </c>
      <c r="C96" s="1">
        <v>0.11791600000000001</v>
      </c>
      <c r="D96" s="1">
        <f t="shared" si="4"/>
        <v>1.6840000000000049E-3</v>
      </c>
      <c r="E96">
        <f t="shared" si="5"/>
        <v>2</v>
      </c>
      <c r="F96">
        <f t="shared" si="6"/>
        <v>25</v>
      </c>
      <c r="G96">
        <f t="shared" si="7"/>
        <v>2.42</v>
      </c>
    </row>
    <row r="97" spans="1:7" hidden="1" x14ac:dyDescent="0.25">
      <c r="A97" s="4" t="s">
        <v>97</v>
      </c>
      <c r="B97" s="1">
        <v>0.51822299999999999</v>
      </c>
      <c r="C97" s="1">
        <v>0.52104300000000003</v>
      </c>
      <c r="D97" s="1">
        <f t="shared" si="4"/>
        <v>2.8200000000000447E-3</v>
      </c>
      <c r="E97">
        <f t="shared" si="5"/>
        <v>4</v>
      </c>
      <c r="F97">
        <f t="shared" si="6"/>
        <v>4</v>
      </c>
      <c r="G97">
        <f t="shared" si="7"/>
        <v>4.07</v>
      </c>
    </row>
    <row r="98" spans="1:7" hidden="1" x14ac:dyDescent="0.25">
      <c r="A98" s="4" t="s">
        <v>98</v>
      </c>
      <c r="B98" s="1">
        <v>0.56562500000000004</v>
      </c>
      <c r="C98" s="1">
        <v>0.56870900000000002</v>
      </c>
      <c r="D98" s="1">
        <f t="shared" si="4"/>
        <v>3.0839999999999756E-3</v>
      </c>
      <c r="E98">
        <f t="shared" si="5"/>
        <v>4</v>
      </c>
      <c r="F98">
        <f t="shared" si="6"/>
        <v>26</v>
      </c>
      <c r="G98">
        <f t="shared" si="7"/>
        <v>4.43</v>
      </c>
    </row>
    <row r="99" spans="1:7" hidden="1" x14ac:dyDescent="0.25">
      <c r="A99" s="4" t="s">
        <v>99</v>
      </c>
      <c r="B99" s="1">
        <v>0.44529800000000003</v>
      </c>
      <c r="C99" s="1">
        <v>0.44776199999999999</v>
      </c>
      <c r="D99" s="1">
        <f t="shared" si="4"/>
        <v>2.4639999999999662E-3</v>
      </c>
      <c r="E99">
        <f t="shared" si="5"/>
        <v>3</v>
      </c>
      <c r="F99">
        <f t="shared" si="6"/>
        <v>33</v>
      </c>
      <c r="G99">
        <f t="shared" si="7"/>
        <v>3.55</v>
      </c>
    </row>
    <row r="100" spans="1:7" hidden="1" x14ac:dyDescent="0.25">
      <c r="A100" s="4" t="s">
        <v>100</v>
      </c>
      <c r="B100" s="1">
        <v>0.76018399999999997</v>
      </c>
      <c r="C100" s="1">
        <v>0.75855600000000001</v>
      </c>
      <c r="D100" s="1">
        <f t="shared" si="4"/>
        <v>1.6279999999999628E-3</v>
      </c>
      <c r="E100">
        <f t="shared" si="5"/>
        <v>2</v>
      </c>
      <c r="F100">
        <f t="shared" si="6"/>
        <v>21</v>
      </c>
      <c r="G100">
        <f t="shared" si="7"/>
        <v>2.35</v>
      </c>
    </row>
    <row r="101" spans="1:7" hidden="1" x14ac:dyDescent="0.25">
      <c r="A101" s="4" t="s">
        <v>101</v>
      </c>
      <c r="B101" s="1">
        <v>0.84344600000000003</v>
      </c>
      <c r="C101" s="1">
        <v>0.84693399999999996</v>
      </c>
      <c r="D101" s="1">
        <f t="shared" si="4"/>
        <v>3.4879999999999356E-3</v>
      </c>
      <c r="E101">
        <f t="shared" si="5"/>
        <v>5</v>
      </c>
      <c r="F101">
        <f t="shared" si="6"/>
        <v>1</v>
      </c>
      <c r="G101">
        <f t="shared" si="7"/>
        <v>5.0199999999999996</v>
      </c>
    </row>
    <row r="102" spans="1:7" hidden="1" x14ac:dyDescent="0.25">
      <c r="A102" s="4" t="s">
        <v>102</v>
      </c>
      <c r="B102" s="1">
        <v>0.31938899999999998</v>
      </c>
      <c r="C102" s="1">
        <v>0.31539299999999998</v>
      </c>
      <c r="D102" s="1">
        <f t="shared" si="4"/>
        <v>3.9959999999999996E-3</v>
      </c>
      <c r="E102">
        <f t="shared" si="5"/>
        <v>5</v>
      </c>
      <c r="F102">
        <f t="shared" si="6"/>
        <v>45</v>
      </c>
      <c r="G102">
        <f t="shared" si="7"/>
        <v>5.75</v>
      </c>
    </row>
    <row r="103" spans="1:7" hidden="1" x14ac:dyDescent="0.25">
      <c r="A103" s="4" t="s">
        <v>103</v>
      </c>
      <c r="B103" s="1">
        <v>0.95169999999999999</v>
      </c>
      <c r="C103" s="1">
        <v>0.95000399999999996</v>
      </c>
      <c r="D103" s="1">
        <f t="shared" si="4"/>
        <v>1.6960000000000308E-3</v>
      </c>
      <c r="E103">
        <f t="shared" si="5"/>
        <v>2</v>
      </c>
      <c r="F103">
        <f t="shared" si="6"/>
        <v>27</v>
      </c>
      <c r="G103">
        <f t="shared" si="7"/>
        <v>2.4500000000000002</v>
      </c>
    </row>
    <row r="104" spans="1:7" hidden="1" x14ac:dyDescent="0.25">
      <c r="A104" s="4" t="s">
        <v>104</v>
      </c>
      <c r="B104" s="1">
        <v>0.59223499999999996</v>
      </c>
      <c r="C104" s="1">
        <v>0.59553500000000004</v>
      </c>
      <c r="D104" s="1">
        <f t="shared" si="4"/>
        <v>3.3000000000000806E-3</v>
      </c>
      <c r="E104">
        <f t="shared" si="5"/>
        <v>4</v>
      </c>
      <c r="F104">
        <f t="shared" si="6"/>
        <v>45</v>
      </c>
      <c r="G104">
        <f t="shared" si="7"/>
        <v>4.75</v>
      </c>
    </row>
    <row r="105" spans="1:7" hidden="1" x14ac:dyDescent="0.25">
      <c r="A105" s="4" t="s">
        <v>105</v>
      </c>
      <c r="B105" s="1">
        <v>0.30809599999999998</v>
      </c>
      <c r="C105" s="1">
        <v>0.30620399999999998</v>
      </c>
      <c r="D105" s="1">
        <f t="shared" si="4"/>
        <v>1.8920000000000048E-3</v>
      </c>
      <c r="E105">
        <f t="shared" si="5"/>
        <v>2</v>
      </c>
      <c r="F105">
        <f t="shared" si="6"/>
        <v>43</v>
      </c>
      <c r="G105">
        <f t="shared" si="7"/>
        <v>2.72</v>
      </c>
    </row>
    <row r="106" spans="1:7" hidden="1" x14ac:dyDescent="0.25">
      <c r="A106" s="4" t="s">
        <v>106</v>
      </c>
      <c r="B106" s="1">
        <v>9.7731999999999999E-2</v>
      </c>
      <c r="C106" s="1">
        <v>9.4488000000000003E-2</v>
      </c>
      <c r="D106" s="1">
        <f t="shared" si="4"/>
        <v>3.2439999999999969E-3</v>
      </c>
      <c r="E106">
        <f t="shared" si="5"/>
        <v>4</v>
      </c>
      <c r="F106">
        <f t="shared" si="6"/>
        <v>40</v>
      </c>
      <c r="G106">
        <f t="shared" si="7"/>
        <v>4.67</v>
      </c>
    </row>
    <row r="107" spans="1:7" hidden="1" x14ac:dyDescent="0.25">
      <c r="A107" s="4" t="s">
        <v>107</v>
      </c>
      <c r="B107" s="1">
        <v>0.66037100000000004</v>
      </c>
      <c r="C107" s="1">
        <v>0.65702700000000003</v>
      </c>
      <c r="D107" s="1">
        <f t="shared" si="4"/>
        <v>3.3440000000000136E-3</v>
      </c>
      <c r="E107">
        <f t="shared" si="5"/>
        <v>4</v>
      </c>
      <c r="F107">
        <f t="shared" si="6"/>
        <v>49</v>
      </c>
      <c r="G107">
        <f t="shared" si="7"/>
        <v>4.82</v>
      </c>
    </row>
    <row r="108" spans="1:7" hidden="1" x14ac:dyDescent="0.25">
      <c r="A108" s="4" t="s">
        <v>108</v>
      </c>
      <c r="B108" s="1">
        <v>2.9668E-2</v>
      </c>
      <c r="C108" s="1">
        <v>3.2876000000000002E-2</v>
      </c>
      <c r="D108" s="1">
        <f t="shared" si="4"/>
        <v>3.2080000000000025E-3</v>
      </c>
      <c r="E108">
        <f t="shared" si="5"/>
        <v>4</v>
      </c>
      <c r="F108">
        <f t="shared" si="6"/>
        <v>37</v>
      </c>
      <c r="G108">
        <f t="shared" si="7"/>
        <v>4.62</v>
      </c>
    </row>
    <row r="109" spans="1:7" hidden="1" x14ac:dyDescent="0.25">
      <c r="A109" s="4" t="s">
        <v>109</v>
      </c>
      <c r="B109" s="1">
        <v>0.73365199999999997</v>
      </c>
      <c r="C109" s="1">
        <v>0.73118000000000005</v>
      </c>
      <c r="D109" s="1">
        <f t="shared" si="4"/>
        <v>2.4719999999999187E-3</v>
      </c>
      <c r="E109">
        <f t="shared" si="5"/>
        <v>3</v>
      </c>
      <c r="F109">
        <f t="shared" si="6"/>
        <v>34</v>
      </c>
      <c r="G109">
        <f t="shared" si="7"/>
        <v>3.57</v>
      </c>
    </row>
    <row r="110" spans="1:7" hidden="1" x14ac:dyDescent="0.25">
      <c r="A110" s="4" t="s">
        <v>110</v>
      </c>
      <c r="B110" s="1">
        <v>0.167017</v>
      </c>
      <c r="C110" s="1">
        <v>0.16538900000000001</v>
      </c>
      <c r="D110" s="1">
        <f t="shared" si="4"/>
        <v>1.6279999999999906E-3</v>
      </c>
      <c r="E110">
        <f t="shared" si="5"/>
        <v>2</v>
      </c>
      <c r="F110">
        <f t="shared" si="6"/>
        <v>21</v>
      </c>
      <c r="G110">
        <f t="shared" si="7"/>
        <v>2.35</v>
      </c>
    </row>
    <row r="111" spans="1:7" hidden="1" x14ac:dyDescent="0.25">
      <c r="A111" s="4" t="s">
        <v>429</v>
      </c>
      <c r="B111" s="1">
        <v>0.85646699999999998</v>
      </c>
      <c r="C111" s="1">
        <v>0.85925499999999999</v>
      </c>
      <c r="D111" s="1">
        <f t="shared" si="4"/>
        <v>2.7880000000000127E-3</v>
      </c>
      <c r="E111">
        <f t="shared" si="5"/>
        <v>4</v>
      </c>
      <c r="F111">
        <f t="shared" si="6"/>
        <v>1</v>
      </c>
      <c r="G111">
        <f t="shared" si="7"/>
        <v>4.0199999999999996</v>
      </c>
    </row>
    <row r="112" spans="1:7" hidden="1" x14ac:dyDescent="0.25">
      <c r="A112" s="4" t="s">
        <v>111</v>
      </c>
      <c r="B112" s="1">
        <v>0.51173299999999999</v>
      </c>
      <c r="C112" s="1">
        <v>0.51459699999999997</v>
      </c>
      <c r="D112" s="1">
        <f t="shared" si="4"/>
        <v>2.8639999999999777E-3</v>
      </c>
      <c r="E112">
        <f t="shared" si="5"/>
        <v>4</v>
      </c>
      <c r="F112">
        <f t="shared" si="6"/>
        <v>7</v>
      </c>
      <c r="G112">
        <f t="shared" si="7"/>
        <v>4.12</v>
      </c>
    </row>
    <row r="113" spans="1:7" hidden="1" x14ac:dyDescent="0.25">
      <c r="A113" s="4" t="s">
        <v>112</v>
      </c>
      <c r="B113" s="1">
        <v>0.95174099999999995</v>
      </c>
      <c r="C113" s="1">
        <v>0.94936100000000001</v>
      </c>
      <c r="D113" s="1">
        <f t="shared" si="4"/>
        <v>2.3799999999999377E-3</v>
      </c>
      <c r="E113">
        <f t="shared" si="5"/>
        <v>3</v>
      </c>
      <c r="F113">
        <f t="shared" si="6"/>
        <v>26</v>
      </c>
      <c r="G113">
        <f t="shared" si="7"/>
        <v>3.43</v>
      </c>
    </row>
    <row r="114" spans="1:7" hidden="1" x14ac:dyDescent="0.25">
      <c r="A114" s="4" t="s">
        <v>113</v>
      </c>
      <c r="B114" s="1">
        <v>0.81435400000000002</v>
      </c>
      <c r="C114" s="1">
        <v>0.81171800000000005</v>
      </c>
      <c r="D114" s="1">
        <f t="shared" si="4"/>
        <v>2.6359999999999717E-3</v>
      </c>
      <c r="E114">
        <f t="shared" si="5"/>
        <v>3</v>
      </c>
      <c r="F114">
        <f t="shared" si="6"/>
        <v>48</v>
      </c>
      <c r="G114">
        <f t="shared" si="7"/>
        <v>3.8</v>
      </c>
    </row>
    <row r="115" spans="1:7" hidden="1" x14ac:dyDescent="0.25">
      <c r="A115" s="4" t="s">
        <v>114</v>
      </c>
      <c r="B115" s="1">
        <v>0.46311099999999999</v>
      </c>
      <c r="C115" s="1">
        <v>0.45991500000000002</v>
      </c>
      <c r="D115" s="1">
        <f t="shared" si="4"/>
        <v>3.1959999999999766E-3</v>
      </c>
      <c r="E115">
        <f t="shared" si="5"/>
        <v>4</v>
      </c>
      <c r="F115">
        <f t="shared" si="6"/>
        <v>36</v>
      </c>
      <c r="G115">
        <f t="shared" si="7"/>
        <v>4.5999999999999996</v>
      </c>
    </row>
    <row r="116" spans="1:7" hidden="1" x14ac:dyDescent="0.25">
      <c r="A116" s="4" t="s">
        <v>115</v>
      </c>
      <c r="B116" s="1">
        <v>3.1198E-2</v>
      </c>
      <c r="C116" s="1">
        <v>2.9186E-2</v>
      </c>
      <c r="D116" s="1">
        <f t="shared" si="4"/>
        <v>2.0119999999999999E-3</v>
      </c>
      <c r="E116">
        <f t="shared" si="5"/>
        <v>2</v>
      </c>
      <c r="F116">
        <f t="shared" si="6"/>
        <v>54</v>
      </c>
      <c r="G116">
        <f t="shared" si="7"/>
        <v>2.9</v>
      </c>
    </row>
    <row r="117" spans="1:7" hidden="1" x14ac:dyDescent="0.25">
      <c r="A117" s="4" t="s">
        <v>116</v>
      </c>
      <c r="B117" s="1">
        <v>4.8832E-2</v>
      </c>
      <c r="C117" s="1">
        <v>5.0776000000000002E-2</v>
      </c>
      <c r="D117" s="1">
        <f t="shared" si="4"/>
        <v>1.9440000000000013E-3</v>
      </c>
      <c r="E117">
        <f t="shared" si="5"/>
        <v>2</v>
      </c>
      <c r="F117">
        <f t="shared" si="6"/>
        <v>48</v>
      </c>
      <c r="G117">
        <f t="shared" si="7"/>
        <v>2.8</v>
      </c>
    </row>
    <row r="118" spans="1:7" hidden="1" x14ac:dyDescent="0.25">
      <c r="A118" s="4" t="s">
        <v>75</v>
      </c>
      <c r="B118" s="1">
        <v>0.331623</v>
      </c>
      <c r="C118" s="1">
        <v>0.33379500000000001</v>
      </c>
      <c r="D118" s="1">
        <f t="shared" si="4"/>
        <v>2.1720000000000073E-3</v>
      </c>
      <c r="E118">
        <f t="shared" si="5"/>
        <v>3</v>
      </c>
      <c r="F118">
        <f t="shared" si="6"/>
        <v>8</v>
      </c>
      <c r="G118">
        <f t="shared" si="7"/>
        <v>3.13</v>
      </c>
    </row>
    <row r="119" spans="1:7" hidden="1" x14ac:dyDescent="0.25">
      <c r="A119" s="4" t="s">
        <v>117</v>
      </c>
      <c r="B119" s="1">
        <v>0.28364</v>
      </c>
      <c r="C119" s="1">
        <v>0.27990799999999999</v>
      </c>
      <c r="D119" s="1">
        <f t="shared" si="4"/>
        <v>3.7320000000000131E-3</v>
      </c>
      <c r="E119">
        <f t="shared" si="5"/>
        <v>5</v>
      </c>
      <c r="F119">
        <f t="shared" si="6"/>
        <v>22</v>
      </c>
      <c r="G119">
        <f t="shared" si="7"/>
        <v>5.37</v>
      </c>
    </row>
    <row r="120" spans="1:7" hidden="1" x14ac:dyDescent="0.25">
      <c r="A120" s="4" t="s">
        <v>118</v>
      </c>
      <c r="B120" s="1">
        <v>0.57245400000000002</v>
      </c>
      <c r="C120" s="1">
        <v>0.57566200000000001</v>
      </c>
      <c r="D120" s="1">
        <f t="shared" si="4"/>
        <v>3.2079999999999886E-3</v>
      </c>
      <c r="E120">
        <f t="shared" si="5"/>
        <v>4</v>
      </c>
      <c r="F120">
        <f t="shared" si="6"/>
        <v>37</v>
      </c>
      <c r="G120">
        <f t="shared" si="7"/>
        <v>4.62</v>
      </c>
    </row>
    <row r="121" spans="1:7" hidden="1" x14ac:dyDescent="0.25">
      <c r="A121" s="4" t="s">
        <v>119</v>
      </c>
      <c r="B121" s="1">
        <v>0.797157</v>
      </c>
      <c r="C121" s="1">
        <v>0.79524099999999998</v>
      </c>
      <c r="D121" s="1">
        <f t="shared" si="4"/>
        <v>1.9160000000000288E-3</v>
      </c>
      <c r="E121">
        <f t="shared" si="5"/>
        <v>2</v>
      </c>
      <c r="F121">
        <f t="shared" si="6"/>
        <v>46</v>
      </c>
      <c r="G121">
        <f t="shared" si="7"/>
        <v>2.77</v>
      </c>
    </row>
    <row r="122" spans="1:7" hidden="1" x14ac:dyDescent="0.25">
      <c r="A122" s="4" t="s">
        <v>120</v>
      </c>
      <c r="B122" s="1">
        <v>0.67288400000000004</v>
      </c>
      <c r="C122" s="1">
        <v>0.67135999999999996</v>
      </c>
      <c r="D122" s="1">
        <f t="shared" si="4"/>
        <v>1.5240000000000808E-3</v>
      </c>
      <c r="E122">
        <f t="shared" si="5"/>
        <v>2</v>
      </c>
      <c r="F122">
        <f t="shared" si="6"/>
        <v>12</v>
      </c>
      <c r="G122">
        <f t="shared" si="7"/>
        <v>2.2000000000000002</v>
      </c>
    </row>
    <row r="123" spans="1:7" hidden="1" x14ac:dyDescent="0.25">
      <c r="A123" s="4" t="s">
        <v>121</v>
      </c>
      <c r="B123" s="1">
        <v>0.62824999999999998</v>
      </c>
      <c r="C123" s="1">
        <v>0.62470999999999999</v>
      </c>
      <c r="D123" s="1">
        <f t="shared" si="4"/>
        <v>3.5399999999999876E-3</v>
      </c>
      <c r="E123">
        <f t="shared" si="5"/>
        <v>5</v>
      </c>
      <c r="F123">
        <f t="shared" si="6"/>
        <v>6</v>
      </c>
      <c r="G123">
        <f t="shared" si="7"/>
        <v>5.0999999999999996</v>
      </c>
    </row>
    <row r="124" spans="1:7" hidden="1" x14ac:dyDescent="0.25">
      <c r="A124" s="4" t="s">
        <v>122</v>
      </c>
      <c r="B124" s="1">
        <v>0.22853000000000001</v>
      </c>
      <c r="C124" s="1">
        <v>0.23114999999999999</v>
      </c>
      <c r="D124" s="1">
        <f t="shared" si="4"/>
        <v>2.6199999999999835E-3</v>
      </c>
      <c r="E124">
        <f t="shared" si="5"/>
        <v>3</v>
      </c>
      <c r="F124">
        <f t="shared" si="6"/>
        <v>46</v>
      </c>
      <c r="G124">
        <f t="shared" si="7"/>
        <v>3.77</v>
      </c>
    </row>
    <row r="125" spans="1:7" hidden="1" x14ac:dyDescent="0.25">
      <c r="A125" s="4" t="s">
        <v>123</v>
      </c>
      <c r="B125" s="1">
        <v>6.7060999999999996E-2</v>
      </c>
      <c r="C125" s="1">
        <v>7.0060999999999998E-2</v>
      </c>
      <c r="D125" s="1">
        <f t="shared" si="4"/>
        <v>3.0000000000000027E-3</v>
      </c>
      <c r="E125">
        <f t="shared" si="5"/>
        <v>4</v>
      </c>
      <c r="F125">
        <f t="shared" si="6"/>
        <v>19</v>
      </c>
      <c r="G125">
        <f t="shared" si="7"/>
        <v>4.32</v>
      </c>
    </row>
    <row r="126" spans="1:7" hidden="1" x14ac:dyDescent="0.25">
      <c r="A126" s="4" t="s">
        <v>124</v>
      </c>
      <c r="B126" s="1">
        <v>0.25201899999999999</v>
      </c>
      <c r="C126" s="1">
        <v>0.255247</v>
      </c>
      <c r="D126" s="1">
        <f t="shared" si="4"/>
        <v>3.2280000000000086E-3</v>
      </c>
      <c r="E126">
        <f t="shared" si="5"/>
        <v>4</v>
      </c>
      <c r="F126">
        <f t="shared" si="6"/>
        <v>39</v>
      </c>
      <c r="G126">
        <f t="shared" si="7"/>
        <v>4.6500000000000004</v>
      </c>
    </row>
    <row r="127" spans="1:7" hidden="1" x14ac:dyDescent="0.25">
      <c r="A127" s="4" t="s">
        <v>125</v>
      </c>
      <c r="B127" s="1">
        <v>0.37008999999999997</v>
      </c>
      <c r="C127" s="1">
        <v>0.368454</v>
      </c>
      <c r="D127" s="1">
        <f t="shared" si="4"/>
        <v>1.6359999999999708E-3</v>
      </c>
      <c r="E127">
        <f t="shared" si="5"/>
        <v>2</v>
      </c>
      <c r="F127">
        <f t="shared" si="6"/>
        <v>21</v>
      </c>
      <c r="G127">
        <f t="shared" si="7"/>
        <v>2.35</v>
      </c>
    </row>
    <row r="128" spans="1:7" hidden="1" x14ac:dyDescent="0.25">
      <c r="A128" s="4" t="s">
        <v>87</v>
      </c>
      <c r="B128" s="1">
        <v>0.98247899999999999</v>
      </c>
      <c r="C128" s="1">
        <v>0.98585100000000003</v>
      </c>
      <c r="D128" s="1">
        <f t="shared" si="4"/>
        <v>3.3720000000000416E-3</v>
      </c>
      <c r="E128">
        <f t="shared" si="5"/>
        <v>4</v>
      </c>
      <c r="F128">
        <f t="shared" si="6"/>
        <v>51</v>
      </c>
      <c r="G128">
        <f t="shared" si="7"/>
        <v>4.8499999999999996</v>
      </c>
    </row>
    <row r="129" spans="1:7" hidden="1" x14ac:dyDescent="0.25">
      <c r="A129" s="4" t="s">
        <v>126</v>
      </c>
      <c r="B129" s="1">
        <v>0.89384600000000003</v>
      </c>
      <c r="C129" s="1">
        <v>0.89706600000000003</v>
      </c>
      <c r="D129" s="1">
        <f t="shared" si="4"/>
        <v>3.2200000000000006E-3</v>
      </c>
      <c r="E129">
        <f t="shared" si="5"/>
        <v>4</v>
      </c>
      <c r="F129">
        <f t="shared" si="6"/>
        <v>38</v>
      </c>
      <c r="G129">
        <f t="shared" si="7"/>
        <v>4.63</v>
      </c>
    </row>
    <row r="130" spans="1:7" hidden="1" x14ac:dyDescent="0.25">
      <c r="A130" s="4" t="s">
        <v>127</v>
      </c>
      <c r="B130" s="1">
        <v>0.658308</v>
      </c>
      <c r="C130" s="1">
        <v>0.65516799999999997</v>
      </c>
      <c r="D130" s="1">
        <f t="shared" si="4"/>
        <v>3.1400000000000317E-3</v>
      </c>
      <c r="E130">
        <f t="shared" si="5"/>
        <v>4</v>
      </c>
      <c r="F130">
        <f t="shared" si="6"/>
        <v>31</v>
      </c>
      <c r="G130">
        <f t="shared" si="7"/>
        <v>4.5199999999999996</v>
      </c>
    </row>
    <row r="131" spans="1:7" hidden="1" x14ac:dyDescent="0.25">
      <c r="A131" s="4" t="s">
        <v>128</v>
      </c>
      <c r="B131" s="1">
        <v>0.32555600000000001</v>
      </c>
      <c r="C131" s="1">
        <v>0.327264</v>
      </c>
      <c r="D131" s="1">
        <f t="shared" ref="D131:D194" si="8">IF(B131&gt;C131,B131-C131,C131-B131)</f>
        <v>1.7079999999999873E-3</v>
      </c>
      <c r="E131">
        <f t="shared" ref="E131:E194" si="9">MINUTE(D131)</f>
        <v>2</v>
      </c>
      <c r="F131">
        <f t="shared" ref="F131:F194" si="10">SECOND(D131)</f>
        <v>28</v>
      </c>
      <c r="G131">
        <f t="shared" ref="G131:G194" si="11">ROUND(E131+F131/60,2)</f>
        <v>2.4700000000000002</v>
      </c>
    </row>
    <row r="132" spans="1:7" hidden="1" x14ac:dyDescent="0.25">
      <c r="A132" s="4" t="s">
        <v>129</v>
      </c>
      <c r="B132" s="1">
        <v>0.34697099999999997</v>
      </c>
      <c r="C132" s="1">
        <v>0.34513500000000003</v>
      </c>
      <c r="D132" s="1">
        <f t="shared" si="8"/>
        <v>1.8359999999999488E-3</v>
      </c>
      <c r="E132">
        <f t="shared" si="9"/>
        <v>2</v>
      </c>
      <c r="F132">
        <f t="shared" si="10"/>
        <v>39</v>
      </c>
      <c r="G132">
        <f t="shared" si="11"/>
        <v>2.65</v>
      </c>
    </row>
    <row r="133" spans="1:7" hidden="1" x14ac:dyDescent="0.25">
      <c r="A133" s="4" t="s">
        <v>130</v>
      </c>
      <c r="B133" s="1">
        <v>0.27076499999999998</v>
      </c>
      <c r="C133" s="1">
        <v>0.267621</v>
      </c>
      <c r="D133" s="1">
        <f t="shared" si="8"/>
        <v>3.1439999999999801E-3</v>
      </c>
      <c r="E133">
        <f t="shared" si="9"/>
        <v>4</v>
      </c>
      <c r="F133">
        <f t="shared" si="10"/>
        <v>32</v>
      </c>
      <c r="G133">
        <f t="shared" si="11"/>
        <v>4.53</v>
      </c>
    </row>
    <row r="134" spans="1:7" hidden="1" x14ac:dyDescent="0.25">
      <c r="A134" s="4" t="s">
        <v>131</v>
      </c>
      <c r="B134" s="1">
        <v>0.380658</v>
      </c>
      <c r="C134" s="1">
        <v>0.37909399999999999</v>
      </c>
      <c r="D134" s="1">
        <f t="shared" si="8"/>
        <v>1.5640000000000098E-3</v>
      </c>
      <c r="E134">
        <f t="shared" si="9"/>
        <v>2</v>
      </c>
      <c r="F134">
        <f t="shared" si="10"/>
        <v>15</v>
      </c>
      <c r="G134">
        <f t="shared" si="11"/>
        <v>2.25</v>
      </c>
    </row>
    <row r="135" spans="1:7" hidden="1" x14ac:dyDescent="0.25">
      <c r="A135" s="4" t="s">
        <v>132</v>
      </c>
      <c r="B135" s="1">
        <v>0.19933999999999999</v>
      </c>
      <c r="C135" s="1">
        <v>0.19636400000000001</v>
      </c>
      <c r="D135" s="1">
        <f t="shared" si="8"/>
        <v>2.9759999999999787E-3</v>
      </c>
      <c r="E135">
        <f t="shared" si="9"/>
        <v>4</v>
      </c>
      <c r="F135">
        <f t="shared" si="10"/>
        <v>17</v>
      </c>
      <c r="G135">
        <f t="shared" si="11"/>
        <v>4.28</v>
      </c>
    </row>
    <row r="136" spans="1:7" hidden="1" x14ac:dyDescent="0.25">
      <c r="A136" s="4" t="s">
        <v>133</v>
      </c>
      <c r="B136" s="1">
        <v>0.86760800000000005</v>
      </c>
      <c r="C136" s="1">
        <v>0.87038800000000005</v>
      </c>
      <c r="D136" s="1">
        <f t="shared" si="8"/>
        <v>2.7800000000000047E-3</v>
      </c>
      <c r="E136">
        <f t="shared" si="9"/>
        <v>4</v>
      </c>
      <c r="F136">
        <f t="shared" si="10"/>
        <v>0</v>
      </c>
      <c r="G136">
        <f t="shared" si="11"/>
        <v>4</v>
      </c>
    </row>
    <row r="137" spans="1:7" hidden="1" x14ac:dyDescent="0.25">
      <c r="A137" s="4" t="s">
        <v>134</v>
      </c>
      <c r="B137" s="1">
        <v>0.71828700000000001</v>
      </c>
      <c r="C137" s="1">
        <v>0.72052700000000003</v>
      </c>
      <c r="D137" s="1">
        <f t="shared" si="8"/>
        <v>2.2400000000000198E-3</v>
      </c>
      <c r="E137">
        <f t="shared" si="9"/>
        <v>3</v>
      </c>
      <c r="F137">
        <f t="shared" si="10"/>
        <v>14</v>
      </c>
      <c r="G137">
        <f t="shared" si="11"/>
        <v>3.23</v>
      </c>
    </row>
    <row r="138" spans="1:7" hidden="1" x14ac:dyDescent="0.25">
      <c r="A138" s="4" t="s">
        <v>135</v>
      </c>
      <c r="B138" s="1">
        <v>0.41060799999999997</v>
      </c>
      <c r="C138" s="1">
        <v>0.412908</v>
      </c>
      <c r="D138" s="1">
        <f t="shared" si="8"/>
        <v>2.3000000000000242E-3</v>
      </c>
      <c r="E138">
        <f t="shared" si="9"/>
        <v>3</v>
      </c>
      <c r="F138">
        <f t="shared" si="10"/>
        <v>19</v>
      </c>
      <c r="G138">
        <f t="shared" si="11"/>
        <v>3.32</v>
      </c>
    </row>
    <row r="139" spans="1:7" hidden="1" x14ac:dyDescent="0.25">
      <c r="A139" s="4" t="s">
        <v>136</v>
      </c>
      <c r="B139" s="1">
        <v>0.68890700000000005</v>
      </c>
      <c r="C139" s="1">
        <v>0.69249099999999997</v>
      </c>
      <c r="D139" s="1">
        <f t="shared" si="8"/>
        <v>3.5839999999999206E-3</v>
      </c>
      <c r="E139">
        <f t="shared" si="9"/>
        <v>5</v>
      </c>
      <c r="F139">
        <f t="shared" si="10"/>
        <v>10</v>
      </c>
      <c r="G139">
        <f t="shared" si="11"/>
        <v>5.17</v>
      </c>
    </row>
    <row r="140" spans="1:7" hidden="1" x14ac:dyDescent="0.25">
      <c r="A140" s="4" t="s">
        <v>137</v>
      </c>
      <c r="B140" s="1">
        <v>0.24684700000000001</v>
      </c>
      <c r="C140" s="1">
        <v>0.24374699999999999</v>
      </c>
      <c r="D140" s="1">
        <f t="shared" si="8"/>
        <v>3.1000000000000194E-3</v>
      </c>
      <c r="E140">
        <f t="shared" si="9"/>
        <v>4</v>
      </c>
      <c r="F140">
        <f t="shared" si="10"/>
        <v>28</v>
      </c>
      <c r="G140">
        <f t="shared" si="11"/>
        <v>4.47</v>
      </c>
    </row>
    <row r="141" spans="1:7" hidden="1" x14ac:dyDescent="0.25">
      <c r="A141" s="4" t="s">
        <v>138</v>
      </c>
      <c r="B141" s="1">
        <v>0.48477300000000001</v>
      </c>
      <c r="C141" s="1">
        <v>0.48279699999999998</v>
      </c>
      <c r="D141" s="1">
        <f t="shared" si="8"/>
        <v>1.9760000000000333E-3</v>
      </c>
      <c r="E141">
        <f t="shared" si="9"/>
        <v>2</v>
      </c>
      <c r="F141">
        <f t="shared" si="10"/>
        <v>51</v>
      </c>
      <c r="G141">
        <f t="shared" si="11"/>
        <v>2.85</v>
      </c>
    </row>
    <row r="142" spans="1:7" hidden="1" x14ac:dyDescent="0.25">
      <c r="A142" s="4" t="s">
        <v>139</v>
      </c>
      <c r="B142" s="1">
        <v>0.84553900000000004</v>
      </c>
      <c r="C142" s="1">
        <v>0.84697100000000003</v>
      </c>
      <c r="D142" s="1">
        <f t="shared" si="8"/>
        <v>1.4319999999999888E-3</v>
      </c>
      <c r="E142">
        <f t="shared" si="9"/>
        <v>2</v>
      </c>
      <c r="F142">
        <f t="shared" si="10"/>
        <v>4</v>
      </c>
      <c r="G142">
        <f t="shared" si="11"/>
        <v>2.0699999999999998</v>
      </c>
    </row>
    <row r="143" spans="1:7" hidden="1" x14ac:dyDescent="0.25">
      <c r="A143" s="4" t="s">
        <v>140</v>
      </c>
      <c r="B143" s="1">
        <v>0.16140399999999999</v>
      </c>
      <c r="C143" s="1">
        <v>0.158052</v>
      </c>
      <c r="D143" s="1">
        <f t="shared" si="8"/>
        <v>3.3519999999999939E-3</v>
      </c>
      <c r="E143">
        <f t="shared" si="9"/>
        <v>4</v>
      </c>
      <c r="F143">
        <f t="shared" si="10"/>
        <v>50</v>
      </c>
      <c r="G143">
        <f t="shared" si="11"/>
        <v>4.83</v>
      </c>
    </row>
    <row r="144" spans="1:7" hidden="1" x14ac:dyDescent="0.25">
      <c r="A144" s="4" t="s">
        <v>141</v>
      </c>
      <c r="B144" s="1">
        <v>0.138354</v>
      </c>
      <c r="C144" s="1">
        <v>0.13685</v>
      </c>
      <c r="D144" s="1">
        <f t="shared" si="8"/>
        <v>1.5040000000000053E-3</v>
      </c>
      <c r="E144">
        <f t="shared" si="9"/>
        <v>2</v>
      </c>
      <c r="F144">
        <f t="shared" si="10"/>
        <v>10</v>
      </c>
      <c r="G144">
        <f t="shared" si="11"/>
        <v>2.17</v>
      </c>
    </row>
    <row r="145" spans="1:7" hidden="1" x14ac:dyDescent="0.25">
      <c r="A145" s="4" t="s">
        <v>142</v>
      </c>
      <c r="B145" s="1">
        <v>0.12570400000000001</v>
      </c>
      <c r="C145" s="1">
        <v>0.122964</v>
      </c>
      <c r="D145" s="1">
        <f t="shared" si="8"/>
        <v>2.7400000000000063E-3</v>
      </c>
      <c r="E145">
        <f t="shared" si="9"/>
        <v>3</v>
      </c>
      <c r="F145">
        <f t="shared" si="10"/>
        <v>57</v>
      </c>
      <c r="G145">
        <f t="shared" si="11"/>
        <v>3.95</v>
      </c>
    </row>
    <row r="146" spans="1:7" hidden="1" x14ac:dyDescent="0.25">
      <c r="A146" s="4" t="s">
        <v>143</v>
      </c>
      <c r="B146" s="1">
        <v>0.46729599999999999</v>
      </c>
      <c r="C146" s="1">
        <v>0.46933599999999998</v>
      </c>
      <c r="D146" s="1">
        <f t="shared" si="8"/>
        <v>2.0399999999999863E-3</v>
      </c>
      <c r="E146">
        <f t="shared" si="9"/>
        <v>2</v>
      </c>
      <c r="F146">
        <f t="shared" si="10"/>
        <v>56</v>
      </c>
      <c r="G146">
        <f t="shared" si="11"/>
        <v>2.93</v>
      </c>
    </row>
    <row r="147" spans="1:7" hidden="1" x14ac:dyDescent="0.25">
      <c r="A147" s="4" t="s">
        <v>144</v>
      </c>
      <c r="B147" s="1">
        <v>0.94697500000000001</v>
      </c>
      <c r="C147" s="1">
        <v>0.94982699999999998</v>
      </c>
      <c r="D147" s="1">
        <f t="shared" si="8"/>
        <v>2.8519999999999657E-3</v>
      </c>
      <c r="E147">
        <f t="shared" si="9"/>
        <v>4</v>
      </c>
      <c r="F147">
        <f t="shared" si="10"/>
        <v>6</v>
      </c>
      <c r="G147">
        <f t="shared" si="11"/>
        <v>4.0999999999999996</v>
      </c>
    </row>
    <row r="148" spans="1:7" hidden="1" x14ac:dyDescent="0.25">
      <c r="A148" s="4" t="s">
        <v>145</v>
      </c>
      <c r="B148" s="1">
        <v>0.86413600000000002</v>
      </c>
      <c r="C148" s="1">
        <v>0.86697999999999997</v>
      </c>
      <c r="D148" s="1">
        <f t="shared" si="8"/>
        <v>2.8439999999999577E-3</v>
      </c>
      <c r="E148">
        <f t="shared" si="9"/>
        <v>4</v>
      </c>
      <c r="F148">
        <f t="shared" si="10"/>
        <v>6</v>
      </c>
      <c r="G148">
        <f t="shared" si="11"/>
        <v>4.0999999999999996</v>
      </c>
    </row>
    <row r="149" spans="1:7" hidden="1" x14ac:dyDescent="0.25">
      <c r="A149" s="4" t="s">
        <v>146</v>
      </c>
      <c r="B149" s="1">
        <v>6.4591999999999997E-2</v>
      </c>
      <c r="C149" s="1">
        <v>6.1039999999999997E-2</v>
      </c>
      <c r="D149" s="1">
        <f t="shared" si="8"/>
        <v>3.5519999999999996E-3</v>
      </c>
      <c r="E149">
        <f t="shared" si="9"/>
        <v>5</v>
      </c>
      <c r="F149">
        <f t="shared" si="10"/>
        <v>7</v>
      </c>
      <c r="G149">
        <f t="shared" si="11"/>
        <v>5.12</v>
      </c>
    </row>
    <row r="150" spans="1:7" hidden="1" x14ac:dyDescent="0.25">
      <c r="A150" s="4" t="s">
        <v>147</v>
      </c>
      <c r="B150" s="1">
        <v>0.96590299999999996</v>
      </c>
      <c r="C150" s="1">
        <v>0.96327499999999999</v>
      </c>
      <c r="D150" s="1">
        <f t="shared" si="8"/>
        <v>2.6279999999999637E-3</v>
      </c>
      <c r="E150">
        <f t="shared" si="9"/>
        <v>3</v>
      </c>
      <c r="F150">
        <f t="shared" si="10"/>
        <v>47</v>
      </c>
      <c r="G150">
        <f t="shared" si="11"/>
        <v>3.78</v>
      </c>
    </row>
    <row r="151" spans="1:7" hidden="1" x14ac:dyDescent="0.25">
      <c r="A151" s="4" t="s">
        <v>148</v>
      </c>
      <c r="B151" s="1">
        <v>0.359732</v>
      </c>
      <c r="C151" s="1">
        <v>0.35632799999999998</v>
      </c>
      <c r="D151" s="1">
        <f t="shared" si="8"/>
        <v>3.4040000000000181E-3</v>
      </c>
      <c r="E151">
        <f t="shared" si="9"/>
        <v>4</v>
      </c>
      <c r="F151">
        <f t="shared" si="10"/>
        <v>54</v>
      </c>
      <c r="G151">
        <f t="shared" si="11"/>
        <v>4.9000000000000004</v>
      </c>
    </row>
    <row r="152" spans="1:7" hidden="1" x14ac:dyDescent="0.25">
      <c r="A152" s="4" t="s">
        <v>149</v>
      </c>
      <c r="B152" s="1">
        <v>0.68221900000000002</v>
      </c>
      <c r="C152" s="1">
        <v>0.68393499999999996</v>
      </c>
      <c r="D152" s="1">
        <f t="shared" si="8"/>
        <v>1.7159999999999398E-3</v>
      </c>
      <c r="E152">
        <f t="shared" si="9"/>
        <v>2</v>
      </c>
      <c r="F152">
        <f t="shared" si="10"/>
        <v>28</v>
      </c>
      <c r="G152">
        <f t="shared" si="11"/>
        <v>2.4700000000000002</v>
      </c>
    </row>
    <row r="153" spans="1:7" hidden="1" x14ac:dyDescent="0.25">
      <c r="A153" s="4" t="s">
        <v>150</v>
      </c>
      <c r="B153" s="1">
        <v>0.92992200000000003</v>
      </c>
      <c r="C153" s="1">
        <v>0.926122</v>
      </c>
      <c r="D153" s="1">
        <f t="shared" si="8"/>
        <v>3.8000000000000256E-3</v>
      </c>
      <c r="E153">
        <f t="shared" si="9"/>
        <v>5</v>
      </c>
      <c r="F153">
        <f t="shared" si="10"/>
        <v>28</v>
      </c>
      <c r="G153">
        <f t="shared" si="11"/>
        <v>5.47</v>
      </c>
    </row>
    <row r="154" spans="1:7" hidden="1" x14ac:dyDescent="0.25">
      <c r="A154" s="4" t="s">
        <v>151</v>
      </c>
      <c r="B154" s="1">
        <v>0.72409299999999999</v>
      </c>
      <c r="C154" s="1">
        <v>0.72649300000000006</v>
      </c>
      <c r="D154" s="1">
        <f t="shared" si="8"/>
        <v>2.4000000000000687E-3</v>
      </c>
      <c r="E154">
        <f t="shared" si="9"/>
        <v>3</v>
      </c>
      <c r="F154">
        <f t="shared" si="10"/>
        <v>27</v>
      </c>
      <c r="G154">
        <f t="shared" si="11"/>
        <v>3.45</v>
      </c>
    </row>
    <row r="155" spans="1:7" hidden="1" x14ac:dyDescent="0.25">
      <c r="A155" s="4" t="s">
        <v>152</v>
      </c>
      <c r="B155" s="1">
        <v>0.86309499999999995</v>
      </c>
      <c r="C155" s="1">
        <v>0.85914699999999999</v>
      </c>
      <c r="D155" s="1">
        <f t="shared" si="8"/>
        <v>3.9479999999999515E-3</v>
      </c>
      <c r="E155">
        <f t="shared" si="9"/>
        <v>5</v>
      </c>
      <c r="F155">
        <f t="shared" si="10"/>
        <v>41</v>
      </c>
      <c r="G155">
        <f t="shared" si="11"/>
        <v>5.68</v>
      </c>
    </row>
    <row r="156" spans="1:7" hidden="1" x14ac:dyDescent="0.25">
      <c r="A156" s="4" t="s">
        <v>153</v>
      </c>
      <c r="B156" s="1">
        <v>0.53429599999999999</v>
      </c>
      <c r="C156" s="1">
        <v>0.53593199999999996</v>
      </c>
      <c r="D156" s="1">
        <f t="shared" si="8"/>
        <v>1.6359999999999708E-3</v>
      </c>
      <c r="E156">
        <f t="shared" si="9"/>
        <v>2</v>
      </c>
      <c r="F156">
        <f t="shared" si="10"/>
        <v>21</v>
      </c>
      <c r="G156">
        <f t="shared" si="11"/>
        <v>2.35</v>
      </c>
    </row>
    <row r="157" spans="1:7" hidden="1" x14ac:dyDescent="0.25">
      <c r="A157" s="4" t="s">
        <v>154</v>
      </c>
      <c r="B157" s="1">
        <v>6.1955999999999997E-2</v>
      </c>
      <c r="C157" s="1">
        <v>5.8571999999999999E-2</v>
      </c>
      <c r="D157" s="1">
        <f t="shared" si="8"/>
        <v>3.3839999999999981E-3</v>
      </c>
      <c r="E157">
        <f t="shared" si="9"/>
        <v>4</v>
      </c>
      <c r="F157">
        <f t="shared" si="10"/>
        <v>52</v>
      </c>
      <c r="G157">
        <f t="shared" si="11"/>
        <v>4.87</v>
      </c>
    </row>
    <row r="158" spans="1:7" hidden="1" x14ac:dyDescent="0.25">
      <c r="A158" s="4" t="s">
        <v>155</v>
      </c>
      <c r="B158" s="1">
        <v>0.73158400000000001</v>
      </c>
      <c r="C158" s="1">
        <v>0.72921199999999997</v>
      </c>
      <c r="D158" s="1">
        <f t="shared" si="8"/>
        <v>2.3720000000000407E-3</v>
      </c>
      <c r="E158">
        <f t="shared" si="9"/>
        <v>3</v>
      </c>
      <c r="F158">
        <f t="shared" si="10"/>
        <v>25</v>
      </c>
      <c r="G158">
        <f t="shared" si="11"/>
        <v>3.42</v>
      </c>
    </row>
    <row r="159" spans="1:7" hidden="1" x14ac:dyDescent="0.25">
      <c r="A159" s="4" t="s">
        <v>156</v>
      </c>
      <c r="B159" s="1">
        <v>0.93236399999999997</v>
      </c>
      <c r="C159" s="1">
        <v>0.93049999999999999</v>
      </c>
      <c r="D159" s="1">
        <f t="shared" si="8"/>
        <v>1.8639999999999768E-3</v>
      </c>
      <c r="E159">
        <f t="shared" si="9"/>
        <v>2</v>
      </c>
      <c r="F159">
        <f t="shared" si="10"/>
        <v>41</v>
      </c>
      <c r="G159">
        <f t="shared" si="11"/>
        <v>2.68</v>
      </c>
    </row>
    <row r="160" spans="1:7" hidden="1" x14ac:dyDescent="0.25">
      <c r="A160" s="4" t="s">
        <v>157</v>
      </c>
      <c r="B160" s="1">
        <v>0.37124299999999999</v>
      </c>
      <c r="C160" s="1">
        <v>0.36984699999999998</v>
      </c>
      <c r="D160" s="1">
        <f t="shared" si="8"/>
        <v>1.3960000000000083E-3</v>
      </c>
      <c r="E160">
        <f t="shared" si="9"/>
        <v>2</v>
      </c>
      <c r="F160">
        <f t="shared" si="10"/>
        <v>1</v>
      </c>
      <c r="G160">
        <f t="shared" si="11"/>
        <v>2.02</v>
      </c>
    </row>
    <row r="161" spans="1:7" hidden="1" x14ac:dyDescent="0.25">
      <c r="A161" s="4" t="s">
        <v>158</v>
      </c>
      <c r="B161" s="1">
        <v>0.82938000000000001</v>
      </c>
      <c r="C161" s="1">
        <v>0.82733199999999996</v>
      </c>
      <c r="D161" s="1">
        <f t="shared" si="8"/>
        <v>2.0480000000000498E-3</v>
      </c>
      <c r="E161">
        <f t="shared" si="9"/>
        <v>2</v>
      </c>
      <c r="F161">
        <f t="shared" si="10"/>
        <v>57</v>
      </c>
      <c r="G161">
        <f t="shared" si="11"/>
        <v>2.95</v>
      </c>
    </row>
    <row r="162" spans="1:7" hidden="1" x14ac:dyDescent="0.25">
      <c r="A162" s="4" t="s">
        <v>159</v>
      </c>
      <c r="B162" s="1">
        <v>0.515621</v>
      </c>
      <c r="C162" s="1">
        <v>0.51379300000000006</v>
      </c>
      <c r="D162" s="1">
        <f t="shared" si="8"/>
        <v>1.8279999999999408E-3</v>
      </c>
      <c r="E162">
        <f t="shared" si="9"/>
        <v>2</v>
      </c>
      <c r="F162">
        <f t="shared" si="10"/>
        <v>38</v>
      </c>
      <c r="G162">
        <f t="shared" si="11"/>
        <v>2.63</v>
      </c>
    </row>
    <row r="163" spans="1:7" hidden="1" x14ac:dyDescent="0.25">
      <c r="A163" s="4" t="s">
        <v>160</v>
      </c>
      <c r="B163" s="1">
        <v>0.46384300000000001</v>
      </c>
      <c r="C163" s="1">
        <v>0.46656300000000001</v>
      </c>
      <c r="D163" s="1">
        <f t="shared" si="8"/>
        <v>2.7200000000000002E-3</v>
      </c>
      <c r="E163">
        <f t="shared" si="9"/>
        <v>3</v>
      </c>
      <c r="F163">
        <f t="shared" si="10"/>
        <v>55</v>
      </c>
      <c r="G163">
        <f t="shared" si="11"/>
        <v>3.92</v>
      </c>
    </row>
    <row r="164" spans="1:7" hidden="1" x14ac:dyDescent="0.25">
      <c r="A164" s="4" t="s">
        <v>161</v>
      </c>
      <c r="B164" s="1">
        <v>0.75155000000000005</v>
      </c>
      <c r="C164" s="1">
        <v>0.75432600000000005</v>
      </c>
      <c r="D164" s="1">
        <f t="shared" si="8"/>
        <v>2.7760000000000007E-3</v>
      </c>
      <c r="E164">
        <f t="shared" si="9"/>
        <v>4</v>
      </c>
      <c r="F164">
        <f t="shared" si="10"/>
        <v>0</v>
      </c>
      <c r="G164">
        <f t="shared" si="11"/>
        <v>4</v>
      </c>
    </row>
    <row r="165" spans="1:7" hidden="1" x14ac:dyDescent="0.25">
      <c r="A165" s="4" t="s">
        <v>162</v>
      </c>
      <c r="B165" s="1">
        <v>0.50681100000000001</v>
      </c>
      <c r="C165" s="1">
        <v>0.50492700000000001</v>
      </c>
      <c r="D165" s="1">
        <f t="shared" si="8"/>
        <v>1.8839999999999968E-3</v>
      </c>
      <c r="E165">
        <f t="shared" si="9"/>
        <v>2</v>
      </c>
      <c r="F165">
        <f t="shared" si="10"/>
        <v>43</v>
      </c>
      <c r="G165">
        <f t="shared" si="11"/>
        <v>2.72</v>
      </c>
    </row>
    <row r="166" spans="1:7" hidden="1" x14ac:dyDescent="0.25">
      <c r="A166" s="4" t="s">
        <v>163</v>
      </c>
      <c r="B166" s="1">
        <v>6.4921000000000006E-2</v>
      </c>
      <c r="C166" s="1">
        <v>6.2060999999999998E-2</v>
      </c>
      <c r="D166" s="1">
        <f t="shared" si="8"/>
        <v>2.8600000000000084E-3</v>
      </c>
      <c r="E166">
        <f t="shared" si="9"/>
        <v>4</v>
      </c>
      <c r="F166">
        <f t="shared" si="10"/>
        <v>7</v>
      </c>
      <c r="G166">
        <f t="shared" si="11"/>
        <v>4.12</v>
      </c>
    </row>
    <row r="167" spans="1:7" hidden="1" x14ac:dyDescent="0.25">
      <c r="A167" s="4" t="s">
        <v>107</v>
      </c>
      <c r="B167" s="1">
        <v>0.36874600000000002</v>
      </c>
      <c r="C167" s="1">
        <v>0.37047400000000003</v>
      </c>
      <c r="D167" s="1">
        <f t="shared" si="8"/>
        <v>1.7280000000000073E-3</v>
      </c>
      <c r="E167">
        <f t="shared" si="9"/>
        <v>2</v>
      </c>
      <c r="F167">
        <f t="shared" si="10"/>
        <v>29</v>
      </c>
      <c r="G167">
        <f t="shared" si="11"/>
        <v>2.48</v>
      </c>
    </row>
    <row r="168" spans="1:7" hidden="1" x14ac:dyDescent="0.25">
      <c r="A168" s="4" t="s">
        <v>16</v>
      </c>
      <c r="B168" s="1">
        <v>0.90525999999999995</v>
      </c>
      <c r="C168" s="1">
        <v>0.90354000000000001</v>
      </c>
      <c r="D168" s="1">
        <f t="shared" si="8"/>
        <v>1.7199999999999438E-3</v>
      </c>
      <c r="E168">
        <f t="shared" si="9"/>
        <v>2</v>
      </c>
      <c r="F168">
        <f t="shared" si="10"/>
        <v>29</v>
      </c>
      <c r="G168">
        <f t="shared" si="11"/>
        <v>2.48</v>
      </c>
    </row>
    <row r="169" spans="1:7" hidden="1" x14ac:dyDescent="0.25">
      <c r="A169" s="4" t="s">
        <v>64</v>
      </c>
      <c r="B169" s="1">
        <v>0.75966599999999995</v>
      </c>
      <c r="C169" s="1">
        <v>0.75585800000000003</v>
      </c>
      <c r="D169" s="1">
        <f t="shared" si="8"/>
        <v>3.8079999999999226E-3</v>
      </c>
      <c r="E169">
        <f t="shared" si="9"/>
        <v>5</v>
      </c>
      <c r="F169">
        <f t="shared" si="10"/>
        <v>29</v>
      </c>
      <c r="G169">
        <f t="shared" si="11"/>
        <v>5.48</v>
      </c>
    </row>
    <row r="170" spans="1:7" hidden="1" x14ac:dyDescent="0.25">
      <c r="A170" s="4" t="s">
        <v>155</v>
      </c>
      <c r="B170" s="1">
        <v>0.84710200000000002</v>
      </c>
      <c r="C170" s="1">
        <v>0.84899800000000003</v>
      </c>
      <c r="D170" s="1">
        <f t="shared" si="8"/>
        <v>1.8960000000000088E-3</v>
      </c>
      <c r="E170">
        <f t="shared" si="9"/>
        <v>2</v>
      </c>
      <c r="F170">
        <f t="shared" si="10"/>
        <v>44</v>
      </c>
      <c r="G170">
        <f t="shared" si="11"/>
        <v>2.73</v>
      </c>
    </row>
    <row r="171" spans="1:7" hidden="1" x14ac:dyDescent="0.25">
      <c r="A171" s="4" t="s">
        <v>74</v>
      </c>
      <c r="B171" s="1">
        <v>0.78240200000000004</v>
      </c>
      <c r="C171" s="1">
        <v>0.78495400000000004</v>
      </c>
      <c r="D171" s="1">
        <f t="shared" si="8"/>
        <v>2.5519999999999987E-3</v>
      </c>
      <c r="E171">
        <f t="shared" si="9"/>
        <v>3</v>
      </c>
      <c r="F171">
        <f t="shared" si="10"/>
        <v>40</v>
      </c>
      <c r="G171">
        <f t="shared" si="11"/>
        <v>3.67</v>
      </c>
    </row>
    <row r="172" spans="1:7" hidden="1" x14ac:dyDescent="0.25">
      <c r="A172" s="4" t="s">
        <v>21</v>
      </c>
      <c r="B172" s="1">
        <v>0.84183399999999997</v>
      </c>
      <c r="C172" s="1">
        <v>0.840086</v>
      </c>
      <c r="D172" s="1">
        <f t="shared" si="8"/>
        <v>1.7479999999999718E-3</v>
      </c>
      <c r="E172">
        <f t="shared" si="9"/>
        <v>2</v>
      </c>
      <c r="F172">
        <f t="shared" si="10"/>
        <v>31</v>
      </c>
      <c r="G172">
        <f t="shared" si="11"/>
        <v>2.52</v>
      </c>
    </row>
    <row r="173" spans="1:7" hidden="1" x14ac:dyDescent="0.25">
      <c r="A173" s="4" t="s">
        <v>27</v>
      </c>
      <c r="B173" s="1">
        <v>0.126585</v>
      </c>
      <c r="C173" s="1">
        <v>0.129029</v>
      </c>
      <c r="D173" s="1">
        <f t="shared" si="8"/>
        <v>2.4440000000000017E-3</v>
      </c>
      <c r="E173">
        <f t="shared" si="9"/>
        <v>3</v>
      </c>
      <c r="F173">
        <f t="shared" si="10"/>
        <v>31</v>
      </c>
      <c r="G173">
        <f t="shared" si="11"/>
        <v>3.52</v>
      </c>
    </row>
    <row r="174" spans="1:7" hidden="1" x14ac:dyDescent="0.25">
      <c r="A174" s="4" t="s">
        <v>83</v>
      </c>
      <c r="B174" s="1">
        <v>0.83486300000000002</v>
      </c>
      <c r="C174" s="1">
        <v>0.83299500000000004</v>
      </c>
      <c r="D174" s="1">
        <f t="shared" si="8"/>
        <v>1.8679999999999808E-3</v>
      </c>
      <c r="E174">
        <f t="shared" si="9"/>
        <v>2</v>
      </c>
      <c r="F174">
        <f t="shared" si="10"/>
        <v>41</v>
      </c>
      <c r="G174">
        <f t="shared" si="11"/>
        <v>2.68</v>
      </c>
    </row>
    <row r="175" spans="1:7" hidden="1" x14ac:dyDescent="0.25">
      <c r="A175" s="4" t="s">
        <v>60</v>
      </c>
      <c r="B175" s="1">
        <v>2.2539E-2</v>
      </c>
      <c r="C175" s="1">
        <v>2.0254999999999999E-2</v>
      </c>
      <c r="D175" s="1">
        <f t="shared" si="8"/>
        <v>2.2840000000000013E-3</v>
      </c>
      <c r="E175">
        <f t="shared" si="9"/>
        <v>3</v>
      </c>
      <c r="F175">
        <f t="shared" si="10"/>
        <v>17</v>
      </c>
      <c r="G175">
        <f t="shared" si="11"/>
        <v>3.28</v>
      </c>
    </row>
    <row r="176" spans="1:7" hidden="1" x14ac:dyDescent="0.25">
      <c r="A176" s="4" t="s">
        <v>12</v>
      </c>
      <c r="B176" s="1">
        <v>0.17019400000000001</v>
      </c>
      <c r="C176" s="1">
        <v>0.17386599999999999</v>
      </c>
      <c r="D176" s="1">
        <f t="shared" si="8"/>
        <v>3.6719999999999808E-3</v>
      </c>
      <c r="E176">
        <f t="shared" si="9"/>
        <v>5</v>
      </c>
      <c r="F176">
        <f t="shared" si="10"/>
        <v>17</v>
      </c>
      <c r="G176">
        <f t="shared" si="11"/>
        <v>5.28</v>
      </c>
    </row>
    <row r="177" spans="1:7" hidden="1" x14ac:dyDescent="0.25">
      <c r="A177" s="4" t="s">
        <v>49</v>
      </c>
      <c r="B177" s="1">
        <v>0.52166900000000005</v>
      </c>
      <c r="C177" s="1">
        <v>0.52531700000000003</v>
      </c>
      <c r="D177" s="1">
        <f t="shared" si="8"/>
        <v>3.6479999999999846E-3</v>
      </c>
      <c r="E177">
        <f t="shared" si="9"/>
        <v>5</v>
      </c>
      <c r="F177">
        <f t="shared" si="10"/>
        <v>15</v>
      </c>
      <c r="G177">
        <f t="shared" si="11"/>
        <v>5.25</v>
      </c>
    </row>
    <row r="178" spans="1:7" hidden="1" x14ac:dyDescent="0.25">
      <c r="A178" s="4" t="s">
        <v>47</v>
      </c>
      <c r="B178" s="1">
        <v>5.8332000000000002E-2</v>
      </c>
      <c r="C178" s="1">
        <v>5.5495999999999997E-2</v>
      </c>
      <c r="D178" s="1">
        <f t="shared" si="8"/>
        <v>2.8360000000000052E-3</v>
      </c>
      <c r="E178">
        <f t="shared" si="9"/>
        <v>4</v>
      </c>
      <c r="F178">
        <f t="shared" si="10"/>
        <v>5</v>
      </c>
      <c r="G178">
        <f t="shared" si="11"/>
        <v>4.08</v>
      </c>
    </row>
    <row r="179" spans="1:7" hidden="1" x14ac:dyDescent="0.25">
      <c r="A179" s="4" t="s">
        <v>41</v>
      </c>
      <c r="B179" s="1">
        <v>0.58149399999999996</v>
      </c>
      <c r="C179" s="1">
        <v>0.57857000000000003</v>
      </c>
      <c r="D179" s="1">
        <f t="shared" si="8"/>
        <v>2.9239999999999267E-3</v>
      </c>
      <c r="E179">
        <f t="shared" si="9"/>
        <v>4</v>
      </c>
      <c r="F179">
        <f t="shared" si="10"/>
        <v>13</v>
      </c>
      <c r="G179">
        <f t="shared" si="11"/>
        <v>4.22</v>
      </c>
    </row>
    <row r="180" spans="1:7" hidden="1" x14ac:dyDescent="0.25">
      <c r="A180" s="4" t="s">
        <v>117</v>
      </c>
      <c r="B180" s="1">
        <v>0.91855399999999998</v>
      </c>
      <c r="C180" s="1">
        <v>0.92222999999999999</v>
      </c>
      <c r="D180" s="1">
        <f t="shared" si="8"/>
        <v>3.6760000000000126E-3</v>
      </c>
      <c r="E180">
        <f t="shared" si="9"/>
        <v>5</v>
      </c>
      <c r="F180">
        <f t="shared" si="10"/>
        <v>18</v>
      </c>
      <c r="G180">
        <f t="shared" si="11"/>
        <v>5.3</v>
      </c>
    </row>
    <row r="181" spans="1:7" hidden="1" x14ac:dyDescent="0.25">
      <c r="A181" s="4" t="s">
        <v>162</v>
      </c>
      <c r="B181" s="1">
        <v>0.89708699999999997</v>
      </c>
      <c r="C181" s="1">
        <v>0.89373499999999995</v>
      </c>
      <c r="D181" s="1">
        <f t="shared" si="8"/>
        <v>3.3520000000000216E-3</v>
      </c>
      <c r="E181">
        <f t="shared" si="9"/>
        <v>4</v>
      </c>
      <c r="F181">
        <f t="shared" si="10"/>
        <v>50</v>
      </c>
      <c r="G181">
        <f t="shared" si="11"/>
        <v>4.83</v>
      </c>
    </row>
    <row r="182" spans="1:7" hidden="1" x14ac:dyDescent="0.25">
      <c r="A182" s="4" t="s">
        <v>5</v>
      </c>
      <c r="B182" s="1">
        <v>0.31651800000000002</v>
      </c>
      <c r="C182" s="1">
        <v>0.31273800000000002</v>
      </c>
      <c r="D182" s="1">
        <f t="shared" si="8"/>
        <v>3.7800000000000056E-3</v>
      </c>
      <c r="E182">
        <f t="shared" si="9"/>
        <v>5</v>
      </c>
      <c r="F182">
        <f t="shared" si="10"/>
        <v>27</v>
      </c>
      <c r="G182">
        <f t="shared" si="11"/>
        <v>5.45</v>
      </c>
    </row>
    <row r="183" spans="1:7" hidden="1" x14ac:dyDescent="0.25">
      <c r="A183" s="4" t="s">
        <v>109</v>
      </c>
      <c r="B183" s="1">
        <v>0.87171399999999999</v>
      </c>
      <c r="C183" s="1">
        <v>0.87551800000000002</v>
      </c>
      <c r="D183" s="1">
        <f t="shared" si="8"/>
        <v>3.8040000000000296E-3</v>
      </c>
      <c r="E183">
        <f t="shared" si="9"/>
        <v>5</v>
      </c>
      <c r="F183">
        <f t="shared" si="10"/>
        <v>29</v>
      </c>
      <c r="G183">
        <f t="shared" si="11"/>
        <v>5.48</v>
      </c>
    </row>
    <row r="184" spans="1:7" hidden="1" x14ac:dyDescent="0.25">
      <c r="A184" s="4" t="s">
        <v>75</v>
      </c>
      <c r="B184" s="1">
        <v>0.42321900000000001</v>
      </c>
      <c r="C184" s="1">
        <v>0.42627100000000001</v>
      </c>
      <c r="D184" s="1">
        <f t="shared" si="8"/>
        <v>3.0519999999999992E-3</v>
      </c>
      <c r="E184">
        <f t="shared" si="9"/>
        <v>4</v>
      </c>
      <c r="F184">
        <f t="shared" si="10"/>
        <v>24</v>
      </c>
      <c r="G184">
        <f t="shared" si="11"/>
        <v>4.4000000000000004</v>
      </c>
    </row>
    <row r="185" spans="1:7" hidden="1" x14ac:dyDescent="0.25">
      <c r="A185" s="4" t="s">
        <v>75</v>
      </c>
      <c r="B185" s="1">
        <v>0.59153599999999995</v>
      </c>
      <c r="C185" s="1">
        <v>0.58769199999999999</v>
      </c>
      <c r="D185" s="1">
        <f t="shared" si="8"/>
        <v>3.8439999999999586E-3</v>
      </c>
      <c r="E185">
        <f t="shared" si="9"/>
        <v>5</v>
      </c>
      <c r="F185">
        <f t="shared" si="10"/>
        <v>32</v>
      </c>
      <c r="G185">
        <f t="shared" si="11"/>
        <v>5.53</v>
      </c>
    </row>
    <row r="186" spans="1:7" hidden="1" x14ac:dyDescent="0.25">
      <c r="A186" s="4" t="s">
        <v>68</v>
      </c>
      <c r="B186" s="1">
        <v>0.87950700000000004</v>
      </c>
      <c r="C186" s="1">
        <v>0.88255499999999998</v>
      </c>
      <c r="D186" s="1">
        <f t="shared" si="8"/>
        <v>3.0479999999999396E-3</v>
      </c>
      <c r="E186">
        <f t="shared" si="9"/>
        <v>4</v>
      </c>
      <c r="F186">
        <f t="shared" si="10"/>
        <v>23</v>
      </c>
      <c r="G186">
        <f t="shared" si="11"/>
        <v>4.38</v>
      </c>
    </row>
    <row r="187" spans="1:7" hidden="1" x14ac:dyDescent="0.25">
      <c r="A187" s="4" t="s">
        <v>72</v>
      </c>
      <c r="B187" s="1">
        <v>0.848275</v>
      </c>
      <c r="C187" s="1">
        <v>0.84999499999999995</v>
      </c>
      <c r="D187" s="1">
        <f t="shared" si="8"/>
        <v>1.7199999999999438E-3</v>
      </c>
      <c r="E187">
        <f t="shared" si="9"/>
        <v>2</v>
      </c>
      <c r="F187">
        <f t="shared" si="10"/>
        <v>29</v>
      </c>
      <c r="G187">
        <f t="shared" si="11"/>
        <v>2.48</v>
      </c>
    </row>
    <row r="188" spans="1:7" hidden="1" x14ac:dyDescent="0.25">
      <c r="A188" s="4" t="s">
        <v>3</v>
      </c>
      <c r="B188" s="1">
        <v>0.29002600000000001</v>
      </c>
      <c r="C188" s="1">
        <v>0.291682</v>
      </c>
      <c r="D188" s="1">
        <f t="shared" si="8"/>
        <v>1.6559999999999908E-3</v>
      </c>
      <c r="E188">
        <f t="shared" si="9"/>
        <v>2</v>
      </c>
      <c r="F188">
        <f t="shared" si="10"/>
        <v>23</v>
      </c>
      <c r="G188">
        <f t="shared" si="11"/>
        <v>2.38</v>
      </c>
    </row>
    <row r="189" spans="1:7" hidden="1" x14ac:dyDescent="0.25">
      <c r="A189" s="4" t="s">
        <v>107</v>
      </c>
      <c r="B189" s="1">
        <v>0.41733100000000001</v>
      </c>
      <c r="C189" s="1">
        <v>0.419491</v>
      </c>
      <c r="D189" s="1">
        <f t="shared" si="8"/>
        <v>2.1599999999999953E-3</v>
      </c>
      <c r="E189">
        <f t="shared" si="9"/>
        <v>3</v>
      </c>
      <c r="F189">
        <f t="shared" si="10"/>
        <v>7</v>
      </c>
      <c r="G189">
        <f t="shared" si="11"/>
        <v>3.12</v>
      </c>
    </row>
    <row r="190" spans="1:7" hidden="1" x14ac:dyDescent="0.25">
      <c r="A190" s="4" t="s">
        <v>16</v>
      </c>
      <c r="B190" s="1">
        <v>8.7446999999999997E-2</v>
      </c>
      <c r="C190" s="1">
        <v>8.5182999999999995E-2</v>
      </c>
      <c r="D190" s="1">
        <f t="shared" si="8"/>
        <v>2.2640000000000021E-3</v>
      </c>
      <c r="E190">
        <f t="shared" si="9"/>
        <v>3</v>
      </c>
      <c r="F190">
        <f t="shared" si="10"/>
        <v>16</v>
      </c>
      <c r="G190">
        <f t="shared" si="11"/>
        <v>3.27</v>
      </c>
    </row>
    <row r="191" spans="1:7" hidden="1" x14ac:dyDescent="0.25">
      <c r="A191" s="4" t="s">
        <v>64</v>
      </c>
      <c r="B191" s="1">
        <v>0.99943800000000005</v>
      </c>
      <c r="C191" s="1">
        <v>0.99675400000000003</v>
      </c>
      <c r="D191" s="1">
        <f t="shared" si="8"/>
        <v>2.6840000000000197E-3</v>
      </c>
      <c r="E191">
        <f t="shared" si="9"/>
        <v>3</v>
      </c>
      <c r="F191">
        <f t="shared" si="10"/>
        <v>52</v>
      </c>
      <c r="G191">
        <f t="shared" si="11"/>
        <v>3.87</v>
      </c>
    </row>
    <row r="192" spans="1:7" hidden="1" x14ac:dyDescent="0.25">
      <c r="A192" s="4" t="s">
        <v>155</v>
      </c>
      <c r="B192" s="1">
        <v>0.57598300000000002</v>
      </c>
      <c r="C192" s="1">
        <v>0.57948699999999997</v>
      </c>
      <c r="D192" s="1">
        <f t="shared" si="8"/>
        <v>3.5039999999999516E-3</v>
      </c>
      <c r="E192">
        <f t="shared" si="9"/>
        <v>5</v>
      </c>
      <c r="F192">
        <f t="shared" si="10"/>
        <v>3</v>
      </c>
      <c r="G192">
        <f t="shared" si="11"/>
        <v>5.05</v>
      </c>
    </row>
    <row r="193" spans="1:7" hidden="1" x14ac:dyDescent="0.25">
      <c r="A193" s="4" t="s">
        <v>74</v>
      </c>
      <c r="B193" s="1">
        <v>0.170068</v>
      </c>
      <c r="C193" s="1">
        <v>0.16739599999999999</v>
      </c>
      <c r="D193" s="1">
        <f t="shared" si="8"/>
        <v>2.6720000000000077E-3</v>
      </c>
      <c r="E193">
        <f t="shared" si="9"/>
        <v>3</v>
      </c>
      <c r="F193">
        <f t="shared" si="10"/>
        <v>51</v>
      </c>
      <c r="G193">
        <f t="shared" si="11"/>
        <v>3.85</v>
      </c>
    </row>
    <row r="194" spans="1:7" hidden="1" x14ac:dyDescent="0.25">
      <c r="A194" s="4" t="s">
        <v>21</v>
      </c>
      <c r="B194" s="1">
        <v>7.4226E-2</v>
      </c>
      <c r="C194" s="1">
        <v>7.5994000000000006E-2</v>
      </c>
      <c r="D194" s="1">
        <f t="shared" si="8"/>
        <v>1.7680000000000057E-3</v>
      </c>
      <c r="E194">
        <f t="shared" si="9"/>
        <v>2</v>
      </c>
      <c r="F194">
        <f t="shared" si="10"/>
        <v>33</v>
      </c>
      <c r="G194">
        <f t="shared" si="11"/>
        <v>2.5499999999999998</v>
      </c>
    </row>
    <row r="195" spans="1:7" hidden="1" x14ac:dyDescent="0.25">
      <c r="A195" s="4" t="s">
        <v>27</v>
      </c>
      <c r="B195" s="1">
        <v>0.51301399999999997</v>
      </c>
      <c r="C195" s="1">
        <v>0.51158599999999999</v>
      </c>
      <c r="D195" s="1">
        <f t="shared" ref="D195:D258" si="12">IF(B195&gt;C195,B195-C195,C195-B195)</f>
        <v>1.4279999999999848E-3</v>
      </c>
      <c r="E195">
        <f t="shared" ref="E195:E258" si="13">MINUTE(D195)</f>
        <v>2</v>
      </c>
      <c r="F195">
        <f t="shared" ref="F195:F258" si="14">SECOND(D195)</f>
        <v>3</v>
      </c>
      <c r="G195">
        <f t="shared" ref="G195:G258" si="15">ROUND(E195+F195/60,2)</f>
        <v>2.0499999999999998</v>
      </c>
    </row>
    <row r="196" spans="1:7" hidden="1" x14ac:dyDescent="0.25">
      <c r="A196" s="4" t="s">
        <v>83</v>
      </c>
      <c r="B196" s="1">
        <v>0.99456699999999998</v>
      </c>
      <c r="C196" s="1">
        <v>0.99620699999999995</v>
      </c>
      <c r="D196" s="1">
        <f t="shared" si="12"/>
        <v>1.6399999999999748E-3</v>
      </c>
      <c r="E196">
        <f t="shared" si="13"/>
        <v>2</v>
      </c>
      <c r="F196">
        <f t="shared" si="14"/>
        <v>22</v>
      </c>
      <c r="G196">
        <f t="shared" si="15"/>
        <v>2.37</v>
      </c>
    </row>
    <row r="197" spans="1:7" hidden="1" x14ac:dyDescent="0.25">
      <c r="A197" s="4" t="s">
        <v>60</v>
      </c>
      <c r="B197" s="1">
        <v>0.72680199999999995</v>
      </c>
      <c r="C197" s="1">
        <v>0.72868999999999995</v>
      </c>
      <c r="D197" s="1">
        <f t="shared" si="12"/>
        <v>1.8880000000000008E-3</v>
      </c>
      <c r="E197">
        <f t="shared" si="13"/>
        <v>2</v>
      </c>
      <c r="F197">
        <f t="shared" si="14"/>
        <v>43</v>
      </c>
      <c r="G197">
        <f t="shared" si="15"/>
        <v>2.72</v>
      </c>
    </row>
    <row r="198" spans="1:7" hidden="1" x14ac:dyDescent="0.25">
      <c r="A198" s="4" t="s">
        <v>12</v>
      </c>
      <c r="B198" s="1">
        <v>0.92180200000000001</v>
      </c>
      <c r="C198" s="1">
        <v>0.91994600000000004</v>
      </c>
      <c r="D198" s="1">
        <f t="shared" si="12"/>
        <v>1.8559999999999688E-3</v>
      </c>
      <c r="E198">
        <f t="shared" si="13"/>
        <v>2</v>
      </c>
      <c r="F198">
        <f t="shared" si="14"/>
        <v>40</v>
      </c>
      <c r="G198">
        <f t="shared" si="15"/>
        <v>2.67</v>
      </c>
    </row>
    <row r="199" spans="1:7" hidden="1" x14ac:dyDescent="0.25">
      <c r="A199" s="4" t="s">
        <v>49</v>
      </c>
      <c r="B199" s="1">
        <v>0.73685999999999996</v>
      </c>
      <c r="C199" s="1">
        <v>0.73460400000000003</v>
      </c>
      <c r="D199" s="1">
        <f t="shared" si="12"/>
        <v>2.2559999999999247E-3</v>
      </c>
      <c r="E199">
        <f t="shared" si="13"/>
        <v>3</v>
      </c>
      <c r="F199">
        <f t="shared" si="14"/>
        <v>15</v>
      </c>
      <c r="G199">
        <f t="shared" si="15"/>
        <v>3.25</v>
      </c>
    </row>
    <row r="200" spans="1:7" hidden="1" x14ac:dyDescent="0.25">
      <c r="A200" s="4" t="s">
        <v>47</v>
      </c>
      <c r="B200" s="1">
        <v>0.95486300000000002</v>
      </c>
      <c r="C200" s="1">
        <v>0.95218700000000001</v>
      </c>
      <c r="D200" s="1">
        <f t="shared" si="12"/>
        <v>2.6760000000000117E-3</v>
      </c>
      <c r="E200">
        <f t="shared" si="13"/>
        <v>3</v>
      </c>
      <c r="F200">
        <f t="shared" si="14"/>
        <v>51</v>
      </c>
      <c r="G200">
        <f t="shared" si="15"/>
        <v>3.85</v>
      </c>
    </row>
    <row r="201" spans="1:7" hidden="1" x14ac:dyDescent="0.25">
      <c r="A201" s="4" t="s">
        <v>41</v>
      </c>
      <c r="B201" s="1">
        <v>0.17504700000000001</v>
      </c>
      <c r="C201" s="1">
        <v>0.17893500000000001</v>
      </c>
      <c r="D201" s="1">
        <f t="shared" si="12"/>
        <v>3.8880000000000026E-3</v>
      </c>
      <c r="E201">
        <f t="shared" si="13"/>
        <v>5</v>
      </c>
      <c r="F201">
        <f t="shared" si="14"/>
        <v>36</v>
      </c>
      <c r="G201">
        <f t="shared" si="15"/>
        <v>5.6</v>
      </c>
    </row>
    <row r="202" spans="1:7" hidden="1" x14ac:dyDescent="0.25">
      <c r="A202" s="4" t="s">
        <v>117</v>
      </c>
      <c r="B202" s="1">
        <v>0.42769200000000002</v>
      </c>
      <c r="C202" s="1">
        <v>0.42931599999999998</v>
      </c>
      <c r="D202" s="1">
        <f t="shared" si="12"/>
        <v>1.6239999999999588E-3</v>
      </c>
      <c r="E202">
        <f t="shared" si="13"/>
        <v>2</v>
      </c>
      <c r="F202">
        <f t="shared" si="14"/>
        <v>20</v>
      </c>
      <c r="G202">
        <f t="shared" si="15"/>
        <v>2.33</v>
      </c>
    </row>
    <row r="203" spans="1:7" hidden="1" x14ac:dyDescent="0.25">
      <c r="A203" s="4" t="s">
        <v>162</v>
      </c>
      <c r="B203" s="1">
        <v>0.17679500000000001</v>
      </c>
      <c r="C203" s="1">
        <v>0.17477100000000001</v>
      </c>
      <c r="D203" s="1">
        <f t="shared" si="12"/>
        <v>2.023999999999998E-3</v>
      </c>
      <c r="E203">
        <f t="shared" si="13"/>
        <v>2</v>
      </c>
      <c r="F203">
        <f t="shared" si="14"/>
        <v>55</v>
      </c>
      <c r="G203">
        <f t="shared" si="15"/>
        <v>2.92</v>
      </c>
    </row>
    <row r="204" spans="1:7" hidden="1" x14ac:dyDescent="0.25">
      <c r="A204" s="4" t="s">
        <v>5</v>
      </c>
      <c r="B204" s="1">
        <v>0.40955399999999997</v>
      </c>
      <c r="C204" s="1">
        <v>0.41143000000000002</v>
      </c>
      <c r="D204" s="1">
        <f t="shared" si="12"/>
        <v>1.8760000000000443E-3</v>
      </c>
      <c r="E204">
        <f t="shared" si="13"/>
        <v>2</v>
      </c>
      <c r="F204">
        <f t="shared" si="14"/>
        <v>42</v>
      </c>
      <c r="G204">
        <f t="shared" si="15"/>
        <v>2.7</v>
      </c>
    </row>
    <row r="205" spans="1:7" hidden="1" x14ac:dyDescent="0.25">
      <c r="A205" s="4" t="s">
        <v>109</v>
      </c>
      <c r="B205" s="1">
        <v>0.68685200000000002</v>
      </c>
      <c r="C205" s="1">
        <v>0.69050400000000001</v>
      </c>
      <c r="D205" s="1">
        <f t="shared" si="12"/>
        <v>3.6519999999999886E-3</v>
      </c>
      <c r="E205">
        <f t="shared" si="13"/>
        <v>5</v>
      </c>
      <c r="F205">
        <f t="shared" si="14"/>
        <v>16</v>
      </c>
      <c r="G205">
        <f t="shared" si="15"/>
        <v>5.27</v>
      </c>
    </row>
    <row r="206" spans="1:7" hidden="1" x14ac:dyDescent="0.25">
      <c r="A206" s="4" t="s">
        <v>75</v>
      </c>
      <c r="B206" s="1">
        <v>0.21182200000000001</v>
      </c>
      <c r="C206" s="1">
        <v>0.20880199999999999</v>
      </c>
      <c r="D206" s="1">
        <f t="shared" si="12"/>
        <v>3.0200000000000227E-3</v>
      </c>
      <c r="E206">
        <f t="shared" si="13"/>
        <v>4</v>
      </c>
      <c r="F206">
        <f t="shared" si="14"/>
        <v>21</v>
      </c>
      <c r="G206">
        <f t="shared" si="15"/>
        <v>4.3499999999999996</v>
      </c>
    </row>
    <row r="207" spans="1:7" hidden="1" x14ac:dyDescent="0.25">
      <c r="A207" s="4" t="s">
        <v>75</v>
      </c>
      <c r="B207" s="1">
        <v>0.43252099999999999</v>
      </c>
      <c r="C207" s="1">
        <v>0.43110500000000002</v>
      </c>
      <c r="D207" s="1">
        <f t="shared" si="12"/>
        <v>1.4159999999999728E-3</v>
      </c>
      <c r="E207">
        <f t="shared" si="13"/>
        <v>2</v>
      </c>
      <c r="F207">
        <f t="shared" si="14"/>
        <v>2</v>
      </c>
      <c r="G207">
        <f t="shared" si="15"/>
        <v>2.0299999999999998</v>
      </c>
    </row>
    <row r="208" spans="1:7" hidden="1" x14ac:dyDescent="0.25">
      <c r="A208" s="4" t="s">
        <v>68</v>
      </c>
      <c r="B208" s="1">
        <v>0.398974</v>
      </c>
      <c r="C208" s="1">
        <v>0.40052599999999999</v>
      </c>
      <c r="D208" s="1">
        <f t="shared" si="12"/>
        <v>1.5519999999999978E-3</v>
      </c>
      <c r="E208">
        <f t="shared" si="13"/>
        <v>2</v>
      </c>
      <c r="F208">
        <f t="shared" si="14"/>
        <v>14</v>
      </c>
      <c r="G208">
        <f t="shared" si="15"/>
        <v>2.23</v>
      </c>
    </row>
    <row r="209" spans="1:7" hidden="1" x14ac:dyDescent="0.25">
      <c r="A209" s="4" t="s">
        <v>72</v>
      </c>
      <c r="B209" s="1">
        <v>0.43932300000000002</v>
      </c>
      <c r="C209" s="1">
        <v>0.43679099999999998</v>
      </c>
      <c r="D209" s="1">
        <f t="shared" si="12"/>
        <v>2.5320000000000342E-3</v>
      </c>
      <c r="E209">
        <f t="shared" si="13"/>
        <v>3</v>
      </c>
      <c r="F209">
        <f t="shared" si="14"/>
        <v>39</v>
      </c>
      <c r="G209">
        <f t="shared" si="15"/>
        <v>3.65</v>
      </c>
    </row>
    <row r="210" spans="1:7" hidden="1" x14ac:dyDescent="0.25">
      <c r="A210" s="4" t="s">
        <v>3</v>
      </c>
      <c r="B210" s="1">
        <v>0.141675</v>
      </c>
      <c r="C210" s="1">
        <v>0.138651</v>
      </c>
      <c r="D210" s="1">
        <f t="shared" si="12"/>
        <v>3.0239999999999989E-3</v>
      </c>
      <c r="E210">
        <f t="shared" si="13"/>
        <v>4</v>
      </c>
      <c r="F210">
        <f t="shared" si="14"/>
        <v>21</v>
      </c>
      <c r="G210">
        <f t="shared" si="15"/>
        <v>4.3499999999999996</v>
      </c>
    </row>
    <row r="211" spans="1:7" hidden="1" x14ac:dyDescent="0.25">
      <c r="A211" s="4" t="s">
        <v>47</v>
      </c>
      <c r="B211" s="1">
        <v>0.85342399999999996</v>
      </c>
      <c r="C211" s="1">
        <v>0.85614800000000002</v>
      </c>
      <c r="D211" s="1">
        <f t="shared" si="12"/>
        <v>2.7240000000000597E-3</v>
      </c>
      <c r="E211">
        <f t="shared" si="13"/>
        <v>3</v>
      </c>
      <c r="F211">
        <f t="shared" si="14"/>
        <v>55</v>
      </c>
      <c r="G211">
        <f t="shared" si="15"/>
        <v>3.92</v>
      </c>
    </row>
    <row r="212" spans="1:7" hidden="1" x14ac:dyDescent="0.25">
      <c r="A212" s="4" t="s">
        <v>41</v>
      </c>
      <c r="B212" s="1">
        <v>0.186281</v>
      </c>
      <c r="C212" s="1">
        <v>0.18371299999999999</v>
      </c>
      <c r="D212" s="1">
        <f t="shared" si="12"/>
        <v>2.5680000000000147E-3</v>
      </c>
      <c r="E212">
        <f t="shared" si="13"/>
        <v>3</v>
      </c>
      <c r="F212">
        <f t="shared" si="14"/>
        <v>42</v>
      </c>
      <c r="G212">
        <f t="shared" si="15"/>
        <v>3.7</v>
      </c>
    </row>
    <row r="213" spans="1:7" hidden="1" x14ac:dyDescent="0.25">
      <c r="A213" s="4" t="s">
        <v>117</v>
      </c>
      <c r="B213" s="1">
        <v>8.9881000000000003E-2</v>
      </c>
      <c r="C213" s="1">
        <v>9.2344999999999997E-2</v>
      </c>
      <c r="D213" s="1">
        <f t="shared" si="12"/>
        <v>2.463999999999994E-3</v>
      </c>
      <c r="E213">
        <f t="shared" si="13"/>
        <v>3</v>
      </c>
      <c r="F213">
        <f t="shared" si="14"/>
        <v>33</v>
      </c>
      <c r="G213">
        <f t="shared" si="15"/>
        <v>3.55</v>
      </c>
    </row>
    <row r="214" spans="1:7" hidden="1" x14ac:dyDescent="0.25">
      <c r="A214" s="4" t="s">
        <v>162</v>
      </c>
      <c r="B214" s="1">
        <v>2.4351000000000001E-2</v>
      </c>
      <c r="C214" s="1">
        <v>2.6023000000000001E-2</v>
      </c>
      <c r="D214" s="1">
        <f t="shared" si="12"/>
        <v>1.6719999999999999E-3</v>
      </c>
      <c r="E214">
        <f t="shared" si="13"/>
        <v>2</v>
      </c>
      <c r="F214">
        <f t="shared" si="14"/>
        <v>24</v>
      </c>
      <c r="G214">
        <f t="shared" si="15"/>
        <v>2.4</v>
      </c>
    </row>
    <row r="215" spans="1:7" hidden="1" x14ac:dyDescent="0.25">
      <c r="A215" s="4" t="s">
        <v>5</v>
      </c>
      <c r="B215" s="1">
        <v>0.89798900000000004</v>
      </c>
      <c r="C215" s="1">
        <v>0.89986100000000002</v>
      </c>
      <c r="D215" s="1">
        <f t="shared" si="12"/>
        <v>1.8719999999999848E-3</v>
      </c>
      <c r="E215">
        <f t="shared" si="13"/>
        <v>2</v>
      </c>
      <c r="F215">
        <f t="shared" si="14"/>
        <v>42</v>
      </c>
      <c r="G215">
        <f t="shared" si="15"/>
        <v>2.7</v>
      </c>
    </row>
    <row r="216" spans="1:7" hidden="1" x14ac:dyDescent="0.25">
      <c r="A216" s="4" t="s">
        <v>109</v>
      </c>
      <c r="B216" s="1">
        <v>0.869726</v>
      </c>
      <c r="C216" s="1">
        <v>0.86768999999999996</v>
      </c>
      <c r="D216" s="1">
        <f t="shared" si="12"/>
        <v>2.0360000000000378E-3</v>
      </c>
      <c r="E216">
        <f t="shared" si="13"/>
        <v>2</v>
      </c>
      <c r="F216">
        <f t="shared" si="14"/>
        <v>56</v>
      </c>
      <c r="G216">
        <f t="shared" si="15"/>
        <v>2.93</v>
      </c>
    </row>
    <row r="217" spans="1:7" hidden="1" x14ac:dyDescent="0.25">
      <c r="A217" s="4" t="s">
        <v>47</v>
      </c>
      <c r="B217" s="1">
        <v>0.44847399999999998</v>
      </c>
      <c r="C217" s="1">
        <v>0.45169799999999999</v>
      </c>
      <c r="D217" s="1">
        <f t="shared" si="12"/>
        <v>3.2240000000000046E-3</v>
      </c>
      <c r="E217">
        <f t="shared" si="13"/>
        <v>4</v>
      </c>
      <c r="F217">
        <f t="shared" si="14"/>
        <v>39</v>
      </c>
      <c r="G217">
        <f t="shared" si="15"/>
        <v>4.6500000000000004</v>
      </c>
    </row>
    <row r="218" spans="1:7" hidden="1" x14ac:dyDescent="0.25">
      <c r="A218" s="4" t="s">
        <v>41</v>
      </c>
      <c r="B218" s="1">
        <v>0.58307699999999996</v>
      </c>
      <c r="C218" s="1">
        <v>0.58018099999999995</v>
      </c>
      <c r="D218" s="1">
        <f t="shared" si="12"/>
        <v>2.8960000000000097E-3</v>
      </c>
      <c r="E218">
        <f t="shared" si="13"/>
        <v>4</v>
      </c>
      <c r="F218">
        <f t="shared" si="14"/>
        <v>10</v>
      </c>
      <c r="G218">
        <f t="shared" si="15"/>
        <v>4.17</v>
      </c>
    </row>
    <row r="219" spans="1:7" hidden="1" x14ac:dyDescent="0.25">
      <c r="A219" s="4" t="s">
        <v>117</v>
      </c>
      <c r="B219" s="1">
        <v>0.84016999999999997</v>
      </c>
      <c r="C219" s="1">
        <v>0.84218999999999999</v>
      </c>
      <c r="D219" s="1">
        <f t="shared" si="12"/>
        <v>2.0200000000000218E-3</v>
      </c>
      <c r="E219">
        <f t="shared" si="13"/>
        <v>2</v>
      </c>
      <c r="F219">
        <f t="shared" si="14"/>
        <v>55</v>
      </c>
      <c r="G219">
        <f t="shared" si="15"/>
        <v>2.92</v>
      </c>
    </row>
    <row r="220" spans="1:7" hidden="1" x14ac:dyDescent="0.25">
      <c r="A220" s="4" t="s">
        <v>162</v>
      </c>
      <c r="B220" s="1">
        <v>0.80282699999999996</v>
      </c>
      <c r="C220" s="1">
        <v>0.805091</v>
      </c>
      <c r="D220" s="1">
        <f t="shared" si="12"/>
        <v>2.2640000000000438E-3</v>
      </c>
      <c r="E220">
        <f t="shared" si="13"/>
        <v>3</v>
      </c>
      <c r="F220">
        <f t="shared" si="14"/>
        <v>16</v>
      </c>
      <c r="G220">
        <f t="shared" si="15"/>
        <v>3.27</v>
      </c>
    </row>
    <row r="221" spans="1:7" hidden="1" x14ac:dyDescent="0.25">
      <c r="A221" s="4" t="s">
        <v>5</v>
      </c>
      <c r="B221" s="1">
        <v>7.6984999999999998E-2</v>
      </c>
      <c r="C221" s="1">
        <v>7.3173000000000002E-2</v>
      </c>
      <c r="D221" s="1">
        <f t="shared" si="12"/>
        <v>3.8119999999999959E-3</v>
      </c>
      <c r="E221">
        <f t="shared" si="13"/>
        <v>5</v>
      </c>
      <c r="F221">
        <f t="shared" si="14"/>
        <v>29</v>
      </c>
      <c r="G221">
        <f t="shared" si="15"/>
        <v>5.48</v>
      </c>
    </row>
    <row r="222" spans="1:7" hidden="1" x14ac:dyDescent="0.25">
      <c r="A222" s="4" t="s">
        <v>109</v>
      </c>
      <c r="B222" s="1">
        <v>0.98943999999999999</v>
      </c>
      <c r="C222" s="1">
        <v>0.98772800000000005</v>
      </c>
      <c r="D222" s="1">
        <f t="shared" si="12"/>
        <v>1.7119999999999358E-3</v>
      </c>
      <c r="E222">
        <f t="shared" si="13"/>
        <v>2</v>
      </c>
      <c r="F222">
        <f t="shared" si="14"/>
        <v>28</v>
      </c>
      <c r="G222">
        <f t="shared" si="15"/>
        <v>2.4700000000000002</v>
      </c>
    </row>
    <row r="223" spans="1:7" hidden="1" x14ac:dyDescent="0.25">
      <c r="A223" s="4" t="s">
        <v>47</v>
      </c>
      <c r="B223" s="1">
        <v>0.38585999999999998</v>
      </c>
      <c r="C223" s="1">
        <v>0.38773999999999997</v>
      </c>
      <c r="D223" s="1">
        <f t="shared" si="12"/>
        <v>1.8799999999999928E-3</v>
      </c>
      <c r="E223">
        <f t="shared" si="13"/>
        <v>2</v>
      </c>
      <c r="F223">
        <f t="shared" si="14"/>
        <v>42</v>
      </c>
      <c r="G223">
        <f t="shared" si="15"/>
        <v>2.7</v>
      </c>
    </row>
    <row r="224" spans="1:7" hidden="1" x14ac:dyDescent="0.25">
      <c r="A224" s="4" t="s">
        <v>41</v>
      </c>
      <c r="B224" s="1">
        <v>0.88634100000000005</v>
      </c>
      <c r="C224" s="1">
        <v>0.88827299999999998</v>
      </c>
      <c r="D224" s="1">
        <f t="shared" si="12"/>
        <v>1.9319999999999338E-3</v>
      </c>
      <c r="E224">
        <f t="shared" si="13"/>
        <v>2</v>
      </c>
      <c r="F224">
        <f t="shared" si="14"/>
        <v>47</v>
      </c>
      <c r="G224">
        <f t="shared" si="15"/>
        <v>2.78</v>
      </c>
    </row>
    <row r="225" spans="1:7" hidden="1" x14ac:dyDescent="0.25">
      <c r="A225" s="4" t="s">
        <v>117</v>
      </c>
      <c r="B225" s="1">
        <v>0.21960199999999999</v>
      </c>
      <c r="C225" s="1">
        <v>0.21732199999999999</v>
      </c>
      <c r="D225" s="1">
        <f t="shared" si="12"/>
        <v>2.2800000000000042E-3</v>
      </c>
      <c r="E225">
        <f t="shared" si="13"/>
        <v>3</v>
      </c>
      <c r="F225">
        <f t="shared" si="14"/>
        <v>17</v>
      </c>
      <c r="G225">
        <f t="shared" si="15"/>
        <v>3.28</v>
      </c>
    </row>
    <row r="226" spans="1:7" hidden="1" x14ac:dyDescent="0.25">
      <c r="A226" s="4" t="s">
        <v>162</v>
      </c>
      <c r="B226" s="1">
        <v>0.14232400000000001</v>
      </c>
      <c r="C226" s="1">
        <v>0.144844</v>
      </c>
      <c r="D226" s="1">
        <f t="shared" si="12"/>
        <v>2.5199999999999945E-3</v>
      </c>
      <c r="E226">
        <f t="shared" si="13"/>
        <v>3</v>
      </c>
      <c r="F226">
        <f t="shared" si="14"/>
        <v>38</v>
      </c>
      <c r="G226">
        <f t="shared" si="15"/>
        <v>3.63</v>
      </c>
    </row>
    <row r="227" spans="1:7" hidden="1" x14ac:dyDescent="0.25">
      <c r="A227" s="4" t="s">
        <v>5</v>
      </c>
      <c r="B227" s="1">
        <v>0.78616900000000001</v>
      </c>
      <c r="C227" s="1">
        <v>0.78911699999999996</v>
      </c>
      <c r="D227" s="1">
        <f t="shared" si="12"/>
        <v>2.9479999999999507E-3</v>
      </c>
      <c r="E227">
        <f t="shared" si="13"/>
        <v>4</v>
      </c>
      <c r="F227">
        <f t="shared" si="14"/>
        <v>15</v>
      </c>
      <c r="G227">
        <f t="shared" si="15"/>
        <v>4.25</v>
      </c>
    </row>
    <row r="228" spans="1:7" hidden="1" x14ac:dyDescent="0.25">
      <c r="A228" s="4" t="s">
        <v>109</v>
      </c>
      <c r="B228" s="1">
        <v>0.116871</v>
      </c>
      <c r="C228" s="1">
        <v>0.114135</v>
      </c>
      <c r="D228" s="1">
        <f t="shared" si="12"/>
        <v>2.7360000000000023E-3</v>
      </c>
      <c r="E228">
        <f t="shared" si="13"/>
        <v>3</v>
      </c>
      <c r="F228">
        <f t="shared" si="14"/>
        <v>56</v>
      </c>
      <c r="G228">
        <f t="shared" si="15"/>
        <v>3.93</v>
      </c>
    </row>
    <row r="229" spans="1:7" hidden="1" x14ac:dyDescent="0.25">
      <c r="A229" s="4" t="s">
        <v>47</v>
      </c>
      <c r="B229" s="1">
        <v>7.4501999999999999E-2</v>
      </c>
      <c r="C229" s="1">
        <v>7.3053999999999994E-2</v>
      </c>
      <c r="D229" s="1">
        <f t="shared" si="12"/>
        <v>1.4480000000000048E-3</v>
      </c>
      <c r="E229">
        <f t="shared" si="13"/>
        <v>2</v>
      </c>
      <c r="F229">
        <f t="shared" si="14"/>
        <v>5</v>
      </c>
      <c r="G229">
        <f t="shared" si="15"/>
        <v>2.08</v>
      </c>
    </row>
    <row r="230" spans="1:7" hidden="1" x14ac:dyDescent="0.25">
      <c r="A230" s="4" t="s">
        <v>41</v>
      </c>
      <c r="B230" s="1">
        <v>0.25088199999999999</v>
      </c>
      <c r="C230" s="1">
        <v>0.24737799999999999</v>
      </c>
      <c r="D230" s="1">
        <f t="shared" si="12"/>
        <v>3.5040000000000071E-3</v>
      </c>
      <c r="E230">
        <f t="shared" si="13"/>
        <v>5</v>
      </c>
      <c r="F230">
        <f t="shared" si="14"/>
        <v>3</v>
      </c>
      <c r="G230">
        <f t="shared" si="15"/>
        <v>5.05</v>
      </c>
    </row>
    <row r="231" spans="1:7" hidden="1" x14ac:dyDescent="0.25">
      <c r="A231" s="4" t="s">
        <v>117</v>
      </c>
      <c r="B231" s="1">
        <v>0.94641600000000004</v>
      </c>
      <c r="C231" s="1">
        <v>0.94965200000000005</v>
      </c>
      <c r="D231" s="1">
        <f t="shared" si="12"/>
        <v>3.2360000000000166E-3</v>
      </c>
      <c r="E231">
        <f t="shared" si="13"/>
        <v>4</v>
      </c>
      <c r="F231">
        <f t="shared" si="14"/>
        <v>40</v>
      </c>
      <c r="G231">
        <f t="shared" si="15"/>
        <v>4.67</v>
      </c>
    </row>
    <row r="232" spans="1:7" hidden="1" x14ac:dyDescent="0.25">
      <c r="A232" s="4" t="s">
        <v>162</v>
      </c>
      <c r="B232" s="1">
        <v>0.110017</v>
      </c>
      <c r="C232" s="1">
        <v>0.108101</v>
      </c>
      <c r="D232" s="1">
        <f t="shared" si="12"/>
        <v>1.916000000000001E-3</v>
      </c>
      <c r="E232">
        <f t="shared" si="13"/>
        <v>2</v>
      </c>
      <c r="F232">
        <f t="shared" si="14"/>
        <v>46</v>
      </c>
      <c r="G232">
        <f t="shared" si="15"/>
        <v>2.77</v>
      </c>
    </row>
    <row r="233" spans="1:7" hidden="1" x14ac:dyDescent="0.25">
      <c r="A233" s="4" t="s">
        <v>164</v>
      </c>
      <c r="B233" s="1">
        <v>0.27964899999999998</v>
      </c>
      <c r="C233" s="1">
        <v>0.28198499999999999</v>
      </c>
      <c r="D233" s="1">
        <f t="shared" si="12"/>
        <v>2.3360000000000047E-3</v>
      </c>
      <c r="E233">
        <f t="shared" si="13"/>
        <v>3</v>
      </c>
      <c r="F233">
        <f t="shared" si="14"/>
        <v>22</v>
      </c>
      <c r="G233">
        <f t="shared" si="15"/>
        <v>3.37</v>
      </c>
    </row>
    <row r="234" spans="1:7" hidden="1" x14ac:dyDescent="0.25">
      <c r="A234" s="4" t="s">
        <v>109</v>
      </c>
      <c r="B234" s="1">
        <v>0.12549399999999999</v>
      </c>
      <c r="C234" s="1">
        <v>0.121934</v>
      </c>
      <c r="D234" s="1">
        <f t="shared" si="12"/>
        <v>3.5599999999999937E-3</v>
      </c>
      <c r="E234">
        <f t="shared" si="13"/>
        <v>5</v>
      </c>
      <c r="F234">
        <f t="shared" si="14"/>
        <v>8</v>
      </c>
      <c r="G234">
        <f t="shared" si="15"/>
        <v>5.13</v>
      </c>
    </row>
    <row r="235" spans="1:7" hidden="1" x14ac:dyDescent="0.25">
      <c r="A235" s="4" t="s">
        <v>162</v>
      </c>
      <c r="B235" s="1">
        <v>0.459476</v>
      </c>
      <c r="C235" s="1">
        <v>0.45600000000000002</v>
      </c>
      <c r="D235" s="1">
        <f t="shared" si="12"/>
        <v>3.4759999999999791E-3</v>
      </c>
      <c r="E235">
        <f t="shared" si="13"/>
        <v>5</v>
      </c>
      <c r="F235">
        <f t="shared" si="14"/>
        <v>0</v>
      </c>
      <c r="G235">
        <f t="shared" si="15"/>
        <v>5</v>
      </c>
    </row>
    <row r="236" spans="1:7" hidden="1" x14ac:dyDescent="0.25">
      <c r="A236" s="4" t="s">
        <v>5</v>
      </c>
      <c r="B236" s="1">
        <v>0.27487200000000001</v>
      </c>
      <c r="C236" s="1">
        <v>0.27720400000000001</v>
      </c>
      <c r="D236" s="1">
        <f t="shared" si="12"/>
        <v>2.3320000000000007E-3</v>
      </c>
      <c r="E236">
        <f t="shared" si="13"/>
        <v>3</v>
      </c>
      <c r="F236">
        <f t="shared" si="14"/>
        <v>21</v>
      </c>
      <c r="G236">
        <f t="shared" si="15"/>
        <v>3.35</v>
      </c>
    </row>
    <row r="237" spans="1:7" hidden="1" x14ac:dyDescent="0.25">
      <c r="A237" s="4" t="s">
        <v>109</v>
      </c>
      <c r="B237" s="1">
        <v>0.67701</v>
      </c>
      <c r="C237" s="1">
        <v>0.67305400000000004</v>
      </c>
      <c r="D237" s="1">
        <f t="shared" si="12"/>
        <v>3.9559999999999595E-3</v>
      </c>
      <c r="E237">
        <f t="shared" si="13"/>
        <v>5</v>
      </c>
      <c r="F237">
        <f t="shared" si="14"/>
        <v>42</v>
      </c>
      <c r="G237">
        <f t="shared" si="15"/>
        <v>5.7</v>
      </c>
    </row>
    <row r="238" spans="1:7" hidden="1" x14ac:dyDescent="0.25">
      <c r="A238" s="4" t="s">
        <v>165</v>
      </c>
      <c r="B238" s="1">
        <v>0.16714200000000001</v>
      </c>
      <c r="C238" s="1">
        <v>0.165106</v>
      </c>
      <c r="D238" s="1">
        <f t="shared" si="12"/>
        <v>2.03600000000001E-3</v>
      </c>
      <c r="E238">
        <f t="shared" si="13"/>
        <v>2</v>
      </c>
      <c r="F238">
        <f t="shared" si="14"/>
        <v>56</v>
      </c>
      <c r="G238">
        <f t="shared" si="15"/>
        <v>2.93</v>
      </c>
    </row>
    <row r="239" spans="1:7" hidden="1" x14ac:dyDescent="0.25">
      <c r="A239" s="4" t="s">
        <v>5</v>
      </c>
      <c r="B239" s="1">
        <v>0.59608099999999997</v>
      </c>
      <c r="C239" s="1">
        <v>0.59963299999999997</v>
      </c>
      <c r="D239" s="1">
        <f t="shared" si="12"/>
        <v>3.5519999999999996E-3</v>
      </c>
      <c r="E239">
        <f t="shared" si="13"/>
        <v>5</v>
      </c>
      <c r="F239">
        <f t="shared" si="14"/>
        <v>7</v>
      </c>
      <c r="G239">
        <f t="shared" si="15"/>
        <v>5.12</v>
      </c>
    </row>
    <row r="240" spans="1:7" hidden="1" x14ac:dyDescent="0.25">
      <c r="A240" s="4" t="s">
        <v>109</v>
      </c>
      <c r="B240" s="1">
        <v>0.30414799999999997</v>
      </c>
      <c r="C240" s="1">
        <v>0.30221199999999998</v>
      </c>
      <c r="D240" s="1">
        <f t="shared" si="12"/>
        <v>1.9359999999999933E-3</v>
      </c>
      <c r="E240">
        <f t="shared" si="13"/>
        <v>2</v>
      </c>
      <c r="F240">
        <f t="shared" si="14"/>
        <v>47</v>
      </c>
      <c r="G240">
        <f t="shared" si="15"/>
        <v>2.78</v>
      </c>
    </row>
    <row r="241" spans="1:7" hidden="1" x14ac:dyDescent="0.25">
      <c r="A241" s="4" t="s">
        <v>162</v>
      </c>
      <c r="B241" s="1">
        <v>0.576519</v>
      </c>
      <c r="C241" s="1">
        <v>0.57400300000000004</v>
      </c>
      <c r="D241" s="1">
        <f t="shared" si="12"/>
        <v>2.5159999999999627E-3</v>
      </c>
      <c r="E241">
        <f t="shared" si="13"/>
        <v>3</v>
      </c>
      <c r="F241">
        <f t="shared" si="14"/>
        <v>37</v>
      </c>
      <c r="G241">
        <f t="shared" si="15"/>
        <v>3.62</v>
      </c>
    </row>
    <row r="242" spans="1:7" hidden="1" x14ac:dyDescent="0.25">
      <c r="A242" s="4" t="s">
        <v>5</v>
      </c>
      <c r="B242" s="1">
        <v>0.28254000000000001</v>
      </c>
      <c r="C242" s="1">
        <v>0.28488400000000003</v>
      </c>
      <c r="D242" s="1">
        <f t="shared" si="12"/>
        <v>2.3440000000000127E-3</v>
      </c>
      <c r="E242">
        <f t="shared" si="13"/>
        <v>3</v>
      </c>
      <c r="F242">
        <f t="shared" si="14"/>
        <v>23</v>
      </c>
      <c r="G242">
        <f t="shared" si="15"/>
        <v>3.38</v>
      </c>
    </row>
    <row r="243" spans="1:7" hidden="1" x14ac:dyDescent="0.25">
      <c r="A243" s="4" t="s">
        <v>109</v>
      </c>
      <c r="B243" s="1">
        <v>0.23408499999999999</v>
      </c>
      <c r="C243" s="1">
        <v>0.23075300000000001</v>
      </c>
      <c r="D243" s="1">
        <f t="shared" si="12"/>
        <v>3.3319999999999739E-3</v>
      </c>
      <c r="E243">
        <f t="shared" si="13"/>
        <v>4</v>
      </c>
      <c r="F243">
        <f t="shared" si="14"/>
        <v>48</v>
      </c>
      <c r="G243">
        <f t="shared" si="15"/>
        <v>4.8</v>
      </c>
    </row>
    <row r="244" spans="1:7" hidden="1" x14ac:dyDescent="0.25">
      <c r="A244" s="4" t="s">
        <v>87</v>
      </c>
      <c r="B244" s="1">
        <v>0.50998299999999996</v>
      </c>
      <c r="C244" s="1">
        <v>0.50774300000000006</v>
      </c>
      <c r="D244" s="1">
        <f t="shared" si="12"/>
        <v>2.2399999999999087E-3</v>
      </c>
      <c r="E244">
        <f t="shared" si="13"/>
        <v>3</v>
      </c>
      <c r="F244">
        <f t="shared" si="14"/>
        <v>14</v>
      </c>
      <c r="G244">
        <f t="shared" si="15"/>
        <v>3.23</v>
      </c>
    </row>
    <row r="245" spans="1:7" hidden="1" x14ac:dyDescent="0.25">
      <c r="A245" s="4" t="s">
        <v>87</v>
      </c>
      <c r="B245" s="1">
        <v>0.44664599999999999</v>
      </c>
      <c r="C245" s="1">
        <v>0.44944200000000001</v>
      </c>
      <c r="D245" s="1">
        <f t="shared" si="12"/>
        <v>2.7960000000000207E-3</v>
      </c>
      <c r="E245">
        <f t="shared" si="13"/>
        <v>4</v>
      </c>
      <c r="F245">
        <f t="shared" si="14"/>
        <v>2</v>
      </c>
      <c r="G245">
        <f t="shared" si="15"/>
        <v>4.03</v>
      </c>
    </row>
    <row r="246" spans="1:7" hidden="1" x14ac:dyDescent="0.25">
      <c r="A246" s="4" t="s">
        <v>87</v>
      </c>
      <c r="B246" s="1">
        <v>0.61230499999999999</v>
      </c>
      <c r="C246" s="1">
        <v>0.61417299999999997</v>
      </c>
      <c r="D246" s="1">
        <f t="shared" si="12"/>
        <v>1.8679999999999808E-3</v>
      </c>
      <c r="E246">
        <f t="shared" si="13"/>
        <v>2</v>
      </c>
      <c r="F246">
        <f t="shared" si="14"/>
        <v>41</v>
      </c>
      <c r="G246">
        <f t="shared" si="15"/>
        <v>2.68</v>
      </c>
    </row>
    <row r="247" spans="1:7" hidden="1" x14ac:dyDescent="0.25">
      <c r="A247" s="4" t="s">
        <v>87</v>
      </c>
      <c r="B247" s="1">
        <v>0.29541000000000001</v>
      </c>
      <c r="C247" s="1">
        <v>0.29919800000000002</v>
      </c>
      <c r="D247" s="1">
        <f t="shared" si="12"/>
        <v>3.7880000000000136E-3</v>
      </c>
      <c r="E247">
        <f t="shared" si="13"/>
        <v>5</v>
      </c>
      <c r="F247">
        <f t="shared" si="14"/>
        <v>27</v>
      </c>
      <c r="G247">
        <f t="shared" si="15"/>
        <v>5.45</v>
      </c>
    </row>
    <row r="248" spans="1:7" hidden="1" x14ac:dyDescent="0.25">
      <c r="A248" s="4" t="s">
        <v>56</v>
      </c>
      <c r="B248" s="1">
        <v>0.74378100000000003</v>
      </c>
      <c r="C248" s="1">
        <v>0.747197</v>
      </c>
      <c r="D248" s="1">
        <f t="shared" si="12"/>
        <v>3.4159999999999746E-3</v>
      </c>
      <c r="E248">
        <f t="shared" si="13"/>
        <v>4</v>
      </c>
      <c r="F248">
        <f t="shared" si="14"/>
        <v>55</v>
      </c>
      <c r="G248">
        <f t="shared" si="15"/>
        <v>4.92</v>
      </c>
    </row>
    <row r="249" spans="1:7" hidden="1" x14ac:dyDescent="0.25">
      <c r="A249" s="4" t="s">
        <v>132</v>
      </c>
      <c r="B249" s="1">
        <v>0.51571999999999996</v>
      </c>
      <c r="C249" s="1">
        <v>0.51715999999999995</v>
      </c>
      <c r="D249" s="1">
        <f t="shared" si="12"/>
        <v>1.4399999999999968E-3</v>
      </c>
      <c r="E249">
        <f t="shared" si="13"/>
        <v>2</v>
      </c>
      <c r="F249">
        <f t="shared" si="14"/>
        <v>4</v>
      </c>
      <c r="G249">
        <f t="shared" si="15"/>
        <v>2.0699999999999998</v>
      </c>
    </row>
    <row r="250" spans="1:7" hidden="1" x14ac:dyDescent="0.25">
      <c r="A250" s="4" t="s">
        <v>18</v>
      </c>
      <c r="B250" s="1">
        <v>0.214673</v>
      </c>
      <c r="C250" s="1">
        <v>0.21774499999999999</v>
      </c>
      <c r="D250" s="1">
        <f t="shared" si="12"/>
        <v>3.0719999999999914E-3</v>
      </c>
      <c r="E250">
        <f t="shared" si="13"/>
        <v>4</v>
      </c>
      <c r="F250">
        <f t="shared" si="14"/>
        <v>25</v>
      </c>
      <c r="G250">
        <f t="shared" si="15"/>
        <v>4.42</v>
      </c>
    </row>
    <row r="251" spans="1:7" hidden="1" x14ac:dyDescent="0.25">
      <c r="A251" s="4" t="s">
        <v>85</v>
      </c>
      <c r="B251" s="1">
        <v>0.90568499999999996</v>
      </c>
      <c r="C251" s="1">
        <v>0.90785700000000003</v>
      </c>
      <c r="D251" s="1">
        <f t="shared" si="12"/>
        <v>2.1720000000000628E-3</v>
      </c>
      <c r="E251">
        <f t="shared" si="13"/>
        <v>3</v>
      </c>
      <c r="F251">
        <f t="shared" si="14"/>
        <v>8</v>
      </c>
      <c r="G251">
        <f t="shared" si="15"/>
        <v>3.13</v>
      </c>
    </row>
    <row r="252" spans="1:7" hidden="1" x14ac:dyDescent="0.25">
      <c r="A252" s="4" t="s">
        <v>112</v>
      </c>
      <c r="B252" s="1">
        <v>0.45399299999999998</v>
      </c>
      <c r="C252" s="1">
        <v>0.452185</v>
      </c>
      <c r="D252" s="1">
        <f t="shared" si="12"/>
        <v>1.8079999999999763E-3</v>
      </c>
      <c r="E252">
        <f t="shared" si="13"/>
        <v>2</v>
      </c>
      <c r="F252">
        <f t="shared" si="14"/>
        <v>36</v>
      </c>
      <c r="G252">
        <f t="shared" si="15"/>
        <v>2.6</v>
      </c>
    </row>
    <row r="253" spans="1:7" hidden="1" x14ac:dyDescent="0.25">
      <c r="A253" s="4" t="s">
        <v>103</v>
      </c>
      <c r="B253" s="1">
        <v>0.65021700000000004</v>
      </c>
      <c r="C253" s="1">
        <v>0.64635299999999996</v>
      </c>
      <c r="D253" s="1">
        <f t="shared" si="12"/>
        <v>3.8640000000000896E-3</v>
      </c>
      <c r="E253">
        <f t="shared" si="13"/>
        <v>5</v>
      </c>
      <c r="F253">
        <f t="shared" si="14"/>
        <v>34</v>
      </c>
      <c r="G253">
        <f t="shared" si="15"/>
        <v>5.57</v>
      </c>
    </row>
    <row r="254" spans="1:7" hidden="1" x14ac:dyDescent="0.25">
      <c r="A254" s="4" t="s">
        <v>57</v>
      </c>
      <c r="B254" s="1">
        <v>0.174453</v>
      </c>
      <c r="C254" s="1">
        <v>0.176009</v>
      </c>
      <c r="D254" s="1">
        <f t="shared" si="12"/>
        <v>1.5560000000000018E-3</v>
      </c>
      <c r="E254">
        <f t="shared" si="13"/>
        <v>2</v>
      </c>
      <c r="F254">
        <f t="shared" si="14"/>
        <v>14</v>
      </c>
      <c r="G254">
        <f t="shared" si="15"/>
        <v>2.23</v>
      </c>
    </row>
    <row r="255" spans="1:7" hidden="1" x14ac:dyDescent="0.25">
      <c r="A255" s="4" t="s">
        <v>3</v>
      </c>
      <c r="B255" s="1">
        <v>0.140041</v>
      </c>
      <c r="C255" s="1">
        <v>0.14161699999999999</v>
      </c>
      <c r="D255" s="1">
        <f t="shared" si="12"/>
        <v>1.5759999999999941E-3</v>
      </c>
      <c r="E255">
        <f t="shared" si="13"/>
        <v>2</v>
      </c>
      <c r="F255">
        <f t="shared" si="14"/>
        <v>16</v>
      </c>
      <c r="G255">
        <f t="shared" si="15"/>
        <v>2.27</v>
      </c>
    </row>
    <row r="256" spans="1:7" hidden="1" x14ac:dyDescent="0.25">
      <c r="A256" s="4" t="s">
        <v>4</v>
      </c>
      <c r="B256" s="1">
        <v>0.86221700000000001</v>
      </c>
      <c r="C256" s="1">
        <v>0.85994899999999996</v>
      </c>
      <c r="D256" s="1">
        <f t="shared" si="12"/>
        <v>2.2680000000000478E-3</v>
      </c>
      <c r="E256">
        <f t="shared" si="13"/>
        <v>3</v>
      </c>
      <c r="F256">
        <f t="shared" si="14"/>
        <v>16</v>
      </c>
      <c r="G256">
        <f t="shared" si="15"/>
        <v>3.27</v>
      </c>
    </row>
    <row r="257" spans="1:7" hidden="1" x14ac:dyDescent="0.25">
      <c r="A257" s="4" t="s">
        <v>5</v>
      </c>
      <c r="B257" s="1">
        <v>0.50733099999999998</v>
      </c>
      <c r="C257" s="1">
        <v>0.51071900000000003</v>
      </c>
      <c r="D257" s="1">
        <f t="shared" si="12"/>
        <v>3.3880000000000576E-3</v>
      </c>
      <c r="E257">
        <f t="shared" si="13"/>
        <v>4</v>
      </c>
      <c r="F257">
        <f t="shared" si="14"/>
        <v>53</v>
      </c>
      <c r="G257">
        <f t="shared" si="15"/>
        <v>4.88</v>
      </c>
    </row>
    <row r="258" spans="1:7" hidden="1" x14ac:dyDescent="0.25">
      <c r="A258" s="4" t="s">
        <v>6</v>
      </c>
      <c r="B258" s="1">
        <v>0.89605199999999996</v>
      </c>
      <c r="C258" s="1">
        <v>0.89464399999999999</v>
      </c>
      <c r="D258" s="1">
        <f t="shared" si="12"/>
        <v>1.4079999999999648E-3</v>
      </c>
      <c r="E258">
        <f t="shared" si="13"/>
        <v>2</v>
      </c>
      <c r="F258">
        <f t="shared" si="14"/>
        <v>2</v>
      </c>
      <c r="G258">
        <f t="shared" si="15"/>
        <v>2.0299999999999998</v>
      </c>
    </row>
    <row r="259" spans="1:7" hidden="1" x14ac:dyDescent="0.25">
      <c r="A259" s="4" t="s">
        <v>7</v>
      </c>
      <c r="B259" s="1">
        <v>0.54949499999999996</v>
      </c>
      <c r="C259" s="1">
        <v>0.54675499999999999</v>
      </c>
      <c r="D259" s="1">
        <f t="shared" ref="D259:D322" si="16">IF(B259&gt;C259,B259-C259,C259-B259)</f>
        <v>2.7399999999999647E-3</v>
      </c>
      <c r="E259">
        <f t="shared" ref="E259:E322" si="17">MINUTE(D259)</f>
        <v>3</v>
      </c>
      <c r="F259">
        <f t="shared" ref="F259:F322" si="18">SECOND(D259)</f>
        <v>57</v>
      </c>
      <c r="G259">
        <f t="shared" ref="G259:G322" si="19">ROUND(E259+F259/60,2)</f>
        <v>3.95</v>
      </c>
    </row>
    <row r="260" spans="1:7" hidden="1" x14ac:dyDescent="0.25">
      <c r="A260" s="4" t="s">
        <v>8</v>
      </c>
      <c r="B260" s="1">
        <v>6.8551000000000001E-2</v>
      </c>
      <c r="C260" s="1">
        <v>6.5270999999999996E-2</v>
      </c>
      <c r="D260" s="1">
        <f t="shared" si="16"/>
        <v>3.2800000000000051E-3</v>
      </c>
      <c r="E260">
        <f t="shared" si="17"/>
        <v>4</v>
      </c>
      <c r="F260">
        <f t="shared" si="18"/>
        <v>43</v>
      </c>
      <c r="G260">
        <f t="shared" si="19"/>
        <v>4.72</v>
      </c>
    </row>
    <row r="261" spans="1:7" hidden="1" x14ac:dyDescent="0.25">
      <c r="A261" s="4" t="s">
        <v>9</v>
      </c>
      <c r="B261" s="1">
        <v>6.9554000000000005E-2</v>
      </c>
      <c r="C261" s="1">
        <v>6.7585999999999993E-2</v>
      </c>
      <c r="D261" s="1">
        <f t="shared" si="16"/>
        <v>1.9680000000000114E-3</v>
      </c>
      <c r="E261">
        <f t="shared" si="17"/>
        <v>2</v>
      </c>
      <c r="F261">
        <f t="shared" si="18"/>
        <v>50</v>
      </c>
      <c r="G261">
        <f t="shared" si="19"/>
        <v>2.83</v>
      </c>
    </row>
    <row r="262" spans="1:7" hidden="1" x14ac:dyDescent="0.25">
      <c r="A262" s="4" t="s">
        <v>10</v>
      </c>
      <c r="B262" s="1">
        <v>0.85223800000000005</v>
      </c>
      <c r="C262" s="1">
        <v>0.84849799999999997</v>
      </c>
      <c r="D262" s="1">
        <f t="shared" si="16"/>
        <v>3.7400000000000766E-3</v>
      </c>
      <c r="E262">
        <f t="shared" si="17"/>
        <v>5</v>
      </c>
      <c r="F262">
        <f t="shared" si="18"/>
        <v>23</v>
      </c>
      <c r="G262">
        <f t="shared" si="19"/>
        <v>5.38</v>
      </c>
    </row>
    <row r="263" spans="1:7" hidden="1" x14ac:dyDescent="0.25">
      <c r="A263" s="4" t="s">
        <v>11</v>
      </c>
      <c r="B263" s="1">
        <v>0.44774900000000001</v>
      </c>
      <c r="C263" s="1">
        <v>0.451573</v>
      </c>
      <c r="D263" s="1">
        <f t="shared" si="16"/>
        <v>3.8239999999999941E-3</v>
      </c>
      <c r="E263">
        <f t="shared" si="17"/>
        <v>5</v>
      </c>
      <c r="F263">
        <f t="shared" si="18"/>
        <v>30</v>
      </c>
      <c r="G263">
        <f t="shared" si="19"/>
        <v>5.5</v>
      </c>
    </row>
    <row r="264" spans="1:7" hidden="1" x14ac:dyDescent="0.25">
      <c r="A264" s="4" t="s">
        <v>12</v>
      </c>
      <c r="B264" s="1">
        <v>0.84136299999999997</v>
      </c>
      <c r="C264" s="1">
        <v>0.83881899999999998</v>
      </c>
      <c r="D264" s="1">
        <f t="shared" si="16"/>
        <v>2.5439999999999907E-3</v>
      </c>
      <c r="E264">
        <f t="shared" si="17"/>
        <v>3</v>
      </c>
      <c r="F264">
        <f t="shared" si="18"/>
        <v>40</v>
      </c>
      <c r="G264">
        <f t="shared" si="19"/>
        <v>3.67</v>
      </c>
    </row>
    <row r="265" spans="1:7" hidden="1" x14ac:dyDescent="0.25">
      <c r="A265" s="4" t="s">
        <v>13</v>
      </c>
      <c r="B265" s="1">
        <v>0.20627400000000001</v>
      </c>
      <c r="C265" s="1">
        <v>0.20369799999999999</v>
      </c>
      <c r="D265" s="1">
        <f t="shared" si="16"/>
        <v>2.5760000000000227E-3</v>
      </c>
      <c r="E265">
        <f t="shared" si="17"/>
        <v>3</v>
      </c>
      <c r="F265">
        <f t="shared" si="18"/>
        <v>43</v>
      </c>
      <c r="G265">
        <f t="shared" si="19"/>
        <v>3.72</v>
      </c>
    </row>
    <row r="266" spans="1:7" hidden="1" x14ac:dyDescent="0.25">
      <c r="A266" s="4" t="s">
        <v>14</v>
      </c>
      <c r="B266" s="1">
        <v>0.53404300000000005</v>
      </c>
      <c r="C266" s="1">
        <v>0.53097899999999998</v>
      </c>
      <c r="D266" s="1">
        <f t="shared" si="16"/>
        <v>3.0640000000000667E-3</v>
      </c>
      <c r="E266">
        <f t="shared" si="17"/>
        <v>4</v>
      </c>
      <c r="F266">
        <f t="shared" si="18"/>
        <v>25</v>
      </c>
      <c r="G266">
        <f t="shared" si="19"/>
        <v>4.42</v>
      </c>
    </row>
    <row r="267" spans="1:7" hidden="1" x14ac:dyDescent="0.25">
      <c r="A267" s="4" t="s">
        <v>15</v>
      </c>
      <c r="B267" s="1">
        <v>0.52019700000000002</v>
      </c>
      <c r="C267" s="1">
        <v>0.52254900000000004</v>
      </c>
      <c r="D267" s="1">
        <f t="shared" si="16"/>
        <v>2.3520000000000207E-3</v>
      </c>
      <c r="E267">
        <f t="shared" si="17"/>
        <v>3</v>
      </c>
      <c r="F267">
        <f t="shared" si="18"/>
        <v>23</v>
      </c>
      <c r="G267">
        <f t="shared" si="19"/>
        <v>3.38</v>
      </c>
    </row>
    <row r="268" spans="1:7" hidden="1" x14ac:dyDescent="0.25">
      <c r="A268" s="4" t="s">
        <v>16</v>
      </c>
      <c r="B268" s="1">
        <v>0.464613</v>
      </c>
      <c r="C268" s="1">
        <v>0.46155299999999999</v>
      </c>
      <c r="D268" s="1">
        <f t="shared" si="16"/>
        <v>3.0600000000000072E-3</v>
      </c>
      <c r="E268">
        <f t="shared" si="17"/>
        <v>4</v>
      </c>
      <c r="F268">
        <f t="shared" si="18"/>
        <v>24</v>
      </c>
      <c r="G268">
        <f t="shared" si="19"/>
        <v>4.4000000000000004</v>
      </c>
    </row>
    <row r="269" spans="1:7" hidden="1" x14ac:dyDescent="0.25">
      <c r="A269" s="4" t="s">
        <v>17</v>
      </c>
      <c r="B269" s="1">
        <v>0.94928199999999996</v>
      </c>
      <c r="C269" s="1">
        <v>0.94705799999999996</v>
      </c>
      <c r="D269" s="1">
        <f t="shared" si="16"/>
        <v>2.2240000000000038E-3</v>
      </c>
      <c r="E269">
        <f t="shared" si="17"/>
        <v>3</v>
      </c>
      <c r="F269">
        <f t="shared" si="18"/>
        <v>12</v>
      </c>
      <c r="G269">
        <f t="shared" si="19"/>
        <v>3.2</v>
      </c>
    </row>
    <row r="270" spans="1:7" hidden="1" x14ac:dyDescent="0.25">
      <c r="A270" s="4" t="s">
        <v>18</v>
      </c>
      <c r="B270" s="1">
        <v>0.62996300000000005</v>
      </c>
      <c r="C270" s="1">
        <v>0.62636700000000001</v>
      </c>
      <c r="D270" s="1">
        <f t="shared" si="16"/>
        <v>3.5960000000000436E-3</v>
      </c>
      <c r="E270">
        <f t="shared" si="17"/>
        <v>5</v>
      </c>
      <c r="F270">
        <f t="shared" si="18"/>
        <v>11</v>
      </c>
      <c r="G270">
        <f t="shared" si="19"/>
        <v>5.18</v>
      </c>
    </row>
    <row r="271" spans="1:7" hidden="1" x14ac:dyDescent="0.25">
      <c r="A271" s="4" t="s">
        <v>19</v>
      </c>
      <c r="B271" s="1">
        <v>0.76597700000000002</v>
      </c>
      <c r="C271" s="1">
        <v>0.76212500000000005</v>
      </c>
      <c r="D271" s="1">
        <f t="shared" si="16"/>
        <v>3.8519999999999666E-3</v>
      </c>
      <c r="E271">
        <f t="shared" si="17"/>
        <v>5</v>
      </c>
      <c r="F271">
        <f t="shared" si="18"/>
        <v>33</v>
      </c>
      <c r="G271">
        <f t="shared" si="19"/>
        <v>5.55</v>
      </c>
    </row>
    <row r="272" spans="1:7" hidden="1" x14ac:dyDescent="0.25">
      <c r="A272" s="4" t="s">
        <v>20</v>
      </c>
      <c r="B272" s="1">
        <v>0.65905100000000005</v>
      </c>
      <c r="C272" s="1">
        <v>0.662879</v>
      </c>
      <c r="D272" s="1">
        <f t="shared" si="16"/>
        <v>3.8279999999999426E-3</v>
      </c>
      <c r="E272">
        <f t="shared" si="17"/>
        <v>5</v>
      </c>
      <c r="F272">
        <f t="shared" si="18"/>
        <v>31</v>
      </c>
      <c r="G272">
        <f t="shared" si="19"/>
        <v>5.52</v>
      </c>
    </row>
    <row r="273" spans="1:7" hidden="1" x14ac:dyDescent="0.25">
      <c r="A273" s="4" t="s">
        <v>21</v>
      </c>
      <c r="B273" s="1">
        <v>0.88179300000000005</v>
      </c>
      <c r="C273" s="1">
        <v>0.87958099999999995</v>
      </c>
      <c r="D273" s="1">
        <f t="shared" si="16"/>
        <v>2.2120000000001028E-3</v>
      </c>
      <c r="E273">
        <f t="shared" si="17"/>
        <v>3</v>
      </c>
      <c r="F273">
        <f t="shared" si="18"/>
        <v>11</v>
      </c>
      <c r="G273">
        <f t="shared" si="19"/>
        <v>3.18</v>
      </c>
    </row>
    <row r="274" spans="1:7" hidden="1" x14ac:dyDescent="0.25">
      <c r="A274" s="4" t="s">
        <v>22</v>
      </c>
      <c r="B274" s="1">
        <v>0.96188399999999996</v>
      </c>
      <c r="C274" s="1">
        <v>0.95841200000000004</v>
      </c>
      <c r="D274" s="1">
        <f t="shared" si="16"/>
        <v>3.4719999999999196E-3</v>
      </c>
      <c r="E274">
        <f t="shared" si="17"/>
        <v>5</v>
      </c>
      <c r="F274">
        <f t="shared" si="18"/>
        <v>0</v>
      </c>
      <c r="G274">
        <f t="shared" si="19"/>
        <v>5</v>
      </c>
    </row>
    <row r="275" spans="1:7" hidden="1" x14ac:dyDescent="0.25">
      <c r="A275" s="4" t="s">
        <v>23</v>
      </c>
      <c r="B275" s="1">
        <v>0.551709</v>
      </c>
      <c r="C275" s="1">
        <v>0.54965699999999995</v>
      </c>
      <c r="D275" s="1">
        <f t="shared" si="16"/>
        <v>2.0520000000000538E-3</v>
      </c>
      <c r="E275">
        <f t="shared" si="17"/>
        <v>2</v>
      </c>
      <c r="F275">
        <f t="shared" si="18"/>
        <v>57</v>
      </c>
      <c r="G275">
        <f t="shared" si="19"/>
        <v>2.95</v>
      </c>
    </row>
    <row r="276" spans="1:7" hidden="1" x14ac:dyDescent="0.25">
      <c r="A276" s="4" t="s">
        <v>24</v>
      </c>
      <c r="B276" s="1">
        <v>0.55516799999999999</v>
      </c>
      <c r="C276" s="1">
        <v>0.55682399999999999</v>
      </c>
      <c r="D276" s="1">
        <f t="shared" si="16"/>
        <v>1.6559999999999908E-3</v>
      </c>
      <c r="E276">
        <f t="shared" si="17"/>
        <v>2</v>
      </c>
      <c r="F276">
        <f t="shared" si="18"/>
        <v>23</v>
      </c>
      <c r="G276">
        <f t="shared" si="19"/>
        <v>2.38</v>
      </c>
    </row>
    <row r="277" spans="1:7" hidden="1" x14ac:dyDescent="0.25">
      <c r="A277" s="4" t="s">
        <v>25</v>
      </c>
      <c r="B277" s="1">
        <v>0.50799799999999995</v>
      </c>
      <c r="C277" s="1">
        <v>0.50580599999999998</v>
      </c>
      <c r="D277" s="1">
        <f t="shared" si="16"/>
        <v>2.1919999999999717E-3</v>
      </c>
      <c r="E277">
        <f t="shared" si="17"/>
        <v>3</v>
      </c>
      <c r="F277">
        <f t="shared" si="18"/>
        <v>9</v>
      </c>
      <c r="G277">
        <f t="shared" si="19"/>
        <v>3.15</v>
      </c>
    </row>
    <row r="278" spans="1:7" hidden="1" x14ac:dyDescent="0.25">
      <c r="A278" s="4" t="s">
        <v>26</v>
      </c>
      <c r="B278" s="1">
        <v>0.29010599999999998</v>
      </c>
      <c r="C278" s="1">
        <v>0.29300599999999999</v>
      </c>
      <c r="D278" s="1">
        <f t="shared" si="16"/>
        <v>2.9000000000000137E-3</v>
      </c>
      <c r="E278">
        <f t="shared" si="17"/>
        <v>4</v>
      </c>
      <c r="F278">
        <f t="shared" si="18"/>
        <v>11</v>
      </c>
      <c r="G278">
        <f t="shared" si="19"/>
        <v>4.18</v>
      </c>
    </row>
    <row r="279" spans="1:7" hidden="1" x14ac:dyDescent="0.25">
      <c r="A279" s="4" t="s">
        <v>27</v>
      </c>
      <c r="B279" s="1">
        <v>0.888069</v>
      </c>
      <c r="C279" s="1">
        <v>0.88534100000000004</v>
      </c>
      <c r="D279" s="1">
        <f t="shared" si="16"/>
        <v>2.7279999999999527E-3</v>
      </c>
      <c r="E279">
        <f t="shared" si="17"/>
        <v>3</v>
      </c>
      <c r="F279">
        <f t="shared" si="18"/>
        <v>56</v>
      </c>
      <c r="G279">
        <f t="shared" si="19"/>
        <v>3.93</v>
      </c>
    </row>
    <row r="280" spans="1:7" hidden="1" x14ac:dyDescent="0.25">
      <c r="A280" s="4" t="s">
        <v>28</v>
      </c>
      <c r="B280" s="1">
        <v>0.29008400000000001</v>
      </c>
      <c r="C280" s="1">
        <v>0.29398800000000003</v>
      </c>
      <c r="D280" s="1">
        <f t="shared" si="16"/>
        <v>3.9040000000000186E-3</v>
      </c>
      <c r="E280">
        <f t="shared" si="17"/>
        <v>5</v>
      </c>
      <c r="F280">
        <f t="shared" si="18"/>
        <v>37</v>
      </c>
      <c r="G280">
        <f t="shared" si="19"/>
        <v>5.62</v>
      </c>
    </row>
    <row r="281" spans="1:7" hidden="1" x14ac:dyDescent="0.25">
      <c r="A281" s="4" t="s">
        <v>29</v>
      </c>
      <c r="B281" s="1">
        <v>0.53885000000000005</v>
      </c>
      <c r="C281" s="1">
        <v>0.53549000000000002</v>
      </c>
      <c r="D281" s="1">
        <f t="shared" si="16"/>
        <v>3.3600000000000296E-3</v>
      </c>
      <c r="E281">
        <f t="shared" si="17"/>
        <v>4</v>
      </c>
      <c r="F281">
        <f t="shared" si="18"/>
        <v>50</v>
      </c>
      <c r="G281">
        <f t="shared" si="19"/>
        <v>4.83</v>
      </c>
    </row>
    <row r="282" spans="1:7" hidden="1" x14ac:dyDescent="0.25">
      <c r="A282" s="4" t="s">
        <v>30</v>
      </c>
      <c r="B282" s="1">
        <v>0.46298299999999998</v>
      </c>
      <c r="C282" s="1">
        <v>0.459231</v>
      </c>
      <c r="D282" s="1">
        <f t="shared" si="16"/>
        <v>3.7519999999999776E-3</v>
      </c>
      <c r="E282">
        <f t="shared" si="17"/>
        <v>5</v>
      </c>
      <c r="F282">
        <f t="shared" si="18"/>
        <v>24</v>
      </c>
      <c r="G282">
        <f t="shared" si="19"/>
        <v>5.4</v>
      </c>
    </row>
    <row r="283" spans="1:7" hidden="1" x14ac:dyDescent="0.25">
      <c r="A283" s="4" t="s">
        <v>31</v>
      </c>
      <c r="B283" s="1">
        <v>7.6189999999999999E-3</v>
      </c>
      <c r="C283" s="1">
        <v>3.8670000000000002E-3</v>
      </c>
      <c r="D283" s="1">
        <f t="shared" si="16"/>
        <v>3.7519999999999997E-3</v>
      </c>
      <c r="E283">
        <f t="shared" si="17"/>
        <v>5</v>
      </c>
      <c r="F283">
        <f t="shared" si="18"/>
        <v>24</v>
      </c>
      <c r="G283">
        <f t="shared" si="19"/>
        <v>5.4</v>
      </c>
    </row>
    <row r="284" spans="1:7" hidden="1" x14ac:dyDescent="0.25">
      <c r="A284" s="4" t="s">
        <v>32</v>
      </c>
      <c r="B284" s="1">
        <v>0.83624799999999999</v>
      </c>
      <c r="C284" s="1">
        <v>0.832376</v>
      </c>
      <c r="D284" s="1">
        <f t="shared" si="16"/>
        <v>3.8719999999999866E-3</v>
      </c>
      <c r="E284">
        <f t="shared" si="17"/>
        <v>5</v>
      </c>
      <c r="F284">
        <f t="shared" si="18"/>
        <v>35</v>
      </c>
      <c r="G284">
        <f t="shared" si="19"/>
        <v>5.58</v>
      </c>
    </row>
    <row r="285" spans="1:7" hidden="1" x14ac:dyDescent="0.25">
      <c r="A285" s="4" t="s">
        <v>33</v>
      </c>
      <c r="B285" s="1">
        <v>0.506386</v>
      </c>
      <c r="C285" s="1">
        <v>0.50263400000000003</v>
      </c>
      <c r="D285" s="1">
        <f t="shared" si="16"/>
        <v>3.7519999999999776E-3</v>
      </c>
      <c r="E285">
        <f t="shared" si="17"/>
        <v>5</v>
      </c>
      <c r="F285">
        <f t="shared" si="18"/>
        <v>24</v>
      </c>
      <c r="G285">
        <f t="shared" si="19"/>
        <v>5.4</v>
      </c>
    </row>
    <row r="286" spans="1:7" x14ac:dyDescent="0.25">
      <c r="A286" s="7" t="s">
        <v>166</v>
      </c>
      <c r="B286" s="1">
        <v>0.30390899999999998</v>
      </c>
      <c r="C286" s="1">
        <v>0.30128100000000002</v>
      </c>
      <c r="D286" s="1">
        <f t="shared" si="16"/>
        <v>2.6279999999999637E-3</v>
      </c>
      <c r="E286">
        <f t="shared" si="17"/>
        <v>3</v>
      </c>
      <c r="F286">
        <f t="shared" si="18"/>
        <v>47</v>
      </c>
      <c r="G286" s="2">
        <f t="shared" si="19"/>
        <v>3.78</v>
      </c>
    </row>
    <row r="287" spans="1:7" hidden="1" x14ac:dyDescent="0.25">
      <c r="A287" s="4" t="s">
        <v>428</v>
      </c>
      <c r="B287" s="1">
        <v>0.93484299999999998</v>
      </c>
      <c r="C287" s="1">
        <v>0.93879100000000004</v>
      </c>
      <c r="D287" s="1">
        <f t="shared" si="16"/>
        <v>3.9480000000000626E-3</v>
      </c>
      <c r="E287">
        <f t="shared" si="17"/>
        <v>5</v>
      </c>
      <c r="F287">
        <f t="shared" si="18"/>
        <v>41</v>
      </c>
      <c r="G287">
        <f t="shared" si="19"/>
        <v>5.68</v>
      </c>
    </row>
    <row r="288" spans="1:7" hidden="1" x14ac:dyDescent="0.25">
      <c r="A288" s="4" t="s">
        <v>35</v>
      </c>
      <c r="B288" s="1">
        <v>0.74358000000000002</v>
      </c>
      <c r="C288" s="1">
        <v>0.74584399999999995</v>
      </c>
      <c r="D288" s="1">
        <f t="shared" si="16"/>
        <v>2.2639999999999327E-3</v>
      </c>
      <c r="E288">
        <f t="shared" si="17"/>
        <v>3</v>
      </c>
      <c r="F288">
        <f t="shared" si="18"/>
        <v>16</v>
      </c>
      <c r="G288">
        <f t="shared" si="19"/>
        <v>3.27</v>
      </c>
    </row>
    <row r="289" spans="1:7" hidden="1" x14ac:dyDescent="0.25">
      <c r="A289" s="4" t="s">
        <v>36</v>
      </c>
      <c r="B289" s="1">
        <v>0.89885000000000004</v>
      </c>
      <c r="C289" s="1">
        <v>0.90130200000000005</v>
      </c>
      <c r="D289" s="1">
        <f t="shared" si="16"/>
        <v>2.4520000000000097E-3</v>
      </c>
      <c r="E289">
        <f t="shared" si="17"/>
        <v>3</v>
      </c>
      <c r="F289">
        <f t="shared" si="18"/>
        <v>32</v>
      </c>
      <c r="G289">
        <f t="shared" si="19"/>
        <v>3.53</v>
      </c>
    </row>
    <row r="290" spans="1:7" hidden="1" x14ac:dyDescent="0.25">
      <c r="A290" s="4" t="s">
        <v>37</v>
      </c>
      <c r="B290" s="1">
        <v>0.59133800000000003</v>
      </c>
      <c r="C290" s="1">
        <v>0.59383399999999997</v>
      </c>
      <c r="D290" s="1">
        <f t="shared" si="16"/>
        <v>2.4959999999999427E-3</v>
      </c>
      <c r="E290">
        <f t="shared" si="17"/>
        <v>3</v>
      </c>
      <c r="F290">
        <f t="shared" si="18"/>
        <v>36</v>
      </c>
      <c r="G290">
        <f t="shared" si="19"/>
        <v>3.6</v>
      </c>
    </row>
    <row r="291" spans="1:7" hidden="1" x14ac:dyDescent="0.25">
      <c r="A291" s="4" t="s">
        <v>38</v>
      </c>
      <c r="B291" s="1">
        <v>0.333036</v>
      </c>
      <c r="C291" s="1">
        <v>0.33584799999999998</v>
      </c>
      <c r="D291" s="1">
        <f t="shared" si="16"/>
        <v>2.8119999999999812E-3</v>
      </c>
      <c r="E291">
        <f t="shared" si="17"/>
        <v>4</v>
      </c>
      <c r="F291">
        <f t="shared" si="18"/>
        <v>3</v>
      </c>
      <c r="G291">
        <f t="shared" si="19"/>
        <v>4.05</v>
      </c>
    </row>
    <row r="292" spans="1:7" x14ac:dyDescent="0.25">
      <c r="A292" s="7" t="s">
        <v>167</v>
      </c>
      <c r="B292" s="1">
        <v>0.40695900000000002</v>
      </c>
      <c r="C292" s="1">
        <v>0.40518700000000002</v>
      </c>
      <c r="D292" s="1">
        <f t="shared" si="16"/>
        <v>1.7719999999999958E-3</v>
      </c>
      <c r="E292">
        <f t="shared" si="17"/>
        <v>2</v>
      </c>
      <c r="F292">
        <f t="shared" si="18"/>
        <v>33</v>
      </c>
      <c r="G292" s="2">
        <f t="shared" si="19"/>
        <v>2.5499999999999998</v>
      </c>
    </row>
    <row r="293" spans="1:7" hidden="1" x14ac:dyDescent="0.25">
      <c r="A293" s="4" t="s">
        <v>40</v>
      </c>
      <c r="B293" s="1">
        <v>4.8376000000000002E-2</v>
      </c>
      <c r="C293" s="1">
        <v>4.4811999999999998E-2</v>
      </c>
      <c r="D293" s="1">
        <f t="shared" si="16"/>
        <v>3.5640000000000047E-3</v>
      </c>
      <c r="E293">
        <f t="shared" si="17"/>
        <v>5</v>
      </c>
      <c r="F293">
        <f t="shared" si="18"/>
        <v>8</v>
      </c>
      <c r="G293">
        <f t="shared" si="19"/>
        <v>5.13</v>
      </c>
    </row>
    <row r="294" spans="1:7" hidden="1" x14ac:dyDescent="0.25">
      <c r="A294" s="4" t="s">
        <v>41</v>
      </c>
      <c r="B294" s="1">
        <v>0.93147599999999997</v>
      </c>
      <c r="C294" s="1">
        <v>0.93533999999999995</v>
      </c>
      <c r="D294" s="1">
        <f t="shared" si="16"/>
        <v>3.8639999999999786E-3</v>
      </c>
      <c r="E294">
        <f t="shared" si="17"/>
        <v>5</v>
      </c>
      <c r="F294">
        <f t="shared" si="18"/>
        <v>34</v>
      </c>
      <c r="G294">
        <f t="shared" si="19"/>
        <v>5.57</v>
      </c>
    </row>
    <row r="295" spans="1:7" x14ac:dyDescent="0.25">
      <c r="A295" s="7" t="s">
        <v>168</v>
      </c>
      <c r="B295" s="1">
        <v>0.80745199999999995</v>
      </c>
      <c r="C295" s="1">
        <v>0.80398400000000003</v>
      </c>
      <c r="D295" s="1">
        <f t="shared" si="16"/>
        <v>3.4679999999999156E-3</v>
      </c>
      <c r="E295">
        <f t="shared" si="17"/>
        <v>5</v>
      </c>
      <c r="F295">
        <f t="shared" si="18"/>
        <v>0</v>
      </c>
      <c r="G295" s="2">
        <f t="shared" si="19"/>
        <v>5</v>
      </c>
    </row>
    <row r="296" spans="1:7" hidden="1" x14ac:dyDescent="0.25">
      <c r="A296" s="4" t="s">
        <v>43</v>
      </c>
      <c r="B296" s="1">
        <v>0.90426899999999999</v>
      </c>
      <c r="C296" s="1">
        <v>0.90110500000000004</v>
      </c>
      <c r="D296" s="1">
        <f t="shared" si="16"/>
        <v>3.1639999999999446E-3</v>
      </c>
      <c r="E296">
        <f t="shared" si="17"/>
        <v>4</v>
      </c>
      <c r="F296">
        <f t="shared" si="18"/>
        <v>33</v>
      </c>
      <c r="G296">
        <f t="shared" si="19"/>
        <v>4.55</v>
      </c>
    </row>
    <row r="297" spans="1:7" hidden="1" x14ac:dyDescent="0.25">
      <c r="A297" s="4" t="s">
        <v>44</v>
      </c>
      <c r="B297" s="1">
        <v>0.35200999999999999</v>
      </c>
      <c r="C297" s="1">
        <v>0.354738</v>
      </c>
      <c r="D297" s="1">
        <f t="shared" si="16"/>
        <v>2.7280000000000082E-3</v>
      </c>
      <c r="E297">
        <f t="shared" si="17"/>
        <v>3</v>
      </c>
      <c r="F297">
        <f t="shared" si="18"/>
        <v>56</v>
      </c>
      <c r="G297">
        <f t="shared" si="19"/>
        <v>3.93</v>
      </c>
    </row>
    <row r="298" spans="1:7" hidden="1" x14ac:dyDescent="0.25">
      <c r="A298" s="4" t="s">
        <v>45</v>
      </c>
      <c r="B298" s="1">
        <v>0.39247599999999999</v>
      </c>
      <c r="C298" s="1">
        <v>0.39583600000000002</v>
      </c>
      <c r="D298" s="1">
        <f t="shared" si="16"/>
        <v>3.3600000000000296E-3</v>
      </c>
      <c r="E298">
        <f t="shared" si="17"/>
        <v>4</v>
      </c>
      <c r="F298">
        <f t="shared" si="18"/>
        <v>50</v>
      </c>
      <c r="G298">
        <f t="shared" si="19"/>
        <v>4.83</v>
      </c>
    </row>
    <row r="299" spans="1:7" hidden="1" x14ac:dyDescent="0.25">
      <c r="A299" s="4" t="s">
        <v>46</v>
      </c>
      <c r="B299" s="1">
        <v>0.42665900000000001</v>
      </c>
      <c r="C299" s="1">
        <v>0.42278300000000002</v>
      </c>
      <c r="D299" s="1">
        <f t="shared" si="16"/>
        <v>3.8759999999999906E-3</v>
      </c>
      <c r="E299">
        <f t="shared" si="17"/>
        <v>5</v>
      </c>
      <c r="F299">
        <f t="shared" si="18"/>
        <v>35</v>
      </c>
      <c r="G299">
        <f t="shared" si="19"/>
        <v>5.58</v>
      </c>
    </row>
    <row r="300" spans="1:7" hidden="1" x14ac:dyDescent="0.25">
      <c r="A300" s="4" t="s">
        <v>47</v>
      </c>
      <c r="B300" s="1">
        <v>0.807975</v>
      </c>
      <c r="C300" s="1">
        <v>0.80529099999999998</v>
      </c>
      <c r="D300" s="1">
        <f t="shared" si="16"/>
        <v>2.6840000000000197E-3</v>
      </c>
      <c r="E300">
        <f t="shared" si="17"/>
        <v>3</v>
      </c>
      <c r="F300">
        <f t="shared" si="18"/>
        <v>52</v>
      </c>
      <c r="G300">
        <f t="shared" si="19"/>
        <v>3.87</v>
      </c>
    </row>
    <row r="301" spans="1:7" hidden="1" x14ac:dyDescent="0.25">
      <c r="A301" s="4" t="s">
        <v>48</v>
      </c>
      <c r="B301" s="1">
        <v>0.79716600000000004</v>
      </c>
      <c r="C301" s="1">
        <v>0.80053399999999997</v>
      </c>
      <c r="D301" s="1">
        <f t="shared" si="16"/>
        <v>3.3679999999999266E-3</v>
      </c>
      <c r="E301">
        <f t="shared" si="17"/>
        <v>4</v>
      </c>
      <c r="F301">
        <f t="shared" si="18"/>
        <v>51</v>
      </c>
      <c r="G301">
        <f t="shared" si="19"/>
        <v>4.8499999999999996</v>
      </c>
    </row>
    <row r="302" spans="1:7" hidden="1" x14ac:dyDescent="0.25">
      <c r="A302" s="4" t="s">
        <v>49</v>
      </c>
      <c r="B302" s="1">
        <v>0.84440099999999996</v>
      </c>
      <c r="C302" s="1">
        <v>0.84294100000000005</v>
      </c>
      <c r="D302" s="1">
        <f t="shared" si="16"/>
        <v>1.4599999999999058E-3</v>
      </c>
      <c r="E302">
        <f t="shared" si="17"/>
        <v>2</v>
      </c>
      <c r="F302">
        <f t="shared" si="18"/>
        <v>6</v>
      </c>
      <c r="G302">
        <f t="shared" si="19"/>
        <v>2.1</v>
      </c>
    </row>
    <row r="303" spans="1:7" hidden="1" x14ac:dyDescent="0.25">
      <c r="A303" s="4" t="s">
        <v>50</v>
      </c>
      <c r="B303" s="1">
        <v>0.64752100000000001</v>
      </c>
      <c r="C303" s="1">
        <v>0.64468899999999996</v>
      </c>
      <c r="D303" s="1">
        <f t="shared" si="16"/>
        <v>2.8320000000000567E-3</v>
      </c>
      <c r="E303">
        <f t="shared" si="17"/>
        <v>4</v>
      </c>
      <c r="F303">
        <f t="shared" si="18"/>
        <v>5</v>
      </c>
      <c r="G303">
        <f t="shared" si="19"/>
        <v>4.08</v>
      </c>
    </row>
    <row r="304" spans="1:7" hidden="1" x14ac:dyDescent="0.25">
      <c r="A304" s="4" t="s">
        <v>51</v>
      </c>
      <c r="B304" s="1">
        <v>0.61894099999999996</v>
      </c>
      <c r="C304" s="1">
        <v>0.61649299999999996</v>
      </c>
      <c r="D304" s="1">
        <f t="shared" si="16"/>
        <v>2.4480000000000057E-3</v>
      </c>
      <c r="E304">
        <f t="shared" si="17"/>
        <v>3</v>
      </c>
      <c r="F304">
        <f t="shared" si="18"/>
        <v>32</v>
      </c>
      <c r="G304">
        <f t="shared" si="19"/>
        <v>3.53</v>
      </c>
    </row>
    <row r="305" spans="1:7" hidden="1" x14ac:dyDescent="0.25">
      <c r="A305" s="4" t="s">
        <v>52</v>
      </c>
      <c r="B305" s="1">
        <v>0.80732599999999999</v>
      </c>
      <c r="C305" s="1">
        <v>0.80408199999999996</v>
      </c>
      <c r="D305" s="1">
        <f t="shared" si="16"/>
        <v>3.2440000000000246E-3</v>
      </c>
      <c r="E305">
        <f t="shared" si="17"/>
        <v>4</v>
      </c>
      <c r="F305">
        <f t="shared" si="18"/>
        <v>40</v>
      </c>
      <c r="G305">
        <f t="shared" si="19"/>
        <v>4.67</v>
      </c>
    </row>
    <row r="306" spans="1:7" hidden="1" x14ac:dyDescent="0.25">
      <c r="A306" s="4" t="s">
        <v>53</v>
      </c>
      <c r="B306" s="1">
        <v>0.36659199999999997</v>
      </c>
      <c r="C306" s="1">
        <v>0.368896</v>
      </c>
      <c r="D306" s="1">
        <f t="shared" si="16"/>
        <v>2.3040000000000282E-3</v>
      </c>
      <c r="E306">
        <f t="shared" si="17"/>
        <v>3</v>
      </c>
      <c r="F306">
        <f t="shared" si="18"/>
        <v>19</v>
      </c>
      <c r="G306">
        <f t="shared" si="19"/>
        <v>3.32</v>
      </c>
    </row>
    <row r="307" spans="1:7" hidden="1" x14ac:dyDescent="0.25">
      <c r="A307" s="4" t="s">
        <v>54</v>
      </c>
      <c r="B307" s="1">
        <v>0.70056799999999997</v>
      </c>
      <c r="C307" s="1">
        <v>0.70311999999999997</v>
      </c>
      <c r="D307" s="1">
        <f t="shared" si="16"/>
        <v>2.5519999999999987E-3</v>
      </c>
      <c r="E307">
        <f t="shared" si="17"/>
        <v>3</v>
      </c>
      <c r="F307">
        <f t="shared" si="18"/>
        <v>40</v>
      </c>
      <c r="G307">
        <f t="shared" si="19"/>
        <v>3.67</v>
      </c>
    </row>
    <row r="308" spans="1:7" hidden="1" x14ac:dyDescent="0.25">
      <c r="A308" s="4" t="s">
        <v>55</v>
      </c>
      <c r="B308" s="1">
        <v>0.62152399999999997</v>
      </c>
      <c r="C308" s="1">
        <v>0.61756</v>
      </c>
      <c r="D308" s="1">
        <f t="shared" si="16"/>
        <v>3.9639999999999675E-3</v>
      </c>
      <c r="E308">
        <f t="shared" si="17"/>
        <v>5</v>
      </c>
      <c r="F308">
        <f t="shared" si="18"/>
        <v>42</v>
      </c>
      <c r="G308">
        <f t="shared" si="19"/>
        <v>5.7</v>
      </c>
    </row>
    <row r="309" spans="1:7" hidden="1" x14ac:dyDescent="0.25">
      <c r="A309" s="4" t="s">
        <v>56</v>
      </c>
      <c r="B309" s="1">
        <v>5.7780000000000001E-3</v>
      </c>
      <c r="C309" s="1">
        <v>1.7899999999999999E-3</v>
      </c>
      <c r="D309" s="1">
        <f t="shared" si="16"/>
        <v>3.9880000000000002E-3</v>
      </c>
      <c r="E309">
        <f t="shared" si="17"/>
        <v>5</v>
      </c>
      <c r="F309">
        <f t="shared" si="18"/>
        <v>45</v>
      </c>
      <c r="G309">
        <f t="shared" si="19"/>
        <v>5.75</v>
      </c>
    </row>
    <row r="310" spans="1:7" hidden="1" x14ac:dyDescent="0.25">
      <c r="A310" s="4" t="s">
        <v>57</v>
      </c>
      <c r="B310" s="1">
        <v>7.8621999999999997E-2</v>
      </c>
      <c r="C310" s="1">
        <v>7.6165999999999998E-2</v>
      </c>
      <c r="D310" s="1">
        <f t="shared" si="16"/>
        <v>2.4559999999999998E-3</v>
      </c>
      <c r="E310">
        <f t="shared" si="17"/>
        <v>3</v>
      </c>
      <c r="F310">
        <f t="shared" si="18"/>
        <v>32</v>
      </c>
      <c r="G310">
        <f t="shared" si="19"/>
        <v>3.53</v>
      </c>
    </row>
    <row r="311" spans="1:7" hidden="1" x14ac:dyDescent="0.25">
      <c r="A311" s="4" t="s">
        <v>58</v>
      </c>
      <c r="B311" s="1">
        <v>0.314112</v>
      </c>
      <c r="C311" s="1">
        <v>0.31717200000000001</v>
      </c>
      <c r="D311" s="1">
        <f t="shared" si="16"/>
        <v>3.0600000000000072E-3</v>
      </c>
      <c r="E311">
        <f t="shared" si="17"/>
        <v>4</v>
      </c>
      <c r="F311">
        <f t="shared" si="18"/>
        <v>24</v>
      </c>
      <c r="G311">
        <f t="shared" si="19"/>
        <v>4.4000000000000004</v>
      </c>
    </row>
    <row r="312" spans="1:7" hidden="1" x14ac:dyDescent="0.25">
      <c r="A312" s="4" t="s">
        <v>59</v>
      </c>
      <c r="B312" s="1">
        <v>0.91732499999999995</v>
      </c>
      <c r="C312" s="1">
        <v>0.91552900000000004</v>
      </c>
      <c r="D312" s="1">
        <f t="shared" si="16"/>
        <v>1.7959999999999088E-3</v>
      </c>
      <c r="E312">
        <f t="shared" si="17"/>
        <v>2</v>
      </c>
      <c r="F312">
        <f t="shared" si="18"/>
        <v>35</v>
      </c>
      <c r="G312">
        <f t="shared" si="19"/>
        <v>2.58</v>
      </c>
    </row>
    <row r="313" spans="1:7" hidden="1" x14ac:dyDescent="0.25">
      <c r="A313" s="4" t="s">
        <v>60</v>
      </c>
      <c r="B313" s="1">
        <v>0.56916199999999995</v>
      </c>
      <c r="C313" s="1">
        <v>0.56642999999999999</v>
      </c>
      <c r="D313" s="1">
        <f t="shared" si="16"/>
        <v>2.7319999999999567E-3</v>
      </c>
      <c r="E313">
        <f t="shared" si="17"/>
        <v>3</v>
      </c>
      <c r="F313">
        <f t="shared" si="18"/>
        <v>56</v>
      </c>
      <c r="G313">
        <f t="shared" si="19"/>
        <v>3.93</v>
      </c>
    </row>
    <row r="314" spans="1:7" hidden="1" x14ac:dyDescent="0.25">
      <c r="A314" s="4" t="s">
        <v>61</v>
      </c>
      <c r="B314" s="1">
        <v>0.44656000000000001</v>
      </c>
      <c r="C314" s="1">
        <v>0.449212</v>
      </c>
      <c r="D314" s="1">
        <f t="shared" si="16"/>
        <v>2.6519999999999877E-3</v>
      </c>
      <c r="E314">
        <f t="shared" si="17"/>
        <v>3</v>
      </c>
      <c r="F314">
        <f t="shared" si="18"/>
        <v>49</v>
      </c>
      <c r="G314">
        <f t="shared" si="19"/>
        <v>3.82</v>
      </c>
    </row>
    <row r="315" spans="1:7" hidden="1" x14ac:dyDescent="0.25">
      <c r="A315" s="4" t="s">
        <v>62</v>
      </c>
      <c r="B315" s="1">
        <v>0.61977899999999997</v>
      </c>
      <c r="C315" s="1">
        <v>0.62161100000000002</v>
      </c>
      <c r="D315" s="1">
        <f t="shared" si="16"/>
        <v>1.8320000000000558E-3</v>
      </c>
      <c r="E315">
        <f t="shared" si="17"/>
        <v>2</v>
      </c>
      <c r="F315">
        <f t="shared" si="18"/>
        <v>38</v>
      </c>
      <c r="G315">
        <f t="shared" si="19"/>
        <v>2.63</v>
      </c>
    </row>
    <row r="316" spans="1:7" hidden="1" x14ac:dyDescent="0.25">
      <c r="A316" s="4" t="s">
        <v>63</v>
      </c>
      <c r="B316" s="1">
        <v>0.35734100000000002</v>
      </c>
      <c r="C316" s="1">
        <v>0.355101</v>
      </c>
      <c r="D316" s="1">
        <f t="shared" si="16"/>
        <v>2.2400000000000198E-3</v>
      </c>
      <c r="E316">
        <f t="shared" si="17"/>
        <v>3</v>
      </c>
      <c r="F316">
        <f t="shared" si="18"/>
        <v>14</v>
      </c>
      <c r="G316">
        <f t="shared" si="19"/>
        <v>3.23</v>
      </c>
    </row>
    <row r="317" spans="1:7" hidden="1" x14ac:dyDescent="0.25">
      <c r="A317" s="4" t="s">
        <v>64</v>
      </c>
      <c r="B317" s="1">
        <v>0.31358399999999997</v>
      </c>
      <c r="C317" s="1">
        <v>0.317444</v>
      </c>
      <c r="D317" s="1">
        <f t="shared" si="16"/>
        <v>3.8600000000000301E-3</v>
      </c>
      <c r="E317">
        <f t="shared" si="17"/>
        <v>5</v>
      </c>
      <c r="F317">
        <f t="shared" si="18"/>
        <v>34</v>
      </c>
      <c r="G317">
        <f t="shared" si="19"/>
        <v>5.57</v>
      </c>
    </row>
    <row r="318" spans="1:7" hidden="1" x14ac:dyDescent="0.25">
      <c r="A318" s="4" t="s">
        <v>65</v>
      </c>
      <c r="B318" s="1">
        <v>0.51582700000000004</v>
      </c>
      <c r="C318" s="1">
        <v>0.51399899999999998</v>
      </c>
      <c r="D318" s="1">
        <f t="shared" si="16"/>
        <v>1.8280000000000518E-3</v>
      </c>
      <c r="E318">
        <f t="shared" si="17"/>
        <v>2</v>
      </c>
      <c r="F318">
        <f t="shared" si="18"/>
        <v>38</v>
      </c>
      <c r="G318">
        <f t="shared" si="19"/>
        <v>2.63</v>
      </c>
    </row>
    <row r="319" spans="1:7" hidden="1" x14ac:dyDescent="0.25">
      <c r="A319" s="4" t="s">
        <v>66</v>
      </c>
      <c r="B319" s="1">
        <v>0.336086</v>
      </c>
      <c r="C319" s="1">
        <v>0.33219799999999999</v>
      </c>
      <c r="D319" s="1">
        <f t="shared" si="16"/>
        <v>3.8880000000000026E-3</v>
      </c>
      <c r="E319">
        <f t="shared" si="17"/>
        <v>5</v>
      </c>
      <c r="F319">
        <f t="shared" si="18"/>
        <v>36</v>
      </c>
      <c r="G319">
        <f t="shared" si="19"/>
        <v>5.6</v>
      </c>
    </row>
    <row r="320" spans="1:7" hidden="1" x14ac:dyDescent="0.25">
      <c r="A320" s="4" t="s">
        <v>67</v>
      </c>
      <c r="B320" s="1">
        <v>0.60153500000000004</v>
      </c>
      <c r="C320" s="1">
        <v>0.59848699999999999</v>
      </c>
      <c r="D320" s="1">
        <f t="shared" si="16"/>
        <v>3.0480000000000507E-3</v>
      </c>
      <c r="E320">
        <f t="shared" si="17"/>
        <v>4</v>
      </c>
      <c r="F320">
        <f t="shared" si="18"/>
        <v>23</v>
      </c>
      <c r="G320">
        <f t="shared" si="19"/>
        <v>4.38</v>
      </c>
    </row>
    <row r="321" spans="1:7" hidden="1" x14ac:dyDescent="0.25">
      <c r="A321" s="4" t="s">
        <v>68</v>
      </c>
      <c r="B321" s="1">
        <v>0.52852399999999999</v>
      </c>
      <c r="C321" s="1">
        <v>0.52494399999999997</v>
      </c>
      <c r="D321" s="1">
        <f t="shared" si="16"/>
        <v>3.5800000000000276E-3</v>
      </c>
      <c r="E321">
        <f t="shared" si="17"/>
        <v>5</v>
      </c>
      <c r="F321">
        <f t="shared" si="18"/>
        <v>9</v>
      </c>
      <c r="G321">
        <f t="shared" si="19"/>
        <v>5.15</v>
      </c>
    </row>
    <row r="322" spans="1:7" hidden="1" x14ac:dyDescent="0.25">
      <c r="A322" s="4" t="s">
        <v>69</v>
      </c>
      <c r="B322" s="1">
        <v>0.52150200000000002</v>
      </c>
      <c r="C322" s="1">
        <v>0.517926</v>
      </c>
      <c r="D322" s="1">
        <f t="shared" si="16"/>
        <v>3.5760000000000236E-3</v>
      </c>
      <c r="E322">
        <f t="shared" si="17"/>
        <v>5</v>
      </c>
      <c r="F322">
        <f t="shared" si="18"/>
        <v>9</v>
      </c>
      <c r="G322">
        <f t="shared" si="19"/>
        <v>5.15</v>
      </c>
    </row>
    <row r="323" spans="1:7" hidden="1" x14ac:dyDescent="0.25">
      <c r="A323" s="4" t="s">
        <v>70</v>
      </c>
      <c r="B323" s="1">
        <v>0.55355699999999997</v>
      </c>
      <c r="C323" s="1">
        <v>0.55564499999999994</v>
      </c>
      <c r="D323" s="1">
        <f t="shared" ref="D323:D386" si="20">IF(B323&gt;C323,B323-C323,C323-B323)</f>
        <v>2.0879999999999788E-3</v>
      </c>
      <c r="E323">
        <f t="shared" ref="E323:E386" si="21">MINUTE(D323)</f>
        <v>3</v>
      </c>
      <c r="F323">
        <f t="shared" ref="F323:F386" si="22">SECOND(D323)</f>
        <v>0</v>
      </c>
      <c r="G323">
        <f t="shared" ref="G323:G386" si="23">ROUND(E323+F323/60,2)</f>
        <v>3</v>
      </c>
    </row>
    <row r="324" spans="1:7" hidden="1" x14ac:dyDescent="0.25">
      <c r="A324" s="4" t="s">
        <v>71</v>
      </c>
      <c r="B324" s="1">
        <v>0.61365199999999998</v>
      </c>
      <c r="C324" s="1">
        <v>0.61106000000000005</v>
      </c>
      <c r="D324" s="1">
        <f t="shared" si="20"/>
        <v>2.5919999999999277E-3</v>
      </c>
      <c r="E324">
        <f t="shared" si="21"/>
        <v>3</v>
      </c>
      <c r="F324">
        <f t="shared" si="22"/>
        <v>44</v>
      </c>
      <c r="G324">
        <f t="shared" si="23"/>
        <v>3.73</v>
      </c>
    </row>
    <row r="325" spans="1:7" hidden="1" x14ac:dyDescent="0.25">
      <c r="A325" s="4" t="s">
        <v>72</v>
      </c>
      <c r="B325" s="1">
        <v>0.35344900000000001</v>
      </c>
      <c r="C325" s="1">
        <v>0.35718100000000003</v>
      </c>
      <c r="D325" s="1">
        <f t="shared" si="20"/>
        <v>3.7320000000000131E-3</v>
      </c>
      <c r="E325">
        <f t="shared" si="21"/>
        <v>5</v>
      </c>
      <c r="F325">
        <f t="shared" si="22"/>
        <v>22</v>
      </c>
      <c r="G325">
        <f t="shared" si="23"/>
        <v>5.37</v>
      </c>
    </row>
    <row r="326" spans="1:7" hidden="1" x14ac:dyDescent="0.25">
      <c r="A326" s="4" t="s">
        <v>73</v>
      </c>
      <c r="B326" s="1">
        <v>0.31540200000000002</v>
      </c>
      <c r="C326" s="1">
        <v>0.31398599999999999</v>
      </c>
      <c r="D326" s="1">
        <f t="shared" si="20"/>
        <v>1.4160000000000283E-3</v>
      </c>
      <c r="E326">
        <f t="shared" si="21"/>
        <v>2</v>
      </c>
      <c r="F326">
        <f t="shared" si="22"/>
        <v>2</v>
      </c>
      <c r="G326">
        <f t="shared" si="23"/>
        <v>2.0299999999999998</v>
      </c>
    </row>
    <row r="327" spans="1:7" hidden="1" x14ac:dyDescent="0.25">
      <c r="A327" s="4" t="s">
        <v>74</v>
      </c>
      <c r="B327" s="1">
        <v>0.20558899999999999</v>
      </c>
      <c r="C327" s="1">
        <v>0.20712900000000001</v>
      </c>
      <c r="D327" s="1">
        <f t="shared" si="20"/>
        <v>1.5400000000000136E-3</v>
      </c>
      <c r="E327">
        <f t="shared" si="21"/>
        <v>2</v>
      </c>
      <c r="F327">
        <f t="shared" si="22"/>
        <v>13</v>
      </c>
      <c r="G327">
        <f t="shared" si="23"/>
        <v>2.2200000000000002</v>
      </c>
    </row>
    <row r="328" spans="1:7" hidden="1" x14ac:dyDescent="0.25">
      <c r="A328" s="4" t="s">
        <v>75</v>
      </c>
      <c r="B328" s="1">
        <v>0.87064699999999995</v>
      </c>
      <c r="C328" s="1">
        <v>0.87361100000000003</v>
      </c>
      <c r="D328" s="1">
        <f t="shared" si="20"/>
        <v>2.9640000000000777E-3</v>
      </c>
      <c r="E328">
        <f t="shared" si="21"/>
        <v>4</v>
      </c>
      <c r="F328">
        <f t="shared" si="22"/>
        <v>16</v>
      </c>
      <c r="G328">
        <f t="shared" si="23"/>
        <v>4.2699999999999996</v>
      </c>
    </row>
    <row r="329" spans="1:7" hidden="1" x14ac:dyDescent="0.25">
      <c r="A329" s="4" t="s">
        <v>76</v>
      </c>
      <c r="B329" s="1">
        <v>6.5492999999999996E-2</v>
      </c>
      <c r="C329" s="1">
        <v>6.8885000000000002E-2</v>
      </c>
      <c r="D329" s="1">
        <f t="shared" si="20"/>
        <v>3.3920000000000061E-3</v>
      </c>
      <c r="E329">
        <f t="shared" si="21"/>
        <v>4</v>
      </c>
      <c r="F329">
        <f t="shared" si="22"/>
        <v>53</v>
      </c>
      <c r="G329">
        <f t="shared" si="23"/>
        <v>4.88</v>
      </c>
    </row>
    <row r="330" spans="1:7" hidden="1" x14ac:dyDescent="0.25">
      <c r="A330" s="4" t="s">
        <v>77</v>
      </c>
      <c r="B330" s="1">
        <v>0.32361200000000001</v>
      </c>
      <c r="C330" s="1">
        <v>0.31988800000000001</v>
      </c>
      <c r="D330" s="1">
        <f t="shared" si="20"/>
        <v>3.7240000000000051E-3</v>
      </c>
      <c r="E330">
        <f t="shared" si="21"/>
        <v>5</v>
      </c>
      <c r="F330">
        <f t="shared" si="22"/>
        <v>22</v>
      </c>
      <c r="G330">
        <f t="shared" si="23"/>
        <v>5.37</v>
      </c>
    </row>
    <row r="331" spans="1:7" hidden="1" x14ac:dyDescent="0.25">
      <c r="A331" s="4" t="s">
        <v>78</v>
      </c>
      <c r="B331" s="1">
        <v>0.93040699999999998</v>
      </c>
      <c r="C331" s="1">
        <v>0.93328299999999997</v>
      </c>
      <c r="D331" s="1">
        <f t="shared" si="20"/>
        <v>2.8759999999999897E-3</v>
      </c>
      <c r="E331">
        <f t="shared" si="21"/>
        <v>4</v>
      </c>
      <c r="F331">
        <f t="shared" si="22"/>
        <v>8</v>
      </c>
      <c r="G331">
        <f t="shared" si="23"/>
        <v>4.13</v>
      </c>
    </row>
    <row r="332" spans="1:7" hidden="1" x14ac:dyDescent="0.25">
      <c r="A332" s="4" t="s">
        <v>79</v>
      </c>
      <c r="B332" s="1">
        <v>0.22035199999999999</v>
      </c>
      <c r="C332" s="1">
        <v>0.21679999999999999</v>
      </c>
      <c r="D332" s="1">
        <f t="shared" si="20"/>
        <v>3.5519999999999996E-3</v>
      </c>
      <c r="E332">
        <f t="shared" si="21"/>
        <v>5</v>
      </c>
      <c r="F332">
        <f t="shared" si="22"/>
        <v>7</v>
      </c>
      <c r="G332">
        <f t="shared" si="23"/>
        <v>5.12</v>
      </c>
    </row>
    <row r="333" spans="1:7" hidden="1" x14ac:dyDescent="0.25">
      <c r="A333" s="4" t="s">
        <v>80</v>
      </c>
      <c r="B333" s="1">
        <v>0.58458699999999997</v>
      </c>
      <c r="C333" s="1">
        <v>0.58833899999999995</v>
      </c>
      <c r="D333" s="1">
        <f t="shared" si="20"/>
        <v>3.7519999999999776E-3</v>
      </c>
      <c r="E333">
        <f t="shared" si="21"/>
        <v>5</v>
      </c>
      <c r="F333">
        <f t="shared" si="22"/>
        <v>24</v>
      </c>
      <c r="G333">
        <f t="shared" si="23"/>
        <v>5.4</v>
      </c>
    </row>
    <row r="334" spans="1:7" hidden="1" x14ac:dyDescent="0.25">
      <c r="A334" s="4" t="s">
        <v>81</v>
      </c>
      <c r="B334" s="1">
        <v>0.553678</v>
      </c>
      <c r="C334" s="1">
        <v>0.55054599999999998</v>
      </c>
      <c r="D334" s="1">
        <f t="shared" si="20"/>
        <v>3.1320000000000237E-3</v>
      </c>
      <c r="E334">
        <f t="shared" si="21"/>
        <v>4</v>
      </c>
      <c r="F334">
        <f t="shared" si="22"/>
        <v>31</v>
      </c>
      <c r="G334">
        <f t="shared" si="23"/>
        <v>4.5199999999999996</v>
      </c>
    </row>
    <row r="335" spans="1:7" hidden="1" x14ac:dyDescent="0.25">
      <c r="A335" s="4" t="s">
        <v>82</v>
      </c>
      <c r="B335" s="1">
        <v>0.34303299999999998</v>
      </c>
      <c r="C335" s="1">
        <v>0.34460099999999999</v>
      </c>
      <c r="D335" s="1">
        <f t="shared" si="20"/>
        <v>1.5680000000000138E-3</v>
      </c>
      <c r="E335">
        <f t="shared" si="21"/>
        <v>2</v>
      </c>
      <c r="F335">
        <f t="shared" si="22"/>
        <v>15</v>
      </c>
      <c r="G335">
        <f t="shared" si="23"/>
        <v>2.25</v>
      </c>
    </row>
    <row r="336" spans="1:7" hidden="1" x14ac:dyDescent="0.25">
      <c r="A336" s="4" t="s">
        <v>83</v>
      </c>
      <c r="B336" s="1">
        <v>0.48969400000000002</v>
      </c>
      <c r="C336" s="1">
        <v>0.48625800000000002</v>
      </c>
      <c r="D336" s="1">
        <f t="shared" si="20"/>
        <v>3.4359999999999946E-3</v>
      </c>
      <c r="E336">
        <f t="shared" si="21"/>
        <v>4</v>
      </c>
      <c r="F336">
        <f t="shared" si="22"/>
        <v>57</v>
      </c>
      <c r="G336">
        <f t="shared" si="23"/>
        <v>4.95</v>
      </c>
    </row>
    <row r="337" spans="1:7" hidden="1" x14ac:dyDescent="0.25">
      <c r="A337" s="4" t="s">
        <v>84</v>
      </c>
      <c r="B337" s="1">
        <v>0.51541800000000004</v>
      </c>
      <c r="C337" s="1">
        <v>0.51847399999999999</v>
      </c>
      <c r="D337" s="1">
        <f t="shared" si="20"/>
        <v>3.0559999999999476E-3</v>
      </c>
      <c r="E337">
        <f t="shared" si="21"/>
        <v>4</v>
      </c>
      <c r="F337">
        <f t="shared" si="22"/>
        <v>24</v>
      </c>
      <c r="G337">
        <f t="shared" si="23"/>
        <v>4.4000000000000004</v>
      </c>
    </row>
    <row r="338" spans="1:7" hidden="1" x14ac:dyDescent="0.25">
      <c r="A338" s="4" t="s">
        <v>85</v>
      </c>
      <c r="B338" s="1">
        <v>0.139958</v>
      </c>
      <c r="C338" s="1">
        <v>0.14291400000000001</v>
      </c>
      <c r="D338" s="1">
        <f t="shared" si="20"/>
        <v>2.9560000000000142E-3</v>
      </c>
      <c r="E338">
        <f t="shared" si="21"/>
        <v>4</v>
      </c>
      <c r="F338">
        <f t="shared" si="22"/>
        <v>15</v>
      </c>
      <c r="G338">
        <f t="shared" si="23"/>
        <v>4.25</v>
      </c>
    </row>
    <row r="339" spans="1:7" hidden="1" x14ac:dyDescent="0.25">
      <c r="A339" s="4" t="s">
        <v>169</v>
      </c>
      <c r="B339" s="1">
        <v>0.60565199999999997</v>
      </c>
      <c r="C339" s="1">
        <v>0.60829999999999995</v>
      </c>
      <c r="D339" s="1">
        <f t="shared" si="20"/>
        <v>2.6479999999999837E-3</v>
      </c>
      <c r="E339">
        <f t="shared" si="21"/>
        <v>3</v>
      </c>
      <c r="F339">
        <f t="shared" si="22"/>
        <v>49</v>
      </c>
      <c r="G339">
        <f t="shared" si="23"/>
        <v>3.82</v>
      </c>
    </row>
    <row r="340" spans="1:7" hidden="1" x14ac:dyDescent="0.25">
      <c r="A340" s="4" t="s">
        <v>87</v>
      </c>
      <c r="B340" s="1">
        <v>0.517347</v>
      </c>
      <c r="C340" s="1">
        <v>0.51533499999999999</v>
      </c>
      <c r="D340" s="1">
        <f t="shared" si="20"/>
        <v>2.0120000000000138E-3</v>
      </c>
      <c r="E340">
        <f t="shared" si="21"/>
        <v>2</v>
      </c>
      <c r="F340">
        <f t="shared" si="22"/>
        <v>54</v>
      </c>
      <c r="G340">
        <f t="shared" si="23"/>
        <v>2.9</v>
      </c>
    </row>
    <row r="341" spans="1:7" hidden="1" x14ac:dyDescent="0.25">
      <c r="A341" s="4" t="s">
        <v>88</v>
      </c>
      <c r="B341" s="1">
        <v>0.48257800000000001</v>
      </c>
      <c r="C341" s="1">
        <v>0.480354</v>
      </c>
      <c r="D341" s="1">
        <f t="shared" si="20"/>
        <v>2.2240000000000038E-3</v>
      </c>
      <c r="E341">
        <f t="shared" si="21"/>
        <v>3</v>
      </c>
      <c r="F341">
        <f t="shared" si="22"/>
        <v>12</v>
      </c>
      <c r="G341">
        <f t="shared" si="23"/>
        <v>3.2</v>
      </c>
    </row>
    <row r="342" spans="1:7" hidden="1" x14ac:dyDescent="0.25">
      <c r="A342" s="4" t="s">
        <v>89</v>
      </c>
      <c r="B342" s="1">
        <v>0.42967</v>
      </c>
      <c r="C342" s="1">
        <v>0.42654599999999998</v>
      </c>
      <c r="D342" s="1">
        <f t="shared" si="20"/>
        <v>3.1240000000000157E-3</v>
      </c>
      <c r="E342">
        <f t="shared" si="21"/>
        <v>4</v>
      </c>
      <c r="F342">
        <f t="shared" si="22"/>
        <v>30</v>
      </c>
      <c r="G342">
        <f t="shared" si="23"/>
        <v>4.5</v>
      </c>
    </row>
    <row r="343" spans="1:7" hidden="1" x14ac:dyDescent="0.25">
      <c r="A343" s="4" t="s">
        <v>90</v>
      </c>
      <c r="B343" s="1">
        <v>0.271982</v>
      </c>
      <c r="C343" s="1">
        <v>0.26878999999999997</v>
      </c>
      <c r="D343" s="1">
        <f t="shared" si="20"/>
        <v>3.1920000000000281E-3</v>
      </c>
      <c r="E343">
        <f t="shared" si="21"/>
        <v>4</v>
      </c>
      <c r="F343">
        <f t="shared" si="22"/>
        <v>36</v>
      </c>
      <c r="G343">
        <f t="shared" si="23"/>
        <v>4.5999999999999996</v>
      </c>
    </row>
    <row r="344" spans="1:7" hidden="1" x14ac:dyDescent="0.25">
      <c r="A344" s="4" t="s">
        <v>91</v>
      </c>
      <c r="B344" s="1">
        <v>0.97138999999999998</v>
      </c>
      <c r="C344" s="1">
        <v>0.97505799999999998</v>
      </c>
      <c r="D344" s="1">
        <f t="shared" si="20"/>
        <v>3.6680000000000046E-3</v>
      </c>
      <c r="E344">
        <f t="shared" si="21"/>
        <v>5</v>
      </c>
      <c r="F344">
        <f t="shared" si="22"/>
        <v>17</v>
      </c>
      <c r="G344">
        <f t="shared" si="23"/>
        <v>5.28</v>
      </c>
    </row>
    <row r="345" spans="1:7" hidden="1" x14ac:dyDescent="0.25">
      <c r="A345" s="4" t="s">
        <v>92</v>
      </c>
      <c r="B345" s="1">
        <v>0.78457500000000002</v>
      </c>
      <c r="C345" s="1">
        <v>0.78705899999999995</v>
      </c>
      <c r="D345" s="1">
        <f t="shared" si="20"/>
        <v>2.4839999999999307E-3</v>
      </c>
      <c r="E345">
        <f t="shared" si="21"/>
        <v>3</v>
      </c>
      <c r="F345">
        <f t="shared" si="22"/>
        <v>35</v>
      </c>
      <c r="G345">
        <f t="shared" si="23"/>
        <v>3.58</v>
      </c>
    </row>
    <row r="346" spans="1:7" hidden="1" x14ac:dyDescent="0.25">
      <c r="A346" s="4" t="s">
        <v>93</v>
      </c>
      <c r="B346" s="1">
        <v>0.64764299999999997</v>
      </c>
      <c r="C346" s="1">
        <v>0.64919099999999996</v>
      </c>
      <c r="D346" s="1">
        <f t="shared" si="20"/>
        <v>1.5479999999999938E-3</v>
      </c>
      <c r="E346">
        <f t="shared" si="21"/>
        <v>2</v>
      </c>
      <c r="F346">
        <f t="shared" si="22"/>
        <v>14</v>
      </c>
      <c r="G346">
        <f t="shared" si="23"/>
        <v>2.23</v>
      </c>
    </row>
    <row r="347" spans="1:7" hidden="1" x14ac:dyDescent="0.25">
      <c r="A347" s="4" t="s">
        <v>94</v>
      </c>
      <c r="B347" s="1">
        <v>0.44351000000000002</v>
      </c>
      <c r="C347" s="1">
        <v>0.44622200000000001</v>
      </c>
      <c r="D347" s="1">
        <f t="shared" si="20"/>
        <v>2.7119999999999922E-3</v>
      </c>
      <c r="E347">
        <f t="shared" si="21"/>
        <v>3</v>
      </c>
      <c r="F347">
        <f t="shared" si="22"/>
        <v>54</v>
      </c>
      <c r="G347">
        <f t="shared" si="23"/>
        <v>3.9</v>
      </c>
    </row>
    <row r="348" spans="1:7" hidden="1" x14ac:dyDescent="0.25">
      <c r="A348" s="4" t="s">
        <v>95</v>
      </c>
      <c r="B348" s="1">
        <v>0.18242900000000001</v>
      </c>
      <c r="C348" s="1">
        <v>0.18092900000000001</v>
      </c>
      <c r="D348" s="1">
        <f t="shared" si="20"/>
        <v>1.5000000000000013E-3</v>
      </c>
      <c r="E348">
        <f t="shared" si="21"/>
        <v>2</v>
      </c>
      <c r="F348">
        <f t="shared" si="22"/>
        <v>10</v>
      </c>
      <c r="G348">
        <f t="shared" si="23"/>
        <v>2.17</v>
      </c>
    </row>
    <row r="349" spans="1:7" hidden="1" x14ac:dyDescent="0.25">
      <c r="A349" s="4" t="s">
        <v>96</v>
      </c>
      <c r="B349" s="1">
        <v>0.699542</v>
      </c>
      <c r="C349" s="1">
        <v>0.70160199999999995</v>
      </c>
      <c r="D349" s="1">
        <f t="shared" si="20"/>
        <v>2.0599999999999508E-3</v>
      </c>
      <c r="E349">
        <f t="shared" si="21"/>
        <v>2</v>
      </c>
      <c r="F349">
        <f t="shared" si="22"/>
        <v>58</v>
      </c>
      <c r="G349">
        <f t="shared" si="23"/>
        <v>2.97</v>
      </c>
    </row>
    <row r="350" spans="1:7" hidden="1" x14ac:dyDescent="0.25">
      <c r="A350" s="4" t="s">
        <v>97</v>
      </c>
      <c r="B350" s="1">
        <v>0.79618299999999997</v>
      </c>
      <c r="C350" s="1">
        <v>0.79799500000000001</v>
      </c>
      <c r="D350" s="1">
        <f t="shared" si="20"/>
        <v>1.8120000000000358E-3</v>
      </c>
      <c r="E350">
        <f t="shared" si="21"/>
        <v>2</v>
      </c>
      <c r="F350">
        <f t="shared" si="22"/>
        <v>37</v>
      </c>
      <c r="G350">
        <f t="shared" si="23"/>
        <v>2.62</v>
      </c>
    </row>
    <row r="351" spans="1:7" hidden="1" x14ac:dyDescent="0.25">
      <c r="A351" s="4" t="s">
        <v>98</v>
      </c>
      <c r="B351" s="1">
        <v>0.456841</v>
      </c>
      <c r="C351" s="1">
        <v>0.45322499999999999</v>
      </c>
      <c r="D351" s="1">
        <f t="shared" si="20"/>
        <v>3.6160000000000081E-3</v>
      </c>
      <c r="E351">
        <f t="shared" si="21"/>
        <v>5</v>
      </c>
      <c r="F351">
        <f t="shared" si="22"/>
        <v>12</v>
      </c>
      <c r="G351">
        <f t="shared" si="23"/>
        <v>5.2</v>
      </c>
    </row>
    <row r="352" spans="1:7" hidden="1" x14ac:dyDescent="0.25">
      <c r="A352" s="4" t="s">
        <v>99</v>
      </c>
      <c r="B352" s="1">
        <v>0.51575599999999999</v>
      </c>
      <c r="C352" s="1">
        <v>0.51722000000000001</v>
      </c>
      <c r="D352" s="1">
        <f t="shared" si="20"/>
        <v>1.4640000000000208E-3</v>
      </c>
      <c r="E352">
        <f t="shared" si="21"/>
        <v>2</v>
      </c>
      <c r="F352">
        <f t="shared" si="22"/>
        <v>6</v>
      </c>
      <c r="G352">
        <f t="shared" si="23"/>
        <v>2.1</v>
      </c>
    </row>
    <row r="353" spans="1:7" hidden="1" x14ac:dyDescent="0.25">
      <c r="A353" s="4" t="s">
        <v>100</v>
      </c>
      <c r="B353" s="1">
        <v>0.98372400000000004</v>
      </c>
      <c r="C353" s="1">
        <v>0.98587599999999997</v>
      </c>
      <c r="D353" s="1">
        <f t="shared" si="20"/>
        <v>2.1519999999999317E-3</v>
      </c>
      <c r="E353">
        <f t="shared" si="21"/>
        <v>3</v>
      </c>
      <c r="F353">
        <f t="shared" si="22"/>
        <v>6</v>
      </c>
      <c r="G353">
        <f t="shared" si="23"/>
        <v>3.1</v>
      </c>
    </row>
    <row r="354" spans="1:7" hidden="1" x14ac:dyDescent="0.25">
      <c r="A354" s="4" t="s">
        <v>101</v>
      </c>
      <c r="B354" s="1">
        <v>0.37134800000000001</v>
      </c>
      <c r="C354" s="1">
        <v>0.374724</v>
      </c>
      <c r="D354" s="1">
        <f t="shared" si="20"/>
        <v>3.3759999999999901E-3</v>
      </c>
      <c r="E354">
        <f t="shared" si="21"/>
        <v>4</v>
      </c>
      <c r="F354">
        <f t="shared" si="22"/>
        <v>52</v>
      </c>
      <c r="G354">
        <f t="shared" si="23"/>
        <v>4.87</v>
      </c>
    </row>
    <row r="355" spans="1:7" hidden="1" x14ac:dyDescent="0.25">
      <c r="A355" s="4" t="s">
        <v>102</v>
      </c>
      <c r="B355" s="1">
        <v>0.69207300000000005</v>
      </c>
      <c r="C355" s="1">
        <v>0.68920499999999996</v>
      </c>
      <c r="D355" s="1">
        <f t="shared" si="20"/>
        <v>2.8680000000000927E-3</v>
      </c>
      <c r="E355">
        <f t="shared" si="21"/>
        <v>4</v>
      </c>
      <c r="F355">
        <f t="shared" si="22"/>
        <v>8</v>
      </c>
      <c r="G355">
        <f t="shared" si="23"/>
        <v>4.13</v>
      </c>
    </row>
    <row r="356" spans="1:7" hidden="1" x14ac:dyDescent="0.25">
      <c r="A356" s="4" t="s">
        <v>103</v>
      </c>
      <c r="B356" s="1">
        <v>0.28323100000000001</v>
      </c>
      <c r="C356" s="1">
        <v>0.28487099999999999</v>
      </c>
      <c r="D356" s="1">
        <f t="shared" si="20"/>
        <v>1.6399999999999748E-3</v>
      </c>
      <c r="E356">
        <f t="shared" si="21"/>
        <v>2</v>
      </c>
      <c r="F356">
        <f t="shared" si="22"/>
        <v>22</v>
      </c>
      <c r="G356">
        <f t="shared" si="23"/>
        <v>2.37</v>
      </c>
    </row>
    <row r="357" spans="1:7" hidden="1" x14ac:dyDescent="0.25">
      <c r="A357" s="4" t="s">
        <v>104</v>
      </c>
      <c r="B357" s="1">
        <v>0.18839400000000001</v>
      </c>
      <c r="C357" s="1">
        <v>0.191078</v>
      </c>
      <c r="D357" s="1">
        <f t="shared" si="20"/>
        <v>2.6839999999999919E-3</v>
      </c>
      <c r="E357">
        <f t="shared" si="21"/>
        <v>3</v>
      </c>
      <c r="F357">
        <f t="shared" si="22"/>
        <v>52</v>
      </c>
      <c r="G357">
        <f t="shared" si="23"/>
        <v>3.87</v>
      </c>
    </row>
    <row r="358" spans="1:7" hidden="1" x14ac:dyDescent="0.25">
      <c r="A358" s="4" t="s">
        <v>105</v>
      </c>
      <c r="B358" s="1">
        <v>9.3122999999999997E-2</v>
      </c>
      <c r="C358" s="1">
        <v>9.0423000000000003E-2</v>
      </c>
      <c r="D358" s="1">
        <f t="shared" si="20"/>
        <v>2.6999999999999941E-3</v>
      </c>
      <c r="E358">
        <f t="shared" si="21"/>
        <v>3</v>
      </c>
      <c r="F358">
        <f t="shared" si="22"/>
        <v>53</v>
      </c>
      <c r="G358">
        <f t="shared" si="23"/>
        <v>3.88</v>
      </c>
    </row>
    <row r="359" spans="1:7" hidden="1" x14ac:dyDescent="0.25">
      <c r="A359" s="4" t="s">
        <v>106</v>
      </c>
      <c r="B359" s="1">
        <v>0.97974099999999997</v>
      </c>
      <c r="C359" s="1">
        <v>0.98368500000000003</v>
      </c>
      <c r="D359" s="1">
        <f t="shared" si="20"/>
        <v>3.9440000000000586E-3</v>
      </c>
      <c r="E359">
        <f t="shared" si="21"/>
        <v>5</v>
      </c>
      <c r="F359">
        <f t="shared" si="22"/>
        <v>41</v>
      </c>
      <c r="G359">
        <f t="shared" si="23"/>
        <v>5.68</v>
      </c>
    </row>
    <row r="360" spans="1:7" hidden="1" x14ac:dyDescent="0.25">
      <c r="A360" s="4" t="s">
        <v>107</v>
      </c>
      <c r="B360" s="1">
        <v>0.40933199999999997</v>
      </c>
      <c r="C360" s="1">
        <v>0.41129199999999999</v>
      </c>
      <c r="D360" s="1">
        <f t="shared" si="20"/>
        <v>1.9600000000000173E-3</v>
      </c>
      <c r="E360">
        <f t="shared" si="21"/>
        <v>2</v>
      </c>
      <c r="F360">
        <f t="shared" si="22"/>
        <v>49</v>
      </c>
      <c r="G360">
        <f t="shared" si="23"/>
        <v>2.82</v>
      </c>
    </row>
    <row r="361" spans="1:7" hidden="1" x14ac:dyDescent="0.25">
      <c r="A361" s="4" t="s">
        <v>108</v>
      </c>
      <c r="B361" s="1">
        <v>0.39525900000000003</v>
      </c>
      <c r="C361" s="1">
        <v>0.39127499999999998</v>
      </c>
      <c r="D361" s="1">
        <f t="shared" si="20"/>
        <v>3.9840000000000431E-3</v>
      </c>
      <c r="E361">
        <f t="shared" si="21"/>
        <v>5</v>
      </c>
      <c r="F361">
        <f t="shared" si="22"/>
        <v>44</v>
      </c>
      <c r="G361">
        <f t="shared" si="23"/>
        <v>5.73</v>
      </c>
    </row>
    <row r="362" spans="1:7" hidden="1" x14ac:dyDescent="0.25">
      <c r="A362" s="4" t="s">
        <v>109</v>
      </c>
      <c r="B362" s="1">
        <v>0.30027799999999999</v>
      </c>
      <c r="C362" s="1">
        <v>0.30407800000000001</v>
      </c>
      <c r="D362" s="1">
        <f t="shared" si="20"/>
        <v>3.8000000000000256E-3</v>
      </c>
      <c r="E362">
        <f t="shared" si="21"/>
        <v>5</v>
      </c>
      <c r="F362">
        <f t="shared" si="22"/>
        <v>28</v>
      </c>
      <c r="G362">
        <f t="shared" si="23"/>
        <v>5.47</v>
      </c>
    </row>
    <row r="363" spans="1:7" hidden="1" x14ac:dyDescent="0.25">
      <c r="A363" s="4" t="s">
        <v>110</v>
      </c>
      <c r="B363" s="1">
        <v>0.56430000000000002</v>
      </c>
      <c r="C363" s="1">
        <v>0.56179999999999997</v>
      </c>
      <c r="D363" s="1">
        <f t="shared" si="20"/>
        <v>2.5000000000000577E-3</v>
      </c>
      <c r="E363">
        <f t="shared" si="21"/>
        <v>3</v>
      </c>
      <c r="F363">
        <f t="shared" si="22"/>
        <v>36</v>
      </c>
      <c r="G363">
        <f t="shared" si="23"/>
        <v>3.6</v>
      </c>
    </row>
    <row r="364" spans="1:7" hidden="1" x14ac:dyDescent="0.25">
      <c r="A364" s="4" t="s">
        <v>429</v>
      </c>
      <c r="B364" s="1">
        <v>0.192581</v>
      </c>
      <c r="C364" s="1">
        <v>0.18934500000000001</v>
      </c>
      <c r="D364" s="1">
        <f t="shared" si="20"/>
        <v>3.2359999999999889E-3</v>
      </c>
      <c r="E364">
        <f t="shared" si="21"/>
        <v>4</v>
      </c>
      <c r="F364">
        <f t="shared" si="22"/>
        <v>40</v>
      </c>
      <c r="G364">
        <f t="shared" si="23"/>
        <v>4.67</v>
      </c>
    </row>
    <row r="365" spans="1:7" hidden="1" x14ac:dyDescent="0.25">
      <c r="A365" s="4" t="s">
        <v>111</v>
      </c>
      <c r="B365" s="1">
        <v>0.66062200000000004</v>
      </c>
      <c r="C365" s="1">
        <v>0.65834599999999999</v>
      </c>
      <c r="D365" s="1">
        <f t="shared" si="20"/>
        <v>2.2760000000000558E-3</v>
      </c>
      <c r="E365">
        <f t="shared" si="21"/>
        <v>3</v>
      </c>
      <c r="F365">
        <f t="shared" si="22"/>
        <v>17</v>
      </c>
      <c r="G365">
        <f t="shared" si="23"/>
        <v>3.28</v>
      </c>
    </row>
    <row r="366" spans="1:7" hidden="1" x14ac:dyDescent="0.25">
      <c r="A366" s="4" t="s">
        <v>112</v>
      </c>
      <c r="B366" s="1">
        <v>0.85606400000000005</v>
      </c>
      <c r="C366" s="1">
        <v>0.85216400000000003</v>
      </c>
      <c r="D366" s="1">
        <f t="shared" si="20"/>
        <v>3.9000000000000146E-3</v>
      </c>
      <c r="E366">
        <f t="shared" si="21"/>
        <v>5</v>
      </c>
      <c r="F366">
        <f t="shared" si="22"/>
        <v>37</v>
      </c>
      <c r="G366">
        <f t="shared" si="23"/>
        <v>5.62</v>
      </c>
    </row>
    <row r="367" spans="1:7" hidden="1" x14ac:dyDescent="0.25">
      <c r="A367" s="4" t="s">
        <v>113</v>
      </c>
      <c r="B367" s="1">
        <v>0.93603599999999998</v>
      </c>
      <c r="C367" s="1">
        <v>0.93963600000000003</v>
      </c>
      <c r="D367" s="1">
        <f t="shared" si="20"/>
        <v>3.6000000000000476E-3</v>
      </c>
      <c r="E367">
        <f t="shared" si="21"/>
        <v>5</v>
      </c>
      <c r="F367">
        <f t="shared" si="22"/>
        <v>11</v>
      </c>
      <c r="G367">
        <f t="shared" si="23"/>
        <v>5.18</v>
      </c>
    </row>
    <row r="368" spans="1:7" hidden="1" x14ac:dyDescent="0.25">
      <c r="A368" s="4" t="s">
        <v>114</v>
      </c>
      <c r="B368" s="1">
        <v>0.56009799999999998</v>
      </c>
      <c r="C368" s="1">
        <v>0.55808599999999997</v>
      </c>
      <c r="D368" s="1">
        <f t="shared" si="20"/>
        <v>2.0120000000000138E-3</v>
      </c>
      <c r="E368">
        <f t="shared" si="21"/>
        <v>2</v>
      </c>
      <c r="F368">
        <f t="shared" si="22"/>
        <v>54</v>
      </c>
      <c r="G368">
        <f t="shared" si="23"/>
        <v>2.9</v>
      </c>
    </row>
    <row r="369" spans="1:7" hidden="1" x14ac:dyDescent="0.25">
      <c r="A369" s="4" t="s">
        <v>115</v>
      </c>
      <c r="B369" s="1">
        <v>0.98607599999999995</v>
      </c>
      <c r="C369" s="1">
        <v>0.98280400000000001</v>
      </c>
      <c r="D369" s="1">
        <f t="shared" si="20"/>
        <v>3.2719999999999416E-3</v>
      </c>
      <c r="E369">
        <f t="shared" si="21"/>
        <v>4</v>
      </c>
      <c r="F369">
        <f t="shared" si="22"/>
        <v>43</v>
      </c>
      <c r="G369">
        <f t="shared" si="23"/>
        <v>4.72</v>
      </c>
    </row>
    <row r="370" spans="1:7" hidden="1" x14ac:dyDescent="0.25">
      <c r="A370" s="4" t="s">
        <v>116</v>
      </c>
      <c r="B370" s="1">
        <v>0.31276999999999999</v>
      </c>
      <c r="C370" s="1">
        <v>0.31504599999999999</v>
      </c>
      <c r="D370" s="1">
        <f t="shared" si="20"/>
        <v>2.2760000000000002E-3</v>
      </c>
      <c r="E370">
        <f t="shared" si="21"/>
        <v>3</v>
      </c>
      <c r="F370">
        <f t="shared" si="22"/>
        <v>17</v>
      </c>
      <c r="G370">
        <f t="shared" si="23"/>
        <v>3.28</v>
      </c>
    </row>
    <row r="371" spans="1:7" hidden="1" x14ac:dyDescent="0.25">
      <c r="A371" s="4" t="s">
        <v>75</v>
      </c>
      <c r="B371" s="1">
        <v>0.66879599999999995</v>
      </c>
      <c r="C371" s="1">
        <v>0.67200400000000005</v>
      </c>
      <c r="D371" s="1">
        <f t="shared" si="20"/>
        <v>3.2080000000000997E-3</v>
      </c>
      <c r="E371">
        <f t="shared" si="21"/>
        <v>4</v>
      </c>
      <c r="F371">
        <f t="shared" si="22"/>
        <v>37</v>
      </c>
      <c r="G371">
        <f t="shared" si="23"/>
        <v>4.62</v>
      </c>
    </row>
    <row r="372" spans="1:7" hidden="1" x14ac:dyDescent="0.25">
      <c r="A372" s="4" t="s">
        <v>117</v>
      </c>
      <c r="B372" s="1">
        <v>0.26135000000000003</v>
      </c>
      <c r="C372" s="1">
        <v>0.26341399999999998</v>
      </c>
      <c r="D372" s="1">
        <f t="shared" si="20"/>
        <v>2.0639999999999548E-3</v>
      </c>
      <c r="E372">
        <f t="shared" si="21"/>
        <v>2</v>
      </c>
      <c r="F372">
        <f t="shared" si="22"/>
        <v>58</v>
      </c>
      <c r="G372">
        <f t="shared" si="23"/>
        <v>2.97</v>
      </c>
    </row>
    <row r="373" spans="1:7" hidden="1" x14ac:dyDescent="0.25">
      <c r="A373" s="4" t="s">
        <v>118</v>
      </c>
      <c r="B373" s="1">
        <v>0.657829</v>
      </c>
      <c r="C373" s="1">
        <v>0.65565300000000004</v>
      </c>
      <c r="D373" s="1">
        <f t="shared" si="20"/>
        <v>2.1759999999999557E-3</v>
      </c>
      <c r="E373">
        <f t="shared" si="21"/>
        <v>3</v>
      </c>
      <c r="F373">
        <f t="shared" si="22"/>
        <v>8</v>
      </c>
      <c r="G373">
        <f t="shared" si="23"/>
        <v>3.13</v>
      </c>
    </row>
    <row r="374" spans="1:7" hidden="1" x14ac:dyDescent="0.25">
      <c r="A374" s="4" t="s">
        <v>119</v>
      </c>
      <c r="B374" s="1">
        <v>0.80451099999999998</v>
      </c>
      <c r="C374" s="1">
        <v>0.80257900000000004</v>
      </c>
      <c r="D374" s="1">
        <f t="shared" si="20"/>
        <v>1.9319999999999338E-3</v>
      </c>
      <c r="E374">
        <f t="shared" si="21"/>
        <v>2</v>
      </c>
      <c r="F374">
        <f t="shared" si="22"/>
        <v>47</v>
      </c>
      <c r="G374">
        <f t="shared" si="23"/>
        <v>2.78</v>
      </c>
    </row>
    <row r="375" spans="1:7" hidden="1" x14ac:dyDescent="0.25">
      <c r="A375" s="4" t="s">
        <v>120</v>
      </c>
      <c r="B375" s="1">
        <v>0.42249799999999998</v>
      </c>
      <c r="C375" s="1">
        <v>0.42418600000000001</v>
      </c>
      <c r="D375" s="1">
        <f t="shared" si="20"/>
        <v>1.6880000000000228E-3</v>
      </c>
      <c r="E375">
        <f t="shared" si="21"/>
        <v>2</v>
      </c>
      <c r="F375">
        <f t="shared" si="22"/>
        <v>26</v>
      </c>
      <c r="G375">
        <f t="shared" si="23"/>
        <v>2.4300000000000002</v>
      </c>
    </row>
    <row r="376" spans="1:7" hidden="1" x14ac:dyDescent="0.25">
      <c r="A376" s="4" t="s">
        <v>121</v>
      </c>
      <c r="B376" s="1">
        <v>0.49659500000000001</v>
      </c>
      <c r="C376" s="1">
        <v>0.494703</v>
      </c>
      <c r="D376" s="1">
        <f t="shared" si="20"/>
        <v>1.8920000000000048E-3</v>
      </c>
      <c r="E376">
        <f t="shared" si="21"/>
        <v>2</v>
      </c>
      <c r="F376">
        <f t="shared" si="22"/>
        <v>43</v>
      </c>
      <c r="G376">
        <f t="shared" si="23"/>
        <v>2.72</v>
      </c>
    </row>
    <row r="377" spans="1:7" hidden="1" x14ac:dyDescent="0.25">
      <c r="A377" s="4" t="s">
        <v>122</v>
      </c>
      <c r="B377" s="1">
        <v>3.8954000000000003E-2</v>
      </c>
      <c r="C377" s="1">
        <v>4.0722000000000001E-2</v>
      </c>
      <c r="D377" s="1">
        <f t="shared" si="20"/>
        <v>1.7679999999999987E-3</v>
      </c>
      <c r="E377">
        <f t="shared" si="21"/>
        <v>2</v>
      </c>
      <c r="F377">
        <f t="shared" si="22"/>
        <v>33</v>
      </c>
      <c r="G377">
        <f t="shared" si="23"/>
        <v>2.5499999999999998</v>
      </c>
    </row>
    <row r="378" spans="1:7" hidden="1" x14ac:dyDescent="0.25">
      <c r="A378" s="4" t="s">
        <v>123</v>
      </c>
      <c r="B378" s="1">
        <v>0.97869200000000001</v>
      </c>
      <c r="C378" s="1">
        <v>0.97506400000000004</v>
      </c>
      <c r="D378" s="1">
        <f t="shared" si="20"/>
        <v>3.6279999999999646E-3</v>
      </c>
      <c r="E378">
        <f t="shared" si="21"/>
        <v>5</v>
      </c>
      <c r="F378">
        <f t="shared" si="22"/>
        <v>13</v>
      </c>
      <c r="G378">
        <f t="shared" si="23"/>
        <v>5.22</v>
      </c>
    </row>
    <row r="379" spans="1:7" hidden="1" x14ac:dyDescent="0.25">
      <c r="A379" s="4" t="s">
        <v>124</v>
      </c>
      <c r="B379" s="1">
        <v>0.37814999999999999</v>
      </c>
      <c r="C379" s="1">
        <v>0.38008599999999998</v>
      </c>
      <c r="D379" s="1">
        <f t="shared" si="20"/>
        <v>1.9359999999999933E-3</v>
      </c>
      <c r="E379">
        <f t="shared" si="21"/>
        <v>2</v>
      </c>
      <c r="F379">
        <f t="shared" si="22"/>
        <v>47</v>
      </c>
      <c r="G379">
        <f t="shared" si="23"/>
        <v>2.78</v>
      </c>
    </row>
    <row r="380" spans="1:7" hidden="1" x14ac:dyDescent="0.25">
      <c r="A380" s="4" t="s">
        <v>125</v>
      </c>
      <c r="B380" s="1">
        <v>0.93394999999999995</v>
      </c>
      <c r="C380" s="1">
        <v>0.93237000000000003</v>
      </c>
      <c r="D380" s="1">
        <f t="shared" si="20"/>
        <v>1.5799999999999148E-3</v>
      </c>
      <c r="E380">
        <f t="shared" si="21"/>
        <v>2</v>
      </c>
      <c r="F380">
        <f t="shared" si="22"/>
        <v>17</v>
      </c>
      <c r="G380">
        <f t="shared" si="23"/>
        <v>2.2799999999999998</v>
      </c>
    </row>
    <row r="381" spans="1:7" hidden="1" x14ac:dyDescent="0.25">
      <c r="A381" s="4" t="s">
        <v>87</v>
      </c>
      <c r="B381" s="1">
        <v>0.56462000000000001</v>
      </c>
      <c r="C381" s="1">
        <v>0.56223999999999996</v>
      </c>
      <c r="D381" s="1">
        <f t="shared" si="20"/>
        <v>2.3800000000000487E-3</v>
      </c>
      <c r="E381">
        <f t="shared" si="21"/>
        <v>3</v>
      </c>
      <c r="F381">
        <f t="shared" si="22"/>
        <v>26</v>
      </c>
      <c r="G381">
        <f t="shared" si="23"/>
        <v>3.43</v>
      </c>
    </row>
    <row r="382" spans="1:7" hidden="1" x14ac:dyDescent="0.25">
      <c r="A382" s="4" t="s">
        <v>126</v>
      </c>
      <c r="B382" s="1">
        <v>0.63802199999999998</v>
      </c>
      <c r="C382" s="1">
        <v>0.64200199999999996</v>
      </c>
      <c r="D382" s="1">
        <f t="shared" si="20"/>
        <v>3.9799999999999836E-3</v>
      </c>
      <c r="E382">
        <f t="shared" si="21"/>
        <v>5</v>
      </c>
      <c r="F382">
        <f t="shared" si="22"/>
        <v>44</v>
      </c>
      <c r="G382">
        <f t="shared" si="23"/>
        <v>5.73</v>
      </c>
    </row>
    <row r="383" spans="1:7" hidden="1" x14ac:dyDescent="0.25">
      <c r="A383" s="4" t="s">
        <v>127</v>
      </c>
      <c r="B383" s="1">
        <v>0.74746999999999997</v>
      </c>
      <c r="C383" s="1">
        <v>0.74487400000000004</v>
      </c>
      <c r="D383" s="1">
        <f t="shared" si="20"/>
        <v>2.5959999999999317E-3</v>
      </c>
      <c r="E383">
        <f t="shared" si="21"/>
        <v>3</v>
      </c>
      <c r="F383">
        <f t="shared" si="22"/>
        <v>44</v>
      </c>
      <c r="G383">
        <f t="shared" si="23"/>
        <v>3.73</v>
      </c>
    </row>
    <row r="384" spans="1:7" hidden="1" x14ac:dyDescent="0.25">
      <c r="A384" s="4" t="s">
        <v>128</v>
      </c>
      <c r="B384" s="1">
        <v>0.63809400000000005</v>
      </c>
      <c r="C384" s="1">
        <v>0.63576600000000005</v>
      </c>
      <c r="D384" s="1">
        <f t="shared" si="20"/>
        <v>2.3279999999999967E-3</v>
      </c>
      <c r="E384">
        <f t="shared" si="21"/>
        <v>3</v>
      </c>
      <c r="F384">
        <f t="shared" si="22"/>
        <v>21</v>
      </c>
      <c r="G384">
        <f t="shared" si="23"/>
        <v>3.35</v>
      </c>
    </row>
    <row r="385" spans="1:7" hidden="1" x14ac:dyDescent="0.25">
      <c r="A385" s="4" t="s">
        <v>129</v>
      </c>
      <c r="B385" s="1">
        <v>0.30509900000000001</v>
      </c>
      <c r="C385" s="1">
        <v>0.308195</v>
      </c>
      <c r="D385" s="1">
        <f t="shared" si="20"/>
        <v>3.0959999999999877E-3</v>
      </c>
      <c r="E385">
        <f t="shared" si="21"/>
        <v>4</v>
      </c>
      <c r="F385">
        <f t="shared" si="22"/>
        <v>27</v>
      </c>
      <c r="G385">
        <f t="shared" si="23"/>
        <v>4.45</v>
      </c>
    </row>
    <row r="386" spans="1:7" hidden="1" x14ac:dyDescent="0.25">
      <c r="A386" s="4" t="s">
        <v>130</v>
      </c>
      <c r="B386" s="1">
        <v>0.23073199999999999</v>
      </c>
      <c r="C386" s="1">
        <v>0.22701199999999999</v>
      </c>
      <c r="D386" s="1">
        <f t="shared" si="20"/>
        <v>3.7200000000000011E-3</v>
      </c>
      <c r="E386">
        <f t="shared" si="21"/>
        <v>5</v>
      </c>
      <c r="F386">
        <f t="shared" si="22"/>
        <v>21</v>
      </c>
      <c r="G386">
        <f t="shared" si="23"/>
        <v>5.35</v>
      </c>
    </row>
    <row r="387" spans="1:7" hidden="1" x14ac:dyDescent="0.25">
      <c r="A387" s="4" t="s">
        <v>131</v>
      </c>
      <c r="B387" s="1">
        <v>0.64960200000000001</v>
      </c>
      <c r="C387" s="1">
        <v>0.65140200000000004</v>
      </c>
      <c r="D387" s="1">
        <f t="shared" ref="D387:D450" si="24">IF(B387&gt;C387,B387-C387,C387-B387)</f>
        <v>1.8000000000000238E-3</v>
      </c>
      <c r="E387">
        <f t="shared" ref="E387:E450" si="25">MINUTE(D387)</f>
        <v>2</v>
      </c>
      <c r="F387">
        <f t="shared" ref="F387:F450" si="26">SECOND(D387)</f>
        <v>36</v>
      </c>
      <c r="G387">
        <f t="shared" ref="G387:G450" si="27">ROUND(E387+F387/60,2)</f>
        <v>2.6</v>
      </c>
    </row>
    <row r="388" spans="1:7" hidden="1" x14ac:dyDescent="0.25">
      <c r="A388" s="4" t="s">
        <v>132</v>
      </c>
      <c r="B388" s="1">
        <v>0.64908500000000002</v>
      </c>
      <c r="C388" s="1">
        <v>0.65082499999999999</v>
      </c>
      <c r="D388" s="1">
        <f t="shared" si="24"/>
        <v>1.7399999999999638E-3</v>
      </c>
      <c r="E388">
        <f t="shared" si="25"/>
        <v>2</v>
      </c>
      <c r="F388">
        <f t="shared" si="26"/>
        <v>30</v>
      </c>
      <c r="G388">
        <f t="shared" si="27"/>
        <v>2.5</v>
      </c>
    </row>
    <row r="389" spans="1:7" hidden="1" x14ac:dyDescent="0.25">
      <c r="A389" s="4" t="s">
        <v>170</v>
      </c>
      <c r="B389" s="1">
        <v>0.46080500000000002</v>
      </c>
      <c r="C389" s="1">
        <v>0.46401300000000001</v>
      </c>
      <c r="D389" s="1">
        <f t="shared" si="24"/>
        <v>3.2079999999999886E-3</v>
      </c>
      <c r="E389">
        <f t="shared" si="25"/>
        <v>4</v>
      </c>
      <c r="F389">
        <f t="shared" si="26"/>
        <v>37</v>
      </c>
      <c r="G389">
        <f t="shared" si="27"/>
        <v>4.62</v>
      </c>
    </row>
    <row r="390" spans="1:7" hidden="1" x14ac:dyDescent="0.25">
      <c r="A390" s="4" t="s">
        <v>134</v>
      </c>
      <c r="B390" s="1">
        <v>0.86431400000000003</v>
      </c>
      <c r="C390" s="1">
        <v>0.86280199999999996</v>
      </c>
      <c r="D390" s="1">
        <f t="shared" si="24"/>
        <v>1.5120000000000688E-3</v>
      </c>
      <c r="E390">
        <f t="shared" si="25"/>
        <v>2</v>
      </c>
      <c r="F390">
        <f t="shared" si="26"/>
        <v>11</v>
      </c>
      <c r="G390">
        <f t="shared" si="27"/>
        <v>2.1800000000000002</v>
      </c>
    </row>
    <row r="391" spans="1:7" hidden="1" x14ac:dyDescent="0.25">
      <c r="A391" s="4" t="s">
        <v>135</v>
      </c>
      <c r="B391" s="1">
        <v>0.55270699999999995</v>
      </c>
      <c r="C391" s="1">
        <v>0.55523100000000003</v>
      </c>
      <c r="D391" s="1">
        <f t="shared" si="24"/>
        <v>2.5240000000000817E-3</v>
      </c>
      <c r="E391">
        <f t="shared" si="25"/>
        <v>3</v>
      </c>
      <c r="F391">
        <f t="shared" si="26"/>
        <v>38</v>
      </c>
      <c r="G391">
        <f t="shared" si="27"/>
        <v>3.63</v>
      </c>
    </row>
    <row r="392" spans="1:7" hidden="1" x14ac:dyDescent="0.25">
      <c r="A392" s="4" t="s">
        <v>136</v>
      </c>
      <c r="B392" s="1">
        <v>0.41161799999999998</v>
      </c>
      <c r="C392" s="1">
        <v>0.40927400000000003</v>
      </c>
      <c r="D392" s="1">
        <f t="shared" si="24"/>
        <v>2.3439999999999572E-3</v>
      </c>
      <c r="E392">
        <f t="shared" si="25"/>
        <v>3</v>
      </c>
      <c r="F392">
        <f t="shared" si="26"/>
        <v>23</v>
      </c>
      <c r="G392">
        <f t="shared" si="27"/>
        <v>3.38</v>
      </c>
    </row>
    <row r="393" spans="1:7" hidden="1" x14ac:dyDescent="0.25">
      <c r="A393" s="4" t="s">
        <v>137</v>
      </c>
      <c r="B393" s="1">
        <v>0.15091399999999999</v>
      </c>
      <c r="C393" s="1">
        <v>0.14927399999999999</v>
      </c>
      <c r="D393" s="1">
        <f t="shared" si="24"/>
        <v>1.6400000000000026E-3</v>
      </c>
      <c r="E393">
        <f t="shared" si="25"/>
        <v>2</v>
      </c>
      <c r="F393">
        <f t="shared" si="26"/>
        <v>22</v>
      </c>
      <c r="G393">
        <f t="shared" si="27"/>
        <v>2.37</v>
      </c>
    </row>
    <row r="394" spans="1:7" hidden="1" x14ac:dyDescent="0.25">
      <c r="A394" s="4" t="s">
        <v>138</v>
      </c>
      <c r="B394" s="1">
        <v>0.92752500000000004</v>
      </c>
      <c r="C394" s="1">
        <v>0.92424099999999998</v>
      </c>
      <c r="D394" s="1">
        <f t="shared" si="24"/>
        <v>3.2840000000000646E-3</v>
      </c>
      <c r="E394">
        <f t="shared" si="25"/>
        <v>4</v>
      </c>
      <c r="F394">
        <f t="shared" si="26"/>
        <v>44</v>
      </c>
      <c r="G394">
        <f t="shared" si="27"/>
        <v>4.7300000000000004</v>
      </c>
    </row>
    <row r="395" spans="1:7" hidden="1" x14ac:dyDescent="0.25">
      <c r="A395" s="4" t="s">
        <v>139</v>
      </c>
      <c r="B395" s="1">
        <v>0.89180499999999996</v>
      </c>
      <c r="C395" s="1">
        <v>0.89452100000000001</v>
      </c>
      <c r="D395" s="1">
        <f t="shared" si="24"/>
        <v>2.7160000000000517E-3</v>
      </c>
      <c r="E395">
        <f t="shared" si="25"/>
        <v>3</v>
      </c>
      <c r="F395">
        <f t="shared" si="26"/>
        <v>55</v>
      </c>
      <c r="G395">
        <f t="shared" si="27"/>
        <v>3.92</v>
      </c>
    </row>
    <row r="396" spans="1:7" hidden="1" x14ac:dyDescent="0.25">
      <c r="A396" s="4" t="s">
        <v>140</v>
      </c>
      <c r="B396" s="1">
        <v>0.94930499999999995</v>
      </c>
      <c r="C396" s="1">
        <v>0.95100099999999999</v>
      </c>
      <c r="D396" s="1">
        <f t="shared" si="24"/>
        <v>1.6960000000000308E-3</v>
      </c>
      <c r="E396">
        <f t="shared" si="25"/>
        <v>2</v>
      </c>
      <c r="F396">
        <f t="shared" si="26"/>
        <v>27</v>
      </c>
      <c r="G396">
        <f t="shared" si="27"/>
        <v>2.4500000000000002</v>
      </c>
    </row>
    <row r="397" spans="1:7" hidden="1" x14ac:dyDescent="0.25">
      <c r="A397" s="4" t="s">
        <v>141</v>
      </c>
      <c r="B397" s="1">
        <v>0.99470000000000003</v>
      </c>
      <c r="C397" s="1">
        <v>0.99698399999999998</v>
      </c>
      <c r="D397" s="1">
        <f t="shared" si="24"/>
        <v>2.2839999999999527E-3</v>
      </c>
      <c r="E397">
        <f t="shared" si="25"/>
        <v>3</v>
      </c>
      <c r="F397">
        <f t="shared" si="26"/>
        <v>17</v>
      </c>
      <c r="G397">
        <f t="shared" si="27"/>
        <v>3.28</v>
      </c>
    </row>
    <row r="398" spans="1:7" hidden="1" x14ac:dyDescent="0.25">
      <c r="A398" s="4" t="s">
        <v>142</v>
      </c>
      <c r="B398" s="1">
        <v>0.924736</v>
      </c>
      <c r="C398" s="1">
        <v>0.92187600000000003</v>
      </c>
      <c r="D398" s="1">
        <f t="shared" si="24"/>
        <v>2.8599999999999737E-3</v>
      </c>
      <c r="E398">
        <f t="shared" si="25"/>
        <v>4</v>
      </c>
      <c r="F398">
        <f t="shared" si="26"/>
        <v>7</v>
      </c>
      <c r="G398">
        <f t="shared" si="27"/>
        <v>4.12</v>
      </c>
    </row>
    <row r="399" spans="1:7" hidden="1" x14ac:dyDescent="0.25">
      <c r="A399" s="4" t="s">
        <v>143</v>
      </c>
      <c r="B399" s="1">
        <v>0.34360400000000002</v>
      </c>
      <c r="C399" s="1">
        <v>0.345912</v>
      </c>
      <c r="D399" s="1">
        <f t="shared" si="24"/>
        <v>2.3079999999999767E-3</v>
      </c>
      <c r="E399">
        <f t="shared" si="25"/>
        <v>3</v>
      </c>
      <c r="F399">
        <f t="shared" si="26"/>
        <v>19</v>
      </c>
      <c r="G399">
        <f t="shared" si="27"/>
        <v>3.32</v>
      </c>
    </row>
    <row r="400" spans="1:7" hidden="1" x14ac:dyDescent="0.25">
      <c r="A400" s="4" t="s">
        <v>144</v>
      </c>
      <c r="B400" s="1">
        <v>3.9156999999999997E-2</v>
      </c>
      <c r="C400" s="1">
        <v>4.1876999999999998E-2</v>
      </c>
      <c r="D400" s="1">
        <f t="shared" si="24"/>
        <v>2.7200000000000002E-3</v>
      </c>
      <c r="E400">
        <f t="shared" si="25"/>
        <v>3</v>
      </c>
      <c r="F400">
        <f t="shared" si="26"/>
        <v>55</v>
      </c>
      <c r="G400">
        <f t="shared" si="27"/>
        <v>3.92</v>
      </c>
    </row>
    <row r="401" spans="1:7" hidden="1" x14ac:dyDescent="0.25">
      <c r="A401" s="4" t="s">
        <v>145</v>
      </c>
      <c r="B401" s="1">
        <v>0.70873299999999995</v>
      </c>
      <c r="C401" s="1">
        <v>0.71220499999999998</v>
      </c>
      <c r="D401" s="1">
        <f t="shared" si="24"/>
        <v>3.4720000000000306E-3</v>
      </c>
      <c r="E401">
        <f t="shared" si="25"/>
        <v>5</v>
      </c>
      <c r="F401">
        <f t="shared" si="26"/>
        <v>0</v>
      </c>
      <c r="G401">
        <f t="shared" si="27"/>
        <v>5</v>
      </c>
    </row>
    <row r="402" spans="1:7" hidden="1" x14ac:dyDescent="0.25">
      <c r="A402" s="4" t="s">
        <v>146</v>
      </c>
      <c r="B402" s="1">
        <v>0.61743499999999996</v>
      </c>
      <c r="C402" s="1">
        <v>0.61920299999999995</v>
      </c>
      <c r="D402" s="1">
        <f t="shared" si="24"/>
        <v>1.7679999999999918E-3</v>
      </c>
      <c r="E402">
        <f t="shared" si="25"/>
        <v>2</v>
      </c>
      <c r="F402">
        <f t="shared" si="26"/>
        <v>33</v>
      </c>
      <c r="G402">
        <f t="shared" si="27"/>
        <v>2.5499999999999998</v>
      </c>
    </row>
    <row r="403" spans="1:7" hidden="1" x14ac:dyDescent="0.25">
      <c r="A403" s="4" t="s">
        <v>147</v>
      </c>
      <c r="B403" s="1">
        <v>0.75391399999999997</v>
      </c>
      <c r="C403" s="1">
        <v>0.75674200000000003</v>
      </c>
      <c r="D403" s="1">
        <f t="shared" si="24"/>
        <v>2.8280000000000527E-3</v>
      </c>
      <c r="E403">
        <f t="shared" si="25"/>
        <v>4</v>
      </c>
      <c r="F403">
        <f t="shared" si="26"/>
        <v>4</v>
      </c>
      <c r="G403">
        <f t="shared" si="27"/>
        <v>4.07</v>
      </c>
    </row>
    <row r="404" spans="1:7" hidden="1" x14ac:dyDescent="0.25">
      <c r="A404" s="4" t="s">
        <v>148</v>
      </c>
      <c r="B404" s="1">
        <v>0.924647</v>
      </c>
      <c r="C404" s="1">
        <v>0.92724300000000004</v>
      </c>
      <c r="D404" s="1">
        <f t="shared" si="24"/>
        <v>2.5960000000000427E-3</v>
      </c>
      <c r="E404">
        <f t="shared" si="25"/>
        <v>3</v>
      </c>
      <c r="F404">
        <f t="shared" si="26"/>
        <v>44</v>
      </c>
      <c r="G404">
        <f t="shared" si="27"/>
        <v>3.73</v>
      </c>
    </row>
    <row r="405" spans="1:7" hidden="1" x14ac:dyDescent="0.25">
      <c r="A405" s="4" t="s">
        <v>149</v>
      </c>
      <c r="B405" s="1">
        <v>0.13003200000000001</v>
      </c>
      <c r="C405" s="1">
        <v>0.13252800000000001</v>
      </c>
      <c r="D405" s="1">
        <f t="shared" si="24"/>
        <v>2.4959999999999982E-3</v>
      </c>
      <c r="E405">
        <f t="shared" si="25"/>
        <v>3</v>
      </c>
      <c r="F405">
        <f t="shared" si="26"/>
        <v>36</v>
      </c>
      <c r="G405">
        <f t="shared" si="27"/>
        <v>3.6</v>
      </c>
    </row>
    <row r="406" spans="1:7" hidden="1" x14ac:dyDescent="0.25">
      <c r="A406" s="4" t="s">
        <v>150</v>
      </c>
      <c r="B406" s="1">
        <v>0.52590599999999998</v>
      </c>
      <c r="C406" s="1">
        <v>0.52823399999999998</v>
      </c>
      <c r="D406" s="1">
        <f t="shared" si="24"/>
        <v>2.3279999999999967E-3</v>
      </c>
      <c r="E406">
        <f t="shared" si="25"/>
        <v>3</v>
      </c>
      <c r="F406">
        <f t="shared" si="26"/>
        <v>21</v>
      </c>
      <c r="G406">
        <f t="shared" si="27"/>
        <v>3.35</v>
      </c>
    </row>
    <row r="407" spans="1:7" hidden="1" x14ac:dyDescent="0.25">
      <c r="A407" s="4" t="s">
        <v>171</v>
      </c>
      <c r="B407" s="1">
        <v>0.60342499999999999</v>
      </c>
      <c r="C407" s="1">
        <v>0.605105</v>
      </c>
      <c r="D407" s="1">
        <f t="shared" si="24"/>
        <v>1.6800000000000148E-3</v>
      </c>
      <c r="E407">
        <f t="shared" si="25"/>
        <v>2</v>
      </c>
      <c r="F407">
        <f t="shared" si="26"/>
        <v>25</v>
      </c>
      <c r="G407">
        <f t="shared" si="27"/>
        <v>2.42</v>
      </c>
    </row>
    <row r="408" spans="1:7" hidden="1" x14ac:dyDescent="0.25">
      <c r="A408" s="4" t="s">
        <v>152</v>
      </c>
      <c r="B408" s="1">
        <v>1.2241E-2</v>
      </c>
      <c r="C408" s="1">
        <v>1.6216999999999999E-2</v>
      </c>
      <c r="D408" s="1">
        <f t="shared" si="24"/>
        <v>3.9759999999999986E-3</v>
      </c>
      <c r="E408">
        <f t="shared" si="25"/>
        <v>5</v>
      </c>
      <c r="F408">
        <f t="shared" si="26"/>
        <v>44</v>
      </c>
      <c r="G408">
        <f t="shared" si="27"/>
        <v>5.73</v>
      </c>
    </row>
    <row r="409" spans="1:7" hidden="1" x14ac:dyDescent="0.25">
      <c r="A409" s="4" t="s">
        <v>153</v>
      </c>
      <c r="B409" s="1">
        <v>0.13258500000000001</v>
      </c>
      <c r="C409" s="1">
        <v>0.13410900000000001</v>
      </c>
      <c r="D409" s="1">
        <f t="shared" si="24"/>
        <v>1.5239999999999976E-3</v>
      </c>
      <c r="E409">
        <f t="shared" si="25"/>
        <v>2</v>
      </c>
      <c r="F409">
        <f t="shared" si="26"/>
        <v>12</v>
      </c>
      <c r="G409">
        <f t="shared" si="27"/>
        <v>2.2000000000000002</v>
      </c>
    </row>
    <row r="410" spans="1:7" hidden="1" x14ac:dyDescent="0.25">
      <c r="A410" s="4" t="s">
        <v>154</v>
      </c>
      <c r="B410" s="1">
        <v>0.44955299999999998</v>
      </c>
      <c r="C410" s="1">
        <v>0.447237</v>
      </c>
      <c r="D410" s="1">
        <f t="shared" si="24"/>
        <v>2.3159999999999847E-3</v>
      </c>
      <c r="E410">
        <f t="shared" si="25"/>
        <v>3</v>
      </c>
      <c r="F410">
        <f t="shared" si="26"/>
        <v>20</v>
      </c>
      <c r="G410">
        <f t="shared" si="27"/>
        <v>3.33</v>
      </c>
    </row>
    <row r="411" spans="1:7" hidden="1" x14ac:dyDescent="0.25">
      <c r="A411" s="4" t="s">
        <v>155</v>
      </c>
      <c r="B411" s="1">
        <v>0.113997</v>
      </c>
      <c r="C411" s="1">
        <v>0.117621</v>
      </c>
      <c r="D411" s="1">
        <f t="shared" si="24"/>
        <v>3.6240000000000022E-3</v>
      </c>
      <c r="E411">
        <f t="shared" si="25"/>
        <v>5</v>
      </c>
      <c r="F411">
        <f t="shared" si="26"/>
        <v>13</v>
      </c>
      <c r="G411">
        <f t="shared" si="27"/>
        <v>5.22</v>
      </c>
    </row>
    <row r="412" spans="1:7" hidden="1" x14ac:dyDescent="0.25">
      <c r="A412" s="4" t="s">
        <v>156</v>
      </c>
      <c r="B412" s="1">
        <v>0.77753799999999995</v>
      </c>
      <c r="C412" s="1">
        <v>0.774814</v>
      </c>
      <c r="D412" s="1">
        <f t="shared" si="24"/>
        <v>2.7239999999999487E-3</v>
      </c>
      <c r="E412">
        <f t="shared" si="25"/>
        <v>3</v>
      </c>
      <c r="F412">
        <f t="shared" si="26"/>
        <v>55</v>
      </c>
      <c r="G412">
        <f t="shared" si="27"/>
        <v>3.92</v>
      </c>
    </row>
    <row r="413" spans="1:7" hidden="1" x14ac:dyDescent="0.25">
      <c r="A413" s="4" t="s">
        <v>157</v>
      </c>
      <c r="B413" s="1">
        <v>0.82582299999999997</v>
      </c>
      <c r="C413" s="1">
        <v>0.82754700000000003</v>
      </c>
      <c r="D413" s="1">
        <f t="shared" si="24"/>
        <v>1.7240000000000588E-3</v>
      </c>
      <c r="E413">
        <f t="shared" si="25"/>
        <v>2</v>
      </c>
      <c r="F413">
        <f t="shared" si="26"/>
        <v>29</v>
      </c>
      <c r="G413">
        <f t="shared" si="27"/>
        <v>2.48</v>
      </c>
    </row>
    <row r="414" spans="1:7" hidden="1" x14ac:dyDescent="0.25">
      <c r="A414" s="4" t="s">
        <v>158</v>
      </c>
      <c r="B414" s="1">
        <v>0.20841899999999999</v>
      </c>
      <c r="C414" s="1">
        <v>0.212231</v>
      </c>
      <c r="D414" s="1">
        <f t="shared" si="24"/>
        <v>3.8120000000000098E-3</v>
      </c>
      <c r="E414">
        <f t="shared" si="25"/>
        <v>5</v>
      </c>
      <c r="F414">
        <f t="shared" si="26"/>
        <v>29</v>
      </c>
      <c r="G414">
        <f t="shared" si="27"/>
        <v>5.48</v>
      </c>
    </row>
    <row r="415" spans="1:7" hidden="1" x14ac:dyDescent="0.25">
      <c r="A415" s="4" t="s">
        <v>159</v>
      </c>
      <c r="B415" s="1">
        <v>0.39568500000000001</v>
      </c>
      <c r="C415" s="1">
        <v>0.39231700000000003</v>
      </c>
      <c r="D415" s="1">
        <f t="shared" si="24"/>
        <v>3.3679999999999821E-3</v>
      </c>
      <c r="E415">
        <f t="shared" si="25"/>
        <v>4</v>
      </c>
      <c r="F415">
        <f t="shared" si="26"/>
        <v>51</v>
      </c>
      <c r="G415">
        <f t="shared" si="27"/>
        <v>4.8499999999999996</v>
      </c>
    </row>
    <row r="416" spans="1:7" hidden="1" x14ac:dyDescent="0.25">
      <c r="A416" s="4" t="s">
        <v>160</v>
      </c>
      <c r="B416" s="1">
        <v>1.9332999999999999E-2</v>
      </c>
      <c r="C416" s="1">
        <v>1.6733000000000001E-2</v>
      </c>
      <c r="D416" s="1">
        <f t="shared" si="24"/>
        <v>2.5999999999999981E-3</v>
      </c>
      <c r="E416">
        <f t="shared" si="25"/>
        <v>3</v>
      </c>
      <c r="F416">
        <f t="shared" si="26"/>
        <v>45</v>
      </c>
      <c r="G416">
        <f t="shared" si="27"/>
        <v>3.75</v>
      </c>
    </row>
    <row r="417" spans="1:7" hidden="1" x14ac:dyDescent="0.25">
      <c r="A417" s="4" t="s">
        <v>161</v>
      </c>
      <c r="B417" s="1">
        <v>0.37874799999999997</v>
      </c>
      <c r="C417" s="1">
        <v>0.382492</v>
      </c>
      <c r="D417" s="1">
        <f t="shared" si="24"/>
        <v>3.7440000000000251E-3</v>
      </c>
      <c r="E417">
        <f t="shared" si="25"/>
        <v>5</v>
      </c>
      <c r="F417">
        <f t="shared" si="26"/>
        <v>23</v>
      </c>
      <c r="G417">
        <f t="shared" si="27"/>
        <v>5.38</v>
      </c>
    </row>
    <row r="418" spans="1:7" hidden="1" x14ac:dyDescent="0.25">
      <c r="A418" s="4" t="s">
        <v>162</v>
      </c>
      <c r="B418" s="1">
        <v>0.72762800000000005</v>
      </c>
      <c r="C418" s="1">
        <v>0.73021999999999998</v>
      </c>
      <c r="D418" s="1">
        <f t="shared" si="24"/>
        <v>2.5919999999999277E-3</v>
      </c>
      <c r="E418">
        <f t="shared" si="25"/>
        <v>3</v>
      </c>
      <c r="F418">
        <f t="shared" si="26"/>
        <v>44</v>
      </c>
      <c r="G418">
        <f t="shared" si="27"/>
        <v>3.73</v>
      </c>
    </row>
    <row r="419" spans="1:7" hidden="1" x14ac:dyDescent="0.25">
      <c r="A419" s="4" t="s">
        <v>163</v>
      </c>
      <c r="B419" s="1">
        <v>0.69269999999999998</v>
      </c>
      <c r="C419" s="1">
        <v>0.69043600000000005</v>
      </c>
      <c r="D419" s="1">
        <f t="shared" si="24"/>
        <v>2.2639999999999327E-3</v>
      </c>
      <c r="E419">
        <f t="shared" si="25"/>
        <v>3</v>
      </c>
      <c r="F419">
        <f t="shared" si="26"/>
        <v>16</v>
      </c>
      <c r="G419">
        <f t="shared" si="27"/>
        <v>3.27</v>
      </c>
    </row>
    <row r="420" spans="1:7" hidden="1" x14ac:dyDescent="0.25">
      <c r="A420" s="4" t="s">
        <v>172</v>
      </c>
      <c r="B420" s="1">
        <v>0.90573400000000004</v>
      </c>
      <c r="C420" s="1">
        <v>0.90789799999999998</v>
      </c>
      <c r="D420" s="1">
        <f t="shared" si="24"/>
        <v>2.1639999999999437E-3</v>
      </c>
      <c r="E420">
        <f t="shared" si="25"/>
        <v>3</v>
      </c>
      <c r="F420">
        <f t="shared" si="26"/>
        <v>7</v>
      </c>
      <c r="G420">
        <f t="shared" si="27"/>
        <v>3.12</v>
      </c>
    </row>
    <row r="421" spans="1:7" hidden="1" x14ac:dyDescent="0.25">
      <c r="A421" s="4" t="s">
        <v>16</v>
      </c>
      <c r="B421" s="1">
        <v>0.376137</v>
      </c>
      <c r="C421" s="1">
        <v>0.37329699999999999</v>
      </c>
      <c r="D421" s="1">
        <f t="shared" si="24"/>
        <v>2.8400000000000092E-3</v>
      </c>
      <c r="E421">
        <f t="shared" si="25"/>
        <v>4</v>
      </c>
      <c r="F421">
        <f t="shared" si="26"/>
        <v>5</v>
      </c>
      <c r="G421">
        <f t="shared" si="27"/>
        <v>4.08</v>
      </c>
    </row>
    <row r="422" spans="1:7" hidden="1" x14ac:dyDescent="0.25">
      <c r="A422" s="4" t="s">
        <v>64</v>
      </c>
      <c r="B422" s="1">
        <v>0.352136</v>
      </c>
      <c r="C422" s="1">
        <v>0.35384399999999999</v>
      </c>
      <c r="D422" s="1">
        <f t="shared" si="24"/>
        <v>1.7079999999999873E-3</v>
      </c>
      <c r="E422">
        <f t="shared" si="25"/>
        <v>2</v>
      </c>
      <c r="F422">
        <f t="shared" si="26"/>
        <v>28</v>
      </c>
      <c r="G422">
        <f t="shared" si="27"/>
        <v>2.4700000000000002</v>
      </c>
    </row>
    <row r="423" spans="1:7" hidden="1" x14ac:dyDescent="0.25">
      <c r="A423" s="4" t="s">
        <v>155</v>
      </c>
      <c r="B423" s="1">
        <v>0.247169</v>
      </c>
      <c r="C423" s="1">
        <v>0.24446100000000001</v>
      </c>
      <c r="D423" s="1">
        <f t="shared" si="24"/>
        <v>2.7079999999999882E-3</v>
      </c>
      <c r="E423">
        <f t="shared" si="25"/>
        <v>3</v>
      </c>
      <c r="F423">
        <f t="shared" si="26"/>
        <v>54</v>
      </c>
      <c r="G423">
        <f t="shared" si="27"/>
        <v>3.9</v>
      </c>
    </row>
    <row r="424" spans="1:7" hidden="1" x14ac:dyDescent="0.25">
      <c r="A424" s="4" t="s">
        <v>74</v>
      </c>
      <c r="B424" s="1">
        <v>0.64918399999999998</v>
      </c>
      <c r="C424" s="1">
        <v>0.64702800000000005</v>
      </c>
      <c r="D424" s="1">
        <f t="shared" si="24"/>
        <v>2.1559999999999357E-3</v>
      </c>
      <c r="E424">
        <f t="shared" si="25"/>
        <v>3</v>
      </c>
      <c r="F424">
        <f t="shared" si="26"/>
        <v>6</v>
      </c>
      <c r="G424">
        <f t="shared" si="27"/>
        <v>3.1</v>
      </c>
    </row>
    <row r="425" spans="1:7" hidden="1" x14ac:dyDescent="0.25">
      <c r="A425" s="4" t="s">
        <v>21</v>
      </c>
      <c r="B425" s="1">
        <v>0.36847200000000002</v>
      </c>
      <c r="C425" s="1">
        <v>0.364732</v>
      </c>
      <c r="D425" s="1">
        <f t="shared" si="24"/>
        <v>3.7400000000000211E-3</v>
      </c>
      <c r="E425">
        <f t="shared" si="25"/>
        <v>5</v>
      </c>
      <c r="F425">
        <f t="shared" si="26"/>
        <v>23</v>
      </c>
      <c r="G425">
        <f t="shared" si="27"/>
        <v>5.38</v>
      </c>
    </row>
    <row r="426" spans="1:7" hidden="1" x14ac:dyDescent="0.25">
      <c r="A426" s="4" t="s">
        <v>27</v>
      </c>
      <c r="B426" s="1">
        <v>0.15427399999999999</v>
      </c>
      <c r="C426" s="1">
        <v>0.151698</v>
      </c>
      <c r="D426" s="1">
        <f t="shared" si="24"/>
        <v>2.575999999999995E-3</v>
      </c>
      <c r="E426">
        <f t="shared" si="25"/>
        <v>3</v>
      </c>
      <c r="F426">
        <f t="shared" si="26"/>
        <v>43</v>
      </c>
      <c r="G426">
        <f t="shared" si="27"/>
        <v>3.72</v>
      </c>
    </row>
    <row r="427" spans="1:7" hidden="1" x14ac:dyDescent="0.25">
      <c r="A427" s="4" t="s">
        <v>83</v>
      </c>
      <c r="B427" s="1">
        <v>0.67313500000000004</v>
      </c>
      <c r="C427" s="1">
        <v>0.67577900000000002</v>
      </c>
      <c r="D427" s="1">
        <f t="shared" si="24"/>
        <v>2.6439999999999797E-3</v>
      </c>
      <c r="E427">
        <f t="shared" si="25"/>
        <v>3</v>
      </c>
      <c r="F427">
        <f t="shared" si="26"/>
        <v>48</v>
      </c>
      <c r="G427">
        <f t="shared" si="27"/>
        <v>3.8</v>
      </c>
    </row>
    <row r="428" spans="1:7" hidden="1" x14ac:dyDescent="0.25">
      <c r="A428" s="4" t="s">
        <v>60</v>
      </c>
      <c r="B428" s="1">
        <v>0.97160000000000002</v>
      </c>
      <c r="C428" s="1">
        <v>0.96899999999999997</v>
      </c>
      <c r="D428" s="1">
        <f t="shared" si="24"/>
        <v>2.6000000000000467E-3</v>
      </c>
      <c r="E428">
        <f t="shared" si="25"/>
        <v>3</v>
      </c>
      <c r="F428">
        <f t="shared" si="26"/>
        <v>45</v>
      </c>
      <c r="G428">
        <f t="shared" si="27"/>
        <v>3.75</v>
      </c>
    </row>
    <row r="429" spans="1:7" hidden="1" x14ac:dyDescent="0.25">
      <c r="A429" s="4" t="s">
        <v>12</v>
      </c>
      <c r="B429" s="1">
        <v>0.33185700000000001</v>
      </c>
      <c r="C429" s="1">
        <v>0.33362900000000001</v>
      </c>
      <c r="D429" s="1">
        <f t="shared" si="24"/>
        <v>1.7719999999999958E-3</v>
      </c>
      <c r="E429">
        <f t="shared" si="25"/>
        <v>2</v>
      </c>
      <c r="F429">
        <f t="shared" si="26"/>
        <v>33</v>
      </c>
      <c r="G429">
        <f t="shared" si="27"/>
        <v>2.5499999999999998</v>
      </c>
    </row>
    <row r="430" spans="1:7" hidden="1" x14ac:dyDescent="0.25">
      <c r="A430" s="4" t="s">
        <v>49</v>
      </c>
      <c r="B430" s="1">
        <v>0.94723900000000005</v>
      </c>
      <c r="C430" s="1">
        <v>0.94938299999999998</v>
      </c>
      <c r="D430" s="1">
        <f t="shared" si="24"/>
        <v>2.1439999999999237E-3</v>
      </c>
      <c r="E430">
        <f t="shared" si="25"/>
        <v>3</v>
      </c>
      <c r="F430">
        <f t="shared" si="26"/>
        <v>5</v>
      </c>
      <c r="G430">
        <f t="shared" si="27"/>
        <v>3.08</v>
      </c>
    </row>
    <row r="431" spans="1:7" hidden="1" x14ac:dyDescent="0.25">
      <c r="A431" s="4" t="s">
        <v>47</v>
      </c>
      <c r="B431" s="1">
        <v>6.2723000000000001E-2</v>
      </c>
      <c r="C431" s="1">
        <v>6.6118999999999997E-2</v>
      </c>
      <c r="D431" s="1">
        <f t="shared" si="24"/>
        <v>3.3959999999999962E-3</v>
      </c>
      <c r="E431">
        <f t="shared" si="25"/>
        <v>4</v>
      </c>
      <c r="F431">
        <f t="shared" si="26"/>
        <v>53</v>
      </c>
      <c r="G431">
        <f t="shared" si="27"/>
        <v>4.88</v>
      </c>
    </row>
    <row r="432" spans="1:7" hidden="1" x14ac:dyDescent="0.25">
      <c r="A432" s="4" t="s">
        <v>41</v>
      </c>
      <c r="B432" s="1">
        <v>0.78174299999999997</v>
      </c>
      <c r="C432" s="1">
        <v>0.78416300000000005</v>
      </c>
      <c r="D432" s="1">
        <f t="shared" si="24"/>
        <v>2.4200000000000887E-3</v>
      </c>
      <c r="E432">
        <f t="shared" si="25"/>
        <v>3</v>
      </c>
      <c r="F432">
        <f t="shared" si="26"/>
        <v>29</v>
      </c>
      <c r="G432">
        <f t="shared" si="27"/>
        <v>3.48</v>
      </c>
    </row>
    <row r="433" spans="1:7" hidden="1" x14ac:dyDescent="0.25">
      <c r="A433" s="4" t="s">
        <v>117</v>
      </c>
      <c r="B433" s="1">
        <v>0.17993500000000001</v>
      </c>
      <c r="C433" s="1">
        <v>0.17603099999999999</v>
      </c>
      <c r="D433" s="1">
        <f t="shared" si="24"/>
        <v>3.9040000000000186E-3</v>
      </c>
      <c r="E433">
        <f t="shared" si="25"/>
        <v>5</v>
      </c>
      <c r="F433">
        <f t="shared" si="26"/>
        <v>37</v>
      </c>
      <c r="G433">
        <f t="shared" si="27"/>
        <v>5.62</v>
      </c>
    </row>
    <row r="434" spans="1:7" hidden="1" x14ac:dyDescent="0.25">
      <c r="A434" s="4" t="s">
        <v>162</v>
      </c>
      <c r="B434" s="1">
        <v>0.29753600000000002</v>
      </c>
      <c r="C434" s="1">
        <v>0.30076399999999998</v>
      </c>
      <c r="D434" s="1">
        <f t="shared" si="24"/>
        <v>3.2279999999999531E-3</v>
      </c>
      <c r="E434">
        <f t="shared" si="25"/>
        <v>4</v>
      </c>
      <c r="F434">
        <f t="shared" si="26"/>
        <v>39</v>
      </c>
      <c r="G434">
        <f t="shared" si="27"/>
        <v>4.6500000000000004</v>
      </c>
    </row>
    <row r="435" spans="1:7" hidden="1" x14ac:dyDescent="0.25">
      <c r="A435" s="4" t="s">
        <v>5</v>
      </c>
      <c r="B435" s="1">
        <v>0.98460700000000001</v>
      </c>
      <c r="C435" s="1">
        <v>0.98188699999999995</v>
      </c>
      <c r="D435" s="1">
        <f t="shared" si="24"/>
        <v>2.7200000000000557E-3</v>
      </c>
      <c r="E435">
        <f t="shared" si="25"/>
        <v>3</v>
      </c>
      <c r="F435">
        <f t="shared" si="26"/>
        <v>55</v>
      </c>
      <c r="G435">
        <f t="shared" si="27"/>
        <v>3.92</v>
      </c>
    </row>
    <row r="436" spans="1:7" hidden="1" x14ac:dyDescent="0.25">
      <c r="A436" s="4" t="s">
        <v>109</v>
      </c>
      <c r="B436" s="1">
        <v>0.78365300000000004</v>
      </c>
      <c r="C436" s="1">
        <v>0.78609700000000005</v>
      </c>
      <c r="D436" s="1">
        <f t="shared" si="24"/>
        <v>2.4440000000000017E-3</v>
      </c>
      <c r="E436">
        <f t="shared" si="25"/>
        <v>3</v>
      </c>
      <c r="F436">
        <f t="shared" si="26"/>
        <v>31</v>
      </c>
      <c r="G436">
        <f t="shared" si="27"/>
        <v>3.52</v>
      </c>
    </row>
    <row r="437" spans="1:7" hidden="1" x14ac:dyDescent="0.25">
      <c r="A437" s="4" t="s">
        <v>75</v>
      </c>
      <c r="B437" s="1">
        <v>0.169961</v>
      </c>
      <c r="C437" s="1">
        <v>0.17214099999999999</v>
      </c>
      <c r="D437" s="1">
        <f t="shared" si="24"/>
        <v>2.1799999999999875E-3</v>
      </c>
      <c r="E437">
        <f t="shared" si="25"/>
        <v>3</v>
      </c>
      <c r="F437">
        <f t="shared" si="26"/>
        <v>8</v>
      </c>
      <c r="G437">
        <f t="shared" si="27"/>
        <v>3.13</v>
      </c>
    </row>
    <row r="438" spans="1:7" hidden="1" x14ac:dyDescent="0.25">
      <c r="A438" s="4" t="s">
        <v>75</v>
      </c>
      <c r="B438" s="1">
        <v>0.400312</v>
      </c>
      <c r="C438" s="1">
        <v>0.40276000000000001</v>
      </c>
      <c r="D438" s="1">
        <f t="shared" si="24"/>
        <v>2.4480000000000057E-3</v>
      </c>
      <c r="E438">
        <f t="shared" si="25"/>
        <v>3</v>
      </c>
      <c r="F438">
        <f t="shared" si="26"/>
        <v>32</v>
      </c>
      <c r="G438">
        <f t="shared" si="27"/>
        <v>3.53</v>
      </c>
    </row>
    <row r="439" spans="1:7" hidden="1" x14ac:dyDescent="0.25">
      <c r="A439" s="4" t="s">
        <v>68</v>
      </c>
      <c r="B439" s="1">
        <v>0.25546200000000002</v>
      </c>
      <c r="C439" s="1">
        <v>0.25842199999999999</v>
      </c>
      <c r="D439" s="1">
        <f t="shared" si="24"/>
        <v>2.9599999999999627E-3</v>
      </c>
      <c r="E439">
        <f t="shared" si="25"/>
        <v>4</v>
      </c>
      <c r="F439">
        <f t="shared" si="26"/>
        <v>16</v>
      </c>
      <c r="G439">
        <f t="shared" si="27"/>
        <v>4.2699999999999996</v>
      </c>
    </row>
    <row r="440" spans="1:7" hidden="1" x14ac:dyDescent="0.25">
      <c r="A440" s="4" t="s">
        <v>72</v>
      </c>
      <c r="B440" s="1">
        <v>0.33413399999999999</v>
      </c>
      <c r="C440" s="1">
        <v>0.33112599999999998</v>
      </c>
      <c r="D440" s="1">
        <f t="shared" si="24"/>
        <v>3.0080000000000107E-3</v>
      </c>
      <c r="E440">
        <f t="shared" si="25"/>
        <v>4</v>
      </c>
      <c r="F440">
        <f t="shared" si="26"/>
        <v>20</v>
      </c>
      <c r="G440">
        <f t="shared" si="27"/>
        <v>4.33</v>
      </c>
    </row>
    <row r="441" spans="1:7" hidden="1" x14ac:dyDescent="0.25">
      <c r="A441" s="4" t="s">
        <v>3</v>
      </c>
      <c r="B441" s="1">
        <v>0.83289800000000003</v>
      </c>
      <c r="C441" s="1">
        <v>0.82982199999999995</v>
      </c>
      <c r="D441" s="1">
        <f t="shared" si="24"/>
        <v>3.0760000000000787E-3</v>
      </c>
      <c r="E441">
        <f t="shared" si="25"/>
        <v>4</v>
      </c>
      <c r="F441">
        <f t="shared" si="26"/>
        <v>26</v>
      </c>
      <c r="G441">
        <f t="shared" si="27"/>
        <v>4.43</v>
      </c>
    </row>
    <row r="442" spans="1:7" hidden="1" x14ac:dyDescent="0.25">
      <c r="A442" s="4" t="s">
        <v>107</v>
      </c>
      <c r="B442" s="1">
        <v>0.27387699999999998</v>
      </c>
      <c r="C442" s="1">
        <v>0.271065</v>
      </c>
      <c r="D442" s="1">
        <f t="shared" si="24"/>
        <v>2.8119999999999812E-3</v>
      </c>
      <c r="E442">
        <f t="shared" si="25"/>
        <v>4</v>
      </c>
      <c r="F442">
        <f t="shared" si="26"/>
        <v>3</v>
      </c>
      <c r="G442">
        <f t="shared" si="27"/>
        <v>4.05</v>
      </c>
    </row>
    <row r="443" spans="1:7" hidden="1" x14ac:dyDescent="0.25">
      <c r="A443" s="4" t="s">
        <v>16</v>
      </c>
      <c r="B443" s="1">
        <v>0.82084800000000002</v>
      </c>
      <c r="C443" s="1">
        <v>0.81814399999999998</v>
      </c>
      <c r="D443" s="1">
        <f t="shared" si="24"/>
        <v>2.7040000000000397E-3</v>
      </c>
      <c r="E443">
        <f t="shared" si="25"/>
        <v>3</v>
      </c>
      <c r="F443">
        <f t="shared" si="26"/>
        <v>54</v>
      </c>
      <c r="G443">
        <f t="shared" si="27"/>
        <v>3.9</v>
      </c>
    </row>
    <row r="444" spans="1:7" hidden="1" x14ac:dyDescent="0.25">
      <c r="A444" s="4" t="s">
        <v>64</v>
      </c>
      <c r="B444" s="1">
        <v>0.43862400000000001</v>
      </c>
      <c r="C444" s="1">
        <v>0.43687599999999999</v>
      </c>
      <c r="D444" s="1">
        <f t="shared" si="24"/>
        <v>1.7480000000000273E-3</v>
      </c>
      <c r="E444">
        <f t="shared" si="25"/>
        <v>2</v>
      </c>
      <c r="F444">
        <f t="shared" si="26"/>
        <v>31</v>
      </c>
      <c r="G444">
        <f t="shared" si="27"/>
        <v>2.52</v>
      </c>
    </row>
    <row r="445" spans="1:7" hidden="1" x14ac:dyDescent="0.25">
      <c r="A445" s="4" t="s">
        <v>155</v>
      </c>
      <c r="B445" s="1">
        <v>0.93974999999999997</v>
      </c>
      <c r="C445" s="1">
        <v>0.94196199999999997</v>
      </c>
      <c r="D445" s="1">
        <f t="shared" si="24"/>
        <v>2.2119999999999918E-3</v>
      </c>
      <c r="E445">
        <f t="shared" si="25"/>
        <v>3</v>
      </c>
      <c r="F445">
        <f t="shared" si="26"/>
        <v>11</v>
      </c>
      <c r="G445">
        <f t="shared" si="27"/>
        <v>3.18</v>
      </c>
    </row>
    <row r="446" spans="1:7" hidden="1" x14ac:dyDescent="0.25">
      <c r="A446" s="4" t="s">
        <v>74</v>
      </c>
      <c r="B446" s="1">
        <v>0.27588800000000002</v>
      </c>
      <c r="C446" s="1">
        <v>0.27738800000000002</v>
      </c>
      <c r="D446" s="1">
        <f t="shared" si="24"/>
        <v>1.5000000000000013E-3</v>
      </c>
      <c r="E446">
        <f t="shared" si="25"/>
        <v>2</v>
      </c>
      <c r="F446">
        <f t="shared" si="26"/>
        <v>10</v>
      </c>
      <c r="G446">
        <f t="shared" si="27"/>
        <v>2.17</v>
      </c>
    </row>
    <row r="447" spans="1:7" hidden="1" x14ac:dyDescent="0.25">
      <c r="A447" s="4" t="s">
        <v>21</v>
      </c>
      <c r="B447" s="1">
        <v>0.72038999999999997</v>
      </c>
      <c r="C447" s="1">
        <v>0.722634</v>
      </c>
      <c r="D447" s="1">
        <f t="shared" si="24"/>
        <v>2.2440000000000238E-3</v>
      </c>
      <c r="E447">
        <f t="shared" si="25"/>
        <v>3</v>
      </c>
      <c r="F447">
        <f t="shared" si="26"/>
        <v>14</v>
      </c>
      <c r="G447">
        <f t="shared" si="27"/>
        <v>3.23</v>
      </c>
    </row>
    <row r="448" spans="1:7" hidden="1" x14ac:dyDescent="0.25">
      <c r="A448" s="4" t="s">
        <v>27</v>
      </c>
      <c r="B448" s="1">
        <v>0.19815199999999999</v>
      </c>
      <c r="C448" s="1">
        <v>0.20089599999999999</v>
      </c>
      <c r="D448" s="1">
        <f t="shared" si="24"/>
        <v>2.7439999999999964E-3</v>
      </c>
      <c r="E448">
        <f t="shared" si="25"/>
        <v>3</v>
      </c>
      <c r="F448">
        <f t="shared" si="26"/>
        <v>57</v>
      </c>
      <c r="G448">
        <f t="shared" si="27"/>
        <v>3.95</v>
      </c>
    </row>
    <row r="449" spans="1:7" hidden="1" x14ac:dyDescent="0.25">
      <c r="A449" s="4" t="s">
        <v>83</v>
      </c>
      <c r="B449" s="1">
        <v>0.72719900000000004</v>
      </c>
      <c r="C449" s="1">
        <v>0.72877099999999995</v>
      </c>
      <c r="D449" s="1">
        <f t="shared" si="24"/>
        <v>1.5719999999999068E-3</v>
      </c>
      <c r="E449">
        <f t="shared" si="25"/>
        <v>2</v>
      </c>
      <c r="F449">
        <f t="shared" si="26"/>
        <v>16</v>
      </c>
      <c r="G449">
        <f t="shared" si="27"/>
        <v>2.27</v>
      </c>
    </row>
    <row r="450" spans="1:7" hidden="1" x14ac:dyDescent="0.25">
      <c r="A450" s="4" t="s">
        <v>60</v>
      </c>
      <c r="B450" s="1">
        <v>0.71798300000000004</v>
      </c>
      <c r="C450" s="1">
        <v>0.71585500000000002</v>
      </c>
      <c r="D450" s="1">
        <f t="shared" si="24"/>
        <v>2.1280000000000188E-3</v>
      </c>
      <c r="E450">
        <f t="shared" si="25"/>
        <v>3</v>
      </c>
      <c r="F450">
        <f t="shared" si="26"/>
        <v>4</v>
      </c>
      <c r="G450">
        <f t="shared" si="27"/>
        <v>3.07</v>
      </c>
    </row>
    <row r="451" spans="1:7" hidden="1" x14ac:dyDescent="0.25">
      <c r="A451" s="4" t="s">
        <v>12</v>
      </c>
      <c r="B451" s="1">
        <v>0.74244399999999999</v>
      </c>
      <c r="C451" s="1">
        <v>0.73979200000000001</v>
      </c>
      <c r="D451" s="1">
        <f t="shared" ref="D451:D514" si="28">IF(B451&gt;C451,B451-C451,C451-B451)</f>
        <v>2.6519999999999877E-3</v>
      </c>
      <c r="E451">
        <f t="shared" ref="E451:E514" si="29">MINUTE(D451)</f>
        <v>3</v>
      </c>
      <c r="F451">
        <f t="shared" ref="F451:F514" si="30">SECOND(D451)</f>
        <v>49</v>
      </c>
      <c r="G451">
        <f t="shared" ref="G451:G514" si="31">ROUND(E451+F451/60,2)</f>
        <v>3.82</v>
      </c>
    </row>
    <row r="452" spans="1:7" hidden="1" x14ac:dyDescent="0.25">
      <c r="A452" s="4" t="s">
        <v>49</v>
      </c>
      <c r="B452" s="1">
        <v>0.16655700000000001</v>
      </c>
      <c r="C452" s="1">
        <v>0.168625</v>
      </c>
      <c r="D452" s="1">
        <f t="shared" si="28"/>
        <v>2.0679999999999865E-3</v>
      </c>
      <c r="E452">
        <f t="shared" si="29"/>
        <v>2</v>
      </c>
      <c r="F452">
        <f t="shared" si="30"/>
        <v>59</v>
      </c>
      <c r="G452">
        <f t="shared" si="31"/>
        <v>2.98</v>
      </c>
    </row>
    <row r="453" spans="1:7" hidden="1" x14ac:dyDescent="0.25">
      <c r="A453" s="4" t="s">
        <v>47</v>
      </c>
      <c r="B453" s="1">
        <v>0.138625</v>
      </c>
      <c r="C453" s="1">
        <v>0.14114499999999999</v>
      </c>
      <c r="D453" s="1">
        <f t="shared" si="28"/>
        <v>2.5199999999999945E-3</v>
      </c>
      <c r="E453">
        <f t="shared" si="29"/>
        <v>3</v>
      </c>
      <c r="F453">
        <f t="shared" si="30"/>
        <v>38</v>
      </c>
      <c r="G453">
        <f t="shared" si="31"/>
        <v>3.63</v>
      </c>
    </row>
    <row r="454" spans="1:7" hidden="1" x14ac:dyDescent="0.25">
      <c r="A454" s="4" t="s">
        <v>41</v>
      </c>
      <c r="B454" s="1">
        <v>0.79450500000000002</v>
      </c>
      <c r="C454" s="1">
        <v>0.79184500000000002</v>
      </c>
      <c r="D454" s="1">
        <f t="shared" si="28"/>
        <v>2.6599999999999957E-3</v>
      </c>
      <c r="E454">
        <f t="shared" si="29"/>
        <v>3</v>
      </c>
      <c r="F454">
        <f t="shared" si="30"/>
        <v>50</v>
      </c>
      <c r="G454">
        <f t="shared" si="31"/>
        <v>3.83</v>
      </c>
    </row>
    <row r="455" spans="1:7" hidden="1" x14ac:dyDescent="0.25">
      <c r="A455" s="4" t="s">
        <v>117</v>
      </c>
      <c r="B455" s="1">
        <v>0.97350800000000004</v>
      </c>
      <c r="C455" s="1">
        <v>0.97145199999999998</v>
      </c>
      <c r="D455" s="1">
        <f t="shared" si="28"/>
        <v>2.0560000000000578E-3</v>
      </c>
      <c r="E455">
        <f t="shared" si="29"/>
        <v>2</v>
      </c>
      <c r="F455">
        <f t="shared" si="30"/>
        <v>58</v>
      </c>
      <c r="G455">
        <f t="shared" si="31"/>
        <v>2.97</v>
      </c>
    </row>
    <row r="456" spans="1:7" hidden="1" x14ac:dyDescent="0.25">
      <c r="A456" s="4" t="s">
        <v>162</v>
      </c>
      <c r="B456" s="1">
        <v>0.43030000000000002</v>
      </c>
      <c r="C456" s="1">
        <v>0.432728</v>
      </c>
      <c r="D456" s="1">
        <f t="shared" si="28"/>
        <v>2.4279999999999857E-3</v>
      </c>
      <c r="E456">
        <f t="shared" si="29"/>
        <v>3</v>
      </c>
      <c r="F456">
        <f t="shared" si="30"/>
        <v>30</v>
      </c>
      <c r="G456">
        <f t="shared" si="31"/>
        <v>3.5</v>
      </c>
    </row>
    <row r="457" spans="1:7" hidden="1" x14ac:dyDescent="0.25">
      <c r="A457" s="4" t="s">
        <v>5</v>
      </c>
      <c r="B457" s="1">
        <v>0.42173100000000002</v>
      </c>
      <c r="C457" s="1">
        <v>0.42501100000000003</v>
      </c>
      <c r="D457" s="1">
        <f t="shared" si="28"/>
        <v>3.2800000000000051E-3</v>
      </c>
      <c r="E457">
        <f t="shared" si="29"/>
        <v>4</v>
      </c>
      <c r="F457">
        <f t="shared" si="30"/>
        <v>43</v>
      </c>
      <c r="G457">
        <f t="shared" si="31"/>
        <v>4.72</v>
      </c>
    </row>
    <row r="458" spans="1:7" hidden="1" x14ac:dyDescent="0.25">
      <c r="A458" s="4" t="s">
        <v>109</v>
      </c>
      <c r="B458" s="1">
        <v>0.61124299999999998</v>
      </c>
      <c r="C458" s="1">
        <v>0.61519100000000004</v>
      </c>
      <c r="D458" s="1">
        <f t="shared" si="28"/>
        <v>3.9480000000000626E-3</v>
      </c>
      <c r="E458">
        <f t="shared" si="29"/>
        <v>5</v>
      </c>
      <c r="F458">
        <f t="shared" si="30"/>
        <v>41</v>
      </c>
      <c r="G458">
        <f t="shared" si="31"/>
        <v>5.68</v>
      </c>
    </row>
    <row r="459" spans="1:7" hidden="1" x14ac:dyDescent="0.25">
      <c r="A459" s="4" t="s">
        <v>75</v>
      </c>
      <c r="B459" s="1">
        <v>0.48200599999999999</v>
      </c>
      <c r="C459" s="1">
        <v>0.485122</v>
      </c>
      <c r="D459" s="1">
        <f t="shared" si="28"/>
        <v>3.1160000000000077E-3</v>
      </c>
      <c r="E459">
        <f t="shared" si="29"/>
        <v>4</v>
      </c>
      <c r="F459">
        <f t="shared" si="30"/>
        <v>29</v>
      </c>
      <c r="G459">
        <f t="shared" si="31"/>
        <v>4.4800000000000004</v>
      </c>
    </row>
    <row r="460" spans="1:7" hidden="1" x14ac:dyDescent="0.25">
      <c r="A460" s="4" t="s">
        <v>75</v>
      </c>
      <c r="B460" s="1">
        <v>0.75184499999999999</v>
      </c>
      <c r="C460" s="1">
        <v>0.75461699999999998</v>
      </c>
      <c r="D460" s="1">
        <f t="shared" si="28"/>
        <v>2.7719999999999967E-3</v>
      </c>
      <c r="E460">
        <f t="shared" si="29"/>
        <v>4</v>
      </c>
      <c r="F460">
        <f t="shared" si="30"/>
        <v>0</v>
      </c>
      <c r="G460">
        <f t="shared" si="31"/>
        <v>4</v>
      </c>
    </row>
    <row r="461" spans="1:7" hidden="1" x14ac:dyDescent="0.25">
      <c r="A461" s="4" t="s">
        <v>68</v>
      </c>
      <c r="B461" s="1">
        <v>0.98681600000000003</v>
      </c>
      <c r="C461" s="1">
        <v>0.98857600000000001</v>
      </c>
      <c r="D461" s="1">
        <f t="shared" si="28"/>
        <v>1.7599999999999838E-3</v>
      </c>
      <c r="E461">
        <f t="shared" si="29"/>
        <v>2</v>
      </c>
      <c r="F461">
        <f t="shared" si="30"/>
        <v>32</v>
      </c>
      <c r="G461">
        <f t="shared" si="31"/>
        <v>2.5299999999999998</v>
      </c>
    </row>
    <row r="462" spans="1:7" hidden="1" x14ac:dyDescent="0.25">
      <c r="A462" s="4" t="s">
        <v>72</v>
      </c>
      <c r="B462" s="1">
        <v>0.22588900000000001</v>
      </c>
      <c r="C462" s="1">
        <v>0.224385</v>
      </c>
      <c r="D462" s="1">
        <f t="shared" si="28"/>
        <v>1.5040000000000053E-3</v>
      </c>
      <c r="E462">
        <f t="shared" si="29"/>
        <v>2</v>
      </c>
      <c r="F462">
        <f t="shared" si="30"/>
        <v>10</v>
      </c>
      <c r="G462">
        <f t="shared" si="31"/>
        <v>2.17</v>
      </c>
    </row>
    <row r="463" spans="1:7" hidden="1" x14ac:dyDescent="0.25">
      <c r="A463" s="4" t="s">
        <v>3</v>
      </c>
      <c r="B463" s="1">
        <v>9.0769000000000002E-2</v>
      </c>
      <c r="C463" s="1">
        <v>9.3213000000000004E-2</v>
      </c>
      <c r="D463" s="1">
        <f t="shared" si="28"/>
        <v>2.4440000000000017E-3</v>
      </c>
      <c r="E463">
        <f t="shared" si="29"/>
        <v>3</v>
      </c>
      <c r="F463">
        <f t="shared" si="30"/>
        <v>31</v>
      </c>
      <c r="G463">
        <f t="shared" si="31"/>
        <v>3.52</v>
      </c>
    </row>
    <row r="464" spans="1:7" hidden="1" x14ac:dyDescent="0.25">
      <c r="A464" s="4" t="s">
        <v>47</v>
      </c>
      <c r="B464" s="1">
        <v>0.76115200000000005</v>
      </c>
      <c r="C464" s="1">
        <v>0.75938799999999995</v>
      </c>
      <c r="D464" s="1">
        <f t="shared" si="28"/>
        <v>1.7640000000000988E-3</v>
      </c>
      <c r="E464">
        <f t="shared" si="29"/>
        <v>2</v>
      </c>
      <c r="F464">
        <f t="shared" si="30"/>
        <v>32</v>
      </c>
      <c r="G464">
        <f t="shared" si="31"/>
        <v>2.5299999999999998</v>
      </c>
    </row>
    <row r="465" spans="1:7" hidden="1" x14ac:dyDescent="0.25">
      <c r="A465" s="4" t="s">
        <v>41</v>
      </c>
      <c r="B465" s="1">
        <v>0.61574300000000004</v>
      </c>
      <c r="C465" s="1">
        <v>0.61297900000000005</v>
      </c>
      <c r="D465" s="1">
        <f t="shared" si="28"/>
        <v>2.7639999999999887E-3</v>
      </c>
      <c r="E465">
        <f t="shared" si="29"/>
        <v>3</v>
      </c>
      <c r="F465">
        <f t="shared" si="30"/>
        <v>59</v>
      </c>
      <c r="G465">
        <f t="shared" si="31"/>
        <v>3.98</v>
      </c>
    </row>
    <row r="466" spans="1:7" hidden="1" x14ac:dyDescent="0.25">
      <c r="A466" s="4" t="s">
        <v>117</v>
      </c>
      <c r="B466" s="1">
        <v>0.67266300000000001</v>
      </c>
      <c r="C466" s="1">
        <v>0.676651</v>
      </c>
      <c r="D466" s="1">
        <f t="shared" si="28"/>
        <v>3.9879999999999916E-3</v>
      </c>
      <c r="E466">
        <f t="shared" si="29"/>
        <v>5</v>
      </c>
      <c r="F466">
        <f t="shared" si="30"/>
        <v>45</v>
      </c>
      <c r="G466">
        <f t="shared" si="31"/>
        <v>5.75</v>
      </c>
    </row>
    <row r="467" spans="1:7" hidden="1" x14ac:dyDescent="0.25">
      <c r="A467" s="4" t="s">
        <v>173</v>
      </c>
      <c r="B467" s="1">
        <v>0.45782299999999998</v>
      </c>
      <c r="C467" s="1">
        <v>0.45575500000000002</v>
      </c>
      <c r="D467" s="1">
        <f t="shared" si="28"/>
        <v>2.0679999999999588E-3</v>
      </c>
      <c r="E467">
        <f t="shared" si="29"/>
        <v>2</v>
      </c>
      <c r="F467">
        <f t="shared" si="30"/>
        <v>59</v>
      </c>
      <c r="G467">
        <f t="shared" si="31"/>
        <v>2.98</v>
      </c>
    </row>
    <row r="468" spans="1:7" hidden="1" x14ac:dyDescent="0.25">
      <c r="A468" s="4" t="s">
        <v>5</v>
      </c>
      <c r="B468" s="1">
        <v>0.85437099999999999</v>
      </c>
      <c r="C468" s="1">
        <v>0.85165500000000005</v>
      </c>
      <c r="D468" s="1">
        <f t="shared" si="28"/>
        <v>2.7159999999999407E-3</v>
      </c>
      <c r="E468">
        <f t="shared" si="29"/>
        <v>3</v>
      </c>
      <c r="F468">
        <f t="shared" si="30"/>
        <v>55</v>
      </c>
      <c r="G468">
        <f t="shared" si="31"/>
        <v>3.92</v>
      </c>
    </row>
    <row r="469" spans="1:7" hidden="1" x14ac:dyDescent="0.25">
      <c r="A469" s="4" t="s">
        <v>109</v>
      </c>
      <c r="B469" s="1">
        <v>0.59859799999999996</v>
      </c>
      <c r="C469" s="1">
        <v>0.59520600000000001</v>
      </c>
      <c r="D469" s="1">
        <f t="shared" si="28"/>
        <v>3.3919999999999506E-3</v>
      </c>
      <c r="E469">
        <f t="shared" si="29"/>
        <v>4</v>
      </c>
      <c r="F469">
        <f t="shared" si="30"/>
        <v>53</v>
      </c>
      <c r="G469">
        <f t="shared" si="31"/>
        <v>4.88</v>
      </c>
    </row>
    <row r="470" spans="1:7" hidden="1" x14ac:dyDescent="0.25">
      <c r="A470" s="4" t="s">
        <v>47</v>
      </c>
      <c r="B470" s="1">
        <v>0.39534399999999997</v>
      </c>
      <c r="C470" s="1">
        <v>0.39347199999999999</v>
      </c>
      <c r="D470" s="1">
        <f t="shared" si="28"/>
        <v>1.8719999999999848E-3</v>
      </c>
      <c r="E470">
        <f t="shared" si="29"/>
        <v>2</v>
      </c>
      <c r="F470">
        <f t="shared" si="30"/>
        <v>42</v>
      </c>
      <c r="G470">
        <f t="shared" si="31"/>
        <v>2.7</v>
      </c>
    </row>
    <row r="471" spans="1:7" hidden="1" x14ac:dyDescent="0.25">
      <c r="A471" s="4" t="s">
        <v>41</v>
      </c>
      <c r="B471" s="1">
        <v>0.811751</v>
      </c>
      <c r="C471" s="1">
        <v>0.81549499999999997</v>
      </c>
      <c r="D471" s="1">
        <f t="shared" si="28"/>
        <v>3.7439999999999696E-3</v>
      </c>
      <c r="E471">
        <f t="shared" si="29"/>
        <v>5</v>
      </c>
      <c r="F471">
        <f t="shared" si="30"/>
        <v>23</v>
      </c>
      <c r="G471">
        <f t="shared" si="31"/>
        <v>5.38</v>
      </c>
    </row>
    <row r="472" spans="1:7" hidden="1" x14ac:dyDescent="0.25">
      <c r="A472" s="4" t="s">
        <v>117</v>
      </c>
      <c r="B472" s="1">
        <v>0.57271000000000005</v>
      </c>
      <c r="C472" s="1">
        <v>0.57501000000000002</v>
      </c>
      <c r="D472" s="1">
        <f t="shared" si="28"/>
        <v>2.2999999999999687E-3</v>
      </c>
      <c r="E472">
        <f t="shared" si="29"/>
        <v>3</v>
      </c>
      <c r="F472">
        <f t="shared" si="30"/>
        <v>19</v>
      </c>
      <c r="G472">
        <f t="shared" si="31"/>
        <v>3.32</v>
      </c>
    </row>
    <row r="473" spans="1:7" hidden="1" x14ac:dyDescent="0.25">
      <c r="A473" s="4" t="s">
        <v>162</v>
      </c>
      <c r="B473" s="1">
        <v>0.81777500000000003</v>
      </c>
      <c r="C473" s="1">
        <v>0.81406699999999999</v>
      </c>
      <c r="D473" s="1">
        <f t="shared" si="28"/>
        <v>3.7080000000000446E-3</v>
      </c>
      <c r="E473">
        <f t="shared" si="29"/>
        <v>5</v>
      </c>
      <c r="F473">
        <f t="shared" si="30"/>
        <v>20</v>
      </c>
      <c r="G473">
        <f t="shared" si="31"/>
        <v>5.33</v>
      </c>
    </row>
    <row r="474" spans="1:7" hidden="1" x14ac:dyDescent="0.25">
      <c r="A474" s="4" t="s">
        <v>5</v>
      </c>
      <c r="B474" s="1">
        <v>0.72962700000000003</v>
      </c>
      <c r="C474" s="1">
        <v>0.72729500000000002</v>
      </c>
      <c r="D474" s="1">
        <f t="shared" si="28"/>
        <v>2.3320000000000007E-3</v>
      </c>
      <c r="E474">
        <f t="shared" si="29"/>
        <v>3</v>
      </c>
      <c r="F474">
        <f t="shared" si="30"/>
        <v>21</v>
      </c>
      <c r="G474">
        <f t="shared" si="31"/>
        <v>3.35</v>
      </c>
    </row>
    <row r="475" spans="1:7" hidden="1" x14ac:dyDescent="0.25">
      <c r="A475" s="4" t="s">
        <v>109</v>
      </c>
      <c r="B475" s="1">
        <v>0.20138</v>
      </c>
      <c r="C475" s="1">
        <v>0.197932</v>
      </c>
      <c r="D475" s="1">
        <f t="shared" si="28"/>
        <v>3.4480000000000066E-3</v>
      </c>
      <c r="E475">
        <f t="shared" si="29"/>
        <v>4</v>
      </c>
      <c r="F475">
        <f t="shared" si="30"/>
        <v>58</v>
      </c>
      <c r="G475">
        <f t="shared" si="31"/>
        <v>4.97</v>
      </c>
    </row>
    <row r="476" spans="1:7" hidden="1" x14ac:dyDescent="0.25">
      <c r="A476" s="4" t="s">
        <v>47</v>
      </c>
      <c r="B476" s="1">
        <v>0.30973099999999998</v>
      </c>
      <c r="C476" s="1">
        <v>0.31371900000000003</v>
      </c>
      <c r="D476" s="1">
        <f t="shared" si="28"/>
        <v>3.9880000000000471E-3</v>
      </c>
      <c r="E476">
        <f t="shared" si="29"/>
        <v>5</v>
      </c>
      <c r="F476">
        <f t="shared" si="30"/>
        <v>45</v>
      </c>
      <c r="G476">
        <f t="shared" si="31"/>
        <v>5.75</v>
      </c>
    </row>
    <row r="477" spans="1:7" hidden="1" x14ac:dyDescent="0.25">
      <c r="A477" s="4" t="s">
        <v>41</v>
      </c>
      <c r="B477" s="1">
        <v>0.90852699999999997</v>
      </c>
      <c r="C477" s="1">
        <v>0.90690300000000001</v>
      </c>
      <c r="D477" s="1">
        <f t="shared" si="28"/>
        <v>1.6239999999999588E-3</v>
      </c>
      <c r="E477">
        <f t="shared" si="29"/>
        <v>2</v>
      </c>
      <c r="F477">
        <f t="shared" si="30"/>
        <v>20</v>
      </c>
      <c r="G477">
        <f t="shared" si="31"/>
        <v>2.33</v>
      </c>
    </row>
    <row r="478" spans="1:7" hidden="1" x14ac:dyDescent="0.25">
      <c r="A478" s="4" t="s">
        <v>117</v>
      </c>
      <c r="B478" s="1">
        <v>3.3759999999999998E-2</v>
      </c>
      <c r="C478" s="1">
        <v>3.5316E-2</v>
      </c>
      <c r="D478" s="1">
        <f t="shared" si="28"/>
        <v>1.5560000000000018E-3</v>
      </c>
      <c r="E478">
        <f t="shared" si="29"/>
        <v>2</v>
      </c>
      <c r="F478">
        <f t="shared" si="30"/>
        <v>14</v>
      </c>
      <c r="G478">
        <f t="shared" si="31"/>
        <v>2.23</v>
      </c>
    </row>
    <row r="479" spans="1:7" hidden="1" x14ac:dyDescent="0.25">
      <c r="A479" s="4" t="s">
        <v>162</v>
      </c>
      <c r="B479" s="1">
        <v>0.97303899999999999</v>
      </c>
      <c r="C479" s="1">
        <v>0.97464700000000004</v>
      </c>
      <c r="D479" s="1">
        <f t="shared" si="28"/>
        <v>1.6080000000000538E-3</v>
      </c>
      <c r="E479">
        <f t="shared" si="29"/>
        <v>2</v>
      </c>
      <c r="F479">
        <f t="shared" si="30"/>
        <v>19</v>
      </c>
      <c r="G479">
        <f t="shared" si="31"/>
        <v>2.3199999999999998</v>
      </c>
    </row>
    <row r="480" spans="1:7" hidden="1" x14ac:dyDescent="0.25">
      <c r="A480" s="4" t="s">
        <v>5</v>
      </c>
      <c r="B480" s="1">
        <v>0.14322299999999999</v>
      </c>
      <c r="C480" s="1">
        <v>0.14696300000000001</v>
      </c>
      <c r="D480" s="1">
        <f t="shared" si="28"/>
        <v>3.7400000000000211E-3</v>
      </c>
      <c r="E480">
        <f t="shared" si="29"/>
        <v>5</v>
      </c>
      <c r="F480">
        <f t="shared" si="30"/>
        <v>23</v>
      </c>
      <c r="G480">
        <f t="shared" si="31"/>
        <v>5.38</v>
      </c>
    </row>
    <row r="481" spans="1:7" hidden="1" x14ac:dyDescent="0.25">
      <c r="A481" s="4" t="s">
        <v>109</v>
      </c>
      <c r="B481" s="1">
        <v>0.87870300000000001</v>
      </c>
      <c r="C481" s="1">
        <v>0.87566699999999997</v>
      </c>
      <c r="D481" s="1">
        <f t="shared" si="28"/>
        <v>3.0360000000000387E-3</v>
      </c>
      <c r="E481">
        <f t="shared" si="29"/>
        <v>4</v>
      </c>
      <c r="F481">
        <f t="shared" si="30"/>
        <v>22</v>
      </c>
      <c r="G481">
        <f t="shared" si="31"/>
        <v>4.37</v>
      </c>
    </row>
    <row r="482" spans="1:7" hidden="1" x14ac:dyDescent="0.25">
      <c r="A482" s="4" t="s">
        <v>47</v>
      </c>
      <c r="B482" s="1">
        <v>0.78562500000000002</v>
      </c>
      <c r="C482" s="1">
        <v>0.78268499999999996</v>
      </c>
      <c r="D482" s="1">
        <f t="shared" si="28"/>
        <v>2.9400000000000537E-3</v>
      </c>
      <c r="E482">
        <f t="shared" si="29"/>
        <v>4</v>
      </c>
      <c r="F482">
        <f t="shared" si="30"/>
        <v>14</v>
      </c>
      <c r="G482">
        <f t="shared" si="31"/>
        <v>4.2300000000000004</v>
      </c>
    </row>
    <row r="483" spans="1:7" hidden="1" x14ac:dyDescent="0.25">
      <c r="A483" s="4" t="s">
        <v>41</v>
      </c>
      <c r="B483" s="1">
        <v>0.86237600000000003</v>
      </c>
      <c r="C483" s="1">
        <v>0.86603200000000002</v>
      </c>
      <c r="D483" s="1">
        <f t="shared" si="28"/>
        <v>3.6559999999999926E-3</v>
      </c>
      <c r="E483">
        <f t="shared" si="29"/>
        <v>5</v>
      </c>
      <c r="F483">
        <f t="shared" si="30"/>
        <v>16</v>
      </c>
      <c r="G483">
        <f t="shared" si="31"/>
        <v>5.27</v>
      </c>
    </row>
    <row r="484" spans="1:7" hidden="1" x14ac:dyDescent="0.25">
      <c r="A484" s="4" t="s">
        <v>117</v>
      </c>
      <c r="B484" s="1">
        <v>0.95934200000000003</v>
      </c>
      <c r="C484" s="1">
        <v>0.95758200000000004</v>
      </c>
      <c r="D484" s="1">
        <f t="shared" si="28"/>
        <v>1.7599999999999838E-3</v>
      </c>
      <c r="E484">
        <f t="shared" si="29"/>
        <v>2</v>
      </c>
      <c r="F484">
        <f t="shared" si="30"/>
        <v>32</v>
      </c>
      <c r="G484">
        <f t="shared" si="31"/>
        <v>2.5299999999999998</v>
      </c>
    </row>
    <row r="485" spans="1:7" hidden="1" x14ac:dyDescent="0.25">
      <c r="A485" s="4" t="s">
        <v>162</v>
      </c>
      <c r="B485" s="1">
        <v>0.74316700000000002</v>
      </c>
      <c r="C485" s="1">
        <v>0.74651500000000004</v>
      </c>
      <c r="D485" s="1">
        <f t="shared" si="28"/>
        <v>3.3480000000000176E-3</v>
      </c>
      <c r="E485">
        <f t="shared" si="29"/>
        <v>4</v>
      </c>
      <c r="F485">
        <f t="shared" si="30"/>
        <v>49</v>
      </c>
      <c r="G485">
        <f t="shared" si="31"/>
        <v>4.82</v>
      </c>
    </row>
    <row r="486" spans="1:7" hidden="1" x14ac:dyDescent="0.25">
      <c r="A486" s="4" t="s">
        <v>5</v>
      </c>
      <c r="B486" s="1">
        <v>0.74470000000000003</v>
      </c>
      <c r="C486" s="1">
        <v>0.74815600000000004</v>
      </c>
      <c r="D486" s="1">
        <f t="shared" si="28"/>
        <v>3.4560000000000146E-3</v>
      </c>
      <c r="E486">
        <f t="shared" si="29"/>
        <v>4</v>
      </c>
      <c r="F486">
        <f t="shared" si="30"/>
        <v>59</v>
      </c>
      <c r="G486">
        <f t="shared" si="31"/>
        <v>4.9800000000000004</v>
      </c>
    </row>
    <row r="487" spans="1:7" hidden="1" x14ac:dyDescent="0.25">
      <c r="A487" s="4" t="s">
        <v>109</v>
      </c>
      <c r="B487" s="1">
        <v>0.74424900000000005</v>
      </c>
      <c r="C487" s="1">
        <v>0.74671699999999996</v>
      </c>
      <c r="D487" s="1">
        <f t="shared" si="28"/>
        <v>2.4679999999999147E-3</v>
      </c>
      <c r="E487">
        <f t="shared" si="29"/>
        <v>3</v>
      </c>
      <c r="F487">
        <f t="shared" si="30"/>
        <v>33</v>
      </c>
      <c r="G487">
        <f t="shared" si="31"/>
        <v>3.55</v>
      </c>
    </row>
    <row r="488" spans="1:7" hidden="1" x14ac:dyDescent="0.25">
      <c r="A488" s="4" t="s">
        <v>162</v>
      </c>
      <c r="B488" s="1">
        <v>0.245144</v>
      </c>
      <c r="C488" s="1">
        <v>0.242704</v>
      </c>
      <c r="D488" s="1">
        <f t="shared" si="28"/>
        <v>2.4399999999999977E-3</v>
      </c>
      <c r="E488">
        <f t="shared" si="29"/>
        <v>3</v>
      </c>
      <c r="F488">
        <f t="shared" si="30"/>
        <v>31</v>
      </c>
      <c r="G488">
        <f t="shared" si="31"/>
        <v>3.52</v>
      </c>
    </row>
    <row r="489" spans="1:7" hidden="1" x14ac:dyDescent="0.25">
      <c r="A489" s="4" t="s">
        <v>5</v>
      </c>
      <c r="B489" s="1">
        <v>0.95478200000000002</v>
      </c>
      <c r="C489" s="1">
        <v>0.95157000000000003</v>
      </c>
      <c r="D489" s="1">
        <f t="shared" si="28"/>
        <v>3.2119999999999926E-3</v>
      </c>
      <c r="E489">
        <f t="shared" si="29"/>
        <v>4</v>
      </c>
      <c r="F489">
        <f t="shared" si="30"/>
        <v>38</v>
      </c>
      <c r="G489">
        <f t="shared" si="31"/>
        <v>4.63</v>
      </c>
    </row>
    <row r="490" spans="1:7" hidden="1" x14ac:dyDescent="0.25">
      <c r="A490" s="4" t="s">
        <v>109</v>
      </c>
      <c r="B490" s="1">
        <v>0.19941800000000001</v>
      </c>
      <c r="C490" s="1">
        <v>0.20191799999999999</v>
      </c>
      <c r="D490" s="1">
        <f t="shared" si="28"/>
        <v>2.4999999999999745E-3</v>
      </c>
      <c r="E490">
        <f t="shared" si="29"/>
        <v>3</v>
      </c>
      <c r="F490">
        <f t="shared" si="30"/>
        <v>36</v>
      </c>
      <c r="G490">
        <f t="shared" si="31"/>
        <v>3.6</v>
      </c>
    </row>
    <row r="491" spans="1:7" hidden="1" x14ac:dyDescent="0.25">
      <c r="A491" s="4" t="s">
        <v>162</v>
      </c>
      <c r="B491" s="1">
        <v>0.44693699999999997</v>
      </c>
      <c r="C491" s="1">
        <v>0.44320900000000002</v>
      </c>
      <c r="D491" s="1">
        <f t="shared" si="28"/>
        <v>3.7279999999999536E-3</v>
      </c>
      <c r="E491">
        <f t="shared" si="29"/>
        <v>5</v>
      </c>
      <c r="F491">
        <f t="shared" si="30"/>
        <v>22</v>
      </c>
      <c r="G491">
        <f t="shared" si="31"/>
        <v>5.37</v>
      </c>
    </row>
    <row r="492" spans="1:7" hidden="1" x14ac:dyDescent="0.25">
      <c r="A492" s="4" t="s">
        <v>5</v>
      </c>
      <c r="B492" s="1">
        <v>0.13649500000000001</v>
      </c>
      <c r="C492" s="1">
        <v>0.139319</v>
      </c>
      <c r="D492" s="1">
        <f t="shared" si="28"/>
        <v>2.8239999999999932E-3</v>
      </c>
      <c r="E492">
        <f t="shared" si="29"/>
        <v>4</v>
      </c>
      <c r="F492">
        <f t="shared" si="30"/>
        <v>4</v>
      </c>
      <c r="G492">
        <f t="shared" si="31"/>
        <v>4.07</v>
      </c>
    </row>
    <row r="493" spans="1:7" hidden="1" x14ac:dyDescent="0.25">
      <c r="A493" s="4" t="s">
        <v>109</v>
      </c>
      <c r="B493" s="1">
        <v>0.86325399999999997</v>
      </c>
      <c r="C493" s="1">
        <v>0.86702199999999996</v>
      </c>
      <c r="D493" s="1">
        <f t="shared" si="28"/>
        <v>3.7679999999999936E-3</v>
      </c>
      <c r="E493">
        <f t="shared" si="29"/>
        <v>5</v>
      </c>
      <c r="F493">
        <f t="shared" si="30"/>
        <v>26</v>
      </c>
      <c r="G493">
        <f t="shared" si="31"/>
        <v>5.43</v>
      </c>
    </row>
    <row r="494" spans="1:7" hidden="1" x14ac:dyDescent="0.25">
      <c r="A494" s="4" t="s">
        <v>162</v>
      </c>
      <c r="B494" s="1">
        <v>2.3812E-2</v>
      </c>
      <c r="C494" s="1">
        <v>2.0455999999999998E-2</v>
      </c>
      <c r="D494" s="1">
        <f t="shared" si="28"/>
        <v>3.3560000000000013E-3</v>
      </c>
      <c r="E494">
        <f t="shared" si="29"/>
        <v>4</v>
      </c>
      <c r="F494">
        <f t="shared" si="30"/>
        <v>50</v>
      </c>
      <c r="G494">
        <f t="shared" si="31"/>
        <v>4.83</v>
      </c>
    </row>
    <row r="495" spans="1:7" hidden="1" x14ac:dyDescent="0.25">
      <c r="A495" s="4" t="s">
        <v>5</v>
      </c>
      <c r="B495" s="1">
        <v>0.13581199999999999</v>
      </c>
      <c r="C495" s="1">
        <v>0.13939199999999999</v>
      </c>
      <c r="D495" s="1">
        <f t="shared" si="28"/>
        <v>3.5799999999999998E-3</v>
      </c>
      <c r="E495">
        <f t="shared" si="29"/>
        <v>5</v>
      </c>
      <c r="F495">
        <f t="shared" si="30"/>
        <v>9</v>
      </c>
      <c r="G495">
        <f t="shared" si="31"/>
        <v>5.15</v>
      </c>
    </row>
    <row r="496" spans="1:7" hidden="1" x14ac:dyDescent="0.25">
      <c r="A496" s="4" t="s">
        <v>109</v>
      </c>
      <c r="B496" s="1">
        <v>0.60236199999999995</v>
      </c>
      <c r="C496" s="1">
        <v>0.60606199999999999</v>
      </c>
      <c r="D496" s="1">
        <f t="shared" si="28"/>
        <v>3.7000000000000366E-3</v>
      </c>
      <c r="E496">
        <f t="shared" si="29"/>
        <v>5</v>
      </c>
      <c r="F496">
        <f t="shared" si="30"/>
        <v>20</v>
      </c>
      <c r="G496">
        <f t="shared" si="31"/>
        <v>5.33</v>
      </c>
    </row>
    <row r="497" spans="1:7" hidden="1" x14ac:dyDescent="0.25">
      <c r="A497" s="4" t="s">
        <v>87</v>
      </c>
      <c r="B497" s="1">
        <v>0.74911300000000003</v>
      </c>
      <c r="C497" s="1">
        <v>0.745757</v>
      </c>
      <c r="D497" s="1">
        <f t="shared" si="28"/>
        <v>3.3560000000000256E-3</v>
      </c>
      <c r="E497">
        <f t="shared" si="29"/>
        <v>4</v>
      </c>
      <c r="F497">
        <f t="shared" si="30"/>
        <v>50</v>
      </c>
      <c r="G497">
        <f t="shared" si="31"/>
        <v>4.83</v>
      </c>
    </row>
    <row r="498" spans="1:7" hidden="1" x14ac:dyDescent="0.25">
      <c r="A498" s="4" t="s">
        <v>87</v>
      </c>
      <c r="B498" s="1">
        <v>0.32229000000000002</v>
      </c>
      <c r="C498" s="1">
        <v>0.31961000000000001</v>
      </c>
      <c r="D498" s="1">
        <f t="shared" si="28"/>
        <v>2.6800000000000157E-3</v>
      </c>
      <c r="E498">
        <f t="shared" si="29"/>
        <v>3</v>
      </c>
      <c r="F498">
        <f t="shared" si="30"/>
        <v>52</v>
      </c>
      <c r="G498">
        <f t="shared" si="31"/>
        <v>3.87</v>
      </c>
    </row>
    <row r="499" spans="1:7" hidden="1" x14ac:dyDescent="0.25">
      <c r="A499" s="4" t="s">
        <v>87</v>
      </c>
      <c r="B499" s="1">
        <v>0.25899800000000001</v>
      </c>
      <c r="C499" s="1">
        <v>0.26230599999999998</v>
      </c>
      <c r="D499" s="1">
        <f t="shared" si="28"/>
        <v>3.3079999999999776E-3</v>
      </c>
      <c r="E499">
        <f t="shared" si="29"/>
        <v>4</v>
      </c>
      <c r="F499">
        <f t="shared" si="30"/>
        <v>46</v>
      </c>
      <c r="G499">
        <f t="shared" si="31"/>
        <v>4.7699999999999996</v>
      </c>
    </row>
    <row r="500" spans="1:7" hidden="1" x14ac:dyDescent="0.25">
      <c r="A500" s="4" t="s">
        <v>87</v>
      </c>
      <c r="B500" s="1">
        <v>0.16008700000000001</v>
      </c>
      <c r="C500" s="1">
        <v>0.15717100000000001</v>
      </c>
      <c r="D500" s="1">
        <f t="shared" si="28"/>
        <v>2.9160000000000019E-3</v>
      </c>
      <c r="E500">
        <f t="shared" si="29"/>
        <v>4</v>
      </c>
      <c r="F500">
        <f t="shared" si="30"/>
        <v>12</v>
      </c>
      <c r="G500">
        <f t="shared" si="31"/>
        <v>4.2</v>
      </c>
    </row>
    <row r="501" spans="1:7" hidden="1" x14ac:dyDescent="0.25">
      <c r="A501" s="4" t="s">
        <v>56</v>
      </c>
      <c r="B501" s="1">
        <v>0.34593800000000002</v>
      </c>
      <c r="C501" s="1">
        <v>0.34431400000000001</v>
      </c>
      <c r="D501" s="1">
        <f t="shared" si="28"/>
        <v>1.6240000000000143E-3</v>
      </c>
      <c r="E501">
        <f t="shared" si="29"/>
        <v>2</v>
      </c>
      <c r="F501">
        <f t="shared" si="30"/>
        <v>20</v>
      </c>
      <c r="G501">
        <f t="shared" si="31"/>
        <v>2.33</v>
      </c>
    </row>
    <row r="502" spans="1:7" hidden="1" x14ac:dyDescent="0.25">
      <c r="A502" s="4" t="s">
        <v>132</v>
      </c>
      <c r="B502" s="1">
        <v>4.0057000000000002E-2</v>
      </c>
      <c r="C502" s="1">
        <v>4.1741E-2</v>
      </c>
      <c r="D502" s="1">
        <f t="shared" si="28"/>
        <v>1.683999999999998E-3</v>
      </c>
      <c r="E502">
        <f t="shared" si="29"/>
        <v>2</v>
      </c>
      <c r="F502">
        <f t="shared" si="30"/>
        <v>25</v>
      </c>
      <c r="G502">
        <f t="shared" si="31"/>
        <v>2.42</v>
      </c>
    </row>
    <row r="503" spans="1:7" hidden="1" x14ac:dyDescent="0.25">
      <c r="A503" s="4" t="s">
        <v>18</v>
      </c>
      <c r="B503" s="1">
        <v>1.0023960000000001</v>
      </c>
      <c r="C503" s="1">
        <v>0.99877199999999999</v>
      </c>
      <c r="D503" s="1">
        <f t="shared" si="28"/>
        <v>3.6240000000000716E-3</v>
      </c>
      <c r="E503">
        <f t="shared" si="29"/>
        <v>5</v>
      </c>
      <c r="F503">
        <f t="shared" si="30"/>
        <v>13</v>
      </c>
      <c r="G503">
        <f t="shared" si="31"/>
        <v>5.22</v>
      </c>
    </row>
    <row r="504" spans="1:7" hidden="1" x14ac:dyDescent="0.25">
      <c r="A504" s="4" t="s">
        <v>85</v>
      </c>
      <c r="B504" s="1">
        <v>9.6156000000000005E-2</v>
      </c>
      <c r="C504" s="1">
        <v>9.7767999999999994E-2</v>
      </c>
      <c r="D504" s="1">
        <f t="shared" si="28"/>
        <v>1.6119999999999884E-3</v>
      </c>
      <c r="E504">
        <f t="shared" si="29"/>
        <v>2</v>
      </c>
      <c r="F504">
        <f t="shared" si="30"/>
        <v>19</v>
      </c>
      <c r="G504">
        <f t="shared" si="31"/>
        <v>2.3199999999999998</v>
      </c>
    </row>
    <row r="505" spans="1:7" hidden="1" x14ac:dyDescent="0.25">
      <c r="A505" s="4" t="s">
        <v>112</v>
      </c>
      <c r="B505" s="1">
        <v>0.82941900000000002</v>
      </c>
      <c r="C505" s="1">
        <v>0.82691499999999996</v>
      </c>
      <c r="D505" s="1">
        <f t="shared" si="28"/>
        <v>2.5040000000000617E-3</v>
      </c>
      <c r="E505">
        <f t="shared" si="29"/>
        <v>3</v>
      </c>
      <c r="F505">
        <f t="shared" si="30"/>
        <v>36</v>
      </c>
      <c r="G505">
        <f t="shared" si="31"/>
        <v>3.6</v>
      </c>
    </row>
    <row r="506" spans="1:7" hidden="1" x14ac:dyDescent="0.25">
      <c r="A506" s="4" t="s">
        <v>103</v>
      </c>
      <c r="B506" s="1">
        <v>0.92061899999999997</v>
      </c>
      <c r="C506" s="1">
        <v>0.92293099999999995</v>
      </c>
      <c r="D506" s="1">
        <f t="shared" si="28"/>
        <v>2.3119999999999807E-3</v>
      </c>
      <c r="E506">
        <f t="shared" si="29"/>
        <v>3</v>
      </c>
      <c r="F506">
        <f t="shared" si="30"/>
        <v>20</v>
      </c>
      <c r="G506">
        <f t="shared" si="31"/>
        <v>3.33</v>
      </c>
    </row>
    <row r="507" spans="1:7" hidden="1" x14ac:dyDescent="0.25">
      <c r="A507" s="4" t="s">
        <v>57</v>
      </c>
      <c r="B507" s="1">
        <v>0.66941799999999996</v>
      </c>
      <c r="C507" s="1">
        <v>0.66777399999999998</v>
      </c>
      <c r="D507" s="1">
        <f t="shared" si="28"/>
        <v>1.6439999999999788E-3</v>
      </c>
      <c r="E507">
        <f t="shared" si="29"/>
        <v>2</v>
      </c>
      <c r="F507">
        <f t="shared" si="30"/>
        <v>22</v>
      </c>
      <c r="G507">
        <f t="shared" si="31"/>
        <v>2.37</v>
      </c>
    </row>
    <row r="508" spans="1:7" hidden="1" x14ac:dyDescent="0.25">
      <c r="A508" s="4" t="s">
        <v>3</v>
      </c>
      <c r="B508" s="1">
        <v>0.31244499999999997</v>
      </c>
      <c r="C508" s="1">
        <v>0.31022499999999997</v>
      </c>
      <c r="D508" s="1">
        <f t="shared" si="28"/>
        <v>2.2199999999999998E-3</v>
      </c>
      <c r="E508">
        <f t="shared" si="29"/>
        <v>3</v>
      </c>
      <c r="F508">
        <f t="shared" si="30"/>
        <v>12</v>
      </c>
      <c r="G508">
        <f t="shared" si="31"/>
        <v>3.2</v>
      </c>
    </row>
    <row r="509" spans="1:7" hidden="1" x14ac:dyDescent="0.25">
      <c r="A509" s="4" t="s">
        <v>4</v>
      </c>
      <c r="B509" s="1">
        <v>0.16196199999999999</v>
      </c>
      <c r="C509" s="1">
        <v>0.16370999999999999</v>
      </c>
      <c r="D509" s="1">
        <f t="shared" si="28"/>
        <v>1.7479999999999996E-3</v>
      </c>
      <c r="E509">
        <f t="shared" si="29"/>
        <v>2</v>
      </c>
      <c r="F509">
        <f t="shared" si="30"/>
        <v>31</v>
      </c>
      <c r="G509">
        <f t="shared" si="31"/>
        <v>2.52</v>
      </c>
    </row>
    <row r="510" spans="1:7" hidden="1" x14ac:dyDescent="0.25">
      <c r="A510" s="4" t="s">
        <v>5</v>
      </c>
      <c r="B510" s="1">
        <v>4.0059999999999998E-2</v>
      </c>
      <c r="C510" s="1">
        <v>3.8204000000000002E-2</v>
      </c>
      <c r="D510" s="1">
        <f t="shared" si="28"/>
        <v>1.8559999999999965E-3</v>
      </c>
      <c r="E510">
        <f t="shared" si="29"/>
        <v>2</v>
      </c>
      <c r="F510">
        <f t="shared" si="30"/>
        <v>40</v>
      </c>
      <c r="G510">
        <f t="shared" si="31"/>
        <v>2.67</v>
      </c>
    </row>
    <row r="511" spans="1:7" hidden="1" x14ac:dyDescent="0.25">
      <c r="A511" s="4" t="s">
        <v>6</v>
      </c>
      <c r="B511" s="1">
        <v>0.71089100000000005</v>
      </c>
      <c r="C511" s="1">
        <v>0.71311899999999995</v>
      </c>
      <c r="D511" s="1">
        <f t="shared" si="28"/>
        <v>2.2279999999998967E-3</v>
      </c>
      <c r="E511">
        <f t="shared" si="29"/>
        <v>3</v>
      </c>
      <c r="F511">
        <f t="shared" si="30"/>
        <v>12</v>
      </c>
      <c r="G511">
        <f t="shared" si="31"/>
        <v>3.2</v>
      </c>
    </row>
    <row r="512" spans="1:7" hidden="1" x14ac:dyDescent="0.25">
      <c r="A512" s="4" t="s">
        <v>7</v>
      </c>
      <c r="B512" s="1">
        <v>0.172735</v>
      </c>
      <c r="C512" s="1">
        <v>0.17081499999999999</v>
      </c>
      <c r="D512" s="1">
        <f t="shared" si="28"/>
        <v>1.920000000000005E-3</v>
      </c>
      <c r="E512">
        <f t="shared" si="29"/>
        <v>2</v>
      </c>
      <c r="F512">
        <f t="shared" si="30"/>
        <v>46</v>
      </c>
      <c r="G512">
        <f t="shared" si="31"/>
        <v>2.77</v>
      </c>
    </row>
    <row r="513" spans="1:7" hidden="1" x14ac:dyDescent="0.25">
      <c r="A513" s="4" t="s">
        <v>8</v>
      </c>
      <c r="B513" s="1">
        <v>0.89442100000000002</v>
      </c>
      <c r="C513" s="1">
        <v>0.89109700000000003</v>
      </c>
      <c r="D513" s="1">
        <f t="shared" si="28"/>
        <v>3.3239999999999936E-3</v>
      </c>
      <c r="E513">
        <f t="shared" si="29"/>
        <v>4</v>
      </c>
      <c r="F513">
        <f t="shared" si="30"/>
        <v>47</v>
      </c>
      <c r="G513">
        <f t="shared" si="31"/>
        <v>4.78</v>
      </c>
    </row>
    <row r="514" spans="1:7" hidden="1" x14ac:dyDescent="0.25">
      <c r="A514" s="4" t="s">
        <v>9</v>
      </c>
      <c r="B514" s="1">
        <v>3.9071000000000002E-2</v>
      </c>
      <c r="C514" s="1">
        <v>4.2567000000000001E-2</v>
      </c>
      <c r="D514" s="1">
        <f t="shared" si="28"/>
        <v>3.4959999999999991E-3</v>
      </c>
      <c r="E514">
        <f t="shared" si="29"/>
        <v>5</v>
      </c>
      <c r="F514">
        <f t="shared" si="30"/>
        <v>2</v>
      </c>
      <c r="G514">
        <f t="shared" si="31"/>
        <v>5.03</v>
      </c>
    </row>
    <row r="515" spans="1:7" hidden="1" x14ac:dyDescent="0.25">
      <c r="A515" s="4" t="s">
        <v>10</v>
      </c>
      <c r="B515" s="1">
        <v>3.9606000000000002E-2</v>
      </c>
      <c r="C515" s="1">
        <v>3.7274000000000002E-2</v>
      </c>
      <c r="D515" s="1">
        <f t="shared" ref="D515:D578" si="32">IF(B515&gt;C515,B515-C515,C515-B515)</f>
        <v>2.3320000000000007E-3</v>
      </c>
      <c r="E515">
        <f t="shared" ref="E515:E578" si="33">MINUTE(D515)</f>
        <v>3</v>
      </c>
      <c r="F515">
        <f t="shared" ref="F515:F578" si="34">SECOND(D515)</f>
        <v>21</v>
      </c>
      <c r="G515">
        <f t="shared" ref="G515:G578" si="35">ROUND(E515+F515/60,2)</f>
        <v>3.35</v>
      </c>
    </row>
    <row r="516" spans="1:7" hidden="1" x14ac:dyDescent="0.25">
      <c r="A516" s="4" t="s">
        <v>11</v>
      </c>
      <c r="B516" s="1">
        <v>0.91238200000000003</v>
      </c>
      <c r="C516" s="1">
        <v>0.91429400000000005</v>
      </c>
      <c r="D516" s="1">
        <f t="shared" si="32"/>
        <v>1.9120000000000248E-3</v>
      </c>
      <c r="E516">
        <f t="shared" si="33"/>
        <v>2</v>
      </c>
      <c r="F516">
        <f t="shared" si="34"/>
        <v>45</v>
      </c>
      <c r="G516">
        <f t="shared" si="35"/>
        <v>2.75</v>
      </c>
    </row>
    <row r="517" spans="1:7" hidden="1" x14ac:dyDescent="0.25">
      <c r="A517" s="4" t="s">
        <v>12</v>
      </c>
      <c r="B517" s="1">
        <v>0.43819900000000001</v>
      </c>
      <c r="C517" s="1">
        <v>0.43998700000000002</v>
      </c>
      <c r="D517" s="1">
        <f t="shared" si="32"/>
        <v>1.7880000000000118E-3</v>
      </c>
      <c r="E517">
        <f t="shared" si="33"/>
        <v>2</v>
      </c>
      <c r="F517">
        <f t="shared" si="34"/>
        <v>34</v>
      </c>
      <c r="G517">
        <f t="shared" si="35"/>
        <v>2.57</v>
      </c>
    </row>
    <row r="518" spans="1:7" hidden="1" x14ac:dyDescent="0.25">
      <c r="A518" s="4" t="s">
        <v>13</v>
      </c>
      <c r="B518" s="1">
        <v>0.188942</v>
      </c>
      <c r="C518" s="1">
        <v>0.186422</v>
      </c>
      <c r="D518" s="1">
        <f t="shared" si="32"/>
        <v>2.5199999999999945E-3</v>
      </c>
      <c r="E518">
        <f t="shared" si="33"/>
        <v>3</v>
      </c>
      <c r="F518">
        <f t="shared" si="34"/>
        <v>38</v>
      </c>
      <c r="G518">
        <f t="shared" si="35"/>
        <v>3.63</v>
      </c>
    </row>
    <row r="519" spans="1:7" hidden="1" x14ac:dyDescent="0.25">
      <c r="A519" s="4" t="s">
        <v>14</v>
      </c>
      <c r="B519" s="1">
        <v>0.63127299999999997</v>
      </c>
      <c r="C519" s="1">
        <v>0.63441700000000001</v>
      </c>
      <c r="D519" s="1">
        <f t="shared" si="32"/>
        <v>3.1440000000000357E-3</v>
      </c>
      <c r="E519">
        <f t="shared" si="33"/>
        <v>4</v>
      </c>
      <c r="F519">
        <f t="shared" si="34"/>
        <v>32</v>
      </c>
      <c r="G519">
        <f t="shared" si="35"/>
        <v>4.53</v>
      </c>
    </row>
    <row r="520" spans="1:7" hidden="1" x14ac:dyDescent="0.25">
      <c r="A520" s="4" t="s">
        <v>15</v>
      </c>
      <c r="B520" s="1">
        <v>5.6968999999999999E-2</v>
      </c>
      <c r="C520" s="1">
        <v>5.4597E-2</v>
      </c>
      <c r="D520" s="1">
        <f t="shared" si="32"/>
        <v>2.3719999999999991E-3</v>
      </c>
      <c r="E520">
        <f t="shared" si="33"/>
        <v>3</v>
      </c>
      <c r="F520">
        <f t="shared" si="34"/>
        <v>25</v>
      </c>
      <c r="G520">
        <f t="shared" si="35"/>
        <v>3.42</v>
      </c>
    </row>
    <row r="521" spans="1:7" hidden="1" x14ac:dyDescent="0.25">
      <c r="A521" s="4" t="s">
        <v>16</v>
      </c>
      <c r="B521" s="1">
        <v>0.129272</v>
      </c>
      <c r="C521" s="1">
        <v>0.12600800000000001</v>
      </c>
      <c r="D521" s="1">
        <f t="shared" si="32"/>
        <v>3.2639999999999891E-3</v>
      </c>
      <c r="E521">
        <f t="shared" si="33"/>
        <v>4</v>
      </c>
      <c r="F521">
        <f t="shared" si="34"/>
        <v>42</v>
      </c>
      <c r="G521">
        <f t="shared" si="35"/>
        <v>4.7</v>
      </c>
    </row>
    <row r="522" spans="1:7" hidden="1" x14ac:dyDescent="0.25">
      <c r="A522" s="4" t="s">
        <v>17</v>
      </c>
      <c r="B522" s="1">
        <v>9.0898999999999994E-2</v>
      </c>
      <c r="C522" s="1">
        <v>9.3718999999999997E-2</v>
      </c>
      <c r="D522" s="1">
        <f t="shared" si="32"/>
        <v>2.8200000000000031E-3</v>
      </c>
      <c r="E522">
        <f t="shared" si="33"/>
        <v>4</v>
      </c>
      <c r="F522">
        <f t="shared" si="34"/>
        <v>4</v>
      </c>
      <c r="G522">
        <f t="shared" si="35"/>
        <v>4.07</v>
      </c>
    </row>
    <row r="523" spans="1:7" hidden="1" x14ac:dyDescent="0.25">
      <c r="A523" s="4" t="s">
        <v>18</v>
      </c>
      <c r="B523" s="1">
        <v>0.77679200000000004</v>
      </c>
      <c r="C523" s="1">
        <v>0.77528799999999998</v>
      </c>
      <c r="D523" s="1">
        <f t="shared" si="32"/>
        <v>1.5040000000000608E-3</v>
      </c>
      <c r="E523">
        <f t="shared" si="33"/>
        <v>2</v>
      </c>
      <c r="F523">
        <f t="shared" si="34"/>
        <v>10</v>
      </c>
      <c r="G523">
        <f t="shared" si="35"/>
        <v>2.17</v>
      </c>
    </row>
    <row r="524" spans="1:7" hidden="1" x14ac:dyDescent="0.25">
      <c r="A524" s="4" t="s">
        <v>19</v>
      </c>
      <c r="B524" s="1">
        <v>0.94621999999999995</v>
      </c>
      <c r="C524" s="1">
        <v>0.948376</v>
      </c>
      <c r="D524" s="1">
        <f t="shared" si="32"/>
        <v>2.1560000000000468E-3</v>
      </c>
      <c r="E524">
        <f t="shared" si="33"/>
        <v>3</v>
      </c>
      <c r="F524">
        <f t="shared" si="34"/>
        <v>6</v>
      </c>
      <c r="G524">
        <f t="shared" si="35"/>
        <v>3.1</v>
      </c>
    </row>
    <row r="525" spans="1:7" hidden="1" x14ac:dyDescent="0.25">
      <c r="A525" s="4" t="s">
        <v>20</v>
      </c>
      <c r="B525" s="1">
        <v>0.262909</v>
      </c>
      <c r="C525" s="1">
        <v>0.26447300000000001</v>
      </c>
      <c r="D525" s="1">
        <f t="shared" si="32"/>
        <v>1.5640000000000098E-3</v>
      </c>
      <c r="E525">
        <f t="shared" si="33"/>
        <v>2</v>
      </c>
      <c r="F525">
        <f t="shared" si="34"/>
        <v>15</v>
      </c>
      <c r="G525">
        <f t="shared" si="35"/>
        <v>2.25</v>
      </c>
    </row>
    <row r="526" spans="1:7" hidden="1" x14ac:dyDescent="0.25">
      <c r="A526" s="4" t="s">
        <v>21</v>
      </c>
      <c r="B526" s="1">
        <v>0.99788299999999996</v>
      </c>
      <c r="C526" s="1">
        <v>0.99948300000000001</v>
      </c>
      <c r="D526" s="1">
        <f t="shared" si="32"/>
        <v>1.6000000000000458E-3</v>
      </c>
      <c r="E526">
        <f t="shared" si="33"/>
        <v>2</v>
      </c>
      <c r="F526">
        <f t="shared" si="34"/>
        <v>18</v>
      </c>
      <c r="G526">
        <f t="shared" si="35"/>
        <v>2.2999999999999998</v>
      </c>
    </row>
    <row r="527" spans="1:7" hidden="1" x14ac:dyDescent="0.25">
      <c r="A527" s="4" t="s">
        <v>22</v>
      </c>
      <c r="B527" s="1">
        <v>0.96167100000000005</v>
      </c>
      <c r="C527" s="1">
        <v>0.95925099999999996</v>
      </c>
      <c r="D527" s="1">
        <f t="shared" si="32"/>
        <v>2.4200000000000887E-3</v>
      </c>
      <c r="E527">
        <f t="shared" si="33"/>
        <v>3</v>
      </c>
      <c r="F527">
        <f t="shared" si="34"/>
        <v>29</v>
      </c>
      <c r="G527">
        <f t="shared" si="35"/>
        <v>3.48</v>
      </c>
    </row>
    <row r="528" spans="1:7" hidden="1" x14ac:dyDescent="0.25">
      <c r="A528" s="4" t="s">
        <v>23</v>
      </c>
      <c r="B528" s="1">
        <v>0.50349999999999995</v>
      </c>
      <c r="C528" s="1">
        <v>0.50675999999999999</v>
      </c>
      <c r="D528" s="1">
        <f t="shared" si="32"/>
        <v>3.2600000000000406E-3</v>
      </c>
      <c r="E528">
        <f t="shared" si="33"/>
        <v>4</v>
      </c>
      <c r="F528">
        <f t="shared" si="34"/>
        <v>42</v>
      </c>
      <c r="G528">
        <f t="shared" si="35"/>
        <v>4.7</v>
      </c>
    </row>
    <row r="529" spans="1:7" hidden="1" x14ac:dyDescent="0.25">
      <c r="A529" s="4" t="s">
        <v>24</v>
      </c>
      <c r="B529" s="1">
        <v>0.355049</v>
      </c>
      <c r="C529" s="1">
        <v>0.358705</v>
      </c>
      <c r="D529" s="1">
        <f t="shared" si="32"/>
        <v>3.6559999999999926E-3</v>
      </c>
      <c r="E529">
        <f t="shared" si="33"/>
        <v>5</v>
      </c>
      <c r="F529">
        <f t="shared" si="34"/>
        <v>16</v>
      </c>
      <c r="G529">
        <f t="shared" si="35"/>
        <v>5.27</v>
      </c>
    </row>
    <row r="530" spans="1:7" hidden="1" x14ac:dyDescent="0.25">
      <c r="A530" s="4" t="s">
        <v>25</v>
      </c>
      <c r="B530" s="1">
        <v>0.93257800000000002</v>
      </c>
      <c r="C530" s="1">
        <v>0.92980200000000002</v>
      </c>
      <c r="D530" s="1">
        <f t="shared" si="32"/>
        <v>2.7760000000000007E-3</v>
      </c>
      <c r="E530">
        <f t="shared" si="33"/>
        <v>4</v>
      </c>
      <c r="F530">
        <f t="shared" si="34"/>
        <v>0</v>
      </c>
      <c r="G530">
        <f t="shared" si="35"/>
        <v>4</v>
      </c>
    </row>
    <row r="531" spans="1:7" hidden="1" x14ac:dyDescent="0.25">
      <c r="A531" s="4" t="s">
        <v>26</v>
      </c>
      <c r="B531" s="1">
        <v>0.34465099999999999</v>
      </c>
      <c r="C531" s="1">
        <v>0.347607</v>
      </c>
      <c r="D531" s="1">
        <f t="shared" si="32"/>
        <v>2.9560000000000142E-3</v>
      </c>
      <c r="E531">
        <f t="shared" si="33"/>
        <v>4</v>
      </c>
      <c r="F531">
        <f t="shared" si="34"/>
        <v>15</v>
      </c>
      <c r="G531">
        <f t="shared" si="35"/>
        <v>4.25</v>
      </c>
    </row>
    <row r="532" spans="1:7" hidden="1" x14ac:dyDescent="0.25">
      <c r="A532" s="4" t="s">
        <v>27</v>
      </c>
      <c r="B532" s="1">
        <v>0.16414500000000001</v>
      </c>
      <c r="C532" s="1">
        <v>0.16232099999999999</v>
      </c>
      <c r="D532" s="1">
        <f t="shared" si="32"/>
        <v>1.82400000000002E-3</v>
      </c>
      <c r="E532">
        <f t="shared" si="33"/>
        <v>2</v>
      </c>
      <c r="F532">
        <f t="shared" si="34"/>
        <v>38</v>
      </c>
      <c r="G532">
        <f t="shared" si="35"/>
        <v>2.63</v>
      </c>
    </row>
    <row r="533" spans="1:7" hidden="1" x14ac:dyDescent="0.25">
      <c r="A533" s="4" t="s">
        <v>28</v>
      </c>
      <c r="B533" s="1">
        <v>0.52204899999999999</v>
      </c>
      <c r="C533" s="1">
        <v>0.52420900000000004</v>
      </c>
      <c r="D533" s="1">
        <f t="shared" si="32"/>
        <v>2.1600000000000508E-3</v>
      </c>
      <c r="E533">
        <f t="shared" si="33"/>
        <v>3</v>
      </c>
      <c r="F533">
        <f t="shared" si="34"/>
        <v>7</v>
      </c>
      <c r="G533">
        <f t="shared" si="35"/>
        <v>3.12</v>
      </c>
    </row>
    <row r="534" spans="1:7" hidden="1" x14ac:dyDescent="0.25">
      <c r="A534" s="4" t="s">
        <v>29</v>
      </c>
      <c r="B534" s="1">
        <v>0.39477299999999999</v>
      </c>
      <c r="C534" s="1">
        <v>0.39140900000000001</v>
      </c>
      <c r="D534" s="1">
        <f t="shared" si="32"/>
        <v>3.3639999999999781E-3</v>
      </c>
      <c r="E534">
        <f t="shared" si="33"/>
        <v>4</v>
      </c>
      <c r="F534">
        <f t="shared" si="34"/>
        <v>51</v>
      </c>
      <c r="G534">
        <f t="shared" si="35"/>
        <v>4.8499999999999996</v>
      </c>
    </row>
    <row r="535" spans="1:7" hidden="1" x14ac:dyDescent="0.25">
      <c r="A535" s="4" t="s">
        <v>30</v>
      </c>
      <c r="B535" s="1">
        <v>0.13069600000000001</v>
      </c>
      <c r="C535" s="1">
        <v>0.134684</v>
      </c>
      <c r="D535" s="1">
        <f t="shared" si="32"/>
        <v>3.9879999999999916E-3</v>
      </c>
      <c r="E535">
        <f t="shared" si="33"/>
        <v>5</v>
      </c>
      <c r="F535">
        <f t="shared" si="34"/>
        <v>45</v>
      </c>
      <c r="G535">
        <f t="shared" si="35"/>
        <v>5.75</v>
      </c>
    </row>
    <row r="536" spans="1:7" hidden="1" x14ac:dyDescent="0.25">
      <c r="A536" s="4" t="s">
        <v>31</v>
      </c>
      <c r="B536" s="1">
        <v>0.108847</v>
      </c>
      <c r="C536" s="1">
        <v>0.105555</v>
      </c>
      <c r="D536" s="1">
        <f t="shared" si="32"/>
        <v>3.2920000000000033E-3</v>
      </c>
      <c r="E536">
        <f t="shared" si="33"/>
        <v>4</v>
      </c>
      <c r="F536">
        <f t="shared" si="34"/>
        <v>44</v>
      </c>
      <c r="G536">
        <f t="shared" si="35"/>
        <v>4.7300000000000004</v>
      </c>
    </row>
    <row r="537" spans="1:7" hidden="1" x14ac:dyDescent="0.25">
      <c r="A537" s="4" t="s">
        <v>32</v>
      </c>
      <c r="B537" s="1">
        <v>0.62104000000000004</v>
      </c>
      <c r="C537" s="1">
        <v>0.62345200000000001</v>
      </c>
      <c r="D537" s="1">
        <f t="shared" si="32"/>
        <v>2.4119999999999697E-3</v>
      </c>
      <c r="E537">
        <f t="shared" si="33"/>
        <v>3</v>
      </c>
      <c r="F537">
        <f t="shared" si="34"/>
        <v>28</v>
      </c>
      <c r="G537">
        <f t="shared" si="35"/>
        <v>3.47</v>
      </c>
    </row>
    <row r="538" spans="1:7" hidden="1" x14ac:dyDescent="0.25">
      <c r="A538" s="4" t="s">
        <v>33</v>
      </c>
      <c r="B538" s="1">
        <v>0.915269</v>
      </c>
      <c r="C538" s="1">
        <v>0.91838500000000001</v>
      </c>
      <c r="D538" s="1">
        <f t="shared" si="32"/>
        <v>3.1160000000000077E-3</v>
      </c>
      <c r="E538">
        <f t="shared" si="33"/>
        <v>4</v>
      </c>
      <c r="F538">
        <f t="shared" si="34"/>
        <v>29</v>
      </c>
      <c r="G538">
        <f t="shared" si="35"/>
        <v>4.4800000000000004</v>
      </c>
    </row>
    <row r="539" spans="1:7" x14ac:dyDescent="0.25">
      <c r="A539" s="7" t="s">
        <v>174</v>
      </c>
      <c r="B539" s="1">
        <v>0.39857500000000001</v>
      </c>
      <c r="C539" s="1">
        <v>0.40067900000000001</v>
      </c>
      <c r="D539" s="1">
        <f t="shared" si="32"/>
        <v>2.1039999999999948E-3</v>
      </c>
      <c r="E539">
        <f t="shared" si="33"/>
        <v>3</v>
      </c>
      <c r="F539">
        <f t="shared" si="34"/>
        <v>2</v>
      </c>
      <c r="G539" s="2">
        <f t="shared" si="35"/>
        <v>3.03</v>
      </c>
    </row>
    <row r="540" spans="1:7" hidden="1" x14ac:dyDescent="0.25">
      <c r="A540" s="4" t="s">
        <v>428</v>
      </c>
      <c r="B540" s="1">
        <v>0.67204299999999995</v>
      </c>
      <c r="C540" s="1">
        <v>0.67345100000000002</v>
      </c>
      <c r="D540" s="1">
        <f t="shared" si="32"/>
        <v>1.4080000000000759E-3</v>
      </c>
      <c r="E540">
        <f t="shared" si="33"/>
        <v>2</v>
      </c>
      <c r="F540">
        <f t="shared" si="34"/>
        <v>2</v>
      </c>
      <c r="G540">
        <f t="shared" si="35"/>
        <v>2.0299999999999998</v>
      </c>
    </row>
    <row r="541" spans="1:7" hidden="1" x14ac:dyDescent="0.25">
      <c r="A541" s="4" t="s">
        <v>35</v>
      </c>
      <c r="B541" s="1">
        <v>3.5965999999999998E-2</v>
      </c>
      <c r="C541" s="1">
        <v>3.7982000000000002E-2</v>
      </c>
      <c r="D541" s="1">
        <f t="shared" si="32"/>
        <v>2.0160000000000039E-3</v>
      </c>
      <c r="E541">
        <f t="shared" si="33"/>
        <v>2</v>
      </c>
      <c r="F541">
        <f t="shared" si="34"/>
        <v>54</v>
      </c>
      <c r="G541">
        <f t="shared" si="35"/>
        <v>2.9</v>
      </c>
    </row>
    <row r="542" spans="1:7" hidden="1" x14ac:dyDescent="0.25">
      <c r="A542" s="4" t="s">
        <v>36</v>
      </c>
      <c r="B542" s="1">
        <v>0.514571</v>
      </c>
      <c r="C542" s="1">
        <v>0.51262700000000005</v>
      </c>
      <c r="D542" s="1">
        <f t="shared" si="32"/>
        <v>1.9439999999999458E-3</v>
      </c>
      <c r="E542">
        <f t="shared" si="33"/>
        <v>2</v>
      </c>
      <c r="F542">
        <f t="shared" si="34"/>
        <v>48</v>
      </c>
      <c r="G542">
        <f t="shared" si="35"/>
        <v>2.8</v>
      </c>
    </row>
    <row r="543" spans="1:7" hidden="1" x14ac:dyDescent="0.25">
      <c r="A543" s="4" t="s">
        <v>37</v>
      </c>
      <c r="B543" s="1">
        <v>0.923041</v>
      </c>
      <c r="C543" s="1">
        <v>0.92067699999999997</v>
      </c>
      <c r="D543" s="1">
        <f t="shared" si="32"/>
        <v>2.3640000000000327E-3</v>
      </c>
      <c r="E543">
        <f t="shared" si="33"/>
        <v>3</v>
      </c>
      <c r="F543">
        <f t="shared" si="34"/>
        <v>24</v>
      </c>
      <c r="G543">
        <f t="shared" si="35"/>
        <v>3.4</v>
      </c>
    </row>
    <row r="544" spans="1:7" hidden="1" x14ac:dyDescent="0.25">
      <c r="A544" s="4" t="s">
        <v>38</v>
      </c>
      <c r="B544" s="1">
        <v>0.14195199999999999</v>
      </c>
      <c r="C544" s="1">
        <v>0.13925599999999999</v>
      </c>
      <c r="D544" s="1">
        <f t="shared" si="32"/>
        <v>2.6960000000000039E-3</v>
      </c>
      <c r="E544">
        <f t="shared" si="33"/>
        <v>3</v>
      </c>
      <c r="F544">
        <f t="shared" si="34"/>
        <v>53</v>
      </c>
      <c r="G544">
        <f t="shared" si="35"/>
        <v>3.88</v>
      </c>
    </row>
    <row r="545" spans="1:7" x14ac:dyDescent="0.25">
      <c r="A545" s="7" t="s">
        <v>175</v>
      </c>
      <c r="B545" s="1">
        <v>0.832403</v>
      </c>
      <c r="C545" s="1">
        <v>0.83075900000000003</v>
      </c>
      <c r="D545" s="1">
        <f t="shared" si="32"/>
        <v>1.6439999999999788E-3</v>
      </c>
      <c r="E545">
        <f t="shared" si="33"/>
        <v>2</v>
      </c>
      <c r="F545">
        <f t="shared" si="34"/>
        <v>22</v>
      </c>
      <c r="G545" s="2">
        <f t="shared" si="35"/>
        <v>2.37</v>
      </c>
    </row>
    <row r="546" spans="1:7" hidden="1" x14ac:dyDescent="0.25">
      <c r="A546" s="4" t="s">
        <v>40</v>
      </c>
      <c r="B546" s="1">
        <v>0.67679900000000004</v>
      </c>
      <c r="C546" s="1">
        <v>0.67894299999999996</v>
      </c>
      <c r="D546" s="1">
        <f t="shared" si="32"/>
        <v>2.1439999999999237E-3</v>
      </c>
      <c r="E546">
        <f t="shared" si="33"/>
        <v>3</v>
      </c>
      <c r="F546">
        <f t="shared" si="34"/>
        <v>5</v>
      </c>
      <c r="G546">
        <f t="shared" si="35"/>
        <v>3.08</v>
      </c>
    </row>
    <row r="547" spans="1:7" hidden="1" x14ac:dyDescent="0.25">
      <c r="A547" s="4" t="s">
        <v>41</v>
      </c>
      <c r="B547" s="1">
        <v>0.33540799999999998</v>
      </c>
      <c r="C547" s="1">
        <v>0.33905200000000002</v>
      </c>
      <c r="D547" s="1">
        <f t="shared" si="32"/>
        <v>3.6440000000000361E-3</v>
      </c>
      <c r="E547">
        <f t="shared" si="33"/>
        <v>5</v>
      </c>
      <c r="F547">
        <f t="shared" si="34"/>
        <v>15</v>
      </c>
      <c r="G547">
        <f t="shared" si="35"/>
        <v>5.25</v>
      </c>
    </row>
    <row r="548" spans="1:7" x14ac:dyDescent="0.25">
      <c r="A548" s="7" t="s">
        <v>176</v>
      </c>
      <c r="B548" s="1">
        <v>0.71115899999999999</v>
      </c>
      <c r="C548" s="1">
        <v>0.70776300000000003</v>
      </c>
      <c r="D548" s="1">
        <f t="shared" si="32"/>
        <v>3.3959999999999546E-3</v>
      </c>
      <c r="E548">
        <f t="shared" si="33"/>
        <v>4</v>
      </c>
      <c r="F548">
        <f t="shared" si="34"/>
        <v>53</v>
      </c>
      <c r="G548" s="2">
        <f t="shared" si="35"/>
        <v>4.88</v>
      </c>
    </row>
    <row r="549" spans="1:7" hidden="1" x14ac:dyDescent="0.25">
      <c r="A549" s="4" t="s">
        <v>43</v>
      </c>
      <c r="B549" s="1">
        <v>0.71188700000000005</v>
      </c>
      <c r="C549" s="1">
        <v>0.715611</v>
      </c>
      <c r="D549" s="1">
        <f t="shared" si="32"/>
        <v>3.7239999999999496E-3</v>
      </c>
      <c r="E549">
        <f t="shared" si="33"/>
        <v>5</v>
      </c>
      <c r="F549">
        <f t="shared" si="34"/>
        <v>22</v>
      </c>
      <c r="G549">
        <f t="shared" si="35"/>
        <v>5.37</v>
      </c>
    </row>
    <row r="550" spans="1:7" hidden="1" x14ac:dyDescent="0.25">
      <c r="A550" s="4" t="s">
        <v>44</v>
      </c>
      <c r="B550" s="1">
        <v>0.40304299999999998</v>
      </c>
      <c r="C550" s="1">
        <v>0.399339</v>
      </c>
      <c r="D550" s="1">
        <f t="shared" si="32"/>
        <v>3.7039999999999851E-3</v>
      </c>
      <c r="E550">
        <f t="shared" si="33"/>
        <v>5</v>
      </c>
      <c r="F550">
        <f t="shared" si="34"/>
        <v>20</v>
      </c>
      <c r="G550">
        <f t="shared" si="35"/>
        <v>5.33</v>
      </c>
    </row>
    <row r="551" spans="1:7" hidden="1" x14ac:dyDescent="0.25">
      <c r="A551" s="4" t="s">
        <v>45</v>
      </c>
      <c r="B551" s="1">
        <v>0.90539000000000003</v>
      </c>
      <c r="C551" s="1">
        <v>0.90761800000000004</v>
      </c>
      <c r="D551" s="1">
        <f t="shared" si="32"/>
        <v>2.2280000000000078E-3</v>
      </c>
      <c r="E551">
        <f t="shared" si="33"/>
        <v>3</v>
      </c>
      <c r="F551">
        <f t="shared" si="34"/>
        <v>12</v>
      </c>
      <c r="G551">
        <f t="shared" si="35"/>
        <v>3.2</v>
      </c>
    </row>
    <row r="552" spans="1:7" hidden="1" x14ac:dyDescent="0.25">
      <c r="A552" s="4" t="s">
        <v>46</v>
      </c>
      <c r="B552" s="1">
        <v>0.23264499999999999</v>
      </c>
      <c r="C552" s="1">
        <v>0.235897</v>
      </c>
      <c r="D552" s="1">
        <f t="shared" si="32"/>
        <v>3.2520000000000049E-3</v>
      </c>
      <c r="E552">
        <f t="shared" si="33"/>
        <v>4</v>
      </c>
      <c r="F552">
        <f t="shared" si="34"/>
        <v>41</v>
      </c>
      <c r="G552">
        <f t="shared" si="35"/>
        <v>4.68</v>
      </c>
    </row>
    <row r="553" spans="1:7" hidden="1" x14ac:dyDescent="0.25">
      <c r="A553" s="4" t="s">
        <v>47</v>
      </c>
      <c r="B553" s="1">
        <v>0.23163800000000001</v>
      </c>
      <c r="C553" s="1">
        <v>0.23316999999999999</v>
      </c>
      <c r="D553" s="1">
        <f t="shared" si="32"/>
        <v>1.5319999999999778E-3</v>
      </c>
      <c r="E553">
        <f t="shared" si="33"/>
        <v>2</v>
      </c>
      <c r="F553">
        <f t="shared" si="34"/>
        <v>12</v>
      </c>
      <c r="G553">
        <f t="shared" si="35"/>
        <v>2.2000000000000002</v>
      </c>
    </row>
    <row r="554" spans="1:7" hidden="1" x14ac:dyDescent="0.25">
      <c r="A554" s="4" t="s">
        <v>48</v>
      </c>
      <c r="B554" s="1">
        <v>0.53415599999999996</v>
      </c>
      <c r="C554" s="1">
        <v>0.53560399999999997</v>
      </c>
      <c r="D554" s="1">
        <f t="shared" si="32"/>
        <v>1.4480000000000048E-3</v>
      </c>
      <c r="E554">
        <f t="shared" si="33"/>
        <v>2</v>
      </c>
      <c r="F554">
        <f t="shared" si="34"/>
        <v>5</v>
      </c>
      <c r="G554">
        <f t="shared" si="35"/>
        <v>2.08</v>
      </c>
    </row>
    <row r="555" spans="1:7" hidden="1" x14ac:dyDescent="0.25">
      <c r="A555" s="4" t="s">
        <v>49</v>
      </c>
      <c r="B555" s="1">
        <v>0.76181600000000005</v>
      </c>
      <c r="C555" s="1">
        <v>0.75960799999999995</v>
      </c>
      <c r="D555" s="1">
        <f t="shared" si="32"/>
        <v>2.2080000000000988E-3</v>
      </c>
      <c r="E555">
        <f t="shared" si="33"/>
        <v>3</v>
      </c>
      <c r="F555">
        <f t="shared" si="34"/>
        <v>11</v>
      </c>
      <c r="G555">
        <f t="shared" si="35"/>
        <v>3.18</v>
      </c>
    </row>
    <row r="556" spans="1:7" hidden="1" x14ac:dyDescent="0.25">
      <c r="A556" s="4" t="s">
        <v>50</v>
      </c>
      <c r="B556" s="1">
        <v>0.14851200000000001</v>
      </c>
      <c r="C556" s="1">
        <v>0.14644799999999999</v>
      </c>
      <c r="D556" s="1">
        <f t="shared" si="32"/>
        <v>2.0640000000000103E-3</v>
      </c>
      <c r="E556">
        <f t="shared" si="33"/>
        <v>2</v>
      </c>
      <c r="F556">
        <f t="shared" si="34"/>
        <v>58</v>
      </c>
      <c r="G556">
        <f t="shared" si="35"/>
        <v>2.97</v>
      </c>
    </row>
    <row r="557" spans="1:7" hidden="1" x14ac:dyDescent="0.25">
      <c r="A557" s="4" t="s">
        <v>51</v>
      </c>
      <c r="B557" s="1">
        <v>0.231432</v>
      </c>
      <c r="C557" s="1">
        <v>0.22759199999999999</v>
      </c>
      <c r="D557" s="1">
        <f t="shared" si="32"/>
        <v>3.8400000000000101E-3</v>
      </c>
      <c r="E557">
        <f t="shared" si="33"/>
        <v>5</v>
      </c>
      <c r="F557">
        <f t="shared" si="34"/>
        <v>32</v>
      </c>
      <c r="G557">
        <f t="shared" si="35"/>
        <v>5.53</v>
      </c>
    </row>
    <row r="558" spans="1:7" hidden="1" x14ac:dyDescent="0.25">
      <c r="A558" s="4" t="s">
        <v>52</v>
      </c>
      <c r="B558" s="1">
        <v>0.86003499999999999</v>
      </c>
      <c r="C558" s="1">
        <v>0.85779499999999997</v>
      </c>
      <c r="D558" s="1">
        <f t="shared" si="32"/>
        <v>2.2400000000000198E-3</v>
      </c>
      <c r="E558">
        <f t="shared" si="33"/>
        <v>3</v>
      </c>
      <c r="F558">
        <f t="shared" si="34"/>
        <v>14</v>
      </c>
      <c r="G558">
        <f t="shared" si="35"/>
        <v>3.23</v>
      </c>
    </row>
    <row r="559" spans="1:7" hidden="1" x14ac:dyDescent="0.25">
      <c r="A559" s="4" t="s">
        <v>53</v>
      </c>
      <c r="B559" s="1">
        <v>0.57415799999999995</v>
      </c>
      <c r="C559" s="1">
        <v>0.57219399999999998</v>
      </c>
      <c r="D559" s="1">
        <f t="shared" si="32"/>
        <v>1.9639999999999658E-3</v>
      </c>
      <c r="E559">
        <f t="shared" si="33"/>
        <v>2</v>
      </c>
      <c r="F559">
        <f t="shared" si="34"/>
        <v>50</v>
      </c>
      <c r="G559">
        <f t="shared" si="35"/>
        <v>2.83</v>
      </c>
    </row>
    <row r="560" spans="1:7" hidden="1" x14ac:dyDescent="0.25">
      <c r="A560" s="4" t="s">
        <v>54</v>
      </c>
      <c r="B560" s="1">
        <v>0.10882</v>
      </c>
      <c r="C560" s="1">
        <v>0.104932</v>
      </c>
      <c r="D560" s="1">
        <f t="shared" si="32"/>
        <v>3.8880000000000026E-3</v>
      </c>
      <c r="E560">
        <f t="shared" si="33"/>
        <v>5</v>
      </c>
      <c r="F560">
        <f t="shared" si="34"/>
        <v>36</v>
      </c>
      <c r="G560">
        <f t="shared" si="35"/>
        <v>5.6</v>
      </c>
    </row>
    <row r="561" spans="1:7" hidden="1" x14ac:dyDescent="0.25">
      <c r="A561" s="4" t="s">
        <v>55</v>
      </c>
      <c r="B561" s="1">
        <v>0.72411499999999995</v>
      </c>
      <c r="C561" s="1">
        <v>0.72764300000000004</v>
      </c>
      <c r="D561" s="1">
        <f t="shared" si="32"/>
        <v>3.5280000000000866E-3</v>
      </c>
      <c r="E561">
        <f t="shared" si="33"/>
        <v>5</v>
      </c>
      <c r="F561">
        <f t="shared" si="34"/>
        <v>5</v>
      </c>
      <c r="G561">
        <f t="shared" si="35"/>
        <v>5.08</v>
      </c>
    </row>
    <row r="562" spans="1:7" hidden="1" x14ac:dyDescent="0.25">
      <c r="A562" s="4" t="s">
        <v>56</v>
      </c>
      <c r="B562" s="1">
        <v>0.45928099999999999</v>
      </c>
      <c r="C562" s="1">
        <v>0.45549299999999998</v>
      </c>
      <c r="D562" s="1">
        <f t="shared" si="32"/>
        <v>3.7880000000000136E-3</v>
      </c>
      <c r="E562">
        <f t="shared" si="33"/>
        <v>5</v>
      </c>
      <c r="F562">
        <f t="shared" si="34"/>
        <v>27</v>
      </c>
      <c r="G562">
        <f t="shared" si="35"/>
        <v>5.45</v>
      </c>
    </row>
    <row r="563" spans="1:7" hidden="1" x14ac:dyDescent="0.25">
      <c r="A563" s="4" t="s">
        <v>57</v>
      </c>
      <c r="B563" s="1">
        <v>0.99172199999999999</v>
      </c>
      <c r="C563" s="1">
        <v>0.99490199999999995</v>
      </c>
      <c r="D563" s="1">
        <f t="shared" si="32"/>
        <v>3.1799999999999606E-3</v>
      </c>
      <c r="E563">
        <f t="shared" si="33"/>
        <v>4</v>
      </c>
      <c r="F563">
        <f t="shared" si="34"/>
        <v>35</v>
      </c>
      <c r="G563">
        <f t="shared" si="35"/>
        <v>4.58</v>
      </c>
    </row>
    <row r="564" spans="1:7" hidden="1" x14ac:dyDescent="0.25">
      <c r="A564" s="4" t="s">
        <v>58</v>
      </c>
      <c r="B564" s="1">
        <v>0.90173300000000001</v>
      </c>
      <c r="C564" s="1">
        <v>0.905613</v>
      </c>
      <c r="D564" s="1">
        <f t="shared" si="32"/>
        <v>3.8799999999999946E-3</v>
      </c>
      <c r="E564">
        <f t="shared" si="33"/>
        <v>5</v>
      </c>
      <c r="F564">
        <f t="shared" si="34"/>
        <v>35</v>
      </c>
      <c r="G564">
        <f t="shared" si="35"/>
        <v>5.58</v>
      </c>
    </row>
    <row r="565" spans="1:7" hidden="1" x14ac:dyDescent="0.25">
      <c r="A565" s="4" t="s">
        <v>59</v>
      </c>
      <c r="B565" s="1">
        <v>0.99075100000000005</v>
      </c>
      <c r="C565" s="1">
        <v>0.98880699999999999</v>
      </c>
      <c r="D565" s="1">
        <f t="shared" si="32"/>
        <v>1.9440000000000568E-3</v>
      </c>
      <c r="E565">
        <f t="shared" si="33"/>
        <v>2</v>
      </c>
      <c r="F565">
        <f t="shared" si="34"/>
        <v>48</v>
      </c>
      <c r="G565">
        <f t="shared" si="35"/>
        <v>2.8</v>
      </c>
    </row>
    <row r="566" spans="1:7" hidden="1" x14ac:dyDescent="0.25">
      <c r="A566" s="4" t="s">
        <v>60</v>
      </c>
      <c r="B566" s="1">
        <v>0.71294500000000005</v>
      </c>
      <c r="C566" s="1">
        <v>0.716229</v>
      </c>
      <c r="D566" s="1">
        <f t="shared" si="32"/>
        <v>3.2839999999999536E-3</v>
      </c>
      <c r="E566">
        <f t="shared" si="33"/>
        <v>4</v>
      </c>
      <c r="F566">
        <f t="shared" si="34"/>
        <v>44</v>
      </c>
      <c r="G566">
        <f t="shared" si="35"/>
        <v>4.7300000000000004</v>
      </c>
    </row>
    <row r="567" spans="1:7" hidden="1" x14ac:dyDescent="0.25">
      <c r="A567" s="4" t="s">
        <v>61</v>
      </c>
      <c r="B567" s="1">
        <v>0.25781799999999999</v>
      </c>
      <c r="C567" s="1">
        <v>0.25594600000000001</v>
      </c>
      <c r="D567" s="1">
        <f t="shared" si="32"/>
        <v>1.8719999999999848E-3</v>
      </c>
      <c r="E567">
        <f t="shared" si="33"/>
        <v>2</v>
      </c>
      <c r="F567">
        <f t="shared" si="34"/>
        <v>42</v>
      </c>
      <c r="G567">
        <f t="shared" si="35"/>
        <v>2.7</v>
      </c>
    </row>
    <row r="568" spans="1:7" hidden="1" x14ac:dyDescent="0.25">
      <c r="A568" s="4" t="s">
        <v>62</v>
      </c>
      <c r="B568" s="1">
        <v>8.6955000000000005E-2</v>
      </c>
      <c r="C568" s="1">
        <v>8.5378999999999997E-2</v>
      </c>
      <c r="D568" s="1">
        <f t="shared" si="32"/>
        <v>1.576000000000008E-3</v>
      </c>
      <c r="E568">
        <f t="shared" si="33"/>
        <v>2</v>
      </c>
      <c r="F568">
        <f t="shared" si="34"/>
        <v>16</v>
      </c>
      <c r="G568">
        <f t="shared" si="35"/>
        <v>2.27</v>
      </c>
    </row>
    <row r="569" spans="1:7" hidden="1" x14ac:dyDescent="0.25">
      <c r="A569" s="4" t="s">
        <v>63</v>
      </c>
      <c r="B569" s="1">
        <v>0.35100700000000001</v>
      </c>
      <c r="C569" s="1">
        <v>0.35246300000000003</v>
      </c>
      <c r="D569" s="1">
        <f t="shared" si="32"/>
        <v>1.4560000000000128E-3</v>
      </c>
      <c r="E569">
        <f t="shared" si="33"/>
        <v>2</v>
      </c>
      <c r="F569">
        <f t="shared" si="34"/>
        <v>6</v>
      </c>
      <c r="G569">
        <f t="shared" si="35"/>
        <v>2.1</v>
      </c>
    </row>
    <row r="570" spans="1:7" hidden="1" x14ac:dyDescent="0.25">
      <c r="A570" s="4" t="s">
        <v>64</v>
      </c>
      <c r="B570" s="1">
        <v>0.82595300000000005</v>
      </c>
      <c r="C570" s="1">
        <v>0.82917700000000005</v>
      </c>
      <c r="D570" s="1">
        <f t="shared" si="32"/>
        <v>3.2240000000000046E-3</v>
      </c>
      <c r="E570">
        <f t="shared" si="33"/>
        <v>4</v>
      </c>
      <c r="F570">
        <f t="shared" si="34"/>
        <v>39</v>
      </c>
      <c r="G570">
        <f t="shared" si="35"/>
        <v>4.6500000000000004</v>
      </c>
    </row>
    <row r="571" spans="1:7" hidden="1" x14ac:dyDescent="0.25">
      <c r="A571" s="4" t="s">
        <v>65</v>
      </c>
      <c r="B571" s="1">
        <v>0.55854400000000004</v>
      </c>
      <c r="C571" s="1">
        <v>0.55462400000000001</v>
      </c>
      <c r="D571" s="1">
        <f t="shared" si="32"/>
        <v>3.9200000000000346E-3</v>
      </c>
      <c r="E571">
        <f t="shared" si="33"/>
        <v>5</v>
      </c>
      <c r="F571">
        <f t="shared" si="34"/>
        <v>39</v>
      </c>
      <c r="G571">
        <f t="shared" si="35"/>
        <v>5.65</v>
      </c>
    </row>
    <row r="572" spans="1:7" hidden="1" x14ac:dyDescent="0.25">
      <c r="A572" s="4" t="s">
        <v>66</v>
      </c>
      <c r="B572" s="1">
        <v>0.21590100000000001</v>
      </c>
      <c r="C572" s="1">
        <v>0.21798100000000001</v>
      </c>
      <c r="D572" s="1">
        <f t="shared" si="32"/>
        <v>2.0799999999999985E-3</v>
      </c>
      <c r="E572">
        <f t="shared" si="33"/>
        <v>3</v>
      </c>
      <c r="F572">
        <f t="shared" si="34"/>
        <v>0</v>
      </c>
      <c r="G572">
        <f t="shared" si="35"/>
        <v>3</v>
      </c>
    </row>
    <row r="573" spans="1:7" hidden="1" x14ac:dyDescent="0.25">
      <c r="A573" s="4" t="s">
        <v>67</v>
      </c>
      <c r="B573" s="1">
        <v>0.859155</v>
      </c>
      <c r="C573" s="1">
        <v>0.85716700000000001</v>
      </c>
      <c r="D573" s="1">
        <f t="shared" si="32"/>
        <v>1.9879999999999898E-3</v>
      </c>
      <c r="E573">
        <f t="shared" si="33"/>
        <v>2</v>
      </c>
      <c r="F573">
        <f t="shared" si="34"/>
        <v>52</v>
      </c>
      <c r="G573">
        <f t="shared" si="35"/>
        <v>2.87</v>
      </c>
    </row>
    <row r="574" spans="1:7" hidden="1" x14ac:dyDescent="0.25">
      <c r="A574" s="4" t="s">
        <v>68</v>
      </c>
      <c r="B574" s="1">
        <v>0.67446200000000001</v>
      </c>
      <c r="C574" s="1">
        <v>0.67788999999999999</v>
      </c>
      <c r="D574" s="1">
        <f t="shared" si="32"/>
        <v>3.4279999999999866E-3</v>
      </c>
      <c r="E574">
        <f t="shared" si="33"/>
        <v>4</v>
      </c>
      <c r="F574">
        <f t="shared" si="34"/>
        <v>56</v>
      </c>
      <c r="G574">
        <f t="shared" si="35"/>
        <v>4.93</v>
      </c>
    </row>
    <row r="575" spans="1:7" hidden="1" x14ac:dyDescent="0.25">
      <c r="A575" s="4" t="s">
        <v>69</v>
      </c>
      <c r="B575" s="1">
        <v>0.47924800000000001</v>
      </c>
      <c r="C575" s="1">
        <v>0.47626000000000002</v>
      </c>
      <c r="D575" s="1">
        <f t="shared" si="32"/>
        <v>2.9879999999999907E-3</v>
      </c>
      <c r="E575">
        <f t="shared" si="33"/>
        <v>4</v>
      </c>
      <c r="F575">
        <f t="shared" si="34"/>
        <v>18</v>
      </c>
      <c r="G575">
        <f t="shared" si="35"/>
        <v>4.3</v>
      </c>
    </row>
    <row r="576" spans="1:7" hidden="1" x14ac:dyDescent="0.25">
      <c r="A576" s="4" t="s">
        <v>70</v>
      </c>
      <c r="B576" s="1">
        <v>0.51831700000000003</v>
      </c>
      <c r="C576" s="1">
        <v>0.52147299999999996</v>
      </c>
      <c r="D576" s="1">
        <f t="shared" si="32"/>
        <v>3.1559999999999366E-3</v>
      </c>
      <c r="E576">
        <f t="shared" si="33"/>
        <v>4</v>
      </c>
      <c r="F576">
        <f t="shared" si="34"/>
        <v>33</v>
      </c>
      <c r="G576">
        <f t="shared" si="35"/>
        <v>4.55</v>
      </c>
    </row>
    <row r="577" spans="1:7" hidden="1" x14ac:dyDescent="0.25">
      <c r="A577" s="4" t="s">
        <v>71</v>
      </c>
      <c r="B577" s="1">
        <v>0.69348799999999999</v>
      </c>
      <c r="C577" s="1">
        <v>0.69093599999999999</v>
      </c>
      <c r="D577" s="1">
        <f t="shared" si="32"/>
        <v>2.5519999999999987E-3</v>
      </c>
      <c r="E577">
        <f t="shared" si="33"/>
        <v>3</v>
      </c>
      <c r="F577">
        <f t="shared" si="34"/>
        <v>40</v>
      </c>
      <c r="G577">
        <f t="shared" si="35"/>
        <v>3.67</v>
      </c>
    </row>
    <row r="578" spans="1:7" hidden="1" x14ac:dyDescent="0.25">
      <c r="A578" s="4" t="s">
        <v>72</v>
      </c>
      <c r="B578" s="1">
        <v>0.145533</v>
      </c>
      <c r="C578" s="1">
        <v>0.14855299999999999</v>
      </c>
      <c r="D578" s="1">
        <f t="shared" si="32"/>
        <v>3.0199999999999949E-3</v>
      </c>
      <c r="E578">
        <f t="shared" si="33"/>
        <v>4</v>
      </c>
      <c r="F578">
        <f t="shared" si="34"/>
        <v>21</v>
      </c>
      <c r="G578">
        <f t="shared" si="35"/>
        <v>4.3499999999999996</v>
      </c>
    </row>
    <row r="579" spans="1:7" hidden="1" x14ac:dyDescent="0.25">
      <c r="A579" s="4" t="s">
        <v>73</v>
      </c>
      <c r="B579" s="1">
        <v>0.94866899999999998</v>
      </c>
      <c r="C579" s="1">
        <v>0.950569</v>
      </c>
      <c r="D579" s="1">
        <f t="shared" ref="D579:D642" si="36">IF(B579&gt;C579,B579-C579,C579-B579)</f>
        <v>1.9000000000000128E-3</v>
      </c>
      <c r="E579">
        <f t="shared" ref="E579:E642" si="37">MINUTE(D579)</f>
        <v>2</v>
      </c>
      <c r="F579">
        <f t="shared" ref="F579:F642" si="38">SECOND(D579)</f>
        <v>44</v>
      </c>
      <c r="G579">
        <f t="shared" ref="G579:G642" si="39">ROUND(E579+F579/60,2)</f>
        <v>2.73</v>
      </c>
    </row>
    <row r="580" spans="1:7" hidden="1" x14ac:dyDescent="0.25">
      <c r="A580" s="4" t="s">
        <v>74</v>
      </c>
      <c r="B580" s="1">
        <v>0.61492599999999997</v>
      </c>
      <c r="C580" s="1">
        <v>0.61283799999999999</v>
      </c>
      <c r="D580" s="1">
        <f t="shared" si="36"/>
        <v>2.0879999999999788E-3</v>
      </c>
      <c r="E580">
        <f t="shared" si="37"/>
        <v>3</v>
      </c>
      <c r="F580">
        <f t="shared" si="38"/>
        <v>0</v>
      </c>
      <c r="G580">
        <f t="shared" si="39"/>
        <v>3</v>
      </c>
    </row>
    <row r="581" spans="1:7" hidden="1" x14ac:dyDescent="0.25">
      <c r="A581" s="4" t="s">
        <v>75</v>
      </c>
      <c r="B581" s="1">
        <v>0.80092399999999997</v>
      </c>
      <c r="C581" s="1">
        <v>0.79910400000000004</v>
      </c>
      <c r="D581" s="1">
        <f t="shared" si="36"/>
        <v>1.8199999999999328E-3</v>
      </c>
      <c r="E581">
        <f t="shared" si="37"/>
        <v>2</v>
      </c>
      <c r="F581">
        <f t="shared" si="38"/>
        <v>37</v>
      </c>
      <c r="G581">
        <f t="shared" si="39"/>
        <v>2.62</v>
      </c>
    </row>
    <row r="582" spans="1:7" hidden="1" x14ac:dyDescent="0.25">
      <c r="A582" s="4" t="s">
        <v>76</v>
      </c>
      <c r="B582" s="1">
        <v>0.80892299999999995</v>
      </c>
      <c r="C582" s="1">
        <v>0.806979</v>
      </c>
      <c r="D582" s="1">
        <f t="shared" si="36"/>
        <v>1.9439999999999458E-3</v>
      </c>
      <c r="E582">
        <f t="shared" si="37"/>
        <v>2</v>
      </c>
      <c r="F582">
        <f t="shared" si="38"/>
        <v>48</v>
      </c>
      <c r="G582">
        <f t="shared" si="39"/>
        <v>2.8</v>
      </c>
    </row>
    <row r="583" spans="1:7" hidden="1" x14ac:dyDescent="0.25">
      <c r="A583" s="4" t="s">
        <v>77</v>
      </c>
      <c r="B583" s="1">
        <v>2.6912999999999999E-2</v>
      </c>
      <c r="C583" s="1">
        <v>2.9256999999999998E-2</v>
      </c>
      <c r="D583" s="1">
        <f t="shared" si="36"/>
        <v>2.3439999999999989E-3</v>
      </c>
      <c r="E583">
        <f t="shared" si="37"/>
        <v>3</v>
      </c>
      <c r="F583">
        <f t="shared" si="38"/>
        <v>23</v>
      </c>
      <c r="G583">
        <f t="shared" si="39"/>
        <v>3.38</v>
      </c>
    </row>
    <row r="584" spans="1:7" hidden="1" x14ac:dyDescent="0.25">
      <c r="A584" s="4" t="s">
        <v>78</v>
      </c>
      <c r="B584" s="1">
        <v>0.84384199999999998</v>
      </c>
      <c r="C584" s="1">
        <v>0.845642</v>
      </c>
      <c r="D584" s="1">
        <f t="shared" si="36"/>
        <v>1.8000000000000238E-3</v>
      </c>
      <c r="E584">
        <f t="shared" si="37"/>
        <v>2</v>
      </c>
      <c r="F584">
        <f t="shared" si="38"/>
        <v>36</v>
      </c>
      <c r="G584">
        <f t="shared" si="39"/>
        <v>2.6</v>
      </c>
    </row>
    <row r="585" spans="1:7" hidden="1" x14ac:dyDescent="0.25">
      <c r="A585" s="4" t="s">
        <v>79</v>
      </c>
      <c r="B585" s="1">
        <v>0.81873700000000005</v>
      </c>
      <c r="C585" s="1">
        <v>0.82059300000000002</v>
      </c>
      <c r="D585" s="1">
        <f t="shared" si="36"/>
        <v>1.8559999999999688E-3</v>
      </c>
      <c r="E585">
        <f t="shared" si="37"/>
        <v>2</v>
      </c>
      <c r="F585">
        <f t="shared" si="38"/>
        <v>40</v>
      </c>
      <c r="G585">
        <f t="shared" si="39"/>
        <v>2.67</v>
      </c>
    </row>
    <row r="586" spans="1:7" hidden="1" x14ac:dyDescent="0.25">
      <c r="A586" s="4" t="s">
        <v>80</v>
      </c>
      <c r="B586" s="1">
        <v>0.77809700000000004</v>
      </c>
      <c r="C586" s="1">
        <v>0.77524899999999997</v>
      </c>
      <c r="D586" s="1">
        <f t="shared" si="36"/>
        <v>2.8480000000000727E-3</v>
      </c>
      <c r="E586">
        <f t="shared" si="37"/>
        <v>4</v>
      </c>
      <c r="F586">
        <f t="shared" si="38"/>
        <v>6</v>
      </c>
      <c r="G586">
        <f t="shared" si="39"/>
        <v>4.0999999999999996</v>
      </c>
    </row>
    <row r="587" spans="1:7" hidden="1" x14ac:dyDescent="0.25">
      <c r="A587" s="4" t="s">
        <v>81</v>
      </c>
      <c r="B587" s="1">
        <v>0.83649600000000002</v>
      </c>
      <c r="C587" s="1">
        <v>0.83909599999999995</v>
      </c>
      <c r="D587" s="1">
        <f t="shared" si="36"/>
        <v>2.5999999999999357E-3</v>
      </c>
      <c r="E587">
        <f t="shared" si="37"/>
        <v>3</v>
      </c>
      <c r="F587">
        <f t="shared" si="38"/>
        <v>45</v>
      </c>
      <c r="G587">
        <f t="shared" si="39"/>
        <v>3.75</v>
      </c>
    </row>
    <row r="588" spans="1:7" hidden="1" x14ac:dyDescent="0.25">
      <c r="A588" s="4" t="s">
        <v>82</v>
      </c>
      <c r="B588" s="1">
        <v>0.63863800000000004</v>
      </c>
      <c r="C588" s="1">
        <v>0.64251000000000003</v>
      </c>
      <c r="D588" s="1">
        <f t="shared" si="36"/>
        <v>3.8719999999999866E-3</v>
      </c>
      <c r="E588">
        <f t="shared" si="37"/>
        <v>5</v>
      </c>
      <c r="F588">
        <f t="shared" si="38"/>
        <v>35</v>
      </c>
      <c r="G588">
        <f t="shared" si="39"/>
        <v>5.58</v>
      </c>
    </row>
    <row r="589" spans="1:7" hidden="1" x14ac:dyDescent="0.25">
      <c r="A589" s="4" t="s">
        <v>83</v>
      </c>
      <c r="B589" s="1">
        <v>0.43880400000000003</v>
      </c>
      <c r="C589" s="1">
        <v>0.435784</v>
      </c>
      <c r="D589" s="1">
        <f t="shared" si="36"/>
        <v>3.0200000000000227E-3</v>
      </c>
      <c r="E589">
        <f t="shared" si="37"/>
        <v>4</v>
      </c>
      <c r="F589">
        <f t="shared" si="38"/>
        <v>21</v>
      </c>
      <c r="G589">
        <f t="shared" si="39"/>
        <v>4.3499999999999996</v>
      </c>
    </row>
    <row r="590" spans="1:7" hidden="1" x14ac:dyDescent="0.25">
      <c r="A590" s="4" t="s">
        <v>84</v>
      </c>
      <c r="B590" s="1">
        <v>0.20413700000000001</v>
      </c>
      <c r="C590" s="1">
        <v>0.20184099999999999</v>
      </c>
      <c r="D590" s="1">
        <f t="shared" si="36"/>
        <v>2.2960000000000202E-3</v>
      </c>
      <c r="E590">
        <f t="shared" si="37"/>
        <v>3</v>
      </c>
      <c r="F590">
        <f t="shared" si="38"/>
        <v>18</v>
      </c>
      <c r="G590">
        <f t="shared" si="39"/>
        <v>3.3</v>
      </c>
    </row>
    <row r="591" spans="1:7" hidden="1" x14ac:dyDescent="0.25">
      <c r="A591" s="4" t="s">
        <v>85</v>
      </c>
      <c r="B591" s="1">
        <v>0.88788900000000004</v>
      </c>
      <c r="C591" s="1">
        <v>0.88389300000000004</v>
      </c>
      <c r="D591" s="1">
        <f t="shared" si="36"/>
        <v>3.9959999999999996E-3</v>
      </c>
      <c r="E591">
        <f t="shared" si="37"/>
        <v>5</v>
      </c>
      <c r="F591">
        <f t="shared" si="38"/>
        <v>45</v>
      </c>
      <c r="G591">
        <f t="shared" si="39"/>
        <v>5.75</v>
      </c>
    </row>
    <row r="592" spans="1:7" hidden="1" x14ac:dyDescent="0.25">
      <c r="A592" s="4" t="s">
        <v>177</v>
      </c>
      <c r="B592" s="1">
        <v>0.96728700000000001</v>
      </c>
      <c r="C592" s="1">
        <v>0.97079099999999996</v>
      </c>
      <c r="D592" s="1">
        <f t="shared" si="36"/>
        <v>3.5039999999999516E-3</v>
      </c>
      <c r="E592">
        <f t="shared" si="37"/>
        <v>5</v>
      </c>
      <c r="F592">
        <f t="shared" si="38"/>
        <v>3</v>
      </c>
      <c r="G592">
        <f t="shared" si="39"/>
        <v>5.05</v>
      </c>
    </row>
    <row r="593" spans="1:7" hidden="1" x14ac:dyDescent="0.25">
      <c r="A593" s="4" t="s">
        <v>87</v>
      </c>
      <c r="B593" s="1">
        <v>0.121395</v>
      </c>
      <c r="C593" s="1">
        <v>0.124755</v>
      </c>
      <c r="D593" s="1">
        <f t="shared" si="36"/>
        <v>3.3600000000000019E-3</v>
      </c>
      <c r="E593">
        <f t="shared" si="37"/>
        <v>4</v>
      </c>
      <c r="F593">
        <f t="shared" si="38"/>
        <v>50</v>
      </c>
      <c r="G593">
        <f t="shared" si="39"/>
        <v>4.83</v>
      </c>
    </row>
    <row r="594" spans="1:7" hidden="1" x14ac:dyDescent="0.25">
      <c r="A594" s="4" t="s">
        <v>88</v>
      </c>
      <c r="B594" s="1">
        <v>5.8613999999999999E-2</v>
      </c>
      <c r="C594" s="1">
        <v>5.6474000000000003E-2</v>
      </c>
      <c r="D594" s="1">
        <f t="shared" si="36"/>
        <v>2.1399999999999961E-3</v>
      </c>
      <c r="E594">
        <f t="shared" si="37"/>
        <v>3</v>
      </c>
      <c r="F594">
        <f t="shared" si="38"/>
        <v>5</v>
      </c>
      <c r="G594">
        <f t="shared" si="39"/>
        <v>3.08</v>
      </c>
    </row>
    <row r="595" spans="1:7" hidden="1" x14ac:dyDescent="0.25">
      <c r="A595" s="4" t="s">
        <v>89</v>
      </c>
      <c r="B595" s="1">
        <v>0.79559199999999997</v>
      </c>
      <c r="C595" s="1">
        <v>0.792188</v>
      </c>
      <c r="D595" s="1">
        <f t="shared" si="36"/>
        <v>3.4039999999999626E-3</v>
      </c>
      <c r="E595">
        <f t="shared" si="37"/>
        <v>4</v>
      </c>
      <c r="F595">
        <f t="shared" si="38"/>
        <v>54</v>
      </c>
      <c r="G595">
        <f t="shared" si="39"/>
        <v>4.9000000000000004</v>
      </c>
    </row>
    <row r="596" spans="1:7" hidden="1" x14ac:dyDescent="0.25">
      <c r="A596" s="4" t="s">
        <v>90</v>
      </c>
      <c r="B596" s="1">
        <v>0.63536800000000004</v>
      </c>
      <c r="C596" s="1">
        <v>0.639208</v>
      </c>
      <c r="D596" s="1">
        <f t="shared" si="36"/>
        <v>3.8399999999999546E-3</v>
      </c>
      <c r="E596">
        <f t="shared" si="37"/>
        <v>5</v>
      </c>
      <c r="F596">
        <f t="shared" si="38"/>
        <v>32</v>
      </c>
      <c r="G596">
        <f t="shared" si="39"/>
        <v>5.53</v>
      </c>
    </row>
    <row r="597" spans="1:7" hidden="1" x14ac:dyDescent="0.25">
      <c r="A597" s="4" t="s">
        <v>91</v>
      </c>
      <c r="B597" s="1">
        <v>0.29477999999999999</v>
      </c>
      <c r="C597" s="1">
        <v>0.29804799999999998</v>
      </c>
      <c r="D597" s="1">
        <f t="shared" si="36"/>
        <v>3.2679999999999931E-3</v>
      </c>
      <c r="E597">
        <f t="shared" si="37"/>
        <v>4</v>
      </c>
      <c r="F597">
        <f t="shared" si="38"/>
        <v>42</v>
      </c>
      <c r="G597">
        <f t="shared" si="39"/>
        <v>4.7</v>
      </c>
    </row>
    <row r="598" spans="1:7" hidden="1" x14ac:dyDescent="0.25">
      <c r="A598" s="4" t="s">
        <v>92</v>
      </c>
      <c r="B598" s="1">
        <v>0.312112</v>
      </c>
      <c r="C598" s="1">
        <v>0.31450800000000001</v>
      </c>
      <c r="D598" s="1">
        <f t="shared" si="36"/>
        <v>2.3960000000000092E-3</v>
      </c>
      <c r="E598">
        <f t="shared" si="37"/>
        <v>3</v>
      </c>
      <c r="F598">
        <f t="shared" si="38"/>
        <v>27</v>
      </c>
      <c r="G598">
        <f t="shared" si="39"/>
        <v>3.45</v>
      </c>
    </row>
    <row r="599" spans="1:7" hidden="1" x14ac:dyDescent="0.25">
      <c r="A599" s="4" t="s">
        <v>93</v>
      </c>
      <c r="B599" s="1">
        <v>2.2315999999999999E-2</v>
      </c>
      <c r="C599" s="1">
        <v>1.9543999999999999E-2</v>
      </c>
      <c r="D599" s="1">
        <f t="shared" si="36"/>
        <v>2.7720000000000002E-3</v>
      </c>
      <c r="E599">
        <f t="shared" si="37"/>
        <v>4</v>
      </c>
      <c r="F599">
        <f t="shared" si="38"/>
        <v>0</v>
      </c>
      <c r="G599">
        <f t="shared" si="39"/>
        <v>4</v>
      </c>
    </row>
    <row r="600" spans="1:7" hidden="1" x14ac:dyDescent="0.25">
      <c r="A600" s="4" t="s">
        <v>94</v>
      </c>
      <c r="B600" s="1">
        <v>0.65988999999999998</v>
      </c>
      <c r="C600" s="1">
        <v>0.65681</v>
      </c>
      <c r="D600" s="1">
        <f t="shared" si="36"/>
        <v>3.0799999999999716E-3</v>
      </c>
      <c r="E600">
        <f t="shared" si="37"/>
        <v>4</v>
      </c>
      <c r="F600">
        <f t="shared" si="38"/>
        <v>26</v>
      </c>
      <c r="G600">
        <f t="shared" si="39"/>
        <v>4.43</v>
      </c>
    </row>
    <row r="601" spans="1:7" hidden="1" x14ac:dyDescent="0.25">
      <c r="A601" s="4" t="s">
        <v>95</v>
      </c>
      <c r="B601" s="1">
        <v>0.75181399999999998</v>
      </c>
      <c r="C601" s="1">
        <v>0.74925399999999998</v>
      </c>
      <c r="D601" s="1">
        <f t="shared" si="36"/>
        <v>2.5600000000000067E-3</v>
      </c>
      <c r="E601">
        <f t="shared" si="37"/>
        <v>3</v>
      </c>
      <c r="F601">
        <f t="shared" si="38"/>
        <v>41</v>
      </c>
      <c r="G601">
        <f t="shared" si="39"/>
        <v>3.68</v>
      </c>
    </row>
    <row r="602" spans="1:7" hidden="1" x14ac:dyDescent="0.25">
      <c r="A602" s="4" t="s">
        <v>96</v>
      </c>
      <c r="B602" s="1">
        <v>0.69461200000000001</v>
      </c>
      <c r="C602" s="1">
        <v>0.69851200000000002</v>
      </c>
      <c r="D602" s="1">
        <f t="shared" si="36"/>
        <v>3.9000000000000146E-3</v>
      </c>
      <c r="E602">
        <f t="shared" si="37"/>
        <v>5</v>
      </c>
      <c r="F602">
        <f t="shared" si="38"/>
        <v>37</v>
      </c>
      <c r="G602">
        <f t="shared" si="39"/>
        <v>5.62</v>
      </c>
    </row>
    <row r="603" spans="1:7" hidden="1" x14ac:dyDescent="0.25">
      <c r="A603" s="4" t="s">
        <v>97</v>
      </c>
      <c r="B603" s="1">
        <v>0.217417</v>
      </c>
      <c r="C603" s="1">
        <v>0.215721</v>
      </c>
      <c r="D603" s="1">
        <f t="shared" si="36"/>
        <v>1.6960000000000031E-3</v>
      </c>
      <c r="E603">
        <f t="shared" si="37"/>
        <v>2</v>
      </c>
      <c r="F603">
        <f t="shared" si="38"/>
        <v>27</v>
      </c>
      <c r="G603">
        <f t="shared" si="39"/>
        <v>2.4500000000000002</v>
      </c>
    </row>
    <row r="604" spans="1:7" hidden="1" x14ac:dyDescent="0.25">
      <c r="A604" s="4" t="s">
        <v>98</v>
      </c>
      <c r="B604" s="1">
        <v>0.248913</v>
      </c>
      <c r="C604" s="1">
        <v>0.25204100000000002</v>
      </c>
      <c r="D604" s="1">
        <f t="shared" si="36"/>
        <v>3.1280000000000197E-3</v>
      </c>
      <c r="E604">
        <f t="shared" si="37"/>
        <v>4</v>
      </c>
      <c r="F604">
        <f t="shared" si="38"/>
        <v>30</v>
      </c>
      <c r="G604">
        <f t="shared" si="39"/>
        <v>4.5</v>
      </c>
    </row>
    <row r="605" spans="1:7" hidden="1" x14ac:dyDescent="0.25">
      <c r="A605" s="4" t="s">
        <v>99</v>
      </c>
      <c r="B605" s="1">
        <v>9.5533999999999994E-2</v>
      </c>
      <c r="C605" s="1">
        <v>9.1910000000000006E-2</v>
      </c>
      <c r="D605" s="1">
        <f t="shared" si="36"/>
        <v>3.6239999999999883E-3</v>
      </c>
      <c r="E605">
        <f t="shared" si="37"/>
        <v>5</v>
      </c>
      <c r="F605">
        <f t="shared" si="38"/>
        <v>13</v>
      </c>
      <c r="G605">
        <f t="shared" si="39"/>
        <v>5.22</v>
      </c>
    </row>
    <row r="606" spans="1:7" hidden="1" x14ac:dyDescent="0.25">
      <c r="A606" s="4" t="s">
        <v>100</v>
      </c>
      <c r="B606" s="1">
        <v>0.56021500000000002</v>
      </c>
      <c r="C606" s="1">
        <v>0.56196699999999999</v>
      </c>
      <c r="D606" s="1">
        <f t="shared" si="36"/>
        <v>1.7519999999999758E-3</v>
      </c>
      <c r="E606">
        <f t="shared" si="37"/>
        <v>2</v>
      </c>
      <c r="F606">
        <f t="shared" si="38"/>
        <v>31</v>
      </c>
      <c r="G606">
        <f t="shared" si="39"/>
        <v>2.52</v>
      </c>
    </row>
    <row r="607" spans="1:7" hidden="1" x14ac:dyDescent="0.25">
      <c r="A607" s="4" t="s">
        <v>101</v>
      </c>
      <c r="B607" s="1">
        <v>9.8788000000000001E-2</v>
      </c>
      <c r="C607" s="1">
        <v>9.6680000000000002E-2</v>
      </c>
      <c r="D607" s="1">
        <f t="shared" si="36"/>
        <v>2.1079999999999988E-3</v>
      </c>
      <c r="E607">
        <f t="shared" si="37"/>
        <v>3</v>
      </c>
      <c r="F607">
        <f t="shared" si="38"/>
        <v>2</v>
      </c>
      <c r="G607">
        <f t="shared" si="39"/>
        <v>3.03</v>
      </c>
    </row>
    <row r="608" spans="1:7" hidden="1" x14ac:dyDescent="0.25">
      <c r="A608" s="4" t="s">
        <v>102</v>
      </c>
      <c r="B608" s="1">
        <v>0.66766999999999999</v>
      </c>
      <c r="C608" s="1">
        <v>0.67010999999999998</v>
      </c>
      <c r="D608" s="1">
        <f t="shared" si="36"/>
        <v>2.4399999999999977E-3</v>
      </c>
      <c r="E608">
        <f t="shared" si="37"/>
        <v>3</v>
      </c>
      <c r="F608">
        <f t="shared" si="38"/>
        <v>31</v>
      </c>
      <c r="G608">
        <f t="shared" si="39"/>
        <v>3.52</v>
      </c>
    </row>
    <row r="609" spans="1:7" hidden="1" x14ac:dyDescent="0.25">
      <c r="A609" s="4" t="s">
        <v>103</v>
      </c>
      <c r="B609" s="1">
        <v>0.69916400000000001</v>
      </c>
      <c r="C609" s="1">
        <v>0.70058399999999998</v>
      </c>
      <c r="D609" s="1">
        <f t="shared" si="36"/>
        <v>1.4199999999999768E-3</v>
      </c>
      <c r="E609">
        <f t="shared" si="37"/>
        <v>2</v>
      </c>
      <c r="F609">
        <f t="shared" si="38"/>
        <v>3</v>
      </c>
      <c r="G609">
        <f t="shared" si="39"/>
        <v>2.0499999999999998</v>
      </c>
    </row>
    <row r="610" spans="1:7" hidden="1" x14ac:dyDescent="0.25">
      <c r="A610" s="4" t="s">
        <v>104</v>
      </c>
      <c r="B610" s="1">
        <v>0.50448999999999999</v>
      </c>
      <c r="C610" s="1">
        <v>0.50298200000000004</v>
      </c>
      <c r="D610" s="1">
        <f t="shared" si="36"/>
        <v>1.5079999999999538E-3</v>
      </c>
      <c r="E610">
        <f t="shared" si="37"/>
        <v>2</v>
      </c>
      <c r="F610">
        <f t="shared" si="38"/>
        <v>10</v>
      </c>
      <c r="G610">
        <f t="shared" si="39"/>
        <v>2.17</v>
      </c>
    </row>
    <row r="611" spans="1:7" hidden="1" x14ac:dyDescent="0.25">
      <c r="A611" s="4" t="s">
        <v>105</v>
      </c>
      <c r="B611" s="1">
        <v>0.70912799999999998</v>
      </c>
      <c r="C611" s="1">
        <v>0.70633199999999996</v>
      </c>
      <c r="D611" s="1">
        <f t="shared" si="36"/>
        <v>2.7960000000000207E-3</v>
      </c>
      <c r="E611">
        <f t="shared" si="37"/>
        <v>4</v>
      </c>
      <c r="F611">
        <f t="shared" si="38"/>
        <v>2</v>
      </c>
      <c r="G611">
        <f t="shared" si="39"/>
        <v>4.03</v>
      </c>
    </row>
    <row r="612" spans="1:7" hidden="1" x14ac:dyDescent="0.25">
      <c r="A612" s="4" t="s">
        <v>106</v>
      </c>
      <c r="B612" s="1">
        <v>0.25471199999999999</v>
      </c>
      <c r="C612" s="1">
        <v>0.25790400000000002</v>
      </c>
      <c r="D612" s="1">
        <f t="shared" si="36"/>
        <v>3.1920000000000281E-3</v>
      </c>
      <c r="E612">
        <f t="shared" si="37"/>
        <v>4</v>
      </c>
      <c r="F612">
        <f t="shared" si="38"/>
        <v>36</v>
      </c>
      <c r="G612">
        <f t="shared" si="39"/>
        <v>4.5999999999999996</v>
      </c>
    </row>
    <row r="613" spans="1:7" hidden="1" x14ac:dyDescent="0.25">
      <c r="A613" s="4" t="s">
        <v>178</v>
      </c>
      <c r="B613" s="1">
        <v>0.52383800000000003</v>
      </c>
      <c r="C613" s="1">
        <v>0.52654999999999996</v>
      </c>
      <c r="D613" s="1">
        <f t="shared" si="36"/>
        <v>2.7119999999999367E-3</v>
      </c>
      <c r="E613">
        <f t="shared" si="37"/>
        <v>3</v>
      </c>
      <c r="F613">
        <f t="shared" si="38"/>
        <v>54</v>
      </c>
      <c r="G613">
        <f t="shared" si="39"/>
        <v>3.9</v>
      </c>
    </row>
    <row r="614" spans="1:7" hidden="1" x14ac:dyDescent="0.25">
      <c r="A614" s="4" t="s">
        <v>108</v>
      </c>
      <c r="B614" s="1">
        <v>9.1436000000000003E-2</v>
      </c>
      <c r="C614" s="1">
        <v>9.3964000000000006E-2</v>
      </c>
      <c r="D614" s="1">
        <f t="shared" si="36"/>
        <v>2.5280000000000025E-3</v>
      </c>
      <c r="E614">
        <f t="shared" si="37"/>
        <v>3</v>
      </c>
      <c r="F614">
        <f t="shared" si="38"/>
        <v>38</v>
      </c>
      <c r="G614">
        <f t="shared" si="39"/>
        <v>3.63</v>
      </c>
    </row>
    <row r="615" spans="1:7" hidden="1" x14ac:dyDescent="0.25">
      <c r="A615" s="4" t="s">
        <v>109</v>
      </c>
      <c r="B615" s="1">
        <v>0.404277</v>
      </c>
      <c r="C615" s="1">
        <v>0.40759299999999998</v>
      </c>
      <c r="D615" s="1">
        <f t="shared" si="36"/>
        <v>3.3159999999999856E-3</v>
      </c>
      <c r="E615">
        <f t="shared" si="37"/>
        <v>4</v>
      </c>
      <c r="F615">
        <f t="shared" si="38"/>
        <v>47</v>
      </c>
      <c r="G615">
        <f t="shared" si="39"/>
        <v>4.78</v>
      </c>
    </row>
    <row r="616" spans="1:7" hidden="1" x14ac:dyDescent="0.25">
      <c r="A616" s="4" t="s">
        <v>110</v>
      </c>
      <c r="B616" s="1">
        <v>0.11290600000000001</v>
      </c>
      <c r="C616" s="1">
        <v>0.11459</v>
      </c>
      <c r="D616" s="1">
        <f t="shared" si="36"/>
        <v>1.6839999999999911E-3</v>
      </c>
      <c r="E616">
        <f t="shared" si="37"/>
        <v>2</v>
      </c>
      <c r="F616">
        <f t="shared" si="38"/>
        <v>25</v>
      </c>
      <c r="G616">
        <f t="shared" si="39"/>
        <v>2.42</v>
      </c>
    </row>
    <row r="617" spans="1:7" hidden="1" x14ac:dyDescent="0.25">
      <c r="A617" s="4" t="s">
        <v>429</v>
      </c>
      <c r="B617" s="1">
        <v>0.95077199999999995</v>
      </c>
      <c r="C617" s="1">
        <v>0.94779599999999997</v>
      </c>
      <c r="D617" s="1">
        <f t="shared" si="36"/>
        <v>2.9759999999999787E-3</v>
      </c>
      <c r="E617">
        <f t="shared" si="37"/>
        <v>4</v>
      </c>
      <c r="F617">
        <f t="shared" si="38"/>
        <v>17</v>
      </c>
      <c r="G617">
        <f t="shared" si="39"/>
        <v>4.28</v>
      </c>
    </row>
    <row r="618" spans="1:7" hidden="1" x14ac:dyDescent="0.25">
      <c r="A618" s="4" t="s">
        <v>111</v>
      </c>
      <c r="B618" s="1">
        <v>0.37411299999999997</v>
      </c>
      <c r="C618" s="1">
        <v>0.37249300000000002</v>
      </c>
      <c r="D618" s="1">
        <f t="shared" si="36"/>
        <v>1.6199999999999548E-3</v>
      </c>
      <c r="E618">
        <f t="shared" si="37"/>
        <v>2</v>
      </c>
      <c r="F618">
        <f t="shared" si="38"/>
        <v>20</v>
      </c>
      <c r="G618">
        <f t="shared" si="39"/>
        <v>2.33</v>
      </c>
    </row>
    <row r="619" spans="1:7" hidden="1" x14ac:dyDescent="0.25">
      <c r="A619" s="4" t="s">
        <v>112</v>
      </c>
      <c r="B619" s="1">
        <v>0.43324000000000001</v>
      </c>
      <c r="C619" s="1">
        <v>0.43135600000000002</v>
      </c>
      <c r="D619" s="1">
        <f t="shared" si="36"/>
        <v>1.8839999999999968E-3</v>
      </c>
      <c r="E619">
        <f t="shared" si="37"/>
        <v>2</v>
      </c>
      <c r="F619">
        <f t="shared" si="38"/>
        <v>43</v>
      </c>
      <c r="G619">
        <f t="shared" si="39"/>
        <v>2.72</v>
      </c>
    </row>
    <row r="620" spans="1:7" hidden="1" x14ac:dyDescent="0.25">
      <c r="A620" s="4" t="s">
        <v>113</v>
      </c>
      <c r="B620" s="1">
        <v>0.16992399999999999</v>
      </c>
      <c r="C620" s="1">
        <v>0.166296</v>
      </c>
      <c r="D620" s="1">
        <f t="shared" si="36"/>
        <v>3.6279999999999923E-3</v>
      </c>
      <c r="E620">
        <f t="shared" si="37"/>
        <v>5</v>
      </c>
      <c r="F620">
        <f t="shared" si="38"/>
        <v>13</v>
      </c>
      <c r="G620">
        <f t="shared" si="39"/>
        <v>5.22</v>
      </c>
    </row>
    <row r="621" spans="1:7" hidden="1" x14ac:dyDescent="0.25">
      <c r="A621" s="4" t="s">
        <v>114</v>
      </c>
      <c r="B621" s="1">
        <v>0.21842300000000001</v>
      </c>
      <c r="C621" s="1">
        <v>0.21506700000000001</v>
      </c>
      <c r="D621" s="1">
        <f t="shared" si="36"/>
        <v>3.3559999999999979E-3</v>
      </c>
      <c r="E621">
        <f t="shared" si="37"/>
        <v>4</v>
      </c>
      <c r="F621">
        <f t="shared" si="38"/>
        <v>50</v>
      </c>
      <c r="G621">
        <f t="shared" si="39"/>
        <v>4.83</v>
      </c>
    </row>
    <row r="622" spans="1:7" hidden="1" x14ac:dyDescent="0.25">
      <c r="A622" s="4" t="s">
        <v>115</v>
      </c>
      <c r="B622" s="1">
        <v>0.492419</v>
      </c>
      <c r="C622" s="1">
        <v>0.49516300000000002</v>
      </c>
      <c r="D622" s="1">
        <f t="shared" si="36"/>
        <v>2.7440000000000242E-3</v>
      </c>
      <c r="E622">
        <f t="shared" si="37"/>
        <v>3</v>
      </c>
      <c r="F622">
        <f t="shared" si="38"/>
        <v>57</v>
      </c>
      <c r="G622">
        <f t="shared" si="39"/>
        <v>3.95</v>
      </c>
    </row>
    <row r="623" spans="1:7" hidden="1" x14ac:dyDescent="0.25">
      <c r="A623" s="4" t="s">
        <v>116</v>
      </c>
      <c r="B623" s="1">
        <v>0.73995699999999998</v>
      </c>
      <c r="C623" s="1">
        <v>0.74338499999999996</v>
      </c>
      <c r="D623" s="1">
        <f t="shared" si="36"/>
        <v>3.4279999999999866E-3</v>
      </c>
      <c r="E623">
        <f t="shared" si="37"/>
        <v>4</v>
      </c>
      <c r="F623">
        <f t="shared" si="38"/>
        <v>56</v>
      </c>
      <c r="G623">
        <f t="shared" si="39"/>
        <v>4.93</v>
      </c>
    </row>
    <row r="624" spans="1:7" hidden="1" x14ac:dyDescent="0.25">
      <c r="A624" s="4" t="s">
        <v>75</v>
      </c>
      <c r="B624" s="1">
        <v>0.19887299999999999</v>
      </c>
      <c r="C624" s="1">
        <v>0.196909</v>
      </c>
      <c r="D624" s="1">
        <f t="shared" si="36"/>
        <v>1.9639999999999935E-3</v>
      </c>
      <c r="E624">
        <f t="shared" si="37"/>
        <v>2</v>
      </c>
      <c r="F624">
        <f t="shared" si="38"/>
        <v>50</v>
      </c>
      <c r="G624">
        <f t="shared" si="39"/>
        <v>2.83</v>
      </c>
    </row>
    <row r="625" spans="1:7" hidden="1" x14ac:dyDescent="0.25">
      <c r="A625" s="4" t="s">
        <v>117</v>
      </c>
      <c r="B625" s="1">
        <v>0.82010700000000003</v>
      </c>
      <c r="C625" s="1">
        <v>0.82233500000000004</v>
      </c>
      <c r="D625" s="1">
        <f t="shared" si="36"/>
        <v>2.2280000000000078E-3</v>
      </c>
      <c r="E625">
        <f t="shared" si="37"/>
        <v>3</v>
      </c>
      <c r="F625">
        <f t="shared" si="38"/>
        <v>12</v>
      </c>
      <c r="G625">
        <f t="shared" si="39"/>
        <v>3.2</v>
      </c>
    </row>
    <row r="626" spans="1:7" hidden="1" x14ac:dyDescent="0.25">
      <c r="A626" s="4" t="s">
        <v>118</v>
      </c>
      <c r="B626" s="1">
        <v>0.83749799999999996</v>
      </c>
      <c r="C626" s="1">
        <v>0.83599400000000001</v>
      </c>
      <c r="D626" s="1">
        <f t="shared" si="36"/>
        <v>1.5039999999999498E-3</v>
      </c>
      <c r="E626">
        <f t="shared" si="37"/>
        <v>2</v>
      </c>
      <c r="F626">
        <f t="shared" si="38"/>
        <v>10</v>
      </c>
      <c r="G626">
        <f t="shared" si="39"/>
        <v>2.17</v>
      </c>
    </row>
    <row r="627" spans="1:7" hidden="1" x14ac:dyDescent="0.25">
      <c r="A627" s="4" t="s">
        <v>119</v>
      </c>
      <c r="B627" s="1">
        <v>0.71098499999999998</v>
      </c>
      <c r="C627" s="1">
        <v>0.70876899999999998</v>
      </c>
      <c r="D627" s="1">
        <f t="shared" si="36"/>
        <v>2.2159999999999958E-3</v>
      </c>
      <c r="E627">
        <f t="shared" si="37"/>
        <v>3</v>
      </c>
      <c r="F627">
        <f t="shared" si="38"/>
        <v>11</v>
      </c>
      <c r="G627">
        <f t="shared" si="39"/>
        <v>3.18</v>
      </c>
    </row>
    <row r="628" spans="1:7" hidden="1" x14ac:dyDescent="0.25">
      <c r="A628" s="4" t="s">
        <v>120</v>
      </c>
      <c r="B628" s="1">
        <v>2.4251999999999999E-2</v>
      </c>
      <c r="C628" s="1">
        <v>2.2828000000000001E-2</v>
      </c>
      <c r="D628" s="1">
        <f t="shared" si="36"/>
        <v>1.4239999999999982E-3</v>
      </c>
      <c r="E628">
        <f t="shared" si="37"/>
        <v>2</v>
      </c>
      <c r="F628">
        <f t="shared" si="38"/>
        <v>3</v>
      </c>
      <c r="G628">
        <f t="shared" si="39"/>
        <v>2.0499999999999998</v>
      </c>
    </row>
    <row r="629" spans="1:7" hidden="1" x14ac:dyDescent="0.25">
      <c r="A629" s="4" t="s">
        <v>121</v>
      </c>
      <c r="B629" s="1">
        <v>0.49061199999999999</v>
      </c>
      <c r="C629" s="1">
        <v>0.48800399999999999</v>
      </c>
      <c r="D629" s="1">
        <f t="shared" si="36"/>
        <v>2.6079999999999992E-3</v>
      </c>
      <c r="E629">
        <f t="shared" si="37"/>
        <v>3</v>
      </c>
      <c r="F629">
        <f t="shared" si="38"/>
        <v>45</v>
      </c>
      <c r="G629">
        <f t="shared" si="39"/>
        <v>3.75</v>
      </c>
    </row>
    <row r="630" spans="1:7" hidden="1" x14ac:dyDescent="0.25">
      <c r="A630" s="4" t="s">
        <v>122</v>
      </c>
      <c r="B630" s="1">
        <v>0.68302600000000002</v>
      </c>
      <c r="C630" s="1">
        <v>0.68075799999999997</v>
      </c>
      <c r="D630" s="1">
        <f t="shared" si="36"/>
        <v>2.2680000000000478E-3</v>
      </c>
      <c r="E630">
        <f t="shared" si="37"/>
        <v>3</v>
      </c>
      <c r="F630">
        <f t="shared" si="38"/>
        <v>16</v>
      </c>
      <c r="G630">
        <f t="shared" si="39"/>
        <v>3.27</v>
      </c>
    </row>
    <row r="631" spans="1:7" hidden="1" x14ac:dyDescent="0.25">
      <c r="A631" s="4" t="s">
        <v>123</v>
      </c>
      <c r="B631" s="1">
        <v>0.38374799999999998</v>
      </c>
      <c r="C631" s="1">
        <v>0.38646399999999997</v>
      </c>
      <c r="D631" s="1">
        <f t="shared" si="36"/>
        <v>2.7159999999999962E-3</v>
      </c>
      <c r="E631">
        <f t="shared" si="37"/>
        <v>3</v>
      </c>
      <c r="F631">
        <f t="shared" si="38"/>
        <v>55</v>
      </c>
      <c r="G631">
        <f t="shared" si="39"/>
        <v>3.92</v>
      </c>
    </row>
    <row r="632" spans="1:7" hidden="1" x14ac:dyDescent="0.25">
      <c r="A632" s="4" t="s">
        <v>124</v>
      </c>
      <c r="B632" s="1">
        <v>5.1858000000000001E-2</v>
      </c>
      <c r="C632" s="1">
        <v>5.5253999999999998E-2</v>
      </c>
      <c r="D632" s="1">
        <f t="shared" si="36"/>
        <v>3.3959999999999962E-3</v>
      </c>
      <c r="E632">
        <f t="shared" si="37"/>
        <v>4</v>
      </c>
      <c r="F632">
        <f t="shared" si="38"/>
        <v>53</v>
      </c>
      <c r="G632">
        <f t="shared" si="39"/>
        <v>4.88</v>
      </c>
    </row>
    <row r="633" spans="1:7" hidden="1" x14ac:dyDescent="0.25">
      <c r="A633" s="4" t="s">
        <v>125</v>
      </c>
      <c r="B633" s="1">
        <v>0.56990099999999999</v>
      </c>
      <c r="C633" s="1">
        <v>0.57219699999999996</v>
      </c>
      <c r="D633" s="1">
        <f t="shared" si="36"/>
        <v>2.2959999999999647E-3</v>
      </c>
      <c r="E633">
        <f t="shared" si="37"/>
        <v>3</v>
      </c>
      <c r="F633">
        <f t="shared" si="38"/>
        <v>18</v>
      </c>
      <c r="G633">
        <f t="shared" si="39"/>
        <v>3.3</v>
      </c>
    </row>
    <row r="634" spans="1:7" hidden="1" x14ac:dyDescent="0.25">
      <c r="A634" s="4" t="s">
        <v>87</v>
      </c>
      <c r="B634" s="1">
        <v>0.44867299999999999</v>
      </c>
      <c r="C634" s="1">
        <v>0.45009300000000002</v>
      </c>
      <c r="D634" s="1">
        <f t="shared" si="36"/>
        <v>1.4200000000000323E-3</v>
      </c>
      <c r="E634">
        <f t="shared" si="37"/>
        <v>2</v>
      </c>
      <c r="F634">
        <f t="shared" si="38"/>
        <v>3</v>
      </c>
      <c r="G634">
        <f t="shared" si="39"/>
        <v>2.0499999999999998</v>
      </c>
    </row>
    <row r="635" spans="1:7" hidden="1" x14ac:dyDescent="0.25">
      <c r="A635" s="4" t="s">
        <v>126</v>
      </c>
      <c r="B635" s="1">
        <v>0.80859300000000001</v>
      </c>
      <c r="C635" s="1">
        <v>0.80629700000000004</v>
      </c>
      <c r="D635" s="1">
        <f t="shared" si="36"/>
        <v>2.2959999999999647E-3</v>
      </c>
      <c r="E635">
        <f t="shared" si="37"/>
        <v>3</v>
      </c>
      <c r="F635">
        <f t="shared" si="38"/>
        <v>18</v>
      </c>
      <c r="G635">
        <f t="shared" si="39"/>
        <v>3.3</v>
      </c>
    </row>
    <row r="636" spans="1:7" hidden="1" x14ac:dyDescent="0.25">
      <c r="A636" s="4" t="s">
        <v>127</v>
      </c>
      <c r="B636" s="1">
        <v>0.82420800000000005</v>
      </c>
      <c r="C636" s="1">
        <v>0.82768799999999998</v>
      </c>
      <c r="D636" s="1">
        <f t="shared" si="36"/>
        <v>3.4799999999999276E-3</v>
      </c>
      <c r="E636">
        <f t="shared" si="37"/>
        <v>5</v>
      </c>
      <c r="F636">
        <f t="shared" si="38"/>
        <v>1</v>
      </c>
      <c r="G636">
        <f t="shared" si="39"/>
        <v>5.0199999999999996</v>
      </c>
    </row>
    <row r="637" spans="1:7" hidden="1" x14ac:dyDescent="0.25">
      <c r="A637" s="4" t="s">
        <v>128</v>
      </c>
      <c r="B637" s="1">
        <v>6.3480999999999996E-2</v>
      </c>
      <c r="C637" s="1">
        <v>6.6905000000000006E-2</v>
      </c>
      <c r="D637" s="1">
        <f t="shared" si="36"/>
        <v>3.4240000000000104E-3</v>
      </c>
      <c r="E637">
        <f t="shared" si="37"/>
        <v>4</v>
      </c>
      <c r="F637">
        <f t="shared" si="38"/>
        <v>56</v>
      </c>
      <c r="G637">
        <f t="shared" si="39"/>
        <v>4.93</v>
      </c>
    </row>
    <row r="638" spans="1:7" hidden="1" x14ac:dyDescent="0.25">
      <c r="A638" s="4" t="s">
        <v>129</v>
      </c>
      <c r="B638" s="1">
        <v>0.89078199999999996</v>
      </c>
      <c r="C638" s="1">
        <v>0.89239400000000002</v>
      </c>
      <c r="D638" s="1">
        <f t="shared" si="36"/>
        <v>1.6120000000000578E-3</v>
      </c>
      <c r="E638">
        <f t="shared" si="37"/>
        <v>2</v>
      </c>
      <c r="F638">
        <f t="shared" si="38"/>
        <v>19</v>
      </c>
      <c r="G638">
        <f t="shared" si="39"/>
        <v>2.3199999999999998</v>
      </c>
    </row>
    <row r="639" spans="1:7" hidden="1" x14ac:dyDescent="0.25">
      <c r="A639" s="4" t="s">
        <v>130</v>
      </c>
      <c r="B639" s="1">
        <v>0.54161700000000002</v>
      </c>
      <c r="C639" s="1">
        <v>0.53762900000000002</v>
      </c>
      <c r="D639" s="1">
        <f t="shared" si="36"/>
        <v>3.9879999999999916E-3</v>
      </c>
      <c r="E639">
        <f t="shared" si="37"/>
        <v>5</v>
      </c>
      <c r="F639">
        <f t="shared" si="38"/>
        <v>45</v>
      </c>
      <c r="G639">
        <f t="shared" si="39"/>
        <v>5.75</v>
      </c>
    </row>
    <row r="640" spans="1:7" hidden="1" x14ac:dyDescent="0.25">
      <c r="A640" s="4" t="s">
        <v>131</v>
      </c>
      <c r="B640" s="1">
        <v>5.3295000000000002E-2</v>
      </c>
      <c r="C640" s="1">
        <v>5.0727000000000001E-2</v>
      </c>
      <c r="D640" s="1">
        <f t="shared" si="36"/>
        <v>2.5680000000000008E-3</v>
      </c>
      <c r="E640">
        <f t="shared" si="37"/>
        <v>3</v>
      </c>
      <c r="F640">
        <f t="shared" si="38"/>
        <v>42</v>
      </c>
      <c r="G640">
        <f t="shared" si="39"/>
        <v>3.7</v>
      </c>
    </row>
    <row r="641" spans="1:7" hidden="1" x14ac:dyDescent="0.25">
      <c r="A641" s="4" t="s">
        <v>132</v>
      </c>
      <c r="B641" s="1">
        <v>6.6352999999999995E-2</v>
      </c>
      <c r="C641" s="1">
        <v>6.3589000000000007E-2</v>
      </c>
      <c r="D641" s="1">
        <f t="shared" si="36"/>
        <v>2.7639999999999887E-3</v>
      </c>
      <c r="E641">
        <f t="shared" si="37"/>
        <v>3</v>
      </c>
      <c r="F641">
        <f t="shared" si="38"/>
        <v>59</v>
      </c>
      <c r="G641">
        <f t="shared" si="39"/>
        <v>3.98</v>
      </c>
    </row>
    <row r="642" spans="1:7" hidden="1" x14ac:dyDescent="0.25">
      <c r="A642" s="4" t="s">
        <v>179</v>
      </c>
      <c r="B642" s="1">
        <v>0.92008900000000005</v>
      </c>
      <c r="C642" s="1">
        <v>0.92382900000000001</v>
      </c>
      <c r="D642" s="1">
        <f t="shared" si="36"/>
        <v>3.7399999999999656E-3</v>
      </c>
      <c r="E642">
        <f t="shared" si="37"/>
        <v>5</v>
      </c>
      <c r="F642">
        <f t="shared" si="38"/>
        <v>23</v>
      </c>
      <c r="G642">
        <f t="shared" si="39"/>
        <v>5.38</v>
      </c>
    </row>
    <row r="643" spans="1:7" hidden="1" x14ac:dyDescent="0.25">
      <c r="A643" s="4" t="s">
        <v>134</v>
      </c>
      <c r="B643" s="1">
        <v>0.16026199999999999</v>
      </c>
      <c r="C643" s="1">
        <v>0.16416600000000001</v>
      </c>
      <c r="D643" s="1">
        <f t="shared" ref="D643:D706" si="40">IF(B643&gt;C643,B643-C643,C643-B643)</f>
        <v>3.9040000000000186E-3</v>
      </c>
      <c r="E643">
        <f t="shared" ref="E643:E706" si="41">MINUTE(D643)</f>
        <v>5</v>
      </c>
      <c r="F643">
        <f t="shared" ref="F643:F706" si="42">SECOND(D643)</f>
        <v>37</v>
      </c>
      <c r="G643">
        <f t="shared" ref="G643:G706" si="43">ROUND(E643+F643/60,2)</f>
        <v>5.62</v>
      </c>
    </row>
    <row r="644" spans="1:7" hidden="1" x14ac:dyDescent="0.25">
      <c r="A644" s="4" t="s">
        <v>135</v>
      </c>
      <c r="B644" s="1">
        <v>2.2994000000000001E-2</v>
      </c>
      <c r="C644" s="1">
        <v>2.5885999999999999E-2</v>
      </c>
      <c r="D644" s="1">
        <f t="shared" si="40"/>
        <v>2.8919999999999987E-3</v>
      </c>
      <c r="E644">
        <f t="shared" si="41"/>
        <v>4</v>
      </c>
      <c r="F644">
        <f t="shared" si="42"/>
        <v>10</v>
      </c>
      <c r="G644">
        <f t="shared" si="43"/>
        <v>4.17</v>
      </c>
    </row>
    <row r="645" spans="1:7" hidden="1" x14ac:dyDescent="0.25">
      <c r="A645" s="4" t="s">
        <v>136</v>
      </c>
      <c r="B645" s="1">
        <v>0.67697099999999999</v>
      </c>
      <c r="C645" s="1">
        <v>0.67554700000000001</v>
      </c>
      <c r="D645" s="1">
        <f t="shared" si="40"/>
        <v>1.4239999999999808E-3</v>
      </c>
      <c r="E645">
        <f t="shared" si="41"/>
        <v>2</v>
      </c>
      <c r="F645">
        <f t="shared" si="42"/>
        <v>3</v>
      </c>
      <c r="G645">
        <f t="shared" si="43"/>
        <v>2.0499999999999998</v>
      </c>
    </row>
    <row r="646" spans="1:7" hidden="1" x14ac:dyDescent="0.25">
      <c r="A646" s="4" t="s">
        <v>137</v>
      </c>
      <c r="B646" s="1">
        <v>0.78898900000000005</v>
      </c>
      <c r="C646" s="1">
        <v>0.78733299999999995</v>
      </c>
      <c r="D646" s="1">
        <f t="shared" si="40"/>
        <v>1.6560000000001018E-3</v>
      </c>
      <c r="E646">
        <f t="shared" si="41"/>
        <v>2</v>
      </c>
      <c r="F646">
        <f t="shared" si="42"/>
        <v>23</v>
      </c>
      <c r="G646">
        <f t="shared" si="43"/>
        <v>2.38</v>
      </c>
    </row>
    <row r="647" spans="1:7" hidden="1" x14ac:dyDescent="0.25">
      <c r="A647" s="4" t="s">
        <v>138</v>
      </c>
      <c r="B647" s="1">
        <v>0.94605499999999998</v>
      </c>
      <c r="C647" s="1">
        <v>0.94314699999999996</v>
      </c>
      <c r="D647" s="1">
        <f t="shared" si="40"/>
        <v>2.9080000000000217E-3</v>
      </c>
      <c r="E647">
        <f t="shared" si="41"/>
        <v>4</v>
      </c>
      <c r="F647">
        <f t="shared" si="42"/>
        <v>11</v>
      </c>
      <c r="G647">
        <f t="shared" si="43"/>
        <v>4.18</v>
      </c>
    </row>
    <row r="648" spans="1:7" hidden="1" x14ac:dyDescent="0.25">
      <c r="A648" s="4" t="s">
        <v>139</v>
      </c>
      <c r="B648" s="1">
        <v>0.28436099999999997</v>
      </c>
      <c r="C648" s="1">
        <v>0.286385</v>
      </c>
      <c r="D648" s="1">
        <f t="shared" si="40"/>
        <v>2.0240000000000258E-3</v>
      </c>
      <c r="E648">
        <f t="shared" si="41"/>
        <v>2</v>
      </c>
      <c r="F648">
        <f t="shared" si="42"/>
        <v>55</v>
      </c>
      <c r="G648">
        <f t="shared" si="43"/>
        <v>2.92</v>
      </c>
    </row>
    <row r="649" spans="1:7" hidden="1" x14ac:dyDescent="0.25">
      <c r="A649" s="4" t="s">
        <v>140</v>
      </c>
      <c r="B649" s="1">
        <v>0.90234800000000004</v>
      </c>
      <c r="C649" s="1">
        <v>0.89943600000000001</v>
      </c>
      <c r="D649" s="1">
        <f t="shared" si="40"/>
        <v>2.9120000000000257E-3</v>
      </c>
      <c r="E649">
        <f t="shared" si="41"/>
        <v>4</v>
      </c>
      <c r="F649">
        <f t="shared" si="42"/>
        <v>12</v>
      </c>
      <c r="G649">
        <f t="shared" si="43"/>
        <v>4.2</v>
      </c>
    </row>
    <row r="650" spans="1:7" hidden="1" x14ac:dyDescent="0.25">
      <c r="A650" s="4" t="s">
        <v>141</v>
      </c>
      <c r="B650" s="1">
        <v>0.85301000000000005</v>
      </c>
      <c r="C650" s="1">
        <v>0.85059799999999997</v>
      </c>
      <c r="D650" s="1">
        <f t="shared" si="40"/>
        <v>2.4120000000000807E-3</v>
      </c>
      <c r="E650">
        <f t="shared" si="41"/>
        <v>3</v>
      </c>
      <c r="F650">
        <f t="shared" si="42"/>
        <v>28</v>
      </c>
      <c r="G650">
        <f t="shared" si="43"/>
        <v>3.47</v>
      </c>
    </row>
    <row r="651" spans="1:7" hidden="1" x14ac:dyDescent="0.25">
      <c r="A651" s="4" t="s">
        <v>142</v>
      </c>
      <c r="B651" s="1">
        <v>0.24293500000000001</v>
      </c>
      <c r="C651" s="1">
        <v>0.24593100000000001</v>
      </c>
      <c r="D651" s="1">
        <f t="shared" si="40"/>
        <v>2.9959999999999987E-3</v>
      </c>
      <c r="E651">
        <f t="shared" si="41"/>
        <v>4</v>
      </c>
      <c r="F651">
        <f t="shared" si="42"/>
        <v>19</v>
      </c>
      <c r="G651">
        <f t="shared" si="43"/>
        <v>4.32</v>
      </c>
    </row>
    <row r="652" spans="1:7" hidden="1" x14ac:dyDescent="0.25">
      <c r="A652" s="4" t="s">
        <v>143</v>
      </c>
      <c r="B652" s="1">
        <v>0.80431299999999994</v>
      </c>
      <c r="C652" s="1">
        <v>0.80078099999999997</v>
      </c>
      <c r="D652" s="1">
        <f t="shared" si="40"/>
        <v>3.5319999999999796E-3</v>
      </c>
      <c r="E652">
        <f t="shared" si="41"/>
        <v>5</v>
      </c>
      <c r="F652">
        <f t="shared" si="42"/>
        <v>5</v>
      </c>
      <c r="G652">
        <f t="shared" si="43"/>
        <v>5.08</v>
      </c>
    </row>
    <row r="653" spans="1:7" hidden="1" x14ac:dyDescent="0.25">
      <c r="A653" s="4" t="s">
        <v>144</v>
      </c>
      <c r="B653" s="1">
        <v>0.73835600000000001</v>
      </c>
      <c r="C653" s="1">
        <v>0.73983200000000005</v>
      </c>
      <c r="D653" s="1">
        <f t="shared" si="40"/>
        <v>1.4760000000000328E-3</v>
      </c>
      <c r="E653">
        <f t="shared" si="41"/>
        <v>2</v>
      </c>
      <c r="F653">
        <f t="shared" si="42"/>
        <v>8</v>
      </c>
      <c r="G653">
        <f t="shared" si="43"/>
        <v>2.13</v>
      </c>
    </row>
    <row r="654" spans="1:7" hidden="1" x14ac:dyDescent="0.25">
      <c r="A654" s="4" t="s">
        <v>145</v>
      </c>
      <c r="B654" s="1">
        <v>0.47162799999999999</v>
      </c>
      <c r="C654" s="1">
        <v>0.46820800000000001</v>
      </c>
      <c r="D654" s="1">
        <f t="shared" si="40"/>
        <v>3.4199999999999786E-3</v>
      </c>
      <c r="E654">
        <f t="shared" si="41"/>
        <v>4</v>
      </c>
      <c r="F654">
        <f t="shared" si="42"/>
        <v>55</v>
      </c>
      <c r="G654">
        <f t="shared" si="43"/>
        <v>4.92</v>
      </c>
    </row>
    <row r="655" spans="1:7" hidden="1" x14ac:dyDescent="0.25">
      <c r="A655" s="4" t="s">
        <v>146</v>
      </c>
      <c r="B655" s="1">
        <v>0.72777400000000003</v>
      </c>
      <c r="C655" s="1">
        <v>0.72487400000000002</v>
      </c>
      <c r="D655" s="1">
        <f t="shared" si="40"/>
        <v>2.9000000000000137E-3</v>
      </c>
      <c r="E655">
        <f t="shared" si="41"/>
        <v>4</v>
      </c>
      <c r="F655">
        <f t="shared" si="42"/>
        <v>11</v>
      </c>
      <c r="G655">
        <f t="shared" si="43"/>
        <v>4.18</v>
      </c>
    </row>
    <row r="656" spans="1:7" hidden="1" x14ac:dyDescent="0.25">
      <c r="A656" s="4" t="s">
        <v>147</v>
      </c>
      <c r="B656" s="1">
        <v>0.42548399999999997</v>
      </c>
      <c r="C656" s="1">
        <v>0.42727199999999999</v>
      </c>
      <c r="D656" s="1">
        <f t="shared" si="40"/>
        <v>1.7880000000000118E-3</v>
      </c>
      <c r="E656">
        <f t="shared" si="41"/>
        <v>2</v>
      </c>
      <c r="F656">
        <f t="shared" si="42"/>
        <v>34</v>
      </c>
      <c r="G656">
        <f t="shared" si="43"/>
        <v>2.57</v>
      </c>
    </row>
    <row r="657" spans="1:7" hidden="1" x14ac:dyDescent="0.25">
      <c r="A657" s="4" t="s">
        <v>148</v>
      </c>
      <c r="B657" s="1">
        <v>0.84191199999999999</v>
      </c>
      <c r="C657" s="1">
        <v>0.84441600000000006</v>
      </c>
      <c r="D657" s="1">
        <f t="shared" si="40"/>
        <v>2.5040000000000617E-3</v>
      </c>
      <c r="E657">
        <f t="shared" si="41"/>
        <v>3</v>
      </c>
      <c r="F657">
        <f t="shared" si="42"/>
        <v>36</v>
      </c>
      <c r="G657">
        <f t="shared" si="43"/>
        <v>3.6</v>
      </c>
    </row>
    <row r="658" spans="1:7" hidden="1" x14ac:dyDescent="0.25">
      <c r="A658" s="4" t="s">
        <v>149</v>
      </c>
      <c r="B658" s="1">
        <v>0.84406099999999995</v>
      </c>
      <c r="C658" s="1">
        <v>0.84692100000000003</v>
      </c>
      <c r="D658" s="1">
        <f t="shared" si="40"/>
        <v>2.8600000000000847E-3</v>
      </c>
      <c r="E658">
        <f t="shared" si="41"/>
        <v>4</v>
      </c>
      <c r="F658">
        <f t="shared" si="42"/>
        <v>7</v>
      </c>
      <c r="G658">
        <f t="shared" si="43"/>
        <v>4.12</v>
      </c>
    </row>
    <row r="659" spans="1:7" hidden="1" x14ac:dyDescent="0.25">
      <c r="A659" s="4" t="s">
        <v>150</v>
      </c>
      <c r="B659" s="1">
        <v>0.71468200000000004</v>
      </c>
      <c r="C659" s="1">
        <v>0.71811000000000003</v>
      </c>
      <c r="D659" s="1">
        <f t="shared" si="40"/>
        <v>3.4279999999999866E-3</v>
      </c>
      <c r="E659">
        <f t="shared" si="41"/>
        <v>4</v>
      </c>
      <c r="F659">
        <f t="shared" si="42"/>
        <v>56</v>
      </c>
      <c r="G659">
        <f t="shared" si="43"/>
        <v>4.93</v>
      </c>
    </row>
    <row r="660" spans="1:7" hidden="1" x14ac:dyDescent="0.25">
      <c r="A660" s="4" t="s">
        <v>180</v>
      </c>
      <c r="B660" s="1">
        <v>0.14814099999999999</v>
      </c>
      <c r="C660" s="1">
        <v>0.14450499999999999</v>
      </c>
      <c r="D660" s="1">
        <f t="shared" si="40"/>
        <v>3.6360000000000003E-3</v>
      </c>
      <c r="E660">
        <f t="shared" si="41"/>
        <v>5</v>
      </c>
      <c r="F660">
        <f t="shared" si="42"/>
        <v>14</v>
      </c>
      <c r="G660">
        <f t="shared" si="43"/>
        <v>5.23</v>
      </c>
    </row>
    <row r="661" spans="1:7" hidden="1" x14ac:dyDescent="0.25">
      <c r="A661" s="4" t="s">
        <v>152</v>
      </c>
      <c r="B661" s="1">
        <v>0.76902999999999999</v>
      </c>
      <c r="C661" s="1">
        <v>0.76503399999999999</v>
      </c>
      <c r="D661" s="1">
        <f t="shared" si="40"/>
        <v>3.9959999999999996E-3</v>
      </c>
      <c r="E661">
        <f t="shared" si="41"/>
        <v>5</v>
      </c>
      <c r="F661">
        <f t="shared" si="42"/>
        <v>45</v>
      </c>
      <c r="G661">
        <f t="shared" si="43"/>
        <v>5.75</v>
      </c>
    </row>
    <row r="662" spans="1:7" hidden="1" x14ac:dyDescent="0.25">
      <c r="A662" s="4" t="s">
        <v>153</v>
      </c>
      <c r="B662" s="1">
        <v>0.36479400000000001</v>
      </c>
      <c r="C662" s="1">
        <v>0.36725799999999997</v>
      </c>
      <c r="D662" s="1">
        <f t="shared" si="40"/>
        <v>2.4639999999999662E-3</v>
      </c>
      <c r="E662">
        <f t="shared" si="41"/>
        <v>3</v>
      </c>
      <c r="F662">
        <f t="shared" si="42"/>
        <v>33</v>
      </c>
      <c r="G662">
        <f t="shared" si="43"/>
        <v>3.55</v>
      </c>
    </row>
    <row r="663" spans="1:7" hidden="1" x14ac:dyDescent="0.25">
      <c r="A663" s="4" t="s">
        <v>154</v>
      </c>
      <c r="B663" s="1">
        <v>0.53641000000000005</v>
      </c>
      <c r="C663" s="1">
        <v>0.53306200000000004</v>
      </c>
      <c r="D663" s="1">
        <f t="shared" si="40"/>
        <v>3.3480000000000176E-3</v>
      </c>
      <c r="E663">
        <f t="shared" si="41"/>
        <v>4</v>
      </c>
      <c r="F663">
        <f t="shared" si="42"/>
        <v>49</v>
      </c>
      <c r="G663">
        <f t="shared" si="43"/>
        <v>4.82</v>
      </c>
    </row>
    <row r="664" spans="1:7" hidden="1" x14ac:dyDescent="0.25">
      <c r="A664" s="4" t="s">
        <v>155</v>
      </c>
      <c r="B664" s="1">
        <v>0.38238299999999997</v>
      </c>
      <c r="C664" s="1">
        <v>0.38064700000000001</v>
      </c>
      <c r="D664" s="1">
        <f t="shared" si="40"/>
        <v>1.7359999999999598E-3</v>
      </c>
      <c r="E664">
        <f t="shared" si="41"/>
        <v>2</v>
      </c>
      <c r="F664">
        <f t="shared" si="42"/>
        <v>30</v>
      </c>
      <c r="G664">
        <f t="shared" si="43"/>
        <v>2.5</v>
      </c>
    </row>
    <row r="665" spans="1:7" hidden="1" x14ac:dyDescent="0.25">
      <c r="A665" s="4" t="s">
        <v>156</v>
      </c>
      <c r="B665" s="1">
        <v>0.47500999999999999</v>
      </c>
      <c r="C665" s="1">
        <v>0.47900199999999998</v>
      </c>
      <c r="D665" s="1">
        <f t="shared" si="40"/>
        <v>3.9919999999999956E-3</v>
      </c>
      <c r="E665">
        <f t="shared" si="41"/>
        <v>5</v>
      </c>
      <c r="F665">
        <f t="shared" si="42"/>
        <v>45</v>
      </c>
      <c r="G665">
        <f t="shared" si="43"/>
        <v>5.75</v>
      </c>
    </row>
    <row r="666" spans="1:7" hidden="1" x14ac:dyDescent="0.25">
      <c r="A666" s="4" t="s">
        <v>157</v>
      </c>
      <c r="B666" s="1">
        <v>0.72528599999999999</v>
      </c>
      <c r="C666" s="1">
        <v>0.72699800000000003</v>
      </c>
      <c r="D666" s="1">
        <f t="shared" si="40"/>
        <v>1.7120000000000468E-3</v>
      </c>
      <c r="E666">
        <f t="shared" si="41"/>
        <v>2</v>
      </c>
      <c r="F666">
        <f t="shared" si="42"/>
        <v>28</v>
      </c>
      <c r="G666">
        <f t="shared" si="43"/>
        <v>2.4700000000000002</v>
      </c>
    </row>
    <row r="667" spans="1:7" hidden="1" x14ac:dyDescent="0.25">
      <c r="A667" s="4" t="s">
        <v>158</v>
      </c>
      <c r="B667" s="1">
        <v>0.58547800000000005</v>
      </c>
      <c r="C667" s="1">
        <v>0.58823000000000003</v>
      </c>
      <c r="D667" s="1">
        <f t="shared" si="40"/>
        <v>2.7519999999999767E-3</v>
      </c>
      <c r="E667">
        <f t="shared" si="41"/>
        <v>3</v>
      </c>
      <c r="F667">
        <f t="shared" si="42"/>
        <v>58</v>
      </c>
      <c r="G667">
        <f t="shared" si="43"/>
        <v>3.97</v>
      </c>
    </row>
    <row r="668" spans="1:7" hidden="1" x14ac:dyDescent="0.25">
      <c r="A668" s="4" t="s">
        <v>159</v>
      </c>
      <c r="B668" s="1">
        <v>0.37415799999999999</v>
      </c>
      <c r="C668" s="1">
        <v>0.375778</v>
      </c>
      <c r="D668" s="1">
        <f t="shared" si="40"/>
        <v>1.6200000000000103E-3</v>
      </c>
      <c r="E668">
        <f t="shared" si="41"/>
        <v>2</v>
      </c>
      <c r="F668">
        <f t="shared" si="42"/>
        <v>20</v>
      </c>
      <c r="G668">
        <f t="shared" si="43"/>
        <v>2.33</v>
      </c>
    </row>
    <row r="669" spans="1:7" hidden="1" x14ac:dyDescent="0.25">
      <c r="A669" s="4" t="s">
        <v>160</v>
      </c>
      <c r="B669" s="1">
        <v>0.85336199999999995</v>
      </c>
      <c r="C669" s="1">
        <v>0.85630600000000001</v>
      </c>
      <c r="D669" s="1">
        <f t="shared" si="40"/>
        <v>2.9440000000000577E-3</v>
      </c>
      <c r="E669">
        <f t="shared" si="41"/>
        <v>4</v>
      </c>
      <c r="F669">
        <f t="shared" si="42"/>
        <v>14</v>
      </c>
      <c r="G669">
        <f t="shared" si="43"/>
        <v>4.2300000000000004</v>
      </c>
    </row>
    <row r="670" spans="1:7" hidden="1" x14ac:dyDescent="0.25">
      <c r="A670" s="4" t="s">
        <v>161</v>
      </c>
      <c r="B670" s="1">
        <v>0.87226400000000004</v>
      </c>
      <c r="C670" s="1">
        <v>0.86888399999999999</v>
      </c>
      <c r="D670" s="1">
        <f t="shared" si="40"/>
        <v>3.3800000000000496E-3</v>
      </c>
      <c r="E670">
        <f t="shared" si="41"/>
        <v>4</v>
      </c>
      <c r="F670">
        <f t="shared" si="42"/>
        <v>52</v>
      </c>
      <c r="G670">
        <f t="shared" si="43"/>
        <v>4.87</v>
      </c>
    </row>
    <row r="671" spans="1:7" hidden="1" x14ac:dyDescent="0.25">
      <c r="A671" s="4" t="s">
        <v>162</v>
      </c>
      <c r="B671" s="1">
        <v>0.42178399999999999</v>
      </c>
      <c r="C671" s="1">
        <v>0.42480400000000001</v>
      </c>
      <c r="D671" s="1">
        <f t="shared" si="40"/>
        <v>3.0200000000000227E-3</v>
      </c>
      <c r="E671">
        <f t="shared" si="41"/>
        <v>4</v>
      </c>
      <c r="F671">
        <f t="shared" si="42"/>
        <v>21</v>
      </c>
      <c r="G671">
        <f t="shared" si="43"/>
        <v>4.3499999999999996</v>
      </c>
    </row>
    <row r="672" spans="1:7" hidden="1" x14ac:dyDescent="0.25">
      <c r="A672" s="4" t="s">
        <v>163</v>
      </c>
      <c r="B672" s="1">
        <v>0.71701300000000001</v>
      </c>
      <c r="C672" s="1">
        <v>0.71365299999999998</v>
      </c>
      <c r="D672" s="1">
        <f t="shared" si="40"/>
        <v>3.3600000000000296E-3</v>
      </c>
      <c r="E672">
        <f t="shared" si="41"/>
        <v>4</v>
      </c>
      <c r="F672">
        <f t="shared" si="42"/>
        <v>50</v>
      </c>
      <c r="G672">
        <f t="shared" si="43"/>
        <v>4.83</v>
      </c>
    </row>
    <row r="673" spans="1:7" hidden="1" x14ac:dyDescent="0.25">
      <c r="A673" s="4" t="s">
        <v>107</v>
      </c>
      <c r="B673" s="1">
        <v>2.9825000000000001E-2</v>
      </c>
      <c r="C673" s="1">
        <v>3.3637E-2</v>
      </c>
      <c r="D673" s="1">
        <f t="shared" si="40"/>
        <v>3.8119999999999994E-3</v>
      </c>
      <c r="E673">
        <f t="shared" si="41"/>
        <v>5</v>
      </c>
      <c r="F673">
        <f t="shared" si="42"/>
        <v>29</v>
      </c>
      <c r="G673">
        <f t="shared" si="43"/>
        <v>5.48</v>
      </c>
    </row>
    <row r="674" spans="1:7" hidden="1" x14ac:dyDescent="0.25">
      <c r="A674" s="4" t="s">
        <v>16</v>
      </c>
      <c r="B674" s="1">
        <v>0.26755400000000001</v>
      </c>
      <c r="C674" s="1">
        <v>0.266042</v>
      </c>
      <c r="D674" s="1">
        <f t="shared" si="40"/>
        <v>1.5120000000000133E-3</v>
      </c>
      <c r="E674">
        <f t="shared" si="41"/>
        <v>2</v>
      </c>
      <c r="F674">
        <f t="shared" si="42"/>
        <v>11</v>
      </c>
      <c r="G674">
        <f t="shared" si="43"/>
        <v>2.1800000000000002</v>
      </c>
    </row>
    <row r="675" spans="1:7" hidden="1" x14ac:dyDescent="0.25">
      <c r="A675" s="4" t="s">
        <v>64</v>
      </c>
      <c r="B675" s="1">
        <v>0.184341</v>
      </c>
      <c r="C675" s="1">
        <v>0.18803700000000001</v>
      </c>
      <c r="D675" s="1">
        <f t="shared" si="40"/>
        <v>3.6960000000000048E-3</v>
      </c>
      <c r="E675">
        <f t="shared" si="41"/>
        <v>5</v>
      </c>
      <c r="F675">
        <f t="shared" si="42"/>
        <v>19</v>
      </c>
      <c r="G675">
        <f t="shared" si="43"/>
        <v>5.32</v>
      </c>
    </row>
    <row r="676" spans="1:7" hidden="1" x14ac:dyDescent="0.25">
      <c r="A676" s="4" t="s">
        <v>155</v>
      </c>
      <c r="B676" s="1">
        <v>0.55934799999999996</v>
      </c>
      <c r="C676" s="1">
        <v>0.55619200000000002</v>
      </c>
      <c r="D676" s="1">
        <f t="shared" si="40"/>
        <v>3.1559999999999366E-3</v>
      </c>
      <c r="E676">
        <f t="shared" si="41"/>
        <v>4</v>
      </c>
      <c r="F676">
        <f t="shared" si="42"/>
        <v>33</v>
      </c>
      <c r="G676">
        <f t="shared" si="43"/>
        <v>4.55</v>
      </c>
    </row>
    <row r="677" spans="1:7" hidden="1" x14ac:dyDescent="0.25">
      <c r="A677" s="4" t="s">
        <v>74</v>
      </c>
      <c r="B677" s="1">
        <v>0.30348399999999998</v>
      </c>
      <c r="C677" s="1">
        <v>0.30182799999999999</v>
      </c>
      <c r="D677" s="1">
        <f t="shared" si="40"/>
        <v>1.6559999999999908E-3</v>
      </c>
      <c r="E677">
        <f t="shared" si="41"/>
        <v>2</v>
      </c>
      <c r="F677">
        <f t="shared" si="42"/>
        <v>23</v>
      </c>
      <c r="G677">
        <f t="shared" si="43"/>
        <v>2.38</v>
      </c>
    </row>
    <row r="678" spans="1:7" hidden="1" x14ac:dyDescent="0.25">
      <c r="A678" s="4" t="s">
        <v>21</v>
      </c>
      <c r="B678" s="1">
        <v>0.25031599999999998</v>
      </c>
      <c r="C678" s="1">
        <v>0.24890399999999999</v>
      </c>
      <c r="D678" s="1">
        <f t="shared" si="40"/>
        <v>1.4119999999999966E-3</v>
      </c>
      <c r="E678">
        <f t="shared" si="41"/>
        <v>2</v>
      </c>
      <c r="F678">
        <f t="shared" si="42"/>
        <v>2</v>
      </c>
      <c r="G678">
        <f t="shared" si="43"/>
        <v>2.0299999999999998</v>
      </c>
    </row>
    <row r="679" spans="1:7" hidden="1" x14ac:dyDescent="0.25">
      <c r="A679" s="4" t="s">
        <v>27</v>
      </c>
      <c r="B679" s="1">
        <v>7.0146E-2</v>
      </c>
      <c r="C679" s="1">
        <v>6.633E-2</v>
      </c>
      <c r="D679" s="1">
        <f t="shared" si="40"/>
        <v>3.8159999999999999E-3</v>
      </c>
      <c r="E679">
        <f t="shared" si="41"/>
        <v>5</v>
      </c>
      <c r="F679">
        <f t="shared" si="42"/>
        <v>30</v>
      </c>
      <c r="G679">
        <f t="shared" si="43"/>
        <v>5.5</v>
      </c>
    </row>
    <row r="680" spans="1:7" hidden="1" x14ac:dyDescent="0.25">
      <c r="A680" s="4" t="s">
        <v>83</v>
      </c>
      <c r="B680" s="1">
        <v>6.6768999999999995E-2</v>
      </c>
      <c r="C680" s="1">
        <v>6.9177000000000002E-2</v>
      </c>
      <c r="D680" s="1">
        <f t="shared" si="40"/>
        <v>2.4080000000000074E-3</v>
      </c>
      <c r="E680">
        <f t="shared" si="41"/>
        <v>3</v>
      </c>
      <c r="F680">
        <f t="shared" si="42"/>
        <v>28</v>
      </c>
      <c r="G680">
        <f t="shared" si="43"/>
        <v>3.47</v>
      </c>
    </row>
    <row r="681" spans="1:7" hidden="1" x14ac:dyDescent="0.25">
      <c r="A681" s="4" t="s">
        <v>60</v>
      </c>
      <c r="B681" s="1">
        <v>0.42548900000000001</v>
      </c>
      <c r="C681" s="1">
        <v>0.42702099999999998</v>
      </c>
      <c r="D681" s="1">
        <f t="shared" si="40"/>
        <v>1.5319999999999778E-3</v>
      </c>
      <c r="E681">
        <f t="shared" si="41"/>
        <v>2</v>
      </c>
      <c r="F681">
        <f t="shared" si="42"/>
        <v>12</v>
      </c>
      <c r="G681">
        <f t="shared" si="43"/>
        <v>2.2000000000000002</v>
      </c>
    </row>
    <row r="682" spans="1:7" hidden="1" x14ac:dyDescent="0.25">
      <c r="A682" s="4" t="s">
        <v>12</v>
      </c>
      <c r="B682" s="1">
        <v>0.67800800000000006</v>
      </c>
      <c r="C682" s="1">
        <v>0.67982399999999998</v>
      </c>
      <c r="D682" s="1">
        <f t="shared" si="40"/>
        <v>1.8159999999999288E-3</v>
      </c>
      <c r="E682">
        <f t="shared" si="41"/>
        <v>2</v>
      </c>
      <c r="F682">
        <f t="shared" si="42"/>
        <v>37</v>
      </c>
      <c r="G682">
        <f t="shared" si="43"/>
        <v>2.62</v>
      </c>
    </row>
    <row r="683" spans="1:7" hidden="1" x14ac:dyDescent="0.25">
      <c r="A683" s="4" t="s">
        <v>49</v>
      </c>
      <c r="B683" s="1">
        <v>0.76098399999999999</v>
      </c>
      <c r="C683" s="1">
        <v>0.75931599999999999</v>
      </c>
      <c r="D683" s="1">
        <f t="shared" si="40"/>
        <v>1.6680000000000028E-3</v>
      </c>
      <c r="E683">
        <f t="shared" si="41"/>
        <v>2</v>
      </c>
      <c r="F683">
        <f t="shared" si="42"/>
        <v>24</v>
      </c>
      <c r="G683">
        <f t="shared" si="43"/>
        <v>2.4</v>
      </c>
    </row>
    <row r="684" spans="1:7" hidden="1" x14ac:dyDescent="0.25">
      <c r="A684" s="4" t="s">
        <v>47</v>
      </c>
      <c r="B684" s="1">
        <v>0.203124</v>
      </c>
      <c r="C684" s="1">
        <v>0.204928</v>
      </c>
      <c r="D684" s="1">
        <f t="shared" si="40"/>
        <v>1.804E-3</v>
      </c>
      <c r="E684">
        <f t="shared" si="41"/>
        <v>2</v>
      </c>
      <c r="F684">
        <f t="shared" si="42"/>
        <v>36</v>
      </c>
      <c r="G684">
        <f t="shared" si="43"/>
        <v>2.6</v>
      </c>
    </row>
    <row r="685" spans="1:7" hidden="1" x14ac:dyDescent="0.25">
      <c r="A685" s="4" t="s">
        <v>41</v>
      </c>
      <c r="B685" s="1">
        <v>0.55237700000000001</v>
      </c>
      <c r="C685" s="1">
        <v>0.55376899999999996</v>
      </c>
      <c r="D685" s="1">
        <f t="shared" si="40"/>
        <v>1.3919999999999488E-3</v>
      </c>
      <c r="E685">
        <f t="shared" si="41"/>
        <v>2</v>
      </c>
      <c r="F685">
        <f t="shared" si="42"/>
        <v>0</v>
      </c>
      <c r="G685">
        <f t="shared" si="43"/>
        <v>2</v>
      </c>
    </row>
    <row r="686" spans="1:7" hidden="1" x14ac:dyDescent="0.25">
      <c r="A686" s="4" t="s">
        <v>117</v>
      </c>
      <c r="B686" s="1">
        <v>0.184863</v>
      </c>
      <c r="C686" s="1">
        <v>0.181919</v>
      </c>
      <c r="D686" s="1">
        <f t="shared" si="40"/>
        <v>2.9440000000000022E-3</v>
      </c>
      <c r="E686">
        <f t="shared" si="41"/>
        <v>4</v>
      </c>
      <c r="F686">
        <f t="shared" si="42"/>
        <v>14</v>
      </c>
      <c r="G686">
        <f t="shared" si="43"/>
        <v>4.2300000000000004</v>
      </c>
    </row>
    <row r="687" spans="1:7" hidden="1" x14ac:dyDescent="0.25">
      <c r="A687" s="4" t="s">
        <v>162</v>
      </c>
      <c r="B687" s="1">
        <v>0.15484700000000001</v>
      </c>
      <c r="C687" s="1">
        <v>0.152063</v>
      </c>
      <c r="D687" s="1">
        <f t="shared" si="40"/>
        <v>2.7840000000000087E-3</v>
      </c>
      <c r="E687">
        <f t="shared" si="41"/>
        <v>4</v>
      </c>
      <c r="F687">
        <f t="shared" si="42"/>
        <v>1</v>
      </c>
      <c r="G687">
        <f t="shared" si="43"/>
        <v>4.0199999999999996</v>
      </c>
    </row>
    <row r="688" spans="1:7" hidden="1" x14ac:dyDescent="0.25">
      <c r="A688" s="4" t="s">
        <v>5</v>
      </c>
      <c r="B688" s="1">
        <v>0.19459099999999999</v>
      </c>
      <c r="C688" s="1">
        <v>0.196183</v>
      </c>
      <c r="D688" s="1">
        <f t="shared" si="40"/>
        <v>1.5920000000000101E-3</v>
      </c>
      <c r="E688">
        <f t="shared" si="41"/>
        <v>2</v>
      </c>
      <c r="F688">
        <f t="shared" si="42"/>
        <v>18</v>
      </c>
      <c r="G688">
        <f t="shared" si="43"/>
        <v>2.2999999999999998</v>
      </c>
    </row>
    <row r="689" spans="1:7" hidden="1" x14ac:dyDescent="0.25">
      <c r="A689" s="4" t="s">
        <v>109</v>
      </c>
      <c r="B689" s="1">
        <v>0.36385299999999998</v>
      </c>
      <c r="C689" s="1">
        <v>0.36585299999999998</v>
      </c>
      <c r="D689" s="1">
        <f t="shared" si="40"/>
        <v>2.0000000000000018E-3</v>
      </c>
      <c r="E689">
        <f t="shared" si="41"/>
        <v>2</v>
      </c>
      <c r="F689">
        <f t="shared" si="42"/>
        <v>53</v>
      </c>
      <c r="G689">
        <f t="shared" si="43"/>
        <v>2.88</v>
      </c>
    </row>
    <row r="690" spans="1:7" hidden="1" x14ac:dyDescent="0.25">
      <c r="A690" s="4" t="s">
        <v>75</v>
      </c>
      <c r="B690" s="1">
        <v>0.33326600000000001</v>
      </c>
      <c r="C690" s="1">
        <v>0.32928600000000002</v>
      </c>
      <c r="D690" s="1">
        <f t="shared" si="40"/>
        <v>3.9799999999999836E-3</v>
      </c>
      <c r="E690">
        <f t="shared" si="41"/>
        <v>5</v>
      </c>
      <c r="F690">
        <f t="shared" si="42"/>
        <v>44</v>
      </c>
      <c r="G690">
        <f t="shared" si="43"/>
        <v>5.73</v>
      </c>
    </row>
    <row r="691" spans="1:7" hidden="1" x14ac:dyDescent="0.25">
      <c r="A691" s="4" t="s">
        <v>75</v>
      </c>
      <c r="B691" s="1">
        <v>0.75790400000000002</v>
      </c>
      <c r="C691" s="1">
        <v>0.75648000000000004</v>
      </c>
      <c r="D691" s="1">
        <f t="shared" si="40"/>
        <v>1.4239999999999808E-3</v>
      </c>
      <c r="E691">
        <f t="shared" si="41"/>
        <v>2</v>
      </c>
      <c r="F691">
        <f t="shared" si="42"/>
        <v>3</v>
      </c>
      <c r="G691">
        <f t="shared" si="43"/>
        <v>2.0499999999999998</v>
      </c>
    </row>
    <row r="692" spans="1:7" hidden="1" x14ac:dyDescent="0.25">
      <c r="A692" s="4" t="s">
        <v>68</v>
      </c>
      <c r="B692" s="1">
        <v>0.40887499999999999</v>
      </c>
      <c r="C692" s="1">
        <v>0.40652700000000003</v>
      </c>
      <c r="D692" s="1">
        <f t="shared" si="40"/>
        <v>2.3479999999999612E-3</v>
      </c>
      <c r="E692">
        <f t="shared" si="41"/>
        <v>3</v>
      </c>
      <c r="F692">
        <f t="shared" si="42"/>
        <v>23</v>
      </c>
      <c r="G692">
        <f t="shared" si="43"/>
        <v>3.38</v>
      </c>
    </row>
    <row r="693" spans="1:7" hidden="1" x14ac:dyDescent="0.25">
      <c r="A693" s="4" t="s">
        <v>72</v>
      </c>
      <c r="B693" s="1">
        <v>0.44072499999999998</v>
      </c>
      <c r="C693" s="1">
        <v>0.43829299999999999</v>
      </c>
      <c r="D693" s="1">
        <f t="shared" si="40"/>
        <v>2.4319999999999897E-3</v>
      </c>
      <c r="E693">
        <f t="shared" si="41"/>
        <v>3</v>
      </c>
      <c r="F693">
        <f t="shared" si="42"/>
        <v>30</v>
      </c>
      <c r="G693">
        <f t="shared" si="43"/>
        <v>3.5</v>
      </c>
    </row>
    <row r="694" spans="1:7" hidden="1" x14ac:dyDescent="0.25">
      <c r="A694" s="4" t="s">
        <v>3</v>
      </c>
      <c r="B694" s="1">
        <v>0.640208</v>
      </c>
      <c r="C694" s="1">
        <v>0.64333600000000002</v>
      </c>
      <c r="D694" s="1">
        <f t="shared" si="40"/>
        <v>3.1280000000000197E-3</v>
      </c>
      <c r="E694">
        <f t="shared" si="41"/>
        <v>4</v>
      </c>
      <c r="F694">
        <f t="shared" si="42"/>
        <v>30</v>
      </c>
      <c r="G694">
        <f t="shared" si="43"/>
        <v>4.5</v>
      </c>
    </row>
    <row r="695" spans="1:7" hidden="1" x14ac:dyDescent="0.25">
      <c r="A695" s="4" t="s">
        <v>181</v>
      </c>
      <c r="B695" s="1">
        <v>0.89040600000000003</v>
      </c>
      <c r="C695" s="1">
        <v>0.88888599999999995</v>
      </c>
      <c r="D695" s="1">
        <f t="shared" si="40"/>
        <v>1.5200000000000768E-3</v>
      </c>
      <c r="E695">
        <f t="shared" si="41"/>
        <v>2</v>
      </c>
      <c r="F695">
        <f t="shared" si="42"/>
        <v>11</v>
      </c>
      <c r="G695">
        <f t="shared" si="43"/>
        <v>2.1800000000000002</v>
      </c>
    </row>
    <row r="696" spans="1:7" hidden="1" x14ac:dyDescent="0.25">
      <c r="A696" s="4" t="s">
        <v>16</v>
      </c>
      <c r="B696" s="1">
        <v>0.25660300000000003</v>
      </c>
      <c r="C696" s="1">
        <v>0.25871100000000002</v>
      </c>
      <c r="D696" s="1">
        <f t="shared" si="40"/>
        <v>2.1079999999999988E-3</v>
      </c>
      <c r="E696">
        <f t="shared" si="41"/>
        <v>3</v>
      </c>
      <c r="F696">
        <f t="shared" si="42"/>
        <v>2</v>
      </c>
      <c r="G696">
        <f t="shared" si="43"/>
        <v>3.03</v>
      </c>
    </row>
    <row r="697" spans="1:7" hidden="1" x14ac:dyDescent="0.25">
      <c r="A697" s="4" t="s">
        <v>64</v>
      </c>
      <c r="B697" s="1">
        <v>0.122706</v>
      </c>
      <c r="C697" s="1">
        <v>0.118814</v>
      </c>
      <c r="D697" s="1">
        <f t="shared" si="40"/>
        <v>3.8919999999999927E-3</v>
      </c>
      <c r="E697">
        <f t="shared" si="41"/>
        <v>5</v>
      </c>
      <c r="F697">
        <f t="shared" si="42"/>
        <v>36</v>
      </c>
      <c r="G697">
        <f t="shared" si="43"/>
        <v>5.6</v>
      </c>
    </row>
    <row r="698" spans="1:7" hidden="1" x14ac:dyDescent="0.25">
      <c r="A698" s="4" t="s">
        <v>155</v>
      </c>
      <c r="B698" s="1">
        <v>0.58026999999999995</v>
      </c>
      <c r="C698" s="1">
        <v>0.58299400000000001</v>
      </c>
      <c r="D698" s="1">
        <f t="shared" si="40"/>
        <v>2.7240000000000597E-3</v>
      </c>
      <c r="E698">
        <f t="shared" si="41"/>
        <v>3</v>
      </c>
      <c r="F698">
        <f t="shared" si="42"/>
        <v>55</v>
      </c>
      <c r="G698">
        <f t="shared" si="43"/>
        <v>3.92</v>
      </c>
    </row>
    <row r="699" spans="1:7" hidden="1" x14ac:dyDescent="0.25">
      <c r="A699" s="4" t="s">
        <v>74</v>
      </c>
      <c r="B699" s="1">
        <v>0.91838799999999998</v>
      </c>
      <c r="C699" s="1">
        <v>0.91548399999999996</v>
      </c>
      <c r="D699" s="1">
        <f t="shared" si="40"/>
        <v>2.9040000000000177E-3</v>
      </c>
      <c r="E699">
        <f t="shared" si="41"/>
        <v>4</v>
      </c>
      <c r="F699">
        <f t="shared" si="42"/>
        <v>11</v>
      </c>
      <c r="G699">
        <f t="shared" si="43"/>
        <v>4.18</v>
      </c>
    </row>
    <row r="700" spans="1:7" hidden="1" x14ac:dyDescent="0.25">
      <c r="A700" s="4" t="s">
        <v>21</v>
      </c>
      <c r="B700" s="1">
        <v>0.54036300000000004</v>
      </c>
      <c r="C700" s="1">
        <v>0.54307099999999997</v>
      </c>
      <c r="D700" s="1">
        <f t="shared" si="40"/>
        <v>2.7079999999999327E-3</v>
      </c>
      <c r="E700">
        <f t="shared" si="41"/>
        <v>3</v>
      </c>
      <c r="F700">
        <f t="shared" si="42"/>
        <v>54</v>
      </c>
      <c r="G700">
        <f t="shared" si="43"/>
        <v>3.9</v>
      </c>
    </row>
    <row r="701" spans="1:7" hidden="1" x14ac:dyDescent="0.25">
      <c r="A701" s="4" t="s">
        <v>27</v>
      </c>
      <c r="B701" s="1">
        <v>0.45537100000000003</v>
      </c>
      <c r="C701" s="1">
        <v>0.45788699999999999</v>
      </c>
      <c r="D701" s="1">
        <f t="shared" si="40"/>
        <v>2.5159999999999627E-3</v>
      </c>
      <c r="E701">
        <f t="shared" si="41"/>
        <v>3</v>
      </c>
      <c r="F701">
        <f t="shared" si="42"/>
        <v>37</v>
      </c>
      <c r="G701">
        <f t="shared" si="43"/>
        <v>3.62</v>
      </c>
    </row>
    <row r="702" spans="1:7" hidden="1" x14ac:dyDescent="0.25">
      <c r="A702" s="4" t="s">
        <v>83</v>
      </c>
      <c r="B702" s="1">
        <v>0.91982600000000003</v>
      </c>
      <c r="C702" s="1">
        <v>0.91775399999999996</v>
      </c>
      <c r="D702" s="1">
        <f t="shared" si="40"/>
        <v>2.0720000000000738E-3</v>
      </c>
      <c r="E702">
        <f t="shared" si="41"/>
        <v>2</v>
      </c>
      <c r="F702">
        <f t="shared" si="42"/>
        <v>59</v>
      </c>
      <c r="G702">
        <f t="shared" si="43"/>
        <v>2.98</v>
      </c>
    </row>
    <row r="703" spans="1:7" hidden="1" x14ac:dyDescent="0.25">
      <c r="A703" s="4" t="s">
        <v>60</v>
      </c>
      <c r="B703" s="1">
        <v>0.22966</v>
      </c>
      <c r="C703" s="1">
        <v>0.23246800000000001</v>
      </c>
      <c r="D703" s="1">
        <f t="shared" si="40"/>
        <v>2.8080000000000049E-3</v>
      </c>
      <c r="E703">
        <f t="shared" si="41"/>
        <v>4</v>
      </c>
      <c r="F703">
        <f t="shared" si="42"/>
        <v>3</v>
      </c>
      <c r="G703">
        <f t="shared" si="43"/>
        <v>4.05</v>
      </c>
    </row>
    <row r="704" spans="1:7" hidden="1" x14ac:dyDescent="0.25">
      <c r="A704" s="4" t="s">
        <v>12</v>
      </c>
      <c r="B704" s="1">
        <v>0.55209399999999997</v>
      </c>
      <c r="C704" s="1">
        <v>0.54861000000000004</v>
      </c>
      <c r="D704" s="1">
        <f t="shared" si="40"/>
        <v>3.4839999999999316E-3</v>
      </c>
      <c r="E704">
        <f t="shared" si="41"/>
        <v>5</v>
      </c>
      <c r="F704">
        <f t="shared" si="42"/>
        <v>1</v>
      </c>
      <c r="G704">
        <f t="shared" si="43"/>
        <v>5.0199999999999996</v>
      </c>
    </row>
    <row r="705" spans="1:7" hidden="1" x14ac:dyDescent="0.25">
      <c r="A705" s="4" t="s">
        <v>49</v>
      </c>
      <c r="B705" s="1">
        <v>0.558307</v>
      </c>
      <c r="C705" s="1">
        <v>0.55478700000000003</v>
      </c>
      <c r="D705" s="1">
        <f t="shared" si="40"/>
        <v>3.5199999999999676E-3</v>
      </c>
      <c r="E705">
        <f t="shared" si="41"/>
        <v>5</v>
      </c>
      <c r="F705">
        <f t="shared" si="42"/>
        <v>4</v>
      </c>
      <c r="G705">
        <f t="shared" si="43"/>
        <v>5.07</v>
      </c>
    </row>
    <row r="706" spans="1:7" hidden="1" x14ac:dyDescent="0.25">
      <c r="A706" s="4" t="s">
        <v>47</v>
      </c>
      <c r="B706" s="1">
        <v>0.33376899999999998</v>
      </c>
      <c r="C706" s="1">
        <v>0.33111299999999999</v>
      </c>
      <c r="D706" s="1">
        <f t="shared" si="40"/>
        <v>2.6559999999999917E-3</v>
      </c>
      <c r="E706">
        <f t="shared" si="41"/>
        <v>3</v>
      </c>
      <c r="F706">
        <f t="shared" si="42"/>
        <v>49</v>
      </c>
      <c r="G706">
        <f t="shared" si="43"/>
        <v>3.82</v>
      </c>
    </row>
    <row r="707" spans="1:7" hidden="1" x14ac:dyDescent="0.25">
      <c r="A707" s="4" t="s">
        <v>41</v>
      </c>
      <c r="B707" s="1">
        <v>0.57073399999999996</v>
      </c>
      <c r="C707" s="1">
        <v>0.56704200000000005</v>
      </c>
      <c r="D707" s="1">
        <f t="shared" ref="D707:D770" si="44">IF(B707&gt;C707,B707-C707,C707-B707)</f>
        <v>3.6919999999999176E-3</v>
      </c>
      <c r="E707">
        <f t="shared" ref="E707:E770" si="45">MINUTE(D707)</f>
        <v>5</v>
      </c>
      <c r="F707">
        <f t="shared" ref="F707:F770" si="46">SECOND(D707)</f>
        <v>19</v>
      </c>
      <c r="G707">
        <f t="shared" ref="G707:G770" si="47">ROUND(E707+F707/60,2)</f>
        <v>5.32</v>
      </c>
    </row>
    <row r="708" spans="1:7" hidden="1" x14ac:dyDescent="0.25">
      <c r="A708" s="4" t="s">
        <v>117</v>
      </c>
      <c r="B708" s="1">
        <v>0.73974700000000004</v>
      </c>
      <c r="C708" s="1">
        <v>0.74296300000000004</v>
      </c>
      <c r="D708" s="1">
        <f t="shared" si="44"/>
        <v>3.2159999999999966E-3</v>
      </c>
      <c r="E708">
        <f t="shared" si="45"/>
        <v>4</v>
      </c>
      <c r="F708">
        <f t="shared" si="46"/>
        <v>38</v>
      </c>
      <c r="G708">
        <f t="shared" si="47"/>
        <v>4.63</v>
      </c>
    </row>
    <row r="709" spans="1:7" hidden="1" x14ac:dyDescent="0.25">
      <c r="A709" s="4" t="s">
        <v>182</v>
      </c>
      <c r="B709" s="1">
        <v>0.83426</v>
      </c>
      <c r="C709" s="1">
        <v>0.83696800000000005</v>
      </c>
      <c r="D709" s="1">
        <f t="shared" si="44"/>
        <v>2.7080000000000437E-3</v>
      </c>
      <c r="E709">
        <f t="shared" si="45"/>
        <v>3</v>
      </c>
      <c r="F709">
        <f t="shared" si="46"/>
        <v>54</v>
      </c>
      <c r="G709">
        <f t="shared" si="47"/>
        <v>3.9</v>
      </c>
    </row>
    <row r="710" spans="1:7" hidden="1" x14ac:dyDescent="0.25">
      <c r="A710" s="4" t="s">
        <v>5</v>
      </c>
      <c r="B710" s="1">
        <v>0.53817999999999999</v>
      </c>
      <c r="C710" s="1">
        <v>0.53967600000000004</v>
      </c>
      <c r="D710" s="1">
        <f t="shared" si="44"/>
        <v>1.4960000000000528E-3</v>
      </c>
      <c r="E710">
        <f t="shared" si="45"/>
        <v>2</v>
      </c>
      <c r="F710">
        <f t="shared" si="46"/>
        <v>9</v>
      </c>
      <c r="G710">
        <f t="shared" si="47"/>
        <v>2.15</v>
      </c>
    </row>
    <row r="711" spans="1:7" hidden="1" x14ac:dyDescent="0.25">
      <c r="A711" s="4" t="s">
        <v>109</v>
      </c>
      <c r="B711" s="1">
        <v>0.58387299999999998</v>
      </c>
      <c r="C711" s="1">
        <v>0.58202500000000001</v>
      </c>
      <c r="D711" s="1">
        <f t="shared" si="44"/>
        <v>1.8479999999999608E-3</v>
      </c>
      <c r="E711">
        <f t="shared" si="45"/>
        <v>2</v>
      </c>
      <c r="F711">
        <f t="shared" si="46"/>
        <v>40</v>
      </c>
      <c r="G711">
        <f t="shared" si="47"/>
        <v>2.67</v>
      </c>
    </row>
    <row r="712" spans="1:7" hidden="1" x14ac:dyDescent="0.25">
      <c r="A712" s="4" t="s">
        <v>75</v>
      </c>
      <c r="B712" s="1">
        <v>0.55288199999999998</v>
      </c>
      <c r="C712" s="1">
        <v>0.55628200000000005</v>
      </c>
      <c r="D712" s="1">
        <f t="shared" si="44"/>
        <v>3.4000000000000696E-3</v>
      </c>
      <c r="E712">
        <f t="shared" si="45"/>
        <v>4</v>
      </c>
      <c r="F712">
        <f t="shared" si="46"/>
        <v>54</v>
      </c>
      <c r="G712">
        <f t="shared" si="47"/>
        <v>4.9000000000000004</v>
      </c>
    </row>
    <row r="713" spans="1:7" hidden="1" x14ac:dyDescent="0.25">
      <c r="A713" s="4" t="s">
        <v>75</v>
      </c>
      <c r="B713" s="1">
        <v>0.294576</v>
      </c>
      <c r="C713" s="1">
        <v>0.292016</v>
      </c>
      <c r="D713" s="1">
        <f t="shared" si="44"/>
        <v>2.5600000000000067E-3</v>
      </c>
      <c r="E713">
        <f t="shared" si="45"/>
        <v>3</v>
      </c>
      <c r="F713">
        <f t="shared" si="46"/>
        <v>41</v>
      </c>
      <c r="G713">
        <f t="shared" si="47"/>
        <v>3.68</v>
      </c>
    </row>
    <row r="714" spans="1:7" hidden="1" x14ac:dyDescent="0.25">
      <c r="A714" s="4" t="s">
        <v>68</v>
      </c>
      <c r="B714" s="1">
        <v>0.71384899999999996</v>
      </c>
      <c r="C714" s="1">
        <v>0.71065299999999998</v>
      </c>
      <c r="D714" s="1">
        <f t="shared" si="44"/>
        <v>3.1959999999999766E-3</v>
      </c>
      <c r="E714">
        <f t="shared" si="45"/>
        <v>4</v>
      </c>
      <c r="F714">
        <f t="shared" si="46"/>
        <v>36</v>
      </c>
      <c r="G714">
        <f t="shared" si="47"/>
        <v>4.5999999999999996</v>
      </c>
    </row>
    <row r="715" spans="1:7" hidden="1" x14ac:dyDescent="0.25">
      <c r="A715" s="4" t="s">
        <v>72</v>
      </c>
      <c r="B715" s="1">
        <v>0.40520400000000001</v>
      </c>
      <c r="C715" s="1">
        <v>0.40260400000000002</v>
      </c>
      <c r="D715" s="1">
        <f t="shared" si="44"/>
        <v>2.5999999999999912E-3</v>
      </c>
      <c r="E715">
        <f t="shared" si="45"/>
        <v>3</v>
      </c>
      <c r="F715">
        <f t="shared" si="46"/>
        <v>45</v>
      </c>
      <c r="G715">
        <f t="shared" si="47"/>
        <v>3.75</v>
      </c>
    </row>
    <row r="716" spans="1:7" hidden="1" x14ac:dyDescent="0.25">
      <c r="A716" s="4" t="s">
        <v>3</v>
      </c>
      <c r="B716" s="1">
        <v>0.59558999999999995</v>
      </c>
      <c r="C716" s="1">
        <v>0.59787400000000002</v>
      </c>
      <c r="D716" s="1">
        <f t="shared" si="44"/>
        <v>2.2840000000000638E-3</v>
      </c>
      <c r="E716">
        <f t="shared" si="45"/>
        <v>3</v>
      </c>
      <c r="F716">
        <f t="shared" si="46"/>
        <v>17</v>
      </c>
      <c r="G716">
        <f t="shared" si="47"/>
        <v>3.28</v>
      </c>
    </row>
    <row r="717" spans="1:7" hidden="1" x14ac:dyDescent="0.25">
      <c r="A717" s="4" t="s">
        <v>47</v>
      </c>
      <c r="B717" s="1">
        <v>0.56683799999999995</v>
      </c>
      <c r="C717" s="1">
        <v>0.56295399999999995</v>
      </c>
      <c r="D717" s="1">
        <f t="shared" si="44"/>
        <v>3.8839999999999986E-3</v>
      </c>
      <c r="E717">
        <f t="shared" si="45"/>
        <v>5</v>
      </c>
      <c r="F717">
        <f t="shared" si="46"/>
        <v>36</v>
      </c>
      <c r="G717">
        <f t="shared" si="47"/>
        <v>5.6</v>
      </c>
    </row>
    <row r="718" spans="1:7" hidden="1" x14ac:dyDescent="0.25">
      <c r="A718" s="4" t="s">
        <v>41</v>
      </c>
      <c r="B718" s="1">
        <v>0.101677</v>
      </c>
      <c r="C718" s="1">
        <v>9.9404999999999993E-2</v>
      </c>
      <c r="D718" s="1">
        <f t="shared" si="44"/>
        <v>2.2720000000000101E-3</v>
      </c>
      <c r="E718">
        <f t="shared" si="45"/>
        <v>3</v>
      </c>
      <c r="F718">
        <f t="shared" si="46"/>
        <v>16</v>
      </c>
      <c r="G718">
        <f t="shared" si="47"/>
        <v>3.27</v>
      </c>
    </row>
    <row r="719" spans="1:7" hidden="1" x14ac:dyDescent="0.25">
      <c r="A719" s="4" t="s">
        <v>117</v>
      </c>
      <c r="B719" s="1">
        <v>0.803373</v>
      </c>
      <c r="C719" s="1">
        <v>0.79982900000000001</v>
      </c>
      <c r="D719" s="1">
        <f t="shared" si="44"/>
        <v>3.5439999999999916E-3</v>
      </c>
      <c r="E719">
        <f t="shared" si="45"/>
        <v>5</v>
      </c>
      <c r="F719">
        <f t="shared" si="46"/>
        <v>6</v>
      </c>
      <c r="G719">
        <f t="shared" si="47"/>
        <v>5.0999999999999996</v>
      </c>
    </row>
    <row r="720" spans="1:7" hidden="1" x14ac:dyDescent="0.25">
      <c r="A720" s="4" t="s">
        <v>162</v>
      </c>
      <c r="B720" s="1">
        <v>0.57133</v>
      </c>
      <c r="C720" s="1">
        <v>0.57415400000000005</v>
      </c>
      <c r="D720" s="1">
        <f t="shared" si="44"/>
        <v>2.8240000000000487E-3</v>
      </c>
      <c r="E720">
        <f t="shared" si="45"/>
        <v>4</v>
      </c>
      <c r="F720">
        <f t="shared" si="46"/>
        <v>4</v>
      </c>
      <c r="G720">
        <f t="shared" si="47"/>
        <v>4.07</v>
      </c>
    </row>
    <row r="721" spans="1:7" hidden="1" x14ac:dyDescent="0.25">
      <c r="A721" s="4" t="s">
        <v>5</v>
      </c>
      <c r="B721" s="1">
        <v>0.33269399999999999</v>
      </c>
      <c r="C721" s="1">
        <v>0.33667799999999998</v>
      </c>
      <c r="D721" s="1">
        <f t="shared" si="44"/>
        <v>3.9839999999999876E-3</v>
      </c>
      <c r="E721">
        <f t="shared" si="45"/>
        <v>5</v>
      </c>
      <c r="F721">
        <f t="shared" si="46"/>
        <v>44</v>
      </c>
      <c r="G721">
        <f t="shared" si="47"/>
        <v>5.73</v>
      </c>
    </row>
    <row r="722" spans="1:7" hidden="1" x14ac:dyDescent="0.25">
      <c r="A722" s="4" t="s">
        <v>109</v>
      </c>
      <c r="B722" s="1">
        <v>0.23508799999999999</v>
      </c>
      <c r="C722" s="1">
        <v>0.23294000000000001</v>
      </c>
      <c r="D722" s="1">
        <f t="shared" si="44"/>
        <v>2.1479999999999833E-3</v>
      </c>
      <c r="E722">
        <f t="shared" si="45"/>
        <v>3</v>
      </c>
      <c r="F722">
        <f t="shared" si="46"/>
        <v>6</v>
      </c>
      <c r="G722">
        <f t="shared" si="47"/>
        <v>3.1</v>
      </c>
    </row>
    <row r="723" spans="1:7" hidden="1" x14ac:dyDescent="0.25">
      <c r="A723" s="4" t="s">
        <v>47</v>
      </c>
      <c r="B723" s="1">
        <v>0.36631000000000002</v>
      </c>
      <c r="C723" s="1">
        <v>0.36299799999999999</v>
      </c>
      <c r="D723" s="1">
        <f t="shared" si="44"/>
        <v>3.3120000000000371E-3</v>
      </c>
      <c r="E723">
        <f t="shared" si="45"/>
        <v>4</v>
      </c>
      <c r="F723">
        <f t="shared" si="46"/>
        <v>46</v>
      </c>
      <c r="G723">
        <f t="shared" si="47"/>
        <v>4.7699999999999996</v>
      </c>
    </row>
    <row r="724" spans="1:7" hidden="1" x14ac:dyDescent="0.25">
      <c r="A724" s="4" t="s">
        <v>41</v>
      </c>
      <c r="B724" s="1">
        <v>0.52646300000000001</v>
      </c>
      <c r="C724" s="1">
        <v>0.52316700000000005</v>
      </c>
      <c r="D724" s="1">
        <f t="shared" si="44"/>
        <v>3.2959999999999656E-3</v>
      </c>
      <c r="E724">
        <f t="shared" si="45"/>
        <v>4</v>
      </c>
      <c r="F724">
        <f t="shared" si="46"/>
        <v>45</v>
      </c>
      <c r="G724">
        <f t="shared" si="47"/>
        <v>4.75</v>
      </c>
    </row>
    <row r="725" spans="1:7" hidden="1" x14ac:dyDescent="0.25">
      <c r="A725" s="4" t="s">
        <v>117</v>
      </c>
      <c r="B725" s="1">
        <v>0.93513800000000002</v>
      </c>
      <c r="C725" s="1">
        <v>0.93698199999999998</v>
      </c>
      <c r="D725" s="1">
        <f t="shared" si="44"/>
        <v>1.8439999999999568E-3</v>
      </c>
      <c r="E725">
        <f t="shared" si="45"/>
        <v>2</v>
      </c>
      <c r="F725">
        <f t="shared" si="46"/>
        <v>39</v>
      </c>
      <c r="G725">
        <f t="shared" si="47"/>
        <v>2.65</v>
      </c>
    </row>
    <row r="726" spans="1:7" hidden="1" x14ac:dyDescent="0.25">
      <c r="A726" s="4" t="s">
        <v>162</v>
      </c>
      <c r="B726" s="1">
        <v>0.73413300000000004</v>
      </c>
      <c r="C726" s="1">
        <v>0.73189300000000002</v>
      </c>
      <c r="D726" s="1">
        <f t="shared" si="44"/>
        <v>2.2400000000000198E-3</v>
      </c>
      <c r="E726">
        <f t="shared" si="45"/>
        <v>3</v>
      </c>
      <c r="F726">
        <f t="shared" si="46"/>
        <v>14</v>
      </c>
      <c r="G726">
        <f t="shared" si="47"/>
        <v>3.23</v>
      </c>
    </row>
    <row r="727" spans="1:7" hidden="1" x14ac:dyDescent="0.25">
      <c r="A727" s="4" t="s">
        <v>5</v>
      </c>
      <c r="B727" s="1">
        <v>0.84894400000000003</v>
      </c>
      <c r="C727" s="1">
        <v>0.84666799999999998</v>
      </c>
      <c r="D727" s="1">
        <f t="shared" si="44"/>
        <v>2.2760000000000558E-3</v>
      </c>
      <c r="E727">
        <f t="shared" si="45"/>
        <v>3</v>
      </c>
      <c r="F727">
        <f t="shared" si="46"/>
        <v>17</v>
      </c>
      <c r="G727">
        <f t="shared" si="47"/>
        <v>3.28</v>
      </c>
    </row>
    <row r="728" spans="1:7" hidden="1" x14ac:dyDescent="0.25">
      <c r="A728" s="4" t="s">
        <v>109</v>
      </c>
      <c r="B728" s="1">
        <v>0.38767800000000002</v>
      </c>
      <c r="C728" s="1">
        <v>0.38923000000000002</v>
      </c>
      <c r="D728" s="1">
        <f t="shared" si="44"/>
        <v>1.5519999999999978E-3</v>
      </c>
      <c r="E728">
        <f t="shared" si="45"/>
        <v>2</v>
      </c>
      <c r="F728">
        <f t="shared" si="46"/>
        <v>14</v>
      </c>
      <c r="G728">
        <f t="shared" si="47"/>
        <v>2.23</v>
      </c>
    </row>
    <row r="729" spans="1:7" hidden="1" x14ac:dyDescent="0.25">
      <c r="A729" s="4" t="s">
        <v>47</v>
      </c>
      <c r="B729" s="1">
        <v>4.8843999999999999E-2</v>
      </c>
      <c r="C729" s="1">
        <v>5.1991999999999997E-2</v>
      </c>
      <c r="D729" s="1">
        <f t="shared" si="44"/>
        <v>3.147999999999998E-3</v>
      </c>
      <c r="E729">
        <f t="shared" si="45"/>
        <v>4</v>
      </c>
      <c r="F729">
        <f t="shared" si="46"/>
        <v>32</v>
      </c>
      <c r="G729">
        <f t="shared" si="47"/>
        <v>4.53</v>
      </c>
    </row>
    <row r="730" spans="1:7" hidden="1" x14ac:dyDescent="0.25">
      <c r="A730" s="4" t="s">
        <v>41</v>
      </c>
      <c r="B730" s="1">
        <v>0.44640400000000002</v>
      </c>
      <c r="C730" s="1">
        <v>0.4481</v>
      </c>
      <c r="D730" s="1">
        <f t="shared" si="44"/>
        <v>1.6959999999999753E-3</v>
      </c>
      <c r="E730">
        <f t="shared" si="45"/>
        <v>2</v>
      </c>
      <c r="F730">
        <f t="shared" si="46"/>
        <v>27</v>
      </c>
      <c r="G730">
        <f t="shared" si="47"/>
        <v>2.4500000000000002</v>
      </c>
    </row>
    <row r="731" spans="1:7" hidden="1" x14ac:dyDescent="0.25">
      <c r="A731" s="4" t="s">
        <v>117</v>
      </c>
      <c r="B731" s="1">
        <v>0.56385600000000002</v>
      </c>
      <c r="C731" s="1">
        <v>0.56057199999999996</v>
      </c>
      <c r="D731" s="1">
        <f t="shared" si="44"/>
        <v>3.2840000000000646E-3</v>
      </c>
      <c r="E731">
        <f t="shared" si="45"/>
        <v>4</v>
      </c>
      <c r="F731">
        <f t="shared" si="46"/>
        <v>44</v>
      </c>
      <c r="G731">
        <f t="shared" si="47"/>
        <v>4.7300000000000004</v>
      </c>
    </row>
    <row r="732" spans="1:7" hidden="1" x14ac:dyDescent="0.25">
      <c r="A732" s="4" t="s">
        <v>162</v>
      </c>
      <c r="B732" s="1">
        <v>0.48971599999999998</v>
      </c>
      <c r="C732" s="1">
        <v>0.492728</v>
      </c>
      <c r="D732" s="1">
        <f t="shared" si="44"/>
        <v>3.0120000000000147E-3</v>
      </c>
      <c r="E732">
        <f t="shared" si="45"/>
        <v>4</v>
      </c>
      <c r="F732">
        <f t="shared" si="46"/>
        <v>20</v>
      </c>
      <c r="G732">
        <f t="shared" si="47"/>
        <v>4.33</v>
      </c>
    </row>
    <row r="733" spans="1:7" hidden="1" x14ac:dyDescent="0.25">
      <c r="A733" s="4" t="s">
        <v>5</v>
      </c>
      <c r="B733" s="1">
        <v>0.95572699999999999</v>
      </c>
      <c r="C733" s="1">
        <v>0.95332300000000003</v>
      </c>
      <c r="D733" s="1">
        <f t="shared" si="44"/>
        <v>2.4039999999999617E-3</v>
      </c>
      <c r="E733">
        <f t="shared" si="45"/>
        <v>3</v>
      </c>
      <c r="F733">
        <f t="shared" si="46"/>
        <v>28</v>
      </c>
      <c r="G733">
        <f t="shared" si="47"/>
        <v>3.47</v>
      </c>
    </row>
    <row r="734" spans="1:7" hidden="1" x14ac:dyDescent="0.25">
      <c r="A734" s="4" t="s">
        <v>109</v>
      </c>
      <c r="B734" s="1">
        <v>0.73162199999999999</v>
      </c>
      <c r="C734" s="1">
        <v>0.73468599999999995</v>
      </c>
      <c r="D734" s="1">
        <f t="shared" si="44"/>
        <v>3.0639999999999556E-3</v>
      </c>
      <c r="E734">
        <f t="shared" si="45"/>
        <v>4</v>
      </c>
      <c r="F734">
        <f t="shared" si="46"/>
        <v>25</v>
      </c>
      <c r="G734">
        <f t="shared" si="47"/>
        <v>4.42</v>
      </c>
    </row>
    <row r="735" spans="1:7" hidden="1" x14ac:dyDescent="0.25">
      <c r="A735" s="4" t="s">
        <v>47</v>
      </c>
      <c r="B735" s="1">
        <v>0.35125499999999998</v>
      </c>
      <c r="C735" s="1">
        <v>0.349383</v>
      </c>
      <c r="D735" s="1">
        <f t="shared" si="44"/>
        <v>1.8719999999999848E-3</v>
      </c>
      <c r="E735">
        <f t="shared" si="45"/>
        <v>2</v>
      </c>
      <c r="F735">
        <f t="shared" si="46"/>
        <v>42</v>
      </c>
      <c r="G735">
        <f t="shared" si="47"/>
        <v>2.7</v>
      </c>
    </row>
    <row r="736" spans="1:7" hidden="1" x14ac:dyDescent="0.25">
      <c r="A736" s="4" t="s">
        <v>41</v>
      </c>
      <c r="B736" s="1">
        <v>0.70953299999999997</v>
      </c>
      <c r="C736" s="1">
        <v>0.71285699999999996</v>
      </c>
      <c r="D736" s="1">
        <f t="shared" si="44"/>
        <v>3.3239999999999936E-3</v>
      </c>
      <c r="E736">
        <f t="shared" si="45"/>
        <v>4</v>
      </c>
      <c r="F736">
        <f t="shared" si="46"/>
        <v>47</v>
      </c>
      <c r="G736">
        <f t="shared" si="47"/>
        <v>4.78</v>
      </c>
    </row>
    <row r="737" spans="1:7" hidden="1" x14ac:dyDescent="0.25">
      <c r="A737" s="4" t="s">
        <v>117</v>
      </c>
      <c r="B737" s="1">
        <v>0.54806999999999995</v>
      </c>
      <c r="C737" s="1">
        <v>0.54442199999999996</v>
      </c>
      <c r="D737" s="1">
        <f t="shared" si="44"/>
        <v>3.6479999999999846E-3</v>
      </c>
      <c r="E737">
        <f t="shared" si="45"/>
        <v>5</v>
      </c>
      <c r="F737">
        <f t="shared" si="46"/>
        <v>15</v>
      </c>
      <c r="G737">
        <f t="shared" si="47"/>
        <v>5.25</v>
      </c>
    </row>
    <row r="738" spans="1:7" hidden="1" x14ac:dyDescent="0.25">
      <c r="A738" s="4" t="s">
        <v>162</v>
      </c>
      <c r="B738" s="1">
        <v>0.90659900000000004</v>
      </c>
      <c r="C738" s="1">
        <v>0.90828699999999996</v>
      </c>
      <c r="D738" s="1">
        <f t="shared" si="44"/>
        <v>1.6879999999999118E-3</v>
      </c>
      <c r="E738">
        <f t="shared" si="45"/>
        <v>2</v>
      </c>
      <c r="F738">
        <f t="shared" si="46"/>
        <v>26</v>
      </c>
      <c r="G738">
        <f t="shared" si="47"/>
        <v>2.4300000000000002</v>
      </c>
    </row>
    <row r="739" spans="1:7" hidden="1" x14ac:dyDescent="0.25">
      <c r="A739" s="4" t="s">
        <v>5</v>
      </c>
      <c r="B739" s="1">
        <v>0.52575099999999997</v>
      </c>
      <c r="C739" s="1">
        <v>0.52411099999999999</v>
      </c>
      <c r="D739" s="1">
        <f t="shared" si="44"/>
        <v>1.6399999999999748E-3</v>
      </c>
      <c r="E739">
        <f t="shared" si="45"/>
        <v>2</v>
      </c>
      <c r="F739">
        <f t="shared" si="46"/>
        <v>22</v>
      </c>
      <c r="G739">
        <f t="shared" si="47"/>
        <v>2.37</v>
      </c>
    </row>
    <row r="740" spans="1:7" hidden="1" x14ac:dyDescent="0.25">
      <c r="A740" s="4" t="s">
        <v>109</v>
      </c>
      <c r="B740" s="1">
        <v>0.114372</v>
      </c>
      <c r="C740" s="1">
        <v>0.116748</v>
      </c>
      <c r="D740" s="1">
        <f t="shared" si="44"/>
        <v>2.3760000000000031E-3</v>
      </c>
      <c r="E740">
        <f t="shared" si="45"/>
        <v>3</v>
      </c>
      <c r="F740">
        <f t="shared" si="46"/>
        <v>25</v>
      </c>
      <c r="G740">
        <f t="shared" si="47"/>
        <v>3.42</v>
      </c>
    </row>
    <row r="741" spans="1:7" hidden="1" x14ac:dyDescent="0.25">
      <c r="A741" s="4" t="s">
        <v>162</v>
      </c>
      <c r="B741" s="1">
        <v>8.4322999999999995E-2</v>
      </c>
      <c r="C741" s="1">
        <v>8.0866999999999994E-2</v>
      </c>
      <c r="D741" s="1">
        <f t="shared" si="44"/>
        <v>3.4560000000000007E-3</v>
      </c>
      <c r="E741">
        <f t="shared" si="45"/>
        <v>4</v>
      </c>
      <c r="F741">
        <f t="shared" si="46"/>
        <v>59</v>
      </c>
      <c r="G741">
        <f t="shared" si="47"/>
        <v>4.9800000000000004</v>
      </c>
    </row>
    <row r="742" spans="1:7" hidden="1" x14ac:dyDescent="0.25">
      <c r="A742" s="4" t="s">
        <v>5</v>
      </c>
      <c r="B742" s="1">
        <v>0.12634100000000001</v>
      </c>
      <c r="C742" s="1">
        <v>0.122433</v>
      </c>
      <c r="D742" s="1">
        <f t="shared" si="44"/>
        <v>3.9080000000000087E-3</v>
      </c>
      <c r="E742">
        <f t="shared" si="45"/>
        <v>5</v>
      </c>
      <c r="F742">
        <f t="shared" si="46"/>
        <v>38</v>
      </c>
      <c r="G742">
        <f t="shared" si="47"/>
        <v>5.63</v>
      </c>
    </row>
    <row r="743" spans="1:7" hidden="1" x14ac:dyDescent="0.25">
      <c r="A743" s="4" t="s">
        <v>109</v>
      </c>
      <c r="B743" s="1">
        <v>0.44507799999999997</v>
      </c>
      <c r="C743" s="1">
        <v>0.44834600000000002</v>
      </c>
      <c r="D743" s="1">
        <f t="shared" si="44"/>
        <v>3.2680000000000486E-3</v>
      </c>
      <c r="E743">
        <f t="shared" si="45"/>
        <v>4</v>
      </c>
      <c r="F743">
        <f t="shared" si="46"/>
        <v>42</v>
      </c>
      <c r="G743">
        <f t="shared" si="47"/>
        <v>4.7</v>
      </c>
    </row>
    <row r="744" spans="1:7" hidden="1" x14ac:dyDescent="0.25">
      <c r="A744" s="4" t="s">
        <v>162</v>
      </c>
      <c r="B744" s="1">
        <v>1.2021E-2</v>
      </c>
      <c r="C744" s="1">
        <v>1.3877E-2</v>
      </c>
      <c r="D744" s="1">
        <f t="shared" si="44"/>
        <v>1.856E-3</v>
      </c>
      <c r="E744">
        <f t="shared" si="45"/>
        <v>2</v>
      </c>
      <c r="F744">
        <f t="shared" si="46"/>
        <v>40</v>
      </c>
      <c r="G744">
        <f t="shared" si="47"/>
        <v>2.67</v>
      </c>
    </row>
    <row r="745" spans="1:7" hidden="1" x14ac:dyDescent="0.25">
      <c r="A745" s="4" t="s">
        <v>5</v>
      </c>
      <c r="B745" s="1">
        <v>0.18615499999999999</v>
      </c>
      <c r="C745" s="1">
        <v>0.18418699999999999</v>
      </c>
      <c r="D745" s="1">
        <f t="shared" si="44"/>
        <v>1.9679999999999975E-3</v>
      </c>
      <c r="E745">
        <f t="shared" si="45"/>
        <v>2</v>
      </c>
      <c r="F745">
        <f t="shared" si="46"/>
        <v>50</v>
      </c>
      <c r="G745">
        <f t="shared" si="47"/>
        <v>2.83</v>
      </c>
    </row>
    <row r="746" spans="1:7" hidden="1" x14ac:dyDescent="0.25">
      <c r="A746" s="4" t="s">
        <v>109</v>
      </c>
      <c r="B746" s="1">
        <v>5.2546000000000002E-2</v>
      </c>
      <c r="C746" s="1">
        <v>5.0361999999999997E-2</v>
      </c>
      <c r="D746" s="1">
        <f t="shared" si="44"/>
        <v>2.1840000000000054E-3</v>
      </c>
      <c r="E746">
        <f t="shared" si="45"/>
        <v>3</v>
      </c>
      <c r="F746">
        <f t="shared" si="46"/>
        <v>9</v>
      </c>
      <c r="G746">
        <f t="shared" si="47"/>
        <v>3.15</v>
      </c>
    </row>
    <row r="747" spans="1:7" hidden="1" x14ac:dyDescent="0.25">
      <c r="A747" s="4" t="s">
        <v>162</v>
      </c>
      <c r="B747" s="1">
        <v>0.33263599999999999</v>
      </c>
      <c r="C747" s="1">
        <v>0.32883600000000002</v>
      </c>
      <c r="D747" s="1">
        <f t="shared" si="44"/>
        <v>3.7999999999999701E-3</v>
      </c>
      <c r="E747">
        <f t="shared" si="45"/>
        <v>5</v>
      </c>
      <c r="F747">
        <f t="shared" si="46"/>
        <v>28</v>
      </c>
      <c r="G747">
        <f t="shared" si="47"/>
        <v>5.47</v>
      </c>
    </row>
    <row r="748" spans="1:7" hidden="1" x14ac:dyDescent="0.25">
      <c r="A748" s="4" t="s">
        <v>5</v>
      </c>
      <c r="B748" s="1">
        <v>0.82136500000000001</v>
      </c>
      <c r="C748" s="1">
        <v>0.82473700000000005</v>
      </c>
      <c r="D748" s="1">
        <f t="shared" si="44"/>
        <v>3.3720000000000416E-3</v>
      </c>
      <c r="E748">
        <f t="shared" si="45"/>
        <v>4</v>
      </c>
      <c r="F748">
        <f t="shared" si="46"/>
        <v>51</v>
      </c>
      <c r="G748">
        <f t="shared" si="47"/>
        <v>4.8499999999999996</v>
      </c>
    </row>
    <row r="749" spans="1:7" hidden="1" x14ac:dyDescent="0.25">
      <c r="A749" s="4" t="s">
        <v>109</v>
      </c>
      <c r="B749" s="1">
        <v>0.51990700000000001</v>
      </c>
      <c r="C749" s="1">
        <v>0.52331899999999998</v>
      </c>
      <c r="D749" s="1">
        <f t="shared" si="44"/>
        <v>3.4119999999999706E-3</v>
      </c>
      <c r="E749">
        <f t="shared" si="45"/>
        <v>4</v>
      </c>
      <c r="F749">
        <f t="shared" si="46"/>
        <v>55</v>
      </c>
      <c r="G749">
        <f t="shared" si="47"/>
        <v>4.92</v>
      </c>
    </row>
    <row r="750" spans="1:7" hidden="1" x14ac:dyDescent="0.25">
      <c r="A750" s="4" t="s">
        <v>87</v>
      </c>
      <c r="B750" s="1">
        <v>0.193798</v>
      </c>
      <c r="C750" s="1">
        <v>0.19087000000000001</v>
      </c>
      <c r="D750" s="1">
        <f t="shared" si="44"/>
        <v>2.9279999999999862E-3</v>
      </c>
      <c r="E750">
        <f t="shared" si="45"/>
        <v>4</v>
      </c>
      <c r="F750">
        <f t="shared" si="46"/>
        <v>13</v>
      </c>
      <c r="G750">
        <f t="shared" si="47"/>
        <v>4.22</v>
      </c>
    </row>
    <row r="751" spans="1:7" hidden="1" x14ac:dyDescent="0.25">
      <c r="A751" s="4" t="s">
        <v>87</v>
      </c>
      <c r="B751" s="1">
        <v>0.52210599999999996</v>
      </c>
      <c r="C751" s="1">
        <v>0.52360600000000002</v>
      </c>
      <c r="D751" s="1">
        <f t="shared" si="44"/>
        <v>1.5000000000000568E-3</v>
      </c>
      <c r="E751">
        <f t="shared" si="45"/>
        <v>2</v>
      </c>
      <c r="F751">
        <f t="shared" si="46"/>
        <v>10</v>
      </c>
      <c r="G751">
        <f t="shared" si="47"/>
        <v>2.17</v>
      </c>
    </row>
    <row r="752" spans="1:7" hidden="1" x14ac:dyDescent="0.25">
      <c r="A752" s="4" t="s">
        <v>87</v>
      </c>
      <c r="B752" s="1">
        <v>7.9268000000000005E-2</v>
      </c>
      <c r="C752" s="1">
        <v>8.1591999999999998E-2</v>
      </c>
      <c r="D752" s="1">
        <f t="shared" si="44"/>
        <v>2.3239999999999927E-3</v>
      </c>
      <c r="E752">
        <f t="shared" si="45"/>
        <v>3</v>
      </c>
      <c r="F752">
        <f t="shared" si="46"/>
        <v>21</v>
      </c>
      <c r="G752">
        <f t="shared" si="47"/>
        <v>3.35</v>
      </c>
    </row>
    <row r="753" spans="1:7" hidden="1" x14ac:dyDescent="0.25">
      <c r="A753" s="4" t="s">
        <v>87</v>
      </c>
      <c r="B753" s="1">
        <v>0.290101</v>
      </c>
      <c r="C753" s="1">
        <v>0.29200100000000001</v>
      </c>
      <c r="D753" s="1">
        <f t="shared" si="44"/>
        <v>1.9000000000000128E-3</v>
      </c>
      <c r="E753">
        <f t="shared" si="45"/>
        <v>2</v>
      </c>
      <c r="F753">
        <f t="shared" si="46"/>
        <v>44</v>
      </c>
      <c r="G753">
        <f t="shared" si="47"/>
        <v>2.73</v>
      </c>
    </row>
    <row r="754" spans="1:7" hidden="1" x14ac:dyDescent="0.25">
      <c r="A754" s="4" t="s">
        <v>56</v>
      </c>
      <c r="B754" s="1">
        <v>0.76231800000000005</v>
      </c>
      <c r="C754" s="1">
        <v>0.75952200000000003</v>
      </c>
      <c r="D754" s="1">
        <f t="shared" si="44"/>
        <v>2.7960000000000207E-3</v>
      </c>
      <c r="E754">
        <f t="shared" si="45"/>
        <v>4</v>
      </c>
      <c r="F754">
        <f t="shared" si="46"/>
        <v>2</v>
      </c>
      <c r="G754">
        <f t="shared" si="47"/>
        <v>4.03</v>
      </c>
    </row>
    <row r="755" spans="1:7" hidden="1" x14ac:dyDescent="0.25">
      <c r="A755" s="4" t="s">
        <v>132</v>
      </c>
      <c r="B755" s="1">
        <v>2.7099000000000002E-2</v>
      </c>
      <c r="C755" s="1">
        <v>2.2926999999999999E-2</v>
      </c>
      <c r="D755" s="1">
        <f t="shared" si="44"/>
        <v>4.1720000000000021E-3</v>
      </c>
      <c r="E755">
        <f t="shared" si="45"/>
        <v>6</v>
      </c>
      <c r="F755">
        <f t="shared" si="46"/>
        <v>0</v>
      </c>
      <c r="G755">
        <f t="shared" si="47"/>
        <v>6</v>
      </c>
    </row>
    <row r="756" spans="1:7" hidden="1" x14ac:dyDescent="0.25">
      <c r="A756" s="4" t="s">
        <v>18</v>
      </c>
      <c r="B756" s="1">
        <v>0.97761100000000001</v>
      </c>
      <c r="C756" s="1">
        <v>0.98051100000000002</v>
      </c>
      <c r="D756" s="1">
        <f t="shared" si="44"/>
        <v>2.9000000000000137E-3</v>
      </c>
      <c r="E756">
        <f t="shared" si="45"/>
        <v>4</v>
      </c>
      <c r="F756">
        <f t="shared" si="46"/>
        <v>11</v>
      </c>
      <c r="G756">
        <f t="shared" si="47"/>
        <v>4.18</v>
      </c>
    </row>
    <row r="757" spans="1:7" hidden="1" x14ac:dyDescent="0.25">
      <c r="A757" s="4" t="s">
        <v>85</v>
      </c>
      <c r="B757" s="1">
        <v>0.85538400000000003</v>
      </c>
      <c r="C757" s="1">
        <v>0.85827600000000004</v>
      </c>
      <c r="D757" s="1">
        <f t="shared" si="44"/>
        <v>2.8920000000000057E-3</v>
      </c>
      <c r="E757">
        <f t="shared" si="45"/>
        <v>4</v>
      </c>
      <c r="F757">
        <f t="shared" si="46"/>
        <v>10</v>
      </c>
      <c r="G757">
        <f t="shared" si="47"/>
        <v>4.17</v>
      </c>
    </row>
    <row r="758" spans="1:7" hidden="1" x14ac:dyDescent="0.25">
      <c r="A758" s="4" t="s">
        <v>112</v>
      </c>
      <c r="B758" s="1">
        <v>8.3103999999999997E-2</v>
      </c>
      <c r="C758" s="1">
        <v>8.0135999999999999E-2</v>
      </c>
      <c r="D758" s="1">
        <f t="shared" si="44"/>
        <v>2.9679999999999984E-3</v>
      </c>
      <c r="E758">
        <f t="shared" si="45"/>
        <v>4</v>
      </c>
      <c r="F758">
        <f t="shared" si="46"/>
        <v>16</v>
      </c>
      <c r="G758">
        <f t="shared" si="47"/>
        <v>4.2699999999999996</v>
      </c>
    </row>
    <row r="759" spans="1:7" hidden="1" x14ac:dyDescent="0.25">
      <c r="A759" s="4" t="s">
        <v>103</v>
      </c>
      <c r="B759" s="1">
        <v>0.39823199999999997</v>
      </c>
      <c r="C759" s="1">
        <v>0.40016400000000002</v>
      </c>
      <c r="D759" s="1">
        <f t="shared" si="44"/>
        <v>1.9320000000000448E-3</v>
      </c>
      <c r="E759">
        <f t="shared" si="45"/>
        <v>2</v>
      </c>
      <c r="F759">
        <f t="shared" si="46"/>
        <v>47</v>
      </c>
      <c r="G759">
        <f t="shared" si="47"/>
        <v>2.78</v>
      </c>
    </row>
    <row r="760" spans="1:7" hidden="1" x14ac:dyDescent="0.25">
      <c r="A760" s="4" t="s">
        <v>57</v>
      </c>
      <c r="B760" s="1">
        <v>0.885293</v>
      </c>
      <c r="C760" s="1">
        <v>0.88205699999999998</v>
      </c>
      <c r="D760" s="1">
        <f t="shared" si="44"/>
        <v>3.2360000000000166E-3</v>
      </c>
      <c r="E760">
        <f t="shared" si="45"/>
        <v>4</v>
      </c>
      <c r="F760">
        <f t="shared" si="46"/>
        <v>40</v>
      </c>
      <c r="G760">
        <f t="shared" si="47"/>
        <v>4.67</v>
      </c>
    </row>
    <row r="761" spans="1:7" hidden="1" x14ac:dyDescent="0.25">
      <c r="A761" s="4" t="s">
        <v>183</v>
      </c>
      <c r="B761" s="1">
        <v>0.100374</v>
      </c>
      <c r="C761" s="1">
        <v>9.8185999999999996E-2</v>
      </c>
      <c r="D761" s="1">
        <f t="shared" si="44"/>
        <v>2.1880000000000094E-3</v>
      </c>
      <c r="E761">
        <f t="shared" si="45"/>
        <v>3</v>
      </c>
      <c r="F761">
        <f t="shared" si="46"/>
        <v>9</v>
      </c>
      <c r="G761">
        <f t="shared" si="47"/>
        <v>3.15</v>
      </c>
    </row>
    <row r="762" spans="1:7" hidden="1" x14ac:dyDescent="0.25">
      <c r="A762" s="4" t="s">
        <v>184</v>
      </c>
      <c r="B762" s="1">
        <v>0.58142000000000005</v>
      </c>
      <c r="C762" s="1">
        <v>0.58476799999999995</v>
      </c>
      <c r="D762" s="1">
        <f t="shared" si="44"/>
        <v>3.3479999999999066E-3</v>
      </c>
      <c r="E762">
        <f t="shared" si="45"/>
        <v>4</v>
      </c>
      <c r="F762">
        <f t="shared" si="46"/>
        <v>49</v>
      </c>
      <c r="G762">
        <f t="shared" si="47"/>
        <v>4.82</v>
      </c>
    </row>
    <row r="763" spans="1:7" hidden="1" x14ac:dyDescent="0.25">
      <c r="A763" s="4" t="s">
        <v>185</v>
      </c>
      <c r="B763" s="1">
        <v>0.79104600000000003</v>
      </c>
      <c r="C763" s="1">
        <v>0.78865799999999997</v>
      </c>
      <c r="D763" s="1">
        <f t="shared" si="44"/>
        <v>2.3880000000000567E-3</v>
      </c>
      <c r="E763">
        <f t="shared" si="45"/>
        <v>3</v>
      </c>
      <c r="F763">
        <f t="shared" si="46"/>
        <v>26</v>
      </c>
      <c r="G763">
        <f t="shared" si="47"/>
        <v>3.43</v>
      </c>
    </row>
    <row r="764" spans="1:7" hidden="1" x14ac:dyDescent="0.25">
      <c r="A764" s="4" t="s">
        <v>186</v>
      </c>
      <c r="B764" s="1">
        <v>0.53231499999999998</v>
      </c>
      <c r="C764" s="1">
        <v>0.52875499999999998</v>
      </c>
      <c r="D764" s="1">
        <f t="shared" si="44"/>
        <v>3.5600000000000076E-3</v>
      </c>
      <c r="E764">
        <f t="shared" si="45"/>
        <v>5</v>
      </c>
      <c r="F764">
        <f t="shared" si="46"/>
        <v>8</v>
      </c>
      <c r="G764">
        <f t="shared" si="47"/>
        <v>5.13</v>
      </c>
    </row>
    <row r="765" spans="1:7" hidden="1" x14ac:dyDescent="0.25">
      <c r="A765" s="4" t="s">
        <v>187</v>
      </c>
      <c r="B765" s="1">
        <v>0.688388</v>
      </c>
      <c r="C765" s="1">
        <v>0.69217200000000001</v>
      </c>
      <c r="D765" s="1">
        <f t="shared" si="44"/>
        <v>3.7840000000000096E-3</v>
      </c>
      <c r="E765">
        <f t="shared" si="45"/>
        <v>5</v>
      </c>
      <c r="F765">
        <f t="shared" si="46"/>
        <v>27</v>
      </c>
      <c r="G765">
        <f t="shared" si="47"/>
        <v>5.45</v>
      </c>
    </row>
    <row r="766" spans="1:7" hidden="1" x14ac:dyDescent="0.25">
      <c r="A766" s="4" t="s">
        <v>188</v>
      </c>
      <c r="B766" s="1">
        <v>0.28119699999999997</v>
      </c>
      <c r="C766" s="1">
        <v>0.27765699999999999</v>
      </c>
      <c r="D766" s="1">
        <f t="shared" si="44"/>
        <v>3.5399999999999876E-3</v>
      </c>
      <c r="E766">
        <f t="shared" si="45"/>
        <v>5</v>
      </c>
      <c r="F766">
        <f t="shared" si="46"/>
        <v>6</v>
      </c>
      <c r="G766">
        <f t="shared" si="47"/>
        <v>5.0999999999999996</v>
      </c>
    </row>
    <row r="767" spans="1:7" hidden="1" x14ac:dyDescent="0.25">
      <c r="A767" s="4" t="s">
        <v>189</v>
      </c>
      <c r="B767" s="1">
        <v>0.99743400000000004</v>
      </c>
      <c r="C767" s="1">
        <v>0.99429400000000001</v>
      </c>
      <c r="D767" s="1">
        <f t="shared" si="44"/>
        <v>3.1400000000000317E-3</v>
      </c>
      <c r="E767">
        <f t="shared" si="45"/>
        <v>4</v>
      </c>
      <c r="F767">
        <f t="shared" si="46"/>
        <v>31</v>
      </c>
      <c r="G767">
        <f t="shared" si="47"/>
        <v>4.5199999999999996</v>
      </c>
    </row>
    <row r="768" spans="1:7" hidden="1" x14ac:dyDescent="0.25">
      <c r="A768" s="4" t="s">
        <v>190</v>
      </c>
      <c r="B768" s="1">
        <v>0.78212599999999999</v>
      </c>
      <c r="C768" s="1">
        <v>0.779918</v>
      </c>
      <c r="D768" s="1">
        <f t="shared" si="44"/>
        <v>2.2079999999999878E-3</v>
      </c>
      <c r="E768">
        <f t="shared" si="45"/>
        <v>3</v>
      </c>
      <c r="F768">
        <f t="shared" si="46"/>
        <v>11</v>
      </c>
      <c r="G768">
        <f t="shared" si="47"/>
        <v>3.18</v>
      </c>
    </row>
    <row r="769" spans="1:7" hidden="1" x14ac:dyDescent="0.25">
      <c r="A769" s="4" t="s">
        <v>191</v>
      </c>
      <c r="B769" s="1">
        <v>0.193879</v>
      </c>
      <c r="C769" s="1">
        <v>0.19175500000000001</v>
      </c>
      <c r="D769" s="1">
        <f t="shared" si="44"/>
        <v>2.123999999999987E-3</v>
      </c>
      <c r="E769">
        <f t="shared" si="45"/>
        <v>3</v>
      </c>
      <c r="F769">
        <f t="shared" si="46"/>
        <v>4</v>
      </c>
      <c r="G769">
        <f t="shared" si="47"/>
        <v>3.07</v>
      </c>
    </row>
    <row r="770" spans="1:7" hidden="1" x14ac:dyDescent="0.25">
      <c r="A770" s="4" t="s">
        <v>192</v>
      </c>
      <c r="B770" s="1">
        <v>0.23611099999999999</v>
      </c>
      <c r="C770" s="1">
        <v>0.23797099999999999</v>
      </c>
      <c r="D770" s="1">
        <f t="shared" si="44"/>
        <v>1.8600000000000005E-3</v>
      </c>
      <c r="E770">
        <f t="shared" si="45"/>
        <v>2</v>
      </c>
      <c r="F770">
        <f t="shared" si="46"/>
        <v>41</v>
      </c>
      <c r="G770">
        <f t="shared" si="47"/>
        <v>2.68</v>
      </c>
    </row>
    <row r="771" spans="1:7" hidden="1" x14ac:dyDescent="0.25">
      <c r="A771" s="4" t="s">
        <v>193</v>
      </c>
      <c r="B771" s="1">
        <v>0.122076</v>
      </c>
      <c r="C771" s="1">
        <v>0.12460400000000001</v>
      </c>
      <c r="D771" s="1">
        <f t="shared" ref="D771:D834" si="48">IF(B771&gt;C771,B771-C771,C771-B771)</f>
        <v>2.5280000000000025E-3</v>
      </c>
      <c r="E771">
        <f t="shared" ref="E771:E834" si="49">MINUTE(D771)</f>
        <v>3</v>
      </c>
      <c r="F771">
        <f t="shared" ref="F771:F834" si="50">SECOND(D771)</f>
        <v>38</v>
      </c>
      <c r="G771">
        <f t="shared" ref="G771:G834" si="51">ROUND(E771+F771/60,2)</f>
        <v>3.63</v>
      </c>
    </row>
    <row r="772" spans="1:7" hidden="1" x14ac:dyDescent="0.25">
      <c r="A772" s="4" t="s">
        <v>194</v>
      </c>
      <c r="B772" s="1">
        <v>0.59056699999999995</v>
      </c>
      <c r="C772" s="1">
        <v>0.58848299999999998</v>
      </c>
      <c r="D772" s="1">
        <f t="shared" si="48"/>
        <v>2.0839999999999748E-3</v>
      </c>
      <c r="E772">
        <f t="shared" si="49"/>
        <v>3</v>
      </c>
      <c r="F772">
        <f t="shared" si="50"/>
        <v>0</v>
      </c>
      <c r="G772">
        <f t="shared" si="51"/>
        <v>3</v>
      </c>
    </row>
    <row r="773" spans="1:7" hidden="1" x14ac:dyDescent="0.25">
      <c r="A773" s="4" t="s">
        <v>195</v>
      </c>
      <c r="B773" s="1">
        <v>0.41790500000000003</v>
      </c>
      <c r="C773" s="1">
        <v>0.415773</v>
      </c>
      <c r="D773" s="1">
        <f t="shared" si="48"/>
        <v>2.1320000000000228E-3</v>
      </c>
      <c r="E773">
        <f t="shared" si="49"/>
        <v>3</v>
      </c>
      <c r="F773">
        <f t="shared" si="50"/>
        <v>4</v>
      </c>
      <c r="G773">
        <f t="shared" si="51"/>
        <v>3.07</v>
      </c>
    </row>
    <row r="774" spans="1:7" hidden="1" x14ac:dyDescent="0.25">
      <c r="A774" s="4" t="s">
        <v>196</v>
      </c>
      <c r="B774" s="1">
        <v>0.73899499999999996</v>
      </c>
      <c r="C774" s="1">
        <v>0.74130700000000005</v>
      </c>
      <c r="D774" s="1">
        <f t="shared" si="48"/>
        <v>2.3120000000000918E-3</v>
      </c>
      <c r="E774">
        <f t="shared" si="49"/>
        <v>3</v>
      </c>
      <c r="F774">
        <f t="shared" si="50"/>
        <v>20</v>
      </c>
      <c r="G774">
        <f t="shared" si="51"/>
        <v>3.33</v>
      </c>
    </row>
    <row r="775" spans="1:7" hidden="1" x14ac:dyDescent="0.25">
      <c r="A775" s="4" t="s">
        <v>197</v>
      </c>
      <c r="B775" s="1">
        <v>0.35936200000000001</v>
      </c>
      <c r="C775" s="1">
        <v>0.35786600000000002</v>
      </c>
      <c r="D775" s="1">
        <f t="shared" si="48"/>
        <v>1.4959999999999973E-3</v>
      </c>
      <c r="E775">
        <f t="shared" si="49"/>
        <v>2</v>
      </c>
      <c r="F775">
        <f t="shared" si="50"/>
        <v>9</v>
      </c>
      <c r="G775">
        <f t="shared" si="51"/>
        <v>2.15</v>
      </c>
    </row>
    <row r="776" spans="1:7" hidden="1" x14ac:dyDescent="0.25">
      <c r="A776" s="4" t="s">
        <v>198</v>
      </c>
      <c r="B776" s="1">
        <v>0.220692</v>
      </c>
      <c r="C776" s="1">
        <v>0.218588</v>
      </c>
      <c r="D776" s="1">
        <f t="shared" si="48"/>
        <v>2.1039999999999948E-3</v>
      </c>
      <c r="E776">
        <f t="shared" si="49"/>
        <v>3</v>
      </c>
      <c r="F776">
        <f t="shared" si="50"/>
        <v>2</v>
      </c>
      <c r="G776">
        <f t="shared" si="51"/>
        <v>3.03</v>
      </c>
    </row>
    <row r="777" spans="1:7" hidden="1" x14ac:dyDescent="0.25">
      <c r="A777" s="4" t="s">
        <v>199</v>
      </c>
      <c r="B777" s="1">
        <v>5.1676E-2</v>
      </c>
      <c r="C777" s="1">
        <v>5.3148000000000001E-2</v>
      </c>
      <c r="D777" s="1">
        <f t="shared" si="48"/>
        <v>1.4720000000000011E-3</v>
      </c>
      <c r="E777">
        <f t="shared" si="49"/>
        <v>2</v>
      </c>
      <c r="F777">
        <f t="shared" si="50"/>
        <v>7</v>
      </c>
      <c r="G777">
        <f t="shared" si="51"/>
        <v>2.12</v>
      </c>
    </row>
    <row r="778" spans="1:7" hidden="1" x14ac:dyDescent="0.25">
      <c r="A778" s="4" t="s">
        <v>200</v>
      </c>
      <c r="B778" s="1">
        <v>0.64594499999999999</v>
      </c>
      <c r="C778" s="1">
        <v>0.649501</v>
      </c>
      <c r="D778" s="1">
        <f t="shared" si="48"/>
        <v>3.5560000000000036E-3</v>
      </c>
      <c r="E778">
        <f t="shared" si="49"/>
        <v>5</v>
      </c>
      <c r="F778">
        <f t="shared" si="50"/>
        <v>7</v>
      </c>
      <c r="G778">
        <f t="shared" si="51"/>
        <v>5.12</v>
      </c>
    </row>
    <row r="779" spans="1:7" hidden="1" x14ac:dyDescent="0.25">
      <c r="A779" s="4" t="s">
        <v>201</v>
      </c>
      <c r="B779" s="1">
        <v>1.3842999999999999E-2</v>
      </c>
      <c r="C779" s="1">
        <v>1.1911E-2</v>
      </c>
      <c r="D779" s="1">
        <f t="shared" si="48"/>
        <v>1.9319999999999997E-3</v>
      </c>
      <c r="E779">
        <f t="shared" si="49"/>
        <v>2</v>
      </c>
      <c r="F779">
        <f t="shared" si="50"/>
        <v>47</v>
      </c>
      <c r="G779">
        <f t="shared" si="51"/>
        <v>2.78</v>
      </c>
    </row>
    <row r="780" spans="1:7" hidden="1" x14ac:dyDescent="0.25">
      <c r="A780" s="4" t="s">
        <v>202</v>
      </c>
      <c r="B780" s="1">
        <v>0.817774</v>
      </c>
      <c r="C780" s="1">
        <v>0.82153799999999999</v>
      </c>
      <c r="D780" s="1">
        <f t="shared" si="48"/>
        <v>3.7639999999999896E-3</v>
      </c>
      <c r="E780">
        <f t="shared" si="49"/>
        <v>5</v>
      </c>
      <c r="F780">
        <f t="shared" si="50"/>
        <v>25</v>
      </c>
      <c r="G780">
        <f t="shared" si="51"/>
        <v>5.42</v>
      </c>
    </row>
    <row r="781" spans="1:7" hidden="1" x14ac:dyDescent="0.25">
      <c r="A781" s="4" t="s">
        <v>203</v>
      </c>
      <c r="B781" s="1">
        <v>0.49404599999999999</v>
      </c>
      <c r="C781" s="1">
        <v>0.49249399999999999</v>
      </c>
      <c r="D781" s="1">
        <f t="shared" si="48"/>
        <v>1.5519999999999978E-3</v>
      </c>
      <c r="E781">
        <f t="shared" si="49"/>
        <v>2</v>
      </c>
      <c r="F781">
        <f t="shared" si="50"/>
        <v>14</v>
      </c>
      <c r="G781">
        <f t="shared" si="51"/>
        <v>2.23</v>
      </c>
    </row>
    <row r="782" spans="1:7" hidden="1" x14ac:dyDescent="0.25">
      <c r="A782" s="4" t="s">
        <v>204</v>
      </c>
      <c r="B782" s="1">
        <v>0.62856599999999996</v>
      </c>
      <c r="C782" s="1">
        <v>0.631602</v>
      </c>
      <c r="D782" s="1">
        <f t="shared" si="48"/>
        <v>3.0360000000000387E-3</v>
      </c>
      <c r="E782">
        <f t="shared" si="49"/>
        <v>4</v>
      </c>
      <c r="F782">
        <f t="shared" si="50"/>
        <v>22</v>
      </c>
      <c r="G782">
        <f t="shared" si="51"/>
        <v>4.37</v>
      </c>
    </row>
    <row r="783" spans="1:7" hidden="1" x14ac:dyDescent="0.25">
      <c r="A783" s="4" t="s">
        <v>205</v>
      </c>
      <c r="B783" s="1">
        <v>0.62204599999999999</v>
      </c>
      <c r="C783" s="1">
        <v>0.62412999999999996</v>
      </c>
      <c r="D783" s="1">
        <f t="shared" si="48"/>
        <v>2.0839999999999748E-3</v>
      </c>
      <c r="E783">
        <f t="shared" si="49"/>
        <v>3</v>
      </c>
      <c r="F783">
        <f t="shared" si="50"/>
        <v>0</v>
      </c>
      <c r="G783">
        <f t="shared" si="51"/>
        <v>3</v>
      </c>
    </row>
    <row r="784" spans="1:7" hidden="1" x14ac:dyDescent="0.25">
      <c r="A784" s="4" t="s">
        <v>206</v>
      </c>
      <c r="B784" s="1">
        <v>0.65591200000000005</v>
      </c>
      <c r="C784" s="1">
        <v>0.65336000000000005</v>
      </c>
      <c r="D784" s="1">
        <f t="shared" si="48"/>
        <v>2.5519999999999987E-3</v>
      </c>
      <c r="E784">
        <f t="shared" si="49"/>
        <v>3</v>
      </c>
      <c r="F784">
        <f t="shared" si="50"/>
        <v>40</v>
      </c>
      <c r="G784">
        <f t="shared" si="51"/>
        <v>3.67</v>
      </c>
    </row>
    <row r="785" spans="1:7" hidden="1" x14ac:dyDescent="0.25">
      <c r="A785" s="4" t="s">
        <v>207</v>
      </c>
      <c r="B785" s="1">
        <v>0.68479000000000001</v>
      </c>
      <c r="C785" s="1">
        <v>0.68872999999999995</v>
      </c>
      <c r="D785" s="1">
        <f t="shared" si="48"/>
        <v>3.9399999999999435E-3</v>
      </c>
      <c r="E785">
        <f t="shared" si="49"/>
        <v>5</v>
      </c>
      <c r="F785">
        <f t="shared" si="50"/>
        <v>40</v>
      </c>
      <c r="G785">
        <f t="shared" si="51"/>
        <v>5.67</v>
      </c>
    </row>
    <row r="786" spans="1:7" hidden="1" x14ac:dyDescent="0.25">
      <c r="A786" s="4" t="s">
        <v>208</v>
      </c>
      <c r="B786" s="1">
        <v>0.81711299999999998</v>
      </c>
      <c r="C786" s="1">
        <v>0.81896500000000005</v>
      </c>
      <c r="D786" s="1">
        <f t="shared" si="48"/>
        <v>1.8520000000000758E-3</v>
      </c>
      <c r="E786">
        <f t="shared" si="49"/>
        <v>2</v>
      </c>
      <c r="F786">
        <f t="shared" si="50"/>
        <v>40</v>
      </c>
      <c r="G786">
        <f t="shared" si="51"/>
        <v>2.67</v>
      </c>
    </row>
    <row r="787" spans="1:7" hidden="1" x14ac:dyDescent="0.25">
      <c r="A787" s="4" t="s">
        <v>209</v>
      </c>
      <c r="B787" s="1">
        <v>0.40768100000000002</v>
      </c>
      <c r="C787" s="1">
        <v>0.40382499999999999</v>
      </c>
      <c r="D787" s="1">
        <f t="shared" si="48"/>
        <v>3.8560000000000261E-3</v>
      </c>
      <c r="E787">
        <f t="shared" si="49"/>
        <v>5</v>
      </c>
      <c r="F787">
        <f t="shared" si="50"/>
        <v>33</v>
      </c>
      <c r="G787">
        <f t="shared" si="51"/>
        <v>5.55</v>
      </c>
    </row>
    <row r="788" spans="1:7" hidden="1" x14ac:dyDescent="0.25">
      <c r="A788" s="4" t="s">
        <v>210</v>
      </c>
      <c r="B788" s="1">
        <v>0.32662200000000002</v>
      </c>
      <c r="C788" s="1">
        <v>0.32874599999999998</v>
      </c>
      <c r="D788" s="1">
        <f t="shared" si="48"/>
        <v>2.1239999999999593E-3</v>
      </c>
      <c r="E788">
        <f t="shared" si="49"/>
        <v>3</v>
      </c>
      <c r="F788">
        <f t="shared" si="50"/>
        <v>4</v>
      </c>
      <c r="G788">
        <f t="shared" si="51"/>
        <v>3.07</v>
      </c>
    </row>
    <row r="789" spans="1:7" hidden="1" x14ac:dyDescent="0.25">
      <c r="A789" s="4" t="s">
        <v>211</v>
      </c>
      <c r="B789" s="1">
        <v>0.29138900000000001</v>
      </c>
      <c r="C789" s="1">
        <v>0.29344100000000001</v>
      </c>
      <c r="D789" s="1">
        <f t="shared" si="48"/>
        <v>2.0519999999999983E-3</v>
      </c>
      <c r="E789">
        <f t="shared" si="49"/>
        <v>2</v>
      </c>
      <c r="F789">
        <f t="shared" si="50"/>
        <v>57</v>
      </c>
      <c r="G789">
        <f t="shared" si="51"/>
        <v>2.95</v>
      </c>
    </row>
    <row r="790" spans="1:7" hidden="1" x14ac:dyDescent="0.25">
      <c r="A790" s="4" t="s">
        <v>212</v>
      </c>
      <c r="B790" s="1">
        <v>0.15565499999999999</v>
      </c>
      <c r="C790" s="1">
        <v>0.151727</v>
      </c>
      <c r="D790" s="1">
        <f t="shared" si="48"/>
        <v>3.9279999999999871E-3</v>
      </c>
      <c r="E790">
        <f t="shared" si="49"/>
        <v>5</v>
      </c>
      <c r="F790">
        <f t="shared" si="50"/>
        <v>39</v>
      </c>
      <c r="G790">
        <f t="shared" si="51"/>
        <v>5.65</v>
      </c>
    </row>
    <row r="791" spans="1:7" hidden="1" x14ac:dyDescent="0.25">
      <c r="A791" s="4" t="s">
        <v>213</v>
      </c>
      <c r="B791" s="1">
        <v>0.88904300000000003</v>
      </c>
      <c r="C791" s="1">
        <v>0.88658300000000001</v>
      </c>
      <c r="D791" s="1">
        <f t="shared" si="48"/>
        <v>2.4600000000000177E-3</v>
      </c>
      <c r="E791">
        <f t="shared" si="49"/>
        <v>3</v>
      </c>
      <c r="F791">
        <f t="shared" si="50"/>
        <v>33</v>
      </c>
      <c r="G791">
        <f t="shared" si="51"/>
        <v>3.55</v>
      </c>
    </row>
    <row r="792" spans="1:7" hidden="1" x14ac:dyDescent="0.25">
      <c r="A792" s="4" t="s">
        <v>214</v>
      </c>
      <c r="B792" s="1">
        <v>0.64281900000000003</v>
      </c>
      <c r="C792" s="1">
        <v>0.64061900000000005</v>
      </c>
      <c r="D792" s="1">
        <f t="shared" si="48"/>
        <v>2.1999999999999797E-3</v>
      </c>
      <c r="E792">
        <f t="shared" si="49"/>
        <v>3</v>
      </c>
      <c r="F792">
        <f t="shared" si="50"/>
        <v>10</v>
      </c>
      <c r="G792">
        <f t="shared" si="51"/>
        <v>3.17</v>
      </c>
    </row>
    <row r="793" spans="1:7" hidden="1" x14ac:dyDescent="0.25">
      <c r="A793" s="4" t="s">
        <v>215</v>
      </c>
      <c r="B793" s="1">
        <v>0.92084600000000005</v>
      </c>
      <c r="C793" s="1">
        <v>0.924014</v>
      </c>
      <c r="D793" s="1">
        <f t="shared" si="48"/>
        <v>3.1679999999999486E-3</v>
      </c>
      <c r="E793">
        <f t="shared" si="49"/>
        <v>4</v>
      </c>
      <c r="F793">
        <f t="shared" si="50"/>
        <v>34</v>
      </c>
      <c r="G793">
        <f t="shared" si="51"/>
        <v>4.57</v>
      </c>
    </row>
    <row r="794" spans="1:7" hidden="1" x14ac:dyDescent="0.25">
      <c r="A794" s="4" t="s">
        <v>216</v>
      </c>
      <c r="B794" s="1">
        <v>0.21799099999999999</v>
      </c>
      <c r="C794" s="1">
        <v>0.21532299999999999</v>
      </c>
      <c r="D794" s="1">
        <f t="shared" si="48"/>
        <v>2.6680000000000037E-3</v>
      </c>
      <c r="E794">
        <f t="shared" si="49"/>
        <v>3</v>
      </c>
      <c r="F794">
        <f t="shared" si="50"/>
        <v>51</v>
      </c>
      <c r="G794">
        <f t="shared" si="51"/>
        <v>3.85</v>
      </c>
    </row>
    <row r="795" spans="1:7" hidden="1" x14ac:dyDescent="0.25">
      <c r="A795" s="4" t="s">
        <v>217</v>
      </c>
      <c r="B795" s="1">
        <v>9.6702999999999997E-2</v>
      </c>
      <c r="C795" s="1">
        <v>9.4674999999999995E-2</v>
      </c>
      <c r="D795" s="1">
        <f t="shared" si="48"/>
        <v>2.028000000000002E-3</v>
      </c>
      <c r="E795">
        <f t="shared" si="49"/>
        <v>2</v>
      </c>
      <c r="F795">
        <f t="shared" si="50"/>
        <v>55</v>
      </c>
      <c r="G795">
        <f t="shared" si="51"/>
        <v>2.92</v>
      </c>
    </row>
    <row r="796" spans="1:7" hidden="1" x14ac:dyDescent="0.25">
      <c r="A796" s="4" t="s">
        <v>218</v>
      </c>
      <c r="B796" s="1">
        <v>4.9180000000000001E-2</v>
      </c>
      <c r="C796" s="1">
        <v>4.5275999999999997E-2</v>
      </c>
      <c r="D796" s="1">
        <f t="shared" si="48"/>
        <v>3.9040000000000047E-3</v>
      </c>
      <c r="E796">
        <f t="shared" si="49"/>
        <v>5</v>
      </c>
      <c r="F796">
        <f t="shared" si="50"/>
        <v>37</v>
      </c>
      <c r="G796">
        <f t="shared" si="51"/>
        <v>5.62</v>
      </c>
    </row>
    <row r="797" spans="1:7" hidden="1" x14ac:dyDescent="0.25">
      <c r="A797" s="4" t="s">
        <v>219</v>
      </c>
      <c r="B797" s="1">
        <v>0.51214999999999999</v>
      </c>
      <c r="C797" s="1">
        <v>0.50854600000000005</v>
      </c>
      <c r="D797" s="1">
        <f t="shared" si="48"/>
        <v>3.6039999999999406E-3</v>
      </c>
      <c r="E797">
        <f t="shared" si="49"/>
        <v>5</v>
      </c>
      <c r="F797">
        <f t="shared" si="50"/>
        <v>11</v>
      </c>
      <c r="G797">
        <f t="shared" si="51"/>
        <v>5.18</v>
      </c>
    </row>
    <row r="798" spans="1:7" hidden="1" x14ac:dyDescent="0.25">
      <c r="A798" s="4" t="s">
        <v>220</v>
      </c>
      <c r="B798" s="1">
        <v>0.56824699999999995</v>
      </c>
      <c r="C798" s="1">
        <v>0.56993099999999997</v>
      </c>
      <c r="D798" s="1">
        <f t="shared" si="48"/>
        <v>1.6840000000000188E-3</v>
      </c>
      <c r="E798">
        <f t="shared" si="49"/>
        <v>2</v>
      </c>
      <c r="F798">
        <f t="shared" si="50"/>
        <v>25</v>
      </c>
      <c r="G798">
        <f t="shared" si="51"/>
        <v>2.42</v>
      </c>
    </row>
    <row r="799" spans="1:7" hidden="1" x14ac:dyDescent="0.25">
      <c r="A799" s="4" t="s">
        <v>221</v>
      </c>
      <c r="B799" s="1">
        <v>0.83130700000000002</v>
      </c>
      <c r="C799" s="1">
        <v>0.82957099999999995</v>
      </c>
      <c r="D799" s="1">
        <f t="shared" si="48"/>
        <v>1.7360000000000708E-3</v>
      </c>
      <c r="E799">
        <f t="shared" si="49"/>
        <v>2</v>
      </c>
      <c r="F799">
        <f t="shared" si="50"/>
        <v>30</v>
      </c>
      <c r="G799">
        <f t="shared" si="51"/>
        <v>2.5</v>
      </c>
    </row>
    <row r="800" spans="1:7" hidden="1" x14ac:dyDescent="0.25">
      <c r="A800" s="4" t="s">
        <v>222</v>
      </c>
      <c r="B800" s="1">
        <v>0.16234899999999999</v>
      </c>
      <c r="C800" s="1">
        <v>0.15942100000000001</v>
      </c>
      <c r="D800" s="1">
        <f t="shared" si="48"/>
        <v>2.9279999999999862E-3</v>
      </c>
      <c r="E800">
        <f t="shared" si="49"/>
        <v>4</v>
      </c>
      <c r="F800">
        <f t="shared" si="50"/>
        <v>13</v>
      </c>
      <c r="G800">
        <f t="shared" si="51"/>
        <v>4.22</v>
      </c>
    </row>
    <row r="801" spans="1:7" hidden="1" x14ac:dyDescent="0.25">
      <c r="A801" s="4" t="s">
        <v>223</v>
      </c>
      <c r="B801" s="1">
        <v>0.66965399999999997</v>
      </c>
      <c r="C801" s="1">
        <v>0.66589399999999999</v>
      </c>
      <c r="D801" s="1">
        <f t="shared" si="48"/>
        <v>3.7599999999999856E-3</v>
      </c>
      <c r="E801">
        <f t="shared" si="49"/>
        <v>5</v>
      </c>
      <c r="F801">
        <f t="shared" si="50"/>
        <v>25</v>
      </c>
      <c r="G801">
        <f t="shared" si="51"/>
        <v>5.42</v>
      </c>
    </row>
    <row r="802" spans="1:7" hidden="1" x14ac:dyDescent="0.25">
      <c r="A802" s="4" t="s">
        <v>224</v>
      </c>
      <c r="B802" s="1">
        <v>0.88523799999999997</v>
      </c>
      <c r="C802" s="1">
        <v>0.88202999999999998</v>
      </c>
      <c r="D802" s="1">
        <f t="shared" si="48"/>
        <v>3.2079999999999886E-3</v>
      </c>
      <c r="E802">
        <f t="shared" si="49"/>
        <v>4</v>
      </c>
      <c r="F802">
        <f t="shared" si="50"/>
        <v>37</v>
      </c>
      <c r="G802">
        <f t="shared" si="51"/>
        <v>4.62</v>
      </c>
    </row>
    <row r="803" spans="1:7" hidden="1" x14ac:dyDescent="0.25">
      <c r="A803" s="4" t="s">
        <v>225</v>
      </c>
      <c r="B803" s="1">
        <v>0.13014400000000001</v>
      </c>
      <c r="C803" s="1">
        <v>0.133712</v>
      </c>
      <c r="D803" s="1">
        <f t="shared" si="48"/>
        <v>3.5679999999999878E-3</v>
      </c>
      <c r="E803">
        <f t="shared" si="49"/>
        <v>5</v>
      </c>
      <c r="F803">
        <f t="shared" si="50"/>
        <v>8</v>
      </c>
      <c r="G803">
        <f t="shared" si="51"/>
        <v>5.13</v>
      </c>
    </row>
    <row r="804" spans="1:7" hidden="1" x14ac:dyDescent="0.25">
      <c r="A804" s="4" t="s">
        <v>226</v>
      </c>
      <c r="B804" s="1">
        <v>0.30818200000000001</v>
      </c>
      <c r="C804" s="1">
        <v>0.30521399999999999</v>
      </c>
      <c r="D804" s="1">
        <f t="shared" si="48"/>
        <v>2.9680000000000262E-3</v>
      </c>
      <c r="E804">
        <f t="shared" si="49"/>
        <v>4</v>
      </c>
      <c r="F804">
        <f t="shared" si="50"/>
        <v>16</v>
      </c>
      <c r="G804">
        <f t="shared" si="51"/>
        <v>4.2699999999999996</v>
      </c>
    </row>
    <row r="805" spans="1:7" hidden="1" x14ac:dyDescent="0.25">
      <c r="A805" s="4" t="s">
        <v>227</v>
      </c>
      <c r="B805" s="1">
        <v>0.529331</v>
      </c>
      <c r="C805" s="1">
        <v>0.532107</v>
      </c>
      <c r="D805" s="1">
        <f t="shared" si="48"/>
        <v>2.7760000000000007E-3</v>
      </c>
      <c r="E805">
        <f t="shared" si="49"/>
        <v>4</v>
      </c>
      <c r="F805">
        <f t="shared" si="50"/>
        <v>0</v>
      </c>
      <c r="G805">
        <f t="shared" si="51"/>
        <v>4</v>
      </c>
    </row>
    <row r="806" spans="1:7" hidden="1" x14ac:dyDescent="0.25">
      <c r="A806" s="4" t="s">
        <v>228</v>
      </c>
      <c r="B806" s="1">
        <v>3.1982999999999998E-2</v>
      </c>
      <c r="C806" s="1">
        <v>3.5730999999999999E-2</v>
      </c>
      <c r="D806" s="1">
        <f t="shared" si="48"/>
        <v>3.7480000000000013E-3</v>
      </c>
      <c r="E806">
        <f t="shared" si="49"/>
        <v>5</v>
      </c>
      <c r="F806">
        <f t="shared" si="50"/>
        <v>24</v>
      </c>
      <c r="G806">
        <f t="shared" si="51"/>
        <v>5.4</v>
      </c>
    </row>
    <row r="807" spans="1:7" hidden="1" x14ac:dyDescent="0.25">
      <c r="A807" s="4" t="s">
        <v>229</v>
      </c>
      <c r="B807" s="1">
        <v>0.119934</v>
      </c>
      <c r="C807" s="1">
        <v>0.11670999999999999</v>
      </c>
      <c r="D807" s="1">
        <f t="shared" si="48"/>
        <v>3.2240000000000046E-3</v>
      </c>
      <c r="E807">
        <f t="shared" si="49"/>
        <v>4</v>
      </c>
      <c r="F807">
        <f t="shared" si="50"/>
        <v>39</v>
      </c>
      <c r="G807">
        <f t="shared" si="51"/>
        <v>4.6500000000000004</v>
      </c>
    </row>
    <row r="808" spans="1:7" hidden="1" x14ac:dyDescent="0.25">
      <c r="A808" s="4" t="s">
        <v>230</v>
      </c>
      <c r="B808" s="1">
        <v>0.86723899999999998</v>
      </c>
      <c r="C808" s="1">
        <v>0.86434699999999998</v>
      </c>
      <c r="D808" s="1">
        <f t="shared" si="48"/>
        <v>2.8920000000000057E-3</v>
      </c>
      <c r="E808">
        <f t="shared" si="49"/>
        <v>4</v>
      </c>
      <c r="F808">
        <f t="shared" si="50"/>
        <v>10</v>
      </c>
      <c r="G808">
        <f t="shared" si="51"/>
        <v>4.17</v>
      </c>
    </row>
    <row r="809" spans="1:7" hidden="1" x14ac:dyDescent="0.25">
      <c r="A809" s="4" t="s">
        <v>231</v>
      </c>
      <c r="B809" s="1">
        <v>1.7892000000000002E-2</v>
      </c>
      <c r="C809" s="1">
        <v>1.4028000000000001E-2</v>
      </c>
      <c r="D809" s="1">
        <f t="shared" si="48"/>
        <v>3.8640000000000011E-3</v>
      </c>
      <c r="E809">
        <f t="shared" si="49"/>
        <v>5</v>
      </c>
      <c r="F809">
        <f t="shared" si="50"/>
        <v>34</v>
      </c>
      <c r="G809">
        <f t="shared" si="51"/>
        <v>5.57</v>
      </c>
    </row>
    <row r="810" spans="1:7" hidden="1" x14ac:dyDescent="0.25">
      <c r="A810" s="4" t="s">
        <v>232</v>
      </c>
      <c r="B810" s="1">
        <v>0.29889700000000002</v>
      </c>
      <c r="C810" s="1">
        <v>0.29667300000000002</v>
      </c>
      <c r="D810" s="1">
        <f t="shared" si="48"/>
        <v>2.2240000000000038E-3</v>
      </c>
      <c r="E810">
        <f t="shared" si="49"/>
        <v>3</v>
      </c>
      <c r="F810">
        <f t="shared" si="50"/>
        <v>12</v>
      </c>
      <c r="G810">
        <f t="shared" si="51"/>
        <v>3.2</v>
      </c>
    </row>
    <row r="811" spans="1:7" hidden="1" x14ac:dyDescent="0.25">
      <c r="A811" s="4" t="s">
        <v>233</v>
      </c>
      <c r="B811" s="1">
        <v>0.423147</v>
      </c>
      <c r="C811" s="1">
        <v>0.419211</v>
      </c>
      <c r="D811" s="1">
        <f t="shared" si="48"/>
        <v>3.9359999999999951E-3</v>
      </c>
      <c r="E811">
        <f t="shared" si="49"/>
        <v>5</v>
      </c>
      <c r="F811">
        <f t="shared" si="50"/>
        <v>40</v>
      </c>
      <c r="G811">
        <f t="shared" si="51"/>
        <v>5.67</v>
      </c>
    </row>
    <row r="812" spans="1:7" hidden="1" x14ac:dyDescent="0.25">
      <c r="A812" s="4" t="s">
        <v>234</v>
      </c>
      <c r="B812" s="1">
        <v>0.53744899999999995</v>
      </c>
      <c r="C812" s="1">
        <v>0.53895300000000002</v>
      </c>
      <c r="D812" s="1">
        <f t="shared" si="48"/>
        <v>1.5040000000000608E-3</v>
      </c>
      <c r="E812">
        <f t="shared" si="49"/>
        <v>2</v>
      </c>
      <c r="F812">
        <f t="shared" si="50"/>
        <v>10</v>
      </c>
      <c r="G812">
        <f t="shared" si="51"/>
        <v>2.17</v>
      </c>
    </row>
    <row r="813" spans="1:7" hidden="1" x14ac:dyDescent="0.25">
      <c r="A813" s="4" t="s">
        <v>235</v>
      </c>
      <c r="B813" s="1">
        <v>0.24182600000000001</v>
      </c>
      <c r="C813" s="1">
        <v>0.23921000000000001</v>
      </c>
      <c r="D813" s="1">
        <f t="shared" si="48"/>
        <v>2.6160000000000072E-3</v>
      </c>
      <c r="E813">
        <f t="shared" si="49"/>
        <v>3</v>
      </c>
      <c r="F813">
        <f t="shared" si="50"/>
        <v>46</v>
      </c>
      <c r="G813">
        <f t="shared" si="51"/>
        <v>3.77</v>
      </c>
    </row>
    <row r="814" spans="1:7" hidden="1" x14ac:dyDescent="0.25">
      <c r="A814" s="4" t="s">
        <v>236</v>
      </c>
      <c r="B814" s="1">
        <v>0.74470800000000004</v>
      </c>
      <c r="C814" s="1">
        <v>0.74641199999999996</v>
      </c>
      <c r="D814" s="1">
        <f t="shared" si="48"/>
        <v>1.7039999999999278E-3</v>
      </c>
      <c r="E814">
        <f t="shared" si="49"/>
        <v>2</v>
      </c>
      <c r="F814">
        <f t="shared" si="50"/>
        <v>27</v>
      </c>
      <c r="G814">
        <f t="shared" si="51"/>
        <v>2.4500000000000002</v>
      </c>
    </row>
    <row r="815" spans="1:7" hidden="1" x14ac:dyDescent="0.25">
      <c r="A815" s="4" t="s">
        <v>237</v>
      </c>
      <c r="B815" s="1">
        <v>0.83006999999999997</v>
      </c>
      <c r="C815" s="1">
        <v>0.82670600000000005</v>
      </c>
      <c r="D815" s="1">
        <f t="shared" si="48"/>
        <v>3.3639999999999226E-3</v>
      </c>
      <c r="E815">
        <f t="shared" si="49"/>
        <v>4</v>
      </c>
      <c r="F815">
        <f t="shared" si="50"/>
        <v>51</v>
      </c>
      <c r="G815">
        <f t="shared" si="51"/>
        <v>4.8499999999999996</v>
      </c>
    </row>
    <row r="816" spans="1:7" hidden="1" x14ac:dyDescent="0.25">
      <c r="A816" s="4" t="s">
        <v>238</v>
      </c>
      <c r="B816" s="1">
        <v>3.8924E-2</v>
      </c>
      <c r="C816" s="1">
        <v>3.7212000000000002E-2</v>
      </c>
      <c r="D816" s="1">
        <f t="shared" si="48"/>
        <v>1.7119999999999982E-3</v>
      </c>
      <c r="E816">
        <f t="shared" si="49"/>
        <v>2</v>
      </c>
      <c r="F816">
        <f t="shared" si="50"/>
        <v>28</v>
      </c>
      <c r="G816">
        <f t="shared" si="51"/>
        <v>2.4700000000000002</v>
      </c>
    </row>
    <row r="817" spans="1:7" hidden="1" x14ac:dyDescent="0.25">
      <c r="A817" s="4" t="s">
        <v>239</v>
      </c>
      <c r="B817" s="1">
        <v>0.346945</v>
      </c>
      <c r="C817" s="1">
        <v>0.35031299999999999</v>
      </c>
      <c r="D817" s="1">
        <f t="shared" si="48"/>
        <v>3.3679999999999821E-3</v>
      </c>
      <c r="E817">
        <f t="shared" si="49"/>
        <v>4</v>
      </c>
      <c r="F817">
        <f t="shared" si="50"/>
        <v>51</v>
      </c>
      <c r="G817">
        <f t="shared" si="51"/>
        <v>4.8499999999999996</v>
      </c>
    </row>
    <row r="818" spans="1:7" hidden="1" x14ac:dyDescent="0.25">
      <c r="A818" s="4" t="s">
        <v>240</v>
      </c>
      <c r="B818" s="1">
        <v>0.76658499999999996</v>
      </c>
      <c r="C818" s="1">
        <v>0.763181</v>
      </c>
      <c r="D818" s="1">
        <f t="shared" si="48"/>
        <v>3.4039999999999626E-3</v>
      </c>
      <c r="E818">
        <f t="shared" si="49"/>
        <v>4</v>
      </c>
      <c r="F818">
        <f t="shared" si="50"/>
        <v>54</v>
      </c>
      <c r="G818">
        <f t="shared" si="51"/>
        <v>4.9000000000000004</v>
      </c>
    </row>
    <row r="819" spans="1:7" hidden="1" x14ac:dyDescent="0.25">
      <c r="A819" s="4" t="s">
        <v>241</v>
      </c>
      <c r="B819" s="1">
        <v>0.12286</v>
      </c>
      <c r="C819" s="1">
        <v>0.12078800000000001</v>
      </c>
      <c r="D819" s="1">
        <f t="shared" si="48"/>
        <v>2.0719999999999905E-3</v>
      </c>
      <c r="E819">
        <f t="shared" si="49"/>
        <v>2</v>
      </c>
      <c r="F819">
        <f t="shared" si="50"/>
        <v>59</v>
      </c>
      <c r="G819">
        <f t="shared" si="51"/>
        <v>2.98</v>
      </c>
    </row>
    <row r="820" spans="1:7" hidden="1" x14ac:dyDescent="0.25">
      <c r="A820" s="4" t="s">
        <v>242</v>
      </c>
      <c r="B820" s="1">
        <v>0.29494700000000001</v>
      </c>
      <c r="C820" s="1">
        <v>0.29311900000000002</v>
      </c>
      <c r="D820" s="1">
        <f t="shared" si="48"/>
        <v>1.8279999999999963E-3</v>
      </c>
      <c r="E820">
        <f t="shared" si="49"/>
        <v>2</v>
      </c>
      <c r="F820">
        <f t="shared" si="50"/>
        <v>38</v>
      </c>
      <c r="G820">
        <f t="shared" si="51"/>
        <v>2.63</v>
      </c>
    </row>
    <row r="821" spans="1:7" hidden="1" x14ac:dyDescent="0.25">
      <c r="A821" s="4" t="s">
        <v>243</v>
      </c>
      <c r="B821" s="1">
        <v>0.32779999999999998</v>
      </c>
      <c r="C821" s="1">
        <v>0.32583200000000001</v>
      </c>
      <c r="D821" s="1">
        <f t="shared" si="48"/>
        <v>1.9679999999999698E-3</v>
      </c>
      <c r="E821">
        <f t="shared" si="49"/>
        <v>2</v>
      </c>
      <c r="F821">
        <f t="shared" si="50"/>
        <v>50</v>
      </c>
      <c r="G821">
        <f t="shared" si="51"/>
        <v>2.83</v>
      </c>
    </row>
    <row r="822" spans="1:7" hidden="1" x14ac:dyDescent="0.25">
      <c r="A822" s="4" t="s">
        <v>244</v>
      </c>
      <c r="B822" s="1">
        <v>0.71818000000000004</v>
      </c>
      <c r="C822" s="1">
        <v>0.714916</v>
      </c>
      <c r="D822" s="1">
        <f t="shared" si="48"/>
        <v>3.2640000000000446E-3</v>
      </c>
      <c r="E822">
        <f t="shared" si="49"/>
        <v>4</v>
      </c>
      <c r="F822">
        <f t="shared" si="50"/>
        <v>42</v>
      </c>
      <c r="G822">
        <f t="shared" si="51"/>
        <v>4.7</v>
      </c>
    </row>
    <row r="823" spans="1:7" hidden="1" x14ac:dyDescent="0.25">
      <c r="A823" s="4" t="s">
        <v>245</v>
      </c>
      <c r="B823" s="1">
        <v>0.57927600000000001</v>
      </c>
      <c r="C823" s="1">
        <v>0.58151200000000003</v>
      </c>
      <c r="D823" s="1">
        <f t="shared" si="48"/>
        <v>2.2360000000000158E-3</v>
      </c>
      <c r="E823">
        <f t="shared" si="49"/>
        <v>3</v>
      </c>
      <c r="F823">
        <f t="shared" si="50"/>
        <v>13</v>
      </c>
      <c r="G823">
        <f t="shared" si="51"/>
        <v>3.22</v>
      </c>
    </row>
    <row r="824" spans="1:7" hidden="1" x14ac:dyDescent="0.25">
      <c r="A824" s="4" t="s">
        <v>246</v>
      </c>
      <c r="B824" s="1">
        <v>0.55222700000000002</v>
      </c>
      <c r="C824" s="1">
        <v>0.550759</v>
      </c>
      <c r="D824" s="1">
        <f t="shared" si="48"/>
        <v>1.4680000000000248E-3</v>
      </c>
      <c r="E824">
        <f t="shared" si="49"/>
        <v>2</v>
      </c>
      <c r="F824">
        <f t="shared" si="50"/>
        <v>7</v>
      </c>
      <c r="G824">
        <f t="shared" si="51"/>
        <v>2.12</v>
      </c>
    </row>
    <row r="825" spans="1:7" hidden="1" x14ac:dyDescent="0.25">
      <c r="A825" s="4" t="s">
        <v>247</v>
      </c>
      <c r="B825" s="1">
        <v>0.30108499999999999</v>
      </c>
      <c r="C825" s="1">
        <v>0.29910100000000001</v>
      </c>
      <c r="D825" s="1">
        <f t="shared" si="48"/>
        <v>1.9839999999999858E-3</v>
      </c>
      <c r="E825">
        <f t="shared" si="49"/>
        <v>2</v>
      </c>
      <c r="F825">
        <f t="shared" si="50"/>
        <v>51</v>
      </c>
      <c r="G825">
        <f t="shared" si="51"/>
        <v>2.85</v>
      </c>
    </row>
    <row r="826" spans="1:7" hidden="1" x14ac:dyDescent="0.25">
      <c r="A826" s="4" t="s">
        <v>248</v>
      </c>
      <c r="B826" s="1">
        <v>0.27788099999999999</v>
      </c>
      <c r="C826" s="1">
        <v>0.280553</v>
      </c>
      <c r="D826" s="1">
        <f t="shared" si="48"/>
        <v>2.6720000000000077E-3</v>
      </c>
      <c r="E826">
        <f t="shared" si="49"/>
        <v>3</v>
      </c>
      <c r="F826">
        <f t="shared" si="50"/>
        <v>51</v>
      </c>
      <c r="G826">
        <f t="shared" si="51"/>
        <v>3.85</v>
      </c>
    </row>
    <row r="827" spans="1:7" hidden="1" x14ac:dyDescent="0.25">
      <c r="A827" s="4" t="s">
        <v>249</v>
      </c>
      <c r="B827" s="1">
        <v>0.261075</v>
      </c>
      <c r="C827" s="1">
        <v>0.257411</v>
      </c>
      <c r="D827" s="1">
        <f t="shared" si="48"/>
        <v>3.6640000000000006E-3</v>
      </c>
      <c r="E827">
        <f t="shared" si="49"/>
        <v>5</v>
      </c>
      <c r="F827">
        <f t="shared" si="50"/>
        <v>17</v>
      </c>
      <c r="G827">
        <f t="shared" si="51"/>
        <v>5.28</v>
      </c>
    </row>
    <row r="828" spans="1:7" hidden="1" x14ac:dyDescent="0.25">
      <c r="A828" s="4" t="s">
        <v>250</v>
      </c>
      <c r="B828" s="1">
        <v>0.69297900000000001</v>
      </c>
      <c r="C828" s="1">
        <v>0.69500300000000004</v>
      </c>
      <c r="D828" s="1">
        <f t="shared" si="48"/>
        <v>2.0240000000000258E-3</v>
      </c>
      <c r="E828">
        <f t="shared" si="49"/>
        <v>2</v>
      </c>
      <c r="F828">
        <f t="shared" si="50"/>
        <v>55</v>
      </c>
      <c r="G828">
        <f t="shared" si="51"/>
        <v>2.92</v>
      </c>
    </row>
    <row r="829" spans="1:7" hidden="1" x14ac:dyDescent="0.25">
      <c r="A829" s="4" t="s">
        <v>251</v>
      </c>
      <c r="B829" s="1">
        <v>5.1720000000000002E-2</v>
      </c>
      <c r="C829" s="1">
        <v>5.4052000000000003E-2</v>
      </c>
      <c r="D829" s="1">
        <f t="shared" si="48"/>
        <v>2.3320000000000007E-3</v>
      </c>
      <c r="E829">
        <f t="shared" si="49"/>
        <v>3</v>
      </c>
      <c r="F829">
        <f t="shared" si="50"/>
        <v>21</v>
      </c>
      <c r="G829">
        <f t="shared" si="51"/>
        <v>3.35</v>
      </c>
    </row>
    <row r="830" spans="1:7" hidden="1" x14ac:dyDescent="0.25">
      <c r="A830" s="4" t="s">
        <v>252</v>
      </c>
      <c r="B830" s="1">
        <v>0.40370400000000001</v>
      </c>
      <c r="C830" s="1">
        <v>0.40213199999999999</v>
      </c>
      <c r="D830" s="1">
        <f t="shared" si="48"/>
        <v>1.5720000000000178E-3</v>
      </c>
      <c r="E830">
        <f t="shared" si="49"/>
        <v>2</v>
      </c>
      <c r="F830">
        <f t="shared" si="50"/>
        <v>16</v>
      </c>
      <c r="G830">
        <f t="shared" si="51"/>
        <v>2.27</v>
      </c>
    </row>
    <row r="831" spans="1:7" hidden="1" x14ac:dyDescent="0.25">
      <c r="A831" s="4" t="s">
        <v>253</v>
      </c>
      <c r="B831" s="1">
        <v>0.56004299999999996</v>
      </c>
      <c r="C831" s="1">
        <v>0.55661499999999997</v>
      </c>
      <c r="D831" s="1">
        <f t="shared" si="48"/>
        <v>3.4279999999999866E-3</v>
      </c>
      <c r="E831">
        <f t="shared" si="49"/>
        <v>4</v>
      </c>
      <c r="F831">
        <f t="shared" si="50"/>
        <v>56</v>
      </c>
      <c r="G831">
        <f t="shared" si="51"/>
        <v>4.93</v>
      </c>
    </row>
    <row r="832" spans="1:7" hidden="1" x14ac:dyDescent="0.25">
      <c r="A832" s="4" t="s">
        <v>430</v>
      </c>
      <c r="B832" s="1">
        <v>0.74694899999999997</v>
      </c>
      <c r="C832" s="1">
        <v>0.74481299999999995</v>
      </c>
      <c r="D832" s="1">
        <f t="shared" si="48"/>
        <v>2.1360000000000268E-3</v>
      </c>
      <c r="E832">
        <f t="shared" si="49"/>
        <v>3</v>
      </c>
      <c r="F832">
        <f t="shared" si="50"/>
        <v>5</v>
      </c>
      <c r="G832">
        <f t="shared" si="51"/>
        <v>3.08</v>
      </c>
    </row>
    <row r="833" spans="1:7" hidden="1" x14ac:dyDescent="0.25">
      <c r="A833" s="4" t="s">
        <v>254</v>
      </c>
      <c r="B833" s="1">
        <v>0.20783799999999999</v>
      </c>
      <c r="C833" s="1">
        <v>0.20622599999999999</v>
      </c>
      <c r="D833" s="1">
        <f t="shared" si="48"/>
        <v>1.6120000000000023E-3</v>
      </c>
      <c r="E833">
        <f t="shared" si="49"/>
        <v>2</v>
      </c>
      <c r="F833">
        <f t="shared" si="50"/>
        <v>19</v>
      </c>
      <c r="G833">
        <f t="shared" si="51"/>
        <v>2.3199999999999998</v>
      </c>
    </row>
    <row r="834" spans="1:7" hidden="1" x14ac:dyDescent="0.25">
      <c r="A834" s="4" t="s">
        <v>255</v>
      </c>
      <c r="B834" s="1">
        <v>0.25523400000000002</v>
      </c>
      <c r="C834" s="1">
        <v>0.25786199999999998</v>
      </c>
      <c r="D834" s="1">
        <f t="shared" si="48"/>
        <v>2.6279999999999637E-3</v>
      </c>
      <c r="E834">
        <f t="shared" si="49"/>
        <v>3</v>
      </c>
      <c r="F834">
        <f t="shared" si="50"/>
        <v>47</v>
      </c>
      <c r="G834">
        <f t="shared" si="51"/>
        <v>3.78</v>
      </c>
    </row>
    <row r="835" spans="1:7" hidden="1" x14ac:dyDescent="0.25">
      <c r="A835" s="4" t="s">
        <v>256</v>
      </c>
      <c r="B835" s="1">
        <v>0.72481799999999996</v>
      </c>
      <c r="C835" s="1">
        <v>0.72209800000000002</v>
      </c>
      <c r="D835" s="1">
        <f t="shared" ref="D835:D898" si="52">IF(B835&gt;C835,B835-C835,C835-B835)</f>
        <v>2.7199999999999447E-3</v>
      </c>
      <c r="E835">
        <f t="shared" ref="E835:E898" si="53">MINUTE(D835)</f>
        <v>3</v>
      </c>
      <c r="F835">
        <f t="shared" ref="F835:F898" si="54">SECOND(D835)</f>
        <v>55</v>
      </c>
      <c r="G835">
        <f t="shared" ref="G835:G898" si="55">ROUND(E835+F835/60,2)</f>
        <v>3.92</v>
      </c>
    </row>
    <row r="836" spans="1:7" hidden="1" x14ac:dyDescent="0.25">
      <c r="A836" s="4" t="s">
        <v>257</v>
      </c>
      <c r="B836" s="1">
        <v>0.66598000000000002</v>
      </c>
      <c r="C836" s="1">
        <v>0.66393599999999997</v>
      </c>
      <c r="D836" s="1">
        <f t="shared" si="52"/>
        <v>2.0440000000000458E-3</v>
      </c>
      <c r="E836">
        <f t="shared" si="53"/>
        <v>2</v>
      </c>
      <c r="F836">
        <f t="shared" si="54"/>
        <v>57</v>
      </c>
      <c r="G836">
        <f t="shared" si="55"/>
        <v>2.95</v>
      </c>
    </row>
    <row r="837" spans="1:7" hidden="1" x14ac:dyDescent="0.25">
      <c r="A837" s="4" t="s">
        <v>258</v>
      </c>
      <c r="B837" s="1">
        <v>0.75965099999999997</v>
      </c>
      <c r="C837" s="1">
        <v>0.76272300000000004</v>
      </c>
      <c r="D837" s="1">
        <f t="shared" si="52"/>
        <v>3.0720000000000747E-3</v>
      </c>
      <c r="E837">
        <f t="shared" si="53"/>
        <v>4</v>
      </c>
      <c r="F837">
        <f t="shared" si="54"/>
        <v>25</v>
      </c>
      <c r="G837">
        <f t="shared" si="55"/>
        <v>4.42</v>
      </c>
    </row>
    <row r="838" spans="1:7" hidden="1" x14ac:dyDescent="0.25">
      <c r="A838" s="4" t="s">
        <v>259</v>
      </c>
      <c r="B838" s="1">
        <v>0.72672199999999998</v>
      </c>
      <c r="C838" s="1">
        <v>0.72446999999999995</v>
      </c>
      <c r="D838" s="1">
        <f t="shared" si="52"/>
        <v>2.2520000000000318E-3</v>
      </c>
      <c r="E838">
        <f t="shared" si="53"/>
        <v>3</v>
      </c>
      <c r="F838">
        <f t="shared" si="54"/>
        <v>15</v>
      </c>
      <c r="G838">
        <f t="shared" si="55"/>
        <v>3.25</v>
      </c>
    </row>
    <row r="839" spans="1:7" hidden="1" x14ac:dyDescent="0.25">
      <c r="A839" s="4" t="s">
        <v>260</v>
      </c>
      <c r="B839" s="1">
        <v>0.38089400000000001</v>
      </c>
      <c r="C839" s="1">
        <v>0.37707400000000002</v>
      </c>
      <c r="D839" s="1">
        <f t="shared" si="52"/>
        <v>3.8199999999999901E-3</v>
      </c>
      <c r="E839">
        <f t="shared" si="53"/>
        <v>5</v>
      </c>
      <c r="F839">
        <f t="shared" si="54"/>
        <v>30</v>
      </c>
      <c r="G839">
        <f t="shared" si="55"/>
        <v>5.5</v>
      </c>
    </row>
    <row r="840" spans="1:7" hidden="1" x14ac:dyDescent="0.25">
      <c r="A840" s="4" t="s">
        <v>261</v>
      </c>
      <c r="B840" s="1">
        <v>0.34346399999999999</v>
      </c>
      <c r="C840" s="1">
        <v>0.34604400000000002</v>
      </c>
      <c r="D840" s="1">
        <f t="shared" si="52"/>
        <v>2.5800000000000267E-3</v>
      </c>
      <c r="E840">
        <f t="shared" si="53"/>
        <v>3</v>
      </c>
      <c r="F840">
        <f t="shared" si="54"/>
        <v>43</v>
      </c>
      <c r="G840">
        <f t="shared" si="55"/>
        <v>3.72</v>
      </c>
    </row>
    <row r="841" spans="1:7" hidden="1" x14ac:dyDescent="0.25">
      <c r="A841" s="4" t="s">
        <v>262</v>
      </c>
      <c r="B841" s="1">
        <v>6.8135000000000001E-2</v>
      </c>
      <c r="C841" s="1">
        <v>7.0362999999999995E-2</v>
      </c>
      <c r="D841" s="1">
        <f t="shared" si="52"/>
        <v>2.2279999999999939E-3</v>
      </c>
      <c r="E841">
        <f t="shared" si="53"/>
        <v>3</v>
      </c>
      <c r="F841">
        <f t="shared" si="54"/>
        <v>12</v>
      </c>
      <c r="G841">
        <f t="shared" si="55"/>
        <v>3.2</v>
      </c>
    </row>
    <row r="842" spans="1:7" hidden="1" x14ac:dyDescent="0.25">
      <c r="A842" s="4" t="s">
        <v>263</v>
      </c>
      <c r="B842" s="1">
        <v>3.39E-2</v>
      </c>
      <c r="C842" s="1">
        <v>3.2155999999999997E-2</v>
      </c>
      <c r="D842" s="1">
        <f t="shared" si="52"/>
        <v>1.7440000000000025E-3</v>
      </c>
      <c r="E842">
        <f t="shared" si="53"/>
        <v>2</v>
      </c>
      <c r="F842">
        <f t="shared" si="54"/>
        <v>31</v>
      </c>
      <c r="G842">
        <f t="shared" si="55"/>
        <v>2.52</v>
      </c>
    </row>
    <row r="843" spans="1:7" hidden="1" x14ac:dyDescent="0.25">
      <c r="A843" s="4" t="s">
        <v>264</v>
      </c>
      <c r="B843" s="1">
        <v>0.54122899999999996</v>
      </c>
      <c r="C843" s="1">
        <v>0.54350900000000002</v>
      </c>
      <c r="D843" s="1">
        <f t="shared" si="52"/>
        <v>2.2800000000000598E-3</v>
      </c>
      <c r="E843">
        <f t="shared" si="53"/>
        <v>3</v>
      </c>
      <c r="F843">
        <f t="shared" si="54"/>
        <v>17</v>
      </c>
      <c r="G843">
        <f t="shared" si="55"/>
        <v>3.28</v>
      </c>
    </row>
    <row r="844" spans="1:7" hidden="1" x14ac:dyDescent="0.25">
      <c r="A844" s="4" t="s">
        <v>265</v>
      </c>
      <c r="B844" s="1">
        <v>0.34791800000000001</v>
      </c>
      <c r="C844" s="1">
        <v>0.350962</v>
      </c>
      <c r="D844" s="1">
        <f t="shared" si="52"/>
        <v>3.0439999999999912E-3</v>
      </c>
      <c r="E844">
        <f t="shared" si="53"/>
        <v>4</v>
      </c>
      <c r="F844">
        <f t="shared" si="54"/>
        <v>23</v>
      </c>
      <c r="G844">
        <f t="shared" si="55"/>
        <v>4.38</v>
      </c>
    </row>
    <row r="845" spans="1:7" hidden="1" x14ac:dyDescent="0.25">
      <c r="A845" s="4" t="s">
        <v>266</v>
      </c>
      <c r="B845" s="1">
        <v>0.431591</v>
      </c>
      <c r="C845" s="1">
        <v>0.43324699999999999</v>
      </c>
      <c r="D845" s="1">
        <f t="shared" si="52"/>
        <v>1.6559999999999908E-3</v>
      </c>
      <c r="E845">
        <f t="shared" si="53"/>
        <v>2</v>
      </c>
      <c r="F845">
        <f t="shared" si="54"/>
        <v>23</v>
      </c>
      <c r="G845">
        <f t="shared" si="55"/>
        <v>2.38</v>
      </c>
    </row>
    <row r="846" spans="1:7" hidden="1" x14ac:dyDescent="0.25">
      <c r="A846" s="4" t="s">
        <v>267</v>
      </c>
      <c r="B846" s="1">
        <v>0.25780399999999998</v>
      </c>
      <c r="C846" s="1">
        <v>0.25446000000000002</v>
      </c>
      <c r="D846" s="1">
        <f t="shared" si="52"/>
        <v>3.3439999999999581E-3</v>
      </c>
      <c r="E846">
        <f t="shared" si="53"/>
        <v>4</v>
      </c>
      <c r="F846">
        <f t="shared" si="54"/>
        <v>49</v>
      </c>
      <c r="G846">
        <f t="shared" si="55"/>
        <v>4.82</v>
      </c>
    </row>
    <row r="847" spans="1:7" hidden="1" x14ac:dyDescent="0.25">
      <c r="A847" s="4" t="s">
        <v>60</v>
      </c>
      <c r="B847" s="1">
        <v>5.7468999999999999E-2</v>
      </c>
      <c r="C847" s="1">
        <v>5.4021E-2</v>
      </c>
      <c r="D847" s="1">
        <f t="shared" si="52"/>
        <v>3.4479999999999997E-3</v>
      </c>
      <c r="E847">
        <f t="shared" si="53"/>
        <v>4</v>
      </c>
      <c r="F847">
        <f t="shared" si="54"/>
        <v>58</v>
      </c>
      <c r="G847">
        <f t="shared" si="55"/>
        <v>4.97</v>
      </c>
    </row>
    <row r="848" spans="1:7" hidden="1" x14ac:dyDescent="0.25">
      <c r="A848" s="4" t="s">
        <v>12</v>
      </c>
      <c r="B848" s="1">
        <v>0.93074100000000004</v>
      </c>
      <c r="C848" s="1">
        <v>0.92855299999999996</v>
      </c>
      <c r="D848" s="1">
        <f t="shared" si="52"/>
        <v>2.1880000000000788E-3</v>
      </c>
      <c r="E848">
        <f t="shared" si="53"/>
        <v>3</v>
      </c>
      <c r="F848">
        <f t="shared" si="54"/>
        <v>9</v>
      </c>
      <c r="G848">
        <f t="shared" si="55"/>
        <v>3.15</v>
      </c>
    </row>
    <row r="849" spans="1:7" hidden="1" x14ac:dyDescent="0.25">
      <c r="A849" s="4" t="s">
        <v>268</v>
      </c>
      <c r="B849" s="1">
        <v>0.926319</v>
      </c>
      <c r="C849" s="1">
        <v>0.92290700000000003</v>
      </c>
      <c r="D849" s="1">
        <f t="shared" si="52"/>
        <v>3.4119999999999706E-3</v>
      </c>
      <c r="E849">
        <f t="shared" si="53"/>
        <v>4</v>
      </c>
      <c r="F849">
        <f t="shared" si="54"/>
        <v>55</v>
      </c>
      <c r="G849">
        <f t="shared" si="55"/>
        <v>4.92</v>
      </c>
    </row>
    <row r="850" spans="1:7" hidden="1" x14ac:dyDescent="0.25">
      <c r="A850" s="4" t="s">
        <v>269</v>
      </c>
      <c r="B850" s="1">
        <v>0.53266400000000003</v>
      </c>
      <c r="C850" s="1">
        <v>0.534856</v>
      </c>
      <c r="D850" s="1">
        <f t="shared" si="52"/>
        <v>2.1919999999999717E-3</v>
      </c>
      <c r="E850">
        <f t="shared" si="53"/>
        <v>3</v>
      </c>
      <c r="F850">
        <f t="shared" si="54"/>
        <v>9</v>
      </c>
      <c r="G850">
        <f t="shared" si="55"/>
        <v>3.15</v>
      </c>
    </row>
    <row r="851" spans="1:7" hidden="1" x14ac:dyDescent="0.25">
      <c r="A851" s="4" t="s">
        <v>270</v>
      </c>
      <c r="B851" s="1">
        <v>0.88112500000000005</v>
      </c>
      <c r="C851" s="1">
        <v>0.87737299999999996</v>
      </c>
      <c r="D851" s="1">
        <f t="shared" si="52"/>
        <v>3.7520000000000886E-3</v>
      </c>
      <c r="E851">
        <f t="shared" si="53"/>
        <v>5</v>
      </c>
      <c r="F851">
        <f t="shared" si="54"/>
        <v>24</v>
      </c>
      <c r="G851">
        <f t="shared" si="55"/>
        <v>5.4</v>
      </c>
    </row>
    <row r="852" spans="1:7" hidden="1" x14ac:dyDescent="0.25">
      <c r="A852" s="4" t="s">
        <v>271</v>
      </c>
      <c r="B852" s="1">
        <v>0.906107</v>
      </c>
      <c r="C852" s="1">
        <v>0.90796699999999997</v>
      </c>
      <c r="D852" s="1">
        <f t="shared" si="52"/>
        <v>1.8599999999999728E-3</v>
      </c>
      <c r="E852">
        <f t="shared" si="53"/>
        <v>2</v>
      </c>
      <c r="F852">
        <f t="shared" si="54"/>
        <v>41</v>
      </c>
      <c r="G852">
        <f t="shared" si="55"/>
        <v>2.68</v>
      </c>
    </row>
    <row r="853" spans="1:7" hidden="1" x14ac:dyDescent="0.25">
      <c r="A853" s="4" t="s">
        <v>272</v>
      </c>
      <c r="B853" s="1">
        <v>0.52357299999999996</v>
      </c>
      <c r="C853" s="1">
        <v>0.52576100000000003</v>
      </c>
      <c r="D853" s="1">
        <f t="shared" si="52"/>
        <v>2.1880000000000788E-3</v>
      </c>
      <c r="E853">
        <f t="shared" si="53"/>
        <v>3</v>
      </c>
      <c r="F853">
        <f t="shared" si="54"/>
        <v>9</v>
      </c>
      <c r="G853">
        <f t="shared" si="55"/>
        <v>3.15</v>
      </c>
    </row>
    <row r="854" spans="1:7" hidden="1" x14ac:dyDescent="0.25">
      <c r="A854" s="4" t="s">
        <v>273</v>
      </c>
      <c r="B854" s="1">
        <v>0.62061200000000005</v>
      </c>
      <c r="C854" s="1">
        <v>0.62377199999999999</v>
      </c>
      <c r="D854" s="1">
        <f t="shared" si="52"/>
        <v>3.1599999999999406E-3</v>
      </c>
      <c r="E854">
        <f t="shared" si="53"/>
        <v>4</v>
      </c>
      <c r="F854">
        <f t="shared" si="54"/>
        <v>33</v>
      </c>
      <c r="G854">
        <f t="shared" si="55"/>
        <v>4.55</v>
      </c>
    </row>
    <row r="855" spans="1:7" hidden="1" x14ac:dyDescent="0.25">
      <c r="A855" s="4" t="s">
        <v>274</v>
      </c>
      <c r="B855" s="1">
        <v>0.47454200000000002</v>
      </c>
      <c r="C855" s="1">
        <v>0.47071400000000002</v>
      </c>
      <c r="D855" s="1">
        <f t="shared" si="52"/>
        <v>3.8279999999999981E-3</v>
      </c>
      <c r="E855">
        <f t="shared" si="53"/>
        <v>5</v>
      </c>
      <c r="F855">
        <f t="shared" si="54"/>
        <v>31</v>
      </c>
      <c r="G855">
        <f t="shared" si="55"/>
        <v>5.52</v>
      </c>
    </row>
    <row r="856" spans="1:7" hidden="1" x14ac:dyDescent="0.25">
      <c r="A856" s="4" t="s">
        <v>275</v>
      </c>
      <c r="B856" s="1">
        <v>0.94390099999999999</v>
      </c>
      <c r="C856" s="1">
        <v>0.94228100000000004</v>
      </c>
      <c r="D856" s="1">
        <f t="shared" si="52"/>
        <v>1.6199999999999548E-3</v>
      </c>
      <c r="E856">
        <f t="shared" si="53"/>
        <v>2</v>
      </c>
      <c r="F856">
        <f t="shared" si="54"/>
        <v>20</v>
      </c>
      <c r="G856">
        <f t="shared" si="55"/>
        <v>2.33</v>
      </c>
    </row>
    <row r="857" spans="1:7" hidden="1" x14ac:dyDescent="0.25">
      <c r="A857" s="4" t="s">
        <v>276</v>
      </c>
      <c r="B857" s="1">
        <v>0.90642999999999996</v>
      </c>
      <c r="C857" s="1">
        <v>0.90972200000000003</v>
      </c>
      <c r="D857" s="1">
        <f t="shared" si="52"/>
        <v>3.2920000000000726E-3</v>
      </c>
      <c r="E857">
        <f t="shared" si="53"/>
        <v>4</v>
      </c>
      <c r="F857">
        <f t="shared" si="54"/>
        <v>44</v>
      </c>
      <c r="G857">
        <f t="shared" si="55"/>
        <v>4.7300000000000004</v>
      </c>
    </row>
    <row r="858" spans="1:7" hidden="1" x14ac:dyDescent="0.25">
      <c r="A858" s="4" t="s">
        <v>277</v>
      </c>
      <c r="B858" s="1">
        <v>0.344642</v>
      </c>
      <c r="C858" s="1">
        <v>0.34694999999999998</v>
      </c>
      <c r="D858" s="1">
        <f t="shared" si="52"/>
        <v>2.3079999999999767E-3</v>
      </c>
      <c r="E858">
        <f t="shared" si="53"/>
        <v>3</v>
      </c>
      <c r="F858">
        <f t="shared" si="54"/>
        <v>19</v>
      </c>
      <c r="G858">
        <f t="shared" si="55"/>
        <v>3.32</v>
      </c>
    </row>
    <row r="859" spans="1:7" hidden="1" x14ac:dyDescent="0.25">
      <c r="A859" s="4" t="s">
        <v>278</v>
      </c>
      <c r="B859" s="1">
        <v>0.29603000000000002</v>
      </c>
      <c r="C859" s="1">
        <v>0.29230200000000001</v>
      </c>
      <c r="D859" s="1">
        <f t="shared" si="52"/>
        <v>3.7280000000000091E-3</v>
      </c>
      <c r="E859">
        <f t="shared" si="53"/>
        <v>5</v>
      </c>
      <c r="F859">
        <f t="shared" si="54"/>
        <v>22</v>
      </c>
      <c r="G859">
        <f t="shared" si="55"/>
        <v>5.37</v>
      </c>
    </row>
    <row r="860" spans="1:7" hidden="1" x14ac:dyDescent="0.25">
      <c r="A860" s="4" t="s">
        <v>279</v>
      </c>
      <c r="B860" s="1">
        <v>0.20541999999999999</v>
      </c>
      <c r="C860" s="1">
        <v>0.20174800000000001</v>
      </c>
      <c r="D860" s="1">
        <f t="shared" si="52"/>
        <v>3.6719999999999808E-3</v>
      </c>
      <c r="E860">
        <f t="shared" si="53"/>
        <v>5</v>
      </c>
      <c r="F860">
        <f t="shared" si="54"/>
        <v>17</v>
      </c>
      <c r="G860">
        <f t="shared" si="55"/>
        <v>5.28</v>
      </c>
    </row>
    <row r="861" spans="1:7" hidden="1" x14ac:dyDescent="0.25">
      <c r="A861" s="4" t="s">
        <v>280</v>
      </c>
      <c r="B861" s="1">
        <v>8.2901000000000002E-2</v>
      </c>
      <c r="C861" s="1">
        <v>8.4425E-2</v>
      </c>
      <c r="D861" s="1">
        <f t="shared" si="52"/>
        <v>1.5239999999999976E-3</v>
      </c>
      <c r="E861">
        <f t="shared" si="53"/>
        <v>2</v>
      </c>
      <c r="F861">
        <f t="shared" si="54"/>
        <v>12</v>
      </c>
      <c r="G861">
        <f t="shared" si="55"/>
        <v>2.2000000000000002</v>
      </c>
    </row>
    <row r="862" spans="1:7" hidden="1" x14ac:dyDescent="0.25">
      <c r="A862" s="4" t="s">
        <v>281</v>
      </c>
      <c r="B862" s="1">
        <v>0.66776400000000002</v>
      </c>
      <c r="C862" s="1">
        <v>0.66424799999999995</v>
      </c>
      <c r="D862" s="1">
        <f t="shared" si="52"/>
        <v>3.5160000000000746E-3</v>
      </c>
      <c r="E862">
        <f t="shared" si="53"/>
        <v>5</v>
      </c>
      <c r="F862">
        <f t="shared" si="54"/>
        <v>4</v>
      </c>
      <c r="G862">
        <f t="shared" si="55"/>
        <v>5.07</v>
      </c>
    </row>
    <row r="863" spans="1:7" hidden="1" x14ac:dyDescent="0.25">
      <c r="A863" s="4" t="s">
        <v>282</v>
      </c>
      <c r="B863" s="1">
        <v>8.2269999999999999E-3</v>
      </c>
      <c r="C863" s="1">
        <v>1.0375000000000001E-2</v>
      </c>
      <c r="D863" s="1">
        <f t="shared" si="52"/>
        <v>2.1480000000000006E-3</v>
      </c>
      <c r="E863">
        <f t="shared" si="53"/>
        <v>3</v>
      </c>
      <c r="F863">
        <f t="shared" si="54"/>
        <v>6</v>
      </c>
      <c r="G863">
        <f t="shared" si="55"/>
        <v>3.1</v>
      </c>
    </row>
    <row r="864" spans="1:7" hidden="1" x14ac:dyDescent="0.25">
      <c r="A864" s="4" t="s">
        <v>283</v>
      </c>
      <c r="B864" s="1">
        <v>0.16709599999999999</v>
      </c>
      <c r="C864" s="1">
        <v>0.16858000000000001</v>
      </c>
      <c r="D864" s="1">
        <f t="shared" si="52"/>
        <v>1.4840000000000131E-3</v>
      </c>
      <c r="E864">
        <f t="shared" si="53"/>
        <v>2</v>
      </c>
      <c r="F864">
        <f t="shared" si="54"/>
        <v>8</v>
      </c>
      <c r="G864">
        <f t="shared" si="55"/>
        <v>2.13</v>
      </c>
    </row>
    <row r="865" spans="1:7" hidden="1" x14ac:dyDescent="0.25">
      <c r="A865" s="4" t="s">
        <v>284</v>
      </c>
      <c r="B865" s="1">
        <v>0.466858</v>
      </c>
      <c r="C865" s="1">
        <v>0.47053</v>
      </c>
      <c r="D865" s="1">
        <f t="shared" si="52"/>
        <v>3.6720000000000086E-3</v>
      </c>
      <c r="E865">
        <f t="shared" si="53"/>
        <v>5</v>
      </c>
      <c r="F865">
        <f t="shared" si="54"/>
        <v>17</v>
      </c>
      <c r="G865">
        <f t="shared" si="55"/>
        <v>5.28</v>
      </c>
    </row>
    <row r="866" spans="1:7" hidden="1" x14ac:dyDescent="0.25">
      <c r="A866" s="4" t="s">
        <v>285</v>
      </c>
      <c r="B866" s="1">
        <v>0.58929100000000001</v>
      </c>
      <c r="C866" s="1">
        <v>0.59181099999999998</v>
      </c>
      <c r="D866" s="1">
        <f t="shared" si="52"/>
        <v>2.5199999999999667E-3</v>
      </c>
      <c r="E866">
        <f t="shared" si="53"/>
        <v>3</v>
      </c>
      <c r="F866">
        <f t="shared" si="54"/>
        <v>38</v>
      </c>
      <c r="G866">
        <f t="shared" si="55"/>
        <v>3.63</v>
      </c>
    </row>
    <row r="867" spans="1:7" hidden="1" x14ac:dyDescent="0.25">
      <c r="A867" s="4" t="s">
        <v>286</v>
      </c>
      <c r="B867" s="1">
        <v>4.9029000000000003E-2</v>
      </c>
      <c r="C867" s="1">
        <v>5.2520999999999998E-2</v>
      </c>
      <c r="D867" s="1">
        <f t="shared" si="52"/>
        <v>3.4919999999999951E-3</v>
      </c>
      <c r="E867">
        <f t="shared" si="53"/>
        <v>5</v>
      </c>
      <c r="F867">
        <f t="shared" si="54"/>
        <v>2</v>
      </c>
      <c r="G867">
        <f t="shared" si="55"/>
        <v>5.03</v>
      </c>
    </row>
    <row r="868" spans="1:7" hidden="1" x14ac:dyDescent="0.25">
      <c r="A868" s="4" t="s">
        <v>287</v>
      </c>
      <c r="B868" s="1">
        <v>0.81754599999999999</v>
      </c>
      <c r="C868" s="1">
        <v>0.814446</v>
      </c>
      <c r="D868" s="1">
        <f t="shared" si="52"/>
        <v>3.0999999999999917E-3</v>
      </c>
      <c r="E868">
        <f t="shared" si="53"/>
        <v>4</v>
      </c>
      <c r="F868">
        <f t="shared" si="54"/>
        <v>28</v>
      </c>
      <c r="G868">
        <f t="shared" si="55"/>
        <v>4.47</v>
      </c>
    </row>
    <row r="869" spans="1:7" hidden="1" x14ac:dyDescent="0.25">
      <c r="A869" s="4" t="s">
        <v>288</v>
      </c>
      <c r="B869" s="1">
        <v>9.7457000000000002E-2</v>
      </c>
      <c r="C869" s="1">
        <v>9.9600999999999995E-2</v>
      </c>
      <c r="D869" s="1">
        <f t="shared" si="52"/>
        <v>2.1439999999999931E-3</v>
      </c>
      <c r="E869">
        <f t="shared" si="53"/>
        <v>3</v>
      </c>
      <c r="F869">
        <f t="shared" si="54"/>
        <v>5</v>
      </c>
      <c r="G869">
        <f t="shared" si="55"/>
        <v>3.08</v>
      </c>
    </row>
    <row r="870" spans="1:7" hidden="1" x14ac:dyDescent="0.25">
      <c r="A870" s="4" t="s">
        <v>289</v>
      </c>
      <c r="B870" s="1">
        <v>0.260156</v>
      </c>
      <c r="C870" s="1">
        <v>0.25726399999999999</v>
      </c>
      <c r="D870" s="1">
        <f t="shared" si="52"/>
        <v>2.8920000000000057E-3</v>
      </c>
      <c r="E870">
        <f t="shared" si="53"/>
        <v>4</v>
      </c>
      <c r="F870">
        <f t="shared" si="54"/>
        <v>10</v>
      </c>
      <c r="G870">
        <f t="shared" si="55"/>
        <v>4.17</v>
      </c>
    </row>
    <row r="871" spans="1:7" hidden="1" x14ac:dyDescent="0.25">
      <c r="A871" s="4" t="s">
        <v>290</v>
      </c>
      <c r="B871" s="1">
        <v>0.78090099999999996</v>
      </c>
      <c r="C871" s="1">
        <v>0.77821700000000005</v>
      </c>
      <c r="D871" s="1">
        <f t="shared" si="52"/>
        <v>2.6839999999999087E-3</v>
      </c>
      <c r="E871">
        <f t="shared" si="53"/>
        <v>3</v>
      </c>
      <c r="F871">
        <f t="shared" si="54"/>
        <v>52</v>
      </c>
      <c r="G871">
        <f t="shared" si="55"/>
        <v>3.87</v>
      </c>
    </row>
    <row r="872" spans="1:7" hidden="1" x14ac:dyDescent="0.25">
      <c r="A872" s="4" t="s">
        <v>291</v>
      </c>
      <c r="B872" s="1">
        <v>0.72183600000000003</v>
      </c>
      <c r="C872" s="1">
        <v>0.72330399999999995</v>
      </c>
      <c r="D872" s="1">
        <f t="shared" si="52"/>
        <v>1.4679999999999138E-3</v>
      </c>
      <c r="E872">
        <f t="shared" si="53"/>
        <v>2</v>
      </c>
      <c r="F872">
        <f t="shared" si="54"/>
        <v>7</v>
      </c>
      <c r="G872">
        <f t="shared" si="55"/>
        <v>2.12</v>
      </c>
    </row>
    <row r="873" spans="1:7" hidden="1" x14ac:dyDescent="0.25">
      <c r="A873" s="4" t="s">
        <v>292</v>
      </c>
      <c r="B873" s="1">
        <v>0.62462799999999996</v>
      </c>
      <c r="C873" s="1">
        <v>0.62682800000000005</v>
      </c>
      <c r="D873" s="1">
        <f t="shared" si="52"/>
        <v>2.2000000000000908E-3</v>
      </c>
      <c r="E873">
        <f t="shared" si="53"/>
        <v>3</v>
      </c>
      <c r="F873">
        <f t="shared" si="54"/>
        <v>10</v>
      </c>
      <c r="G873">
        <f t="shared" si="55"/>
        <v>3.17</v>
      </c>
    </row>
    <row r="874" spans="1:7" hidden="1" x14ac:dyDescent="0.25">
      <c r="A874" s="4" t="s">
        <v>293</v>
      </c>
      <c r="B874" s="1">
        <v>0.55314399999999997</v>
      </c>
      <c r="C874" s="1">
        <v>0.55515999999999999</v>
      </c>
      <c r="D874" s="1">
        <f t="shared" si="52"/>
        <v>2.0160000000000178E-3</v>
      </c>
      <c r="E874">
        <f t="shared" si="53"/>
        <v>2</v>
      </c>
      <c r="F874">
        <f t="shared" si="54"/>
        <v>54</v>
      </c>
      <c r="G874">
        <f t="shared" si="55"/>
        <v>2.9</v>
      </c>
    </row>
    <row r="875" spans="1:7" hidden="1" x14ac:dyDescent="0.25">
      <c r="A875" s="4" t="s">
        <v>87</v>
      </c>
      <c r="B875" s="1">
        <v>0.48994100000000002</v>
      </c>
      <c r="C875" s="1">
        <v>0.49311300000000002</v>
      </c>
      <c r="D875" s="1">
        <f t="shared" si="52"/>
        <v>3.1720000000000081E-3</v>
      </c>
      <c r="E875">
        <f t="shared" si="53"/>
        <v>4</v>
      </c>
      <c r="F875">
        <f t="shared" si="54"/>
        <v>34</v>
      </c>
      <c r="G875">
        <f t="shared" si="55"/>
        <v>4.57</v>
      </c>
    </row>
    <row r="876" spans="1:7" hidden="1" x14ac:dyDescent="0.25">
      <c r="A876" s="4" t="s">
        <v>87</v>
      </c>
      <c r="B876" s="1">
        <v>0.75573800000000002</v>
      </c>
      <c r="C876" s="1">
        <v>0.75292599999999998</v>
      </c>
      <c r="D876" s="1">
        <f t="shared" si="52"/>
        <v>2.8120000000000367E-3</v>
      </c>
      <c r="E876">
        <f t="shared" si="53"/>
        <v>4</v>
      </c>
      <c r="F876">
        <f t="shared" si="54"/>
        <v>3</v>
      </c>
      <c r="G876">
        <f t="shared" si="55"/>
        <v>4.05</v>
      </c>
    </row>
    <row r="877" spans="1:7" hidden="1" x14ac:dyDescent="0.25">
      <c r="A877" s="4" t="s">
        <v>294</v>
      </c>
      <c r="B877" s="1">
        <v>0.956812</v>
      </c>
      <c r="C877" s="1">
        <v>0.95374800000000004</v>
      </c>
      <c r="D877" s="1">
        <f t="shared" si="52"/>
        <v>3.0639999999999556E-3</v>
      </c>
      <c r="E877">
        <f t="shared" si="53"/>
        <v>4</v>
      </c>
      <c r="F877">
        <f t="shared" si="54"/>
        <v>25</v>
      </c>
      <c r="G877">
        <f t="shared" si="55"/>
        <v>4.42</v>
      </c>
    </row>
    <row r="878" spans="1:7" hidden="1" x14ac:dyDescent="0.25">
      <c r="A878" s="4" t="s">
        <v>295</v>
      </c>
      <c r="B878" s="1">
        <v>0.609267</v>
      </c>
      <c r="C878" s="1">
        <v>0.60625099999999998</v>
      </c>
      <c r="D878" s="1">
        <f t="shared" si="52"/>
        <v>3.0160000000000187E-3</v>
      </c>
      <c r="E878">
        <f t="shared" si="53"/>
        <v>4</v>
      </c>
      <c r="F878">
        <f t="shared" si="54"/>
        <v>21</v>
      </c>
      <c r="G878">
        <f t="shared" si="55"/>
        <v>4.3499999999999996</v>
      </c>
    </row>
    <row r="879" spans="1:7" hidden="1" x14ac:dyDescent="0.25">
      <c r="A879" s="4" t="s">
        <v>296</v>
      </c>
      <c r="B879" s="1">
        <v>0.48624499999999998</v>
      </c>
      <c r="C879" s="1">
        <v>0.48857299999999998</v>
      </c>
      <c r="D879" s="1">
        <f t="shared" si="52"/>
        <v>2.3279999999999967E-3</v>
      </c>
      <c r="E879">
        <f t="shared" si="53"/>
        <v>3</v>
      </c>
      <c r="F879">
        <f t="shared" si="54"/>
        <v>21</v>
      </c>
      <c r="G879">
        <f t="shared" si="55"/>
        <v>3.35</v>
      </c>
    </row>
    <row r="880" spans="1:7" hidden="1" x14ac:dyDescent="0.25">
      <c r="A880" s="4" t="s">
        <v>297</v>
      </c>
      <c r="B880" s="1">
        <v>0.63311200000000001</v>
      </c>
      <c r="C880" s="1">
        <v>0.63467600000000002</v>
      </c>
      <c r="D880" s="1">
        <f t="shared" si="52"/>
        <v>1.5640000000000098E-3</v>
      </c>
      <c r="E880">
        <f t="shared" si="53"/>
        <v>2</v>
      </c>
      <c r="F880">
        <f t="shared" si="54"/>
        <v>15</v>
      </c>
      <c r="G880">
        <f t="shared" si="55"/>
        <v>2.25</v>
      </c>
    </row>
    <row r="881" spans="1:7" hidden="1" x14ac:dyDescent="0.25">
      <c r="A881" s="4" t="s">
        <v>298</v>
      </c>
      <c r="B881" s="1">
        <v>0.71425300000000003</v>
      </c>
      <c r="C881" s="1">
        <v>0.71617299999999995</v>
      </c>
      <c r="D881" s="1">
        <f t="shared" si="52"/>
        <v>1.9199999999999218E-3</v>
      </c>
      <c r="E881">
        <f t="shared" si="53"/>
        <v>2</v>
      </c>
      <c r="F881">
        <f t="shared" si="54"/>
        <v>46</v>
      </c>
      <c r="G881">
        <f t="shared" si="55"/>
        <v>2.77</v>
      </c>
    </row>
    <row r="882" spans="1:7" hidden="1" x14ac:dyDescent="0.25">
      <c r="A882" s="4" t="s">
        <v>299</v>
      </c>
      <c r="B882" s="1">
        <v>0.58881899999999998</v>
      </c>
      <c r="C882" s="1">
        <v>0.58577100000000004</v>
      </c>
      <c r="D882" s="1">
        <f t="shared" si="52"/>
        <v>3.0479999999999396E-3</v>
      </c>
      <c r="E882">
        <f t="shared" si="53"/>
        <v>4</v>
      </c>
      <c r="F882">
        <f t="shared" si="54"/>
        <v>23</v>
      </c>
      <c r="G882">
        <f t="shared" si="55"/>
        <v>4.38</v>
      </c>
    </row>
    <row r="883" spans="1:7" hidden="1" x14ac:dyDescent="0.25">
      <c r="A883" s="4" t="s">
        <v>300</v>
      </c>
      <c r="B883" s="1">
        <v>0.21463699999999999</v>
      </c>
      <c r="C883" s="1">
        <v>0.21702099999999999</v>
      </c>
      <c r="D883" s="1">
        <f t="shared" si="52"/>
        <v>2.3839999999999972E-3</v>
      </c>
      <c r="E883">
        <f t="shared" si="53"/>
        <v>3</v>
      </c>
      <c r="F883">
        <f t="shared" si="54"/>
        <v>26</v>
      </c>
      <c r="G883">
        <f t="shared" si="55"/>
        <v>3.43</v>
      </c>
    </row>
    <row r="884" spans="1:7" hidden="1" x14ac:dyDescent="0.25">
      <c r="A884" s="4" t="s">
        <v>301</v>
      </c>
      <c r="B884" s="1">
        <v>4.1440000000000001E-3</v>
      </c>
      <c r="C884" s="1">
        <v>2.196E-3</v>
      </c>
      <c r="D884" s="1">
        <f t="shared" si="52"/>
        <v>1.9480000000000001E-3</v>
      </c>
      <c r="E884">
        <f t="shared" si="53"/>
        <v>2</v>
      </c>
      <c r="F884">
        <f t="shared" si="54"/>
        <v>48</v>
      </c>
      <c r="G884">
        <f t="shared" si="55"/>
        <v>2.8</v>
      </c>
    </row>
    <row r="885" spans="1:7" hidden="1" x14ac:dyDescent="0.25">
      <c r="A885" s="4" t="s">
        <v>431</v>
      </c>
      <c r="B885" s="1">
        <v>0.38372699999999998</v>
      </c>
      <c r="C885" s="1">
        <v>0.38029099999999999</v>
      </c>
      <c r="D885" s="1">
        <f t="shared" si="52"/>
        <v>3.4359999999999946E-3</v>
      </c>
      <c r="E885">
        <f t="shared" si="53"/>
        <v>4</v>
      </c>
      <c r="F885">
        <f t="shared" si="54"/>
        <v>57</v>
      </c>
      <c r="G885">
        <f t="shared" si="55"/>
        <v>4.95</v>
      </c>
    </row>
    <row r="886" spans="1:7" hidden="1" x14ac:dyDescent="0.25">
      <c r="A886" s="4" t="s">
        <v>302</v>
      </c>
      <c r="B886" s="1">
        <v>0.16837199999999999</v>
      </c>
      <c r="C886" s="1">
        <v>0.17019599999999999</v>
      </c>
      <c r="D886" s="1">
        <f t="shared" si="52"/>
        <v>1.8239999999999923E-3</v>
      </c>
      <c r="E886">
        <f t="shared" si="53"/>
        <v>2</v>
      </c>
      <c r="F886">
        <f t="shared" si="54"/>
        <v>38</v>
      </c>
      <c r="G886">
        <f t="shared" si="55"/>
        <v>2.63</v>
      </c>
    </row>
    <row r="887" spans="1:7" hidden="1" x14ac:dyDescent="0.25">
      <c r="A887" s="4" t="s">
        <v>303</v>
      </c>
      <c r="B887" s="1">
        <v>0.11633300000000001</v>
      </c>
      <c r="C887" s="1">
        <v>0.113373</v>
      </c>
      <c r="D887" s="1">
        <f t="shared" si="52"/>
        <v>2.9600000000000043E-3</v>
      </c>
      <c r="E887">
        <f t="shared" si="53"/>
        <v>4</v>
      </c>
      <c r="F887">
        <f t="shared" si="54"/>
        <v>16</v>
      </c>
      <c r="G887">
        <f t="shared" si="55"/>
        <v>4.2699999999999996</v>
      </c>
    </row>
    <row r="888" spans="1:7" hidden="1" x14ac:dyDescent="0.25">
      <c r="A888" s="4" t="s">
        <v>304</v>
      </c>
      <c r="B888" s="1">
        <v>0.90426600000000001</v>
      </c>
      <c r="C888" s="1">
        <v>0.90610999999999997</v>
      </c>
      <c r="D888" s="1">
        <f t="shared" si="52"/>
        <v>1.8439999999999568E-3</v>
      </c>
      <c r="E888">
        <f t="shared" si="53"/>
        <v>2</v>
      </c>
      <c r="F888">
        <f t="shared" si="54"/>
        <v>39</v>
      </c>
      <c r="G888">
        <f t="shared" si="55"/>
        <v>2.65</v>
      </c>
    </row>
    <row r="889" spans="1:7" hidden="1" x14ac:dyDescent="0.25">
      <c r="A889" s="4" t="s">
        <v>305</v>
      </c>
      <c r="B889" s="1">
        <v>0.71706700000000001</v>
      </c>
      <c r="C889" s="1">
        <v>0.71400300000000005</v>
      </c>
      <c r="D889" s="1">
        <f t="shared" si="52"/>
        <v>3.0639999999999556E-3</v>
      </c>
      <c r="E889">
        <f t="shared" si="53"/>
        <v>4</v>
      </c>
      <c r="F889">
        <f t="shared" si="54"/>
        <v>25</v>
      </c>
      <c r="G889">
        <f t="shared" si="55"/>
        <v>4.42</v>
      </c>
    </row>
    <row r="890" spans="1:7" hidden="1" x14ac:dyDescent="0.25">
      <c r="A890" s="4" t="s">
        <v>306</v>
      </c>
      <c r="B890" s="1">
        <v>0.97919</v>
      </c>
      <c r="C890" s="1">
        <v>0.97728199999999998</v>
      </c>
      <c r="D890" s="1">
        <f t="shared" si="52"/>
        <v>1.9080000000000208E-3</v>
      </c>
      <c r="E890">
        <f t="shared" si="53"/>
        <v>2</v>
      </c>
      <c r="F890">
        <f t="shared" si="54"/>
        <v>45</v>
      </c>
      <c r="G890">
        <f t="shared" si="55"/>
        <v>2.75</v>
      </c>
    </row>
    <row r="891" spans="1:7" hidden="1" x14ac:dyDescent="0.25">
      <c r="A891" s="4" t="s">
        <v>307</v>
      </c>
      <c r="B891" s="1">
        <v>0.67436099999999999</v>
      </c>
      <c r="C891" s="1">
        <v>0.67042500000000005</v>
      </c>
      <c r="D891" s="1">
        <f t="shared" si="52"/>
        <v>3.9359999999999395E-3</v>
      </c>
      <c r="E891">
        <f t="shared" si="53"/>
        <v>5</v>
      </c>
      <c r="F891">
        <f t="shared" si="54"/>
        <v>40</v>
      </c>
      <c r="G891">
        <f t="shared" si="55"/>
        <v>5.67</v>
      </c>
    </row>
    <row r="892" spans="1:7" hidden="1" x14ac:dyDescent="0.25">
      <c r="A892" s="4" t="s">
        <v>308</v>
      </c>
      <c r="B892" s="1">
        <v>0.25362299999999999</v>
      </c>
      <c r="C892" s="1">
        <v>0.256579</v>
      </c>
      <c r="D892" s="1">
        <f t="shared" si="52"/>
        <v>2.9560000000000142E-3</v>
      </c>
      <c r="E892">
        <f t="shared" si="53"/>
        <v>4</v>
      </c>
      <c r="F892">
        <f t="shared" si="54"/>
        <v>15</v>
      </c>
      <c r="G892">
        <f t="shared" si="55"/>
        <v>4.25</v>
      </c>
    </row>
    <row r="893" spans="1:7" hidden="1" x14ac:dyDescent="0.25">
      <c r="A893" s="4" t="s">
        <v>309</v>
      </c>
      <c r="B893" s="1">
        <v>5.6481999999999997E-2</v>
      </c>
      <c r="C893" s="1">
        <v>5.8942000000000001E-2</v>
      </c>
      <c r="D893" s="1">
        <f t="shared" si="52"/>
        <v>2.4600000000000039E-3</v>
      </c>
      <c r="E893">
        <f t="shared" si="53"/>
        <v>3</v>
      </c>
      <c r="F893">
        <f t="shared" si="54"/>
        <v>33</v>
      </c>
      <c r="G893">
        <f t="shared" si="55"/>
        <v>3.55</v>
      </c>
    </row>
    <row r="894" spans="1:7" hidden="1" x14ac:dyDescent="0.25">
      <c r="A894" s="4" t="s">
        <v>310</v>
      </c>
      <c r="B894" s="1">
        <v>0.870444</v>
      </c>
      <c r="C894" s="1">
        <v>0.86865199999999998</v>
      </c>
      <c r="D894" s="1">
        <f t="shared" si="52"/>
        <v>1.7920000000000158E-3</v>
      </c>
      <c r="E894">
        <f t="shared" si="53"/>
        <v>2</v>
      </c>
      <c r="F894">
        <f t="shared" si="54"/>
        <v>35</v>
      </c>
      <c r="G894">
        <f t="shared" si="55"/>
        <v>2.58</v>
      </c>
    </row>
    <row r="895" spans="1:7" hidden="1" x14ac:dyDescent="0.25">
      <c r="A895" s="4" t="s">
        <v>311</v>
      </c>
      <c r="B895" s="1">
        <v>0.959534</v>
      </c>
      <c r="C895" s="1">
        <v>0.96345000000000003</v>
      </c>
      <c r="D895" s="1">
        <f t="shared" si="52"/>
        <v>3.9160000000000306E-3</v>
      </c>
      <c r="E895">
        <f t="shared" si="53"/>
        <v>5</v>
      </c>
      <c r="F895">
        <f t="shared" si="54"/>
        <v>38</v>
      </c>
      <c r="G895">
        <f t="shared" si="55"/>
        <v>5.63</v>
      </c>
    </row>
    <row r="896" spans="1:7" hidden="1" x14ac:dyDescent="0.25">
      <c r="A896" s="4" t="s">
        <v>312</v>
      </c>
      <c r="B896" s="1">
        <v>5.4336000000000002E-2</v>
      </c>
      <c r="C896" s="1">
        <v>5.8035999999999997E-2</v>
      </c>
      <c r="D896" s="1">
        <f t="shared" si="52"/>
        <v>3.699999999999995E-3</v>
      </c>
      <c r="E896">
        <f t="shared" si="53"/>
        <v>5</v>
      </c>
      <c r="F896">
        <f t="shared" si="54"/>
        <v>20</v>
      </c>
      <c r="G896">
        <f t="shared" si="55"/>
        <v>5.33</v>
      </c>
    </row>
    <row r="897" spans="1:7" hidden="1" x14ac:dyDescent="0.25">
      <c r="A897" s="4" t="s">
        <v>313</v>
      </c>
      <c r="B897" s="1">
        <v>0.83169999999999999</v>
      </c>
      <c r="C897" s="1">
        <v>0.82974400000000004</v>
      </c>
      <c r="D897" s="1">
        <f t="shared" si="52"/>
        <v>1.9559999999999578E-3</v>
      </c>
      <c r="E897">
        <f t="shared" si="53"/>
        <v>2</v>
      </c>
      <c r="F897">
        <f t="shared" si="54"/>
        <v>49</v>
      </c>
      <c r="G897">
        <f t="shared" si="55"/>
        <v>2.82</v>
      </c>
    </row>
    <row r="898" spans="1:7" hidden="1" x14ac:dyDescent="0.25">
      <c r="A898" s="4" t="s">
        <v>314</v>
      </c>
      <c r="B898" s="1">
        <v>0.62873999999999997</v>
      </c>
      <c r="C898" s="1">
        <v>0.63060400000000005</v>
      </c>
      <c r="D898" s="1">
        <f t="shared" si="52"/>
        <v>1.8640000000000878E-3</v>
      </c>
      <c r="E898">
        <f t="shared" si="53"/>
        <v>2</v>
      </c>
      <c r="F898">
        <f t="shared" si="54"/>
        <v>41</v>
      </c>
      <c r="G898">
        <f t="shared" si="55"/>
        <v>2.68</v>
      </c>
    </row>
    <row r="899" spans="1:7" hidden="1" x14ac:dyDescent="0.25">
      <c r="A899" s="4" t="s">
        <v>315</v>
      </c>
      <c r="B899" s="1">
        <v>0.91733100000000001</v>
      </c>
      <c r="C899" s="1">
        <v>0.91906299999999996</v>
      </c>
      <c r="D899" s="1">
        <f t="shared" ref="D899:D962" si="56">IF(B899&gt;C899,B899-C899,C899-B899)</f>
        <v>1.7319999999999558E-3</v>
      </c>
      <c r="E899">
        <f t="shared" ref="E899:E962" si="57">MINUTE(D899)</f>
        <v>2</v>
      </c>
      <c r="F899">
        <f t="shared" ref="F899:F962" si="58">SECOND(D899)</f>
        <v>30</v>
      </c>
      <c r="G899">
        <f t="shared" ref="G899:G962" si="59">ROUND(E899+F899/60,2)</f>
        <v>2.5</v>
      </c>
    </row>
    <row r="900" spans="1:7" hidden="1" x14ac:dyDescent="0.25">
      <c r="A900" s="4" t="s">
        <v>316</v>
      </c>
      <c r="B900" s="1">
        <v>0.444025</v>
      </c>
      <c r="C900" s="1">
        <v>0.44708500000000001</v>
      </c>
      <c r="D900" s="1">
        <f t="shared" si="56"/>
        <v>3.0600000000000072E-3</v>
      </c>
      <c r="E900">
        <f t="shared" si="57"/>
        <v>4</v>
      </c>
      <c r="F900">
        <f t="shared" si="58"/>
        <v>24</v>
      </c>
      <c r="G900">
        <f t="shared" si="59"/>
        <v>4.4000000000000004</v>
      </c>
    </row>
    <row r="901" spans="1:7" hidden="1" x14ac:dyDescent="0.25">
      <c r="A901" s="4" t="s">
        <v>317</v>
      </c>
      <c r="B901" s="1">
        <v>0.144228</v>
      </c>
      <c r="C901" s="1">
        <v>0.142376</v>
      </c>
      <c r="D901" s="1">
        <f t="shared" si="56"/>
        <v>1.8519999999999925E-3</v>
      </c>
      <c r="E901">
        <f t="shared" si="57"/>
        <v>2</v>
      </c>
      <c r="F901">
        <f t="shared" si="58"/>
        <v>40</v>
      </c>
      <c r="G901">
        <f t="shared" si="59"/>
        <v>2.67</v>
      </c>
    </row>
    <row r="902" spans="1:7" hidden="1" x14ac:dyDescent="0.25">
      <c r="A902" s="4" t="s">
        <v>318</v>
      </c>
      <c r="B902" s="1">
        <v>0.62203600000000003</v>
      </c>
      <c r="C902" s="1">
        <v>0.620224</v>
      </c>
      <c r="D902" s="1">
        <f t="shared" si="56"/>
        <v>1.8120000000000358E-3</v>
      </c>
      <c r="E902">
        <f t="shared" si="57"/>
        <v>2</v>
      </c>
      <c r="F902">
        <f t="shared" si="58"/>
        <v>37</v>
      </c>
      <c r="G902">
        <f t="shared" si="59"/>
        <v>2.62</v>
      </c>
    </row>
    <row r="903" spans="1:7" hidden="1" x14ac:dyDescent="0.25">
      <c r="A903" s="4" t="s">
        <v>319</v>
      </c>
      <c r="B903" s="1">
        <v>0.126361</v>
      </c>
      <c r="C903" s="1">
        <v>0.130357</v>
      </c>
      <c r="D903" s="1">
        <f t="shared" si="56"/>
        <v>3.9959999999999996E-3</v>
      </c>
      <c r="E903">
        <f t="shared" si="57"/>
        <v>5</v>
      </c>
      <c r="F903">
        <f t="shared" si="58"/>
        <v>45</v>
      </c>
      <c r="G903">
        <f t="shared" si="59"/>
        <v>5.75</v>
      </c>
    </row>
    <row r="904" spans="1:7" hidden="1" x14ac:dyDescent="0.25">
      <c r="A904" s="4" t="s">
        <v>320</v>
      </c>
      <c r="B904" s="1">
        <v>0.476607</v>
      </c>
      <c r="C904" s="1">
        <v>0.47875899999999999</v>
      </c>
      <c r="D904" s="1">
        <f t="shared" si="56"/>
        <v>2.1519999999999873E-3</v>
      </c>
      <c r="E904">
        <f t="shared" si="57"/>
        <v>3</v>
      </c>
      <c r="F904">
        <f t="shared" si="58"/>
        <v>6</v>
      </c>
      <c r="G904">
        <f t="shared" si="59"/>
        <v>3.1</v>
      </c>
    </row>
    <row r="905" spans="1:7" hidden="1" x14ac:dyDescent="0.25">
      <c r="A905" s="4" t="s">
        <v>321</v>
      </c>
      <c r="B905" s="1">
        <v>0.92649000000000004</v>
      </c>
      <c r="C905" s="1">
        <v>0.92508199999999996</v>
      </c>
      <c r="D905" s="1">
        <f t="shared" si="56"/>
        <v>1.4080000000000759E-3</v>
      </c>
      <c r="E905">
        <f t="shared" si="57"/>
        <v>2</v>
      </c>
      <c r="F905">
        <f t="shared" si="58"/>
        <v>2</v>
      </c>
      <c r="G905">
        <f t="shared" si="59"/>
        <v>2.0299999999999998</v>
      </c>
    </row>
    <row r="906" spans="1:7" hidden="1" x14ac:dyDescent="0.25">
      <c r="A906" s="4" t="s">
        <v>322</v>
      </c>
      <c r="B906" s="1">
        <v>0.91881100000000004</v>
      </c>
      <c r="C906" s="1">
        <v>0.915323</v>
      </c>
      <c r="D906" s="1">
        <f t="shared" si="56"/>
        <v>3.4880000000000466E-3</v>
      </c>
      <c r="E906">
        <f t="shared" si="57"/>
        <v>5</v>
      </c>
      <c r="F906">
        <f t="shared" si="58"/>
        <v>1</v>
      </c>
      <c r="G906">
        <f t="shared" si="59"/>
        <v>5.0199999999999996</v>
      </c>
    </row>
    <row r="907" spans="1:7" hidden="1" x14ac:dyDescent="0.25">
      <c r="A907" s="4" t="s">
        <v>323</v>
      </c>
      <c r="B907" s="1">
        <v>5.8838000000000001E-2</v>
      </c>
      <c r="C907" s="1">
        <v>5.6753999999999999E-2</v>
      </c>
      <c r="D907" s="1">
        <f t="shared" si="56"/>
        <v>2.0840000000000025E-3</v>
      </c>
      <c r="E907">
        <f t="shared" si="57"/>
        <v>3</v>
      </c>
      <c r="F907">
        <f t="shared" si="58"/>
        <v>0</v>
      </c>
      <c r="G907">
        <f t="shared" si="59"/>
        <v>3</v>
      </c>
    </row>
    <row r="908" spans="1:7" hidden="1" x14ac:dyDescent="0.25">
      <c r="A908" s="4" t="s">
        <v>324</v>
      </c>
      <c r="B908" s="1">
        <v>0.49864799999999998</v>
      </c>
      <c r="C908" s="1">
        <v>0.49723600000000001</v>
      </c>
      <c r="D908" s="1">
        <f t="shared" si="56"/>
        <v>1.4119999999999688E-3</v>
      </c>
      <c r="E908">
        <f t="shared" si="57"/>
        <v>2</v>
      </c>
      <c r="F908">
        <f t="shared" si="58"/>
        <v>2</v>
      </c>
      <c r="G908">
        <f t="shared" si="59"/>
        <v>2.0299999999999998</v>
      </c>
    </row>
    <row r="909" spans="1:7" hidden="1" x14ac:dyDescent="0.25">
      <c r="A909" s="4" t="s">
        <v>325</v>
      </c>
      <c r="B909" s="1">
        <v>0.46205000000000002</v>
      </c>
      <c r="C909" s="1">
        <v>0.45918999999999999</v>
      </c>
      <c r="D909" s="1">
        <f t="shared" si="56"/>
        <v>2.8600000000000292E-3</v>
      </c>
      <c r="E909">
        <f t="shared" si="57"/>
        <v>4</v>
      </c>
      <c r="F909">
        <f t="shared" si="58"/>
        <v>7</v>
      </c>
      <c r="G909">
        <f t="shared" si="59"/>
        <v>4.12</v>
      </c>
    </row>
    <row r="910" spans="1:7" hidden="1" x14ac:dyDescent="0.25">
      <c r="A910" s="4" t="s">
        <v>326</v>
      </c>
      <c r="B910" s="1">
        <v>0.76355799999999996</v>
      </c>
      <c r="C910" s="1">
        <v>0.76023399999999997</v>
      </c>
      <c r="D910" s="1">
        <f t="shared" si="56"/>
        <v>3.3239999999999936E-3</v>
      </c>
      <c r="E910">
        <f t="shared" si="57"/>
        <v>4</v>
      </c>
      <c r="F910">
        <f t="shared" si="58"/>
        <v>47</v>
      </c>
      <c r="G910">
        <f t="shared" si="59"/>
        <v>4.78</v>
      </c>
    </row>
    <row r="911" spans="1:7" hidden="1" x14ac:dyDescent="0.25">
      <c r="A911" s="4" t="s">
        <v>327</v>
      </c>
      <c r="B911" s="1">
        <v>7.5789999999999998E-3</v>
      </c>
      <c r="C911" s="1">
        <v>1.0695E-2</v>
      </c>
      <c r="D911" s="1">
        <f t="shared" si="56"/>
        <v>3.1159999999999998E-3</v>
      </c>
      <c r="E911">
        <f t="shared" si="57"/>
        <v>4</v>
      </c>
      <c r="F911">
        <f t="shared" si="58"/>
        <v>29</v>
      </c>
      <c r="G911">
        <f t="shared" si="59"/>
        <v>4.4800000000000004</v>
      </c>
    </row>
    <row r="912" spans="1:7" hidden="1" x14ac:dyDescent="0.25">
      <c r="A912" s="4" t="s">
        <v>328</v>
      </c>
      <c r="B912" s="1">
        <v>0.49057000000000001</v>
      </c>
      <c r="C912" s="1">
        <v>0.49304599999999998</v>
      </c>
      <c r="D912" s="1">
        <f t="shared" si="56"/>
        <v>2.4759999999999782E-3</v>
      </c>
      <c r="E912">
        <f t="shared" si="57"/>
        <v>3</v>
      </c>
      <c r="F912">
        <f t="shared" si="58"/>
        <v>34</v>
      </c>
      <c r="G912">
        <f t="shared" si="59"/>
        <v>3.57</v>
      </c>
    </row>
    <row r="913" spans="1:7" hidden="1" x14ac:dyDescent="0.25">
      <c r="A913" s="4" t="s">
        <v>329</v>
      </c>
      <c r="B913" s="1">
        <v>0.12620799999999999</v>
      </c>
      <c r="C913" s="1">
        <v>0.12831600000000001</v>
      </c>
      <c r="D913" s="1">
        <f t="shared" si="56"/>
        <v>2.1080000000000265E-3</v>
      </c>
      <c r="E913">
        <f t="shared" si="57"/>
        <v>3</v>
      </c>
      <c r="F913">
        <f t="shared" si="58"/>
        <v>2</v>
      </c>
      <c r="G913">
        <f t="shared" si="59"/>
        <v>3.03</v>
      </c>
    </row>
    <row r="914" spans="1:7" hidden="1" x14ac:dyDescent="0.25">
      <c r="A914" s="4" t="s">
        <v>330</v>
      </c>
      <c r="B914" s="1">
        <v>3.6773E-2</v>
      </c>
      <c r="C914" s="1">
        <v>3.4508999999999998E-2</v>
      </c>
      <c r="D914" s="1">
        <f t="shared" si="56"/>
        <v>2.2640000000000021E-3</v>
      </c>
      <c r="E914">
        <f t="shared" si="57"/>
        <v>3</v>
      </c>
      <c r="F914">
        <f t="shared" si="58"/>
        <v>16</v>
      </c>
      <c r="G914">
        <f t="shared" si="59"/>
        <v>3.27</v>
      </c>
    </row>
    <row r="915" spans="1:7" hidden="1" x14ac:dyDescent="0.25">
      <c r="A915" s="4" t="s">
        <v>331</v>
      </c>
      <c r="B915" s="1">
        <v>0.10241</v>
      </c>
      <c r="C915" s="1">
        <v>9.9713999999999997E-2</v>
      </c>
      <c r="D915" s="1">
        <f t="shared" si="56"/>
        <v>2.6960000000000039E-3</v>
      </c>
      <c r="E915">
        <f t="shared" si="57"/>
        <v>3</v>
      </c>
      <c r="F915">
        <f t="shared" si="58"/>
        <v>53</v>
      </c>
      <c r="G915">
        <f t="shared" si="59"/>
        <v>3.88</v>
      </c>
    </row>
    <row r="916" spans="1:7" hidden="1" x14ac:dyDescent="0.25">
      <c r="A916" s="4" t="s">
        <v>332</v>
      </c>
      <c r="B916" s="1">
        <v>0.71081099999999997</v>
      </c>
      <c r="C916" s="1">
        <v>0.70738299999999998</v>
      </c>
      <c r="D916" s="1">
        <f t="shared" si="56"/>
        <v>3.4279999999999866E-3</v>
      </c>
      <c r="E916">
        <f t="shared" si="57"/>
        <v>4</v>
      </c>
      <c r="F916">
        <f t="shared" si="58"/>
        <v>56</v>
      </c>
      <c r="G916">
        <f t="shared" si="59"/>
        <v>4.93</v>
      </c>
    </row>
    <row r="917" spans="1:7" hidden="1" x14ac:dyDescent="0.25">
      <c r="A917" s="4" t="s">
        <v>333</v>
      </c>
      <c r="B917" s="1">
        <v>0.288352</v>
      </c>
      <c r="C917" s="1">
        <v>0.29111999999999999</v>
      </c>
      <c r="D917" s="1">
        <f t="shared" si="56"/>
        <v>2.7679999999999927E-3</v>
      </c>
      <c r="E917">
        <f t="shared" si="57"/>
        <v>3</v>
      </c>
      <c r="F917">
        <f t="shared" si="58"/>
        <v>59</v>
      </c>
      <c r="G917">
        <f t="shared" si="59"/>
        <v>3.98</v>
      </c>
    </row>
    <row r="918" spans="1:7" hidden="1" x14ac:dyDescent="0.25">
      <c r="A918" s="4" t="s">
        <v>334</v>
      </c>
      <c r="B918" s="1">
        <v>0.14686399999999999</v>
      </c>
      <c r="C918" s="1">
        <v>0.14951200000000001</v>
      </c>
      <c r="D918" s="1">
        <f t="shared" si="56"/>
        <v>2.6480000000000115E-3</v>
      </c>
      <c r="E918">
        <f t="shared" si="57"/>
        <v>3</v>
      </c>
      <c r="F918">
        <f t="shared" si="58"/>
        <v>49</v>
      </c>
      <c r="G918">
        <f t="shared" si="59"/>
        <v>3.82</v>
      </c>
    </row>
    <row r="919" spans="1:7" hidden="1" x14ac:dyDescent="0.25">
      <c r="A919" s="4" t="s">
        <v>335</v>
      </c>
      <c r="B919" s="1">
        <v>0.42368600000000001</v>
      </c>
      <c r="C919" s="1">
        <v>0.42081000000000002</v>
      </c>
      <c r="D919" s="1">
        <f t="shared" si="56"/>
        <v>2.8759999999999897E-3</v>
      </c>
      <c r="E919">
        <f t="shared" si="57"/>
        <v>4</v>
      </c>
      <c r="F919">
        <f t="shared" si="58"/>
        <v>8</v>
      </c>
      <c r="G919">
        <f t="shared" si="59"/>
        <v>4.13</v>
      </c>
    </row>
    <row r="920" spans="1:7" hidden="1" x14ac:dyDescent="0.25">
      <c r="A920" s="4" t="s">
        <v>336</v>
      </c>
      <c r="B920" s="1">
        <v>0.96765500000000004</v>
      </c>
      <c r="C920" s="1">
        <v>0.96437899999999999</v>
      </c>
      <c r="D920" s="1">
        <f t="shared" si="56"/>
        <v>3.2760000000000566E-3</v>
      </c>
      <c r="E920">
        <f t="shared" si="57"/>
        <v>4</v>
      </c>
      <c r="F920">
        <f t="shared" si="58"/>
        <v>43</v>
      </c>
      <c r="G920">
        <f t="shared" si="59"/>
        <v>4.72</v>
      </c>
    </row>
    <row r="921" spans="1:7" hidden="1" x14ac:dyDescent="0.25">
      <c r="A921" s="4" t="s">
        <v>337</v>
      </c>
      <c r="B921" s="1">
        <v>5.2663000000000001E-2</v>
      </c>
      <c r="C921" s="1">
        <v>4.8890999999999997E-2</v>
      </c>
      <c r="D921" s="1">
        <f t="shared" si="56"/>
        <v>3.7720000000000045E-3</v>
      </c>
      <c r="E921">
        <f t="shared" si="57"/>
        <v>5</v>
      </c>
      <c r="F921">
        <f t="shared" si="58"/>
        <v>26</v>
      </c>
      <c r="G921">
        <f t="shared" si="59"/>
        <v>5.43</v>
      </c>
    </row>
    <row r="922" spans="1:7" hidden="1" x14ac:dyDescent="0.25">
      <c r="A922" s="4" t="s">
        <v>338</v>
      </c>
      <c r="B922" s="1">
        <v>0.114995</v>
      </c>
      <c r="C922" s="1">
        <v>0.113023</v>
      </c>
      <c r="D922" s="1">
        <f t="shared" si="56"/>
        <v>1.9720000000000015E-3</v>
      </c>
      <c r="E922">
        <f t="shared" si="57"/>
        <v>2</v>
      </c>
      <c r="F922">
        <f t="shared" si="58"/>
        <v>50</v>
      </c>
      <c r="G922">
        <f t="shared" si="59"/>
        <v>2.83</v>
      </c>
    </row>
    <row r="923" spans="1:7" x14ac:dyDescent="0.25">
      <c r="A923" s="7" t="s">
        <v>339</v>
      </c>
      <c r="B923" s="1">
        <v>0.55148399999999997</v>
      </c>
      <c r="C923" s="1">
        <v>0.55299600000000004</v>
      </c>
      <c r="D923" s="1">
        <f t="shared" si="56"/>
        <v>1.5120000000000688E-3</v>
      </c>
      <c r="E923">
        <f t="shared" si="57"/>
        <v>2</v>
      </c>
      <c r="F923">
        <f t="shared" si="58"/>
        <v>11</v>
      </c>
      <c r="G923" s="2">
        <f t="shared" si="59"/>
        <v>2.1800000000000002</v>
      </c>
    </row>
    <row r="924" spans="1:7" x14ac:dyDescent="0.25">
      <c r="A924" s="7" t="s">
        <v>340</v>
      </c>
      <c r="B924" s="1">
        <v>0.91144700000000001</v>
      </c>
      <c r="C924" s="1">
        <v>0.91473099999999996</v>
      </c>
      <c r="D924" s="1">
        <f t="shared" si="56"/>
        <v>3.2839999999999536E-3</v>
      </c>
      <c r="E924">
        <f t="shared" si="57"/>
        <v>4</v>
      </c>
      <c r="F924">
        <f t="shared" si="58"/>
        <v>44</v>
      </c>
      <c r="G924" s="2">
        <f t="shared" si="59"/>
        <v>4.7300000000000004</v>
      </c>
    </row>
    <row r="925" spans="1:7" x14ac:dyDescent="0.25">
      <c r="A925" s="7" t="s">
        <v>341</v>
      </c>
      <c r="B925" s="1">
        <v>0.70019799999999999</v>
      </c>
      <c r="C925" s="1">
        <v>0.70295399999999997</v>
      </c>
      <c r="D925" s="1">
        <f t="shared" si="56"/>
        <v>2.7559999999999807E-3</v>
      </c>
      <c r="E925">
        <f t="shared" si="57"/>
        <v>3</v>
      </c>
      <c r="F925">
        <f t="shared" si="58"/>
        <v>58</v>
      </c>
      <c r="G925" s="2">
        <f t="shared" si="59"/>
        <v>3.97</v>
      </c>
    </row>
    <row r="926" spans="1:7" hidden="1" x14ac:dyDescent="0.25">
      <c r="A926" s="4" t="s">
        <v>342</v>
      </c>
      <c r="B926" s="1">
        <v>0.52615599999999996</v>
      </c>
      <c r="C926" s="1">
        <v>0.52922000000000002</v>
      </c>
      <c r="D926" s="1">
        <f t="shared" si="56"/>
        <v>3.0640000000000667E-3</v>
      </c>
      <c r="E926">
        <f t="shared" si="57"/>
        <v>4</v>
      </c>
      <c r="F926">
        <f t="shared" si="58"/>
        <v>25</v>
      </c>
      <c r="G926">
        <f t="shared" si="59"/>
        <v>4.42</v>
      </c>
    </row>
    <row r="927" spans="1:7" hidden="1" x14ac:dyDescent="0.25">
      <c r="A927" s="4" t="s">
        <v>343</v>
      </c>
      <c r="B927" s="1">
        <v>0.68652000000000002</v>
      </c>
      <c r="C927" s="1">
        <v>0.68868399999999996</v>
      </c>
      <c r="D927" s="1">
        <f t="shared" si="56"/>
        <v>2.1639999999999437E-3</v>
      </c>
      <c r="E927">
        <f t="shared" si="57"/>
        <v>3</v>
      </c>
      <c r="F927">
        <f t="shared" si="58"/>
        <v>7</v>
      </c>
      <c r="G927">
        <f t="shared" si="59"/>
        <v>3.12</v>
      </c>
    </row>
    <row r="928" spans="1:7" hidden="1" x14ac:dyDescent="0.25">
      <c r="A928" s="4" t="s">
        <v>344</v>
      </c>
      <c r="B928" s="1">
        <v>0.35687200000000002</v>
      </c>
      <c r="C928" s="1">
        <v>0.3594</v>
      </c>
      <c r="D928" s="1">
        <f t="shared" si="56"/>
        <v>2.5279999999999747E-3</v>
      </c>
      <c r="E928">
        <f t="shared" si="57"/>
        <v>3</v>
      </c>
      <c r="F928">
        <f t="shared" si="58"/>
        <v>38</v>
      </c>
      <c r="G928">
        <f t="shared" si="59"/>
        <v>3.63</v>
      </c>
    </row>
    <row r="929" spans="1:7" hidden="1" x14ac:dyDescent="0.25">
      <c r="A929" s="4" t="s">
        <v>345</v>
      </c>
      <c r="B929" s="1">
        <v>0.77340900000000001</v>
      </c>
      <c r="C929" s="1">
        <v>0.77552900000000002</v>
      </c>
      <c r="D929" s="1">
        <f t="shared" si="56"/>
        <v>2.1200000000000108E-3</v>
      </c>
      <c r="E929">
        <f t="shared" si="57"/>
        <v>3</v>
      </c>
      <c r="F929">
        <f t="shared" si="58"/>
        <v>3</v>
      </c>
      <c r="G929">
        <f t="shared" si="59"/>
        <v>3.05</v>
      </c>
    </row>
    <row r="930" spans="1:7" hidden="1" x14ac:dyDescent="0.25">
      <c r="A930" s="4" t="s">
        <v>346</v>
      </c>
      <c r="B930" s="1">
        <v>0.11723</v>
      </c>
      <c r="C930" s="1">
        <v>0.115522</v>
      </c>
      <c r="D930" s="1">
        <f t="shared" si="56"/>
        <v>1.7080000000000012E-3</v>
      </c>
      <c r="E930">
        <f t="shared" si="57"/>
        <v>2</v>
      </c>
      <c r="F930">
        <f t="shared" si="58"/>
        <v>28</v>
      </c>
      <c r="G930">
        <f t="shared" si="59"/>
        <v>2.4700000000000002</v>
      </c>
    </row>
    <row r="931" spans="1:7" hidden="1" x14ac:dyDescent="0.25">
      <c r="A931" s="4" t="s">
        <v>347</v>
      </c>
      <c r="B931" s="1">
        <v>0.24433299999999999</v>
      </c>
      <c r="C931" s="1">
        <v>0.24707699999999999</v>
      </c>
      <c r="D931" s="1">
        <f t="shared" si="56"/>
        <v>2.7439999999999964E-3</v>
      </c>
      <c r="E931">
        <f t="shared" si="57"/>
        <v>3</v>
      </c>
      <c r="F931">
        <f t="shared" si="58"/>
        <v>57</v>
      </c>
      <c r="G931">
        <f t="shared" si="59"/>
        <v>3.95</v>
      </c>
    </row>
    <row r="932" spans="1:7" hidden="1" x14ac:dyDescent="0.25">
      <c r="A932" s="4" t="s">
        <v>348</v>
      </c>
      <c r="B932" s="1">
        <v>1.4217E-2</v>
      </c>
      <c r="C932" s="1">
        <v>1.1981E-2</v>
      </c>
      <c r="D932" s="1">
        <f t="shared" si="56"/>
        <v>2.2360000000000001E-3</v>
      </c>
      <c r="E932">
        <f t="shared" si="57"/>
        <v>3</v>
      </c>
      <c r="F932">
        <f t="shared" si="58"/>
        <v>13</v>
      </c>
      <c r="G932">
        <f t="shared" si="59"/>
        <v>3.22</v>
      </c>
    </row>
    <row r="933" spans="1:7" hidden="1" x14ac:dyDescent="0.25">
      <c r="A933" s="4" t="s">
        <v>349</v>
      </c>
      <c r="B933" s="1">
        <v>0.62740099999999999</v>
      </c>
      <c r="C933" s="1">
        <v>0.62578100000000003</v>
      </c>
      <c r="D933" s="1">
        <f t="shared" si="56"/>
        <v>1.6199999999999548E-3</v>
      </c>
      <c r="E933">
        <f t="shared" si="57"/>
        <v>2</v>
      </c>
      <c r="F933">
        <f t="shared" si="58"/>
        <v>20</v>
      </c>
      <c r="G933">
        <f t="shared" si="59"/>
        <v>2.33</v>
      </c>
    </row>
    <row r="934" spans="1:7" hidden="1" x14ac:dyDescent="0.25">
      <c r="A934" s="4" t="s">
        <v>350</v>
      </c>
      <c r="B934" s="1">
        <v>0.93858200000000003</v>
      </c>
      <c r="C934" s="1">
        <v>0.94195799999999996</v>
      </c>
      <c r="D934" s="1">
        <f t="shared" si="56"/>
        <v>3.3759999999999346E-3</v>
      </c>
      <c r="E934">
        <f t="shared" si="57"/>
        <v>4</v>
      </c>
      <c r="F934">
        <f t="shared" si="58"/>
        <v>52</v>
      </c>
      <c r="G934">
        <f t="shared" si="59"/>
        <v>4.87</v>
      </c>
    </row>
    <row r="935" spans="1:7" hidden="1" x14ac:dyDescent="0.25">
      <c r="A935" s="4" t="s">
        <v>351</v>
      </c>
      <c r="B935" s="1">
        <v>0.69694299999999998</v>
      </c>
      <c r="C935" s="1">
        <v>0.698627</v>
      </c>
      <c r="D935" s="1">
        <f t="shared" si="56"/>
        <v>1.6840000000000188E-3</v>
      </c>
      <c r="E935">
        <f t="shared" si="57"/>
        <v>2</v>
      </c>
      <c r="F935">
        <f t="shared" si="58"/>
        <v>25</v>
      </c>
      <c r="G935">
        <f t="shared" si="59"/>
        <v>2.42</v>
      </c>
    </row>
    <row r="936" spans="1:7" hidden="1" x14ac:dyDescent="0.25">
      <c r="A936" s="4" t="s">
        <v>352</v>
      </c>
      <c r="B936" s="1">
        <v>0.13768</v>
      </c>
      <c r="C936" s="1">
        <v>0.134328</v>
      </c>
      <c r="D936" s="1">
        <f t="shared" si="56"/>
        <v>3.3519999999999939E-3</v>
      </c>
      <c r="E936">
        <f t="shared" si="57"/>
        <v>4</v>
      </c>
      <c r="F936">
        <f t="shared" si="58"/>
        <v>50</v>
      </c>
      <c r="G936">
        <f t="shared" si="59"/>
        <v>4.83</v>
      </c>
    </row>
    <row r="937" spans="1:7" hidden="1" x14ac:dyDescent="0.25">
      <c r="A937" s="4" t="s">
        <v>353</v>
      </c>
      <c r="B937" s="1">
        <v>0.74910699999999997</v>
      </c>
      <c r="C937" s="1">
        <v>0.753027</v>
      </c>
      <c r="D937" s="1">
        <f t="shared" si="56"/>
        <v>3.9200000000000346E-3</v>
      </c>
      <c r="E937">
        <f t="shared" si="57"/>
        <v>5</v>
      </c>
      <c r="F937">
        <f t="shared" si="58"/>
        <v>39</v>
      </c>
      <c r="G937">
        <f t="shared" si="59"/>
        <v>5.65</v>
      </c>
    </row>
    <row r="938" spans="1:7" hidden="1" x14ac:dyDescent="0.25">
      <c r="A938" s="4" t="s">
        <v>354</v>
      </c>
      <c r="B938" s="1">
        <v>0.58568299999999995</v>
      </c>
      <c r="C938" s="1">
        <v>0.58726699999999998</v>
      </c>
      <c r="D938" s="1">
        <f t="shared" si="56"/>
        <v>1.5840000000000298E-3</v>
      </c>
      <c r="E938">
        <f t="shared" si="57"/>
        <v>2</v>
      </c>
      <c r="F938">
        <f t="shared" si="58"/>
        <v>17</v>
      </c>
      <c r="G938">
        <f t="shared" si="59"/>
        <v>2.2799999999999998</v>
      </c>
    </row>
    <row r="939" spans="1:7" hidden="1" x14ac:dyDescent="0.25">
      <c r="A939" s="4" t="s">
        <v>355</v>
      </c>
      <c r="B939" s="1">
        <v>0.59084800000000004</v>
      </c>
      <c r="C939" s="1">
        <v>0.59326400000000001</v>
      </c>
      <c r="D939" s="1">
        <f t="shared" si="56"/>
        <v>2.4159999999999737E-3</v>
      </c>
      <c r="E939">
        <f t="shared" si="57"/>
        <v>3</v>
      </c>
      <c r="F939">
        <f t="shared" si="58"/>
        <v>29</v>
      </c>
      <c r="G939">
        <f t="shared" si="59"/>
        <v>3.48</v>
      </c>
    </row>
    <row r="940" spans="1:7" hidden="1" x14ac:dyDescent="0.25">
      <c r="A940" s="4" t="s">
        <v>356</v>
      </c>
      <c r="B940" s="1">
        <v>0.14568999999999999</v>
      </c>
      <c r="C940" s="1">
        <v>0.14307400000000001</v>
      </c>
      <c r="D940" s="1">
        <f t="shared" si="56"/>
        <v>2.6159999999999795E-3</v>
      </c>
      <c r="E940">
        <f t="shared" si="57"/>
        <v>3</v>
      </c>
      <c r="F940">
        <f t="shared" si="58"/>
        <v>46</v>
      </c>
      <c r="G940">
        <f t="shared" si="59"/>
        <v>3.77</v>
      </c>
    </row>
    <row r="941" spans="1:7" hidden="1" x14ac:dyDescent="0.25">
      <c r="A941" s="4" t="s">
        <v>357</v>
      </c>
      <c r="B941" s="1">
        <v>0.63840600000000003</v>
      </c>
      <c r="C941" s="1">
        <v>0.64005400000000001</v>
      </c>
      <c r="D941" s="1">
        <f t="shared" si="56"/>
        <v>1.6479999999999828E-3</v>
      </c>
      <c r="E941">
        <f t="shared" si="57"/>
        <v>2</v>
      </c>
      <c r="F941">
        <f t="shared" si="58"/>
        <v>22</v>
      </c>
      <c r="G941">
        <f t="shared" si="59"/>
        <v>2.37</v>
      </c>
    </row>
    <row r="942" spans="1:7" hidden="1" x14ac:dyDescent="0.25">
      <c r="A942" s="4" t="s">
        <v>358</v>
      </c>
      <c r="B942" s="1">
        <v>0.76871599999999995</v>
      </c>
      <c r="C942" s="1">
        <v>0.77248799999999995</v>
      </c>
      <c r="D942" s="1">
        <f t="shared" si="56"/>
        <v>3.7719999999999976E-3</v>
      </c>
      <c r="E942">
        <f t="shared" si="57"/>
        <v>5</v>
      </c>
      <c r="F942">
        <f t="shared" si="58"/>
        <v>26</v>
      </c>
      <c r="G942">
        <f t="shared" si="59"/>
        <v>5.43</v>
      </c>
    </row>
    <row r="943" spans="1:7" hidden="1" x14ac:dyDescent="0.25">
      <c r="A943" s="4" t="s">
        <v>359</v>
      </c>
      <c r="B943" s="1">
        <v>0.81716200000000005</v>
      </c>
      <c r="C943" s="1">
        <v>0.81427000000000005</v>
      </c>
      <c r="D943" s="1">
        <f t="shared" si="56"/>
        <v>2.8920000000000057E-3</v>
      </c>
      <c r="E943">
        <f t="shared" si="57"/>
        <v>4</v>
      </c>
      <c r="F943">
        <f t="shared" si="58"/>
        <v>10</v>
      </c>
      <c r="G943">
        <f t="shared" si="59"/>
        <v>4.17</v>
      </c>
    </row>
    <row r="944" spans="1:7" hidden="1" x14ac:dyDescent="0.25">
      <c r="A944" s="4" t="s">
        <v>360</v>
      </c>
      <c r="B944" s="1">
        <v>0.85678500000000002</v>
      </c>
      <c r="C944" s="1">
        <v>0.85369300000000004</v>
      </c>
      <c r="D944" s="1">
        <f t="shared" si="56"/>
        <v>3.0919999999999837E-3</v>
      </c>
      <c r="E944">
        <f t="shared" si="57"/>
        <v>4</v>
      </c>
      <c r="F944">
        <f t="shared" si="58"/>
        <v>27</v>
      </c>
      <c r="G944">
        <f t="shared" si="59"/>
        <v>4.45</v>
      </c>
    </row>
    <row r="945" spans="1:7" hidden="1" x14ac:dyDescent="0.25">
      <c r="A945" s="4" t="s">
        <v>361</v>
      </c>
      <c r="B945" s="1">
        <v>0.45169599999999999</v>
      </c>
      <c r="C945" s="1">
        <v>0.45416800000000002</v>
      </c>
      <c r="D945" s="1">
        <f t="shared" si="56"/>
        <v>2.4720000000000297E-3</v>
      </c>
      <c r="E945">
        <f t="shared" si="57"/>
        <v>3</v>
      </c>
      <c r="F945">
        <f t="shared" si="58"/>
        <v>34</v>
      </c>
      <c r="G945">
        <f t="shared" si="59"/>
        <v>3.57</v>
      </c>
    </row>
    <row r="946" spans="1:7" hidden="1" x14ac:dyDescent="0.25">
      <c r="A946" s="4" t="s">
        <v>362</v>
      </c>
      <c r="B946" s="1">
        <v>0.61457899999999999</v>
      </c>
      <c r="C946" s="1">
        <v>0.61297100000000004</v>
      </c>
      <c r="D946" s="1">
        <f t="shared" si="56"/>
        <v>1.6079999999999428E-3</v>
      </c>
      <c r="E946">
        <f t="shared" si="57"/>
        <v>2</v>
      </c>
      <c r="F946">
        <f t="shared" si="58"/>
        <v>19</v>
      </c>
      <c r="G946">
        <f t="shared" si="59"/>
        <v>2.3199999999999998</v>
      </c>
    </row>
    <row r="947" spans="1:7" hidden="1" x14ac:dyDescent="0.25">
      <c r="A947" s="4" t="s">
        <v>363</v>
      </c>
      <c r="B947" s="1">
        <v>0.58136100000000002</v>
      </c>
      <c r="C947" s="1">
        <v>0.57852499999999996</v>
      </c>
      <c r="D947" s="1">
        <f t="shared" si="56"/>
        <v>2.8360000000000607E-3</v>
      </c>
      <c r="E947">
        <f t="shared" si="57"/>
        <v>4</v>
      </c>
      <c r="F947">
        <f t="shared" si="58"/>
        <v>5</v>
      </c>
      <c r="G947">
        <f t="shared" si="59"/>
        <v>4.08</v>
      </c>
    </row>
    <row r="948" spans="1:7" hidden="1" x14ac:dyDescent="0.25">
      <c r="A948" s="4" t="s">
        <v>364</v>
      </c>
      <c r="B948" s="1">
        <v>0.96552199999999999</v>
      </c>
      <c r="C948" s="1">
        <v>0.96191400000000005</v>
      </c>
      <c r="D948" s="1">
        <f t="shared" si="56"/>
        <v>3.6079999999999446E-3</v>
      </c>
      <c r="E948">
        <f t="shared" si="57"/>
        <v>5</v>
      </c>
      <c r="F948">
        <f t="shared" si="58"/>
        <v>12</v>
      </c>
      <c r="G948">
        <f t="shared" si="59"/>
        <v>5.2</v>
      </c>
    </row>
    <row r="949" spans="1:7" hidden="1" x14ac:dyDescent="0.25">
      <c r="A949" s="4" t="s">
        <v>365</v>
      </c>
      <c r="B949" s="1">
        <v>0.429481</v>
      </c>
      <c r="C949" s="1">
        <v>0.426261</v>
      </c>
      <c r="D949" s="1">
        <f t="shared" si="56"/>
        <v>3.2200000000000006E-3</v>
      </c>
      <c r="E949">
        <f t="shared" si="57"/>
        <v>4</v>
      </c>
      <c r="F949">
        <f t="shared" si="58"/>
        <v>38</v>
      </c>
      <c r="G949">
        <f t="shared" si="59"/>
        <v>4.63</v>
      </c>
    </row>
    <row r="950" spans="1:7" hidden="1" x14ac:dyDescent="0.25">
      <c r="A950" s="4" t="s">
        <v>366</v>
      </c>
      <c r="B950" s="1">
        <v>0.64231899999999997</v>
      </c>
      <c r="C950" s="1">
        <v>0.64493900000000004</v>
      </c>
      <c r="D950" s="1">
        <f t="shared" si="56"/>
        <v>2.6200000000000667E-3</v>
      </c>
      <c r="E950">
        <f t="shared" si="57"/>
        <v>3</v>
      </c>
      <c r="F950">
        <f t="shared" si="58"/>
        <v>46</v>
      </c>
      <c r="G950">
        <f t="shared" si="59"/>
        <v>3.77</v>
      </c>
    </row>
    <row r="951" spans="1:7" hidden="1" x14ac:dyDescent="0.25">
      <c r="A951" s="4" t="s">
        <v>367</v>
      </c>
      <c r="B951" s="1">
        <v>0.64812400000000003</v>
      </c>
      <c r="C951" s="1">
        <v>0.64603600000000005</v>
      </c>
      <c r="D951" s="1">
        <f t="shared" si="56"/>
        <v>2.0879999999999788E-3</v>
      </c>
      <c r="E951">
        <f t="shared" si="57"/>
        <v>3</v>
      </c>
      <c r="F951">
        <f t="shared" si="58"/>
        <v>0</v>
      </c>
      <c r="G951">
        <f t="shared" si="59"/>
        <v>3</v>
      </c>
    </row>
    <row r="952" spans="1:7" hidden="1" x14ac:dyDescent="0.25">
      <c r="A952" s="4" t="s">
        <v>368</v>
      </c>
      <c r="B952" s="1">
        <v>3.1189999999999999E-2</v>
      </c>
      <c r="C952" s="1">
        <v>2.8662E-2</v>
      </c>
      <c r="D952" s="1">
        <f t="shared" si="56"/>
        <v>2.527999999999999E-3</v>
      </c>
      <c r="E952">
        <f t="shared" si="57"/>
        <v>3</v>
      </c>
      <c r="F952">
        <f t="shared" si="58"/>
        <v>38</v>
      </c>
      <c r="G952">
        <f t="shared" si="59"/>
        <v>3.63</v>
      </c>
    </row>
    <row r="953" spans="1:7" hidden="1" x14ac:dyDescent="0.25">
      <c r="A953" s="4" t="s">
        <v>369</v>
      </c>
      <c r="B953" s="1">
        <v>0.78395599999999999</v>
      </c>
      <c r="C953" s="1">
        <v>0.78256400000000004</v>
      </c>
      <c r="D953" s="1">
        <f t="shared" si="56"/>
        <v>1.3919999999999488E-3</v>
      </c>
      <c r="E953">
        <f t="shared" si="57"/>
        <v>2</v>
      </c>
      <c r="F953">
        <f t="shared" si="58"/>
        <v>0</v>
      </c>
      <c r="G953">
        <f t="shared" si="59"/>
        <v>2</v>
      </c>
    </row>
    <row r="954" spans="1:7" hidden="1" x14ac:dyDescent="0.25">
      <c r="A954" s="4" t="s">
        <v>370</v>
      </c>
      <c r="B954" s="1">
        <v>0.77186999999999995</v>
      </c>
      <c r="C954" s="1">
        <v>0.76852600000000004</v>
      </c>
      <c r="D954" s="1">
        <f t="shared" si="56"/>
        <v>3.3439999999999026E-3</v>
      </c>
      <c r="E954">
        <f t="shared" si="57"/>
        <v>4</v>
      </c>
      <c r="F954">
        <f t="shared" si="58"/>
        <v>49</v>
      </c>
      <c r="G954">
        <f t="shared" si="59"/>
        <v>4.82</v>
      </c>
    </row>
    <row r="955" spans="1:7" hidden="1" x14ac:dyDescent="0.25">
      <c r="A955" s="4" t="s">
        <v>371</v>
      </c>
      <c r="B955" s="1">
        <v>0.99620900000000001</v>
      </c>
      <c r="C955" s="1">
        <v>0.99318499999999998</v>
      </c>
      <c r="D955" s="1">
        <f t="shared" si="56"/>
        <v>3.0240000000000267E-3</v>
      </c>
      <c r="E955">
        <f t="shared" si="57"/>
        <v>4</v>
      </c>
      <c r="F955">
        <f t="shared" si="58"/>
        <v>21</v>
      </c>
      <c r="G955">
        <f t="shared" si="59"/>
        <v>4.3499999999999996</v>
      </c>
    </row>
    <row r="956" spans="1:7" hidden="1" x14ac:dyDescent="0.25">
      <c r="A956" s="4" t="s">
        <v>372</v>
      </c>
      <c r="B956" s="1">
        <v>0.26910400000000001</v>
      </c>
      <c r="C956" s="1">
        <v>0.27073199999999997</v>
      </c>
      <c r="D956" s="1">
        <f t="shared" si="56"/>
        <v>1.6279999999999628E-3</v>
      </c>
      <c r="E956">
        <f t="shared" si="57"/>
        <v>2</v>
      </c>
      <c r="F956">
        <f t="shared" si="58"/>
        <v>21</v>
      </c>
      <c r="G956">
        <f t="shared" si="59"/>
        <v>2.35</v>
      </c>
    </row>
    <row r="957" spans="1:7" hidden="1" x14ac:dyDescent="0.25">
      <c r="A957" s="4" t="s">
        <v>373</v>
      </c>
      <c r="B957" s="1">
        <v>0.79386299999999999</v>
      </c>
      <c r="C957" s="1">
        <v>0.797763</v>
      </c>
      <c r="D957" s="1">
        <f t="shared" si="56"/>
        <v>3.9000000000000146E-3</v>
      </c>
      <c r="E957">
        <f t="shared" si="57"/>
        <v>5</v>
      </c>
      <c r="F957">
        <f t="shared" si="58"/>
        <v>37</v>
      </c>
      <c r="G957">
        <f t="shared" si="59"/>
        <v>5.62</v>
      </c>
    </row>
    <row r="958" spans="1:7" hidden="1" x14ac:dyDescent="0.25">
      <c r="A958" s="4" t="s">
        <v>374</v>
      </c>
      <c r="B958" s="1">
        <v>0.92735400000000001</v>
      </c>
      <c r="C958" s="1">
        <v>0.93079400000000001</v>
      </c>
      <c r="D958" s="1">
        <f t="shared" si="56"/>
        <v>3.4399999999999986E-3</v>
      </c>
      <c r="E958">
        <f t="shared" si="57"/>
        <v>4</v>
      </c>
      <c r="F958">
        <f t="shared" si="58"/>
        <v>57</v>
      </c>
      <c r="G958">
        <f t="shared" si="59"/>
        <v>4.95</v>
      </c>
    </row>
    <row r="959" spans="1:7" hidden="1" x14ac:dyDescent="0.25">
      <c r="A959" s="4" t="s">
        <v>375</v>
      </c>
      <c r="B959" s="1">
        <v>0.41383199999999998</v>
      </c>
      <c r="C959" s="1">
        <v>0.41626000000000002</v>
      </c>
      <c r="D959" s="1">
        <f t="shared" si="56"/>
        <v>2.4280000000000412E-3</v>
      </c>
      <c r="E959">
        <f t="shared" si="57"/>
        <v>3</v>
      </c>
      <c r="F959">
        <f t="shared" si="58"/>
        <v>30</v>
      </c>
      <c r="G959">
        <f t="shared" si="59"/>
        <v>3.5</v>
      </c>
    </row>
    <row r="960" spans="1:7" hidden="1" x14ac:dyDescent="0.25">
      <c r="A960" s="4" t="s">
        <v>376</v>
      </c>
      <c r="B960" s="1">
        <v>0.74587599999999998</v>
      </c>
      <c r="C960" s="1">
        <v>0.74849200000000005</v>
      </c>
      <c r="D960" s="1">
        <f t="shared" si="56"/>
        <v>2.6160000000000627E-3</v>
      </c>
      <c r="E960">
        <f t="shared" si="57"/>
        <v>3</v>
      </c>
      <c r="F960">
        <f t="shared" si="58"/>
        <v>46</v>
      </c>
      <c r="G960">
        <f t="shared" si="59"/>
        <v>3.77</v>
      </c>
    </row>
    <row r="961" spans="1:7" hidden="1" x14ac:dyDescent="0.25">
      <c r="A961" s="4" t="s">
        <v>377</v>
      </c>
      <c r="B961" s="1">
        <v>0.65303999999999995</v>
      </c>
      <c r="C961" s="1">
        <v>0.64914400000000005</v>
      </c>
      <c r="D961" s="1">
        <f t="shared" si="56"/>
        <v>3.8959999999998995E-3</v>
      </c>
      <c r="E961">
        <f t="shared" si="57"/>
        <v>5</v>
      </c>
      <c r="F961">
        <f t="shared" si="58"/>
        <v>37</v>
      </c>
      <c r="G961">
        <f t="shared" si="59"/>
        <v>5.62</v>
      </c>
    </row>
    <row r="962" spans="1:7" hidden="1" x14ac:dyDescent="0.25">
      <c r="A962" s="4" t="s">
        <v>378</v>
      </c>
      <c r="B962" s="1">
        <v>0.62776399999999999</v>
      </c>
      <c r="C962" s="1">
        <v>0.62426800000000005</v>
      </c>
      <c r="D962" s="1">
        <f t="shared" si="56"/>
        <v>3.4959999999999436E-3</v>
      </c>
      <c r="E962">
        <f t="shared" si="57"/>
        <v>5</v>
      </c>
      <c r="F962">
        <f t="shared" si="58"/>
        <v>2</v>
      </c>
      <c r="G962">
        <f t="shared" si="59"/>
        <v>5.03</v>
      </c>
    </row>
    <row r="963" spans="1:7" hidden="1" x14ac:dyDescent="0.25">
      <c r="A963" s="4" t="s">
        <v>379</v>
      </c>
      <c r="B963" s="1">
        <v>0.880853</v>
      </c>
      <c r="C963" s="1">
        <v>0.88298100000000002</v>
      </c>
      <c r="D963" s="1">
        <f t="shared" ref="D963:D1001" si="60">IF(B963&gt;C963,B963-C963,C963-B963)</f>
        <v>2.1280000000000188E-3</v>
      </c>
      <c r="E963">
        <f t="shared" ref="E963:E1001" si="61">MINUTE(D963)</f>
        <v>3</v>
      </c>
      <c r="F963">
        <f t="shared" ref="F963:F1001" si="62">SECOND(D963)</f>
        <v>4</v>
      </c>
      <c r="G963">
        <f t="shared" ref="G963:G1001" si="63">ROUND(E963+F963/60,2)</f>
        <v>3.07</v>
      </c>
    </row>
    <row r="964" spans="1:7" hidden="1" x14ac:dyDescent="0.25">
      <c r="A964" s="4" t="s">
        <v>380</v>
      </c>
      <c r="B964" s="1">
        <v>0.64335699999999996</v>
      </c>
      <c r="C964" s="1">
        <v>0.63941700000000001</v>
      </c>
      <c r="D964" s="1">
        <f t="shared" si="60"/>
        <v>3.9399999999999435E-3</v>
      </c>
      <c r="E964">
        <f t="shared" si="61"/>
        <v>5</v>
      </c>
      <c r="F964">
        <f t="shared" si="62"/>
        <v>40</v>
      </c>
      <c r="G964">
        <f t="shared" si="63"/>
        <v>5.67</v>
      </c>
    </row>
    <row r="965" spans="1:7" hidden="1" x14ac:dyDescent="0.25">
      <c r="A965" s="4" t="s">
        <v>381</v>
      </c>
      <c r="B965" s="1">
        <v>0.89447600000000005</v>
      </c>
      <c r="C965" s="1">
        <v>0.89619199999999999</v>
      </c>
      <c r="D965" s="1">
        <f t="shared" si="60"/>
        <v>1.7159999999999398E-3</v>
      </c>
      <c r="E965">
        <f t="shared" si="61"/>
        <v>2</v>
      </c>
      <c r="F965">
        <f t="shared" si="62"/>
        <v>28</v>
      </c>
      <c r="G965">
        <f t="shared" si="63"/>
        <v>2.4700000000000002</v>
      </c>
    </row>
    <row r="966" spans="1:7" hidden="1" x14ac:dyDescent="0.25">
      <c r="A966" s="4" t="s">
        <v>382</v>
      </c>
      <c r="B966" s="1">
        <v>0.59115099999999998</v>
      </c>
      <c r="C966" s="1">
        <v>0.58769899999999997</v>
      </c>
      <c r="D966" s="1">
        <f t="shared" si="60"/>
        <v>3.4520000000000106E-3</v>
      </c>
      <c r="E966">
        <f t="shared" si="61"/>
        <v>4</v>
      </c>
      <c r="F966">
        <f t="shared" si="62"/>
        <v>58</v>
      </c>
      <c r="G966">
        <f t="shared" si="63"/>
        <v>4.97</v>
      </c>
    </row>
    <row r="967" spans="1:7" hidden="1" x14ac:dyDescent="0.25">
      <c r="A967" s="4" t="s">
        <v>383</v>
      </c>
      <c r="B967" s="1">
        <v>5.2143000000000002E-2</v>
      </c>
      <c r="C967" s="1">
        <v>5.0654999999999999E-2</v>
      </c>
      <c r="D967" s="1">
        <f t="shared" si="60"/>
        <v>1.4880000000000032E-3</v>
      </c>
      <c r="E967">
        <f t="shared" si="61"/>
        <v>2</v>
      </c>
      <c r="F967">
        <f t="shared" si="62"/>
        <v>9</v>
      </c>
      <c r="G967">
        <f t="shared" si="63"/>
        <v>2.15</v>
      </c>
    </row>
    <row r="968" spans="1:7" hidden="1" x14ac:dyDescent="0.25">
      <c r="A968" s="4" t="s">
        <v>384</v>
      </c>
      <c r="B968" s="1">
        <v>0.78184600000000004</v>
      </c>
      <c r="C968" s="1">
        <v>0.78475399999999995</v>
      </c>
      <c r="D968" s="1">
        <f t="shared" si="60"/>
        <v>2.9079999999999107E-3</v>
      </c>
      <c r="E968">
        <f t="shared" si="61"/>
        <v>4</v>
      </c>
      <c r="F968">
        <f t="shared" si="62"/>
        <v>11</v>
      </c>
      <c r="G968">
        <f t="shared" si="63"/>
        <v>4.18</v>
      </c>
    </row>
    <row r="969" spans="1:7" hidden="1" x14ac:dyDescent="0.25">
      <c r="A969" s="4" t="s">
        <v>385</v>
      </c>
      <c r="B969" s="1">
        <v>0.626494</v>
      </c>
      <c r="C969" s="1">
        <v>0.62833399999999995</v>
      </c>
      <c r="D969" s="1">
        <f t="shared" si="60"/>
        <v>1.8399999999999528E-3</v>
      </c>
      <c r="E969">
        <f t="shared" si="61"/>
        <v>2</v>
      </c>
      <c r="F969">
        <f t="shared" si="62"/>
        <v>39</v>
      </c>
      <c r="G969">
        <f t="shared" si="63"/>
        <v>2.65</v>
      </c>
    </row>
    <row r="970" spans="1:7" hidden="1" x14ac:dyDescent="0.25">
      <c r="A970" s="4" t="s">
        <v>386</v>
      </c>
      <c r="B970" s="1">
        <v>0.71810700000000005</v>
      </c>
      <c r="C970" s="1">
        <v>0.71969899999999998</v>
      </c>
      <c r="D970" s="1">
        <f t="shared" si="60"/>
        <v>1.5919999999999268E-3</v>
      </c>
      <c r="E970">
        <f t="shared" si="61"/>
        <v>2</v>
      </c>
      <c r="F970">
        <f t="shared" si="62"/>
        <v>18</v>
      </c>
      <c r="G970">
        <f t="shared" si="63"/>
        <v>2.2999999999999998</v>
      </c>
    </row>
    <row r="971" spans="1:7" hidden="1" x14ac:dyDescent="0.25">
      <c r="A971" s="4" t="s">
        <v>387</v>
      </c>
      <c r="B971" s="1">
        <v>0.59238800000000003</v>
      </c>
      <c r="C971" s="1">
        <v>0.58874800000000005</v>
      </c>
      <c r="D971" s="1">
        <f t="shared" si="60"/>
        <v>3.6399999999999766E-3</v>
      </c>
      <c r="E971">
        <f t="shared" si="61"/>
        <v>5</v>
      </c>
      <c r="F971">
        <f t="shared" si="62"/>
        <v>14</v>
      </c>
      <c r="G971">
        <f t="shared" si="63"/>
        <v>5.23</v>
      </c>
    </row>
    <row r="972" spans="1:7" hidden="1" x14ac:dyDescent="0.25">
      <c r="A972" s="4" t="s">
        <v>388</v>
      </c>
      <c r="B972" s="1">
        <v>0.68928500000000004</v>
      </c>
      <c r="C972" s="1">
        <v>0.68787699999999996</v>
      </c>
      <c r="D972" s="1">
        <f t="shared" si="60"/>
        <v>1.4080000000000759E-3</v>
      </c>
      <c r="E972">
        <f t="shared" si="61"/>
        <v>2</v>
      </c>
      <c r="F972">
        <f t="shared" si="62"/>
        <v>2</v>
      </c>
      <c r="G972">
        <f t="shared" si="63"/>
        <v>2.0299999999999998</v>
      </c>
    </row>
    <row r="973" spans="1:7" hidden="1" x14ac:dyDescent="0.25">
      <c r="A973" s="4" t="s">
        <v>389</v>
      </c>
      <c r="B973" s="1">
        <v>0.62056900000000004</v>
      </c>
      <c r="C973" s="1">
        <v>0.623081</v>
      </c>
      <c r="D973" s="1">
        <f t="shared" si="60"/>
        <v>2.5119999999999587E-3</v>
      </c>
      <c r="E973">
        <f t="shared" si="61"/>
        <v>3</v>
      </c>
      <c r="F973">
        <f t="shared" si="62"/>
        <v>37</v>
      </c>
      <c r="G973">
        <f t="shared" si="63"/>
        <v>3.62</v>
      </c>
    </row>
    <row r="974" spans="1:7" hidden="1" x14ac:dyDescent="0.25">
      <c r="A974" s="4" t="s">
        <v>390</v>
      </c>
      <c r="B974" s="1">
        <v>0.30533100000000002</v>
      </c>
      <c r="C974" s="1">
        <v>0.30848700000000001</v>
      </c>
      <c r="D974" s="1">
        <f t="shared" si="60"/>
        <v>3.1559999999999921E-3</v>
      </c>
      <c r="E974">
        <f t="shared" si="61"/>
        <v>4</v>
      </c>
      <c r="F974">
        <f t="shared" si="62"/>
        <v>33</v>
      </c>
      <c r="G974">
        <f t="shared" si="63"/>
        <v>4.55</v>
      </c>
    </row>
    <row r="975" spans="1:7" hidden="1" x14ac:dyDescent="0.25">
      <c r="A975" s="4" t="s">
        <v>391</v>
      </c>
      <c r="B975" s="1">
        <v>8.7454000000000004E-2</v>
      </c>
      <c r="C975" s="1">
        <v>8.9934E-2</v>
      </c>
      <c r="D975" s="1">
        <f t="shared" si="60"/>
        <v>2.4799999999999961E-3</v>
      </c>
      <c r="E975">
        <f t="shared" si="61"/>
        <v>3</v>
      </c>
      <c r="F975">
        <f t="shared" si="62"/>
        <v>34</v>
      </c>
      <c r="G975">
        <f t="shared" si="63"/>
        <v>3.57</v>
      </c>
    </row>
    <row r="976" spans="1:7" hidden="1" x14ac:dyDescent="0.25">
      <c r="A976" s="4" t="s">
        <v>392</v>
      </c>
      <c r="B976" s="1">
        <v>0.27104099999999998</v>
      </c>
      <c r="C976" s="1">
        <v>0.27402900000000002</v>
      </c>
      <c r="D976" s="1">
        <f t="shared" si="60"/>
        <v>2.9880000000000462E-3</v>
      </c>
      <c r="E976">
        <f t="shared" si="61"/>
        <v>4</v>
      </c>
      <c r="F976">
        <f t="shared" si="62"/>
        <v>18</v>
      </c>
      <c r="G976">
        <f t="shared" si="63"/>
        <v>4.3</v>
      </c>
    </row>
    <row r="977" spans="1:7" hidden="1" x14ac:dyDescent="0.25">
      <c r="A977" s="4" t="s">
        <v>393</v>
      </c>
      <c r="B977" s="1">
        <v>0.93926699999999996</v>
      </c>
      <c r="C977" s="1">
        <v>0.941751</v>
      </c>
      <c r="D977" s="1">
        <f t="shared" si="60"/>
        <v>2.4840000000000417E-3</v>
      </c>
      <c r="E977">
        <f t="shared" si="61"/>
        <v>3</v>
      </c>
      <c r="F977">
        <f t="shared" si="62"/>
        <v>35</v>
      </c>
      <c r="G977">
        <f t="shared" si="63"/>
        <v>3.58</v>
      </c>
    </row>
    <row r="978" spans="1:7" hidden="1" x14ac:dyDescent="0.25">
      <c r="A978" s="4" t="s">
        <v>394</v>
      </c>
      <c r="B978" s="1">
        <v>0.78683000000000003</v>
      </c>
      <c r="C978" s="1">
        <v>0.78496600000000005</v>
      </c>
      <c r="D978" s="1">
        <f t="shared" si="60"/>
        <v>1.8639999999999768E-3</v>
      </c>
      <c r="E978">
        <f t="shared" si="61"/>
        <v>2</v>
      </c>
      <c r="F978">
        <f t="shared" si="62"/>
        <v>41</v>
      </c>
      <c r="G978">
        <f t="shared" si="63"/>
        <v>2.68</v>
      </c>
    </row>
    <row r="979" spans="1:7" hidden="1" x14ac:dyDescent="0.25">
      <c r="A979" s="4" t="s">
        <v>395</v>
      </c>
      <c r="B979" s="1">
        <v>0.42941800000000002</v>
      </c>
      <c r="C979" s="1">
        <v>0.42563400000000001</v>
      </c>
      <c r="D979" s="1">
        <f t="shared" si="60"/>
        <v>3.7840000000000096E-3</v>
      </c>
      <c r="E979">
        <f t="shared" si="61"/>
        <v>5</v>
      </c>
      <c r="F979">
        <f t="shared" si="62"/>
        <v>27</v>
      </c>
      <c r="G979">
        <f t="shared" si="63"/>
        <v>5.45</v>
      </c>
    </row>
    <row r="980" spans="1:7" hidden="1" x14ac:dyDescent="0.25">
      <c r="A980" s="4" t="s">
        <v>396</v>
      </c>
      <c r="B980" s="1">
        <v>0.14202300000000001</v>
      </c>
      <c r="C980" s="1">
        <v>0.13999500000000001</v>
      </c>
      <c r="D980" s="1">
        <f t="shared" si="60"/>
        <v>2.028000000000002E-3</v>
      </c>
      <c r="E980">
        <f t="shared" si="61"/>
        <v>2</v>
      </c>
      <c r="F980">
        <f t="shared" si="62"/>
        <v>55</v>
      </c>
      <c r="G980">
        <f t="shared" si="63"/>
        <v>2.92</v>
      </c>
    </row>
    <row r="981" spans="1:7" hidden="1" x14ac:dyDescent="0.25">
      <c r="A981" s="4" t="s">
        <v>397</v>
      </c>
      <c r="B981" s="1">
        <v>0.62391700000000005</v>
      </c>
      <c r="C981" s="1">
        <v>0.62759699999999996</v>
      </c>
      <c r="D981" s="1">
        <f t="shared" si="60"/>
        <v>3.6799999999999056E-3</v>
      </c>
      <c r="E981">
        <f t="shared" si="61"/>
        <v>5</v>
      </c>
      <c r="F981">
        <f t="shared" si="62"/>
        <v>18</v>
      </c>
      <c r="G981">
        <f t="shared" si="63"/>
        <v>5.3</v>
      </c>
    </row>
    <row r="982" spans="1:7" hidden="1" x14ac:dyDescent="0.25">
      <c r="A982" s="4" t="s">
        <v>398</v>
      </c>
      <c r="B982" s="1">
        <v>0.62443000000000004</v>
      </c>
      <c r="C982" s="1">
        <v>0.62149799999999999</v>
      </c>
      <c r="D982" s="1">
        <f t="shared" si="60"/>
        <v>2.9320000000000457E-3</v>
      </c>
      <c r="E982">
        <f t="shared" si="61"/>
        <v>4</v>
      </c>
      <c r="F982">
        <f t="shared" si="62"/>
        <v>13</v>
      </c>
      <c r="G982">
        <f t="shared" si="63"/>
        <v>4.22</v>
      </c>
    </row>
    <row r="983" spans="1:7" hidden="1" x14ac:dyDescent="0.25">
      <c r="A983" s="4" t="s">
        <v>399</v>
      </c>
      <c r="B983" s="1">
        <v>0.86035300000000003</v>
      </c>
      <c r="C983" s="1">
        <v>0.86306099999999997</v>
      </c>
      <c r="D983" s="1">
        <f t="shared" si="60"/>
        <v>2.7079999999999327E-3</v>
      </c>
      <c r="E983">
        <f t="shared" si="61"/>
        <v>3</v>
      </c>
      <c r="F983">
        <f t="shared" si="62"/>
        <v>54</v>
      </c>
      <c r="G983">
        <f t="shared" si="63"/>
        <v>3.9</v>
      </c>
    </row>
    <row r="984" spans="1:7" hidden="1" x14ac:dyDescent="0.25">
      <c r="A984" s="4" t="s">
        <v>400</v>
      </c>
      <c r="B984" s="1">
        <v>0.50423899999999999</v>
      </c>
      <c r="C984" s="1">
        <v>0.502799</v>
      </c>
      <c r="D984" s="1">
        <f t="shared" si="60"/>
        <v>1.4399999999999968E-3</v>
      </c>
      <c r="E984">
        <f t="shared" si="61"/>
        <v>2</v>
      </c>
      <c r="F984">
        <f t="shared" si="62"/>
        <v>4</v>
      </c>
      <c r="G984">
        <f t="shared" si="63"/>
        <v>2.0699999999999998</v>
      </c>
    </row>
    <row r="985" spans="1:7" hidden="1" x14ac:dyDescent="0.25">
      <c r="A985" s="4" t="s">
        <v>401</v>
      </c>
      <c r="B985" s="1">
        <v>0.35245900000000002</v>
      </c>
      <c r="C985" s="1">
        <v>0.35557899999999998</v>
      </c>
      <c r="D985" s="1">
        <f t="shared" si="60"/>
        <v>3.1199999999999561E-3</v>
      </c>
      <c r="E985">
        <f t="shared" si="61"/>
        <v>4</v>
      </c>
      <c r="F985">
        <f t="shared" si="62"/>
        <v>30</v>
      </c>
      <c r="G985">
        <f t="shared" si="63"/>
        <v>4.5</v>
      </c>
    </row>
    <row r="986" spans="1:7" hidden="1" x14ac:dyDescent="0.25">
      <c r="A986" s="4" t="s">
        <v>402</v>
      </c>
      <c r="B986" s="1">
        <v>0.54644499999999996</v>
      </c>
      <c r="C986" s="1">
        <v>0.544157</v>
      </c>
      <c r="D986" s="1">
        <f t="shared" si="60"/>
        <v>2.2879999999999567E-3</v>
      </c>
      <c r="E986">
        <f t="shared" si="61"/>
        <v>3</v>
      </c>
      <c r="F986">
        <f t="shared" si="62"/>
        <v>18</v>
      </c>
      <c r="G986">
        <f t="shared" si="63"/>
        <v>3.3</v>
      </c>
    </row>
    <row r="987" spans="1:7" hidden="1" x14ac:dyDescent="0.25">
      <c r="A987" s="4" t="s">
        <v>403</v>
      </c>
      <c r="B987" s="1">
        <v>0.53043799999999997</v>
      </c>
      <c r="C987" s="1">
        <v>0.53306600000000004</v>
      </c>
      <c r="D987" s="1">
        <f t="shared" si="60"/>
        <v>2.6280000000000747E-3</v>
      </c>
      <c r="E987">
        <f t="shared" si="61"/>
        <v>3</v>
      </c>
      <c r="F987">
        <f t="shared" si="62"/>
        <v>47</v>
      </c>
      <c r="G987">
        <f t="shared" si="63"/>
        <v>3.78</v>
      </c>
    </row>
    <row r="988" spans="1:7" hidden="1" x14ac:dyDescent="0.25">
      <c r="A988" s="4" t="s">
        <v>404</v>
      </c>
      <c r="B988" s="1">
        <v>0.56015199999999998</v>
      </c>
      <c r="C988" s="1">
        <v>0.55632400000000004</v>
      </c>
      <c r="D988" s="1">
        <f t="shared" si="60"/>
        <v>3.8279999999999426E-3</v>
      </c>
      <c r="E988">
        <f t="shared" si="61"/>
        <v>5</v>
      </c>
      <c r="F988">
        <f t="shared" si="62"/>
        <v>31</v>
      </c>
      <c r="G988">
        <f t="shared" si="63"/>
        <v>5.52</v>
      </c>
    </row>
    <row r="989" spans="1:7" hidden="1" x14ac:dyDescent="0.25">
      <c r="A989" s="4" t="s">
        <v>405</v>
      </c>
      <c r="B989" s="1">
        <v>0.90301600000000004</v>
      </c>
      <c r="C989" s="1">
        <v>0.90554000000000001</v>
      </c>
      <c r="D989" s="1">
        <f t="shared" si="60"/>
        <v>2.5239999999999707E-3</v>
      </c>
      <c r="E989">
        <f t="shared" si="61"/>
        <v>3</v>
      </c>
      <c r="F989">
        <f t="shared" si="62"/>
        <v>38</v>
      </c>
      <c r="G989">
        <f t="shared" si="63"/>
        <v>3.63</v>
      </c>
    </row>
    <row r="990" spans="1:7" hidden="1" x14ac:dyDescent="0.25">
      <c r="A990" s="4" t="s">
        <v>406</v>
      </c>
      <c r="B990" s="1">
        <v>0.23919599999999999</v>
      </c>
      <c r="C990" s="1">
        <v>0.24299999999999999</v>
      </c>
      <c r="D990" s="1">
        <f t="shared" si="60"/>
        <v>3.8040000000000018E-3</v>
      </c>
      <c r="E990">
        <f t="shared" si="61"/>
        <v>5</v>
      </c>
      <c r="F990">
        <f t="shared" si="62"/>
        <v>29</v>
      </c>
      <c r="G990">
        <f t="shared" si="63"/>
        <v>5.48</v>
      </c>
    </row>
    <row r="991" spans="1:7" hidden="1" x14ac:dyDescent="0.25">
      <c r="A991" s="4" t="s">
        <v>407</v>
      </c>
      <c r="B991" s="1">
        <v>0.80954700000000002</v>
      </c>
      <c r="C991" s="1">
        <v>0.81194299999999997</v>
      </c>
      <c r="D991" s="1">
        <f t="shared" si="60"/>
        <v>2.3959999999999537E-3</v>
      </c>
      <c r="E991">
        <f t="shared" si="61"/>
        <v>3</v>
      </c>
      <c r="F991">
        <f t="shared" si="62"/>
        <v>27</v>
      </c>
      <c r="G991">
        <f t="shared" si="63"/>
        <v>3.45</v>
      </c>
    </row>
    <row r="992" spans="1:7" hidden="1" x14ac:dyDescent="0.25">
      <c r="A992" s="4" t="s">
        <v>408</v>
      </c>
      <c r="B992" s="1">
        <v>9.325E-3</v>
      </c>
      <c r="C992" s="1">
        <v>7.417E-3</v>
      </c>
      <c r="D992" s="1">
        <f t="shared" si="60"/>
        <v>1.908E-3</v>
      </c>
      <c r="E992">
        <f t="shared" si="61"/>
        <v>2</v>
      </c>
      <c r="F992">
        <f t="shared" si="62"/>
        <v>45</v>
      </c>
      <c r="G992">
        <f t="shared" si="63"/>
        <v>2.75</v>
      </c>
    </row>
    <row r="993" spans="1:7" hidden="1" x14ac:dyDescent="0.25">
      <c r="A993" s="4" t="s">
        <v>409</v>
      </c>
      <c r="B993" s="1">
        <v>0.92164199999999996</v>
      </c>
      <c r="C993" s="1">
        <v>0.92475799999999997</v>
      </c>
      <c r="D993" s="1">
        <f t="shared" si="60"/>
        <v>3.1160000000000077E-3</v>
      </c>
      <c r="E993">
        <f t="shared" si="61"/>
        <v>4</v>
      </c>
      <c r="F993">
        <f t="shared" si="62"/>
        <v>29</v>
      </c>
      <c r="G993">
        <f t="shared" si="63"/>
        <v>4.4800000000000004</v>
      </c>
    </row>
    <row r="994" spans="1:7" hidden="1" x14ac:dyDescent="0.25">
      <c r="A994" s="4" t="s">
        <v>410</v>
      </c>
      <c r="B994" s="1">
        <v>0.94211</v>
      </c>
      <c r="C994" s="1">
        <v>0.94560599999999995</v>
      </c>
      <c r="D994" s="1">
        <f t="shared" si="60"/>
        <v>3.4959999999999436E-3</v>
      </c>
      <c r="E994">
        <f t="shared" si="61"/>
        <v>5</v>
      </c>
      <c r="F994">
        <f t="shared" si="62"/>
        <v>2</v>
      </c>
      <c r="G994">
        <f t="shared" si="63"/>
        <v>5.03</v>
      </c>
    </row>
    <row r="995" spans="1:7" hidden="1" x14ac:dyDescent="0.25">
      <c r="A995" s="4" t="s">
        <v>411</v>
      </c>
      <c r="B995" s="1">
        <v>0.51790700000000001</v>
      </c>
      <c r="C995" s="1">
        <v>0.51618299999999995</v>
      </c>
      <c r="D995" s="1">
        <f t="shared" si="60"/>
        <v>1.7240000000000588E-3</v>
      </c>
      <c r="E995">
        <f t="shared" si="61"/>
        <v>2</v>
      </c>
      <c r="F995">
        <f t="shared" si="62"/>
        <v>29</v>
      </c>
      <c r="G995">
        <f t="shared" si="63"/>
        <v>2.48</v>
      </c>
    </row>
    <row r="996" spans="1:7" hidden="1" x14ac:dyDescent="0.25">
      <c r="A996" s="4" t="s">
        <v>412</v>
      </c>
      <c r="B996" s="1">
        <v>0.16583700000000001</v>
      </c>
      <c r="C996" s="1">
        <v>0.16724900000000001</v>
      </c>
      <c r="D996" s="1">
        <f t="shared" si="60"/>
        <v>1.4119999999999966E-3</v>
      </c>
      <c r="E996">
        <f t="shared" si="61"/>
        <v>2</v>
      </c>
      <c r="F996">
        <f t="shared" si="62"/>
        <v>2</v>
      </c>
      <c r="G996">
        <f t="shared" si="63"/>
        <v>2.0299999999999998</v>
      </c>
    </row>
    <row r="997" spans="1:7" hidden="1" x14ac:dyDescent="0.25">
      <c r="A997" s="4" t="s">
        <v>427</v>
      </c>
      <c r="B997" s="1">
        <v>2.5694999999999999E-2</v>
      </c>
      <c r="C997" s="1">
        <v>2.3115E-2</v>
      </c>
      <c r="D997" s="1">
        <f t="shared" si="60"/>
        <v>2.579999999999999E-3</v>
      </c>
      <c r="E997">
        <f t="shared" si="61"/>
        <v>3</v>
      </c>
      <c r="F997">
        <f t="shared" si="62"/>
        <v>43</v>
      </c>
      <c r="G997">
        <f t="shared" si="63"/>
        <v>3.72</v>
      </c>
    </row>
    <row r="998" spans="1:7" hidden="1" x14ac:dyDescent="0.25">
      <c r="A998" s="4" t="s">
        <v>413</v>
      </c>
      <c r="B998" s="1">
        <v>0.91312199999999999</v>
      </c>
      <c r="C998" s="1">
        <v>0.91059800000000002</v>
      </c>
      <c r="D998" s="1">
        <f t="shared" si="60"/>
        <v>2.5239999999999707E-3</v>
      </c>
      <c r="E998">
        <f t="shared" si="61"/>
        <v>3</v>
      </c>
      <c r="F998">
        <f t="shared" si="62"/>
        <v>38</v>
      </c>
      <c r="G998">
        <f t="shared" si="63"/>
        <v>3.63</v>
      </c>
    </row>
    <row r="999" spans="1:7" hidden="1" x14ac:dyDescent="0.25">
      <c r="A999" s="4" t="s">
        <v>414</v>
      </c>
      <c r="B999" s="1">
        <v>0.58483099999999999</v>
      </c>
      <c r="C999" s="1">
        <v>0.58725899999999998</v>
      </c>
      <c r="D999" s="1">
        <f t="shared" si="60"/>
        <v>2.4279999999999857E-3</v>
      </c>
      <c r="E999">
        <f t="shared" si="61"/>
        <v>3</v>
      </c>
      <c r="F999">
        <f t="shared" si="62"/>
        <v>30</v>
      </c>
      <c r="G999">
        <f t="shared" si="63"/>
        <v>3.5</v>
      </c>
    </row>
    <row r="1000" spans="1:7" hidden="1" x14ac:dyDescent="0.25">
      <c r="A1000" s="4" t="s">
        <v>415</v>
      </c>
      <c r="B1000" s="1">
        <v>0.80934099999999998</v>
      </c>
      <c r="C1000" s="1">
        <v>0.81267299999999998</v>
      </c>
      <c r="D1000" s="1">
        <f t="shared" si="60"/>
        <v>3.3320000000000016E-3</v>
      </c>
      <c r="E1000">
        <f t="shared" si="61"/>
        <v>4</v>
      </c>
      <c r="F1000">
        <f t="shared" si="62"/>
        <v>48</v>
      </c>
      <c r="G1000">
        <f t="shared" si="63"/>
        <v>4.8</v>
      </c>
    </row>
    <row r="1001" spans="1:7" hidden="1" x14ac:dyDescent="0.25">
      <c r="A1001" s="4" t="s">
        <v>416</v>
      </c>
      <c r="B1001" s="1">
        <v>0.84869399999999995</v>
      </c>
      <c r="C1001" s="1">
        <v>0.85199800000000003</v>
      </c>
      <c r="D1001" s="1">
        <f t="shared" si="60"/>
        <v>3.3040000000000846E-3</v>
      </c>
      <c r="E1001">
        <f t="shared" si="61"/>
        <v>4</v>
      </c>
      <c r="F1001">
        <f t="shared" si="62"/>
        <v>45</v>
      </c>
      <c r="G1001">
        <f t="shared" si="63"/>
        <v>4.75</v>
      </c>
    </row>
  </sheetData>
  <autoFilter ref="A1:G1001">
    <filterColumn colId="0">
      <customFilters>
        <customFilter val="Z*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cols>
    <col min="1" max="1" width="19" bestFit="1" customWidth="1"/>
    <col min="2" max="3" width="8.140625" style="1" bestFit="1" customWidth="1"/>
    <col min="4" max="4" width="17.28515625" bestFit="1" customWidth="1"/>
    <col min="5" max="5" width="9.7109375" bestFit="1" customWidth="1"/>
  </cols>
  <sheetData>
    <row r="1" spans="1:6" x14ac:dyDescent="0.25">
      <c r="A1" s="4" t="s">
        <v>0</v>
      </c>
      <c r="B1" s="1" t="s">
        <v>1</v>
      </c>
      <c r="C1" s="1" t="s">
        <v>2</v>
      </c>
      <c r="D1" t="s">
        <v>422</v>
      </c>
      <c r="E1" s="2" t="s">
        <v>417</v>
      </c>
      <c r="F1" s="2" t="s">
        <v>418</v>
      </c>
    </row>
    <row r="2" spans="1:6" x14ac:dyDescent="0.25">
      <c r="A2" s="4" t="s">
        <v>3</v>
      </c>
      <c r="B2" s="1">
        <v>0.121036</v>
      </c>
      <c r="C2" s="1">
        <v>0.12492</v>
      </c>
      <c r="D2" t="str">
        <f>IF(B2&lt;C2,"A","B")</f>
        <v>A</v>
      </c>
      <c r="E2" s="2">
        <f>COUNTIF(D2:D1001,"A")</f>
        <v>501</v>
      </c>
      <c r="F2" s="2">
        <f>COUNTIF(D2:D1001,"B")</f>
        <v>499</v>
      </c>
    </row>
    <row r="3" spans="1:6" x14ac:dyDescent="0.25">
      <c r="A3" s="4" t="s">
        <v>4</v>
      </c>
      <c r="B3" s="1">
        <v>0.92153600000000002</v>
      </c>
      <c r="C3" s="1">
        <v>0.91932400000000003</v>
      </c>
      <c r="D3" t="str">
        <f t="shared" ref="D3:D66" si="0">IF(B3&lt;C3,"A","B")</f>
        <v>B</v>
      </c>
    </row>
    <row r="4" spans="1:6" x14ac:dyDescent="0.25">
      <c r="A4" s="4" t="s">
        <v>5</v>
      </c>
      <c r="B4" s="1">
        <v>0.43023099999999997</v>
      </c>
      <c r="C4" s="1">
        <v>0.43248700000000001</v>
      </c>
      <c r="D4" t="str">
        <f t="shared" si="0"/>
        <v>A</v>
      </c>
    </row>
    <row r="5" spans="1:6" x14ac:dyDescent="0.25">
      <c r="A5" s="4" t="s">
        <v>6</v>
      </c>
      <c r="B5" s="1">
        <v>0.33882099999999998</v>
      </c>
      <c r="C5" s="1">
        <v>0.342389</v>
      </c>
      <c r="D5" t="str">
        <f t="shared" si="0"/>
        <v>A</v>
      </c>
    </row>
    <row r="6" spans="1:6" x14ac:dyDescent="0.25">
      <c r="A6" s="4" t="s">
        <v>7</v>
      </c>
      <c r="B6" s="1">
        <v>0.16389799999999999</v>
      </c>
      <c r="C6" s="1">
        <v>0.16686999999999999</v>
      </c>
      <c r="D6" t="str">
        <f t="shared" si="0"/>
        <v>A</v>
      </c>
    </row>
    <row r="7" spans="1:6" x14ac:dyDescent="0.25">
      <c r="A7" s="4" t="s">
        <v>8</v>
      </c>
      <c r="B7" s="1">
        <v>0.25012200000000001</v>
      </c>
      <c r="C7" s="1">
        <v>0.24668599999999999</v>
      </c>
      <c r="D7" t="str">
        <f t="shared" si="0"/>
        <v>B</v>
      </c>
    </row>
    <row r="8" spans="1:6" x14ac:dyDescent="0.25">
      <c r="A8" s="4" t="s">
        <v>9</v>
      </c>
      <c r="B8" s="1">
        <v>0.20372499999999999</v>
      </c>
      <c r="C8" s="1">
        <v>0.20172899999999999</v>
      </c>
      <c r="D8" t="str">
        <f t="shared" si="0"/>
        <v>B</v>
      </c>
    </row>
    <row r="9" spans="1:6" x14ac:dyDescent="0.25">
      <c r="A9" s="4" t="s">
        <v>10</v>
      </c>
      <c r="B9" s="1">
        <v>0.53941499999999998</v>
      </c>
      <c r="C9" s="1">
        <v>0.53671100000000005</v>
      </c>
      <c r="D9" t="str">
        <f t="shared" si="0"/>
        <v>B</v>
      </c>
    </row>
    <row r="10" spans="1:6" x14ac:dyDescent="0.25">
      <c r="A10" s="4" t="s">
        <v>11</v>
      </c>
      <c r="B10" s="1">
        <v>0.93227400000000005</v>
      </c>
      <c r="C10" s="1">
        <v>0.93418999999999996</v>
      </c>
      <c r="D10" t="str">
        <f t="shared" si="0"/>
        <v>A</v>
      </c>
    </row>
    <row r="11" spans="1:6" x14ac:dyDescent="0.25">
      <c r="A11" s="4" t="s">
        <v>12</v>
      </c>
      <c r="B11" s="1">
        <v>0.65463899999999997</v>
      </c>
      <c r="C11" s="1">
        <v>0.65809899999999999</v>
      </c>
      <c r="D11" t="str">
        <f t="shared" si="0"/>
        <v>A</v>
      </c>
    </row>
    <row r="12" spans="1:6" x14ac:dyDescent="0.25">
      <c r="A12" s="4" t="s">
        <v>13</v>
      </c>
      <c r="B12" s="1">
        <v>0.23710300000000001</v>
      </c>
      <c r="C12" s="1">
        <v>0.23566300000000001</v>
      </c>
      <c r="D12" t="str">
        <f t="shared" si="0"/>
        <v>B</v>
      </c>
    </row>
    <row r="13" spans="1:6" x14ac:dyDescent="0.25">
      <c r="A13" s="4" t="s">
        <v>14</v>
      </c>
      <c r="B13" s="1">
        <v>0.24673800000000001</v>
      </c>
      <c r="C13" s="1">
        <v>0.24312600000000001</v>
      </c>
      <c r="D13" t="str">
        <f t="shared" si="0"/>
        <v>B</v>
      </c>
    </row>
    <row r="14" spans="1:6" x14ac:dyDescent="0.25">
      <c r="A14" s="4" t="s">
        <v>15</v>
      </c>
      <c r="B14" s="1">
        <v>0.66593500000000005</v>
      </c>
      <c r="C14" s="1">
        <v>0.66326300000000005</v>
      </c>
      <c r="D14" t="str">
        <f t="shared" si="0"/>
        <v>B</v>
      </c>
    </row>
    <row r="15" spans="1:6" x14ac:dyDescent="0.25">
      <c r="A15" s="4" t="s">
        <v>16</v>
      </c>
      <c r="B15" s="1">
        <v>0.22825400000000001</v>
      </c>
      <c r="C15" s="1">
        <v>0.22492999999999999</v>
      </c>
      <c r="D15" t="str">
        <f t="shared" si="0"/>
        <v>B</v>
      </c>
    </row>
    <row r="16" spans="1:6" x14ac:dyDescent="0.25">
      <c r="A16" s="4" t="s">
        <v>17</v>
      </c>
      <c r="B16" s="1">
        <v>0.136911</v>
      </c>
      <c r="C16" s="1">
        <v>0.134159</v>
      </c>
      <c r="D16" t="str">
        <f t="shared" si="0"/>
        <v>B</v>
      </c>
    </row>
    <row r="17" spans="1:4" x14ac:dyDescent="0.25">
      <c r="A17" s="4" t="s">
        <v>18</v>
      </c>
      <c r="B17" s="1">
        <v>5.8460999999999999E-2</v>
      </c>
      <c r="C17" s="1">
        <v>6.1785E-2</v>
      </c>
      <c r="D17" t="str">
        <f t="shared" si="0"/>
        <v>A</v>
      </c>
    </row>
    <row r="18" spans="1:4" x14ac:dyDescent="0.25">
      <c r="A18" s="4" t="s">
        <v>19</v>
      </c>
      <c r="B18" s="1">
        <v>0.324683</v>
      </c>
      <c r="C18" s="1">
        <v>0.32151099999999999</v>
      </c>
      <c r="D18" t="str">
        <f t="shared" si="0"/>
        <v>B</v>
      </c>
    </row>
    <row r="19" spans="1:4" x14ac:dyDescent="0.25">
      <c r="A19" s="4" t="s">
        <v>20</v>
      </c>
      <c r="B19" s="1">
        <v>0.127914</v>
      </c>
      <c r="C19" s="1">
        <v>0.12561800000000001</v>
      </c>
      <c r="D19" t="str">
        <f t="shared" si="0"/>
        <v>B</v>
      </c>
    </row>
    <row r="20" spans="1:4" x14ac:dyDescent="0.25">
      <c r="A20" s="4" t="s">
        <v>21</v>
      </c>
      <c r="B20" s="1">
        <v>0.58114299999999997</v>
      </c>
      <c r="C20" s="1">
        <v>0.58296700000000001</v>
      </c>
      <c r="D20" t="str">
        <f t="shared" si="0"/>
        <v>A</v>
      </c>
    </row>
    <row r="21" spans="1:4" x14ac:dyDescent="0.25">
      <c r="A21" s="4" t="s">
        <v>22</v>
      </c>
      <c r="B21" s="1">
        <v>7.6165999999999998E-2</v>
      </c>
      <c r="C21" s="1">
        <v>7.9481999999999997E-2</v>
      </c>
      <c r="D21" t="str">
        <f t="shared" si="0"/>
        <v>A</v>
      </c>
    </row>
    <row r="22" spans="1:4" x14ac:dyDescent="0.25">
      <c r="A22" s="4" t="s">
        <v>23</v>
      </c>
      <c r="B22" s="1">
        <v>0.41572100000000001</v>
      </c>
      <c r="C22" s="1">
        <v>0.414217</v>
      </c>
      <c r="D22" t="str">
        <f t="shared" si="0"/>
        <v>B</v>
      </c>
    </row>
    <row r="23" spans="1:4" x14ac:dyDescent="0.25">
      <c r="A23" s="4" t="s">
        <v>24</v>
      </c>
      <c r="B23" s="1">
        <v>0.72382100000000005</v>
      </c>
      <c r="C23" s="1">
        <v>0.72524900000000003</v>
      </c>
      <c r="D23" t="str">
        <f t="shared" si="0"/>
        <v>A</v>
      </c>
    </row>
    <row r="24" spans="1:4" x14ac:dyDescent="0.25">
      <c r="A24" s="4" t="s">
        <v>25</v>
      </c>
      <c r="B24" s="1">
        <v>0.54693899999999995</v>
      </c>
      <c r="C24" s="1">
        <v>0.550423</v>
      </c>
      <c r="D24" t="str">
        <f t="shared" si="0"/>
        <v>A</v>
      </c>
    </row>
    <row r="25" spans="1:4" x14ac:dyDescent="0.25">
      <c r="A25" s="4" t="s">
        <v>26</v>
      </c>
      <c r="B25" s="1">
        <v>0.32196599999999997</v>
      </c>
      <c r="C25" s="1">
        <v>0.32423800000000003</v>
      </c>
      <c r="D25" t="str">
        <f t="shared" si="0"/>
        <v>A</v>
      </c>
    </row>
    <row r="26" spans="1:4" x14ac:dyDescent="0.25">
      <c r="A26" s="4" t="s">
        <v>27</v>
      </c>
      <c r="B26" s="1">
        <v>0.94908300000000001</v>
      </c>
      <c r="C26" s="1">
        <v>0.94690700000000005</v>
      </c>
      <c r="D26" t="str">
        <f t="shared" si="0"/>
        <v>B</v>
      </c>
    </row>
    <row r="27" spans="1:4" x14ac:dyDescent="0.25">
      <c r="A27" s="4" t="s">
        <v>28</v>
      </c>
      <c r="B27" s="1">
        <v>0.38782699999999998</v>
      </c>
      <c r="C27" s="1">
        <v>0.38494699999999998</v>
      </c>
      <c r="D27" t="str">
        <f t="shared" si="0"/>
        <v>B</v>
      </c>
    </row>
    <row r="28" spans="1:4" x14ac:dyDescent="0.25">
      <c r="A28" s="4" t="s">
        <v>29</v>
      </c>
      <c r="B28" s="1">
        <v>5.8074000000000001E-2</v>
      </c>
      <c r="C28" s="1">
        <v>5.5070000000000001E-2</v>
      </c>
      <c r="D28" t="str">
        <f t="shared" si="0"/>
        <v>B</v>
      </c>
    </row>
    <row r="29" spans="1:4" x14ac:dyDescent="0.25">
      <c r="A29" s="4" t="s">
        <v>30</v>
      </c>
      <c r="B29" s="1">
        <v>7.5792999999999999E-2</v>
      </c>
      <c r="C29" s="1">
        <v>7.8176999999999996E-2</v>
      </c>
      <c r="D29" t="str">
        <f t="shared" si="0"/>
        <v>A</v>
      </c>
    </row>
    <row r="30" spans="1:4" x14ac:dyDescent="0.25">
      <c r="A30" s="4" t="s">
        <v>31</v>
      </c>
      <c r="B30" s="1">
        <v>0.20865400000000001</v>
      </c>
      <c r="C30" s="1">
        <v>0.21079800000000001</v>
      </c>
      <c r="D30" t="str">
        <f t="shared" si="0"/>
        <v>A</v>
      </c>
    </row>
    <row r="31" spans="1:4" x14ac:dyDescent="0.25">
      <c r="A31" s="4" t="s">
        <v>32</v>
      </c>
      <c r="B31" s="1">
        <v>0.959372</v>
      </c>
      <c r="C31" s="1">
        <v>0.956704</v>
      </c>
      <c r="D31" t="str">
        <f t="shared" si="0"/>
        <v>B</v>
      </c>
    </row>
    <row r="32" spans="1:4" x14ac:dyDescent="0.25">
      <c r="A32" s="4" t="s">
        <v>33</v>
      </c>
      <c r="B32" s="1">
        <v>0.92453600000000002</v>
      </c>
      <c r="C32" s="1">
        <v>0.92642400000000003</v>
      </c>
      <c r="D32" t="str">
        <f t="shared" si="0"/>
        <v>A</v>
      </c>
    </row>
    <row r="33" spans="1:4" x14ac:dyDescent="0.25">
      <c r="A33" s="4" t="s">
        <v>34</v>
      </c>
      <c r="B33" s="1">
        <v>0.23633899999999999</v>
      </c>
      <c r="C33" s="1">
        <v>0.23261499999999999</v>
      </c>
      <c r="D33" t="str">
        <f t="shared" si="0"/>
        <v>B</v>
      </c>
    </row>
    <row r="34" spans="1:4" x14ac:dyDescent="0.25">
      <c r="A34" s="4" t="s">
        <v>428</v>
      </c>
      <c r="B34" s="1">
        <v>0.66373000000000004</v>
      </c>
      <c r="C34" s="1">
        <v>0.66111399999999998</v>
      </c>
      <c r="D34" t="str">
        <f t="shared" si="0"/>
        <v>B</v>
      </c>
    </row>
    <row r="35" spans="1:4" x14ac:dyDescent="0.25">
      <c r="A35" s="4" t="s">
        <v>35</v>
      </c>
      <c r="B35" s="1">
        <v>0.220334</v>
      </c>
      <c r="C35" s="1">
        <v>0.22331400000000001</v>
      </c>
      <c r="D35" t="str">
        <f t="shared" si="0"/>
        <v>A</v>
      </c>
    </row>
    <row r="36" spans="1:4" x14ac:dyDescent="0.25">
      <c r="A36" s="4" t="s">
        <v>36</v>
      </c>
      <c r="B36" s="1">
        <v>0.43002600000000002</v>
      </c>
      <c r="C36" s="1">
        <v>0.42713400000000001</v>
      </c>
      <c r="D36" t="str">
        <f t="shared" si="0"/>
        <v>B</v>
      </c>
    </row>
    <row r="37" spans="1:4" x14ac:dyDescent="0.25">
      <c r="A37" s="4" t="s">
        <v>37</v>
      </c>
      <c r="B37" s="1">
        <v>0.62783900000000004</v>
      </c>
      <c r="C37" s="1">
        <v>0.62973500000000004</v>
      </c>
      <c r="D37" t="str">
        <f t="shared" si="0"/>
        <v>A</v>
      </c>
    </row>
    <row r="38" spans="1:4" x14ac:dyDescent="0.25">
      <c r="A38" s="4" t="s">
        <v>38</v>
      </c>
      <c r="B38" s="1">
        <v>0.72344799999999998</v>
      </c>
      <c r="C38" s="1">
        <v>0.72086399999999995</v>
      </c>
      <c r="D38" t="str">
        <f t="shared" si="0"/>
        <v>B</v>
      </c>
    </row>
    <row r="39" spans="1:4" x14ac:dyDescent="0.25">
      <c r="A39" s="4" t="s">
        <v>39</v>
      </c>
      <c r="B39" s="1">
        <v>8.9300000000000004E-2</v>
      </c>
      <c r="C39" s="1">
        <v>9.3151999999999999E-2</v>
      </c>
      <c r="D39" t="str">
        <f t="shared" si="0"/>
        <v>A</v>
      </c>
    </row>
    <row r="40" spans="1:4" x14ac:dyDescent="0.25">
      <c r="A40" s="4" t="s">
        <v>40</v>
      </c>
      <c r="B40" s="1">
        <v>0.89808900000000003</v>
      </c>
      <c r="C40" s="1">
        <v>0.900501</v>
      </c>
      <c r="D40" t="str">
        <f t="shared" si="0"/>
        <v>A</v>
      </c>
    </row>
    <row r="41" spans="1:4" x14ac:dyDescent="0.25">
      <c r="A41" s="4" t="s">
        <v>41</v>
      </c>
      <c r="B41" s="1">
        <v>0.54968600000000001</v>
      </c>
      <c r="C41" s="1">
        <v>0.55359800000000003</v>
      </c>
      <c r="D41" t="str">
        <f t="shared" si="0"/>
        <v>A</v>
      </c>
    </row>
    <row r="42" spans="1:4" x14ac:dyDescent="0.25">
      <c r="A42" s="4" t="s">
        <v>42</v>
      </c>
      <c r="B42" s="1">
        <v>2.5205000000000002E-2</v>
      </c>
      <c r="C42" s="1">
        <v>2.8740999999999999E-2</v>
      </c>
      <c r="D42" t="str">
        <f t="shared" si="0"/>
        <v>A</v>
      </c>
    </row>
    <row r="43" spans="1:4" x14ac:dyDescent="0.25">
      <c r="A43" s="4" t="s">
        <v>43</v>
      </c>
      <c r="B43" s="1">
        <v>0.74113899999999999</v>
      </c>
      <c r="C43" s="1">
        <v>0.74283100000000002</v>
      </c>
      <c r="D43" t="str">
        <f t="shared" si="0"/>
        <v>A</v>
      </c>
    </row>
    <row r="44" spans="1:4" x14ac:dyDescent="0.25">
      <c r="A44" s="4" t="s">
        <v>44</v>
      </c>
      <c r="B44" s="1">
        <v>0.45712199999999997</v>
      </c>
      <c r="C44" s="1">
        <v>0.45935799999999999</v>
      </c>
      <c r="D44" t="str">
        <f t="shared" si="0"/>
        <v>A</v>
      </c>
    </row>
    <row r="45" spans="1:4" x14ac:dyDescent="0.25">
      <c r="A45" s="4" t="s">
        <v>45</v>
      </c>
      <c r="B45" s="1">
        <v>0.26977200000000001</v>
      </c>
      <c r="C45" s="1">
        <v>0.2661</v>
      </c>
      <c r="D45" t="str">
        <f t="shared" si="0"/>
        <v>B</v>
      </c>
    </row>
    <row r="46" spans="1:4" x14ac:dyDescent="0.25">
      <c r="A46" s="4" t="s">
        <v>46</v>
      </c>
      <c r="B46" s="1">
        <v>0.193527</v>
      </c>
      <c r="C46" s="1">
        <v>0.18987100000000001</v>
      </c>
      <c r="D46" t="str">
        <f t="shared" si="0"/>
        <v>B</v>
      </c>
    </row>
    <row r="47" spans="1:4" x14ac:dyDescent="0.25">
      <c r="A47" s="4" t="s">
        <v>47</v>
      </c>
      <c r="B47" s="1">
        <v>0.73745799999999995</v>
      </c>
      <c r="C47" s="1">
        <v>0.73368199999999995</v>
      </c>
      <c r="D47" t="str">
        <f t="shared" si="0"/>
        <v>B</v>
      </c>
    </row>
    <row r="48" spans="1:4" x14ac:dyDescent="0.25">
      <c r="A48" s="4" t="s">
        <v>48</v>
      </c>
      <c r="B48" s="1">
        <v>0.29613200000000001</v>
      </c>
      <c r="C48" s="1">
        <v>0.29450799999999999</v>
      </c>
      <c r="D48" t="str">
        <f t="shared" si="0"/>
        <v>B</v>
      </c>
    </row>
    <row r="49" spans="1:4" x14ac:dyDescent="0.25">
      <c r="A49" s="4" t="s">
        <v>49</v>
      </c>
      <c r="B49" s="1">
        <v>0.55866400000000005</v>
      </c>
      <c r="C49" s="1">
        <v>0.55554400000000004</v>
      </c>
      <c r="D49" t="str">
        <f t="shared" si="0"/>
        <v>B</v>
      </c>
    </row>
    <row r="50" spans="1:4" x14ac:dyDescent="0.25">
      <c r="A50" s="4" t="s">
        <v>50</v>
      </c>
      <c r="B50" s="1">
        <v>0.46306999999999998</v>
      </c>
      <c r="C50" s="1">
        <v>0.466978</v>
      </c>
      <c r="D50" t="str">
        <f t="shared" si="0"/>
        <v>A</v>
      </c>
    </row>
    <row r="51" spans="1:4" x14ac:dyDescent="0.25">
      <c r="A51" s="4" t="s">
        <v>51</v>
      </c>
      <c r="B51" s="1">
        <v>0.20654</v>
      </c>
      <c r="C51" s="1">
        <v>0.20846000000000001</v>
      </c>
      <c r="D51" t="str">
        <f t="shared" si="0"/>
        <v>A</v>
      </c>
    </row>
    <row r="52" spans="1:4" x14ac:dyDescent="0.25">
      <c r="A52" s="4" t="s">
        <v>52</v>
      </c>
      <c r="B52" s="1">
        <v>0.86371399999999998</v>
      </c>
      <c r="C52" s="1">
        <v>0.86516999999999999</v>
      </c>
      <c r="D52" t="str">
        <f t="shared" si="0"/>
        <v>A</v>
      </c>
    </row>
    <row r="53" spans="1:4" x14ac:dyDescent="0.25">
      <c r="A53" s="4" t="s">
        <v>53</v>
      </c>
      <c r="B53" s="1">
        <v>0.83620700000000003</v>
      </c>
      <c r="C53" s="1">
        <v>0.83887500000000004</v>
      </c>
      <c r="D53" t="str">
        <f t="shared" si="0"/>
        <v>A</v>
      </c>
    </row>
    <row r="54" spans="1:4" x14ac:dyDescent="0.25">
      <c r="A54" s="4" t="s">
        <v>54</v>
      </c>
      <c r="B54" s="1">
        <v>0.83164899999999997</v>
      </c>
      <c r="C54" s="1">
        <v>0.82985699999999996</v>
      </c>
      <c r="D54" t="str">
        <f t="shared" si="0"/>
        <v>B</v>
      </c>
    </row>
    <row r="55" spans="1:4" x14ac:dyDescent="0.25">
      <c r="A55" s="4" t="s">
        <v>55</v>
      </c>
      <c r="B55" s="1">
        <v>0.62158000000000002</v>
      </c>
      <c r="C55" s="1">
        <v>0.61829199999999995</v>
      </c>
      <c r="D55" t="str">
        <f t="shared" si="0"/>
        <v>B</v>
      </c>
    </row>
    <row r="56" spans="1:4" x14ac:dyDescent="0.25">
      <c r="A56" s="4" t="s">
        <v>56</v>
      </c>
      <c r="B56" s="1">
        <v>0.34653200000000001</v>
      </c>
      <c r="C56" s="1">
        <v>0.34881600000000001</v>
      </c>
      <c r="D56" t="str">
        <f t="shared" si="0"/>
        <v>A</v>
      </c>
    </row>
    <row r="57" spans="1:4" x14ac:dyDescent="0.25">
      <c r="A57" s="4" t="s">
        <v>57</v>
      </c>
      <c r="B57" s="1">
        <v>0.95849399999999996</v>
      </c>
      <c r="C57" s="1">
        <v>0.96079800000000004</v>
      </c>
      <c r="D57" t="str">
        <f t="shared" si="0"/>
        <v>A</v>
      </c>
    </row>
    <row r="58" spans="1:4" x14ac:dyDescent="0.25">
      <c r="A58" s="4" t="s">
        <v>58</v>
      </c>
      <c r="B58" s="1">
        <v>0.88663099999999995</v>
      </c>
      <c r="C58" s="1">
        <v>0.888683</v>
      </c>
      <c r="D58" t="str">
        <f t="shared" si="0"/>
        <v>A</v>
      </c>
    </row>
    <row r="59" spans="1:4" x14ac:dyDescent="0.25">
      <c r="A59" s="4" t="s">
        <v>59</v>
      </c>
      <c r="B59" s="1">
        <v>0.54649099999999995</v>
      </c>
      <c r="C59" s="1">
        <v>0.54815899999999995</v>
      </c>
      <c r="D59" t="str">
        <f t="shared" si="0"/>
        <v>A</v>
      </c>
    </row>
    <row r="60" spans="1:4" x14ac:dyDescent="0.25">
      <c r="A60" s="4" t="s">
        <v>60</v>
      </c>
      <c r="B60" s="1">
        <v>0.715557</v>
      </c>
      <c r="C60" s="1">
        <v>0.71916100000000005</v>
      </c>
      <c r="D60" t="str">
        <f t="shared" si="0"/>
        <v>A</v>
      </c>
    </row>
    <row r="61" spans="1:4" x14ac:dyDescent="0.25">
      <c r="A61" s="4" t="s">
        <v>61</v>
      </c>
      <c r="B61" s="1">
        <v>0.95039600000000002</v>
      </c>
      <c r="C61" s="1">
        <v>0.95372400000000002</v>
      </c>
      <c r="D61" t="str">
        <f t="shared" si="0"/>
        <v>A</v>
      </c>
    </row>
    <row r="62" spans="1:4" x14ac:dyDescent="0.25">
      <c r="A62" s="4" t="s">
        <v>62</v>
      </c>
      <c r="B62" s="1">
        <v>0.703264</v>
      </c>
      <c r="C62" s="1">
        <v>0.70138800000000001</v>
      </c>
      <c r="D62" t="str">
        <f t="shared" si="0"/>
        <v>B</v>
      </c>
    </row>
    <row r="63" spans="1:4" x14ac:dyDescent="0.25">
      <c r="A63" s="4" t="s">
        <v>63</v>
      </c>
      <c r="B63" s="1">
        <v>0.122056</v>
      </c>
      <c r="C63" s="1">
        <v>0.12371600000000001</v>
      </c>
      <c r="D63" t="str">
        <f t="shared" si="0"/>
        <v>A</v>
      </c>
    </row>
    <row r="64" spans="1:4" x14ac:dyDescent="0.25">
      <c r="A64" s="4" t="s">
        <v>64</v>
      </c>
      <c r="B64" s="1">
        <v>0.21684999999999999</v>
      </c>
      <c r="C64" s="1">
        <v>0.21870999999999999</v>
      </c>
      <c r="D64" t="str">
        <f t="shared" si="0"/>
        <v>A</v>
      </c>
    </row>
    <row r="65" spans="1:4" x14ac:dyDescent="0.25">
      <c r="A65" s="4" t="s">
        <v>65</v>
      </c>
      <c r="B65" s="1">
        <v>0.79385700000000003</v>
      </c>
      <c r="C65" s="1">
        <v>0.79043699999999995</v>
      </c>
      <c r="D65" t="str">
        <f t="shared" si="0"/>
        <v>B</v>
      </c>
    </row>
    <row r="66" spans="1:4" x14ac:dyDescent="0.25">
      <c r="A66" s="4" t="s">
        <v>66</v>
      </c>
      <c r="B66" s="1">
        <v>6.5331E-2</v>
      </c>
      <c r="C66" s="1">
        <v>6.2547000000000005E-2</v>
      </c>
      <c r="D66" t="str">
        <f t="shared" si="0"/>
        <v>B</v>
      </c>
    </row>
    <row r="67" spans="1:4" x14ac:dyDescent="0.25">
      <c r="A67" s="4" t="s">
        <v>67</v>
      </c>
      <c r="B67" s="1">
        <v>0.58044700000000005</v>
      </c>
      <c r="C67" s="1">
        <v>0.58282699999999998</v>
      </c>
      <c r="D67" t="str">
        <f t="shared" ref="D67:D130" si="1">IF(B67&lt;C67,"A","B")</f>
        <v>A</v>
      </c>
    </row>
    <row r="68" spans="1:4" x14ac:dyDescent="0.25">
      <c r="A68" s="4" t="s">
        <v>68</v>
      </c>
      <c r="B68" s="1">
        <v>1.8766999999999999E-2</v>
      </c>
      <c r="C68" s="1">
        <v>2.1031000000000001E-2</v>
      </c>
      <c r="D68" t="str">
        <f t="shared" si="1"/>
        <v>A</v>
      </c>
    </row>
    <row r="69" spans="1:4" x14ac:dyDescent="0.25">
      <c r="A69" s="4" t="s">
        <v>69</v>
      </c>
      <c r="B69" s="1">
        <v>0.51825500000000002</v>
      </c>
      <c r="C69" s="1">
        <v>0.51454299999999997</v>
      </c>
      <c r="D69" t="str">
        <f t="shared" si="1"/>
        <v>B</v>
      </c>
    </row>
    <row r="70" spans="1:4" x14ac:dyDescent="0.25">
      <c r="A70" s="4" t="s">
        <v>70</v>
      </c>
      <c r="B70" s="1">
        <v>0.83702100000000002</v>
      </c>
      <c r="C70" s="1">
        <v>0.83974899999999997</v>
      </c>
      <c r="D70" t="str">
        <f t="shared" si="1"/>
        <v>A</v>
      </c>
    </row>
    <row r="71" spans="1:4" x14ac:dyDescent="0.25">
      <c r="A71" s="4" t="s">
        <v>71</v>
      </c>
      <c r="B71" s="1">
        <v>0.53334199999999998</v>
      </c>
      <c r="C71" s="1">
        <v>0.52953799999999995</v>
      </c>
      <c r="D71" t="str">
        <f t="shared" si="1"/>
        <v>B</v>
      </c>
    </row>
    <row r="72" spans="1:4" x14ac:dyDescent="0.25">
      <c r="A72" s="4" t="s">
        <v>72</v>
      </c>
      <c r="B72" s="1">
        <v>0.73590199999999995</v>
      </c>
      <c r="C72" s="1">
        <v>0.738062</v>
      </c>
      <c r="D72" t="str">
        <f t="shared" si="1"/>
        <v>A</v>
      </c>
    </row>
    <row r="73" spans="1:4" x14ac:dyDescent="0.25">
      <c r="A73" s="4" t="s">
        <v>73</v>
      </c>
      <c r="B73" s="1">
        <v>0.39306200000000002</v>
      </c>
      <c r="C73" s="1">
        <v>0.39612599999999998</v>
      </c>
      <c r="D73" t="str">
        <f t="shared" si="1"/>
        <v>A</v>
      </c>
    </row>
    <row r="74" spans="1:4" x14ac:dyDescent="0.25">
      <c r="A74" s="4" t="s">
        <v>74</v>
      </c>
      <c r="B74" s="1">
        <v>0.57475200000000004</v>
      </c>
      <c r="C74" s="1">
        <v>0.57793600000000001</v>
      </c>
      <c r="D74" t="str">
        <f t="shared" si="1"/>
        <v>A</v>
      </c>
    </row>
    <row r="75" spans="1:4" x14ac:dyDescent="0.25">
      <c r="A75" s="4" t="s">
        <v>75</v>
      </c>
      <c r="B75" s="1">
        <v>0.85006000000000004</v>
      </c>
      <c r="C75" s="1">
        <v>0.85299599999999998</v>
      </c>
      <c r="D75" t="str">
        <f t="shared" si="1"/>
        <v>A</v>
      </c>
    </row>
    <row r="76" spans="1:4" x14ac:dyDescent="0.25">
      <c r="A76" s="4" t="s">
        <v>76</v>
      </c>
      <c r="B76" s="1">
        <v>0.51857500000000001</v>
      </c>
      <c r="C76" s="1">
        <v>0.51999099999999998</v>
      </c>
      <c r="D76" t="str">
        <f t="shared" si="1"/>
        <v>A</v>
      </c>
    </row>
    <row r="77" spans="1:4" x14ac:dyDescent="0.25">
      <c r="A77" s="4" t="s">
        <v>77</v>
      </c>
      <c r="B77" s="1">
        <v>0.86746599999999996</v>
      </c>
      <c r="C77" s="1">
        <v>0.86568199999999995</v>
      </c>
      <c r="D77" t="str">
        <f t="shared" si="1"/>
        <v>B</v>
      </c>
    </row>
    <row r="78" spans="1:4" x14ac:dyDescent="0.25">
      <c r="A78" s="4" t="s">
        <v>78</v>
      </c>
      <c r="B78" s="1">
        <v>0.39455000000000001</v>
      </c>
      <c r="C78" s="1">
        <v>0.39648600000000001</v>
      </c>
      <c r="D78" t="str">
        <f t="shared" si="1"/>
        <v>A</v>
      </c>
    </row>
    <row r="79" spans="1:4" x14ac:dyDescent="0.25">
      <c r="A79" s="4" t="s">
        <v>79</v>
      </c>
      <c r="B79" s="1">
        <v>0.26555499999999999</v>
      </c>
      <c r="C79" s="1">
        <v>0.26725100000000002</v>
      </c>
      <c r="D79" t="str">
        <f t="shared" si="1"/>
        <v>A</v>
      </c>
    </row>
    <row r="80" spans="1:4" x14ac:dyDescent="0.25">
      <c r="A80" s="4" t="s">
        <v>80</v>
      </c>
      <c r="B80" s="1">
        <v>0.73143899999999995</v>
      </c>
      <c r="C80" s="1">
        <v>0.73288699999999996</v>
      </c>
      <c r="D80" t="str">
        <f t="shared" si="1"/>
        <v>A</v>
      </c>
    </row>
    <row r="81" spans="1:4" x14ac:dyDescent="0.25">
      <c r="A81" s="4" t="s">
        <v>81</v>
      </c>
      <c r="B81" s="1">
        <v>0.60814999999999997</v>
      </c>
      <c r="C81" s="1">
        <v>0.61146599999999995</v>
      </c>
      <c r="D81" t="str">
        <f t="shared" si="1"/>
        <v>A</v>
      </c>
    </row>
    <row r="82" spans="1:4" x14ac:dyDescent="0.25">
      <c r="A82" s="4" t="s">
        <v>82</v>
      </c>
      <c r="B82" s="1">
        <v>0.78575300000000003</v>
      </c>
      <c r="C82" s="1">
        <v>0.789157</v>
      </c>
      <c r="D82" t="str">
        <f t="shared" si="1"/>
        <v>A</v>
      </c>
    </row>
    <row r="83" spans="1:4" x14ac:dyDescent="0.25">
      <c r="A83" s="4" t="s">
        <v>83</v>
      </c>
      <c r="B83" s="1">
        <v>0.80414699999999995</v>
      </c>
      <c r="C83" s="1">
        <v>0.80682699999999996</v>
      </c>
      <c r="D83" t="str">
        <f t="shared" si="1"/>
        <v>A</v>
      </c>
    </row>
    <row r="84" spans="1:4" x14ac:dyDescent="0.25">
      <c r="A84" s="4" t="s">
        <v>84</v>
      </c>
      <c r="B84" s="1">
        <v>0.23138</v>
      </c>
      <c r="C84" s="1">
        <v>0.23502799999999999</v>
      </c>
      <c r="D84" t="str">
        <f t="shared" si="1"/>
        <v>A</v>
      </c>
    </row>
    <row r="85" spans="1:4" x14ac:dyDescent="0.25">
      <c r="A85" s="4" t="s">
        <v>85</v>
      </c>
      <c r="B85" s="1">
        <v>0.49402400000000002</v>
      </c>
      <c r="C85" s="1">
        <v>0.49656800000000001</v>
      </c>
      <c r="D85" t="str">
        <f t="shared" si="1"/>
        <v>A</v>
      </c>
    </row>
    <row r="86" spans="1:4" x14ac:dyDescent="0.25">
      <c r="A86" s="4" t="s">
        <v>86</v>
      </c>
      <c r="B86" s="1">
        <v>0.386492</v>
      </c>
      <c r="C86" s="1">
        <v>0.38474799999999998</v>
      </c>
      <c r="D86" t="str">
        <f t="shared" si="1"/>
        <v>B</v>
      </c>
    </row>
    <row r="87" spans="1:4" x14ac:dyDescent="0.25">
      <c r="A87" s="4" t="s">
        <v>87</v>
      </c>
      <c r="B87" s="1">
        <v>0.14188400000000001</v>
      </c>
      <c r="C87" s="1">
        <v>0.14574799999999999</v>
      </c>
      <c r="D87" t="str">
        <f t="shared" si="1"/>
        <v>A</v>
      </c>
    </row>
    <row r="88" spans="1:4" x14ac:dyDescent="0.25">
      <c r="A88" s="4" t="s">
        <v>88</v>
      </c>
      <c r="B88" s="1">
        <v>0.54971199999999998</v>
      </c>
      <c r="C88" s="1">
        <v>0.54660399999999998</v>
      </c>
      <c r="D88" t="str">
        <f t="shared" si="1"/>
        <v>B</v>
      </c>
    </row>
    <row r="89" spans="1:4" x14ac:dyDescent="0.25">
      <c r="A89" s="4" t="s">
        <v>89</v>
      </c>
      <c r="B89" s="1">
        <v>0.90169999999999995</v>
      </c>
      <c r="C89" s="1">
        <v>0.90521200000000002</v>
      </c>
      <c r="D89" t="str">
        <f t="shared" si="1"/>
        <v>A</v>
      </c>
    </row>
    <row r="90" spans="1:4" x14ac:dyDescent="0.25">
      <c r="A90" s="4" t="s">
        <v>90</v>
      </c>
      <c r="B90" s="1">
        <v>2.0478E-2</v>
      </c>
      <c r="C90" s="1">
        <v>1.7805999999999999E-2</v>
      </c>
      <c r="D90" t="str">
        <f t="shared" si="1"/>
        <v>B</v>
      </c>
    </row>
    <row r="91" spans="1:4" x14ac:dyDescent="0.25">
      <c r="A91" s="4" t="s">
        <v>91</v>
      </c>
      <c r="B91" s="1">
        <v>0.52953499999999998</v>
      </c>
      <c r="C91" s="1">
        <v>0.52674299999999996</v>
      </c>
      <c r="D91" t="str">
        <f t="shared" si="1"/>
        <v>B</v>
      </c>
    </row>
    <row r="92" spans="1:4" x14ac:dyDescent="0.25">
      <c r="A92" s="4" t="s">
        <v>92</v>
      </c>
      <c r="B92" s="1">
        <v>0.53350699999999995</v>
      </c>
      <c r="C92" s="1">
        <v>0.53640699999999997</v>
      </c>
      <c r="D92" t="str">
        <f t="shared" si="1"/>
        <v>A</v>
      </c>
    </row>
    <row r="93" spans="1:4" x14ac:dyDescent="0.25">
      <c r="A93" s="4" t="s">
        <v>93</v>
      </c>
      <c r="B93" s="1">
        <v>0.24371599999999999</v>
      </c>
      <c r="C93" s="1">
        <v>0.24526400000000001</v>
      </c>
      <c r="D93" t="str">
        <f t="shared" si="1"/>
        <v>A</v>
      </c>
    </row>
    <row r="94" spans="1:4" x14ac:dyDescent="0.25">
      <c r="A94" s="4" t="s">
        <v>94</v>
      </c>
      <c r="B94" s="1">
        <v>0.94168399999999997</v>
      </c>
      <c r="C94" s="1">
        <v>0.94411999999999996</v>
      </c>
      <c r="D94" t="str">
        <f t="shared" si="1"/>
        <v>A</v>
      </c>
    </row>
    <row r="95" spans="1:4" x14ac:dyDescent="0.25">
      <c r="A95" s="4" t="s">
        <v>95</v>
      </c>
      <c r="B95" s="1">
        <v>2.5318E-2</v>
      </c>
      <c r="C95" s="1">
        <v>2.8625999999999999E-2</v>
      </c>
      <c r="D95" t="str">
        <f t="shared" si="1"/>
        <v>A</v>
      </c>
    </row>
    <row r="96" spans="1:4" x14ac:dyDescent="0.25">
      <c r="A96" s="4" t="s">
        <v>96</v>
      </c>
      <c r="B96" s="1">
        <v>0.116232</v>
      </c>
      <c r="C96" s="1">
        <v>0.11791600000000001</v>
      </c>
      <c r="D96" t="str">
        <f t="shared" si="1"/>
        <v>A</v>
      </c>
    </row>
    <row r="97" spans="1:4" x14ac:dyDescent="0.25">
      <c r="A97" s="4" t="s">
        <v>97</v>
      </c>
      <c r="B97" s="1">
        <v>0.51822299999999999</v>
      </c>
      <c r="C97" s="1">
        <v>0.52104300000000003</v>
      </c>
      <c r="D97" t="str">
        <f t="shared" si="1"/>
        <v>A</v>
      </c>
    </row>
    <row r="98" spans="1:4" x14ac:dyDescent="0.25">
      <c r="A98" s="4" t="s">
        <v>98</v>
      </c>
      <c r="B98" s="1">
        <v>0.56562500000000004</v>
      </c>
      <c r="C98" s="1">
        <v>0.56870900000000002</v>
      </c>
      <c r="D98" t="str">
        <f t="shared" si="1"/>
        <v>A</v>
      </c>
    </row>
    <row r="99" spans="1:4" x14ac:dyDescent="0.25">
      <c r="A99" s="4" t="s">
        <v>99</v>
      </c>
      <c r="B99" s="1">
        <v>0.44529800000000003</v>
      </c>
      <c r="C99" s="1">
        <v>0.44776199999999999</v>
      </c>
      <c r="D99" t="str">
        <f t="shared" si="1"/>
        <v>A</v>
      </c>
    </row>
    <row r="100" spans="1:4" x14ac:dyDescent="0.25">
      <c r="A100" s="4" t="s">
        <v>100</v>
      </c>
      <c r="B100" s="1">
        <v>0.76018399999999997</v>
      </c>
      <c r="C100" s="1">
        <v>0.75855600000000001</v>
      </c>
      <c r="D100" t="str">
        <f t="shared" si="1"/>
        <v>B</v>
      </c>
    </row>
    <row r="101" spans="1:4" x14ac:dyDescent="0.25">
      <c r="A101" s="4" t="s">
        <v>101</v>
      </c>
      <c r="B101" s="1">
        <v>0.84344600000000003</v>
      </c>
      <c r="C101" s="1">
        <v>0.84693399999999996</v>
      </c>
      <c r="D101" t="str">
        <f t="shared" si="1"/>
        <v>A</v>
      </c>
    </row>
    <row r="102" spans="1:4" x14ac:dyDescent="0.25">
      <c r="A102" s="4" t="s">
        <v>102</v>
      </c>
      <c r="B102" s="1">
        <v>0.31938899999999998</v>
      </c>
      <c r="C102" s="1">
        <v>0.31539299999999998</v>
      </c>
      <c r="D102" t="str">
        <f t="shared" si="1"/>
        <v>B</v>
      </c>
    </row>
    <row r="103" spans="1:4" x14ac:dyDescent="0.25">
      <c r="A103" s="4" t="s">
        <v>103</v>
      </c>
      <c r="B103" s="1">
        <v>0.95169999999999999</v>
      </c>
      <c r="C103" s="1">
        <v>0.95000399999999996</v>
      </c>
      <c r="D103" t="str">
        <f t="shared" si="1"/>
        <v>B</v>
      </c>
    </row>
    <row r="104" spans="1:4" x14ac:dyDescent="0.25">
      <c r="A104" s="4" t="s">
        <v>104</v>
      </c>
      <c r="B104" s="1">
        <v>0.59223499999999996</v>
      </c>
      <c r="C104" s="1">
        <v>0.59553500000000004</v>
      </c>
      <c r="D104" t="str">
        <f t="shared" si="1"/>
        <v>A</v>
      </c>
    </row>
    <row r="105" spans="1:4" x14ac:dyDescent="0.25">
      <c r="A105" s="4" t="s">
        <v>105</v>
      </c>
      <c r="B105" s="1">
        <v>0.30809599999999998</v>
      </c>
      <c r="C105" s="1">
        <v>0.30620399999999998</v>
      </c>
      <c r="D105" t="str">
        <f t="shared" si="1"/>
        <v>B</v>
      </c>
    </row>
    <row r="106" spans="1:4" x14ac:dyDescent="0.25">
      <c r="A106" s="4" t="s">
        <v>106</v>
      </c>
      <c r="B106" s="1">
        <v>9.7731999999999999E-2</v>
      </c>
      <c r="C106" s="1">
        <v>9.4488000000000003E-2</v>
      </c>
      <c r="D106" t="str">
        <f t="shared" si="1"/>
        <v>B</v>
      </c>
    </row>
    <row r="107" spans="1:4" x14ac:dyDescent="0.25">
      <c r="A107" s="4" t="s">
        <v>107</v>
      </c>
      <c r="B107" s="1">
        <v>0.66037100000000004</v>
      </c>
      <c r="C107" s="1">
        <v>0.65702700000000003</v>
      </c>
      <c r="D107" t="str">
        <f t="shared" si="1"/>
        <v>B</v>
      </c>
    </row>
    <row r="108" spans="1:4" x14ac:dyDescent="0.25">
      <c r="A108" s="4" t="s">
        <v>108</v>
      </c>
      <c r="B108" s="1">
        <v>2.9668E-2</v>
      </c>
      <c r="C108" s="1">
        <v>3.2876000000000002E-2</v>
      </c>
      <c r="D108" t="str">
        <f t="shared" si="1"/>
        <v>A</v>
      </c>
    </row>
    <row r="109" spans="1:4" x14ac:dyDescent="0.25">
      <c r="A109" s="4" t="s">
        <v>109</v>
      </c>
      <c r="B109" s="1">
        <v>0.73365199999999997</v>
      </c>
      <c r="C109" s="1">
        <v>0.73118000000000005</v>
      </c>
      <c r="D109" t="str">
        <f t="shared" si="1"/>
        <v>B</v>
      </c>
    </row>
    <row r="110" spans="1:4" x14ac:dyDescent="0.25">
      <c r="A110" s="4" t="s">
        <v>110</v>
      </c>
      <c r="B110" s="1">
        <v>0.167017</v>
      </c>
      <c r="C110" s="1">
        <v>0.16538900000000001</v>
      </c>
      <c r="D110" t="str">
        <f t="shared" si="1"/>
        <v>B</v>
      </c>
    </row>
    <row r="111" spans="1:4" x14ac:dyDescent="0.25">
      <c r="A111" s="4" t="s">
        <v>429</v>
      </c>
      <c r="B111" s="1">
        <v>0.85646699999999998</v>
      </c>
      <c r="C111" s="1">
        <v>0.85925499999999999</v>
      </c>
      <c r="D111" t="str">
        <f t="shared" si="1"/>
        <v>A</v>
      </c>
    </row>
    <row r="112" spans="1:4" x14ac:dyDescent="0.25">
      <c r="A112" s="4" t="s">
        <v>111</v>
      </c>
      <c r="B112" s="1">
        <v>0.51173299999999999</v>
      </c>
      <c r="C112" s="1">
        <v>0.51459699999999997</v>
      </c>
      <c r="D112" t="str">
        <f t="shared" si="1"/>
        <v>A</v>
      </c>
    </row>
    <row r="113" spans="1:4" x14ac:dyDescent="0.25">
      <c r="A113" s="4" t="s">
        <v>112</v>
      </c>
      <c r="B113" s="1">
        <v>0.95174099999999995</v>
      </c>
      <c r="C113" s="1">
        <v>0.94936100000000001</v>
      </c>
      <c r="D113" t="str">
        <f t="shared" si="1"/>
        <v>B</v>
      </c>
    </row>
    <row r="114" spans="1:4" x14ac:dyDescent="0.25">
      <c r="A114" s="4" t="s">
        <v>113</v>
      </c>
      <c r="B114" s="1">
        <v>0.81435400000000002</v>
      </c>
      <c r="C114" s="1">
        <v>0.81171800000000005</v>
      </c>
      <c r="D114" t="str">
        <f t="shared" si="1"/>
        <v>B</v>
      </c>
    </row>
    <row r="115" spans="1:4" x14ac:dyDescent="0.25">
      <c r="A115" s="4" t="s">
        <v>114</v>
      </c>
      <c r="B115" s="1">
        <v>0.46311099999999999</v>
      </c>
      <c r="C115" s="1">
        <v>0.45991500000000002</v>
      </c>
      <c r="D115" t="str">
        <f t="shared" si="1"/>
        <v>B</v>
      </c>
    </row>
    <row r="116" spans="1:4" x14ac:dyDescent="0.25">
      <c r="A116" s="4" t="s">
        <v>115</v>
      </c>
      <c r="B116" s="1">
        <v>3.1198E-2</v>
      </c>
      <c r="C116" s="1">
        <v>2.9186E-2</v>
      </c>
      <c r="D116" t="str">
        <f t="shared" si="1"/>
        <v>B</v>
      </c>
    </row>
    <row r="117" spans="1:4" x14ac:dyDescent="0.25">
      <c r="A117" s="4" t="s">
        <v>116</v>
      </c>
      <c r="B117" s="1">
        <v>4.8832E-2</v>
      </c>
      <c r="C117" s="1">
        <v>5.0776000000000002E-2</v>
      </c>
      <c r="D117" t="str">
        <f t="shared" si="1"/>
        <v>A</v>
      </c>
    </row>
    <row r="118" spans="1:4" x14ac:dyDescent="0.25">
      <c r="A118" s="4" t="s">
        <v>75</v>
      </c>
      <c r="B118" s="1">
        <v>0.331623</v>
      </c>
      <c r="C118" s="1">
        <v>0.33379500000000001</v>
      </c>
      <c r="D118" t="str">
        <f t="shared" si="1"/>
        <v>A</v>
      </c>
    </row>
    <row r="119" spans="1:4" x14ac:dyDescent="0.25">
      <c r="A119" s="4" t="s">
        <v>117</v>
      </c>
      <c r="B119" s="1">
        <v>0.28364</v>
      </c>
      <c r="C119" s="1">
        <v>0.27990799999999999</v>
      </c>
      <c r="D119" t="str">
        <f t="shared" si="1"/>
        <v>B</v>
      </c>
    </row>
    <row r="120" spans="1:4" x14ac:dyDescent="0.25">
      <c r="A120" s="4" t="s">
        <v>118</v>
      </c>
      <c r="B120" s="1">
        <v>0.57245400000000002</v>
      </c>
      <c r="C120" s="1">
        <v>0.57566200000000001</v>
      </c>
      <c r="D120" t="str">
        <f t="shared" si="1"/>
        <v>A</v>
      </c>
    </row>
    <row r="121" spans="1:4" x14ac:dyDescent="0.25">
      <c r="A121" s="4" t="s">
        <v>119</v>
      </c>
      <c r="B121" s="1">
        <v>0.797157</v>
      </c>
      <c r="C121" s="1">
        <v>0.79524099999999998</v>
      </c>
      <c r="D121" t="str">
        <f t="shared" si="1"/>
        <v>B</v>
      </c>
    </row>
    <row r="122" spans="1:4" x14ac:dyDescent="0.25">
      <c r="A122" s="4" t="s">
        <v>120</v>
      </c>
      <c r="B122" s="1">
        <v>0.67288400000000004</v>
      </c>
      <c r="C122" s="1">
        <v>0.67135999999999996</v>
      </c>
      <c r="D122" t="str">
        <f t="shared" si="1"/>
        <v>B</v>
      </c>
    </row>
    <row r="123" spans="1:4" x14ac:dyDescent="0.25">
      <c r="A123" s="4" t="s">
        <v>121</v>
      </c>
      <c r="B123" s="1">
        <v>0.62824999999999998</v>
      </c>
      <c r="C123" s="1">
        <v>0.62470999999999999</v>
      </c>
      <c r="D123" t="str">
        <f t="shared" si="1"/>
        <v>B</v>
      </c>
    </row>
    <row r="124" spans="1:4" x14ac:dyDescent="0.25">
      <c r="A124" s="4" t="s">
        <v>122</v>
      </c>
      <c r="B124" s="1">
        <v>0.22853000000000001</v>
      </c>
      <c r="C124" s="1">
        <v>0.23114999999999999</v>
      </c>
      <c r="D124" t="str">
        <f t="shared" si="1"/>
        <v>A</v>
      </c>
    </row>
    <row r="125" spans="1:4" x14ac:dyDescent="0.25">
      <c r="A125" s="4" t="s">
        <v>123</v>
      </c>
      <c r="B125" s="1">
        <v>6.7060999999999996E-2</v>
      </c>
      <c r="C125" s="1">
        <v>7.0060999999999998E-2</v>
      </c>
      <c r="D125" t="str">
        <f t="shared" si="1"/>
        <v>A</v>
      </c>
    </row>
    <row r="126" spans="1:4" x14ac:dyDescent="0.25">
      <c r="A126" s="4" t="s">
        <v>124</v>
      </c>
      <c r="B126" s="1">
        <v>0.25201899999999999</v>
      </c>
      <c r="C126" s="1">
        <v>0.255247</v>
      </c>
      <c r="D126" t="str">
        <f t="shared" si="1"/>
        <v>A</v>
      </c>
    </row>
    <row r="127" spans="1:4" x14ac:dyDescent="0.25">
      <c r="A127" s="4" t="s">
        <v>125</v>
      </c>
      <c r="B127" s="1">
        <v>0.37008999999999997</v>
      </c>
      <c r="C127" s="1">
        <v>0.368454</v>
      </c>
      <c r="D127" t="str">
        <f t="shared" si="1"/>
        <v>B</v>
      </c>
    </row>
    <row r="128" spans="1:4" x14ac:dyDescent="0.25">
      <c r="A128" s="4" t="s">
        <v>87</v>
      </c>
      <c r="B128" s="1">
        <v>0.98247899999999999</v>
      </c>
      <c r="C128" s="1">
        <v>0.98585100000000003</v>
      </c>
      <c r="D128" t="str">
        <f t="shared" si="1"/>
        <v>A</v>
      </c>
    </row>
    <row r="129" spans="1:4" x14ac:dyDescent="0.25">
      <c r="A129" s="4" t="s">
        <v>126</v>
      </c>
      <c r="B129" s="1">
        <v>0.89384600000000003</v>
      </c>
      <c r="C129" s="1">
        <v>0.89706600000000003</v>
      </c>
      <c r="D129" t="str">
        <f t="shared" si="1"/>
        <v>A</v>
      </c>
    </row>
    <row r="130" spans="1:4" x14ac:dyDescent="0.25">
      <c r="A130" s="4" t="s">
        <v>127</v>
      </c>
      <c r="B130" s="1">
        <v>0.658308</v>
      </c>
      <c r="C130" s="1">
        <v>0.65516799999999997</v>
      </c>
      <c r="D130" t="str">
        <f t="shared" si="1"/>
        <v>B</v>
      </c>
    </row>
    <row r="131" spans="1:4" x14ac:dyDescent="0.25">
      <c r="A131" s="4" t="s">
        <v>128</v>
      </c>
      <c r="B131" s="1">
        <v>0.32555600000000001</v>
      </c>
      <c r="C131" s="1">
        <v>0.327264</v>
      </c>
      <c r="D131" t="str">
        <f t="shared" ref="D131:D194" si="2">IF(B131&lt;C131,"A","B")</f>
        <v>A</v>
      </c>
    </row>
    <row r="132" spans="1:4" x14ac:dyDescent="0.25">
      <c r="A132" s="4" t="s">
        <v>129</v>
      </c>
      <c r="B132" s="1">
        <v>0.34697099999999997</v>
      </c>
      <c r="C132" s="1">
        <v>0.34513500000000003</v>
      </c>
      <c r="D132" t="str">
        <f t="shared" si="2"/>
        <v>B</v>
      </c>
    </row>
    <row r="133" spans="1:4" x14ac:dyDescent="0.25">
      <c r="A133" s="4" t="s">
        <v>130</v>
      </c>
      <c r="B133" s="1">
        <v>0.27076499999999998</v>
      </c>
      <c r="C133" s="1">
        <v>0.267621</v>
      </c>
      <c r="D133" t="str">
        <f t="shared" si="2"/>
        <v>B</v>
      </c>
    </row>
    <row r="134" spans="1:4" x14ac:dyDescent="0.25">
      <c r="A134" s="4" t="s">
        <v>131</v>
      </c>
      <c r="B134" s="1">
        <v>0.380658</v>
      </c>
      <c r="C134" s="1">
        <v>0.37909399999999999</v>
      </c>
      <c r="D134" t="str">
        <f t="shared" si="2"/>
        <v>B</v>
      </c>
    </row>
    <row r="135" spans="1:4" x14ac:dyDescent="0.25">
      <c r="A135" s="4" t="s">
        <v>132</v>
      </c>
      <c r="B135" s="1">
        <v>0.19933999999999999</v>
      </c>
      <c r="C135" s="1">
        <v>0.19636400000000001</v>
      </c>
      <c r="D135" t="str">
        <f t="shared" si="2"/>
        <v>B</v>
      </c>
    </row>
    <row r="136" spans="1:4" x14ac:dyDescent="0.25">
      <c r="A136" s="4" t="s">
        <v>133</v>
      </c>
      <c r="B136" s="1">
        <v>0.86760800000000005</v>
      </c>
      <c r="C136" s="1">
        <v>0.87038800000000005</v>
      </c>
      <c r="D136" t="str">
        <f t="shared" si="2"/>
        <v>A</v>
      </c>
    </row>
    <row r="137" spans="1:4" x14ac:dyDescent="0.25">
      <c r="A137" s="4" t="s">
        <v>134</v>
      </c>
      <c r="B137" s="1">
        <v>0.71828700000000001</v>
      </c>
      <c r="C137" s="1">
        <v>0.72052700000000003</v>
      </c>
      <c r="D137" t="str">
        <f t="shared" si="2"/>
        <v>A</v>
      </c>
    </row>
    <row r="138" spans="1:4" x14ac:dyDescent="0.25">
      <c r="A138" s="4" t="s">
        <v>135</v>
      </c>
      <c r="B138" s="1">
        <v>0.41060799999999997</v>
      </c>
      <c r="C138" s="1">
        <v>0.412908</v>
      </c>
      <c r="D138" t="str">
        <f t="shared" si="2"/>
        <v>A</v>
      </c>
    </row>
    <row r="139" spans="1:4" x14ac:dyDescent="0.25">
      <c r="A139" s="4" t="s">
        <v>136</v>
      </c>
      <c r="B139" s="1">
        <v>0.68890700000000005</v>
      </c>
      <c r="C139" s="1">
        <v>0.69249099999999997</v>
      </c>
      <c r="D139" t="str">
        <f t="shared" si="2"/>
        <v>A</v>
      </c>
    </row>
    <row r="140" spans="1:4" x14ac:dyDescent="0.25">
      <c r="A140" s="4" t="s">
        <v>137</v>
      </c>
      <c r="B140" s="1">
        <v>0.24684700000000001</v>
      </c>
      <c r="C140" s="1">
        <v>0.24374699999999999</v>
      </c>
      <c r="D140" t="str">
        <f t="shared" si="2"/>
        <v>B</v>
      </c>
    </row>
    <row r="141" spans="1:4" x14ac:dyDescent="0.25">
      <c r="A141" s="4" t="s">
        <v>138</v>
      </c>
      <c r="B141" s="1">
        <v>0.48477300000000001</v>
      </c>
      <c r="C141" s="1">
        <v>0.48279699999999998</v>
      </c>
      <c r="D141" t="str">
        <f t="shared" si="2"/>
        <v>B</v>
      </c>
    </row>
    <row r="142" spans="1:4" x14ac:dyDescent="0.25">
      <c r="A142" s="4" t="s">
        <v>139</v>
      </c>
      <c r="B142" s="1">
        <v>0.84553900000000004</v>
      </c>
      <c r="C142" s="1">
        <v>0.84697100000000003</v>
      </c>
      <c r="D142" t="str">
        <f t="shared" si="2"/>
        <v>A</v>
      </c>
    </row>
    <row r="143" spans="1:4" x14ac:dyDescent="0.25">
      <c r="A143" s="4" t="s">
        <v>140</v>
      </c>
      <c r="B143" s="1">
        <v>0.16140399999999999</v>
      </c>
      <c r="C143" s="1">
        <v>0.158052</v>
      </c>
      <c r="D143" t="str">
        <f t="shared" si="2"/>
        <v>B</v>
      </c>
    </row>
    <row r="144" spans="1:4" x14ac:dyDescent="0.25">
      <c r="A144" s="4" t="s">
        <v>141</v>
      </c>
      <c r="B144" s="1">
        <v>0.138354</v>
      </c>
      <c r="C144" s="1">
        <v>0.13685</v>
      </c>
      <c r="D144" t="str">
        <f t="shared" si="2"/>
        <v>B</v>
      </c>
    </row>
    <row r="145" spans="1:4" x14ac:dyDescent="0.25">
      <c r="A145" s="4" t="s">
        <v>142</v>
      </c>
      <c r="B145" s="1">
        <v>0.12570400000000001</v>
      </c>
      <c r="C145" s="1">
        <v>0.122964</v>
      </c>
      <c r="D145" t="str">
        <f t="shared" si="2"/>
        <v>B</v>
      </c>
    </row>
    <row r="146" spans="1:4" x14ac:dyDescent="0.25">
      <c r="A146" s="4" t="s">
        <v>143</v>
      </c>
      <c r="B146" s="1">
        <v>0.46729599999999999</v>
      </c>
      <c r="C146" s="1">
        <v>0.46933599999999998</v>
      </c>
      <c r="D146" t="str">
        <f t="shared" si="2"/>
        <v>A</v>
      </c>
    </row>
    <row r="147" spans="1:4" x14ac:dyDescent="0.25">
      <c r="A147" s="4" t="s">
        <v>144</v>
      </c>
      <c r="B147" s="1">
        <v>0.94697500000000001</v>
      </c>
      <c r="C147" s="1">
        <v>0.94982699999999998</v>
      </c>
      <c r="D147" t="str">
        <f t="shared" si="2"/>
        <v>A</v>
      </c>
    </row>
    <row r="148" spans="1:4" x14ac:dyDescent="0.25">
      <c r="A148" s="4" t="s">
        <v>145</v>
      </c>
      <c r="B148" s="1">
        <v>0.86413600000000002</v>
      </c>
      <c r="C148" s="1">
        <v>0.86697999999999997</v>
      </c>
      <c r="D148" t="str">
        <f t="shared" si="2"/>
        <v>A</v>
      </c>
    </row>
    <row r="149" spans="1:4" x14ac:dyDescent="0.25">
      <c r="A149" s="4" t="s">
        <v>146</v>
      </c>
      <c r="B149" s="1">
        <v>6.4591999999999997E-2</v>
      </c>
      <c r="C149" s="1">
        <v>6.1039999999999997E-2</v>
      </c>
      <c r="D149" t="str">
        <f t="shared" si="2"/>
        <v>B</v>
      </c>
    </row>
    <row r="150" spans="1:4" x14ac:dyDescent="0.25">
      <c r="A150" s="4" t="s">
        <v>147</v>
      </c>
      <c r="B150" s="1">
        <v>0.96590299999999996</v>
      </c>
      <c r="C150" s="1">
        <v>0.96327499999999999</v>
      </c>
      <c r="D150" t="str">
        <f t="shared" si="2"/>
        <v>B</v>
      </c>
    </row>
    <row r="151" spans="1:4" x14ac:dyDescent="0.25">
      <c r="A151" s="4" t="s">
        <v>148</v>
      </c>
      <c r="B151" s="1">
        <v>0.359732</v>
      </c>
      <c r="C151" s="1">
        <v>0.35632799999999998</v>
      </c>
      <c r="D151" t="str">
        <f t="shared" si="2"/>
        <v>B</v>
      </c>
    </row>
    <row r="152" spans="1:4" x14ac:dyDescent="0.25">
      <c r="A152" s="4" t="s">
        <v>149</v>
      </c>
      <c r="B152" s="1">
        <v>0.68221900000000002</v>
      </c>
      <c r="C152" s="1">
        <v>0.68393499999999996</v>
      </c>
      <c r="D152" t="str">
        <f t="shared" si="2"/>
        <v>A</v>
      </c>
    </row>
    <row r="153" spans="1:4" x14ac:dyDescent="0.25">
      <c r="A153" s="4" t="s">
        <v>150</v>
      </c>
      <c r="B153" s="1">
        <v>0.92992200000000003</v>
      </c>
      <c r="C153" s="1">
        <v>0.926122</v>
      </c>
      <c r="D153" t="str">
        <f t="shared" si="2"/>
        <v>B</v>
      </c>
    </row>
    <row r="154" spans="1:4" x14ac:dyDescent="0.25">
      <c r="A154" s="4" t="s">
        <v>151</v>
      </c>
      <c r="B154" s="1">
        <v>0.72409299999999999</v>
      </c>
      <c r="C154" s="1">
        <v>0.72649300000000006</v>
      </c>
      <c r="D154" t="str">
        <f t="shared" si="2"/>
        <v>A</v>
      </c>
    </row>
    <row r="155" spans="1:4" x14ac:dyDescent="0.25">
      <c r="A155" s="4" t="s">
        <v>152</v>
      </c>
      <c r="B155" s="1">
        <v>0.86309499999999995</v>
      </c>
      <c r="C155" s="1">
        <v>0.85914699999999999</v>
      </c>
      <c r="D155" t="str">
        <f t="shared" si="2"/>
        <v>B</v>
      </c>
    </row>
    <row r="156" spans="1:4" x14ac:dyDescent="0.25">
      <c r="A156" s="4" t="s">
        <v>153</v>
      </c>
      <c r="B156" s="1">
        <v>0.53429599999999999</v>
      </c>
      <c r="C156" s="1">
        <v>0.53593199999999996</v>
      </c>
      <c r="D156" t="str">
        <f t="shared" si="2"/>
        <v>A</v>
      </c>
    </row>
    <row r="157" spans="1:4" x14ac:dyDescent="0.25">
      <c r="A157" s="4" t="s">
        <v>154</v>
      </c>
      <c r="B157" s="1">
        <v>6.1955999999999997E-2</v>
      </c>
      <c r="C157" s="1">
        <v>5.8571999999999999E-2</v>
      </c>
      <c r="D157" t="str">
        <f t="shared" si="2"/>
        <v>B</v>
      </c>
    </row>
    <row r="158" spans="1:4" x14ac:dyDescent="0.25">
      <c r="A158" s="4" t="s">
        <v>155</v>
      </c>
      <c r="B158" s="1">
        <v>0.73158400000000001</v>
      </c>
      <c r="C158" s="1">
        <v>0.72921199999999997</v>
      </c>
      <c r="D158" t="str">
        <f t="shared" si="2"/>
        <v>B</v>
      </c>
    </row>
    <row r="159" spans="1:4" x14ac:dyDescent="0.25">
      <c r="A159" s="4" t="s">
        <v>156</v>
      </c>
      <c r="B159" s="1">
        <v>0.93236399999999997</v>
      </c>
      <c r="C159" s="1">
        <v>0.93049999999999999</v>
      </c>
      <c r="D159" t="str">
        <f t="shared" si="2"/>
        <v>B</v>
      </c>
    </row>
    <row r="160" spans="1:4" x14ac:dyDescent="0.25">
      <c r="A160" s="4" t="s">
        <v>157</v>
      </c>
      <c r="B160" s="1">
        <v>0.37124299999999999</v>
      </c>
      <c r="C160" s="1">
        <v>0.36984699999999998</v>
      </c>
      <c r="D160" t="str">
        <f t="shared" si="2"/>
        <v>B</v>
      </c>
    </row>
    <row r="161" spans="1:4" x14ac:dyDescent="0.25">
      <c r="A161" s="4" t="s">
        <v>158</v>
      </c>
      <c r="B161" s="1">
        <v>0.82938000000000001</v>
      </c>
      <c r="C161" s="1">
        <v>0.82733199999999996</v>
      </c>
      <c r="D161" t="str">
        <f t="shared" si="2"/>
        <v>B</v>
      </c>
    </row>
    <row r="162" spans="1:4" x14ac:dyDescent="0.25">
      <c r="A162" s="4" t="s">
        <v>159</v>
      </c>
      <c r="B162" s="1">
        <v>0.515621</v>
      </c>
      <c r="C162" s="1">
        <v>0.51379300000000006</v>
      </c>
      <c r="D162" t="str">
        <f t="shared" si="2"/>
        <v>B</v>
      </c>
    </row>
    <row r="163" spans="1:4" x14ac:dyDescent="0.25">
      <c r="A163" s="4" t="s">
        <v>160</v>
      </c>
      <c r="B163" s="1">
        <v>0.46384300000000001</v>
      </c>
      <c r="C163" s="1">
        <v>0.46656300000000001</v>
      </c>
      <c r="D163" t="str">
        <f t="shared" si="2"/>
        <v>A</v>
      </c>
    </row>
    <row r="164" spans="1:4" x14ac:dyDescent="0.25">
      <c r="A164" s="4" t="s">
        <v>161</v>
      </c>
      <c r="B164" s="1">
        <v>0.75155000000000005</v>
      </c>
      <c r="C164" s="1">
        <v>0.75432600000000005</v>
      </c>
      <c r="D164" t="str">
        <f t="shared" si="2"/>
        <v>A</v>
      </c>
    </row>
    <row r="165" spans="1:4" x14ac:dyDescent="0.25">
      <c r="A165" s="4" t="s">
        <v>162</v>
      </c>
      <c r="B165" s="1">
        <v>0.50681100000000001</v>
      </c>
      <c r="C165" s="1">
        <v>0.50492700000000001</v>
      </c>
      <c r="D165" t="str">
        <f t="shared" si="2"/>
        <v>B</v>
      </c>
    </row>
    <row r="166" spans="1:4" x14ac:dyDescent="0.25">
      <c r="A166" s="4" t="s">
        <v>163</v>
      </c>
      <c r="B166" s="1">
        <v>6.4921000000000006E-2</v>
      </c>
      <c r="C166" s="1">
        <v>6.2060999999999998E-2</v>
      </c>
      <c r="D166" t="str">
        <f t="shared" si="2"/>
        <v>B</v>
      </c>
    </row>
    <row r="167" spans="1:4" x14ac:dyDescent="0.25">
      <c r="A167" s="4" t="s">
        <v>107</v>
      </c>
      <c r="B167" s="1">
        <v>0.36874600000000002</v>
      </c>
      <c r="C167" s="1">
        <v>0.37047400000000003</v>
      </c>
      <c r="D167" t="str">
        <f t="shared" si="2"/>
        <v>A</v>
      </c>
    </row>
    <row r="168" spans="1:4" x14ac:dyDescent="0.25">
      <c r="A168" s="4" t="s">
        <v>16</v>
      </c>
      <c r="B168" s="1">
        <v>0.90525999999999995</v>
      </c>
      <c r="C168" s="1">
        <v>0.90354000000000001</v>
      </c>
      <c r="D168" t="str">
        <f t="shared" si="2"/>
        <v>B</v>
      </c>
    </row>
    <row r="169" spans="1:4" x14ac:dyDescent="0.25">
      <c r="A169" s="4" t="s">
        <v>64</v>
      </c>
      <c r="B169" s="1">
        <v>0.75966599999999995</v>
      </c>
      <c r="C169" s="1">
        <v>0.75585800000000003</v>
      </c>
      <c r="D169" t="str">
        <f t="shared" si="2"/>
        <v>B</v>
      </c>
    </row>
    <row r="170" spans="1:4" x14ac:dyDescent="0.25">
      <c r="A170" s="4" t="s">
        <v>155</v>
      </c>
      <c r="B170" s="1">
        <v>0.84710200000000002</v>
      </c>
      <c r="C170" s="1">
        <v>0.84899800000000003</v>
      </c>
      <c r="D170" t="str">
        <f t="shared" si="2"/>
        <v>A</v>
      </c>
    </row>
    <row r="171" spans="1:4" x14ac:dyDescent="0.25">
      <c r="A171" s="4" t="s">
        <v>74</v>
      </c>
      <c r="B171" s="1">
        <v>0.78240200000000004</v>
      </c>
      <c r="C171" s="1">
        <v>0.78495400000000004</v>
      </c>
      <c r="D171" t="str">
        <f t="shared" si="2"/>
        <v>A</v>
      </c>
    </row>
    <row r="172" spans="1:4" x14ac:dyDescent="0.25">
      <c r="A172" s="4" t="s">
        <v>21</v>
      </c>
      <c r="B172" s="1">
        <v>0.84183399999999997</v>
      </c>
      <c r="C172" s="1">
        <v>0.840086</v>
      </c>
      <c r="D172" t="str">
        <f t="shared" si="2"/>
        <v>B</v>
      </c>
    </row>
    <row r="173" spans="1:4" x14ac:dyDescent="0.25">
      <c r="A173" s="4" t="s">
        <v>27</v>
      </c>
      <c r="B173" s="1">
        <v>0.126585</v>
      </c>
      <c r="C173" s="1">
        <v>0.129029</v>
      </c>
      <c r="D173" t="str">
        <f t="shared" si="2"/>
        <v>A</v>
      </c>
    </row>
    <row r="174" spans="1:4" x14ac:dyDescent="0.25">
      <c r="A174" s="4" t="s">
        <v>83</v>
      </c>
      <c r="B174" s="1">
        <v>0.83486300000000002</v>
      </c>
      <c r="C174" s="1">
        <v>0.83299500000000004</v>
      </c>
      <c r="D174" t="str">
        <f t="shared" si="2"/>
        <v>B</v>
      </c>
    </row>
    <row r="175" spans="1:4" x14ac:dyDescent="0.25">
      <c r="A175" s="4" t="s">
        <v>60</v>
      </c>
      <c r="B175" s="1">
        <v>2.2539E-2</v>
      </c>
      <c r="C175" s="1">
        <v>2.0254999999999999E-2</v>
      </c>
      <c r="D175" t="str">
        <f t="shared" si="2"/>
        <v>B</v>
      </c>
    </row>
    <row r="176" spans="1:4" x14ac:dyDescent="0.25">
      <c r="A176" s="4" t="s">
        <v>12</v>
      </c>
      <c r="B176" s="1">
        <v>0.17019400000000001</v>
      </c>
      <c r="C176" s="1">
        <v>0.17386599999999999</v>
      </c>
      <c r="D176" t="str">
        <f t="shared" si="2"/>
        <v>A</v>
      </c>
    </row>
    <row r="177" spans="1:4" x14ac:dyDescent="0.25">
      <c r="A177" s="4" t="s">
        <v>49</v>
      </c>
      <c r="B177" s="1">
        <v>0.52166900000000005</v>
      </c>
      <c r="C177" s="1">
        <v>0.52531700000000003</v>
      </c>
      <c r="D177" t="str">
        <f t="shared" si="2"/>
        <v>A</v>
      </c>
    </row>
    <row r="178" spans="1:4" x14ac:dyDescent="0.25">
      <c r="A178" s="4" t="s">
        <v>47</v>
      </c>
      <c r="B178" s="1">
        <v>5.8332000000000002E-2</v>
      </c>
      <c r="C178" s="1">
        <v>5.5495999999999997E-2</v>
      </c>
      <c r="D178" t="str">
        <f t="shared" si="2"/>
        <v>B</v>
      </c>
    </row>
    <row r="179" spans="1:4" x14ac:dyDescent="0.25">
      <c r="A179" s="4" t="s">
        <v>41</v>
      </c>
      <c r="B179" s="1">
        <v>0.58149399999999996</v>
      </c>
      <c r="C179" s="1">
        <v>0.57857000000000003</v>
      </c>
      <c r="D179" t="str">
        <f t="shared" si="2"/>
        <v>B</v>
      </c>
    </row>
    <row r="180" spans="1:4" x14ac:dyDescent="0.25">
      <c r="A180" s="4" t="s">
        <v>117</v>
      </c>
      <c r="B180" s="1">
        <v>0.91855399999999998</v>
      </c>
      <c r="C180" s="1">
        <v>0.92222999999999999</v>
      </c>
      <c r="D180" t="str">
        <f t="shared" si="2"/>
        <v>A</v>
      </c>
    </row>
    <row r="181" spans="1:4" x14ac:dyDescent="0.25">
      <c r="A181" s="4" t="s">
        <v>162</v>
      </c>
      <c r="B181" s="1">
        <v>0.89708699999999997</v>
      </c>
      <c r="C181" s="1">
        <v>0.89373499999999995</v>
      </c>
      <c r="D181" t="str">
        <f t="shared" si="2"/>
        <v>B</v>
      </c>
    </row>
    <row r="182" spans="1:4" x14ac:dyDescent="0.25">
      <c r="A182" s="4" t="s">
        <v>5</v>
      </c>
      <c r="B182" s="1">
        <v>0.31651800000000002</v>
      </c>
      <c r="C182" s="1">
        <v>0.31273800000000002</v>
      </c>
      <c r="D182" t="str">
        <f t="shared" si="2"/>
        <v>B</v>
      </c>
    </row>
    <row r="183" spans="1:4" x14ac:dyDescent="0.25">
      <c r="A183" s="4" t="s">
        <v>109</v>
      </c>
      <c r="B183" s="1">
        <v>0.87171399999999999</v>
      </c>
      <c r="C183" s="1">
        <v>0.87551800000000002</v>
      </c>
      <c r="D183" t="str">
        <f t="shared" si="2"/>
        <v>A</v>
      </c>
    </row>
    <row r="184" spans="1:4" x14ac:dyDescent="0.25">
      <c r="A184" s="4" t="s">
        <v>75</v>
      </c>
      <c r="B184" s="1">
        <v>0.42321900000000001</v>
      </c>
      <c r="C184" s="1">
        <v>0.42627100000000001</v>
      </c>
      <c r="D184" t="str">
        <f t="shared" si="2"/>
        <v>A</v>
      </c>
    </row>
    <row r="185" spans="1:4" x14ac:dyDescent="0.25">
      <c r="A185" s="4" t="s">
        <v>75</v>
      </c>
      <c r="B185" s="1">
        <v>0.59153599999999995</v>
      </c>
      <c r="C185" s="1">
        <v>0.58769199999999999</v>
      </c>
      <c r="D185" t="str">
        <f t="shared" si="2"/>
        <v>B</v>
      </c>
    </row>
    <row r="186" spans="1:4" x14ac:dyDescent="0.25">
      <c r="A186" s="4" t="s">
        <v>68</v>
      </c>
      <c r="B186" s="1">
        <v>0.87950700000000004</v>
      </c>
      <c r="C186" s="1">
        <v>0.88255499999999998</v>
      </c>
      <c r="D186" t="str">
        <f t="shared" si="2"/>
        <v>A</v>
      </c>
    </row>
    <row r="187" spans="1:4" x14ac:dyDescent="0.25">
      <c r="A187" s="4" t="s">
        <v>72</v>
      </c>
      <c r="B187" s="1">
        <v>0.848275</v>
      </c>
      <c r="C187" s="1">
        <v>0.84999499999999995</v>
      </c>
      <c r="D187" t="str">
        <f t="shared" si="2"/>
        <v>A</v>
      </c>
    </row>
    <row r="188" spans="1:4" x14ac:dyDescent="0.25">
      <c r="A188" s="4" t="s">
        <v>3</v>
      </c>
      <c r="B188" s="1">
        <v>0.29002600000000001</v>
      </c>
      <c r="C188" s="1">
        <v>0.291682</v>
      </c>
      <c r="D188" t="str">
        <f t="shared" si="2"/>
        <v>A</v>
      </c>
    </row>
    <row r="189" spans="1:4" x14ac:dyDescent="0.25">
      <c r="A189" s="4" t="s">
        <v>107</v>
      </c>
      <c r="B189" s="1">
        <v>0.41733100000000001</v>
      </c>
      <c r="C189" s="1">
        <v>0.419491</v>
      </c>
      <c r="D189" t="str">
        <f t="shared" si="2"/>
        <v>A</v>
      </c>
    </row>
    <row r="190" spans="1:4" x14ac:dyDescent="0.25">
      <c r="A190" s="4" t="s">
        <v>16</v>
      </c>
      <c r="B190" s="1">
        <v>8.7446999999999997E-2</v>
      </c>
      <c r="C190" s="1">
        <v>8.5182999999999995E-2</v>
      </c>
      <c r="D190" t="str">
        <f t="shared" si="2"/>
        <v>B</v>
      </c>
    </row>
    <row r="191" spans="1:4" x14ac:dyDescent="0.25">
      <c r="A191" s="4" t="s">
        <v>64</v>
      </c>
      <c r="B191" s="1">
        <v>0.99943800000000005</v>
      </c>
      <c r="C191" s="1">
        <v>0.99675400000000003</v>
      </c>
      <c r="D191" t="str">
        <f t="shared" si="2"/>
        <v>B</v>
      </c>
    </row>
    <row r="192" spans="1:4" x14ac:dyDescent="0.25">
      <c r="A192" s="4" t="s">
        <v>155</v>
      </c>
      <c r="B192" s="1">
        <v>0.57598300000000002</v>
      </c>
      <c r="C192" s="1">
        <v>0.57948699999999997</v>
      </c>
      <c r="D192" t="str">
        <f t="shared" si="2"/>
        <v>A</v>
      </c>
    </row>
    <row r="193" spans="1:4" x14ac:dyDescent="0.25">
      <c r="A193" s="4" t="s">
        <v>74</v>
      </c>
      <c r="B193" s="1">
        <v>0.170068</v>
      </c>
      <c r="C193" s="1">
        <v>0.16739599999999999</v>
      </c>
      <c r="D193" t="str">
        <f t="shared" si="2"/>
        <v>B</v>
      </c>
    </row>
    <row r="194" spans="1:4" x14ac:dyDescent="0.25">
      <c r="A194" s="4" t="s">
        <v>21</v>
      </c>
      <c r="B194" s="1">
        <v>7.4226E-2</v>
      </c>
      <c r="C194" s="1">
        <v>7.5994000000000006E-2</v>
      </c>
      <c r="D194" t="str">
        <f t="shared" si="2"/>
        <v>A</v>
      </c>
    </row>
    <row r="195" spans="1:4" x14ac:dyDescent="0.25">
      <c r="A195" s="4" t="s">
        <v>27</v>
      </c>
      <c r="B195" s="1">
        <v>0.51301399999999997</v>
      </c>
      <c r="C195" s="1">
        <v>0.51158599999999999</v>
      </c>
      <c r="D195" t="str">
        <f t="shared" ref="D195:D258" si="3">IF(B195&lt;C195,"A","B")</f>
        <v>B</v>
      </c>
    </row>
    <row r="196" spans="1:4" x14ac:dyDescent="0.25">
      <c r="A196" s="4" t="s">
        <v>83</v>
      </c>
      <c r="B196" s="1">
        <v>0.99456699999999998</v>
      </c>
      <c r="C196" s="1">
        <v>0.99620699999999995</v>
      </c>
      <c r="D196" t="str">
        <f t="shared" si="3"/>
        <v>A</v>
      </c>
    </row>
    <row r="197" spans="1:4" x14ac:dyDescent="0.25">
      <c r="A197" s="4" t="s">
        <v>60</v>
      </c>
      <c r="B197" s="1">
        <v>0.72680199999999995</v>
      </c>
      <c r="C197" s="1">
        <v>0.72868999999999995</v>
      </c>
      <c r="D197" t="str">
        <f t="shared" si="3"/>
        <v>A</v>
      </c>
    </row>
    <row r="198" spans="1:4" x14ac:dyDescent="0.25">
      <c r="A198" s="4" t="s">
        <v>12</v>
      </c>
      <c r="B198" s="1">
        <v>0.92180200000000001</v>
      </c>
      <c r="C198" s="1">
        <v>0.91994600000000004</v>
      </c>
      <c r="D198" t="str">
        <f t="shared" si="3"/>
        <v>B</v>
      </c>
    </row>
    <row r="199" spans="1:4" x14ac:dyDescent="0.25">
      <c r="A199" s="4" t="s">
        <v>49</v>
      </c>
      <c r="B199" s="1">
        <v>0.73685999999999996</v>
      </c>
      <c r="C199" s="1">
        <v>0.73460400000000003</v>
      </c>
      <c r="D199" t="str">
        <f t="shared" si="3"/>
        <v>B</v>
      </c>
    </row>
    <row r="200" spans="1:4" x14ac:dyDescent="0.25">
      <c r="A200" s="4" t="s">
        <v>47</v>
      </c>
      <c r="B200" s="1">
        <v>0.95486300000000002</v>
      </c>
      <c r="C200" s="1">
        <v>0.95218700000000001</v>
      </c>
      <c r="D200" t="str">
        <f t="shared" si="3"/>
        <v>B</v>
      </c>
    </row>
    <row r="201" spans="1:4" x14ac:dyDescent="0.25">
      <c r="A201" s="4" t="s">
        <v>41</v>
      </c>
      <c r="B201" s="1">
        <v>0.17504700000000001</v>
      </c>
      <c r="C201" s="1">
        <v>0.17893500000000001</v>
      </c>
      <c r="D201" t="str">
        <f t="shared" si="3"/>
        <v>A</v>
      </c>
    </row>
    <row r="202" spans="1:4" x14ac:dyDescent="0.25">
      <c r="A202" s="4" t="s">
        <v>117</v>
      </c>
      <c r="B202" s="1">
        <v>0.42769200000000002</v>
      </c>
      <c r="C202" s="1">
        <v>0.42931599999999998</v>
      </c>
      <c r="D202" t="str">
        <f t="shared" si="3"/>
        <v>A</v>
      </c>
    </row>
    <row r="203" spans="1:4" x14ac:dyDescent="0.25">
      <c r="A203" s="4" t="s">
        <v>162</v>
      </c>
      <c r="B203" s="1">
        <v>0.17679500000000001</v>
      </c>
      <c r="C203" s="1">
        <v>0.17477100000000001</v>
      </c>
      <c r="D203" t="str">
        <f t="shared" si="3"/>
        <v>B</v>
      </c>
    </row>
    <row r="204" spans="1:4" x14ac:dyDescent="0.25">
      <c r="A204" s="4" t="s">
        <v>5</v>
      </c>
      <c r="B204" s="1">
        <v>0.40955399999999997</v>
      </c>
      <c r="C204" s="1">
        <v>0.41143000000000002</v>
      </c>
      <c r="D204" t="str">
        <f t="shared" si="3"/>
        <v>A</v>
      </c>
    </row>
    <row r="205" spans="1:4" x14ac:dyDescent="0.25">
      <c r="A205" s="4" t="s">
        <v>109</v>
      </c>
      <c r="B205" s="1">
        <v>0.68685200000000002</v>
      </c>
      <c r="C205" s="1">
        <v>0.69050400000000001</v>
      </c>
      <c r="D205" t="str">
        <f t="shared" si="3"/>
        <v>A</v>
      </c>
    </row>
    <row r="206" spans="1:4" x14ac:dyDescent="0.25">
      <c r="A206" s="4" t="s">
        <v>75</v>
      </c>
      <c r="B206" s="1">
        <v>0.21182200000000001</v>
      </c>
      <c r="C206" s="1">
        <v>0.20880199999999999</v>
      </c>
      <c r="D206" t="str">
        <f t="shared" si="3"/>
        <v>B</v>
      </c>
    </row>
    <row r="207" spans="1:4" x14ac:dyDescent="0.25">
      <c r="A207" s="4" t="s">
        <v>75</v>
      </c>
      <c r="B207" s="1">
        <v>0.43252099999999999</v>
      </c>
      <c r="C207" s="1">
        <v>0.43110500000000002</v>
      </c>
      <c r="D207" t="str">
        <f t="shared" si="3"/>
        <v>B</v>
      </c>
    </row>
    <row r="208" spans="1:4" x14ac:dyDescent="0.25">
      <c r="A208" s="4" t="s">
        <v>68</v>
      </c>
      <c r="B208" s="1">
        <v>0.398974</v>
      </c>
      <c r="C208" s="1">
        <v>0.40052599999999999</v>
      </c>
      <c r="D208" t="str">
        <f t="shared" si="3"/>
        <v>A</v>
      </c>
    </row>
    <row r="209" spans="1:4" x14ac:dyDescent="0.25">
      <c r="A209" s="4" t="s">
        <v>72</v>
      </c>
      <c r="B209" s="1">
        <v>0.43932300000000002</v>
      </c>
      <c r="C209" s="1">
        <v>0.43679099999999998</v>
      </c>
      <c r="D209" t="str">
        <f t="shared" si="3"/>
        <v>B</v>
      </c>
    </row>
    <row r="210" spans="1:4" x14ac:dyDescent="0.25">
      <c r="A210" s="4" t="s">
        <v>3</v>
      </c>
      <c r="B210" s="1">
        <v>0.141675</v>
      </c>
      <c r="C210" s="1">
        <v>0.138651</v>
      </c>
      <c r="D210" t="str">
        <f t="shared" si="3"/>
        <v>B</v>
      </c>
    </row>
    <row r="211" spans="1:4" x14ac:dyDescent="0.25">
      <c r="A211" s="4" t="s">
        <v>47</v>
      </c>
      <c r="B211" s="1">
        <v>0.85342399999999996</v>
      </c>
      <c r="C211" s="1">
        <v>0.85614800000000002</v>
      </c>
      <c r="D211" t="str">
        <f t="shared" si="3"/>
        <v>A</v>
      </c>
    </row>
    <row r="212" spans="1:4" x14ac:dyDescent="0.25">
      <c r="A212" s="4" t="s">
        <v>41</v>
      </c>
      <c r="B212" s="1">
        <v>0.186281</v>
      </c>
      <c r="C212" s="1">
        <v>0.18371299999999999</v>
      </c>
      <c r="D212" t="str">
        <f t="shared" si="3"/>
        <v>B</v>
      </c>
    </row>
    <row r="213" spans="1:4" x14ac:dyDescent="0.25">
      <c r="A213" s="4" t="s">
        <v>117</v>
      </c>
      <c r="B213" s="1">
        <v>8.9881000000000003E-2</v>
      </c>
      <c r="C213" s="1">
        <v>9.2344999999999997E-2</v>
      </c>
      <c r="D213" t="str">
        <f t="shared" si="3"/>
        <v>A</v>
      </c>
    </row>
    <row r="214" spans="1:4" x14ac:dyDescent="0.25">
      <c r="A214" s="4" t="s">
        <v>162</v>
      </c>
      <c r="B214" s="1">
        <v>2.4351000000000001E-2</v>
      </c>
      <c r="C214" s="1">
        <v>2.6023000000000001E-2</v>
      </c>
      <c r="D214" t="str">
        <f t="shared" si="3"/>
        <v>A</v>
      </c>
    </row>
    <row r="215" spans="1:4" x14ac:dyDescent="0.25">
      <c r="A215" s="4" t="s">
        <v>5</v>
      </c>
      <c r="B215" s="1">
        <v>0.89798900000000004</v>
      </c>
      <c r="C215" s="1">
        <v>0.89986100000000002</v>
      </c>
      <c r="D215" t="str">
        <f t="shared" si="3"/>
        <v>A</v>
      </c>
    </row>
    <row r="216" spans="1:4" x14ac:dyDescent="0.25">
      <c r="A216" s="4" t="s">
        <v>109</v>
      </c>
      <c r="B216" s="1">
        <v>0.869726</v>
      </c>
      <c r="C216" s="1">
        <v>0.86768999999999996</v>
      </c>
      <c r="D216" t="str">
        <f t="shared" si="3"/>
        <v>B</v>
      </c>
    </row>
    <row r="217" spans="1:4" x14ac:dyDescent="0.25">
      <c r="A217" s="4" t="s">
        <v>47</v>
      </c>
      <c r="B217" s="1">
        <v>0.44847399999999998</v>
      </c>
      <c r="C217" s="1">
        <v>0.45169799999999999</v>
      </c>
      <c r="D217" t="str">
        <f t="shared" si="3"/>
        <v>A</v>
      </c>
    </row>
    <row r="218" spans="1:4" x14ac:dyDescent="0.25">
      <c r="A218" s="4" t="s">
        <v>41</v>
      </c>
      <c r="B218" s="1">
        <v>0.58307699999999996</v>
      </c>
      <c r="C218" s="1">
        <v>0.58018099999999995</v>
      </c>
      <c r="D218" t="str">
        <f t="shared" si="3"/>
        <v>B</v>
      </c>
    </row>
    <row r="219" spans="1:4" x14ac:dyDescent="0.25">
      <c r="A219" s="4" t="s">
        <v>117</v>
      </c>
      <c r="B219" s="1">
        <v>0.84016999999999997</v>
      </c>
      <c r="C219" s="1">
        <v>0.84218999999999999</v>
      </c>
      <c r="D219" t="str">
        <f t="shared" si="3"/>
        <v>A</v>
      </c>
    </row>
    <row r="220" spans="1:4" x14ac:dyDescent="0.25">
      <c r="A220" s="4" t="s">
        <v>162</v>
      </c>
      <c r="B220" s="1">
        <v>0.80282699999999996</v>
      </c>
      <c r="C220" s="1">
        <v>0.805091</v>
      </c>
      <c r="D220" t="str">
        <f t="shared" si="3"/>
        <v>A</v>
      </c>
    </row>
    <row r="221" spans="1:4" x14ac:dyDescent="0.25">
      <c r="A221" s="4" t="s">
        <v>5</v>
      </c>
      <c r="B221" s="1">
        <v>7.6984999999999998E-2</v>
      </c>
      <c r="C221" s="1">
        <v>7.3173000000000002E-2</v>
      </c>
      <c r="D221" t="str">
        <f t="shared" si="3"/>
        <v>B</v>
      </c>
    </row>
    <row r="222" spans="1:4" x14ac:dyDescent="0.25">
      <c r="A222" s="4" t="s">
        <v>109</v>
      </c>
      <c r="B222" s="1">
        <v>0.98943999999999999</v>
      </c>
      <c r="C222" s="1">
        <v>0.98772800000000005</v>
      </c>
      <c r="D222" t="str">
        <f t="shared" si="3"/>
        <v>B</v>
      </c>
    </row>
    <row r="223" spans="1:4" x14ac:dyDescent="0.25">
      <c r="A223" s="4" t="s">
        <v>47</v>
      </c>
      <c r="B223" s="1">
        <v>0.38585999999999998</v>
      </c>
      <c r="C223" s="1">
        <v>0.38773999999999997</v>
      </c>
      <c r="D223" t="str">
        <f t="shared" si="3"/>
        <v>A</v>
      </c>
    </row>
    <row r="224" spans="1:4" x14ac:dyDescent="0.25">
      <c r="A224" s="4" t="s">
        <v>41</v>
      </c>
      <c r="B224" s="1">
        <v>0.88634100000000005</v>
      </c>
      <c r="C224" s="1">
        <v>0.88827299999999998</v>
      </c>
      <c r="D224" t="str">
        <f t="shared" si="3"/>
        <v>A</v>
      </c>
    </row>
    <row r="225" spans="1:4" x14ac:dyDescent="0.25">
      <c r="A225" s="4" t="s">
        <v>117</v>
      </c>
      <c r="B225" s="1">
        <v>0.21960199999999999</v>
      </c>
      <c r="C225" s="1">
        <v>0.21732199999999999</v>
      </c>
      <c r="D225" t="str">
        <f t="shared" si="3"/>
        <v>B</v>
      </c>
    </row>
    <row r="226" spans="1:4" x14ac:dyDescent="0.25">
      <c r="A226" s="4" t="s">
        <v>162</v>
      </c>
      <c r="B226" s="1">
        <v>0.14232400000000001</v>
      </c>
      <c r="C226" s="1">
        <v>0.144844</v>
      </c>
      <c r="D226" t="str">
        <f t="shared" si="3"/>
        <v>A</v>
      </c>
    </row>
    <row r="227" spans="1:4" x14ac:dyDescent="0.25">
      <c r="A227" s="4" t="s">
        <v>5</v>
      </c>
      <c r="B227" s="1">
        <v>0.78616900000000001</v>
      </c>
      <c r="C227" s="1">
        <v>0.78911699999999996</v>
      </c>
      <c r="D227" t="str">
        <f t="shared" si="3"/>
        <v>A</v>
      </c>
    </row>
    <row r="228" spans="1:4" x14ac:dyDescent="0.25">
      <c r="A228" s="4" t="s">
        <v>109</v>
      </c>
      <c r="B228" s="1">
        <v>0.116871</v>
      </c>
      <c r="C228" s="1">
        <v>0.114135</v>
      </c>
      <c r="D228" t="str">
        <f t="shared" si="3"/>
        <v>B</v>
      </c>
    </row>
    <row r="229" spans="1:4" x14ac:dyDescent="0.25">
      <c r="A229" s="4" t="s">
        <v>47</v>
      </c>
      <c r="B229" s="1">
        <v>7.4501999999999999E-2</v>
      </c>
      <c r="C229" s="1">
        <v>7.3053999999999994E-2</v>
      </c>
      <c r="D229" t="str">
        <f t="shared" si="3"/>
        <v>B</v>
      </c>
    </row>
    <row r="230" spans="1:4" x14ac:dyDescent="0.25">
      <c r="A230" s="4" t="s">
        <v>41</v>
      </c>
      <c r="B230" s="1">
        <v>0.25088199999999999</v>
      </c>
      <c r="C230" s="1">
        <v>0.24737799999999999</v>
      </c>
      <c r="D230" t="str">
        <f t="shared" si="3"/>
        <v>B</v>
      </c>
    </row>
    <row r="231" spans="1:4" x14ac:dyDescent="0.25">
      <c r="A231" s="4" t="s">
        <v>117</v>
      </c>
      <c r="B231" s="1">
        <v>0.94641600000000004</v>
      </c>
      <c r="C231" s="1">
        <v>0.94965200000000005</v>
      </c>
      <c r="D231" t="str">
        <f t="shared" si="3"/>
        <v>A</v>
      </c>
    </row>
    <row r="232" spans="1:4" x14ac:dyDescent="0.25">
      <c r="A232" s="4" t="s">
        <v>162</v>
      </c>
      <c r="B232" s="1">
        <v>0.110017</v>
      </c>
      <c r="C232" s="1">
        <v>0.108101</v>
      </c>
      <c r="D232" t="str">
        <f t="shared" si="3"/>
        <v>B</v>
      </c>
    </row>
    <row r="233" spans="1:4" x14ac:dyDescent="0.25">
      <c r="A233" s="4" t="s">
        <v>164</v>
      </c>
      <c r="B233" s="1">
        <v>0.27964899999999998</v>
      </c>
      <c r="C233" s="1">
        <v>0.28198499999999999</v>
      </c>
      <c r="D233" t="str">
        <f t="shared" si="3"/>
        <v>A</v>
      </c>
    </row>
    <row r="234" spans="1:4" x14ac:dyDescent="0.25">
      <c r="A234" s="4" t="s">
        <v>109</v>
      </c>
      <c r="B234" s="1">
        <v>0.12549399999999999</v>
      </c>
      <c r="C234" s="1">
        <v>0.121934</v>
      </c>
      <c r="D234" t="str">
        <f t="shared" si="3"/>
        <v>B</v>
      </c>
    </row>
    <row r="235" spans="1:4" x14ac:dyDescent="0.25">
      <c r="A235" s="4" t="s">
        <v>162</v>
      </c>
      <c r="B235" s="1">
        <v>0.459476</v>
      </c>
      <c r="C235" s="1">
        <v>0.45600000000000002</v>
      </c>
      <c r="D235" t="str">
        <f t="shared" si="3"/>
        <v>B</v>
      </c>
    </row>
    <row r="236" spans="1:4" x14ac:dyDescent="0.25">
      <c r="A236" s="4" t="s">
        <v>5</v>
      </c>
      <c r="B236" s="1">
        <v>0.27487200000000001</v>
      </c>
      <c r="C236" s="1">
        <v>0.27720400000000001</v>
      </c>
      <c r="D236" t="str">
        <f t="shared" si="3"/>
        <v>A</v>
      </c>
    </row>
    <row r="237" spans="1:4" x14ac:dyDescent="0.25">
      <c r="A237" s="4" t="s">
        <v>109</v>
      </c>
      <c r="B237" s="1">
        <v>0.67701</v>
      </c>
      <c r="C237" s="1">
        <v>0.67305400000000004</v>
      </c>
      <c r="D237" t="str">
        <f t="shared" si="3"/>
        <v>B</v>
      </c>
    </row>
    <row r="238" spans="1:4" x14ac:dyDescent="0.25">
      <c r="A238" s="4" t="s">
        <v>165</v>
      </c>
      <c r="B238" s="1">
        <v>0.16714200000000001</v>
      </c>
      <c r="C238" s="1">
        <v>0.165106</v>
      </c>
      <c r="D238" t="str">
        <f t="shared" si="3"/>
        <v>B</v>
      </c>
    </row>
    <row r="239" spans="1:4" x14ac:dyDescent="0.25">
      <c r="A239" s="4" t="s">
        <v>5</v>
      </c>
      <c r="B239" s="1">
        <v>0.59608099999999997</v>
      </c>
      <c r="C239" s="1">
        <v>0.59963299999999997</v>
      </c>
      <c r="D239" t="str">
        <f t="shared" si="3"/>
        <v>A</v>
      </c>
    </row>
    <row r="240" spans="1:4" x14ac:dyDescent="0.25">
      <c r="A240" s="4" t="s">
        <v>109</v>
      </c>
      <c r="B240" s="1">
        <v>0.30414799999999997</v>
      </c>
      <c r="C240" s="1">
        <v>0.30221199999999998</v>
      </c>
      <c r="D240" t="str">
        <f t="shared" si="3"/>
        <v>B</v>
      </c>
    </row>
    <row r="241" spans="1:4" x14ac:dyDescent="0.25">
      <c r="A241" s="4" t="s">
        <v>162</v>
      </c>
      <c r="B241" s="1">
        <v>0.576519</v>
      </c>
      <c r="C241" s="1">
        <v>0.57400300000000004</v>
      </c>
      <c r="D241" t="str">
        <f t="shared" si="3"/>
        <v>B</v>
      </c>
    </row>
    <row r="242" spans="1:4" x14ac:dyDescent="0.25">
      <c r="A242" s="4" t="s">
        <v>5</v>
      </c>
      <c r="B242" s="1">
        <v>0.28254000000000001</v>
      </c>
      <c r="C242" s="1">
        <v>0.28488400000000003</v>
      </c>
      <c r="D242" t="str">
        <f t="shared" si="3"/>
        <v>A</v>
      </c>
    </row>
    <row r="243" spans="1:4" x14ac:dyDescent="0.25">
      <c r="A243" s="4" t="s">
        <v>109</v>
      </c>
      <c r="B243" s="1">
        <v>0.23408499999999999</v>
      </c>
      <c r="C243" s="1">
        <v>0.23075300000000001</v>
      </c>
      <c r="D243" t="str">
        <f t="shared" si="3"/>
        <v>B</v>
      </c>
    </row>
    <row r="244" spans="1:4" x14ac:dyDescent="0.25">
      <c r="A244" s="4" t="s">
        <v>87</v>
      </c>
      <c r="B244" s="1">
        <v>0.50998299999999996</v>
      </c>
      <c r="C244" s="1">
        <v>0.50774300000000006</v>
      </c>
      <c r="D244" t="str">
        <f t="shared" si="3"/>
        <v>B</v>
      </c>
    </row>
    <row r="245" spans="1:4" x14ac:dyDescent="0.25">
      <c r="A245" s="4" t="s">
        <v>87</v>
      </c>
      <c r="B245" s="1">
        <v>0.44664599999999999</v>
      </c>
      <c r="C245" s="1">
        <v>0.44944200000000001</v>
      </c>
      <c r="D245" t="str">
        <f t="shared" si="3"/>
        <v>A</v>
      </c>
    </row>
    <row r="246" spans="1:4" x14ac:dyDescent="0.25">
      <c r="A246" s="4" t="s">
        <v>87</v>
      </c>
      <c r="B246" s="1">
        <v>0.61230499999999999</v>
      </c>
      <c r="C246" s="1">
        <v>0.61417299999999997</v>
      </c>
      <c r="D246" t="str">
        <f t="shared" si="3"/>
        <v>A</v>
      </c>
    </row>
    <row r="247" spans="1:4" x14ac:dyDescent="0.25">
      <c r="A247" s="4" t="s">
        <v>87</v>
      </c>
      <c r="B247" s="1">
        <v>0.29541000000000001</v>
      </c>
      <c r="C247" s="1">
        <v>0.29919800000000002</v>
      </c>
      <c r="D247" t="str">
        <f t="shared" si="3"/>
        <v>A</v>
      </c>
    </row>
    <row r="248" spans="1:4" x14ac:dyDescent="0.25">
      <c r="A248" s="4" t="s">
        <v>56</v>
      </c>
      <c r="B248" s="1">
        <v>0.74378100000000003</v>
      </c>
      <c r="C248" s="1">
        <v>0.747197</v>
      </c>
      <c r="D248" t="str">
        <f t="shared" si="3"/>
        <v>A</v>
      </c>
    </row>
    <row r="249" spans="1:4" x14ac:dyDescent="0.25">
      <c r="A249" s="4" t="s">
        <v>132</v>
      </c>
      <c r="B249" s="1">
        <v>0.51571999999999996</v>
      </c>
      <c r="C249" s="1">
        <v>0.51715999999999995</v>
      </c>
      <c r="D249" t="str">
        <f t="shared" si="3"/>
        <v>A</v>
      </c>
    </row>
    <row r="250" spans="1:4" x14ac:dyDescent="0.25">
      <c r="A250" s="4" t="s">
        <v>18</v>
      </c>
      <c r="B250" s="1">
        <v>0.214673</v>
      </c>
      <c r="C250" s="1">
        <v>0.21774499999999999</v>
      </c>
      <c r="D250" t="str">
        <f t="shared" si="3"/>
        <v>A</v>
      </c>
    </row>
    <row r="251" spans="1:4" x14ac:dyDescent="0.25">
      <c r="A251" s="4" t="s">
        <v>85</v>
      </c>
      <c r="B251" s="1">
        <v>0.90568499999999996</v>
      </c>
      <c r="C251" s="1">
        <v>0.90785700000000003</v>
      </c>
      <c r="D251" t="str">
        <f t="shared" si="3"/>
        <v>A</v>
      </c>
    </row>
    <row r="252" spans="1:4" x14ac:dyDescent="0.25">
      <c r="A252" s="4" t="s">
        <v>112</v>
      </c>
      <c r="B252" s="1">
        <v>0.45399299999999998</v>
      </c>
      <c r="C252" s="1">
        <v>0.452185</v>
      </c>
      <c r="D252" t="str">
        <f t="shared" si="3"/>
        <v>B</v>
      </c>
    </row>
    <row r="253" spans="1:4" x14ac:dyDescent="0.25">
      <c r="A253" s="4" t="s">
        <v>103</v>
      </c>
      <c r="B253" s="1">
        <v>0.65021700000000004</v>
      </c>
      <c r="C253" s="1">
        <v>0.64635299999999996</v>
      </c>
      <c r="D253" t="str">
        <f t="shared" si="3"/>
        <v>B</v>
      </c>
    </row>
    <row r="254" spans="1:4" x14ac:dyDescent="0.25">
      <c r="A254" s="4" t="s">
        <v>57</v>
      </c>
      <c r="B254" s="1">
        <v>0.174453</v>
      </c>
      <c r="C254" s="1">
        <v>0.176009</v>
      </c>
      <c r="D254" t="str">
        <f t="shared" si="3"/>
        <v>A</v>
      </c>
    </row>
    <row r="255" spans="1:4" x14ac:dyDescent="0.25">
      <c r="A255" s="4" t="s">
        <v>3</v>
      </c>
      <c r="B255" s="1">
        <v>0.140041</v>
      </c>
      <c r="C255" s="1">
        <v>0.14161699999999999</v>
      </c>
      <c r="D255" t="str">
        <f t="shared" si="3"/>
        <v>A</v>
      </c>
    </row>
    <row r="256" spans="1:4" x14ac:dyDescent="0.25">
      <c r="A256" s="4" t="s">
        <v>4</v>
      </c>
      <c r="B256" s="1">
        <v>0.86221700000000001</v>
      </c>
      <c r="C256" s="1">
        <v>0.85994899999999996</v>
      </c>
      <c r="D256" t="str">
        <f t="shared" si="3"/>
        <v>B</v>
      </c>
    </row>
    <row r="257" spans="1:4" x14ac:dyDescent="0.25">
      <c r="A257" s="4" t="s">
        <v>5</v>
      </c>
      <c r="B257" s="1">
        <v>0.50733099999999998</v>
      </c>
      <c r="C257" s="1">
        <v>0.51071900000000003</v>
      </c>
      <c r="D257" t="str">
        <f t="shared" si="3"/>
        <v>A</v>
      </c>
    </row>
    <row r="258" spans="1:4" x14ac:dyDescent="0.25">
      <c r="A258" s="4" t="s">
        <v>6</v>
      </c>
      <c r="B258" s="1">
        <v>0.89605199999999996</v>
      </c>
      <c r="C258" s="1">
        <v>0.89464399999999999</v>
      </c>
      <c r="D258" t="str">
        <f t="shared" si="3"/>
        <v>B</v>
      </c>
    </row>
    <row r="259" spans="1:4" x14ac:dyDescent="0.25">
      <c r="A259" s="4" t="s">
        <v>7</v>
      </c>
      <c r="B259" s="1">
        <v>0.54949499999999996</v>
      </c>
      <c r="C259" s="1">
        <v>0.54675499999999999</v>
      </c>
      <c r="D259" t="str">
        <f t="shared" ref="D259:D322" si="4">IF(B259&lt;C259,"A","B")</f>
        <v>B</v>
      </c>
    </row>
    <row r="260" spans="1:4" x14ac:dyDescent="0.25">
      <c r="A260" s="4" t="s">
        <v>8</v>
      </c>
      <c r="B260" s="1">
        <v>6.8551000000000001E-2</v>
      </c>
      <c r="C260" s="1">
        <v>6.5270999999999996E-2</v>
      </c>
      <c r="D260" t="str">
        <f t="shared" si="4"/>
        <v>B</v>
      </c>
    </row>
    <row r="261" spans="1:4" x14ac:dyDescent="0.25">
      <c r="A261" s="4" t="s">
        <v>9</v>
      </c>
      <c r="B261" s="1">
        <v>6.9554000000000005E-2</v>
      </c>
      <c r="C261" s="1">
        <v>6.7585999999999993E-2</v>
      </c>
      <c r="D261" t="str">
        <f t="shared" si="4"/>
        <v>B</v>
      </c>
    </row>
    <row r="262" spans="1:4" x14ac:dyDescent="0.25">
      <c r="A262" s="4" t="s">
        <v>10</v>
      </c>
      <c r="B262" s="1">
        <v>0.85223800000000005</v>
      </c>
      <c r="C262" s="1">
        <v>0.84849799999999997</v>
      </c>
      <c r="D262" t="str">
        <f t="shared" si="4"/>
        <v>B</v>
      </c>
    </row>
    <row r="263" spans="1:4" x14ac:dyDescent="0.25">
      <c r="A263" s="4" t="s">
        <v>11</v>
      </c>
      <c r="B263" s="1">
        <v>0.44774900000000001</v>
      </c>
      <c r="C263" s="1">
        <v>0.451573</v>
      </c>
      <c r="D263" t="str">
        <f t="shared" si="4"/>
        <v>A</v>
      </c>
    </row>
    <row r="264" spans="1:4" x14ac:dyDescent="0.25">
      <c r="A264" s="4" t="s">
        <v>12</v>
      </c>
      <c r="B264" s="1">
        <v>0.84136299999999997</v>
      </c>
      <c r="C264" s="1">
        <v>0.83881899999999998</v>
      </c>
      <c r="D264" t="str">
        <f t="shared" si="4"/>
        <v>B</v>
      </c>
    </row>
    <row r="265" spans="1:4" x14ac:dyDescent="0.25">
      <c r="A265" s="4" t="s">
        <v>13</v>
      </c>
      <c r="B265" s="1">
        <v>0.20627400000000001</v>
      </c>
      <c r="C265" s="1">
        <v>0.20369799999999999</v>
      </c>
      <c r="D265" t="str">
        <f t="shared" si="4"/>
        <v>B</v>
      </c>
    </row>
    <row r="266" spans="1:4" x14ac:dyDescent="0.25">
      <c r="A266" s="4" t="s">
        <v>14</v>
      </c>
      <c r="B266" s="1">
        <v>0.53404300000000005</v>
      </c>
      <c r="C266" s="1">
        <v>0.53097899999999998</v>
      </c>
      <c r="D266" t="str">
        <f t="shared" si="4"/>
        <v>B</v>
      </c>
    </row>
    <row r="267" spans="1:4" x14ac:dyDescent="0.25">
      <c r="A267" s="4" t="s">
        <v>15</v>
      </c>
      <c r="B267" s="1">
        <v>0.52019700000000002</v>
      </c>
      <c r="C267" s="1">
        <v>0.52254900000000004</v>
      </c>
      <c r="D267" t="str">
        <f t="shared" si="4"/>
        <v>A</v>
      </c>
    </row>
    <row r="268" spans="1:4" x14ac:dyDescent="0.25">
      <c r="A268" s="4" t="s">
        <v>16</v>
      </c>
      <c r="B268" s="1">
        <v>0.464613</v>
      </c>
      <c r="C268" s="1">
        <v>0.46155299999999999</v>
      </c>
      <c r="D268" t="str">
        <f t="shared" si="4"/>
        <v>B</v>
      </c>
    </row>
    <row r="269" spans="1:4" x14ac:dyDescent="0.25">
      <c r="A269" s="4" t="s">
        <v>17</v>
      </c>
      <c r="B269" s="1">
        <v>0.94928199999999996</v>
      </c>
      <c r="C269" s="1">
        <v>0.94705799999999996</v>
      </c>
      <c r="D269" t="str">
        <f t="shared" si="4"/>
        <v>B</v>
      </c>
    </row>
    <row r="270" spans="1:4" x14ac:dyDescent="0.25">
      <c r="A270" s="4" t="s">
        <v>18</v>
      </c>
      <c r="B270" s="1">
        <v>0.62996300000000005</v>
      </c>
      <c r="C270" s="1">
        <v>0.62636700000000001</v>
      </c>
      <c r="D270" t="str">
        <f t="shared" si="4"/>
        <v>B</v>
      </c>
    </row>
    <row r="271" spans="1:4" x14ac:dyDescent="0.25">
      <c r="A271" s="4" t="s">
        <v>19</v>
      </c>
      <c r="B271" s="1">
        <v>0.76597700000000002</v>
      </c>
      <c r="C271" s="1">
        <v>0.76212500000000005</v>
      </c>
      <c r="D271" t="str">
        <f t="shared" si="4"/>
        <v>B</v>
      </c>
    </row>
    <row r="272" spans="1:4" x14ac:dyDescent="0.25">
      <c r="A272" s="4" t="s">
        <v>20</v>
      </c>
      <c r="B272" s="1">
        <v>0.65905100000000005</v>
      </c>
      <c r="C272" s="1">
        <v>0.662879</v>
      </c>
      <c r="D272" t="str">
        <f t="shared" si="4"/>
        <v>A</v>
      </c>
    </row>
    <row r="273" spans="1:4" x14ac:dyDescent="0.25">
      <c r="A273" s="4" t="s">
        <v>21</v>
      </c>
      <c r="B273" s="1">
        <v>0.88179300000000005</v>
      </c>
      <c r="C273" s="1">
        <v>0.87958099999999995</v>
      </c>
      <c r="D273" t="str">
        <f t="shared" si="4"/>
        <v>B</v>
      </c>
    </row>
    <row r="274" spans="1:4" x14ac:dyDescent="0.25">
      <c r="A274" s="4" t="s">
        <v>22</v>
      </c>
      <c r="B274" s="1">
        <v>0.96188399999999996</v>
      </c>
      <c r="C274" s="1">
        <v>0.95841200000000004</v>
      </c>
      <c r="D274" t="str">
        <f t="shared" si="4"/>
        <v>B</v>
      </c>
    </row>
    <row r="275" spans="1:4" x14ac:dyDescent="0.25">
      <c r="A275" s="4" t="s">
        <v>23</v>
      </c>
      <c r="B275" s="1">
        <v>0.551709</v>
      </c>
      <c r="C275" s="1">
        <v>0.54965699999999995</v>
      </c>
      <c r="D275" t="str">
        <f t="shared" si="4"/>
        <v>B</v>
      </c>
    </row>
    <row r="276" spans="1:4" x14ac:dyDescent="0.25">
      <c r="A276" s="4" t="s">
        <v>24</v>
      </c>
      <c r="B276" s="1">
        <v>0.55516799999999999</v>
      </c>
      <c r="C276" s="1">
        <v>0.55682399999999999</v>
      </c>
      <c r="D276" t="str">
        <f t="shared" si="4"/>
        <v>A</v>
      </c>
    </row>
    <row r="277" spans="1:4" x14ac:dyDescent="0.25">
      <c r="A277" s="4" t="s">
        <v>25</v>
      </c>
      <c r="B277" s="1">
        <v>0.50799799999999995</v>
      </c>
      <c r="C277" s="1">
        <v>0.50580599999999998</v>
      </c>
      <c r="D277" t="str">
        <f t="shared" si="4"/>
        <v>B</v>
      </c>
    </row>
    <row r="278" spans="1:4" x14ac:dyDescent="0.25">
      <c r="A278" s="4" t="s">
        <v>26</v>
      </c>
      <c r="B278" s="1">
        <v>0.29010599999999998</v>
      </c>
      <c r="C278" s="1">
        <v>0.29300599999999999</v>
      </c>
      <c r="D278" t="str">
        <f t="shared" si="4"/>
        <v>A</v>
      </c>
    </row>
    <row r="279" spans="1:4" x14ac:dyDescent="0.25">
      <c r="A279" s="4" t="s">
        <v>27</v>
      </c>
      <c r="B279" s="1">
        <v>0.888069</v>
      </c>
      <c r="C279" s="1">
        <v>0.88534100000000004</v>
      </c>
      <c r="D279" t="str">
        <f t="shared" si="4"/>
        <v>B</v>
      </c>
    </row>
    <row r="280" spans="1:4" x14ac:dyDescent="0.25">
      <c r="A280" s="4" t="s">
        <v>28</v>
      </c>
      <c r="B280" s="1">
        <v>0.29008400000000001</v>
      </c>
      <c r="C280" s="1">
        <v>0.29398800000000003</v>
      </c>
      <c r="D280" t="str">
        <f t="shared" si="4"/>
        <v>A</v>
      </c>
    </row>
    <row r="281" spans="1:4" x14ac:dyDescent="0.25">
      <c r="A281" s="4" t="s">
        <v>29</v>
      </c>
      <c r="B281" s="1">
        <v>0.53885000000000005</v>
      </c>
      <c r="C281" s="1">
        <v>0.53549000000000002</v>
      </c>
      <c r="D281" t="str">
        <f t="shared" si="4"/>
        <v>B</v>
      </c>
    </row>
    <row r="282" spans="1:4" x14ac:dyDescent="0.25">
      <c r="A282" s="4" t="s">
        <v>30</v>
      </c>
      <c r="B282" s="1">
        <v>0.46298299999999998</v>
      </c>
      <c r="C282" s="1">
        <v>0.459231</v>
      </c>
      <c r="D282" t="str">
        <f t="shared" si="4"/>
        <v>B</v>
      </c>
    </row>
    <row r="283" spans="1:4" x14ac:dyDescent="0.25">
      <c r="A283" s="4" t="s">
        <v>31</v>
      </c>
      <c r="B283" s="1">
        <v>7.6189999999999999E-3</v>
      </c>
      <c r="C283" s="1">
        <v>3.8670000000000002E-3</v>
      </c>
      <c r="D283" t="str">
        <f t="shared" si="4"/>
        <v>B</v>
      </c>
    </row>
    <row r="284" spans="1:4" x14ac:dyDescent="0.25">
      <c r="A284" s="4" t="s">
        <v>32</v>
      </c>
      <c r="B284" s="1">
        <v>0.83624799999999999</v>
      </c>
      <c r="C284" s="1">
        <v>0.832376</v>
      </c>
      <c r="D284" t="str">
        <f t="shared" si="4"/>
        <v>B</v>
      </c>
    </row>
    <row r="285" spans="1:4" x14ac:dyDescent="0.25">
      <c r="A285" s="4" t="s">
        <v>33</v>
      </c>
      <c r="B285" s="1">
        <v>0.506386</v>
      </c>
      <c r="C285" s="1">
        <v>0.50263400000000003</v>
      </c>
      <c r="D285" t="str">
        <f t="shared" si="4"/>
        <v>B</v>
      </c>
    </row>
    <row r="286" spans="1:4" x14ac:dyDescent="0.25">
      <c r="A286" s="4" t="s">
        <v>166</v>
      </c>
      <c r="B286" s="1">
        <v>0.30390899999999998</v>
      </c>
      <c r="C286" s="1">
        <v>0.30128100000000002</v>
      </c>
      <c r="D286" t="str">
        <f t="shared" si="4"/>
        <v>B</v>
      </c>
    </row>
    <row r="287" spans="1:4" x14ac:dyDescent="0.25">
      <c r="A287" s="4" t="s">
        <v>428</v>
      </c>
      <c r="B287" s="1">
        <v>0.93484299999999998</v>
      </c>
      <c r="C287" s="1">
        <v>0.93879100000000004</v>
      </c>
      <c r="D287" t="str">
        <f t="shared" si="4"/>
        <v>A</v>
      </c>
    </row>
    <row r="288" spans="1:4" x14ac:dyDescent="0.25">
      <c r="A288" s="4" t="s">
        <v>35</v>
      </c>
      <c r="B288" s="1">
        <v>0.74358000000000002</v>
      </c>
      <c r="C288" s="1">
        <v>0.74584399999999995</v>
      </c>
      <c r="D288" t="str">
        <f t="shared" si="4"/>
        <v>A</v>
      </c>
    </row>
    <row r="289" spans="1:4" x14ac:dyDescent="0.25">
      <c r="A289" s="4" t="s">
        <v>36</v>
      </c>
      <c r="B289" s="1">
        <v>0.89885000000000004</v>
      </c>
      <c r="C289" s="1">
        <v>0.90130200000000005</v>
      </c>
      <c r="D289" t="str">
        <f t="shared" si="4"/>
        <v>A</v>
      </c>
    </row>
    <row r="290" spans="1:4" x14ac:dyDescent="0.25">
      <c r="A290" s="4" t="s">
        <v>37</v>
      </c>
      <c r="B290" s="1">
        <v>0.59133800000000003</v>
      </c>
      <c r="C290" s="1">
        <v>0.59383399999999997</v>
      </c>
      <c r="D290" t="str">
        <f t="shared" si="4"/>
        <v>A</v>
      </c>
    </row>
    <row r="291" spans="1:4" x14ac:dyDescent="0.25">
      <c r="A291" s="4" t="s">
        <v>38</v>
      </c>
      <c r="B291" s="1">
        <v>0.333036</v>
      </c>
      <c r="C291" s="1">
        <v>0.33584799999999998</v>
      </c>
      <c r="D291" t="str">
        <f t="shared" si="4"/>
        <v>A</v>
      </c>
    </row>
    <row r="292" spans="1:4" x14ac:dyDescent="0.25">
      <c r="A292" s="4" t="s">
        <v>167</v>
      </c>
      <c r="B292" s="1">
        <v>0.40695900000000002</v>
      </c>
      <c r="C292" s="1">
        <v>0.40518700000000002</v>
      </c>
      <c r="D292" t="str">
        <f t="shared" si="4"/>
        <v>B</v>
      </c>
    </row>
    <row r="293" spans="1:4" x14ac:dyDescent="0.25">
      <c r="A293" s="4" t="s">
        <v>40</v>
      </c>
      <c r="B293" s="1">
        <v>4.8376000000000002E-2</v>
      </c>
      <c r="C293" s="1">
        <v>4.4811999999999998E-2</v>
      </c>
      <c r="D293" t="str">
        <f t="shared" si="4"/>
        <v>B</v>
      </c>
    </row>
    <row r="294" spans="1:4" x14ac:dyDescent="0.25">
      <c r="A294" s="4" t="s">
        <v>41</v>
      </c>
      <c r="B294" s="1">
        <v>0.93147599999999997</v>
      </c>
      <c r="C294" s="1">
        <v>0.93533999999999995</v>
      </c>
      <c r="D294" t="str">
        <f t="shared" si="4"/>
        <v>A</v>
      </c>
    </row>
    <row r="295" spans="1:4" x14ac:dyDescent="0.25">
      <c r="A295" s="4" t="s">
        <v>168</v>
      </c>
      <c r="B295" s="1">
        <v>0.80745199999999995</v>
      </c>
      <c r="C295" s="1">
        <v>0.80398400000000003</v>
      </c>
      <c r="D295" t="str">
        <f t="shared" si="4"/>
        <v>B</v>
      </c>
    </row>
    <row r="296" spans="1:4" x14ac:dyDescent="0.25">
      <c r="A296" s="4" t="s">
        <v>43</v>
      </c>
      <c r="B296" s="1">
        <v>0.90426899999999999</v>
      </c>
      <c r="C296" s="1">
        <v>0.90110500000000004</v>
      </c>
      <c r="D296" t="str">
        <f t="shared" si="4"/>
        <v>B</v>
      </c>
    </row>
    <row r="297" spans="1:4" x14ac:dyDescent="0.25">
      <c r="A297" s="4" t="s">
        <v>44</v>
      </c>
      <c r="B297" s="1">
        <v>0.35200999999999999</v>
      </c>
      <c r="C297" s="1">
        <v>0.354738</v>
      </c>
      <c r="D297" t="str">
        <f t="shared" si="4"/>
        <v>A</v>
      </c>
    </row>
    <row r="298" spans="1:4" x14ac:dyDescent="0.25">
      <c r="A298" s="4" t="s">
        <v>45</v>
      </c>
      <c r="B298" s="1">
        <v>0.39247599999999999</v>
      </c>
      <c r="C298" s="1">
        <v>0.39583600000000002</v>
      </c>
      <c r="D298" t="str">
        <f t="shared" si="4"/>
        <v>A</v>
      </c>
    </row>
    <row r="299" spans="1:4" x14ac:dyDescent="0.25">
      <c r="A299" s="4" t="s">
        <v>46</v>
      </c>
      <c r="B299" s="1">
        <v>0.42665900000000001</v>
      </c>
      <c r="C299" s="1">
        <v>0.42278300000000002</v>
      </c>
      <c r="D299" t="str">
        <f t="shared" si="4"/>
        <v>B</v>
      </c>
    </row>
    <row r="300" spans="1:4" x14ac:dyDescent="0.25">
      <c r="A300" s="4" t="s">
        <v>47</v>
      </c>
      <c r="B300" s="1">
        <v>0.807975</v>
      </c>
      <c r="C300" s="1">
        <v>0.80529099999999998</v>
      </c>
      <c r="D300" t="str">
        <f t="shared" si="4"/>
        <v>B</v>
      </c>
    </row>
    <row r="301" spans="1:4" x14ac:dyDescent="0.25">
      <c r="A301" s="4" t="s">
        <v>48</v>
      </c>
      <c r="B301" s="1">
        <v>0.79716600000000004</v>
      </c>
      <c r="C301" s="1">
        <v>0.80053399999999997</v>
      </c>
      <c r="D301" t="str">
        <f t="shared" si="4"/>
        <v>A</v>
      </c>
    </row>
    <row r="302" spans="1:4" x14ac:dyDescent="0.25">
      <c r="A302" s="4" t="s">
        <v>49</v>
      </c>
      <c r="B302" s="1">
        <v>0.84440099999999996</v>
      </c>
      <c r="C302" s="1">
        <v>0.84294100000000005</v>
      </c>
      <c r="D302" t="str">
        <f t="shared" si="4"/>
        <v>B</v>
      </c>
    </row>
    <row r="303" spans="1:4" x14ac:dyDescent="0.25">
      <c r="A303" s="4" t="s">
        <v>50</v>
      </c>
      <c r="B303" s="1">
        <v>0.64752100000000001</v>
      </c>
      <c r="C303" s="1">
        <v>0.64468899999999996</v>
      </c>
      <c r="D303" t="str">
        <f t="shared" si="4"/>
        <v>B</v>
      </c>
    </row>
    <row r="304" spans="1:4" x14ac:dyDescent="0.25">
      <c r="A304" s="4" t="s">
        <v>51</v>
      </c>
      <c r="B304" s="1">
        <v>0.61894099999999996</v>
      </c>
      <c r="C304" s="1">
        <v>0.61649299999999996</v>
      </c>
      <c r="D304" t="str">
        <f t="shared" si="4"/>
        <v>B</v>
      </c>
    </row>
    <row r="305" spans="1:4" x14ac:dyDescent="0.25">
      <c r="A305" s="4" t="s">
        <v>52</v>
      </c>
      <c r="B305" s="1">
        <v>0.80732599999999999</v>
      </c>
      <c r="C305" s="1">
        <v>0.80408199999999996</v>
      </c>
      <c r="D305" t="str">
        <f t="shared" si="4"/>
        <v>B</v>
      </c>
    </row>
    <row r="306" spans="1:4" x14ac:dyDescent="0.25">
      <c r="A306" s="4" t="s">
        <v>53</v>
      </c>
      <c r="B306" s="1">
        <v>0.36659199999999997</v>
      </c>
      <c r="C306" s="1">
        <v>0.368896</v>
      </c>
      <c r="D306" t="str">
        <f t="shared" si="4"/>
        <v>A</v>
      </c>
    </row>
    <row r="307" spans="1:4" x14ac:dyDescent="0.25">
      <c r="A307" s="4" t="s">
        <v>54</v>
      </c>
      <c r="B307" s="1">
        <v>0.70056799999999997</v>
      </c>
      <c r="C307" s="1">
        <v>0.70311999999999997</v>
      </c>
      <c r="D307" t="str">
        <f t="shared" si="4"/>
        <v>A</v>
      </c>
    </row>
    <row r="308" spans="1:4" x14ac:dyDescent="0.25">
      <c r="A308" s="4" t="s">
        <v>55</v>
      </c>
      <c r="B308" s="1">
        <v>0.62152399999999997</v>
      </c>
      <c r="C308" s="1">
        <v>0.61756</v>
      </c>
      <c r="D308" t="str">
        <f t="shared" si="4"/>
        <v>B</v>
      </c>
    </row>
    <row r="309" spans="1:4" x14ac:dyDescent="0.25">
      <c r="A309" s="4" t="s">
        <v>56</v>
      </c>
      <c r="B309" s="1">
        <v>5.7780000000000001E-3</v>
      </c>
      <c r="C309" s="1">
        <v>1.7899999999999999E-3</v>
      </c>
      <c r="D309" t="str">
        <f t="shared" si="4"/>
        <v>B</v>
      </c>
    </row>
    <row r="310" spans="1:4" x14ac:dyDescent="0.25">
      <c r="A310" s="4" t="s">
        <v>57</v>
      </c>
      <c r="B310" s="1">
        <v>7.8621999999999997E-2</v>
      </c>
      <c r="C310" s="1">
        <v>7.6165999999999998E-2</v>
      </c>
      <c r="D310" t="str">
        <f t="shared" si="4"/>
        <v>B</v>
      </c>
    </row>
    <row r="311" spans="1:4" x14ac:dyDescent="0.25">
      <c r="A311" s="4" t="s">
        <v>58</v>
      </c>
      <c r="B311" s="1">
        <v>0.314112</v>
      </c>
      <c r="C311" s="1">
        <v>0.31717200000000001</v>
      </c>
      <c r="D311" t="str">
        <f t="shared" si="4"/>
        <v>A</v>
      </c>
    </row>
    <row r="312" spans="1:4" x14ac:dyDescent="0.25">
      <c r="A312" s="4" t="s">
        <v>59</v>
      </c>
      <c r="B312" s="1">
        <v>0.91732499999999995</v>
      </c>
      <c r="C312" s="1">
        <v>0.91552900000000004</v>
      </c>
      <c r="D312" t="str">
        <f t="shared" si="4"/>
        <v>B</v>
      </c>
    </row>
    <row r="313" spans="1:4" x14ac:dyDescent="0.25">
      <c r="A313" s="4" t="s">
        <v>60</v>
      </c>
      <c r="B313" s="1">
        <v>0.56916199999999995</v>
      </c>
      <c r="C313" s="1">
        <v>0.56642999999999999</v>
      </c>
      <c r="D313" t="str">
        <f t="shared" si="4"/>
        <v>B</v>
      </c>
    </row>
    <row r="314" spans="1:4" x14ac:dyDescent="0.25">
      <c r="A314" s="4" t="s">
        <v>61</v>
      </c>
      <c r="B314" s="1">
        <v>0.44656000000000001</v>
      </c>
      <c r="C314" s="1">
        <v>0.449212</v>
      </c>
      <c r="D314" t="str">
        <f t="shared" si="4"/>
        <v>A</v>
      </c>
    </row>
    <row r="315" spans="1:4" x14ac:dyDescent="0.25">
      <c r="A315" s="4" t="s">
        <v>62</v>
      </c>
      <c r="B315" s="1">
        <v>0.61977899999999997</v>
      </c>
      <c r="C315" s="1">
        <v>0.62161100000000002</v>
      </c>
      <c r="D315" t="str">
        <f t="shared" si="4"/>
        <v>A</v>
      </c>
    </row>
    <row r="316" spans="1:4" x14ac:dyDescent="0.25">
      <c r="A316" s="4" t="s">
        <v>63</v>
      </c>
      <c r="B316" s="1">
        <v>0.35734100000000002</v>
      </c>
      <c r="C316" s="1">
        <v>0.355101</v>
      </c>
      <c r="D316" t="str">
        <f t="shared" si="4"/>
        <v>B</v>
      </c>
    </row>
    <row r="317" spans="1:4" x14ac:dyDescent="0.25">
      <c r="A317" s="4" t="s">
        <v>64</v>
      </c>
      <c r="B317" s="1">
        <v>0.31358399999999997</v>
      </c>
      <c r="C317" s="1">
        <v>0.317444</v>
      </c>
      <c r="D317" t="str">
        <f t="shared" si="4"/>
        <v>A</v>
      </c>
    </row>
    <row r="318" spans="1:4" x14ac:dyDescent="0.25">
      <c r="A318" s="4" t="s">
        <v>65</v>
      </c>
      <c r="B318" s="1">
        <v>0.51582700000000004</v>
      </c>
      <c r="C318" s="1">
        <v>0.51399899999999998</v>
      </c>
      <c r="D318" t="str">
        <f t="shared" si="4"/>
        <v>B</v>
      </c>
    </row>
    <row r="319" spans="1:4" x14ac:dyDescent="0.25">
      <c r="A319" s="4" t="s">
        <v>66</v>
      </c>
      <c r="B319" s="1">
        <v>0.336086</v>
      </c>
      <c r="C319" s="1">
        <v>0.33219799999999999</v>
      </c>
      <c r="D319" t="str">
        <f t="shared" si="4"/>
        <v>B</v>
      </c>
    </row>
    <row r="320" spans="1:4" x14ac:dyDescent="0.25">
      <c r="A320" s="4" t="s">
        <v>67</v>
      </c>
      <c r="B320" s="1">
        <v>0.60153500000000004</v>
      </c>
      <c r="C320" s="1">
        <v>0.59848699999999999</v>
      </c>
      <c r="D320" t="str">
        <f t="shared" si="4"/>
        <v>B</v>
      </c>
    </row>
    <row r="321" spans="1:4" x14ac:dyDescent="0.25">
      <c r="A321" s="4" t="s">
        <v>68</v>
      </c>
      <c r="B321" s="1">
        <v>0.52852399999999999</v>
      </c>
      <c r="C321" s="1">
        <v>0.52494399999999997</v>
      </c>
      <c r="D321" t="str">
        <f t="shared" si="4"/>
        <v>B</v>
      </c>
    </row>
    <row r="322" spans="1:4" x14ac:dyDescent="0.25">
      <c r="A322" s="4" t="s">
        <v>69</v>
      </c>
      <c r="B322" s="1">
        <v>0.52150200000000002</v>
      </c>
      <c r="C322" s="1">
        <v>0.517926</v>
      </c>
      <c r="D322" t="str">
        <f t="shared" si="4"/>
        <v>B</v>
      </c>
    </row>
    <row r="323" spans="1:4" x14ac:dyDescent="0.25">
      <c r="A323" s="4" t="s">
        <v>70</v>
      </c>
      <c r="B323" s="1">
        <v>0.55355699999999997</v>
      </c>
      <c r="C323" s="1">
        <v>0.55564499999999994</v>
      </c>
      <c r="D323" t="str">
        <f t="shared" ref="D323:D386" si="5">IF(B323&lt;C323,"A","B")</f>
        <v>A</v>
      </c>
    </row>
    <row r="324" spans="1:4" x14ac:dyDescent="0.25">
      <c r="A324" s="4" t="s">
        <v>71</v>
      </c>
      <c r="B324" s="1">
        <v>0.61365199999999998</v>
      </c>
      <c r="C324" s="1">
        <v>0.61106000000000005</v>
      </c>
      <c r="D324" t="str">
        <f t="shared" si="5"/>
        <v>B</v>
      </c>
    </row>
    <row r="325" spans="1:4" x14ac:dyDescent="0.25">
      <c r="A325" s="4" t="s">
        <v>72</v>
      </c>
      <c r="B325" s="1">
        <v>0.35344900000000001</v>
      </c>
      <c r="C325" s="1">
        <v>0.35718100000000003</v>
      </c>
      <c r="D325" t="str">
        <f t="shared" si="5"/>
        <v>A</v>
      </c>
    </row>
    <row r="326" spans="1:4" x14ac:dyDescent="0.25">
      <c r="A326" s="4" t="s">
        <v>73</v>
      </c>
      <c r="B326" s="1">
        <v>0.31540200000000002</v>
      </c>
      <c r="C326" s="1">
        <v>0.31398599999999999</v>
      </c>
      <c r="D326" t="str">
        <f t="shared" si="5"/>
        <v>B</v>
      </c>
    </row>
    <row r="327" spans="1:4" x14ac:dyDescent="0.25">
      <c r="A327" s="4" t="s">
        <v>74</v>
      </c>
      <c r="B327" s="1">
        <v>0.20558899999999999</v>
      </c>
      <c r="C327" s="1">
        <v>0.20712900000000001</v>
      </c>
      <c r="D327" t="str">
        <f t="shared" si="5"/>
        <v>A</v>
      </c>
    </row>
    <row r="328" spans="1:4" x14ac:dyDescent="0.25">
      <c r="A328" s="4" t="s">
        <v>75</v>
      </c>
      <c r="B328" s="1">
        <v>0.87064699999999995</v>
      </c>
      <c r="C328" s="1">
        <v>0.87361100000000003</v>
      </c>
      <c r="D328" t="str">
        <f t="shared" si="5"/>
        <v>A</v>
      </c>
    </row>
    <row r="329" spans="1:4" x14ac:dyDescent="0.25">
      <c r="A329" s="4" t="s">
        <v>76</v>
      </c>
      <c r="B329" s="1">
        <v>6.5492999999999996E-2</v>
      </c>
      <c r="C329" s="1">
        <v>6.8885000000000002E-2</v>
      </c>
      <c r="D329" t="str">
        <f t="shared" si="5"/>
        <v>A</v>
      </c>
    </row>
    <row r="330" spans="1:4" x14ac:dyDescent="0.25">
      <c r="A330" s="4" t="s">
        <v>77</v>
      </c>
      <c r="B330" s="1">
        <v>0.32361200000000001</v>
      </c>
      <c r="C330" s="1">
        <v>0.31988800000000001</v>
      </c>
      <c r="D330" t="str">
        <f t="shared" si="5"/>
        <v>B</v>
      </c>
    </row>
    <row r="331" spans="1:4" x14ac:dyDescent="0.25">
      <c r="A331" s="4" t="s">
        <v>78</v>
      </c>
      <c r="B331" s="1">
        <v>0.93040699999999998</v>
      </c>
      <c r="C331" s="1">
        <v>0.93328299999999997</v>
      </c>
      <c r="D331" t="str">
        <f t="shared" si="5"/>
        <v>A</v>
      </c>
    </row>
    <row r="332" spans="1:4" x14ac:dyDescent="0.25">
      <c r="A332" s="4" t="s">
        <v>79</v>
      </c>
      <c r="B332" s="1">
        <v>0.22035199999999999</v>
      </c>
      <c r="C332" s="1">
        <v>0.21679999999999999</v>
      </c>
      <c r="D332" t="str">
        <f t="shared" si="5"/>
        <v>B</v>
      </c>
    </row>
    <row r="333" spans="1:4" x14ac:dyDescent="0.25">
      <c r="A333" s="4" t="s">
        <v>80</v>
      </c>
      <c r="B333" s="1">
        <v>0.58458699999999997</v>
      </c>
      <c r="C333" s="1">
        <v>0.58833899999999995</v>
      </c>
      <c r="D333" t="str">
        <f t="shared" si="5"/>
        <v>A</v>
      </c>
    </row>
    <row r="334" spans="1:4" x14ac:dyDescent="0.25">
      <c r="A334" s="4" t="s">
        <v>81</v>
      </c>
      <c r="B334" s="1">
        <v>0.553678</v>
      </c>
      <c r="C334" s="1">
        <v>0.55054599999999998</v>
      </c>
      <c r="D334" t="str">
        <f t="shared" si="5"/>
        <v>B</v>
      </c>
    </row>
    <row r="335" spans="1:4" x14ac:dyDescent="0.25">
      <c r="A335" s="4" t="s">
        <v>82</v>
      </c>
      <c r="B335" s="1">
        <v>0.34303299999999998</v>
      </c>
      <c r="C335" s="1">
        <v>0.34460099999999999</v>
      </c>
      <c r="D335" t="str">
        <f t="shared" si="5"/>
        <v>A</v>
      </c>
    </row>
    <row r="336" spans="1:4" x14ac:dyDescent="0.25">
      <c r="A336" s="4" t="s">
        <v>83</v>
      </c>
      <c r="B336" s="1">
        <v>0.48969400000000002</v>
      </c>
      <c r="C336" s="1">
        <v>0.48625800000000002</v>
      </c>
      <c r="D336" t="str">
        <f t="shared" si="5"/>
        <v>B</v>
      </c>
    </row>
    <row r="337" spans="1:4" x14ac:dyDescent="0.25">
      <c r="A337" s="4" t="s">
        <v>84</v>
      </c>
      <c r="B337" s="1">
        <v>0.51541800000000004</v>
      </c>
      <c r="C337" s="1">
        <v>0.51847399999999999</v>
      </c>
      <c r="D337" t="str">
        <f t="shared" si="5"/>
        <v>A</v>
      </c>
    </row>
    <row r="338" spans="1:4" x14ac:dyDescent="0.25">
      <c r="A338" s="4" t="s">
        <v>85</v>
      </c>
      <c r="B338" s="1">
        <v>0.139958</v>
      </c>
      <c r="C338" s="1">
        <v>0.14291400000000001</v>
      </c>
      <c r="D338" t="str">
        <f t="shared" si="5"/>
        <v>A</v>
      </c>
    </row>
    <row r="339" spans="1:4" x14ac:dyDescent="0.25">
      <c r="A339" s="4" t="s">
        <v>169</v>
      </c>
      <c r="B339" s="1">
        <v>0.60565199999999997</v>
      </c>
      <c r="C339" s="1">
        <v>0.60829999999999995</v>
      </c>
      <c r="D339" t="str">
        <f t="shared" si="5"/>
        <v>A</v>
      </c>
    </row>
    <row r="340" spans="1:4" x14ac:dyDescent="0.25">
      <c r="A340" s="4" t="s">
        <v>87</v>
      </c>
      <c r="B340" s="1">
        <v>0.517347</v>
      </c>
      <c r="C340" s="1">
        <v>0.51533499999999999</v>
      </c>
      <c r="D340" t="str">
        <f t="shared" si="5"/>
        <v>B</v>
      </c>
    </row>
    <row r="341" spans="1:4" x14ac:dyDescent="0.25">
      <c r="A341" s="4" t="s">
        <v>88</v>
      </c>
      <c r="B341" s="1">
        <v>0.48257800000000001</v>
      </c>
      <c r="C341" s="1">
        <v>0.480354</v>
      </c>
      <c r="D341" t="str">
        <f t="shared" si="5"/>
        <v>B</v>
      </c>
    </row>
    <row r="342" spans="1:4" x14ac:dyDescent="0.25">
      <c r="A342" s="4" t="s">
        <v>89</v>
      </c>
      <c r="B342" s="1">
        <v>0.42967</v>
      </c>
      <c r="C342" s="1">
        <v>0.42654599999999998</v>
      </c>
      <c r="D342" t="str">
        <f t="shared" si="5"/>
        <v>B</v>
      </c>
    </row>
    <row r="343" spans="1:4" x14ac:dyDescent="0.25">
      <c r="A343" s="4" t="s">
        <v>90</v>
      </c>
      <c r="B343" s="1">
        <v>0.271982</v>
      </c>
      <c r="C343" s="1">
        <v>0.26878999999999997</v>
      </c>
      <c r="D343" t="str">
        <f t="shared" si="5"/>
        <v>B</v>
      </c>
    </row>
    <row r="344" spans="1:4" x14ac:dyDescent="0.25">
      <c r="A344" s="4" t="s">
        <v>91</v>
      </c>
      <c r="B344" s="1">
        <v>0.97138999999999998</v>
      </c>
      <c r="C344" s="1">
        <v>0.97505799999999998</v>
      </c>
      <c r="D344" t="str">
        <f t="shared" si="5"/>
        <v>A</v>
      </c>
    </row>
    <row r="345" spans="1:4" x14ac:dyDescent="0.25">
      <c r="A345" s="4" t="s">
        <v>92</v>
      </c>
      <c r="B345" s="1">
        <v>0.78457500000000002</v>
      </c>
      <c r="C345" s="1">
        <v>0.78705899999999995</v>
      </c>
      <c r="D345" t="str">
        <f t="shared" si="5"/>
        <v>A</v>
      </c>
    </row>
    <row r="346" spans="1:4" x14ac:dyDescent="0.25">
      <c r="A346" s="4" t="s">
        <v>93</v>
      </c>
      <c r="B346" s="1">
        <v>0.64764299999999997</v>
      </c>
      <c r="C346" s="1">
        <v>0.64919099999999996</v>
      </c>
      <c r="D346" t="str">
        <f t="shared" si="5"/>
        <v>A</v>
      </c>
    </row>
    <row r="347" spans="1:4" x14ac:dyDescent="0.25">
      <c r="A347" s="4" t="s">
        <v>94</v>
      </c>
      <c r="B347" s="1">
        <v>0.44351000000000002</v>
      </c>
      <c r="C347" s="1">
        <v>0.44622200000000001</v>
      </c>
      <c r="D347" t="str">
        <f t="shared" si="5"/>
        <v>A</v>
      </c>
    </row>
    <row r="348" spans="1:4" x14ac:dyDescent="0.25">
      <c r="A348" s="4" t="s">
        <v>95</v>
      </c>
      <c r="B348" s="1">
        <v>0.18242900000000001</v>
      </c>
      <c r="C348" s="1">
        <v>0.18092900000000001</v>
      </c>
      <c r="D348" t="str">
        <f t="shared" si="5"/>
        <v>B</v>
      </c>
    </row>
    <row r="349" spans="1:4" x14ac:dyDescent="0.25">
      <c r="A349" s="4" t="s">
        <v>96</v>
      </c>
      <c r="B349" s="1">
        <v>0.699542</v>
      </c>
      <c r="C349" s="1">
        <v>0.70160199999999995</v>
      </c>
      <c r="D349" t="str">
        <f t="shared" si="5"/>
        <v>A</v>
      </c>
    </row>
    <row r="350" spans="1:4" x14ac:dyDescent="0.25">
      <c r="A350" s="4" t="s">
        <v>97</v>
      </c>
      <c r="B350" s="1">
        <v>0.79618299999999997</v>
      </c>
      <c r="C350" s="1">
        <v>0.79799500000000001</v>
      </c>
      <c r="D350" t="str">
        <f t="shared" si="5"/>
        <v>A</v>
      </c>
    </row>
    <row r="351" spans="1:4" x14ac:dyDescent="0.25">
      <c r="A351" s="4" t="s">
        <v>98</v>
      </c>
      <c r="B351" s="1">
        <v>0.456841</v>
      </c>
      <c r="C351" s="1">
        <v>0.45322499999999999</v>
      </c>
      <c r="D351" t="str">
        <f t="shared" si="5"/>
        <v>B</v>
      </c>
    </row>
    <row r="352" spans="1:4" x14ac:dyDescent="0.25">
      <c r="A352" s="4" t="s">
        <v>99</v>
      </c>
      <c r="B352" s="1">
        <v>0.51575599999999999</v>
      </c>
      <c r="C352" s="1">
        <v>0.51722000000000001</v>
      </c>
      <c r="D352" t="str">
        <f t="shared" si="5"/>
        <v>A</v>
      </c>
    </row>
    <row r="353" spans="1:4" x14ac:dyDescent="0.25">
      <c r="A353" s="4" t="s">
        <v>100</v>
      </c>
      <c r="B353" s="1">
        <v>0.98372400000000004</v>
      </c>
      <c r="C353" s="1">
        <v>0.98587599999999997</v>
      </c>
      <c r="D353" t="str">
        <f t="shared" si="5"/>
        <v>A</v>
      </c>
    </row>
    <row r="354" spans="1:4" x14ac:dyDescent="0.25">
      <c r="A354" s="4" t="s">
        <v>101</v>
      </c>
      <c r="B354" s="1">
        <v>0.37134800000000001</v>
      </c>
      <c r="C354" s="1">
        <v>0.374724</v>
      </c>
      <c r="D354" t="str">
        <f t="shared" si="5"/>
        <v>A</v>
      </c>
    </row>
    <row r="355" spans="1:4" x14ac:dyDescent="0.25">
      <c r="A355" s="4" t="s">
        <v>102</v>
      </c>
      <c r="B355" s="1">
        <v>0.69207300000000005</v>
      </c>
      <c r="C355" s="1">
        <v>0.68920499999999996</v>
      </c>
      <c r="D355" t="str">
        <f t="shared" si="5"/>
        <v>B</v>
      </c>
    </row>
    <row r="356" spans="1:4" x14ac:dyDescent="0.25">
      <c r="A356" s="4" t="s">
        <v>103</v>
      </c>
      <c r="B356" s="1">
        <v>0.28323100000000001</v>
      </c>
      <c r="C356" s="1">
        <v>0.28487099999999999</v>
      </c>
      <c r="D356" t="str">
        <f t="shared" si="5"/>
        <v>A</v>
      </c>
    </row>
    <row r="357" spans="1:4" x14ac:dyDescent="0.25">
      <c r="A357" s="4" t="s">
        <v>104</v>
      </c>
      <c r="B357" s="1">
        <v>0.18839400000000001</v>
      </c>
      <c r="C357" s="1">
        <v>0.191078</v>
      </c>
      <c r="D357" t="str">
        <f t="shared" si="5"/>
        <v>A</v>
      </c>
    </row>
    <row r="358" spans="1:4" x14ac:dyDescent="0.25">
      <c r="A358" s="4" t="s">
        <v>105</v>
      </c>
      <c r="B358" s="1">
        <v>9.3122999999999997E-2</v>
      </c>
      <c r="C358" s="1">
        <v>9.0423000000000003E-2</v>
      </c>
      <c r="D358" t="str">
        <f t="shared" si="5"/>
        <v>B</v>
      </c>
    </row>
    <row r="359" spans="1:4" x14ac:dyDescent="0.25">
      <c r="A359" s="4" t="s">
        <v>106</v>
      </c>
      <c r="B359" s="1">
        <v>0.97974099999999997</v>
      </c>
      <c r="C359" s="1">
        <v>0.98368500000000003</v>
      </c>
      <c r="D359" t="str">
        <f t="shared" si="5"/>
        <v>A</v>
      </c>
    </row>
    <row r="360" spans="1:4" x14ac:dyDescent="0.25">
      <c r="A360" s="4" t="s">
        <v>107</v>
      </c>
      <c r="B360" s="1">
        <v>0.40933199999999997</v>
      </c>
      <c r="C360" s="1">
        <v>0.41129199999999999</v>
      </c>
      <c r="D360" t="str">
        <f t="shared" si="5"/>
        <v>A</v>
      </c>
    </row>
    <row r="361" spans="1:4" x14ac:dyDescent="0.25">
      <c r="A361" s="4" t="s">
        <v>108</v>
      </c>
      <c r="B361" s="1">
        <v>0.39525900000000003</v>
      </c>
      <c r="C361" s="1">
        <v>0.39127499999999998</v>
      </c>
      <c r="D361" t="str">
        <f t="shared" si="5"/>
        <v>B</v>
      </c>
    </row>
    <row r="362" spans="1:4" x14ac:dyDescent="0.25">
      <c r="A362" s="4" t="s">
        <v>109</v>
      </c>
      <c r="B362" s="1">
        <v>0.30027799999999999</v>
      </c>
      <c r="C362" s="1">
        <v>0.30407800000000001</v>
      </c>
      <c r="D362" t="str">
        <f t="shared" si="5"/>
        <v>A</v>
      </c>
    </row>
    <row r="363" spans="1:4" x14ac:dyDescent="0.25">
      <c r="A363" s="4" t="s">
        <v>110</v>
      </c>
      <c r="B363" s="1">
        <v>0.56430000000000002</v>
      </c>
      <c r="C363" s="1">
        <v>0.56179999999999997</v>
      </c>
      <c r="D363" t="str">
        <f t="shared" si="5"/>
        <v>B</v>
      </c>
    </row>
    <row r="364" spans="1:4" x14ac:dyDescent="0.25">
      <c r="A364" s="4" t="s">
        <v>429</v>
      </c>
      <c r="B364" s="1">
        <v>0.192581</v>
      </c>
      <c r="C364" s="1">
        <v>0.18934500000000001</v>
      </c>
      <c r="D364" t="str">
        <f t="shared" si="5"/>
        <v>B</v>
      </c>
    </row>
    <row r="365" spans="1:4" x14ac:dyDescent="0.25">
      <c r="A365" s="4" t="s">
        <v>111</v>
      </c>
      <c r="B365" s="1">
        <v>0.66062200000000004</v>
      </c>
      <c r="C365" s="1">
        <v>0.65834599999999999</v>
      </c>
      <c r="D365" t="str">
        <f t="shared" si="5"/>
        <v>B</v>
      </c>
    </row>
    <row r="366" spans="1:4" x14ac:dyDescent="0.25">
      <c r="A366" s="4" t="s">
        <v>112</v>
      </c>
      <c r="B366" s="1">
        <v>0.85606400000000005</v>
      </c>
      <c r="C366" s="1">
        <v>0.85216400000000003</v>
      </c>
      <c r="D366" t="str">
        <f t="shared" si="5"/>
        <v>B</v>
      </c>
    </row>
    <row r="367" spans="1:4" x14ac:dyDescent="0.25">
      <c r="A367" s="4" t="s">
        <v>113</v>
      </c>
      <c r="B367" s="1">
        <v>0.93603599999999998</v>
      </c>
      <c r="C367" s="1">
        <v>0.93963600000000003</v>
      </c>
      <c r="D367" t="str">
        <f t="shared" si="5"/>
        <v>A</v>
      </c>
    </row>
    <row r="368" spans="1:4" x14ac:dyDescent="0.25">
      <c r="A368" s="4" t="s">
        <v>114</v>
      </c>
      <c r="B368" s="1">
        <v>0.56009799999999998</v>
      </c>
      <c r="C368" s="1">
        <v>0.55808599999999997</v>
      </c>
      <c r="D368" t="str">
        <f t="shared" si="5"/>
        <v>B</v>
      </c>
    </row>
    <row r="369" spans="1:4" x14ac:dyDescent="0.25">
      <c r="A369" s="4" t="s">
        <v>115</v>
      </c>
      <c r="B369" s="1">
        <v>0.98607599999999995</v>
      </c>
      <c r="C369" s="1">
        <v>0.98280400000000001</v>
      </c>
      <c r="D369" t="str">
        <f t="shared" si="5"/>
        <v>B</v>
      </c>
    </row>
    <row r="370" spans="1:4" x14ac:dyDescent="0.25">
      <c r="A370" s="4" t="s">
        <v>116</v>
      </c>
      <c r="B370" s="1">
        <v>0.31276999999999999</v>
      </c>
      <c r="C370" s="1">
        <v>0.31504599999999999</v>
      </c>
      <c r="D370" t="str">
        <f t="shared" si="5"/>
        <v>A</v>
      </c>
    </row>
    <row r="371" spans="1:4" x14ac:dyDescent="0.25">
      <c r="A371" s="4" t="s">
        <v>75</v>
      </c>
      <c r="B371" s="1">
        <v>0.66879599999999995</v>
      </c>
      <c r="C371" s="1">
        <v>0.67200400000000005</v>
      </c>
      <c r="D371" t="str">
        <f t="shared" si="5"/>
        <v>A</v>
      </c>
    </row>
    <row r="372" spans="1:4" x14ac:dyDescent="0.25">
      <c r="A372" s="4" t="s">
        <v>117</v>
      </c>
      <c r="B372" s="1">
        <v>0.26135000000000003</v>
      </c>
      <c r="C372" s="1">
        <v>0.26341399999999998</v>
      </c>
      <c r="D372" t="str">
        <f t="shared" si="5"/>
        <v>A</v>
      </c>
    </row>
    <row r="373" spans="1:4" x14ac:dyDescent="0.25">
      <c r="A373" s="4" t="s">
        <v>118</v>
      </c>
      <c r="B373" s="1">
        <v>0.657829</v>
      </c>
      <c r="C373" s="1">
        <v>0.65565300000000004</v>
      </c>
      <c r="D373" t="str">
        <f t="shared" si="5"/>
        <v>B</v>
      </c>
    </row>
    <row r="374" spans="1:4" x14ac:dyDescent="0.25">
      <c r="A374" s="4" t="s">
        <v>119</v>
      </c>
      <c r="B374" s="1">
        <v>0.80451099999999998</v>
      </c>
      <c r="C374" s="1">
        <v>0.80257900000000004</v>
      </c>
      <c r="D374" t="str">
        <f t="shared" si="5"/>
        <v>B</v>
      </c>
    </row>
    <row r="375" spans="1:4" x14ac:dyDescent="0.25">
      <c r="A375" s="4" t="s">
        <v>120</v>
      </c>
      <c r="B375" s="1">
        <v>0.42249799999999998</v>
      </c>
      <c r="C375" s="1">
        <v>0.42418600000000001</v>
      </c>
      <c r="D375" t="str">
        <f t="shared" si="5"/>
        <v>A</v>
      </c>
    </row>
    <row r="376" spans="1:4" x14ac:dyDescent="0.25">
      <c r="A376" s="4" t="s">
        <v>121</v>
      </c>
      <c r="B376" s="1">
        <v>0.49659500000000001</v>
      </c>
      <c r="C376" s="1">
        <v>0.494703</v>
      </c>
      <c r="D376" t="str">
        <f t="shared" si="5"/>
        <v>B</v>
      </c>
    </row>
    <row r="377" spans="1:4" x14ac:dyDescent="0.25">
      <c r="A377" s="4" t="s">
        <v>122</v>
      </c>
      <c r="B377" s="1">
        <v>3.8954000000000003E-2</v>
      </c>
      <c r="C377" s="1">
        <v>4.0722000000000001E-2</v>
      </c>
      <c r="D377" t="str">
        <f t="shared" si="5"/>
        <v>A</v>
      </c>
    </row>
    <row r="378" spans="1:4" x14ac:dyDescent="0.25">
      <c r="A378" s="4" t="s">
        <v>123</v>
      </c>
      <c r="B378" s="1">
        <v>0.97869200000000001</v>
      </c>
      <c r="C378" s="1">
        <v>0.97506400000000004</v>
      </c>
      <c r="D378" t="str">
        <f t="shared" si="5"/>
        <v>B</v>
      </c>
    </row>
    <row r="379" spans="1:4" x14ac:dyDescent="0.25">
      <c r="A379" s="4" t="s">
        <v>124</v>
      </c>
      <c r="B379" s="1">
        <v>0.37814999999999999</v>
      </c>
      <c r="C379" s="1">
        <v>0.38008599999999998</v>
      </c>
      <c r="D379" t="str">
        <f t="shared" si="5"/>
        <v>A</v>
      </c>
    </row>
    <row r="380" spans="1:4" x14ac:dyDescent="0.25">
      <c r="A380" s="4" t="s">
        <v>125</v>
      </c>
      <c r="B380" s="1">
        <v>0.93394999999999995</v>
      </c>
      <c r="C380" s="1">
        <v>0.93237000000000003</v>
      </c>
      <c r="D380" t="str">
        <f t="shared" si="5"/>
        <v>B</v>
      </c>
    </row>
    <row r="381" spans="1:4" x14ac:dyDescent="0.25">
      <c r="A381" s="4" t="s">
        <v>87</v>
      </c>
      <c r="B381" s="1">
        <v>0.56462000000000001</v>
      </c>
      <c r="C381" s="1">
        <v>0.56223999999999996</v>
      </c>
      <c r="D381" t="str">
        <f t="shared" si="5"/>
        <v>B</v>
      </c>
    </row>
    <row r="382" spans="1:4" x14ac:dyDescent="0.25">
      <c r="A382" s="4" t="s">
        <v>126</v>
      </c>
      <c r="B382" s="1">
        <v>0.63802199999999998</v>
      </c>
      <c r="C382" s="1">
        <v>0.64200199999999996</v>
      </c>
      <c r="D382" t="str">
        <f t="shared" si="5"/>
        <v>A</v>
      </c>
    </row>
    <row r="383" spans="1:4" x14ac:dyDescent="0.25">
      <c r="A383" s="4" t="s">
        <v>127</v>
      </c>
      <c r="B383" s="1">
        <v>0.74746999999999997</v>
      </c>
      <c r="C383" s="1">
        <v>0.74487400000000004</v>
      </c>
      <c r="D383" t="str">
        <f t="shared" si="5"/>
        <v>B</v>
      </c>
    </row>
    <row r="384" spans="1:4" x14ac:dyDescent="0.25">
      <c r="A384" s="4" t="s">
        <v>128</v>
      </c>
      <c r="B384" s="1">
        <v>0.63809400000000005</v>
      </c>
      <c r="C384" s="1">
        <v>0.63576600000000005</v>
      </c>
      <c r="D384" t="str">
        <f t="shared" si="5"/>
        <v>B</v>
      </c>
    </row>
    <row r="385" spans="1:4" x14ac:dyDescent="0.25">
      <c r="A385" s="4" t="s">
        <v>129</v>
      </c>
      <c r="B385" s="1">
        <v>0.30509900000000001</v>
      </c>
      <c r="C385" s="1">
        <v>0.308195</v>
      </c>
      <c r="D385" t="str">
        <f t="shared" si="5"/>
        <v>A</v>
      </c>
    </row>
    <row r="386" spans="1:4" x14ac:dyDescent="0.25">
      <c r="A386" s="4" t="s">
        <v>130</v>
      </c>
      <c r="B386" s="1">
        <v>0.23073199999999999</v>
      </c>
      <c r="C386" s="1">
        <v>0.22701199999999999</v>
      </c>
      <c r="D386" t="str">
        <f t="shared" si="5"/>
        <v>B</v>
      </c>
    </row>
    <row r="387" spans="1:4" x14ac:dyDescent="0.25">
      <c r="A387" s="4" t="s">
        <v>131</v>
      </c>
      <c r="B387" s="1">
        <v>0.64960200000000001</v>
      </c>
      <c r="C387" s="1">
        <v>0.65140200000000004</v>
      </c>
      <c r="D387" t="str">
        <f t="shared" ref="D387:D450" si="6">IF(B387&lt;C387,"A","B")</f>
        <v>A</v>
      </c>
    </row>
    <row r="388" spans="1:4" x14ac:dyDescent="0.25">
      <c r="A388" s="4" t="s">
        <v>132</v>
      </c>
      <c r="B388" s="1">
        <v>0.64908500000000002</v>
      </c>
      <c r="C388" s="1">
        <v>0.65082499999999999</v>
      </c>
      <c r="D388" t="str">
        <f t="shared" si="6"/>
        <v>A</v>
      </c>
    </row>
    <row r="389" spans="1:4" x14ac:dyDescent="0.25">
      <c r="A389" s="4" t="s">
        <v>170</v>
      </c>
      <c r="B389" s="1">
        <v>0.46080500000000002</v>
      </c>
      <c r="C389" s="1">
        <v>0.46401300000000001</v>
      </c>
      <c r="D389" t="str">
        <f t="shared" si="6"/>
        <v>A</v>
      </c>
    </row>
    <row r="390" spans="1:4" x14ac:dyDescent="0.25">
      <c r="A390" s="4" t="s">
        <v>134</v>
      </c>
      <c r="B390" s="1">
        <v>0.86431400000000003</v>
      </c>
      <c r="C390" s="1">
        <v>0.86280199999999996</v>
      </c>
      <c r="D390" t="str">
        <f t="shared" si="6"/>
        <v>B</v>
      </c>
    </row>
    <row r="391" spans="1:4" x14ac:dyDescent="0.25">
      <c r="A391" s="4" t="s">
        <v>135</v>
      </c>
      <c r="B391" s="1">
        <v>0.55270699999999995</v>
      </c>
      <c r="C391" s="1">
        <v>0.55523100000000003</v>
      </c>
      <c r="D391" t="str">
        <f t="shared" si="6"/>
        <v>A</v>
      </c>
    </row>
    <row r="392" spans="1:4" x14ac:dyDescent="0.25">
      <c r="A392" s="4" t="s">
        <v>136</v>
      </c>
      <c r="B392" s="1">
        <v>0.41161799999999998</v>
      </c>
      <c r="C392" s="1">
        <v>0.40927400000000003</v>
      </c>
      <c r="D392" t="str">
        <f t="shared" si="6"/>
        <v>B</v>
      </c>
    </row>
    <row r="393" spans="1:4" x14ac:dyDescent="0.25">
      <c r="A393" s="4" t="s">
        <v>137</v>
      </c>
      <c r="B393" s="1">
        <v>0.15091399999999999</v>
      </c>
      <c r="C393" s="1">
        <v>0.14927399999999999</v>
      </c>
      <c r="D393" t="str">
        <f t="shared" si="6"/>
        <v>B</v>
      </c>
    </row>
    <row r="394" spans="1:4" x14ac:dyDescent="0.25">
      <c r="A394" s="4" t="s">
        <v>138</v>
      </c>
      <c r="B394" s="1">
        <v>0.92752500000000004</v>
      </c>
      <c r="C394" s="1">
        <v>0.92424099999999998</v>
      </c>
      <c r="D394" t="str">
        <f t="shared" si="6"/>
        <v>B</v>
      </c>
    </row>
    <row r="395" spans="1:4" x14ac:dyDescent="0.25">
      <c r="A395" s="4" t="s">
        <v>139</v>
      </c>
      <c r="B395" s="1">
        <v>0.89180499999999996</v>
      </c>
      <c r="C395" s="1">
        <v>0.89452100000000001</v>
      </c>
      <c r="D395" t="str">
        <f t="shared" si="6"/>
        <v>A</v>
      </c>
    </row>
    <row r="396" spans="1:4" x14ac:dyDescent="0.25">
      <c r="A396" s="4" t="s">
        <v>140</v>
      </c>
      <c r="B396" s="1">
        <v>0.94930499999999995</v>
      </c>
      <c r="C396" s="1">
        <v>0.95100099999999999</v>
      </c>
      <c r="D396" t="str">
        <f t="shared" si="6"/>
        <v>A</v>
      </c>
    </row>
    <row r="397" spans="1:4" x14ac:dyDescent="0.25">
      <c r="A397" s="4" t="s">
        <v>141</v>
      </c>
      <c r="B397" s="1">
        <v>0.99470000000000003</v>
      </c>
      <c r="C397" s="1">
        <v>0.99698399999999998</v>
      </c>
      <c r="D397" t="str">
        <f t="shared" si="6"/>
        <v>A</v>
      </c>
    </row>
    <row r="398" spans="1:4" x14ac:dyDescent="0.25">
      <c r="A398" s="4" t="s">
        <v>142</v>
      </c>
      <c r="B398" s="1">
        <v>0.924736</v>
      </c>
      <c r="C398" s="1">
        <v>0.92187600000000003</v>
      </c>
      <c r="D398" t="str">
        <f t="shared" si="6"/>
        <v>B</v>
      </c>
    </row>
    <row r="399" spans="1:4" x14ac:dyDescent="0.25">
      <c r="A399" s="4" t="s">
        <v>143</v>
      </c>
      <c r="B399" s="1">
        <v>0.34360400000000002</v>
      </c>
      <c r="C399" s="1">
        <v>0.345912</v>
      </c>
      <c r="D399" t="str">
        <f t="shared" si="6"/>
        <v>A</v>
      </c>
    </row>
    <row r="400" spans="1:4" x14ac:dyDescent="0.25">
      <c r="A400" s="4" t="s">
        <v>144</v>
      </c>
      <c r="B400" s="1">
        <v>3.9156999999999997E-2</v>
      </c>
      <c r="C400" s="1">
        <v>4.1876999999999998E-2</v>
      </c>
      <c r="D400" t="str">
        <f t="shared" si="6"/>
        <v>A</v>
      </c>
    </row>
    <row r="401" spans="1:4" x14ac:dyDescent="0.25">
      <c r="A401" s="4" t="s">
        <v>145</v>
      </c>
      <c r="B401" s="1">
        <v>0.70873299999999995</v>
      </c>
      <c r="C401" s="1">
        <v>0.71220499999999998</v>
      </c>
      <c r="D401" t="str">
        <f t="shared" si="6"/>
        <v>A</v>
      </c>
    </row>
    <row r="402" spans="1:4" x14ac:dyDescent="0.25">
      <c r="A402" s="4" t="s">
        <v>146</v>
      </c>
      <c r="B402" s="1">
        <v>0.61743499999999996</v>
      </c>
      <c r="C402" s="1">
        <v>0.61920299999999995</v>
      </c>
      <c r="D402" t="str">
        <f t="shared" si="6"/>
        <v>A</v>
      </c>
    </row>
    <row r="403" spans="1:4" x14ac:dyDescent="0.25">
      <c r="A403" s="4" t="s">
        <v>147</v>
      </c>
      <c r="B403" s="1">
        <v>0.75391399999999997</v>
      </c>
      <c r="C403" s="1">
        <v>0.75674200000000003</v>
      </c>
      <c r="D403" t="str">
        <f t="shared" si="6"/>
        <v>A</v>
      </c>
    </row>
    <row r="404" spans="1:4" x14ac:dyDescent="0.25">
      <c r="A404" s="4" t="s">
        <v>148</v>
      </c>
      <c r="B404" s="1">
        <v>0.924647</v>
      </c>
      <c r="C404" s="1">
        <v>0.92724300000000004</v>
      </c>
      <c r="D404" t="str">
        <f t="shared" si="6"/>
        <v>A</v>
      </c>
    </row>
    <row r="405" spans="1:4" x14ac:dyDescent="0.25">
      <c r="A405" s="4" t="s">
        <v>149</v>
      </c>
      <c r="B405" s="1">
        <v>0.13003200000000001</v>
      </c>
      <c r="C405" s="1">
        <v>0.13252800000000001</v>
      </c>
      <c r="D405" t="str">
        <f t="shared" si="6"/>
        <v>A</v>
      </c>
    </row>
    <row r="406" spans="1:4" x14ac:dyDescent="0.25">
      <c r="A406" s="4" t="s">
        <v>150</v>
      </c>
      <c r="B406" s="1">
        <v>0.52590599999999998</v>
      </c>
      <c r="C406" s="1">
        <v>0.52823399999999998</v>
      </c>
      <c r="D406" t="str">
        <f t="shared" si="6"/>
        <v>A</v>
      </c>
    </row>
    <row r="407" spans="1:4" x14ac:dyDescent="0.25">
      <c r="A407" s="4" t="s">
        <v>171</v>
      </c>
      <c r="B407" s="1">
        <v>0.60342499999999999</v>
      </c>
      <c r="C407" s="1">
        <v>0.605105</v>
      </c>
      <c r="D407" t="str">
        <f t="shared" si="6"/>
        <v>A</v>
      </c>
    </row>
    <row r="408" spans="1:4" x14ac:dyDescent="0.25">
      <c r="A408" s="4" t="s">
        <v>152</v>
      </c>
      <c r="B408" s="1">
        <v>1.2241E-2</v>
      </c>
      <c r="C408" s="1">
        <v>1.6216999999999999E-2</v>
      </c>
      <c r="D408" t="str">
        <f t="shared" si="6"/>
        <v>A</v>
      </c>
    </row>
    <row r="409" spans="1:4" x14ac:dyDescent="0.25">
      <c r="A409" s="4" t="s">
        <v>153</v>
      </c>
      <c r="B409" s="1">
        <v>0.13258500000000001</v>
      </c>
      <c r="C409" s="1">
        <v>0.13410900000000001</v>
      </c>
      <c r="D409" t="str">
        <f t="shared" si="6"/>
        <v>A</v>
      </c>
    </row>
    <row r="410" spans="1:4" x14ac:dyDescent="0.25">
      <c r="A410" s="4" t="s">
        <v>154</v>
      </c>
      <c r="B410" s="1">
        <v>0.44955299999999998</v>
      </c>
      <c r="C410" s="1">
        <v>0.447237</v>
      </c>
      <c r="D410" t="str">
        <f t="shared" si="6"/>
        <v>B</v>
      </c>
    </row>
    <row r="411" spans="1:4" x14ac:dyDescent="0.25">
      <c r="A411" s="4" t="s">
        <v>155</v>
      </c>
      <c r="B411" s="1">
        <v>0.113997</v>
      </c>
      <c r="C411" s="1">
        <v>0.117621</v>
      </c>
      <c r="D411" t="str">
        <f t="shared" si="6"/>
        <v>A</v>
      </c>
    </row>
    <row r="412" spans="1:4" x14ac:dyDescent="0.25">
      <c r="A412" s="4" t="s">
        <v>156</v>
      </c>
      <c r="B412" s="1">
        <v>0.77753799999999995</v>
      </c>
      <c r="C412" s="1">
        <v>0.774814</v>
      </c>
      <c r="D412" t="str">
        <f t="shared" si="6"/>
        <v>B</v>
      </c>
    </row>
    <row r="413" spans="1:4" x14ac:dyDescent="0.25">
      <c r="A413" s="4" t="s">
        <v>157</v>
      </c>
      <c r="B413" s="1">
        <v>0.82582299999999997</v>
      </c>
      <c r="C413" s="1">
        <v>0.82754700000000003</v>
      </c>
      <c r="D413" t="str">
        <f t="shared" si="6"/>
        <v>A</v>
      </c>
    </row>
    <row r="414" spans="1:4" x14ac:dyDescent="0.25">
      <c r="A414" s="4" t="s">
        <v>158</v>
      </c>
      <c r="B414" s="1">
        <v>0.20841899999999999</v>
      </c>
      <c r="C414" s="1">
        <v>0.212231</v>
      </c>
      <c r="D414" t="str">
        <f t="shared" si="6"/>
        <v>A</v>
      </c>
    </row>
    <row r="415" spans="1:4" x14ac:dyDescent="0.25">
      <c r="A415" s="4" t="s">
        <v>159</v>
      </c>
      <c r="B415" s="1">
        <v>0.39568500000000001</v>
      </c>
      <c r="C415" s="1">
        <v>0.39231700000000003</v>
      </c>
      <c r="D415" t="str">
        <f t="shared" si="6"/>
        <v>B</v>
      </c>
    </row>
    <row r="416" spans="1:4" x14ac:dyDescent="0.25">
      <c r="A416" s="4" t="s">
        <v>160</v>
      </c>
      <c r="B416" s="1">
        <v>1.9332999999999999E-2</v>
      </c>
      <c r="C416" s="1">
        <v>1.6733000000000001E-2</v>
      </c>
      <c r="D416" t="str">
        <f t="shared" si="6"/>
        <v>B</v>
      </c>
    </row>
    <row r="417" spans="1:4" x14ac:dyDescent="0.25">
      <c r="A417" s="4" t="s">
        <v>161</v>
      </c>
      <c r="B417" s="1">
        <v>0.37874799999999997</v>
      </c>
      <c r="C417" s="1">
        <v>0.382492</v>
      </c>
      <c r="D417" t="str">
        <f t="shared" si="6"/>
        <v>A</v>
      </c>
    </row>
    <row r="418" spans="1:4" x14ac:dyDescent="0.25">
      <c r="A418" s="4" t="s">
        <v>162</v>
      </c>
      <c r="B418" s="1">
        <v>0.72762800000000005</v>
      </c>
      <c r="C418" s="1">
        <v>0.73021999999999998</v>
      </c>
      <c r="D418" t="str">
        <f t="shared" si="6"/>
        <v>A</v>
      </c>
    </row>
    <row r="419" spans="1:4" x14ac:dyDescent="0.25">
      <c r="A419" s="4" t="s">
        <v>163</v>
      </c>
      <c r="B419" s="1">
        <v>0.69269999999999998</v>
      </c>
      <c r="C419" s="1">
        <v>0.69043600000000005</v>
      </c>
      <c r="D419" t="str">
        <f t="shared" si="6"/>
        <v>B</v>
      </c>
    </row>
    <row r="420" spans="1:4" x14ac:dyDescent="0.25">
      <c r="A420" s="4" t="s">
        <v>172</v>
      </c>
      <c r="B420" s="1">
        <v>0.90573400000000004</v>
      </c>
      <c r="C420" s="1">
        <v>0.90789799999999998</v>
      </c>
      <c r="D420" t="str">
        <f t="shared" si="6"/>
        <v>A</v>
      </c>
    </row>
    <row r="421" spans="1:4" x14ac:dyDescent="0.25">
      <c r="A421" s="4" t="s">
        <v>16</v>
      </c>
      <c r="B421" s="1">
        <v>0.376137</v>
      </c>
      <c r="C421" s="1">
        <v>0.37329699999999999</v>
      </c>
      <c r="D421" t="str">
        <f t="shared" si="6"/>
        <v>B</v>
      </c>
    </row>
    <row r="422" spans="1:4" x14ac:dyDescent="0.25">
      <c r="A422" s="4" t="s">
        <v>64</v>
      </c>
      <c r="B422" s="1">
        <v>0.352136</v>
      </c>
      <c r="C422" s="1">
        <v>0.35384399999999999</v>
      </c>
      <c r="D422" t="str">
        <f t="shared" si="6"/>
        <v>A</v>
      </c>
    </row>
    <row r="423" spans="1:4" x14ac:dyDescent="0.25">
      <c r="A423" s="4" t="s">
        <v>155</v>
      </c>
      <c r="B423" s="1">
        <v>0.247169</v>
      </c>
      <c r="C423" s="1">
        <v>0.24446100000000001</v>
      </c>
      <c r="D423" t="str">
        <f t="shared" si="6"/>
        <v>B</v>
      </c>
    </row>
    <row r="424" spans="1:4" x14ac:dyDescent="0.25">
      <c r="A424" s="4" t="s">
        <v>74</v>
      </c>
      <c r="B424" s="1">
        <v>0.64918399999999998</v>
      </c>
      <c r="C424" s="1">
        <v>0.64702800000000005</v>
      </c>
      <c r="D424" t="str">
        <f t="shared" si="6"/>
        <v>B</v>
      </c>
    </row>
    <row r="425" spans="1:4" x14ac:dyDescent="0.25">
      <c r="A425" s="4" t="s">
        <v>21</v>
      </c>
      <c r="B425" s="1">
        <v>0.36847200000000002</v>
      </c>
      <c r="C425" s="1">
        <v>0.364732</v>
      </c>
      <c r="D425" t="str">
        <f t="shared" si="6"/>
        <v>B</v>
      </c>
    </row>
    <row r="426" spans="1:4" x14ac:dyDescent="0.25">
      <c r="A426" s="4" t="s">
        <v>27</v>
      </c>
      <c r="B426" s="1">
        <v>0.15427399999999999</v>
      </c>
      <c r="C426" s="1">
        <v>0.151698</v>
      </c>
      <c r="D426" t="str">
        <f t="shared" si="6"/>
        <v>B</v>
      </c>
    </row>
    <row r="427" spans="1:4" x14ac:dyDescent="0.25">
      <c r="A427" s="4" t="s">
        <v>83</v>
      </c>
      <c r="B427" s="1">
        <v>0.67313500000000004</v>
      </c>
      <c r="C427" s="1">
        <v>0.67577900000000002</v>
      </c>
      <c r="D427" t="str">
        <f t="shared" si="6"/>
        <v>A</v>
      </c>
    </row>
    <row r="428" spans="1:4" x14ac:dyDescent="0.25">
      <c r="A428" s="4" t="s">
        <v>60</v>
      </c>
      <c r="B428" s="1">
        <v>0.97160000000000002</v>
      </c>
      <c r="C428" s="1">
        <v>0.96899999999999997</v>
      </c>
      <c r="D428" t="str">
        <f t="shared" si="6"/>
        <v>B</v>
      </c>
    </row>
    <row r="429" spans="1:4" x14ac:dyDescent="0.25">
      <c r="A429" s="4" t="s">
        <v>12</v>
      </c>
      <c r="B429" s="1">
        <v>0.33185700000000001</v>
      </c>
      <c r="C429" s="1">
        <v>0.33362900000000001</v>
      </c>
      <c r="D429" t="str">
        <f t="shared" si="6"/>
        <v>A</v>
      </c>
    </row>
    <row r="430" spans="1:4" x14ac:dyDescent="0.25">
      <c r="A430" s="4" t="s">
        <v>49</v>
      </c>
      <c r="B430" s="1">
        <v>0.94723900000000005</v>
      </c>
      <c r="C430" s="1">
        <v>0.94938299999999998</v>
      </c>
      <c r="D430" t="str">
        <f t="shared" si="6"/>
        <v>A</v>
      </c>
    </row>
    <row r="431" spans="1:4" x14ac:dyDescent="0.25">
      <c r="A431" s="4" t="s">
        <v>47</v>
      </c>
      <c r="B431" s="1">
        <v>6.2723000000000001E-2</v>
      </c>
      <c r="C431" s="1">
        <v>6.6118999999999997E-2</v>
      </c>
      <c r="D431" t="str">
        <f t="shared" si="6"/>
        <v>A</v>
      </c>
    </row>
    <row r="432" spans="1:4" x14ac:dyDescent="0.25">
      <c r="A432" s="4" t="s">
        <v>41</v>
      </c>
      <c r="B432" s="1">
        <v>0.78174299999999997</v>
      </c>
      <c r="C432" s="1">
        <v>0.78416300000000005</v>
      </c>
      <c r="D432" t="str">
        <f t="shared" si="6"/>
        <v>A</v>
      </c>
    </row>
    <row r="433" spans="1:4" x14ac:dyDescent="0.25">
      <c r="A433" s="4" t="s">
        <v>117</v>
      </c>
      <c r="B433" s="1">
        <v>0.17993500000000001</v>
      </c>
      <c r="C433" s="1">
        <v>0.17603099999999999</v>
      </c>
      <c r="D433" t="str">
        <f t="shared" si="6"/>
        <v>B</v>
      </c>
    </row>
    <row r="434" spans="1:4" x14ac:dyDescent="0.25">
      <c r="A434" s="4" t="s">
        <v>162</v>
      </c>
      <c r="B434" s="1">
        <v>0.29753600000000002</v>
      </c>
      <c r="C434" s="1">
        <v>0.30076399999999998</v>
      </c>
      <c r="D434" t="str">
        <f t="shared" si="6"/>
        <v>A</v>
      </c>
    </row>
    <row r="435" spans="1:4" x14ac:dyDescent="0.25">
      <c r="A435" s="4" t="s">
        <v>5</v>
      </c>
      <c r="B435" s="1">
        <v>0.98460700000000001</v>
      </c>
      <c r="C435" s="1">
        <v>0.98188699999999995</v>
      </c>
      <c r="D435" t="str">
        <f t="shared" si="6"/>
        <v>B</v>
      </c>
    </row>
    <row r="436" spans="1:4" x14ac:dyDescent="0.25">
      <c r="A436" s="4" t="s">
        <v>109</v>
      </c>
      <c r="B436" s="1">
        <v>0.78365300000000004</v>
      </c>
      <c r="C436" s="1">
        <v>0.78609700000000005</v>
      </c>
      <c r="D436" t="str">
        <f t="shared" si="6"/>
        <v>A</v>
      </c>
    </row>
    <row r="437" spans="1:4" x14ac:dyDescent="0.25">
      <c r="A437" s="4" t="s">
        <v>75</v>
      </c>
      <c r="B437" s="1">
        <v>0.169961</v>
      </c>
      <c r="C437" s="1">
        <v>0.17214099999999999</v>
      </c>
      <c r="D437" t="str">
        <f t="shared" si="6"/>
        <v>A</v>
      </c>
    </row>
    <row r="438" spans="1:4" x14ac:dyDescent="0.25">
      <c r="A438" s="4" t="s">
        <v>75</v>
      </c>
      <c r="B438" s="1">
        <v>0.400312</v>
      </c>
      <c r="C438" s="1">
        <v>0.40276000000000001</v>
      </c>
      <c r="D438" t="str">
        <f t="shared" si="6"/>
        <v>A</v>
      </c>
    </row>
    <row r="439" spans="1:4" x14ac:dyDescent="0.25">
      <c r="A439" s="4" t="s">
        <v>68</v>
      </c>
      <c r="B439" s="1">
        <v>0.25546200000000002</v>
      </c>
      <c r="C439" s="1">
        <v>0.25842199999999999</v>
      </c>
      <c r="D439" t="str">
        <f t="shared" si="6"/>
        <v>A</v>
      </c>
    </row>
    <row r="440" spans="1:4" x14ac:dyDescent="0.25">
      <c r="A440" s="4" t="s">
        <v>72</v>
      </c>
      <c r="B440" s="1">
        <v>0.33413399999999999</v>
      </c>
      <c r="C440" s="1">
        <v>0.33112599999999998</v>
      </c>
      <c r="D440" t="str">
        <f t="shared" si="6"/>
        <v>B</v>
      </c>
    </row>
    <row r="441" spans="1:4" x14ac:dyDescent="0.25">
      <c r="A441" s="4" t="s">
        <v>3</v>
      </c>
      <c r="B441" s="1">
        <v>0.83289800000000003</v>
      </c>
      <c r="C441" s="1">
        <v>0.82982199999999995</v>
      </c>
      <c r="D441" t="str">
        <f t="shared" si="6"/>
        <v>B</v>
      </c>
    </row>
    <row r="442" spans="1:4" x14ac:dyDescent="0.25">
      <c r="A442" s="4" t="s">
        <v>107</v>
      </c>
      <c r="B442" s="1">
        <v>0.27387699999999998</v>
      </c>
      <c r="C442" s="1">
        <v>0.271065</v>
      </c>
      <c r="D442" t="str">
        <f t="shared" si="6"/>
        <v>B</v>
      </c>
    </row>
    <row r="443" spans="1:4" x14ac:dyDescent="0.25">
      <c r="A443" s="4" t="s">
        <v>16</v>
      </c>
      <c r="B443" s="1">
        <v>0.82084800000000002</v>
      </c>
      <c r="C443" s="1">
        <v>0.81814399999999998</v>
      </c>
      <c r="D443" t="str">
        <f t="shared" si="6"/>
        <v>B</v>
      </c>
    </row>
    <row r="444" spans="1:4" x14ac:dyDescent="0.25">
      <c r="A444" s="4" t="s">
        <v>64</v>
      </c>
      <c r="B444" s="1">
        <v>0.43862400000000001</v>
      </c>
      <c r="C444" s="1">
        <v>0.43687599999999999</v>
      </c>
      <c r="D444" t="str">
        <f t="shared" si="6"/>
        <v>B</v>
      </c>
    </row>
    <row r="445" spans="1:4" x14ac:dyDescent="0.25">
      <c r="A445" s="4" t="s">
        <v>155</v>
      </c>
      <c r="B445" s="1">
        <v>0.93974999999999997</v>
      </c>
      <c r="C445" s="1">
        <v>0.94196199999999997</v>
      </c>
      <c r="D445" t="str">
        <f t="shared" si="6"/>
        <v>A</v>
      </c>
    </row>
    <row r="446" spans="1:4" x14ac:dyDescent="0.25">
      <c r="A446" s="4" t="s">
        <v>74</v>
      </c>
      <c r="B446" s="1">
        <v>0.27588800000000002</v>
      </c>
      <c r="C446" s="1">
        <v>0.27738800000000002</v>
      </c>
      <c r="D446" t="str">
        <f t="shared" si="6"/>
        <v>A</v>
      </c>
    </row>
    <row r="447" spans="1:4" x14ac:dyDescent="0.25">
      <c r="A447" s="4" t="s">
        <v>21</v>
      </c>
      <c r="B447" s="1">
        <v>0.72038999999999997</v>
      </c>
      <c r="C447" s="1">
        <v>0.722634</v>
      </c>
      <c r="D447" t="str">
        <f t="shared" si="6"/>
        <v>A</v>
      </c>
    </row>
    <row r="448" spans="1:4" x14ac:dyDescent="0.25">
      <c r="A448" s="4" t="s">
        <v>27</v>
      </c>
      <c r="B448" s="1">
        <v>0.19815199999999999</v>
      </c>
      <c r="C448" s="1">
        <v>0.20089599999999999</v>
      </c>
      <c r="D448" t="str">
        <f t="shared" si="6"/>
        <v>A</v>
      </c>
    </row>
    <row r="449" spans="1:4" x14ac:dyDescent="0.25">
      <c r="A449" s="4" t="s">
        <v>83</v>
      </c>
      <c r="B449" s="1">
        <v>0.72719900000000004</v>
      </c>
      <c r="C449" s="1">
        <v>0.72877099999999995</v>
      </c>
      <c r="D449" t="str">
        <f t="shared" si="6"/>
        <v>A</v>
      </c>
    </row>
    <row r="450" spans="1:4" x14ac:dyDescent="0.25">
      <c r="A450" s="4" t="s">
        <v>60</v>
      </c>
      <c r="B450" s="1">
        <v>0.71798300000000004</v>
      </c>
      <c r="C450" s="1">
        <v>0.71585500000000002</v>
      </c>
      <c r="D450" t="str">
        <f t="shared" si="6"/>
        <v>B</v>
      </c>
    </row>
    <row r="451" spans="1:4" x14ac:dyDescent="0.25">
      <c r="A451" s="4" t="s">
        <v>12</v>
      </c>
      <c r="B451" s="1">
        <v>0.74244399999999999</v>
      </c>
      <c r="C451" s="1">
        <v>0.73979200000000001</v>
      </c>
      <c r="D451" t="str">
        <f t="shared" ref="D451:D514" si="7">IF(B451&lt;C451,"A","B")</f>
        <v>B</v>
      </c>
    </row>
    <row r="452" spans="1:4" x14ac:dyDescent="0.25">
      <c r="A452" s="4" t="s">
        <v>49</v>
      </c>
      <c r="B452" s="1">
        <v>0.16655700000000001</v>
      </c>
      <c r="C452" s="1">
        <v>0.168625</v>
      </c>
      <c r="D452" t="str">
        <f t="shared" si="7"/>
        <v>A</v>
      </c>
    </row>
    <row r="453" spans="1:4" x14ac:dyDescent="0.25">
      <c r="A453" s="4" t="s">
        <v>47</v>
      </c>
      <c r="B453" s="1">
        <v>0.138625</v>
      </c>
      <c r="C453" s="1">
        <v>0.14114499999999999</v>
      </c>
      <c r="D453" t="str">
        <f t="shared" si="7"/>
        <v>A</v>
      </c>
    </row>
    <row r="454" spans="1:4" x14ac:dyDescent="0.25">
      <c r="A454" s="4" t="s">
        <v>41</v>
      </c>
      <c r="B454" s="1">
        <v>0.79450500000000002</v>
      </c>
      <c r="C454" s="1">
        <v>0.79184500000000002</v>
      </c>
      <c r="D454" t="str">
        <f t="shared" si="7"/>
        <v>B</v>
      </c>
    </row>
    <row r="455" spans="1:4" x14ac:dyDescent="0.25">
      <c r="A455" s="4" t="s">
        <v>117</v>
      </c>
      <c r="B455" s="1">
        <v>0.97350800000000004</v>
      </c>
      <c r="C455" s="1">
        <v>0.97145199999999998</v>
      </c>
      <c r="D455" t="str">
        <f t="shared" si="7"/>
        <v>B</v>
      </c>
    </row>
    <row r="456" spans="1:4" x14ac:dyDescent="0.25">
      <c r="A456" s="4" t="s">
        <v>162</v>
      </c>
      <c r="B456" s="1">
        <v>0.43030000000000002</v>
      </c>
      <c r="C456" s="1">
        <v>0.432728</v>
      </c>
      <c r="D456" t="str">
        <f t="shared" si="7"/>
        <v>A</v>
      </c>
    </row>
    <row r="457" spans="1:4" x14ac:dyDescent="0.25">
      <c r="A457" s="4" t="s">
        <v>5</v>
      </c>
      <c r="B457" s="1">
        <v>0.42173100000000002</v>
      </c>
      <c r="C457" s="1">
        <v>0.42501100000000003</v>
      </c>
      <c r="D457" t="str">
        <f t="shared" si="7"/>
        <v>A</v>
      </c>
    </row>
    <row r="458" spans="1:4" x14ac:dyDescent="0.25">
      <c r="A458" s="4" t="s">
        <v>109</v>
      </c>
      <c r="B458" s="1">
        <v>0.61124299999999998</v>
      </c>
      <c r="C458" s="1">
        <v>0.61519100000000004</v>
      </c>
      <c r="D458" t="str">
        <f t="shared" si="7"/>
        <v>A</v>
      </c>
    </row>
    <row r="459" spans="1:4" x14ac:dyDescent="0.25">
      <c r="A459" s="4" t="s">
        <v>75</v>
      </c>
      <c r="B459" s="1">
        <v>0.48200599999999999</v>
      </c>
      <c r="C459" s="1">
        <v>0.485122</v>
      </c>
      <c r="D459" t="str">
        <f t="shared" si="7"/>
        <v>A</v>
      </c>
    </row>
    <row r="460" spans="1:4" x14ac:dyDescent="0.25">
      <c r="A460" s="4" t="s">
        <v>75</v>
      </c>
      <c r="B460" s="1">
        <v>0.75184499999999999</v>
      </c>
      <c r="C460" s="1">
        <v>0.75461699999999998</v>
      </c>
      <c r="D460" t="str">
        <f t="shared" si="7"/>
        <v>A</v>
      </c>
    </row>
    <row r="461" spans="1:4" x14ac:dyDescent="0.25">
      <c r="A461" s="4" t="s">
        <v>68</v>
      </c>
      <c r="B461" s="1">
        <v>0.98681600000000003</v>
      </c>
      <c r="C461" s="1">
        <v>0.98857600000000001</v>
      </c>
      <c r="D461" t="str">
        <f t="shared" si="7"/>
        <v>A</v>
      </c>
    </row>
    <row r="462" spans="1:4" x14ac:dyDescent="0.25">
      <c r="A462" s="4" t="s">
        <v>72</v>
      </c>
      <c r="B462" s="1">
        <v>0.22588900000000001</v>
      </c>
      <c r="C462" s="1">
        <v>0.224385</v>
      </c>
      <c r="D462" t="str">
        <f t="shared" si="7"/>
        <v>B</v>
      </c>
    </row>
    <row r="463" spans="1:4" x14ac:dyDescent="0.25">
      <c r="A463" s="4" t="s">
        <v>3</v>
      </c>
      <c r="B463" s="1">
        <v>9.0769000000000002E-2</v>
      </c>
      <c r="C463" s="1">
        <v>9.3213000000000004E-2</v>
      </c>
      <c r="D463" t="str">
        <f t="shared" si="7"/>
        <v>A</v>
      </c>
    </row>
    <row r="464" spans="1:4" x14ac:dyDescent="0.25">
      <c r="A464" s="4" t="s">
        <v>47</v>
      </c>
      <c r="B464" s="1">
        <v>0.76115200000000005</v>
      </c>
      <c r="C464" s="1">
        <v>0.75938799999999995</v>
      </c>
      <c r="D464" t="str">
        <f t="shared" si="7"/>
        <v>B</v>
      </c>
    </row>
    <row r="465" spans="1:4" x14ac:dyDescent="0.25">
      <c r="A465" s="4" t="s">
        <v>41</v>
      </c>
      <c r="B465" s="1">
        <v>0.61574300000000004</v>
      </c>
      <c r="C465" s="1">
        <v>0.61297900000000005</v>
      </c>
      <c r="D465" t="str">
        <f t="shared" si="7"/>
        <v>B</v>
      </c>
    </row>
    <row r="466" spans="1:4" x14ac:dyDescent="0.25">
      <c r="A466" s="4" t="s">
        <v>117</v>
      </c>
      <c r="B466" s="1">
        <v>0.67266300000000001</v>
      </c>
      <c r="C466" s="1">
        <v>0.676651</v>
      </c>
      <c r="D466" t="str">
        <f t="shared" si="7"/>
        <v>A</v>
      </c>
    </row>
    <row r="467" spans="1:4" x14ac:dyDescent="0.25">
      <c r="A467" s="4" t="s">
        <v>173</v>
      </c>
      <c r="B467" s="1">
        <v>0.45782299999999998</v>
      </c>
      <c r="C467" s="1">
        <v>0.45575500000000002</v>
      </c>
      <c r="D467" t="str">
        <f t="shared" si="7"/>
        <v>B</v>
      </c>
    </row>
    <row r="468" spans="1:4" x14ac:dyDescent="0.25">
      <c r="A468" s="4" t="s">
        <v>5</v>
      </c>
      <c r="B468" s="1">
        <v>0.85437099999999999</v>
      </c>
      <c r="C468" s="1">
        <v>0.85165500000000005</v>
      </c>
      <c r="D468" t="str">
        <f t="shared" si="7"/>
        <v>B</v>
      </c>
    </row>
    <row r="469" spans="1:4" x14ac:dyDescent="0.25">
      <c r="A469" s="4" t="s">
        <v>109</v>
      </c>
      <c r="B469" s="1">
        <v>0.59859799999999996</v>
      </c>
      <c r="C469" s="1">
        <v>0.59520600000000001</v>
      </c>
      <c r="D469" t="str">
        <f t="shared" si="7"/>
        <v>B</v>
      </c>
    </row>
    <row r="470" spans="1:4" x14ac:dyDescent="0.25">
      <c r="A470" s="4" t="s">
        <v>47</v>
      </c>
      <c r="B470" s="1">
        <v>0.39534399999999997</v>
      </c>
      <c r="C470" s="1">
        <v>0.39347199999999999</v>
      </c>
      <c r="D470" t="str">
        <f t="shared" si="7"/>
        <v>B</v>
      </c>
    </row>
    <row r="471" spans="1:4" x14ac:dyDescent="0.25">
      <c r="A471" s="4" t="s">
        <v>41</v>
      </c>
      <c r="B471" s="1">
        <v>0.811751</v>
      </c>
      <c r="C471" s="1">
        <v>0.81549499999999997</v>
      </c>
      <c r="D471" t="str">
        <f t="shared" si="7"/>
        <v>A</v>
      </c>
    </row>
    <row r="472" spans="1:4" x14ac:dyDescent="0.25">
      <c r="A472" s="4" t="s">
        <v>117</v>
      </c>
      <c r="B472" s="1">
        <v>0.57271000000000005</v>
      </c>
      <c r="C472" s="1">
        <v>0.57501000000000002</v>
      </c>
      <c r="D472" t="str">
        <f t="shared" si="7"/>
        <v>A</v>
      </c>
    </row>
    <row r="473" spans="1:4" x14ac:dyDescent="0.25">
      <c r="A473" s="4" t="s">
        <v>162</v>
      </c>
      <c r="B473" s="1">
        <v>0.81777500000000003</v>
      </c>
      <c r="C473" s="1">
        <v>0.81406699999999999</v>
      </c>
      <c r="D473" t="str">
        <f t="shared" si="7"/>
        <v>B</v>
      </c>
    </row>
    <row r="474" spans="1:4" x14ac:dyDescent="0.25">
      <c r="A474" s="4" t="s">
        <v>5</v>
      </c>
      <c r="B474" s="1">
        <v>0.72962700000000003</v>
      </c>
      <c r="C474" s="1">
        <v>0.72729500000000002</v>
      </c>
      <c r="D474" t="str">
        <f t="shared" si="7"/>
        <v>B</v>
      </c>
    </row>
    <row r="475" spans="1:4" x14ac:dyDescent="0.25">
      <c r="A475" s="4" t="s">
        <v>109</v>
      </c>
      <c r="B475" s="1">
        <v>0.20138</v>
      </c>
      <c r="C475" s="1">
        <v>0.197932</v>
      </c>
      <c r="D475" t="str">
        <f t="shared" si="7"/>
        <v>B</v>
      </c>
    </row>
    <row r="476" spans="1:4" x14ac:dyDescent="0.25">
      <c r="A476" s="4" t="s">
        <v>47</v>
      </c>
      <c r="B476" s="1">
        <v>0.30973099999999998</v>
      </c>
      <c r="C476" s="1">
        <v>0.31371900000000003</v>
      </c>
      <c r="D476" t="str">
        <f t="shared" si="7"/>
        <v>A</v>
      </c>
    </row>
    <row r="477" spans="1:4" x14ac:dyDescent="0.25">
      <c r="A477" s="4" t="s">
        <v>41</v>
      </c>
      <c r="B477" s="1">
        <v>0.90852699999999997</v>
      </c>
      <c r="C477" s="1">
        <v>0.90690300000000001</v>
      </c>
      <c r="D477" t="str">
        <f t="shared" si="7"/>
        <v>B</v>
      </c>
    </row>
    <row r="478" spans="1:4" x14ac:dyDescent="0.25">
      <c r="A478" s="4" t="s">
        <v>117</v>
      </c>
      <c r="B478" s="1">
        <v>3.3759999999999998E-2</v>
      </c>
      <c r="C478" s="1">
        <v>3.5316E-2</v>
      </c>
      <c r="D478" t="str">
        <f t="shared" si="7"/>
        <v>A</v>
      </c>
    </row>
    <row r="479" spans="1:4" x14ac:dyDescent="0.25">
      <c r="A479" s="4" t="s">
        <v>162</v>
      </c>
      <c r="B479" s="1">
        <v>0.97303899999999999</v>
      </c>
      <c r="C479" s="1">
        <v>0.97464700000000004</v>
      </c>
      <c r="D479" t="str">
        <f t="shared" si="7"/>
        <v>A</v>
      </c>
    </row>
    <row r="480" spans="1:4" x14ac:dyDescent="0.25">
      <c r="A480" s="4" t="s">
        <v>5</v>
      </c>
      <c r="B480" s="1">
        <v>0.14322299999999999</v>
      </c>
      <c r="C480" s="1">
        <v>0.14696300000000001</v>
      </c>
      <c r="D480" t="str">
        <f t="shared" si="7"/>
        <v>A</v>
      </c>
    </row>
    <row r="481" spans="1:4" x14ac:dyDescent="0.25">
      <c r="A481" s="4" t="s">
        <v>109</v>
      </c>
      <c r="B481" s="1">
        <v>0.87870300000000001</v>
      </c>
      <c r="C481" s="1">
        <v>0.87566699999999997</v>
      </c>
      <c r="D481" t="str">
        <f t="shared" si="7"/>
        <v>B</v>
      </c>
    </row>
    <row r="482" spans="1:4" x14ac:dyDescent="0.25">
      <c r="A482" s="4" t="s">
        <v>47</v>
      </c>
      <c r="B482" s="1">
        <v>0.78562500000000002</v>
      </c>
      <c r="C482" s="1">
        <v>0.78268499999999996</v>
      </c>
      <c r="D482" t="str">
        <f t="shared" si="7"/>
        <v>B</v>
      </c>
    </row>
    <row r="483" spans="1:4" x14ac:dyDescent="0.25">
      <c r="A483" s="4" t="s">
        <v>41</v>
      </c>
      <c r="B483" s="1">
        <v>0.86237600000000003</v>
      </c>
      <c r="C483" s="1">
        <v>0.86603200000000002</v>
      </c>
      <c r="D483" t="str">
        <f t="shared" si="7"/>
        <v>A</v>
      </c>
    </row>
    <row r="484" spans="1:4" x14ac:dyDescent="0.25">
      <c r="A484" s="4" t="s">
        <v>117</v>
      </c>
      <c r="B484" s="1">
        <v>0.95934200000000003</v>
      </c>
      <c r="C484" s="1">
        <v>0.95758200000000004</v>
      </c>
      <c r="D484" t="str">
        <f t="shared" si="7"/>
        <v>B</v>
      </c>
    </row>
    <row r="485" spans="1:4" x14ac:dyDescent="0.25">
      <c r="A485" s="4" t="s">
        <v>162</v>
      </c>
      <c r="B485" s="1">
        <v>0.74316700000000002</v>
      </c>
      <c r="C485" s="1">
        <v>0.74651500000000004</v>
      </c>
      <c r="D485" t="str">
        <f t="shared" si="7"/>
        <v>A</v>
      </c>
    </row>
    <row r="486" spans="1:4" x14ac:dyDescent="0.25">
      <c r="A486" s="4" t="s">
        <v>5</v>
      </c>
      <c r="B486" s="1">
        <v>0.74470000000000003</v>
      </c>
      <c r="C486" s="1">
        <v>0.74815600000000004</v>
      </c>
      <c r="D486" t="str">
        <f t="shared" si="7"/>
        <v>A</v>
      </c>
    </row>
    <row r="487" spans="1:4" x14ac:dyDescent="0.25">
      <c r="A487" s="4" t="s">
        <v>109</v>
      </c>
      <c r="B487" s="1">
        <v>0.74424900000000005</v>
      </c>
      <c r="C487" s="1">
        <v>0.74671699999999996</v>
      </c>
      <c r="D487" t="str">
        <f t="shared" si="7"/>
        <v>A</v>
      </c>
    </row>
    <row r="488" spans="1:4" x14ac:dyDescent="0.25">
      <c r="A488" s="4" t="s">
        <v>162</v>
      </c>
      <c r="B488" s="1">
        <v>0.245144</v>
      </c>
      <c r="C488" s="1">
        <v>0.242704</v>
      </c>
      <c r="D488" t="str">
        <f t="shared" si="7"/>
        <v>B</v>
      </c>
    </row>
    <row r="489" spans="1:4" x14ac:dyDescent="0.25">
      <c r="A489" s="4" t="s">
        <v>5</v>
      </c>
      <c r="B489" s="1">
        <v>0.95478200000000002</v>
      </c>
      <c r="C489" s="1">
        <v>0.95157000000000003</v>
      </c>
      <c r="D489" t="str">
        <f t="shared" si="7"/>
        <v>B</v>
      </c>
    </row>
    <row r="490" spans="1:4" x14ac:dyDescent="0.25">
      <c r="A490" s="4" t="s">
        <v>109</v>
      </c>
      <c r="B490" s="1">
        <v>0.19941800000000001</v>
      </c>
      <c r="C490" s="1">
        <v>0.20191799999999999</v>
      </c>
      <c r="D490" t="str">
        <f t="shared" si="7"/>
        <v>A</v>
      </c>
    </row>
    <row r="491" spans="1:4" x14ac:dyDescent="0.25">
      <c r="A491" s="4" t="s">
        <v>162</v>
      </c>
      <c r="B491" s="1">
        <v>0.44693699999999997</v>
      </c>
      <c r="C491" s="1">
        <v>0.44320900000000002</v>
      </c>
      <c r="D491" t="str">
        <f t="shared" si="7"/>
        <v>B</v>
      </c>
    </row>
    <row r="492" spans="1:4" x14ac:dyDescent="0.25">
      <c r="A492" s="4" t="s">
        <v>5</v>
      </c>
      <c r="B492" s="1">
        <v>0.13649500000000001</v>
      </c>
      <c r="C492" s="1">
        <v>0.139319</v>
      </c>
      <c r="D492" t="str">
        <f t="shared" si="7"/>
        <v>A</v>
      </c>
    </row>
    <row r="493" spans="1:4" x14ac:dyDescent="0.25">
      <c r="A493" s="4" t="s">
        <v>109</v>
      </c>
      <c r="B493" s="1">
        <v>0.86325399999999997</v>
      </c>
      <c r="C493" s="1">
        <v>0.86702199999999996</v>
      </c>
      <c r="D493" t="str">
        <f t="shared" si="7"/>
        <v>A</v>
      </c>
    </row>
    <row r="494" spans="1:4" x14ac:dyDescent="0.25">
      <c r="A494" s="4" t="s">
        <v>162</v>
      </c>
      <c r="B494" s="1">
        <v>2.3812E-2</v>
      </c>
      <c r="C494" s="1">
        <v>2.0455999999999998E-2</v>
      </c>
      <c r="D494" t="str">
        <f t="shared" si="7"/>
        <v>B</v>
      </c>
    </row>
    <row r="495" spans="1:4" x14ac:dyDescent="0.25">
      <c r="A495" s="4" t="s">
        <v>5</v>
      </c>
      <c r="B495" s="1">
        <v>0.13581199999999999</v>
      </c>
      <c r="C495" s="1">
        <v>0.13939199999999999</v>
      </c>
      <c r="D495" t="str">
        <f t="shared" si="7"/>
        <v>A</v>
      </c>
    </row>
    <row r="496" spans="1:4" x14ac:dyDescent="0.25">
      <c r="A496" s="4" t="s">
        <v>109</v>
      </c>
      <c r="B496" s="1">
        <v>0.60236199999999995</v>
      </c>
      <c r="C496" s="1">
        <v>0.60606199999999999</v>
      </c>
      <c r="D496" t="str">
        <f t="shared" si="7"/>
        <v>A</v>
      </c>
    </row>
    <row r="497" spans="1:4" x14ac:dyDescent="0.25">
      <c r="A497" s="4" t="s">
        <v>87</v>
      </c>
      <c r="B497" s="1">
        <v>0.74911300000000003</v>
      </c>
      <c r="C497" s="1">
        <v>0.745757</v>
      </c>
      <c r="D497" t="str">
        <f t="shared" si="7"/>
        <v>B</v>
      </c>
    </row>
    <row r="498" spans="1:4" x14ac:dyDescent="0.25">
      <c r="A498" s="4" t="s">
        <v>87</v>
      </c>
      <c r="B498" s="1">
        <v>0.32229000000000002</v>
      </c>
      <c r="C498" s="1">
        <v>0.31961000000000001</v>
      </c>
      <c r="D498" t="str">
        <f t="shared" si="7"/>
        <v>B</v>
      </c>
    </row>
    <row r="499" spans="1:4" x14ac:dyDescent="0.25">
      <c r="A499" s="4" t="s">
        <v>87</v>
      </c>
      <c r="B499" s="1">
        <v>0.25899800000000001</v>
      </c>
      <c r="C499" s="1">
        <v>0.26230599999999998</v>
      </c>
      <c r="D499" t="str">
        <f t="shared" si="7"/>
        <v>A</v>
      </c>
    </row>
    <row r="500" spans="1:4" x14ac:dyDescent="0.25">
      <c r="A500" s="4" t="s">
        <v>87</v>
      </c>
      <c r="B500" s="1">
        <v>0.16008700000000001</v>
      </c>
      <c r="C500" s="1">
        <v>0.15717100000000001</v>
      </c>
      <c r="D500" t="str">
        <f t="shared" si="7"/>
        <v>B</v>
      </c>
    </row>
    <row r="501" spans="1:4" x14ac:dyDescent="0.25">
      <c r="A501" s="4" t="s">
        <v>56</v>
      </c>
      <c r="B501" s="1">
        <v>0.34593800000000002</v>
      </c>
      <c r="C501" s="1">
        <v>0.34431400000000001</v>
      </c>
      <c r="D501" t="str">
        <f t="shared" si="7"/>
        <v>B</v>
      </c>
    </row>
    <row r="502" spans="1:4" x14ac:dyDescent="0.25">
      <c r="A502" s="4" t="s">
        <v>132</v>
      </c>
      <c r="B502" s="1">
        <v>4.0057000000000002E-2</v>
      </c>
      <c r="C502" s="1">
        <v>4.1741E-2</v>
      </c>
      <c r="D502" t="str">
        <f t="shared" si="7"/>
        <v>A</v>
      </c>
    </row>
    <row r="503" spans="1:4" x14ac:dyDescent="0.25">
      <c r="A503" s="4" t="s">
        <v>18</v>
      </c>
      <c r="B503" s="1">
        <v>1.0023960000000001</v>
      </c>
      <c r="C503" s="1">
        <v>0.99877199999999999</v>
      </c>
      <c r="D503" t="str">
        <f t="shared" si="7"/>
        <v>B</v>
      </c>
    </row>
    <row r="504" spans="1:4" x14ac:dyDescent="0.25">
      <c r="A504" s="4" t="s">
        <v>85</v>
      </c>
      <c r="B504" s="1">
        <v>9.6156000000000005E-2</v>
      </c>
      <c r="C504" s="1">
        <v>9.7767999999999994E-2</v>
      </c>
      <c r="D504" t="str">
        <f t="shared" si="7"/>
        <v>A</v>
      </c>
    </row>
    <row r="505" spans="1:4" x14ac:dyDescent="0.25">
      <c r="A505" s="4" t="s">
        <v>112</v>
      </c>
      <c r="B505" s="1">
        <v>0.82941900000000002</v>
      </c>
      <c r="C505" s="1">
        <v>0.82691499999999996</v>
      </c>
      <c r="D505" t="str">
        <f t="shared" si="7"/>
        <v>B</v>
      </c>
    </row>
    <row r="506" spans="1:4" x14ac:dyDescent="0.25">
      <c r="A506" s="4" t="s">
        <v>103</v>
      </c>
      <c r="B506" s="1">
        <v>0.92061899999999997</v>
      </c>
      <c r="C506" s="1">
        <v>0.92293099999999995</v>
      </c>
      <c r="D506" t="str">
        <f t="shared" si="7"/>
        <v>A</v>
      </c>
    </row>
    <row r="507" spans="1:4" x14ac:dyDescent="0.25">
      <c r="A507" s="4" t="s">
        <v>57</v>
      </c>
      <c r="B507" s="1">
        <v>0.66941799999999996</v>
      </c>
      <c r="C507" s="1">
        <v>0.66777399999999998</v>
      </c>
      <c r="D507" t="str">
        <f t="shared" si="7"/>
        <v>B</v>
      </c>
    </row>
    <row r="508" spans="1:4" x14ac:dyDescent="0.25">
      <c r="A508" s="4" t="s">
        <v>3</v>
      </c>
      <c r="B508" s="1">
        <v>0.31244499999999997</v>
      </c>
      <c r="C508" s="1">
        <v>0.31022499999999997</v>
      </c>
      <c r="D508" t="str">
        <f t="shared" si="7"/>
        <v>B</v>
      </c>
    </row>
    <row r="509" spans="1:4" x14ac:dyDescent="0.25">
      <c r="A509" s="4" t="s">
        <v>4</v>
      </c>
      <c r="B509" s="1">
        <v>0.16196199999999999</v>
      </c>
      <c r="C509" s="1">
        <v>0.16370999999999999</v>
      </c>
      <c r="D509" t="str">
        <f t="shared" si="7"/>
        <v>A</v>
      </c>
    </row>
    <row r="510" spans="1:4" x14ac:dyDescent="0.25">
      <c r="A510" s="4" t="s">
        <v>5</v>
      </c>
      <c r="B510" s="1">
        <v>4.0059999999999998E-2</v>
      </c>
      <c r="C510" s="1">
        <v>3.8204000000000002E-2</v>
      </c>
      <c r="D510" t="str">
        <f t="shared" si="7"/>
        <v>B</v>
      </c>
    </row>
    <row r="511" spans="1:4" x14ac:dyDescent="0.25">
      <c r="A511" s="4" t="s">
        <v>6</v>
      </c>
      <c r="B511" s="1">
        <v>0.71089100000000005</v>
      </c>
      <c r="C511" s="1">
        <v>0.71311899999999995</v>
      </c>
      <c r="D511" t="str">
        <f t="shared" si="7"/>
        <v>A</v>
      </c>
    </row>
    <row r="512" spans="1:4" x14ac:dyDescent="0.25">
      <c r="A512" s="4" t="s">
        <v>7</v>
      </c>
      <c r="B512" s="1">
        <v>0.172735</v>
      </c>
      <c r="C512" s="1">
        <v>0.17081499999999999</v>
      </c>
      <c r="D512" t="str">
        <f t="shared" si="7"/>
        <v>B</v>
      </c>
    </row>
    <row r="513" spans="1:4" x14ac:dyDescent="0.25">
      <c r="A513" s="4" t="s">
        <v>8</v>
      </c>
      <c r="B513" s="1">
        <v>0.89442100000000002</v>
      </c>
      <c r="C513" s="1">
        <v>0.89109700000000003</v>
      </c>
      <c r="D513" t="str">
        <f t="shared" si="7"/>
        <v>B</v>
      </c>
    </row>
    <row r="514" spans="1:4" x14ac:dyDescent="0.25">
      <c r="A514" s="4" t="s">
        <v>9</v>
      </c>
      <c r="B514" s="1">
        <v>3.9071000000000002E-2</v>
      </c>
      <c r="C514" s="1">
        <v>4.2567000000000001E-2</v>
      </c>
      <c r="D514" t="str">
        <f t="shared" si="7"/>
        <v>A</v>
      </c>
    </row>
    <row r="515" spans="1:4" x14ac:dyDescent="0.25">
      <c r="A515" s="4" t="s">
        <v>10</v>
      </c>
      <c r="B515" s="1">
        <v>3.9606000000000002E-2</v>
      </c>
      <c r="C515" s="1">
        <v>3.7274000000000002E-2</v>
      </c>
      <c r="D515" t="str">
        <f t="shared" ref="D515:D578" si="8">IF(B515&lt;C515,"A","B")</f>
        <v>B</v>
      </c>
    </row>
    <row r="516" spans="1:4" x14ac:dyDescent="0.25">
      <c r="A516" s="4" t="s">
        <v>11</v>
      </c>
      <c r="B516" s="1">
        <v>0.91238200000000003</v>
      </c>
      <c r="C516" s="1">
        <v>0.91429400000000005</v>
      </c>
      <c r="D516" t="str">
        <f t="shared" si="8"/>
        <v>A</v>
      </c>
    </row>
    <row r="517" spans="1:4" x14ac:dyDescent="0.25">
      <c r="A517" s="4" t="s">
        <v>12</v>
      </c>
      <c r="B517" s="1">
        <v>0.43819900000000001</v>
      </c>
      <c r="C517" s="1">
        <v>0.43998700000000002</v>
      </c>
      <c r="D517" t="str">
        <f t="shared" si="8"/>
        <v>A</v>
      </c>
    </row>
    <row r="518" spans="1:4" x14ac:dyDescent="0.25">
      <c r="A518" s="4" t="s">
        <v>13</v>
      </c>
      <c r="B518" s="1">
        <v>0.188942</v>
      </c>
      <c r="C518" s="1">
        <v>0.186422</v>
      </c>
      <c r="D518" t="str">
        <f t="shared" si="8"/>
        <v>B</v>
      </c>
    </row>
    <row r="519" spans="1:4" x14ac:dyDescent="0.25">
      <c r="A519" s="4" t="s">
        <v>14</v>
      </c>
      <c r="B519" s="1">
        <v>0.63127299999999997</v>
      </c>
      <c r="C519" s="1">
        <v>0.63441700000000001</v>
      </c>
      <c r="D519" t="str">
        <f t="shared" si="8"/>
        <v>A</v>
      </c>
    </row>
    <row r="520" spans="1:4" x14ac:dyDescent="0.25">
      <c r="A520" s="4" t="s">
        <v>15</v>
      </c>
      <c r="B520" s="1">
        <v>5.6968999999999999E-2</v>
      </c>
      <c r="C520" s="1">
        <v>5.4597E-2</v>
      </c>
      <c r="D520" t="str">
        <f t="shared" si="8"/>
        <v>B</v>
      </c>
    </row>
    <row r="521" spans="1:4" x14ac:dyDescent="0.25">
      <c r="A521" s="4" t="s">
        <v>16</v>
      </c>
      <c r="B521" s="1">
        <v>0.129272</v>
      </c>
      <c r="C521" s="1">
        <v>0.12600800000000001</v>
      </c>
      <c r="D521" t="str">
        <f t="shared" si="8"/>
        <v>B</v>
      </c>
    </row>
    <row r="522" spans="1:4" x14ac:dyDescent="0.25">
      <c r="A522" s="4" t="s">
        <v>17</v>
      </c>
      <c r="B522" s="1">
        <v>9.0898999999999994E-2</v>
      </c>
      <c r="C522" s="1">
        <v>9.3718999999999997E-2</v>
      </c>
      <c r="D522" t="str">
        <f t="shared" si="8"/>
        <v>A</v>
      </c>
    </row>
    <row r="523" spans="1:4" x14ac:dyDescent="0.25">
      <c r="A523" s="4" t="s">
        <v>18</v>
      </c>
      <c r="B523" s="1">
        <v>0.77679200000000004</v>
      </c>
      <c r="C523" s="1">
        <v>0.77528799999999998</v>
      </c>
      <c r="D523" t="str">
        <f t="shared" si="8"/>
        <v>B</v>
      </c>
    </row>
    <row r="524" spans="1:4" x14ac:dyDescent="0.25">
      <c r="A524" s="4" t="s">
        <v>19</v>
      </c>
      <c r="B524" s="1">
        <v>0.94621999999999995</v>
      </c>
      <c r="C524" s="1">
        <v>0.948376</v>
      </c>
      <c r="D524" t="str">
        <f t="shared" si="8"/>
        <v>A</v>
      </c>
    </row>
    <row r="525" spans="1:4" x14ac:dyDescent="0.25">
      <c r="A525" s="4" t="s">
        <v>20</v>
      </c>
      <c r="B525" s="1">
        <v>0.262909</v>
      </c>
      <c r="C525" s="1">
        <v>0.26447300000000001</v>
      </c>
      <c r="D525" t="str">
        <f t="shared" si="8"/>
        <v>A</v>
      </c>
    </row>
    <row r="526" spans="1:4" x14ac:dyDescent="0.25">
      <c r="A526" s="4" t="s">
        <v>21</v>
      </c>
      <c r="B526" s="1">
        <v>0.99788299999999996</v>
      </c>
      <c r="C526" s="1">
        <v>0.99948300000000001</v>
      </c>
      <c r="D526" t="str">
        <f t="shared" si="8"/>
        <v>A</v>
      </c>
    </row>
    <row r="527" spans="1:4" x14ac:dyDescent="0.25">
      <c r="A527" s="4" t="s">
        <v>22</v>
      </c>
      <c r="B527" s="1">
        <v>0.96167100000000005</v>
      </c>
      <c r="C527" s="1">
        <v>0.95925099999999996</v>
      </c>
      <c r="D527" t="str">
        <f t="shared" si="8"/>
        <v>B</v>
      </c>
    </row>
    <row r="528" spans="1:4" x14ac:dyDescent="0.25">
      <c r="A528" s="4" t="s">
        <v>23</v>
      </c>
      <c r="B528" s="1">
        <v>0.50349999999999995</v>
      </c>
      <c r="C528" s="1">
        <v>0.50675999999999999</v>
      </c>
      <c r="D528" t="str">
        <f t="shared" si="8"/>
        <v>A</v>
      </c>
    </row>
    <row r="529" spans="1:4" x14ac:dyDescent="0.25">
      <c r="A529" s="4" t="s">
        <v>24</v>
      </c>
      <c r="B529" s="1">
        <v>0.355049</v>
      </c>
      <c r="C529" s="1">
        <v>0.358705</v>
      </c>
      <c r="D529" t="str">
        <f t="shared" si="8"/>
        <v>A</v>
      </c>
    </row>
    <row r="530" spans="1:4" x14ac:dyDescent="0.25">
      <c r="A530" s="4" t="s">
        <v>25</v>
      </c>
      <c r="B530" s="1">
        <v>0.93257800000000002</v>
      </c>
      <c r="C530" s="1">
        <v>0.92980200000000002</v>
      </c>
      <c r="D530" t="str">
        <f t="shared" si="8"/>
        <v>B</v>
      </c>
    </row>
    <row r="531" spans="1:4" x14ac:dyDescent="0.25">
      <c r="A531" s="4" t="s">
        <v>26</v>
      </c>
      <c r="B531" s="1">
        <v>0.34465099999999999</v>
      </c>
      <c r="C531" s="1">
        <v>0.347607</v>
      </c>
      <c r="D531" t="str">
        <f t="shared" si="8"/>
        <v>A</v>
      </c>
    </row>
    <row r="532" spans="1:4" x14ac:dyDescent="0.25">
      <c r="A532" s="4" t="s">
        <v>27</v>
      </c>
      <c r="B532" s="1">
        <v>0.16414500000000001</v>
      </c>
      <c r="C532" s="1">
        <v>0.16232099999999999</v>
      </c>
      <c r="D532" t="str">
        <f t="shared" si="8"/>
        <v>B</v>
      </c>
    </row>
    <row r="533" spans="1:4" x14ac:dyDescent="0.25">
      <c r="A533" s="4" t="s">
        <v>28</v>
      </c>
      <c r="B533" s="1">
        <v>0.52204899999999999</v>
      </c>
      <c r="C533" s="1">
        <v>0.52420900000000004</v>
      </c>
      <c r="D533" t="str">
        <f t="shared" si="8"/>
        <v>A</v>
      </c>
    </row>
    <row r="534" spans="1:4" x14ac:dyDescent="0.25">
      <c r="A534" s="4" t="s">
        <v>29</v>
      </c>
      <c r="B534" s="1">
        <v>0.39477299999999999</v>
      </c>
      <c r="C534" s="1">
        <v>0.39140900000000001</v>
      </c>
      <c r="D534" t="str">
        <f t="shared" si="8"/>
        <v>B</v>
      </c>
    </row>
    <row r="535" spans="1:4" x14ac:dyDescent="0.25">
      <c r="A535" s="4" t="s">
        <v>30</v>
      </c>
      <c r="B535" s="1">
        <v>0.13069600000000001</v>
      </c>
      <c r="C535" s="1">
        <v>0.134684</v>
      </c>
      <c r="D535" t="str">
        <f t="shared" si="8"/>
        <v>A</v>
      </c>
    </row>
    <row r="536" spans="1:4" x14ac:dyDescent="0.25">
      <c r="A536" s="4" t="s">
        <v>31</v>
      </c>
      <c r="B536" s="1">
        <v>0.108847</v>
      </c>
      <c r="C536" s="1">
        <v>0.105555</v>
      </c>
      <c r="D536" t="str">
        <f t="shared" si="8"/>
        <v>B</v>
      </c>
    </row>
    <row r="537" spans="1:4" x14ac:dyDescent="0.25">
      <c r="A537" s="4" t="s">
        <v>32</v>
      </c>
      <c r="B537" s="1">
        <v>0.62104000000000004</v>
      </c>
      <c r="C537" s="1">
        <v>0.62345200000000001</v>
      </c>
      <c r="D537" t="str">
        <f t="shared" si="8"/>
        <v>A</v>
      </c>
    </row>
    <row r="538" spans="1:4" x14ac:dyDescent="0.25">
      <c r="A538" s="4" t="s">
        <v>33</v>
      </c>
      <c r="B538" s="1">
        <v>0.915269</v>
      </c>
      <c r="C538" s="1">
        <v>0.91838500000000001</v>
      </c>
      <c r="D538" t="str">
        <f t="shared" si="8"/>
        <v>A</v>
      </c>
    </row>
    <row r="539" spans="1:4" x14ac:dyDescent="0.25">
      <c r="A539" s="4" t="s">
        <v>174</v>
      </c>
      <c r="B539" s="1">
        <v>0.39857500000000001</v>
      </c>
      <c r="C539" s="1">
        <v>0.40067900000000001</v>
      </c>
      <c r="D539" t="str">
        <f t="shared" si="8"/>
        <v>A</v>
      </c>
    </row>
    <row r="540" spans="1:4" x14ac:dyDescent="0.25">
      <c r="A540" s="4" t="s">
        <v>428</v>
      </c>
      <c r="B540" s="1">
        <v>0.67204299999999995</v>
      </c>
      <c r="C540" s="1">
        <v>0.67345100000000002</v>
      </c>
      <c r="D540" t="str">
        <f t="shared" si="8"/>
        <v>A</v>
      </c>
    </row>
    <row r="541" spans="1:4" x14ac:dyDescent="0.25">
      <c r="A541" s="4" t="s">
        <v>35</v>
      </c>
      <c r="B541" s="1">
        <v>3.5965999999999998E-2</v>
      </c>
      <c r="C541" s="1">
        <v>3.7982000000000002E-2</v>
      </c>
      <c r="D541" t="str">
        <f t="shared" si="8"/>
        <v>A</v>
      </c>
    </row>
    <row r="542" spans="1:4" x14ac:dyDescent="0.25">
      <c r="A542" s="4" t="s">
        <v>36</v>
      </c>
      <c r="B542" s="1">
        <v>0.514571</v>
      </c>
      <c r="C542" s="1">
        <v>0.51262700000000005</v>
      </c>
      <c r="D542" t="str">
        <f t="shared" si="8"/>
        <v>B</v>
      </c>
    </row>
    <row r="543" spans="1:4" x14ac:dyDescent="0.25">
      <c r="A543" s="4" t="s">
        <v>37</v>
      </c>
      <c r="B543" s="1">
        <v>0.923041</v>
      </c>
      <c r="C543" s="1">
        <v>0.92067699999999997</v>
      </c>
      <c r="D543" t="str">
        <f t="shared" si="8"/>
        <v>B</v>
      </c>
    </row>
    <row r="544" spans="1:4" x14ac:dyDescent="0.25">
      <c r="A544" s="4" t="s">
        <v>38</v>
      </c>
      <c r="B544" s="1">
        <v>0.14195199999999999</v>
      </c>
      <c r="C544" s="1">
        <v>0.13925599999999999</v>
      </c>
      <c r="D544" t="str">
        <f t="shared" si="8"/>
        <v>B</v>
      </c>
    </row>
    <row r="545" spans="1:4" x14ac:dyDescent="0.25">
      <c r="A545" s="4" t="s">
        <v>175</v>
      </c>
      <c r="B545" s="1">
        <v>0.832403</v>
      </c>
      <c r="C545" s="1">
        <v>0.83075900000000003</v>
      </c>
      <c r="D545" t="str">
        <f t="shared" si="8"/>
        <v>B</v>
      </c>
    </row>
    <row r="546" spans="1:4" x14ac:dyDescent="0.25">
      <c r="A546" s="4" t="s">
        <v>40</v>
      </c>
      <c r="B546" s="1">
        <v>0.67679900000000004</v>
      </c>
      <c r="C546" s="1">
        <v>0.67894299999999996</v>
      </c>
      <c r="D546" t="str">
        <f t="shared" si="8"/>
        <v>A</v>
      </c>
    </row>
    <row r="547" spans="1:4" x14ac:dyDescent="0.25">
      <c r="A547" s="4" t="s">
        <v>41</v>
      </c>
      <c r="B547" s="1">
        <v>0.33540799999999998</v>
      </c>
      <c r="C547" s="1">
        <v>0.33905200000000002</v>
      </c>
      <c r="D547" t="str">
        <f t="shared" si="8"/>
        <v>A</v>
      </c>
    </row>
    <row r="548" spans="1:4" x14ac:dyDescent="0.25">
      <c r="A548" s="4" t="s">
        <v>176</v>
      </c>
      <c r="B548" s="1">
        <v>0.71115899999999999</v>
      </c>
      <c r="C548" s="1">
        <v>0.70776300000000003</v>
      </c>
      <c r="D548" t="str">
        <f t="shared" si="8"/>
        <v>B</v>
      </c>
    </row>
    <row r="549" spans="1:4" x14ac:dyDescent="0.25">
      <c r="A549" s="4" t="s">
        <v>43</v>
      </c>
      <c r="B549" s="1">
        <v>0.71188700000000005</v>
      </c>
      <c r="C549" s="1">
        <v>0.715611</v>
      </c>
      <c r="D549" t="str">
        <f t="shared" si="8"/>
        <v>A</v>
      </c>
    </row>
    <row r="550" spans="1:4" x14ac:dyDescent="0.25">
      <c r="A550" s="4" t="s">
        <v>44</v>
      </c>
      <c r="B550" s="1">
        <v>0.40304299999999998</v>
      </c>
      <c r="C550" s="1">
        <v>0.399339</v>
      </c>
      <c r="D550" t="str">
        <f t="shared" si="8"/>
        <v>B</v>
      </c>
    </row>
    <row r="551" spans="1:4" x14ac:dyDescent="0.25">
      <c r="A551" s="4" t="s">
        <v>45</v>
      </c>
      <c r="B551" s="1">
        <v>0.90539000000000003</v>
      </c>
      <c r="C551" s="1">
        <v>0.90761800000000004</v>
      </c>
      <c r="D551" t="str">
        <f t="shared" si="8"/>
        <v>A</v>
      </c>
    </row>
    <row r="552" spans="1:4" x14ac:dyDescent="0.25">
      <c r="A552" s="4" t="s">
        <v>46</v>
      </c>
      <c r="B552" s="1">
        <v>0.23264499999999999</v>
      </c>
      <c r="C552" s="1">
        <v>0.235897</v>
      </c>
      <c r="D552" t="str">
        <f t="shared" si="8"/>
        <v>A</v>
      </c>
    </row>
    <row r="553" spans="1:4" x14ac:dyDescent="0.25">
      <c r="A553" s="4" t="s">
        <v>47</v>
      </c>
      <c r="B553" s="1">
        <v>0.23163800000000001</v>
      </c>
      <c r="C553" s="1">
        <v>0.23316999999999999</v>
      </c>
      <c r="D553" t="str">
        <f t="shared" si="8"/>
        <v>A</v>
      </c>
    </row>
    <row r="554" spans="1:4" x14ac:dyDescent="0.25">
      <c r="A554" s="4" t="s">
        <v>48</v>
      </c>
      <c r="B554" s="1">
        <v>0.53415599999999996</v>
      </c>
      <c r="C554" s="1">
        <v>0.53560399999999997</v>
      </c>
      <c r="D554" t="str">
        <f t="shared" si="8"/>
        <v>A</v>
      </c>
    </row>
    <row r="555" spans="1:4" x14ac:dyDescent="0.25">
      <c r="A555" s="4" t="s">
        <v>49</v>
      </c>
      <c r="B555" s="1">
        <v>0.76181600000000005</v>
      </c>
      <c r="C555" s="1">
        <v>0.75960799999999995</v>
      </c>
      <c r="D555" t="str">
        <f t="shared" si="8"/>
        <v>B</v>
      </c>
    </row>
    <row r="556" spans="1:4" x14ac:dyDescent="0.25">
      <c r="A556" s="4" t="s">
        <v>50</v>
      </c>
      <c r="B556" s="1">
        <v>0.14851200000000001</v>
      </c>
      <c r="C556" s="1">
        <v>0.14644799999999999</v>
      </c>
      <c r="D556" t="str">
        <f t="shared" si="8"/>
        <v>B</v>
      </c>
    </row>
    <row r="557" spans="1:4" x14ac:dyDescent="0.25">
      <c r="A557" s="4" t="s">
        <v>51</v>
      </c>
      <c r="B557" s="1">
        <v>0.231432</v>
      </c>
      <c r="C557" s="1">
        <v>0.22759199999999999</v>
      </c>
      <c r="D557" t="str">
        <f t="shared" si="8"/>
        <v>B</v>
      </c>
    </row>
    <row r="558" spans="1:4" x14ac:dyDescent="0.25">
      <c r="A558" s="4" t="s">
        <v>52</v>
      </c>
      <c r="B558" s="1">
        <v>0.86003499999999999</v>
      </c>
      <c r="C558" s="1">
        <v>0.85779499999999997</v>
      </c>
      <c r="D558" t="str">
        <f t="shared" si="8"/>
        <v>B</v>
      </c>
    </row>
    <row r="559" spans="1:4" x14ac:dyDescent="0.25">
      <c r="A559" s="4" t="s">
        <v>53</v>
      </c>
      <c r="B559" s="1">
        <v>0.57415799999999995</v>
      </c>
      <c r="C559" s="1">
        <v>0.57219399999999998</v>
      </c>
      <c r="D559" t="str">
        <f t="shared" si="8"/>
        <v>B</v>
      </c>
    </row>
    <row r="560" spans="1:4" x14ac:dyDescent="0.25">
      <c r="A560" s="4" t="s">
        <v>54</v>
      </c>
      <c r="B560" s="1">
        <v>0.10882</v>
      </c>
      <c r="C560" s="1">
        <v>0.104932</v>
      </c>
      <c r="D560" t="str">
        <f t="shared" si="8"/>
        <v>B</v>
      </c>
    </row>
    <row r="561" spans="1:4" x14ac:dyDescent="0.25">
      <c r="A561" s="4" t="s">
        <v>55</v>
      </c>
      <c r="B561" s="1">
        <v>0.72411499999999995</v>
      </c>
      <c r="C561" s="1">
        <v>0.72764300000000004</v>
      </c>
      <c r="D561" t="str">
        <f t="shared" si="8"/>
        <v>A</v>
      </c>
    </row>
    <row r="562" spans="1:4" x14ac:dyDescent="0.25">
      <c r="A562" s="4" t="s">
        <v>56</v>
      </c>
      <c r="B562" s="1">
        <v>0.45928099999999999</v>
      </c>
      <c r="C562" s="1">
        <v>0.45549299999999998</v>
      </c>
      <c r="D562" t="str">
        <f t="shared" si="8"/>
        <v>B</v>
      </c>
    </row>
    <row r="563" spans="1:4" x14ac:dyDescent="0.25">
      <c r="A563" s="4" t="s">
        <v>57</v>
      </c>
      <c r="B563" s="1">
        <v>0.99172199999999999</v>
      </c>
      <c r="C563" s="1">
        <v>0.99490199999999995</v>
      </c>
      <c r="D563" t="str">
        <f t="shared" si="8"/>
        <v>A</v>
      </c>
    </row>
    <row r="564" spans="1:4" x14ac:dyDescent="0.25">
      <c r="A564" s="4" t="s">
        <v>58</v>
      </c>
      <c r="B564" s="1">
        <v>0.90173300000000001</v>
      </c>
      <c r="C564" s="1">
        <v>0.905613</v>
      </c>
      <c r="D564" t="str">
        <f t="shared" si="8"/>
        <v>A</v>
      </c>
    </row>
    <row r="565" spans="1:4" x14ac:dyDescent="0.25">
      <c r="A565" s="4" t="s">
        <v>59</v>
      </c>
      <c r="B565" s="1">
        <v>0.99075100000000005</v>
      </c>
      <c r="C565" s="1">
        <v>0.98880699999999999</v>
      </c>
      <c r="D565" t="str">
        <f t="shared" si="8"/>
        <v>B</v>
      </c>
    </row>
    <row r="566" spans="1:4" x14ac:dyDescent="0.25">
      <c r="A566" s="4" t="s">
        <v>60</v>
      </c>
      <c r="B566" s="1">
        <v>0.71294500000000005</v>
      </c>
      <c r="C566" s="1">
        <v>0.716229</v>
      </c>
      <c r="D566" t="str">
        <f t="shared" si="8"/>
        <v>A</v>
      </c>
    </row>
    <row r="567" spans="1:4" x14ac:dyDescent="0.25">
      <c r="A567" s="4" t="s">
        <v>61</v>
      </c>
      <c r="B567" s="1">
        <v>0.25781799999999999</v>
      </c>
      <c r="C567" s="1">
        <v>0.25594600000000001</v>
      </c>
      <c r="D567" t="str">
        <f t="shared" si="8"/>
        <v>B</v>
      </c>
    </row>
    <row r="568" spans="1:4" x14ac:dyDescent="0.25">
      <c r="A568" s="4" t="s">
        <v>62</v>
      </c>
      <c r="B568" s="1">
        <v>8.6955000000000005E-2</v>
      </c>
      <c r="C568" s="1">
        <v>8.5378999999999997E-2</v>
      </c>
      <c r="D568" t="str">
        <f t="shared" si="8"/>
        <v>B</v>
      </c>
    </row>
    <row r="569" spans="1:4" x14ac:dyDescent="0.25">
      <c r="A569" s="4" t="s">
        <v>63</v>
      </c>
      <c r="B569" s="1">
        <v>0.35100700000000001</v>
      </c>
      <c r="C569" s="1">
        <v>0.35246300000000003</v>
      </c>
      <c r="D569" t="str">
        <f t="shared" si="8"/>
        <v>A</v>
      </c>
    </row>
    <row r="570" spans="1:4" x14ac:dyDescent="0.25">
      <c r="A570" s="4" t="s">
        <v>64</v>
      </c>
      <c r="B570" s="1">
        <v>0.82595300000000005</v>
      </c>
      <c r="C570" s="1">
        <v>0.82917700000000005</v>
      </c>
      <c r="D570" t="str">
        <f t="shared" si="8"/>
        <v>A</v>
      </c>
    </row>
    <row r="571" spans="1:4" x14ac:dyDescent="0.25">
      <c r="A571" s="4" t="s">
        <v>65</v>
      </c>
      <c r="B571" s="1">
        <v>0.55854400000000004</v>
      </c>
      <c r="C571" s="1">
        <v>0.55462400000000001</v>
      </c>
      <c r="D571" t="str">
        <f t="shared" si="8"/>
        <v>B</v>
      </c>
    </row>
    <row r="572" spans="1:4" x14ac:dyDescent="0.25">
      <c r="A572" s="4" t="s">
        <v>66</v>
      </c>
      <c r="B572" s="1">
        <v>0.21590100000000001</v>
      </c>
      <c r="C572" s="1">
        <v>0.21798100000000001</v>
      </c>
      <c r="D572" t="str">
        <f t="shared" si="8"/>
        <v>A</v>
      </c>
    </row>
    <row r="573" spans="1:4" x14ac:dyDescent="0.25">
      <c r="A573" s="4" t="s">
        <v>67</v>
      </c>
      <c r="B573" s="1">
        <v>0.859155</v>
      </c>
      <c r="C573" s="1">
        <v>0.85716700000000001</v>
      </c>
      <c r="D573" t="str">
        <f t="shared" si="8"/>
        <v>B</v>
      </c>
    </row>
    <row r="574" spans="1:4" x14ac:dyDescent="0.25">
      <c r="A574" s="4" t="s">
        <v>68</v>
      </c>
      <c r="B574" s="1">
        <v>0.67446200000000001</v>
      </c>
      <c r="C574" s="1">
        <v>0.67788999999999999</v>
      </c>
      <c r="D574" t="str">
        <f t="shared" si="8"/>
        <v>A</v>
      </c>
    </row>
    <row r="575" spans="1:4" x14ac:dyDescent="0.25">
      <c r="A575" s="4" t="s">
        <v>69</v>
      </c>
      <c r="B575" s="1">
        <v>0.47924800000000001</v>
      </c>
      <c r="C575" s="1">
        <v>0.47626000000000002</v>
      </c>
      <c r="D575" t="str">
        <f t="shared" si="8"/>
        <v>B</v>
      </c>
    </row>
    <row r="576" spans="1:4" x14ac:dyDescent="0.25">
      <c r="A576" s="4" t="s">
        <v>70</v>
      </c>
      <c r="B576" s="1">
        <v>0.51831700000000003</v>
      </c>
      <c r="C576" s="1">
        <v>0.52147299999999996</v>
      </c>
      <c r="D576" t="str">
        <f t="shared" si="8"/>
        <v>A</v>
      </c>
    </row>
    <row r="577" spans="1:4" x14ac:dyDescent="0.25">
      <c r="A577" s="4" t="s">
        <v>71</v>
      </c>
      <c r="B577" s="1">
        <v>0.69348799999999999</v>
      </c>
      <c r="C577" s="1">
        <v>0.69093599999999999</v>
      </c>
      <c r="D577" t="str">
        <f t="shared" si="8"/>
        <v>B</v>
      </c>
    </row>
    <row r="578" spans="1:4" x14ac:dyDescent="0.25">
      <c r="A578" s="4" t="s">
        <v>72</v>
      </c>
      <c r="B578" s="1">
        <v>0.145533</v>
      </c>
      <c r="C578" s="1">
        <v>0.14855299999999999</v>
      </c>
      <c r="D578" t="str">
        <f t="shared" si="8"/>
        <v>A</v>
      </c>
    </row>
    <row r="579" spans="1:4" x14ac:dyDescent="0.25">
      <c r="A579" s="4" t="s">
        <v>73</v>
      </c>
      <c r="B579" s="1">
        <v>0.94866899999999998</v>
      </c>
      <c r="C579" s="1">
        <v>0.950569</v>
      </c>
      <c r="D579" t="str">
        <f t="shared" ref="D579:D642" si="9">IF(B579&lt;C579,"A","B")</f>
        <v>A</v>
      </c>
    </row>
    <row r="580" spans="1:4" x14ac:dyDescent="0.25">
      <c r="A580" s="4" t="s">
        <v>74</v>
      </c>
      <c r="B580" s="1">
        <v>0.61492599999999997</v>
      </c>
      <c r="C580" s="1">
        <v>0.61283799999999999</v>
      </c>
      <c r="D580" t="str">
        <f t="shared" si="9"/>
        <v>B</v>
      </c>
    </row>
    <row r="581" spans="1:4" x14ac:dyDescent="0.25">
      <c r="A581" s="4" t="s">
        <v>75</v>
      </c>
      <c r="B581" s="1">
        <v>0.80092399999999997</v>
      </c>
      <c r="C581" s="1">
        <v>0.79910400000000004</v>
      </c>
      <c r="D581" t="str">
        <f t="shared" si="9"/>
        <v>B</v>
      </c>
    </row>
    <row r="582" spans="1:4" x14ac:dyDescent="0.25">
      <c r="A582" s="4" t="s">
        <v>76</v>
      </c>
      <c r="B582" s="1">
        <v>0.80892299999999995</v>
      </c>
      <c r="C582" s="1">
        <v>0.806979</v>
      </c>
      <c r="D582" t="str">
        <f t="shared" si="9"/>
        <v>B</v>
      </c>
    </row>
    <row r="583" spans="1:4" x14ac:dyDescent="0.25">
      <c r="A583" s="4" t="s">
        <v>77</v>
      </c>
      <c r="B583" s="1">
        <v>2.6912999999999999E-2</v>
      </c>
      <c r="C583" s="1">
        <v>2.9256999999999998E-2</v>
      </c>
      <c r="D583" t="str">
        <f t="shared" si="9"/>
        <v>A</v>
      </c>
    </row>
    <row r="584" spans="1:4" x14ac:dyDescent="0.25">
      <c r="A584" s="4" t="s">
        <v>78</v>
      </c>
      <c r="B584" s="1">
        <v>0.84384199999999998</v>
      </c>
      <c r="C584" s="1">
        <v>0.845642</v>
      </c>
      <c r="D584" t="str">
        <f t="shared" si="9"/>
        <v>A</v>
      </c>
    </row>
    <row r="585" spans="1:4" x14ac:dyDescent="0.25">
      <c r="A585" s="4" t="s">
        <v>79</v>
      </c>
      <c r="B585" s="1">
        <v>0.81873700000000005</v>
      </c>
      <c r="C585" s="1">
        <v>0.82059300000000002</v>
      </c>
      <c r="D585" t="str">
        <f t="shared" si="9"/>
        <v>A</v>
      </c>
    </row>
    <row r="586" spans="1:4" x14ac:dyDescent="0.25">
      <c r="A586" s="4" t="s">
        <v>80</v>
      </c>
      <c r="B586" s="1">
        <v>0.77809700000000004</v>
      </c>
      <c r="C586" s="1">
        <v>0.77524899999999997</v>
      </c>
      <c r="D586" t="str">
        <f t="shared" si="9"/>
        <v>B</v>
      </c>
    </row>
    <row r="587" spans="1:4" x14ac:dyDescent="0.25">
      <c r="A587" s="4" t="s">
        <v>81</v>
      </c>
      <c r="B587" s="1">
        <v>0.83649600000000002</v>
      </c>
      <c r="C587" s="1">
        <v>0.83909599999999995</v>
      </c>
      <c r="D587" t="str">
        <f t="shared" si="9"/>
        <v>A</v>
      </c>
    </row>
    <row r="588" spans="1:4" x14ac:dyDescent="0.25">
      <c r="A588" s="4" t="s">
        <v>82</v>
      </c>
      <c r="B588" s="1">
        <v>0.63863800000000004</v>
      </c>
      <c r="C588" s="1">
        <v>0.64251000000000003</v>
      </c>
      <c r="D588" t="str">
        <f t="shared" si="9"/>
        <v>A</v>
      </c>
    </row>
    <row r="589" spans="1:4" x14ac:dyDescent="0.25">
      <c r="A589" s="4" t="s">
        <v>83</v>
      </c>
      <c r="B589" s="1">
        <v>0.43880400000000003</v>
      </c>
      <c r="C589" s="1">
        <v>0.435784</v>
      </c>
      <c r="D589" t="str">
        <f t="shared" si="9"/>
        <v>B</v>
      </c>
    </row>
    <row r="590" spans="1:4" x14ac:dyDescent="0.25">
      <c r="A590" s="4" t="s">
        <v>84</v>
      </c>
      <c r="B590" s="1">
        <v>0.20413700000000001</v>
      </c>
      <c r="C590" s="1">
        <v>0.20184099999999999</v>
      </c>
      <c r="D590" t="str">
        <f t="shared" si="9"/>
        <v>B</v>
      </c>
    </row>
    <row r="591" spans="1:4" x14ac:dyDescent="0.25">
      <c r="A591" s="4" t="s">
        <v>85</v>
      </c>
      <c r="B591" s="1">
        <v>0.88788900000000004</v>
      </c>
      <c r="C591" s="1">
        <v>0.88389300000000004</v>
      </c>
      <c r="D591" t="str">
        <f t="shared" si="9"/>
        <v>B</v>
      </c>
    </row>
    <row r="592" spans="1:4" x14ac:dyDescent="0.25">
      <c r="A592" s="4" t="s">
        <v>177</v>
      </c>
      <c r="B592" s="1">
        <v>0.96728700000000001</v>
      </c>
      <c r="C592" s="1">
        <v>0.97079099999999996</v>
      </c>
      <c r="D592" t="str">
        <f t="shared" si="9"/>
        <v>A</v>
      </c>
    </row>
    <row r="593" spans="1:4" x14ac:dyDescent="0.25">
      <c r="A593" s="4" t="s">
        <v>87</v>
      </c>
      <c r="B593" s="1">
        <v>0.121395</v>
      </c>
      <c r="C593" s="1">
        <v>0.124755</v>
      </c>
      <c r="D593" t="str">
        <f t="shared" si="9"/>
        <v>A</v>
      </c>
    </row>
    <row r="594" spans="1:4" x14ac:dyDescent="0.25">
      <c r="A594" s="4" t="s">
        <v>88</v>
      </c>
      <c r="B594" s="1">
        <v>5.8613999999999999E-2</v>
      </c>
      <c r="C594" s="1">
        <v>5.6474000000000003E-2</v>
      </c>
      <c r="D594" t="str">
        <f t="shared" si="9"/>
        <v>B</v>
      </c>
    </row>
    <row r="595" spans="1:4" x14ac:dyDescent="0.25">
      <c r="A595" s="4" t="s">
        <v>89</v>
      </c>
      <c r="B595" s="1">
        <v>0.79559199999999997</v>
      </c>
      <c r="C595" s="1">
        <v>0.792188</v>
      </c>
      <c r="D595" t="str">
        <f t="shared" si="9"/>
        <v>B</v>
      </c>
    </row>
    <row r="596" spans="1:4" x14ac:dyDescent="0.25">
      <c r="A596" s="4" t="s">
        <v>90</v>
      </c>
      <c r="B596" s="1">
        <v>0.63536800000000004</v>
      </c>
      <c r="C596" s="1">
        <v>0.639208</v>
      </c>
      <c r="D596" t="str">
        <f t="shared" si="9"/>
        <v>A</v>
      </c>
    </row>
    <row r="597" spans="1:4" x14ac:dyDescent="0.25">
      <c r="A597" s="4" t="s">
        <v>91</v>
      </c>
      <c r="B597" s="1">
        <v>0.29477999999999999</v>
      </c>
      <c r="C597" s="1">
        <v>0.29804799999999998</v>
      </c>
      <c r="D597" t="str">
        <f t="shared" si="9"/>
        <v>A</v>
      </c>
    </row>
    <row r="598" spans="1:4" x14ac:dyDescent="0.25">
      <c r="A598" s="4" t="s">
        <v>92</v>
      </c>
      <c r="B598" s="1">
        <v>0.312112</v>
      </c>
      <c r="C598" s="1">
        <v>0.31450800000000001</v>
      </c>
      <c r="D598" t="str">
        <f t="shared" si="9"/>
        <v>A</v>
      </c>
    </row>
    <row r="599" spans="1:4" x14ac:dyDescent="0.25">
      <c r="A599" s="4" t="s">
        <v>93</v>
      </c>
      <c r="B599" s="1">
        <v>2.2315999999999999E-2</v>
      </c>
      <c r="C599" s="1">
        <v>1.9543999999999999E-2</v>
      </c>
      <c r="D599" t="str">
        <f t="shared" si="9"/>
        <v>B</v>
      </c>
    </row>
    <row r="600" spans="1:4" x14ac:dyDescent="0.25">
      <c r="A600" s="4" t="s">
        <v>94</v>
      </c>
      <c r="B600" s="1">
        <v>0.65988999999999998</v>
      </c>
      <c r="C600" s="1">
        <v>0.65681</v>
      </c>
      <c r="D600" t="str">
        <f t="shared" si="9"/>
        <v>B</v>
      </c>
    </row>
    <row r="601" spans="1:4" x14ac:dyDescent="0.25">
      <c r="A601" s="4" t="s">
        <v>95</v>
      </c>
      <c r="B601" s="1">
        <v>0.75181399999999998</v>
      </c>
      <c r="C601" s="1">
        <v>0.74925399999999998</v>
      </c>
      <c r="D601" t="str">
        <f t="shared" si="9"/>
        <v>B</v>
      </c>
    </row>
    <row r="602" spans="1:4" x14ac:dyDescent="0.25">
      <c r="A602" s="4" t="s">
        <v>96</v>
      </c>
      <c r="B602" s="1">
        <v>0.69461200000000001</v>
      </c>
      <c r="C602" s="1">
        <v>0.69851200000000002</v>
      </c>
      <c r="D602" t="str">
        <f t="shared" si="9"/>
        <v>A</v>
      </c>
    </row>
    <row r="603" spans="1:4" x14ac:dyDescent="0.25">
      <c r="A603" s="4" t="s">
        <v>97</v>
      </c>
      <c r="B603" s="1">
        <v>0.217417</v>
      </c>
      <c r="C603" s="1">
        <v>0.215721</v>
      </c>
      <c r="D603" t="str">
        <f t="shared" si="9"/>
        <v>B</v>
      </c>
    </row>
    <row r="604" spans="1:4" x14ac:dyDescent="0.25">
      <c r="A604" s="4" t="s">
        <v>98</v>
      </c>
      <c r="B604" s="1">
        <v>0.248913</v>
      </c>
      <c r="C604" s="1">
        <v>0.25204100000000002</v>
      </c>
      <c r="D604" t="str">
        <f t="shared" si="9"/>
        <v>A</v>
      </c>
    </row>
    <row r="605" spans="1:4" x14ac:dyDescent="0.25">
      <c r="A605" s="4" t="s">
        <v>99</v>
      </c>
      <c r="B605" s="1">
        <v>9.5533999999999994E-2</v>
      </c>
      <c r="C605" s="1">
        <v>9.1910000000000006E-2</v>
      </c>
      <c r="D605" t="str">
        <f t="shared" si="9"/>
        <v>B</v>
      </c>
    </row>
    <row r="606" spans="1:4" x14ac:dyDescent="0.25">
      <c r="A606" s="4" t="s">
        <v>100</v>
      </c>
      <c r="B606" s="1">
        <v>0.56021500000000002</v>
      </c>
      <c r="C606" s="1">
        <v>0.56196699999999999</v>
      </c>
      <c r="D606" t="str">
        <f t="shared" si="9"/>
        <v>A</v>
      </c>
    </row>
    <row r="607" spans="1:4" x14ac:dyDescent="0.25">
      <c r="A607" s="4" t="s">
        <v>101</v>
      </c>
      <c r="B607" s="1">
        <v>9.8788000000000001E-2</v>
      </c>
      <c r="C607" s="1">
        <v>9.6680000000000002E-2</v>
      </c>
      <c r="D607" t="str">
        <f t="shared" si="9"/>
        <v>B</v>
      </c>
    </row>
    <row r="608" spans="1:4" x14ac:dyDescent="0.25">
      <c r="A608" s="4" t="s">
        <v>102</v>
      </c>
      <c r="B608" s="1">
        <v>0.66766999999999999</v>
      </c>
      <c r="C608" s="1">
        <v>0.67010999999999998</v>
      </c>
      <c r="D608" t="str">
        <f t="shared" si="9"/>
        <v>A</v>
      </c>
    </row>
    <row r="609" spans="1:4" x14ac:dyDescent="0.25">
      <c r="A609" s="4" t="s">
        <v>103</v>
      </c>
      <c r="B609" s="1">
        <v>0.69916400000000001</v>
      </c>
      <c r="C609" s="1">
        <v>0.70058399999999998</v>
      </c>
      <c r="D609" t="str">
        <f t="shared" si="9"/>
        <v>A</v>
      </c>
    </row>
    <row r="610" spans="1:4" x14ac:dyDescent="0.25">
      <c r="A610" s="4" t="s">
        <v>104</v>
      </c>
      <c r="B610" s="1">
        <v>0.50448999999999999</v>
      </c>
      <c r="C610" s="1">
        <v>0.50298200000000004</v>
      </c>
      <c r="D610" t="str">
        <f t="shared" si="9"/>
        <v>B</v>
      </c>
    </row>
    <row r="611" spans="1:4" x14ac:dyDescent="0.25">
      <c r="A611" s="4" t="s">
        <v>105</v>
      </c>
      <c r="B611" s="1">
        <v>0.70912799999999998</v>
      </c>
      <c r="C611" s="1">
        <v>0.70633199999999996</v>
      </c>
      <c r="D611" t="str">
        <f t="shared" si="9"/>
        <v>B</v>
      </c>
    </row>
    <row r="612" spans="1:4" x14ac:dyDescent="0.25">
      <c r="A612" s="4" t="s">
        <v>106</v>
      </c>
      <c r="B612" s="1">
        <v>0.25471199999999999</v>
      </c>
      <c r="C612" s="1">
        <v>0.25790400000000002</v>
      </c>
      <c r="D612" t="str">
        <f t="shared" si="9"/>
        <v>A</v>
      </c>
    </row>
    <row r="613" spans="1:4" x14ac:dyDescent="0.25">
      <c r="A613" s="4" t="s">
        <v>178</v>
      </c>
      <c r="B613" s="1">
        <v>0.52383800000000003</v>
      </c>
      <c r="C613" s="1">
        <v>0.52654999999999996</v>
      </c>
      <c r="D613" t="str">
        <f t="shared" si="9"/>
        <v>A</v>
      </c>
    </row>
    <row r="614" spans="1:4" x14ac:dyDescent="0.25">
      <c r="A614" s="4" t="s">
        <v>108</v>
      </c>
      <c r="B614" s="1">
        <v>9.1436000000000003E-2</v>
      </c>
      <c r="C614" s="1">
        <v>9.3964000000000006E-2</v>
      </c>
      <c r="D614" t="str">
        <f t="shared" si="9"/>
        <v>A</v>
      </c>
    </row>
    <row r="615" spans="1:4" x14ac:dyDescent="0.25">
      <c r="A615" s="4" t="s">
        <v>109</v>
      </c>
      <c r="B615" s="1">
        <v>0.404277</v>
      </c>
      <c r="C615" s="1">
        <v>0.40759299999999998</v>
      </c>
      <c r="D615" t="str">
        <f t="shared" si="9"/>
        <v>A</v>
      </c>
    </row>
    <row r="616" spans="1:4" x14ac:dyDescent="0.25">
      <c r="A616" s="4" t="s">
        <v>110</v>
      </c>
      <c r="B616" s="1">
        <v>0.11290600000000001</v>
      </c>
      <c r="C616" s="1">
        <v>0.11459</v>
      </c>
      <c r="D616" t="str">
        <f t="shared" si="9"/>
        <v>A</v>
      </c>
    </row>
    <row r="617" spans="1:4" x14ac:dyDescent="0.25">
      <c r="A617" s="4" t="s">
        <v>429</v>
      </c>
      <c r="B617" s="1">
        <v>0.95077199999999995</v>
      </c>
      <c r="C617" s="1">
        <v>0.94779599999999997</v>
      </c>
      <c r="D617" t="str">
        <f t="shared" si="9"/>
        <v>B</v>
      </c>
    </row>
    <row r="618" spans="1:4" x14ac:dyDescent="0.25">
      <c r="A618" s="4" t="s">
        <v>111</v>
      </c>
      <c r="B618" s="1">
        <v>0.37411299999999997</v>
      </c>
      <c r="C618" s="1">
        <v>0.37249300000000002</v>
      </c>
      <c r="D618" t="str">
        <f t="shared" si="9"/>
        <v>B</v>
      </c>
    </row>
    <row r="619" spans="1:4" x14ac:dyDescent="0.25">
      <c r="A619" s="4" t="s">
        <v>112</v>
      </c>
      <c r="B619" s="1">
        <v>0.43324000000000001</v>
      </c>
      <c r="C619" s="1">
        <v>0.43135600000000002</v>
      </c>
      <c r="D619" t="str">
        <f t="shared" si="9"/>
        <v>B</v>
      </c>
    </row>
    <row r="620" spans="1:4" x14ac:dyDescent="0.25">
      <c r="A620" s="4" t="s">
        <v>113</v>
      </c>
      <c r="B620" s="1">
        <v>0.16992399999999999</v>
      </c>
      <c r="C620" s="1">
        <v>0.166296</v>
      </c>
      <c r="D620" t="str">
        <f t="shared" si="9"/>
        <v>B</v>
      </c>
    </row>
    <row r="621" spans="1:4" x14ac:dyDescent="0.25">
      <c r="A621" s="4" t="s">
        <v>114</v>
      </c>
      <c r="B621" s="1">
        <v>0.21842300000000001</v>
      </c>
      <c r="C621" s="1">
        <v>0.21506700000000001</v>
      </c>
      <c r="D621" t="str">
        <f t="shared" si="9"/>
        <v>B</v>
      </c>
    </row>
    <row r="622" spans="1:4" x14ac:dyDescent="0.25">
      <c r="A622" s="4" t="s">
        <v>115</v>
      </c>
      <c r="B622" s="1">
        <v>0.492419</v>
      </c>
      <c r="C622" s="1">
        <v>0.49516300000000002</v>
      </c>
      <c r="D622" t="str">
        <f t="shared" si="9"/>
        <v>A</v>
      </c>
    </row>
    <row r="623" spans="1:4" x14ac:dyDescent="0.25">
      <c r="A623" s="4" t="s">
        <v>116</v>
      </c>
      <c r="B623" s="1">
        <v>0.73995699999999998</v>
      </c>
      <c r="C623" s="1">
        <v>0.74338499999999996</v>
      </c>
      <c r="D623" t="str">
        <f t="shared" si="9"/>
        <v>A</v>
      </c>
    </row>
    <row r="624" spans="1:4" x14ac:dyDescent="0.25">
      <c r="A624" s="4" t="s">
        <v>75</v>
      </c>
      <c r="B624" s="1">
        <v>0.19887299999999999</v>
      </c>
      <c r="C624" s="1">
        <v>0.196909</v>
      </c>
      <c r="D624" t="str">
        <f t="shared" si="9"/>
        <v>B</v>
      </c>
    </row>
    <row r="625" spans="1:4" x14ac:dyDescent="0.25">
      <c r="A625" s="4" t="s">
        <v>117</v>
      </c>
      <c r="B625" s="1">
        <v>0.82010700000000003</v>
      </c>
      <c r="C625" s="1">
        <v>0.82233500000000004</v>
      </c>
      <c r="D625" t="str">
        <f t="shared" si="9"/>
        <v>A</v>
      </c>
    </row>
    <row r="626" spans="1:4" x14ac:dyDescent="0.25">
      <c r="A626" s="4" t="s">
        <v>118</v>
      </c>
      <c r="B626" s="1">
        <v>0.83749799999999996</v>
      </c>
      <c r="C626" s="1">
        <v>0.83599400000000001</v>
      </c>
      <c r="D626" t="str">
        <f t="shared" si="9"/>
        <v>B</v>
      </c>
    </row>
    <row r="627" spans="1:4" x14ac:dyDescent="0.25">
      <c r="A627" s="4" t="s">
        <v>119</v>
      </c>
      <c r="B627" s="1">
        <v>0.71098499999999998</v>
      </c>
      <c r="C627" s="1">
        <v>0.70876899999999998</v>
      </c>
      <c r="D627" t="str">
        <f t="shared" si="9"/>
        <v>B</v>
      </c>
    </row>
    <row r="628" spans="1:4" x14ac:dyDescent="0.25">
      <c r="A628" s="4" t="s">
        <v>120</v>
      </c>
      <c r="B628" s="1">
        <v>2.4251999999999999E-2</v>
      </c>
      <c r="C628" s="1">
        <v>2.2828000000000001E-2</v>
      </c>
      <c r="D628" t="str">
        <f t="shared" si="9"/>
        <v>B</v>
      </c>
    </row>
    <row r="629" spans="1:4" x14ac:dyDescent="0.25">
      <c r="A629" s="4" t="s">
        <v>121</v>
      </c>
      <c r="B629" s="1">
        <v>0.49061199999999999</v>
      </c>
      <c r="C629" s="1">
        <v>0.48800399999999999</v>
      </c>
      <c r="D629" t="str">
        <f t="shared" si="9"/>
        <v>B</v>
      </c>
    </row>
    <row r="630" spans="1:4" x14ac:dyDescent="0.25">
      <c r="A630" s="4" t="s">
        <v>122</v>
      </c>
      <c r="B630" s="1">
        <v>0.68302600000000002</v>
      </c>
      <c r="C630" s="1">
        <v>0.68075799999999997</v>
      </c>
      <c r="D630" t="str">
        <f t="shared" si="9"/>
        <v>B</v>
      </c>
    </row>
    <row r="631" spans="1:4" x14ac:dyDescent="0.25">
      <c r="A631" s="4" t="s">
        <v>123</v>
      </c>
      <c r="B631" s="1">
        <v>0.38374799999999998</v>
      </c>
      <c r="C631" s="1">
        <v>0.38646399999999997</v>
      </c>
      <c r="D631" t="str">
        <f t="shared" si="9"/>
        <v>A</v>
      </c>
    </row>
    <row r="632" spans="1:4" x14ac:dyDescent="0.25">
      <c r="A632" s="4" t="s">
        <v>124</v>
      </c>
      <c r="B632" s="1">
        <v>5.1858000000000001E-2</v>
      </c>
      <c r="C632" s="1">
        <v>5.5253999999999998E-2</v>
      </c>
      <c r="D632" t="str">
        <f t="shared" si="9"/>
        <v>A</v>
      </c>
    </row>
    <row r="633" spans="1:4" x14ac:dyDescent="0.25">
      <c r="A633" s="4" t="s">
        <v>125</v>
      </c>
      <c r="B633" s="1">
        <v>0.56990099999999999</v>
      </c>
      <c r="C633" s="1">
        <v>0.57219699999999996</v>
      </c>
      <c r="D633" t="str">
        <f t="shared" si="9"/>
        <v>A</v>
      </c>
    </row>
    <row r="634" spans="1:4" x14ac:dyDescent="0.25">
      <c r="A634" s="4" t="s">
        <v>87</v>
      </c>
      <c r="B634" s="1">
        <v>0.44867299999999999</v>
      </c>
      <c r="C634" s="1">
        <v>0.45009300000000002</v>
      </c>
      <c r="D634" t="str">
        <f t="shared" si="9"/>
        <v>A</v>
      </c>
    </row>
    <row r="635" spans="1:4" x14ac:dyDescent="0.25">
      <c r="A635" s="4" t="s">
        <v>126</v>
      </c>
      <c r="B635" s="1">
        <v>0.80859300000000001</v>
      </c>
      <c r="C635" s="1">
        <v>0.80629700000000004</v>
      </c>
      <c r="D635" t="str">
        <f t="shared" si="9"/>
        <v>B</v>
      </c>
    </row>
    <row r="636" spans="1:4" x14ac:dyDescent="0.25">
      <c r="A636" s="4" t="s">
        <v>127</v>
      </c>
      <c r="B636" s="1">
        <v>0.82420800000000005</v>
      </c>
      <c r="C636" s="1">
        <v>0.82768799999999998</v>
      </c>
      <c r="D636" t="str">
        <f t="shared" si="9"/>
        <v>A</v>
      </c>
    </row>
    <row r="637" spans="1:4" x14ac:dyDescent="0.25">
      <c r="A637" s="4" t="s">
        <v>128</v>
      </c>
      <c r="B637" s="1">
        <v>6.3480999999999996E-2</v>
      </c>
      <c r="C637" s="1">
        <v>6.6905000000000006E-2</v>
      </c>
      <c r="D637" t="str">
        <f t="shared" si="9"/>
        <v>A</v>
      </c>
    </row>
    <row r="638" spans="1:4" x14ac:dyDescent="0.25">
      <c r="A638" s="4" t="s">
        <v>129</v>
      </c>
      <c r="B638" s="1">
        <v>0.89078199999999996</v>
      </c>
      <c r="C638" s="1">
        <v>0.89239400000000002</v>
      </c>
      <c r="D638" t="str">
        <f t="shared" si="9"/>
        <v>A</v>
      </c>
    </row>
    <row r="639" spans="1:4" x14ac:dyDescent="0.25">
      <c r="A639" s="4" t="s">
        <v>130</v>
      </c>
      <c r="B639" s="1">
        <v>0.54161700000000002</v>
      </c>
      <c r="C639" s="1">
        <v>0.53762900000000002</v>
      </c>
      <c r="D639" t="str">
        <f t="shared" si="9"/>
        <v>B</v>
      </c>
    </row>
    <row r="640" spans="1:4" x14ac:dyDescent="0.25">
      <c r="A640" s="4" t="s">
        <v>131</v>
      </c>
      <c r="B640" s="1">
        <v>5.3295000000000002E-2</v>
      </c>
      <c r="C640" s="1">
        <v>5.0727000000000001E-2</v>
      </c>
      <c r="D640" t="str">
        <f t="shared" si="9"/>
        <v>B</v>
      </c>
    </row>
    <row r="641" spans="1:4" x14ac:dyDescent="0.25">
      <c r="A641" s="4" t="s">
        <v>132</v>
      </c>
      <c r="B641" s="1">
        <v>6.6352999999999995E-2</v>
      </c>
      <c r="C641" s="1">
        <v>6.3589000000000007E-2</v>
      </c>
      <c r="D641" t="str">
        <f t="shared" si="9"/>
        <v>B</v>
      </c>
    </row>
    <row r="642" spans="1:4" x14ac:dyDescent="0.25">
      <c r="A642" s="4" t="s">
        <v>179</v>
      </c>
      <c r="B642" s="1">
        <v>0.92008900000000005</v>
      </c>
      <c r="C642" s="1">
        <v>0.92382900000000001</v>
      </c>
      <c r="D642" t="str">
        <f t="shared" si="9"/>
        <v>A</v>
      </c>
    </row>
    <row r="643" spans="1:4" x14ac:dyDescent="0.25">
      <c r="A643" s="4" t="s">
        <v>134</v>
      </c>
      <c r="B643" s="1">
        <v>0.16026199999999999</v>
      </c>
      <c r="C643" s="1">
        <v>0.16416600000000001</v>
      </c>
      <c r="D643" t="str">
        <f t="shared" ref="D643:D706" si="10">IF(B643&lt;C643,"A","B")</f>
        <v>A</v>
      </c>
    </row>
    <row r="644" spans="1:4" x14ac:dyDescent="0.25">
      <c r="A644" s="4" t="s">
        <v>135</v>
      </c>
      <c r="B644" s="1">
        <v>2.2994000000000001E-2</v>
      </c>
      <c r="C644" s="1">
        <v>2.5885999999999999E-2</v>
      </c>
      <c r="D644" t="str">
        <f t="shared" si="10"/>
        <v>A</v>
      </c>
    </row>
    <row r="645" spans="1:4" x14ac:dyDescent="0.25">
      <c r="A645" s="4" t="s">
        <v>136</v>
      </c>
      <c r="B645" s="1">
        <v>0.67697099999999999</v>
      </c>
      <c r="C645" s="1">
        <v>0.67554700000000001</v>
      </c>
      <c r="D645" t="str">
        <f t="shared" si="10"/>
        <v>B</v>
      </c>
    </row>
    <row r="646" spans="1:4" x14ac:dyDescent="0.25">
      <c r="A646" s="4" t="s">
        <v>137</v>
      </c>
      <c r="B646" s="1">
        <v>0.78898900000000005</v>
      </c>
      <c r="C646" s="1">
        <v>0.78733299999999995</v>
      </c>
      <c r="D646" t="str">
        <f t="shared" si="10"/>
        <v>B</v>
      </c>
    </row>
    <row r="647" spans="1:4" x14ac:dyDescent="0.25">
      <c r="A647" s="4" t="s">
        <v>138</v>
      </c>
      <c r="B647" s="1">
        <v>0.94605499999999998</v>
      </c>
      <c r="C647" s="1">
        <v>0.94314699999999996</v>
      </c>
      <c r="D647" t="str">
        <f t="shared" si="10"/>
        <v>B</v>
      </c>
    </row>
    <row r="648" spans="1:4" x14ac:dyDescent="0.25">
      <c r="A648" s="4" t="s">
        <v>139</v>
      </c>
      <c r="B648" s="1">
        <v>0.28436099999999997</v>
      </c>
      <c r="C648" s="1">
        <v>0.286385</v>
      </c>
      <c r="D648" t="str">
        <f t="shared" si="10"/>
        <v>A</v>
      </c>
    </row>
    <row r="649" spans="1:4" x14ac:dyDescent="0.25">
      <c r="A649" s="4" t="s">
        <v>140</v>
      </c>
      <c r="B649" s="1">
        <v>0.90234800000000004</v>
      </c>
      <c r="C649" s="1">
        <v>0.89943600000000001</v>
      </c>
      <c r="D649" t="str">
        <f t="shared" si="10"/>
        <v>B</v>
      </c>
    </row>
    <row r="650" spans="1:4" x14ac:dyDescent="0.25">
      <c r="A650" s="4" t="s">
        <v>141</v>
      </c>
      <c r="B650" s="1">
        <v>0.85301000000000005</v>
      </c>
      <c r="C650" s="1">
        <v>0.85059799999999997</v>
      </c>
      <c r="D650" t="str">
        <f t="shared" si="10"/>
        <v>B</v>
      </c>
    </row>
    <row r="651" spans="1:4" x14ac:dyDescent="0.25">
      <c r="A651" s="4" t="s">
        <v>142</v>
      </c>
      <c r="B651" s="1">
        <v>0.24293500000000001</v>
      </c>
      <c r="C651" s="1">
        <v>0.24593100000000001</v>
      </c>
      <c r="D651" t="str">
        <f t="shared" si="10"/>
        <v>A</v>
      </c>
    </row>
    <row r="652" spans="1:4" x14ac:dyDescent="0.25">
      <c r="A652" s="4" t="s">
        <v>143</v>
      </c>
      <c r="B652" s="1">
        <v>0.80431299999999994</v>
      </c>
      <c r="C652" s="1">
        <v>0.80078099999999997</v>
      </c>
      <c r="D652" t="str">
        <f t="shared" si="10"/>
        <v>B</v>
      </c>
    </row>
    <row r="653" spans="1:4" x14ac:dyDescent="0.25">
      <c r="A653" s="4" t="s">
        <v>144</v>
      </c>
      <c r="B653" s="1">
        <v>0.73835600000000001</v>
      </c>
      <c r="C653" s="1">
        <v>0.73983200000000005</v>
      </c>
      <c r="D653" t="str">
        <f t="shared" si="10"/>
        <v>A</v>
      </c>
    </row>
    <row r="654" spans="1:4" x14ac:dyDescent="0.25">
      <c r="A654" s="4" t="s">
        <v>145</v>
      </c>
      <c r="B654" s="1">
        <v>0.47162799999999999</v>
      </c>
      <c r="C654" s="1">
        <v>0.46820800000000001</v>
      </c>
      <c r="D654" t="str">
        <f t="shared" si="10"/>
        <v>B</v>
      </c>
    </row>
    <row r="655" spans="1:4" x14ac:dyDescent="0.25">
      <c r="A655" s="4" t="s">
        <v>146</v>
      </c>
      <c r="B655" s="1">
        <v>0.72777400000000003</v>
      </c>
      <c r="C655" s="1">
        <v>0.72487400000000002</v>
      </c>
      <c r="D655" t="str">
        <f t="shared" si="10"/>
        <v>B</v>
      </c>
    </row>
    <row r="656" spans="1:4" x14ac:dyDescent="0.25">
      <c r="A656" s="4" t="s">
        <v>147</v>
      </c>
      <c r="B656" s="1">
        <v>0.42548399999999997</v>
      </c>
      <c r="C656" s="1">
        <v>0.42727199999999999</v>
      </c>
      <c r="D656" t="str">
        <f t="shared" si="10"/>
        <v>A</v>
      </c>
    </row>
    <row r="657" spans="1:4" x14ac:dyDescent="0.25">
      <c r="A657" s="4" t="s">
        <v>148</v>
      </c>
      <c r="B657" s="1">
        <v>0.84191199999999999</v>
      </c>
      <c r="C657" s="1">
        <v>0.84441600000000006</v>
      </c>
      <c r="D657" t="str">
        <f t="shared" si="10"/>
        <v>A</v>
      </c>
    </row>
    <row r="658" spans="1:4" x14ac:dyDescent="0.25">
      <c r="A658" s="4" t="s">
        <v>149</v>
      </c>
      <c r="B658" s="1">
        <v>0.84406099999999995</v>
      </c>
      <c r="C658" s="1">
        <v>0.84692100000000003</v>
      </c>
      <c r="D658" t="str">
        <f t="shared" si="10"/>
        <v>A</v>
      </c>
    </row>
    <row r="659" spans="1:4" x14ac:dyDescent="0.25">
      <c r="A659" s="4" t="s">
        <v>150</v>
      </c>
      <c r="B659" s="1">
        <v>0.71468200000000004</v>
      </c>
      <c r="C659" s="1">
        <v>0.71811000000000003</v>
      </c>
      <c r="D659" t="str">
        <f t="shared" si="10"/>
        <v>A</v>
      </c>
    </row>
    <row r="660" spans="1:4" x14ac:dyDescent="0.25">
      <c r="A660" s="4" t="s">
        <v>180</v>
      </c>
      <c r="B660" s="1">
        <v>0.14814099999999999</v>
      </c>
      <c r="C660" s="1">
        <v>0.14450499999999999</v>
      </c>
      <c r="D660" t="str">
        <f t="shared" si="10"/>
        <v>B</v>
      </c>
    </row>
    <row r="661" spans="1:4" x14ac:dyDescent="0.25">
      <c r="A661" s="4" t="s">
        <v>152</v>
      </c>
      <c r="B661" s="1">
        <v>0.76902999999999999</v>
      </c>
      <c r="C661" s="1">
        <v>0.76503399999999999</v>
      </c>
      <c r="D661" t="str">
        <f t="shared" si="10"/>
        <v>B</v>
      </c>
    </row>
    <row r="662" spans="1:4" x14ac:dyDescent="0.25">
      <c r="A662" s="4" t="s">
        <v>153</v>
      </c>
      <c r="B662" s="1">
        <v>0.36479400000000001</v>
      </c>
      <c r="C662" s="1">
        <v>0.36725799999999997</v>
      </c>
      <c r="D662" t="str">
        <f t="shared" si="10"/>
        <v>A</v>
      </c>
    </row>
    <row r="663" spans="1:4" x14ac:dyDescent="0.25">
      <c r="A663" s="4" t="s">
        <v>154</v>
      </c>
      <c r="B663" s="1">
        <v>0.53641000000000005</v>
      </c>
      <c r="C663" s="1">
        <v>0.53306200000000004</v>
      </c>
      <c r="D663" t="str">
        <f t="shared" si="10"/>
        <v>B</v>
      </c>
    </row>
    <row r="664" spans="1:4" x14ac:dyDescent="0.25">
      <c r="A664" s="4" t="s">
        <v>155</v>
      </c>
      <c r="B664" s="1">
        <v>0.38238299999999997</v>
      </c>
      <c r="C664" s="1">
        <v>0.38064700000000001</v>
      </c>
      <c r="D664" t="str">
        <f t="shared" si="10"/>
        <v>B</v>
      </c>
    </row>
    <row r="665" spans="1:4" x14ac:dyDescent="0.25">
      <c r="A665" s="4" t="s">
        <v>156</v>
      </c>
      <c r="B665" s="1">
        <v>0.47500999999999999</v>
      </c>
      <c r="C665" s="1">
        <v>0.47900199999999998</v>
      </c>
      <c r="D665" t="str">
        <f t="shared" si="10"/>
        <v>A</v>
      </c>
    </row>
    <row r="666" spans="1:4" x14ac:dyDescent="0.25">
      <c r="A666" s="4" t="s">
        <v>157</v>
      </c>
      <c r="B666" s="1">
        <v>0.72528599999999999</v>
      </c>
      <c r="C666" s="1">
        <v>0.72699800000000003</v>
      </c>
      <c r="D666" t="str">
        <f t="shared" si="10"/>
        <v>A</v>
      </c>
    </row>
    <row r="667" spans="1:4" x14ac:dyDescent="0.25">
      <c r="A667" s="4" t="s">
        <v>158</v>
      </c>
      <c r="B667" s="1">
        <v>0.58547800000000005</v>
      </c>
      <c r="C667" s="1">
        <v>0.58823000000000003</v>
      </c>
      <c r="D667" t="str">
        <f t="shared" si="10"/>
        <v>A</v>
      </c>
    </row>
    <row r="668" spans="1:4" x14ac:dyDescent="0.25">
      <c r="A668" s="4" t="s">
        <v>159</v>
      </c>
      <c r="B668" s="1">
        <v>0.37415799999999999</v>
      </c>
      <c r="C668" s="1">
        <v>0.375778</v>
      </c>
      <c r="D668" t="str">
        <f t="shared" si="10"/>
        <v>A</v>
      </c>
    </row>
    <row r="669" spans="1:4" x14ac:dyDescent="0.25">
      <c r="A669" s="4" t="s">
        <v>160</v>
      </c>
      <c r="B669" s="1">
        <v>0.85336199999999995</v>
      </c>
      <c r="C669" s="1">
        <v>0.85630600000000001</v>
      </c>
      <c r="D669" t="str">
        <f t="shared" si="10"/>
        <v>A</v>
      </c>
    </row>
    <row r="670" spans="1:4" x14ac:dyDescent="0.25">
      <c r="A670" s="4" t="s">
        <v>161</v>
      </c>
      <c r="B670" s="1">
        <v>0.87226400000000004</v>
      </c>
      <c r="C670" s="1">
        <v>0.86888399999999999</v>
      </c>
      <c r="D670" t="str">
        <f t="shared" si="10"/>
        <v>B</v>
      </c>
    </row>
    <row r="671" spans="1:4" x14ac:dyDescent="0.25">
      <c r="A671" s="4" t="s">
        <v>162</v>
      </c>
      <c r="B671" s="1">
        <v>0.42178399999999999</v>
      </c>
      <c r="C671" s="1">
        <v>0.42480400000000001</v>
      </c>
      <c r="D671" t="str">
        <f t="shared" si="10"/>
        <v>A</v>
      </c>
    </row>
    <row r="672" spans="1:4" x14ac:dyDescent="0.25">
      <c r="A672" s="4" t="s">
        <v>163</v>
      </c>
      <c r="B672" s="1">
        <v>0.71701300000000001</v>
      </c>
      <c r="C672" s="1">
        <v>0.71365299999999998</v>
      </c>
      <c r="D672" t="str">
        <f t="shared" si="10"/>
        <v>B</v>
      </c>
    </row>
    <row r="673" spans="1:4" x14ac:dyDescent="0.25">
      <c r="A673" s="4" t="s">
        <v>107</v>
      </c>
      <c r="B673" s="1">
        <v>2.9825000000000001E-2</v>
      </c>
      <c r="C673" s="1">
        <v>3.3637E-2</v>
      </c>
      <c r="D673" t="str">
        <f t="shared" si="10"/>
        <v>A</v>
      </c>
    </row>
    <row r="674" spans="1:4" x14ac:dyDescent="0.25">
      <c r="A674" s="4" t="s">
        <v>16</v>
      </c>
      <c r="B674" s="1">
        <v>0.26755400000000001</v>
      </c>
      <c r="C674" s="1">
        <v>0.266042</v>
      </c>
      <c r="D674" t="str">
        <f t="shared" si="10"/>
        <v>B</v>
      </c>
    </row>
    <row r="675" spans="1:4" x14ac:dyDescent="0.25">
      <c r="A675" s="4" t="s">
        <v>64</v>
      </c>
      <c r="B675" s="1">
        <v>0.184341</v>
      </c>
      <c r="C675" s="1">
        <v>0.18803700000000001</v>
      </c>
      <c r="D675" t="str">
        <f t="shared" si="10"/>
        <v>A</v>
      </c>
    </row>
    <row r="676" spans="1:4" x14ac:dyDescent="0.25">
      <c r="A676" s="4" t="s">
        <v>155</v>
      </c>
      <c r="B676" s="1">
        <v>0.55934799999999996</v>
      </c>
      <c r="C676" s="1">
        <v>0.55619200000000002</v>
      </c>
      <c r="D676" t="str">
        <f t="shared" si="10"/>
        <v>B</v>
      </c>
    </row>
    <row r="677" spans="1:4" x14ac:dyDescent="0.25">
      <c r="A677" s="4" t="s">
        <v>74</v>
      </c>
      <c r="B677" s="1">
        <v>0.30348399999999998</v>
      </c>
      <c r="C677" s="1">
        <v>0.30182799999999999</v>
      </c>
      <c r="D677" t="str">
        <f t="shared" si="10"/>
        <v>B</v>
      </c>
    </row>
    <row r="678" spans="1:4" x14ac:dyDescent="0.25">
      <c r="A678" s="4" t="s">
        <v>21</v>
      </c>
      <c r="B678" s="1">
        <v>0.25031599999999998</v>
      </c>
      <c r="C678" s="1">
        <v>0.24890399999999999</v>
      </c>
      <c r="D678" t="str">
        <f t="shared" si="10"/>
        <v>B</v>
      </c>
    </row>
    <row r="679" spans="1:4" x14ac:dyDescent="0.25">
      <c r="A679" s="4" t="s">
        <v>27</v>
      </c>
      <c r="B679" s="1">
        <v>7.0146E-2</v>
      </c>
      <c r="C679" s="1">
        <v>6.633E-2</v>
      </c>
      <c r="D679" t="str">
        <f t="shared" si="10"/>
        <v>B</v>
      </c>
    </row>
    <row r="680" spans="1:4" x14ac:dyDescent="0.25">
      <c r="A680" s="4" t="s">
        <v>83</v>
      </c>
      <c r="B680" s="1">
        <v>6.6768999999999995E-2</v>
      </c>
      <c r="C680" s="1">
        <v>6.9177000000000002E-2</v>
      </c>
      <c r="D680" t="str">
        <f t="shared" si="10"/>
        <v>A</v>
      </c>
    </row>
    <row r="681" spans="1:4" x14ac:dyDescent="0.25">
      <c r="A681" s="4" t="s">
        <v>60</v>
      </c>
      <c r="B681" s="1">
        <v>0.42548900000000001</v>
      </c>
      <c r="C681" s="1">
        <v>0.42702099999999998</v>
      </c>
      <c r="D681" t="str">
        <f t="shared" si="10"/>
        <v>A</v>
      </c>
    </row>
    <row r="682" spans="1:4" x14ac:dyDescent="0.25">
      <c r="A682" s="4" t="s">
        <v>12</v>
      </c>
      <c r="B682" s="1">
        <v>0.67800800000000006</v>
      </c>
      <c r="C682" s="1">
        <v>0.67982399999999998</v>
      </c>
      <c r="D682" t="str">
        <f t="shared" si="10"/>
        <v>A</v>
      </c>
    </row>
    <row r="683" spans="1:4" x14ac:dyDescent="0.25">
      <c r="A683" s="4" t="s">
        <v>49</v>
      </c>
      <c r="B683" s="1">
        <v>0.76098399999999999</v>
      </c>
      <c r="C683" s="1">
        <v>0.75931599999999999</v>
      </c>
      <c r="D683" t="str">
        <f t="shared" si="10"/>
        <v>B</v>
      </c>
    </row>
    <row r="684" spans="1:4" x14ac:dyDescent="0.25">
      <c r="A684" s="4" t="s">
        <v>47</v>
      </c>
      <c r="B684" s="1">
        <v>0.203124</v>
      </c>
      <c r="C684" s="1">
        <v>0.204928</v>
      </c>
      <c r="D684" t="str">
        <f t="shared" si="10"/>
        <v>A</v>
      </c>
    </row>
    <row r="685" spans="1:4" x14ac:dyDescent="0.25">
      <c r="A685" s="4" t="s">
        <v>41</v>
      </c>
      <c r="B685" s="1">
        <v>0.55237700000000001</v>
      </c>
      <c r="C685" s="1">
        <v>0.55376899999999996</v>
      </c>
      <c r="D685" t="str">
        <f t="shared" si="10"/>
        <v>A</v>
      </c>
    </row>
    <row r="686" spans="1:4" x14ac:dyDescent="0.25">
      <c r="A686" s="4" t="s">
        <v>117</v>
      </c>
      <c r="B686" s="1">
        <v>0.184863</v>
      </c>
      <c r="C686" s="1">
        <v>0.181919</v>
      </c>
      <c r="D686" t="str">
        <f t="shared" si="10"/>
        <v>B</v>
      </c>
    </row>
    <row r="687" spans="1:4" x14ac:dyDescent="0.25">
      <c r="A687" s="4" t="s">
        <v>162</v>
      </c>
      <c r="B687" s="1">
        <v>0.15484700000000001</v>
      </c>
      <c r="C687" s="1">
        <v>0.152063</v>
      </c>
      <c r="D687" t="str">
        <f t="shared" si="10"/>
        <v>B</v>
      </c>
    </row>
    <row r="688" spans="1:4" x14ac:dyDescent="0.25">
      <c r="A688" s="4" t="s">
        <v>5</v>
      </c>
      <c r="B688" s="1">
        <v>0.19459099999999999</v>
      </c>
      <c r="C688" s="1">
        <v>0.196183</v>
      </c>
      <c r="D688" t="str">
        <f t="shared" si="10"/>
        <v>A</v>
      </c>
    </row>
    <row r="689" spans="1:4" x14ac:dyDescent="0.25">
      <c r="A689" s="4" t="s">
        <v>109</v>
      </c>
      <c r="B689" s="1">
        <v>0.36385299999999998</v>
      </c>
      <c r="C689" s="1">
        <v>0.36585299999999998</v>
      </c>
      <c r="D689" t="str">
        <f t="shared" si="10"/>
        <v>A</v>
      </c>
    </row>
    <row r="690" spans="1:4" x14ac:dyDescent="0.25">
      <c r="A690" s="4" t="s">
        <v>75</v>
      </c>
      <c r="B690" s="1">
        <v>0.33326600000000001</v>
      </c>
      <c r="C690" s="1">
        <v>0.32928600000000002</v>
      </c>
      <c r="D690" t="str">
        <f t="shared" si="10"/>
        <v>B</v>
      </c>
    </row>
    <row r="691" spans="1:4" x14ac:dyDescent="0.25">
      <c r="A691" s="4" t="s">
        <v>75</v>
      </c>
      <c r="B691" s="1">
        <v>0.75790400000000002</v>
      </c>
      <c r="C691" s="1">
        <v>0.75648000000000004</v>
      </c>
      <c r="D691" t="str">
        <f t="shared" si="10"/>
        <v>B</v>
      </c>
    </row>
    <row r="692" spans="1:4" x14ac:dyDescent="0.25">
      <c r="A692" s="4" t="s">
        <v>68</v>
      </c>
      <c r="B692" s="1">
        <v>0.40887499999999999</v>
      </c>
      <c r="C692" s="1">
        <v>0.40652700000000003</v>
      </c>
      <c r="D692" t="str">
        <f t="shared" si="10"/>
        <v>B</v>
      </c>
    </row>
    <row r="693" spans="1:4" x14ac:dyDescent="0.25">
      <c r="A693" s="4" t="s">
        <v>72</v>
      </c>
      <c r="B693" s="1">
        <v>0.44072499999999998</v>
      </c>
      <c r="C693" s="1">
        <v>0.43829299999999999</v>
      </c>
      <c r="D693" t="str">
        <f t="shared" si="10"/>
        <v>B</v>
      </c>
    </row>
    <row r="694" spans="1:4" x14ac:dyDescent="0.25">
      <c r="A694" s="4" t="s">
        <v>3</v>
      </c>
      <c r="B694" s="1">
        <v>0.640208</v>
      </c>
      <c r="C694" s="1">
        <v>0.64333600000000002</v>
      </c>
      <c r="D694" t="str">
        <f t="shared" si="10"/>
        <v>A</v>
      </c>
    </row>
    <row r="695" spans="1:4" x14ac:dyDescent="0.25">
      <c r="A695" s="4" t="s">
        <v>181</v>
      </c>
      <c r="B695" s="1">
        <v>0.89040600000000003</v>
      </c>
      <c r="C695" s="1">
        <v>0.88888599999999995</v>
      </c>
      <c r="D695" t="str">
        <f t="shared" si="10"/>
        <v>B</v>
      </c>
    </row>
    <row r="696" spans="1:4" x14ac:dyDescent="0.25">
      <c r="A696" s="4" t="s">
        <v>16</v>
      </c>
      <c r="B696" s="1">
        <v>0.25660300000000003</v>
      </c>
      <c r="C696" s="1">
        <v>0.25871100000000002</v>
      </c>
      <c r="D696" t="str">
        <f t="shared" si="10"/>
        <v>A</v>
      </c>
    </row>
    <row r="697" spans="1:4" x14ac:dyDescent="0.25">
      <c r="A697" s="4" t="s">
        <v>64</v>
      </c>
      <c r="B697" s="1">
        <v>0.122706</v>
      </c>
      <c r="C697" s="1">
        <v>0.118814</v>
      </c>
      <c r="D697" t="str">
        <f t="shared" si="10"/>
        <v>B</v>
      </c>
    </row>
    <row r="698" spans="1:4" x14ac:dyDescent="0.25">
      <c r="A698" s="4" t="s">
        <v>155</v>
      </c>
      <c r="B698" s="1">
        <v>0.58026999999999995</v>
      </c>
      <c r="C698" s="1">
        <v>0.58299400000000001</v>
      </c>
      <c r="D698" t="str">
        <f t="shared" si="10"/>
        <v>A</v>
      </c>
    </row>
    <row r="699" spans="1:4" x14ac:dyDescent="0.25">
      <c r="A699" s="4" t="s">
        <v>74</v>
      </c>
      <c r="B699" s="1">
        <v>0.91838799999999998</v>
      </c>
      <c r="C699" s="1">
        <v>0.91548399999999996</v>
      </c>
      <c r="D699" t="str">
        <f t="shared" si="10"/>
        <v>B</v>
      </c>
    </row>
    <row r="700" spans="1:4" x14ac:dyDescent="0.25">
      <c r="A700" s="4" t="s">
        <v>21</v>
      </c>
      <c r="B700" s="1">
        <v>0.54036300000000004</v>
      </c>
      <c r="C700" s="1">
        <v>0.54307099999999997</v>
      </c>
      <c r="D700" t="str">
        <f t="shared" si="10"/>
        <v>A</v>
      </c>
    </row>
    <row r="701" spans="1:4" x14ac:dyDescent="0.25">
      <c r="A701" s="4" t="s">
        <v>27</v>
      </c>
      <c r="B701" s="1">
        <v>0.45537100000000003</v>
      </c>
      <c r="C701" s="1">
        <v>0.45788699999999999</v>
      </c>
      <c r="D701" t="str">
        <f t="shared" si="10"/>
        <v>A</v>
      </c>
    </row>
    <row r="702" spans="1:4" x14ac:dyDescent="0.25">
      <c r="A702" s="4" t="s">
        <v>83</v>
      </c>
      <c r="B702" s="1">
        <v>0.91982600000000003</v>
      </c>
      <c r="C702" s="1">
        <v>0.91775399999999996</v>
      </c>
      <c r="D702" t="str">
        <f t="shared" si="10"/>
        <v>B</v>
      </c>
    </row>
    <row r="703" spans="1:4" x14ac:dyDescent="0.25">
      <c r="A703" s="4" t="s">
        <v>60</v>
      </c>
      <c r="B703" s="1">
        <v>0.22966</v>
      </c>
      <c r="C703" s="1">
        <v>0.23246800000000001</v>
      </c>
      <c r="D703" t="str">
        <f t="shared" si="10"/>
        <v>A</v>
      </c>
    </row>
    <row r="704" spans="1:4" x14ac:dyDescent="0.25">
      <c r="A704" s="4" t="s">
        <v>12</v>
      </c>
      <c r="B704" s="1">
        <v>0.55209399999999997</v>
      </c>
      <c r="C704" s="1">
        <v>0.54861000000000004</v>
      </c>
      <c r="D704" t="str">
        <f t="shared" si="10"/>
        <v>B</v>
      </c>
    </row>
    <row r="705" spans="1:4" x14ac:dyDescent="0.25">
      <c r="A705" s="4" t="s">
        <v>49</v>
      </c>
      <c r="B705" s="1">
        <v>0.558307</v>
      </c>
      <c r="C705" s="1">
        <v>0.55478700000000003</v>
      </c>
      <c r="D705" t="str">
        <f t="shared" si="10"/>
        <v>B</v>
      </c>
    </row>
    <row r="706" spans="1:4" x14ac:dyDescent="0.25">
      <c r="A706" s="4" t="s">
        <v>47</v>
      </c>
      <c r="B706" s="1">
        <v>0.33376899999999998</v>
      </c>
      <c r="C706" s="1">
        <v>0.33111299999999999</v>
      </c>
      <c r="D706" t="str">
        <f t="shared" si="10"/>
        <v>B</v>
      </c>
    </row>
    <row r="707" spans="1:4" x14ac:dyDescent="0.25">
      <c r="A707" s="4" t="s">
        <v>41</v>
      </c>
      <c r="B707" s="1">
        <v>0.57073399999999996</v>
      </c>
      <c r="C707" s="1">
        <v>0.56704200000000005</v>
      </c>
      <c r="D707" t="str">
        <f t="shared" ref="D707:D770" si="11">IF(B707&lt;C707,"A","B")</f>
        <v>B</v>
      </c>
    </row>
    <row r="708" spans="1:4" x14ac:dyDescent="0.25">
      <c r="A708" s="4" t="s">
        <v>117</v>
      </c>
      <c r="B708" s="1">
        <v>0.73974700000000004</v>
      </c>
      <c r="C708" s="1">
        <v>0.74296300000000004</v>
      </c>
      <c r="D708" t="str">
        <f t="shared" si="11"/>
        <v>A</v>
      </c>
    </row>
    <row r="709" spans="1:4" x14ac:dyDescent="0.25">
      <c r="A709" s="4" t="s">
        <v>182</v>
      </c>
      <c r="B709" s="1">
        <v>0.83426</v>
      </c>
      <c r="C709" s="1">
        <v>0.83696800000000005</v>
      </c>
      <c r="D709" t="str">
        <f t="shared" si="11"/>
        <v>A</v>
      </c>
    </row>
    <row r="710" spans="1:4" x14ac:dyDescent="0.25">
      <c r="A710" s="4" t="s">
        <v>5</v>
      </c>
      <c r="B710" s="1">
        <v>0.53817999999999999</v>
      </c>
      <c r="C710" s="1">
        <v>0.53967600000000004</v>
      </c>
      <c r="D710" t="str">
        <f t="shared" si="11"/>
        <v>A</v>
      </c>
    </row>
    <row r="711" spans="1:4" x14ac:dyDescent="0.25">
      <c r="A711" s="4" t="s">
        <v>109</v>
      </c>
      <c r="B711" s="1">
        <v>0.58387299999999998</v>
      </c>
      <c r="C711" s="1">
        <v>0.58202500000000001</v>
      </c>
      <c r="D711" t="str">
        <f t="shared" si="11"/>
        <v>B</v>
      </c>
    </row>
    <row r="712" spans="1:4" x14ac:dyDescent="0.25">
      <c r="A712" s="4" t="s">
        <v>75</v>
      </c>
      <c r="B712" s="1">
        <v>0.55288199999999998</v>
      </c>
      <c r="C712" s="1">
        <v>0.55628200000000005</v>
      </c>
      <c r="D712" t="str">
        <f t="shared" si="11"/>
        <v>A</v>
      </c>
    </row>
    <row r="713" spans="1:4" x14ac:dyDescent="0.25">
      <c r="A713" s="4" t="s">
        <v>75</v>
      </c>
      <c r="B713" s="1">
        <v>0.294576</v>
      </c>
      <c r="C713" s="1">
        <v>0.292016</v>
      </c>
      <c r="D713" t="str">
        <f t="shared" si="11"/>
        <v>B</v>
      </c>
    </row>
    <row r="714" spans="1:4" x14ac:dyDescent="0.25">
      <c r="A714" s="4" t="s">
        <v>68</v>
      </c>
      <c r="B714" s="1">
        <v>0.71384899999999996</v>
      </c>
      <c r="C714" s="1">
        <v>0.71065299999999998</v>
      </c>
      <c r="D714" t="str">
        <f t="shared" si="11"/>
        <v>B</v>
      </c>
    </row>
    <row r="715" spans="1:4" x14ac:dyDescent="0.25">
      <c r="A715" s="4" t="s">
        <v>72</v>
      </c>
      <c r="B715" s="1">
        <v>0.40520400000000001</v>
      </c>
      <c r="C715" s="1">
        <v>0.40260400000000002</v>
      </c>
      <c r="D715" t="str">
        <f t="shared" si="11"/>
        <v>B</v>
      </c>
    </row>
    <row r="716" spans="1:4" x14ac:dyDescent="0.25">
      <c r="A716" s="4" t="s">
        <v>3</v>
      </c>
      <c r="B716" s="1">
        <v>0.59558999999999995</v>
      </c>
      <c r="C716" s="1">
        <v>0.59787400000000002</v>
      </c>
      <c r="D716" t="str">
        <f t="shared" si="11"/>
        <v>A</v>
      </c>
    </row>
    <row r="717" spans="1:4" x14ac:dyDescent="0.25">
      <c r="A717" s="4" t="s">
        <v>47</v>
      </c>
      <c r="B717" s="1">
        <v>0.56683799999999995</v>
      </c>
      <c r="C717" s="1">
        <v>0.56295399999999995</v>
      </c>
      <c r="D717" t="str">
        <f t="shared" si="11"/>
        <v>B</v>
      </c>
    </row>
    <row r="718" spans="1:4" x14ac:dyDescent="0.25">
      <c r="A718" s="4" t="s">
        <v>41</v>
      </c>
      <c r="B718" s="1">
        <v>0.101677</v>
      </c>
      <c r="C718" s="1">
        <v>9.9404999999999993E-2</v>
      </c>
      <c r="D718" t="str">
        <f t="shared" si="11"/>
        <v>B</v>
      </c>
    </row>
    <row r="719" spans="1:4" x14ac:dyDescent="0.25">
      <c r="A719" s="4" t="s">
        <v>117</v>
      </c>
      <c r="B719" s="1">
        <v>0.803373</v>
      </c>
      <c r="C719" s="1">
        <v>0.79982900000000001</v>
      </c>
      <c r="D719" t="str">
        <f t="shared" si="11"/>
        <v>B</v>
      </c>
    </row>
    <row r="720" spans="1:4" x14ac:dyDescent="0.25">
      <c r="A720" s="4" t="s">
        <v>162</v>
      </c>
      <c r="B720" s="1">
        <v>0.57133</v>
      </c>
      <c r="C720" s="1">
        <v>0.57415400000000005</v>
      </c>
      <c r="D720" t="str">
        <f t="shared" si="11"/>
        <v>A</v>
      </c>
    </row>
    <row r="721" spans="1:4" x14ac:dyDescent="0.25">
      <c r="A721" s="4" t="s">
        <v>5</v>
      </c>
      <c r="B721" s="1">
        <v>0.33269399999999999</v>
      </c>
      <c r="C721" s="1">
        <v>0.33667799999999998</v>
      </c>
      <c r="D721" t="str">
        <f t="shared" si="11"/>
        <v>A</v>
      </c>
    </row>
    <row r="722" spans="1:4" x14ac:dyDescent="0.25">
      <c r="A722" s="4" t="s">
        <v>109</v>
      </c>
      <c r="B722" s="1">
        <v>0.23508799999999999</v>
      </c>
      <c r="C722" s="1">
        <v>0.23294000000000001</v>
      </c>
      <c r="D722" t="str">
        <f t="shared" si="11"/>
        <v>B</v>
      </c>
    </row>
    <row r="723" spans="1:4" x14ac:dyDescent="0.25">
      <c r="A723" s="4" t="s">
        <v>47</v>
      </c>
      <c r="B723" s="1">
        <v>0.36631000000000002</v>
      </c>
      <c r="C723" s="1">
        <v>0.36299799999999999</v>
      </c>
      <c r="D723" t="str">
        <f t="shared" si="11"/>
        <v>B</v>
      </c>
    </row>
    <row r="724" spans="1:4" x14ac:dyDescent="0.25">
      <c r="A724" s="4" t="s">
        <v>41</v>
      </c>
      <c r="B724" s="1">
        <v>0.52646300000000001</v>
      </c>
      <c r="C724" s="1">
        <v>0.52316700000000005</v>
      </c>
      <c r="D724" t="str">
        <f t="shared" si="11"/>
        <v>B</v>
      </c>
    </row>
    <row r="725" spans="1:4" x14ac:dyDescent="0.25">
      <c r="A725" s="4" t="s">
        <v>117</v>
      </c>
      <c r="B725" s="1">
        <v>0.93513800000000002</v>
      </c>
      <c r="C725" s="1">
        <v>0.93698199999999998</v>
      </c>
      <c r="D725" t="str">
        <f t="shared" si="11"/>
        <v>A</v>
      </c>
    </row>
    <row r="726" spans="1:4" x14ac:dyDescent="0.25">
      <c r="A726" s="4" t="s">
        <v>162</v>
      </c>
      <c r="B726" s="1">
        <v>0.73413300000000004</v>
      </c>
      <c r="C726" s="1">
        <v>0.73189300000000002</v>
      </c>
      <c r="D726" t="str">
        <f t="shared" si="11"/>
        <v>B</v>
      </c>
    </row>
    <row r="727" spans="1:4" x14ac:dyDescent="0.25">
      <c r="A727" s="4" t="s">
        <v>5</v>
      </c>
      <c r="B727" s="1">
        <v>0.84894400000000003</v>
      </c>
      <c r="C727" s="1">
        <v>0.84666799999999998</v>
      </c>
      <c r="D727" t="str">
        <f t="shared" si="11"/>
        <v>B</v>
      </c>
    </row>
    <row r="728" spans="1:4" x14ac:dyDescent="0.25">
      <c r="A728" s="4" t="s">
        <v>109</v>
      </c>
      <c r="B728" s="1">
        <v>0.38767800000000002</v>
      </c>
      <c r="C728" s="1">
        <v>0.38923000000000002</v>
      </c>
      <c r="D728" t="str">
        <f t="shared" si="11"/>
        <v>A</v>
      </c>
    </row>
    <row r="729" spans="1:4" x14ac:dyDescent="0.25">
      <c r="A729" s="4" t="s">
        <v>47</v>
      </c>
      <c r="B729" s="1">
        <v>4.8843999999999999E-2</v>
      </c>
      <c r="C729" s="1">
        <v>5.1991999999999997E-2</v>
      </c>
      <c r="D729" t="str">
        <f t="shared" si="11"/>
        <v>A</v>
      </c>
    </row>
    <row r="730" spans="1:4" x14ac:dyDescent="0.25">
      <c r="A730" s="4" t="s">
        <v>41</v>
      </c>
      <c r="B730" s="1">
        <v>0.44640400000000002</v>
      </c>
      <c r="C730" s="1">
        <v>0.4481</v>
      </c>
      <c r="D730" t="str">
        <f t="shared" si="11"/>
        <v>A</v>
      </c>
    </row>
    <row r="731" spans="1:4" x14ac:dyDescent="0.25">
      <c r="A731" s="4" t="s">
        <v>117</v>
      </c>
      <c r="B731" s="1">
        <v>0.56385600000000002</v>
      </c>
      <c r="C731" s="1">
        <v>0.56057199999999996</v>
      </c>
      <c r="D731" t="str">
        <f t="shared" si="11"/>
        <v>B</v>
      </c>
    </row>
    <row r="732" spans="1:4" x14ac:dyDescent="0.25">
      <c r="A732" s="4" t="s">
        <v>162</v>
      </c>
      <c r="B732" s="1">
        <v>0.48971599999999998</v>
      </c>
      <c r="C732" s="1">
        <v>0.492728</v>
      </c>
      <c r="D732" t="str">
        <f t="shared" si="11"/>
        <v>A</v>
      </c>
    </row>
    <row r="733" spans="1:4" x14ac:dyDescent="0.25">
      <c r="A733" s="4" t="s">
        <v>5</v>
      </c>
      <c r="B733" s="1">
        <v>0.95572699999999999</v>
      </c>
      <c r="C733" s="1">
        <v>0.95332300000000003</v>
      </c>
      <c r="D733" t="str">
        <f t="shared" si="11"/>
        <v>B</v>
      </c>
    </row>
    <row r="734" spans="1:4" x14ac:dyDescent="0.25">
      <c r="A734" s="4" t="s">
        <v>109</v>
      </c>
      <c r="B734" s="1">
        <v>0.73162199999999999</v>
      </c>
      <c r="C734" s="1">
        <v>0.73468599999999995</v>
      </c>
      <c r="D734" t="str">
        <f t="shared" si="11"/>
        <v>A</v>
      </c>
    </row>
    <row r="735" spans="1:4" x14ac:dyDescent="0.25">
      <c r="A735" s="4" t="s">
        <v>47</v>
      </c>
      <c r="B735" s="1">
        <v>0.35125499999999998</v>
      </c>
      <c r="C735" s="1">
        <v>0.349383</v>
      </c>
      <c r="D735" t="str">
        <f t="shared" si="11"/>
        <v>B</v>
      </c>
    </row>
    <row r="736" spans="1:4" x14ac:dyDescent="0.25">
      <c r="A736" s="4" t="s">
        <v>41</v>
      </c>
      <c r="B736" s="1">
        <v>0.70953299999999997</v>
      </c>
      <c r="C736" s="1">
        <v>0.71285699999999996</v>
      </c>
      <c r="D736" t="str">
        <f t="shared" si="11"/>
        <v>A</v>
      </c>
    </row>
    <row r="737" spans="1:4" x14ac:dyDescent="0.25">
      <c r="A737" s="4" t="s">
        <v>117</v>
      </c>
      <c r="B737" s="1">
        <v>0.54806999999999995</v>
      </c>
      <c r="C737" s="1">
        <v>0.54442199999999996</v>
      </c>
      <c r="D737" t="str">
        <f t="shared" si="11"/>
        <v>B</v>
      </c>
    </row>
    <row r="738" spans="1:4" x14ac:dyDescent="0.25">
      <c r="A738" s="4" t="s">
        <v>162</v>
      </c>
      <c r="B738" s="1">
        <v>0.90659900000000004</v>
      </c>
      <c r="C738" s="1">
        <v>0.90828699999999996</v>
      </c>
      <c r="D738" t="str">
        <f t="shared" si="11"/>
        <v>A</v>
      </c>
    </row>
    <row r="739" spans="1:4" x14ac:dyDescent="0.25">
      <c r="A739" s="4" t="s">
        <v>5</v>
      </c>
      <c r="B739" s="1">
        <v>0.52575099999999997</v>
      </c>
      <c r="C739" s="1">
        <v>0.52411099999999999</v>
      </c>
      <c r="D739" t="str">
        <f t="shared" si="11"/>
        <v>B</v>
      </c>
    </row>
    <row r="740" spans="1:4" x14ac:dyDescent="0.25">
      <c r="A740" s="4" t="s">
        <v>109</v>
      </c>
      <c r="B740" s="1">
        <v>0.114372</v>
      </c>
      <c r="C740" s="1">
        <v>0.116748</v>
      </c>
      <c r="D740" t="str">
        <f t="shared" si="11"/>
        <v>A</v>
      </c>
    </row>
    <row r="741" spans="1:4" x14ac:dyDescent="0.25">
      <c r="A741" s="4" t="s">
        <v>162</v>
      </c>
      <c r="B741" s="1">
        <v>8.4322999999999995E-2</v>
      </c>
      <c r="C741" s="1">
        <v>8.0866999999999994E-2</v>
      </c>
      <c r="D741" t="str">
        <f t="shared" si="11"/>
        <v>B</v>
      </c>
    </row>
    <row r="742" spans="1:4" x14ac:dyDescent="0.25">
      <c r="A742" s="4" t="s">
        <v>5</v>
      </c>
      <c r="B742" s="1">
        <v>0.12634100000000001</v>
      </c>
      <c r="C742" s="1">
        <v>0.122433</v>
      </c>
      <c r="D742" t="str">
        <f t="shared" si="11"/>
        <v>B</v>
      </c>
    </row>
    <row r="743" spans="1:4" x14ac:dyDescent="0.25">
      <c r="A743" s="4" t="s">
        <v>109</v>
      </c>
      <c r="B743" s="1">
        <v>0.44507799999999997</v>
      </c>
      <c r="C743" s="1">
        <v>0.44834600000000002</v>
      </c>
      <c r="D743" t="str">
        <f t="shared" si="11"/>
        <v>A</v>
      </c>
    </row>
    <row r="744" spans="1:4" x14ac:dyDescent="0.25">
      <c r="A744" s="4" t="s">
        <v>162</v>
      </c>
      <c r="B744" s="1">
        <v>1.2021E-2</v>
      </c>
      <c r="C744" s="1">
        <v>1.3877E-2</v>
      </c>
      <c r="D744" t="str">
        <f t="shared" si="11"/>
        <v>A</v>
      </c>
    </row>
    <row r="745" spans="1:4" x14ac:dyDescent="0.25">
      <c r="A745" s="4" t="s">
        <v>5</v>
      </c>
      <c r="B745" s="1">
        <v>0.18615499999999999</v>
      </c>
      <c r="C745" s="1">
        <v>0.18418699999999999</v>
      </c>
      <c r="D745" t="str">
        <f t="shared" si="11"/>
        <v>B</v>
      </c>
    </row>
    <row r="746" spans="1:4" x14ac:dyDescent="0.25">
      <c r="A746" s="4" t="s">
        <v>109</v>
      </c>
      <c r="B746" s="1">
        <v>5.2546000000000002E-2</v>
      </c>
      <c r="C746" s="1">
        <v>5.0361999999999997E-2</v>
      </c>
      <c r="D746" t="str">
        <f t="shared" si="11"/>
        <v>B</v>
      </c>
    </row>
    <row r="747" spans="1:4" x14ac:dyDescent="0.25">
      <c r="A747" s="4" t="s">
        <v>162</v>
      </c>
      <c r="B747" s="1">
        <v>0.33263599999999999</v>
      </c>
      <c r="C747" s="1">
        <v>0.32883600000000002</v>
      </c>
      <c r="D747" t="str">
        <f t="shared" si="11"/>
        <v>B</v>
      </c>
    </row>
    <row r="748" spans="1:4" x14ac:dyDescent="0.25">
      <c r="A748" s="4" t="s">
        <v>5</v>
      </c>
      <c r="B748" s="1">
        <v>0.82136500000000001</v>
      </c>
      <c r="C748" s="1">
        <v>0.82473700000000005</v>
      </c>
      <c r="D748" t="str">
        <f t="shared" si="11"/>
        <v>A</v>
      </c>
    </row>
    <row r="749" spans="1:4" x14ac:dyDescent="0.25">
      <c r="A749" s="4" t="s">
        <v>109</v>
      </c>
      <c r="B749" s="1">
        <v>0.51990700000000001</v>
      </c>
      <c r="C749" s="1">
        <v>0.52331899999999998</v>
      </c>
      <c r="D749" t="str">
        <f t="shared" si="11"/>
        <v>A</v>
      </c>
    </row>
    <row r="750" spans="1:4" x14ac:dyDescent="0.25">
      <c r="A750" s="4" t="s">
        <v>87</v>
      </c>
      <c r="B750" s="1">
        <v>0.193798</v>
      </c>
      <c r="C750" s="1">
        <v>0.19087000000000001</v>
      </c>
      <c r="D750" t="str">
        <f t="shared" si="11"/>
        <v>B</v>
      </c>
    </row>
    <row r="751" spans="1:4" x14ac:dyDescent="0.25">
      <c r="A751" s="4" t="s">
        <v>87</v>
      </c>
      <c r="B751" s="1">
        <v>0.52210599999999996</v>
      </c>
      <c r="C751" s="1">
        <v>0.52360600000000002</v>
      </c>
      <c r="D751" t="str">
        <f t="shared" si="11"/>
        <v>A</v>
      </c>
    </row>
    <row r="752" spans="1:4" x14ac:dyDescent="0.25">
      <c r="A752" s="4" t="s">
        <v>87</v>
      </c>
      <c r="B752" s="1">
        <v>7.9268000000000005E-2</v>
      </c>
      <c r="C752" s="1">
        <v>8.1591999999999998E-2</v>
      </c>
      <c r="D752" t="str">
        <f t="shared" si="11"/>
        <v>A</v>
      </c>
    </row>
    <row r="753" spans="1:4" x14ac:dyDescent="0.25">
      <c r="A753" s="4" t="s">
        <v>87</v>
      </c>
      <c r="B753" s="1">
        <v>0.290101</v>
      </c>
      <c r="C753" s="1">
        <v>0.29200100000000001</v>
      </c>
      <c r="D753" t="str">
        <f t="shared" si="11"/>
        <v>A</v>
      </c>
    </row>
    <row r="754" spans="1:4" x14ac:dyDescent="0.25">
      <c r="A754" s="4" t="s">
        <v>56</v>
      </c>
      <c r="B754" s="1">
        <v>0.76231800000000005</v>
      </c>
      <c r="C754" s="1">
        <v>0.75952200000000003</v>
      </c>
      <c r="D754" t="str">
        <f t="shared" si="11"/>
        <v>B</v>
      </c>
    </row>
    <row r="755" spans="1:4" x14ac:dyDescent="0.25">
      <c r="A755" s="4" t="s">
        <v>132</v>
      </c>
      <c r="B755" s="1">
        <v>2.7099000000000002E-2</v>
      </c>
      <c r="C755" s="1">
        <v>2.2926999999999999E-2</v>
      </c>
      <c r="D755" t="str">
        <f t="shared" si="11"/>
        <v>B</v>
      </c>
    </row>
    <row r="756" spans="1:4" x14ac:dyDescent="0.25">
      <c r="A756" s="4" t="s">
        <v>18</v>
      </c>
      <c r="B756" s="1">
        <v>0.97761100000000001</v>
      </c>
      <c r="C756" s="1">
        <v>0.98051100000000002</v>
      </c>
      <c r="D756" t="str">
        <f t="shared" si="11"/>
        <v>A</v>
      </c>
    </row>
    <row r="757" spans="1:4" x14ac:dyDescent="0.25">
      <c r="A757" s="4" t="s">
        <v>85</v>
      </c>
      <c r="B757" s="1">
        <v>0.85538400000000003</v>
      </c>
      <c r="C757" s="1">
        <v>0.85827600000000004</v>
      </c>
      <c r="D757" t="str">
        <f t="shared" si="11"/>
        <v>A</v>
      </c>
    </row>
    <row r="758" spans="1:4" x14ac:dyDescent="0.25">
      <c r="A758" s="4" t="s">
        <v>112</v>
      </c>
      <c r="B758" s="1">
        <v>8.3103999999999997E-2</v>
      </c>
      <c r="C758" s="1">
        <v>8.0135999999999999E-2</v>
      </c>
      <c r="D758" t="str">
        <f t="shared" si="11"/>
        <v>B</v>
      </c>
    </row>
    <row r="759" spans="1:4" x14ac:dyDescent="0.25">
      <c r="A759" s="4" t="s">
        <v>103</v>
      </c>
      <c r="B759" s="1">
        <v>0.39823199999999997</v>
      </c>
      <c r="C759" s="1">
        <v>0.40016400000000002</v>
      </c>
      <c r="D759" t="str">
        <f t="shared" si="11"/>
        <v>A</v>
      </c>
    </row>
    <row r="760" spans="1:4" x14ac:dyDescent="0.25">
      <c r="A760" s="4" t="s">
        <v>57</v>
      </c>
      <c r="B760" s="1">
        <v>0.885293</v>
      </c>
      <c r="C760" s="1">
        <v>0.88205699999999998</v>
      </c>
      <c r="D760" t="str">
        <f t="shared" si="11"/>
        <v>B</v>
      </c>
    </row>
    <row r="761" spans="1:4" x14ac:dyDescent="0.25">
      <c r="A761" s="4" t="s">
        <v>183</v>
      </c>
      <c r="B761" s="1">
        <v>0.100374</v>
      </c>
      <c r="C761" s="1">
        <v>9.8185999999999996E-2</v>
      </c>
      <c r="D761" t="str">
        <f t="shared" si="11"/>
        <v>B</v>
      </c>
    </row>
    <row r="762" spans="1:4" x14ac:dyDescent="0.25">
      <c r="A762" s="4" t="s">
        <v>184</v>
      </c>
      <c r="B762" s="1">
        <v>0.58142000000000005</v>
      </c>
      <c r="C762" s="1">
        <v>0.58476799999999995</v>
      </c>
      <c r="D762" t="str">
        <f t="shared" si="11"/>
        <v>A</v>
      </c>
    </row>
    <row r="763" spans="1:4" x14ac:dyDescent="0.25">
      <c r="A763" s="4" t="s">
        <v>185</v>
      </c>
      <c r="B763" s="1">
        <v>0.79104600000000003</v>
      </c>
      <c r="C763" s="1">
        <v>0.78865799999999997</v>
      </c>
      <c r="D763" t="str">
        <f t="shared" si="11"/>
        <v>B</v>
      </c>
    </row>
    <row r="764" spans="1:4" x14ac:dyDescent="0.25">
      <c r="A764" s="4" t="s">
        <v>186</v>
      </c>
      <c r="B764" s="1">
        <v>0.53231499999999998</v>
      </c>
      <c r="C764" s="1">
        <v>0.52875499999999998</v>
      </c>
      <c r="D764" t="str">
        <f t="shared" si="11"/>
        <v>B</v>
      </c>
    </row>
    <row r="765" spans="1:4" x14ac:dyDescent="0.25">
      <c r="A765" s="4" t="s">
        <v>187</v>
      </c>
      <c r="B765" s="1">
        <v>0.688388</v>
      </c>
      <c r="C765" s="1">
        <v>0.69217200000000001</v>
      </c>
      <c r="D765" t="str">
        <f t="shared" si="11"/>
        <v>A</v>
      </c>
    </row>
    <row r="766" spans="1:4" x14ac:dyDescent="0.25">
      <c r="A766" s="4" t="s">
        <v>188</v>
      </c>
      <c r="B766" s="1">
        <v>0.28119699999999997</v>
      </c>
      <c r="C766" s="1">
        <v>0.27765699999999999</v>
      </c>
      <c r="D766" t="str">
        <f t="shared" si="11"/>
        <v>B</v>
      </c>
    </row>
    <row r="767" spans="1:4" x14ac:dyDescent="0.25">
      <c r="A767" s="4" t="s">
        <v>189</v>
      </c>
      <c r="B767" s="1">
        <v>0.99743400000000004</v>
      </c>
      <c r="C767" s="1">
        <v>0.99429400000000001</v>
      </c>
      <c r="D767" t="str">
        <f t="shared" si="11"/>
        <v>B</v>
      </c>
    </row>
    <row r="768" spans="1:4" x14ac:dyDescent="0.25">
      <c r="A768" s="4" t="s">
        <v>190</v>
      </c>
      <c r="B768" s="1">
        <v>0.78212599999999999</v>
      </c>
      <c r="C768" s="1">
        <v>0.779918</v>
      </c>
      <c r="D768" t="str">
        <f t="shared" si="11"/>
        <v>B</v>
      </c>
    </row>
    <row r="769" spans="1:4" x14ac:dyDescent="0.25">
      <c r="A769" s="4" t="s">
        <v>191</v>
      </c>
      <c r="B769" s="1">
        <v>0.193879</v>
      </c>
      <c r="C769" s="1">
        <v>0.19175500000000001</v>
      </c>
      <c r="D769" t="str">
        <f t="shared" si="11"/>
        <v>B</v>
      </c>
    </row>
    <row r="770" spans="1:4" x14ac:dyDescent="0.25">
      <c r="A770" s="4" t="s">
        <v>192</v>
      </c>
      <c r="B770" s="1">
        <v>0.23611099999999999</v>
      </c>
      <c r="C770" s="1">
        <v>0.23797099999999999</v>
      </c>
      <c r="D770" t="str">
        <f t="shared" si="11"/>
        <v>A</v>
      </c>
    </row>
    <row r="771" spans="1:4" x14ac:dyDescent="0.25">
      <c r="A771" s="4" t="s">
        <v>193</v>
      </c>
      <c r="B771" s="1">
        <v>0.122076</v>
      </c>
      <c r="C771" s="1">
        <v>0.12460400000000001</v>
      </c>
      <c r="D771" t="str">
        <f t="shared" ref="D771:D834" si="12">IF(B771&lt;C771,"A","B")</f>
        <v>A</v>
      </c>
    </row>
    <row r="772" spans="1:4" x14ac:dyDescent="0.25">
      <c r="A772" s="4" t="s">
        <v>194</v>
      </c>
      <c r="B772" s="1">
        <v>0.59056699999999995</v>
      </c>
      <c r="C772" s="1">
        <v>0.58848299999999998</v>
      </c>
      <c r="D772" t="str">
        <f t="shared" si="12"/>
        <v>B</v>
      </c>
    </row>
    <row r="773" spans="1:4" x14ac:dyDescent="0.25">
      <c r="A773" s="4" t="s">
        <v>195</v>
      </c>
      <c r="B773" s="1">
        <v>0.41790500000000003</v>
      </c>
      <c r="C773" s="1">
        <v>0.415773</v>
      </c>
      <c r="D773" t="str">
        <f t="shared" si="12"/>
        <v>B</v>
      </c>
    </row>
    <row r="774" spans="1:4" x14ac:dyDescent="0.25">
      <c r="A774" s="4" t="s">
        <v>196</v>
      </c>
      <c r="B774" s="1">
        <v>0.73899499999999996</v>
      </c>
      <c r="C774" s="1">
        <v>0.74130700000000005</v>
      </c>
      <c r="D774" t="str">
        <f t="shared" si="12"/>
        <v>A</v>
      </c>
    </row>
    <row r="775" spans="1:4" x14ac:dyDescent="0.25">
      <c r="A775" s="4" t="s">
        <v>197</v>
      </c>
      <c r="B775" s="1">
        <v>0.35936200000000001</v>
      </c>
      <c r="C775" s="1">
        <v>0.35786600000000002</v>
      </c>
      <c r="D775" t="str">
        <f t="shared" si="12"/>
        <v>B</v>
      </c>
    </row>
    <row r="776" spans="1:4" x14ac:dyDescent="0.25">
      <c r="A776" s="4" t="s">
        <v>198</v>
      </c>
      <c r="B776" s="1">
        <v>0.220692</v>
      </c>
      <c r="C776" s="1">
        <v>0.218588</v>
      </c>
      <c r="D776" t="str">
        <f t="shared" si="12"/>
        <v>B</v>
      </c>
    </row>
    <row r="777" spans="1:4" x14ac:dyDescent="0.25">
      <c r="A777" s="4" t="s">
        <v>199</v>
      </c>
      <c r="B777" s="1">
        <v>5.1676E-2</v>
      </c>
      <c r="C777" s="1">
        <v>5.3148000000000001E-2</v>
      </c>
      <c r="D777" t="str">
        <f t="shared" si="12"/>
        <v>A</v>
      </c>
    </row>
    <row r="778" spans="1:4" x14ac:dyDescent="0.25">
      <c r="A778" s="4" t="s">
        <v>200</v>
      </c>
      <c r="B778" s="1">
        <v>0.64594499999999999</v>
      </c>
      <c r="C778" s="1">
        <v>0.649501</v>
      </c>
      <c r="D778" t="str">
        <f t="shared" si="12"/>
        <v>A</v>
      </c>
    </row>
    <row r="779" spans="1:4" x14ac:dyDescent="0.25">
      <c r="A779" s="4" t="s">
        <v>201</v>
      </c>
      <c r="B779" s="1">
        <v>1.3842999999999999E-2</v>
      </c>
      <c r="C779" s="1">
        <v>1.1911E-2</v>
      </c>
      <c r="D779" t="str">
        <f t="shared" si="12"/>
        <v>B</v>
      </c>
    </row>
    <row r="780" spans="1:4" x14ac:dyDescent="0.25">
      <c r="A780" s="4" t="s">
        <v>202</v>
      </c>
      <c r="B780" s="1">
        <v>0.817774</v>
      </c>
      <c r="C780" s="1">
        <v>0.82153799999999999</v>
      </c>
      <c r="D780" t="str">
        <f t="shared" si="12"/>
        <v>A</v>
      </c>
    </row>
    <row r="781" spans="1:4" x14ac:dyDescent="0.25">
      <c r="A781" s="4" t="s">
        <v>203</v>
      </c>
      <c r="B781" s="1">
        <v>0.49404599999999999</v>
      </c>
      <c r="C781" s="1">
        <v>0.49249399999999999</v>
      </c>
      <c r="D781" t="str">
        <f t="shared" si="12"/>
        <v>B</v>
      </c>
    </row>
    <row r="782" spans="1:4" x14ac:dyDescent="0.25">
      <c r="A782" s="4" t="s">
        <v>204</v>
      </c>
      <c r="B782" s="1">
        <v>0.62856599999999996</v>
      </c>
      <c r="C782" s="1">
        <v>0.631602</v>
      </c>
      <c r="D782" t="str">
        <f t="shared" si="12"/>
        <v>A</v>
      </c>
    </row>
    <row r="783" spans="1:4" x14ac:dyDescent="0.25">
      <c r="A783" s="4" t="s">
        <v>205</v>
      </c>
      <c r="B783" s="1">
        <v>0.62204599999999999</v>
      </c>
      <c r="C783" s="1">
        <v>0.62412999999999996</v>
      </c>
      <c r="D783" t="str">
        <f t="shared" si="12"/>
        <v>A</v>
      </c>
    </row>
    <row r="784" spans="1:4" x14ac:dyDescent="0.25">
      <c r="A784" s="4" t="s">
        <v>206</v>
      </c>
      <c r="B784" s="1">
        <v>0.65591200000000005</v>
      </c>
      <c r="C784" s="1">
        <v>0.65336000000000005</v>
      </c>
      <c r="D784" t="str">
        <f t="shared" si="12"/>
        <v>B</v>
      </c>
    </row>
    <row r="785" spans="1:4" x14ac:dyDescent="0.25">
      <c r="A785" s="4" t="s">
        <v>207</v>
      </c>
      <c r="B785" s="1">
        <v>0.68479000000000001</v>
      </c>
      <c r="C785" s="1">
        <v>0.68872999999999995</v>
      </c>
      <c r="D785" t="str">
        <f t="shared" si="12"/>
        <v>A</v>
      </c>
    </row>
    <row r="786" spans="1:4" x14ac:dyDescent="0.25">
      <c r="A786" s="4" t="s">
        <v>208</v>
      </c>
      <c r="B786" s="1">
        <v>0.81711299999999998</v>
      </c>
      <c r="C786" s="1">
        <v>0.81896500000000005</v>
      </c>
      <c r="D786" t="str">
        <f t="shared" si="12"/>
        <v>A</v>
      </c>
    </row>
    <row r="787" spans="1:4" x14ac:dyDescent="0.25">
      <c r="A787" s="4" t="s">
        <v>209</v>
      </c>
      <c r="B787" s="1">
        <v>0.40768100000000002</v>
      </c>
      <c r="C787" s="1">
        <v>0.40382499999999999</v>
      </c>
      <c r="D787" t="str">
        <f t="shared" si="12"/>
        <v>B</v>
      </c>
    </row>
    <row r="788" spans="1:4" x14ac:dyDescent="0.25">
      <c r="A788" s="4" t="s">
        <v>210</v>
      </c>
      <c r="B788" s="1">
        <v>0.32662200000000002</v>
      </c>
      <c r="C788" s="1">
        <v>0.32874599999999998</v>
      </c>
      <c r="D788" t="str">
        <f t="shared" si="12"/>
        <v>A</v>
      </c>
    </row>
    <row r="789" spans="1:4" x14ac:dyDescent="0.25">
      <c r="A789" s="4" t="s">
        <v>211</v>
      </c>
      <c r="B789" s="1">
        <v>0.29138900000000001</v>
      </c>
      <c r="C789" s="1">
        <v>0.29344100000000001</v>
      </c>
      <c r="D789" t="str">
        <f t="shared" si="12"/>
        <v>A</v>
      </c>
    </row>
    <row r="790" spans="1:4" x14ac:dyDescent="0.25">
      <c r="A790" s="4" t="s">
        <v>212</v>
      </c>
      <c r="B790" s="1">
        <v>0.15565499999999999</v>
      </c>
      <c r="C790" s="1">
        <v>0.151727</v>
      </c>
      <c r="D790" t="str">
        <f t="shared" si="12"/>
        <v>B</v>
      </c>
    </row>
    <row r="791" spans="1:4" x14ac:dyDescent="0.25">
      <c r="A791" s="4" t="s">
        <v>213</v>
      </c>
      <c r="B791" s="1">
        <v>0.88904300000000003</v>
      </c>
      <c r="C791" s="1">
        <v>0.88658300000000001</v>
      </c>
      <c r="D791" t="str">
        <f t="shared" si="12"/>
        <v>B</v>
      </c>
    </row>
    <row r="792" spans="1:4" x14ac:dyDescent="0.25">
      <c r="A792" s="4" t="s">
        <v>214</v>
      </c>
      <c r="B792" s="1">
        <v>0.64281900000000003</v>
      </c>
      <c r="C792" s="1">
        <v>0.64061900000000005</v>
      </c>
      <c r="D792" t="str">
        <f t="shared" si="12"/>
        <v>B</v>
      </c>
    </row>
    <row r="793" spans="1:4" x14ac:dyDescent="0.25">
      <c r="A793" s="4" t="s">
        <v>215</v>
      </c>
      <c r="B793" s="1">
        <v>0.92084600000000005</v>
      </c>
      <c r="C793" s="1">
        <v>0.924014</v>
      </c>
      <c r="D793" t="str">
        <f t="shared" si="12"/>
        <v>A</v>
      </c>
    </row>
    <row r="794" spans="1:4" x14ac:dyDescent="0.25">
      <c r="A794" s="4" t="s">
        <v>216</v>
      </c>
      <c r="B794" s="1">
        <v>0.21799099999999999</v>
      </c>
      <c r="C794" s="1">
        <v>0.21532299999999999</v>
      </c>
      <c r="D794" t="str">
        <f t="shared" si="12"/>
        <v>B</v>
      </c>
    </row>
    <row r="795" spans="1:4" x14ac:dyDescent="0.25">
      <c r="A795" s="4" t="s">
        <v>217</v>
      </c>
      <c r="B795" s="1">
        <v>9.6702999999999997E-2</v>
      </c>
      <c r="C795" s="1">
        <v>9.4674999999999995E-2</v>
      </c>
      <c r="D795" t="str">
        <f t="shared" si="12"/>
        <v>B</v>
      </c>
    </row>
    <row r="796" spans="1:4" x14ac:dyDescent="0.25">
      <c r="A796" s="4" t="s">
        <v>218</v>
      </c>
      <c r="B796" s="1">
        <v>4.9180000000000001E-2</v>
      </c>
      <c r="C796" s="1">
        <v>4.5275999999999997E-2</v>
      </c>
      <c r="D796" t="str">
        <f t="shared" si="12"/>
        <v>B</v>
      </c>
    </row>
    <row r="797" spans="1:4" x14ac:dyDescent="0.25">
      <c r="A797" s="4" t="s">
        <v>219</v>
      </c>
      <c r="B797" s="1">
        <v>0.51214999999999999</v>
      </c>
      <c r="C797" s="1">
        <v>0.50854600000000005</v>
      </c>
      <c r="D797" t="str">
        <f t="shared" si="12"/>
        <v>B</v>
      </c>
    </row>
    <row r="798" spans="1:4" x14ac:dyDescent="0.25">
      <c r="A798" s="4" t="s">
        <v>220</v>
      </c>
      <c r="B798" s="1">
        <v>0.56824699999999995</v>
      </c>
      <c r="C798" s="1">
        <v>0.56993099999999997</v>
      </c>
      <c r="D798" t="str">
        <f t="shared" si="12"/>
        <v>A</v>
      </c>
    </row>
    <row r="799" spans="1:4" x14ac:dyDescent="0.25">
      <c r="A799" s="4" t="s">
        <v>221</v>
      </c>
      <c r="B799" s="1">
        <v>0.83130700000000002</v>
      </c>
      <c r="C799" s="1">
        <v>0.82957099999999995</v>
      </c>
      <c r="D799" t="str">
        <f t="shared" si="12"/>
        <v>B</v>
      </c>
    </row>
    <row r="800" spans="1:4" x14ac:dyDescent="0.25">
      <c r="A800" s="4" t="s">
        <v>222</v>
      </c>
      <c r="B800" s="1">
        <v>0.16234899999999999</v>
      </c>
      <c r="C800" s="1">
        <v>0.15942100000000001</v>
      </c>
      <c r="D800" t="str">
        <f t="shared" si="12"/>
        <v>B</v>
      </c>
    </row>
    <row r="801" spans="1:4" x14ac:dyDescent="0.25">
      <c r="A801" s="4" t="s">
        <v>223</v>
      </c>
      <c r="B801" s="1">
        <v>0.66965399999999997</v>
      </c>
      <c r="C801" s="1">
        <v>0.66589399999999999</v>
      </c>
      <c r="D801" t="str">
        <f t="shared" si="12"/>
        <v>B</v>
      </c>
    </row>
    <row r="802" spans="1:4" x14ac:dyDescent="0.25">
      <c r="A802" s="4" t="s">
        <v>224</v>
      </c>
      <c r="B802" s="1">
        <v>0.88523799999999997</v>
      </c>
      <c r="C802" s="1">
        <v>0.88202999999999998</v>
      </c>
      <c r="D802" t="str">
        <f t="shared" si="12"/>
        <v>B</v>
      </c>
    </row>
    <row r="803" spans="1:4" x14ac:dyDescent="0.25">
      <c r="A803" s="4" t="s">
        <v>225</v>
      </c>
      <c r="B803" s="1">
        <v>0.13014400000000001</v>
      </c>
      <c r="C803" s="1">
        <v>0.133712</v>
      </c>
      <c r="D803" t="str">
        <f t="shared" si="12"/>
        <v>A</v>
      </c>
    </row>
    <row r="804" spans="1:4" x14ac:dyDescent="0.25">
      <c r="A804" s="4" t="s">
        <v>226</v>
      </c>
      <c r="B804" s="1">
        <v>0.30818200000000001</v>
      </c>
      <c r="C804" s="1">
        <v>0.30521399999999999</v>
      </c>
      <c r="D804" t="str">
        <f t="shared" si="12"/>
        <v>B</v>
      </c>
    </row>
    <row r="805" spans="1:4" x14ac:dyDescent="0.25">
      <c r="A805" s="4" t="s">
        <v>227</v>
      </c>
      <c r="B805" s="1">
        <v>0.529331</v>
      </c>
      <c r="C805" s="1">
        <v>0.532107</v>
      </c>
      <c r="D805" t="str">
        <f t="shared" si="12"/>
        <v>A</v>
      </c>
    </row>
    <row r="806" spans="1:4" x14ac:dyDescent="0.25">
      <c r="A806" s="4" t="s">
        <v>228</v>
      </c>
      <c r="B806" s="1">
        <v>3.1982999999999998E-2</v>
      </c>
      <c r="C806" s="1">
        <v>3.5730999999999999E-2</v>
      </c>
      <c r="D806" t="str">
        <f t="shared" si="12"/>
        <v>A</v>
      </c>
    </row>
    <row r="807" spans="1:4" x14ac:dyDescent="0.25">
      <c r="A807" s="4" t="s">
        <v>229</v>
      </c>
      <c r="B807" s="1">
        <v>0.119934</v>
      </c>
      <c r="C807" s="1">
        <v>0.11670999999999999</v>
      </c>
      <c r="D807" t="str">
        <f t="shared" si="12"/>
        <v>B</v>
      </c>
    </row>
    <row r="808" spans="1:4" x14ac:dyDescent="0.25">
      <c r="A808" s="4" t="s">
        <v>230</v>
      </c>
      <c r="B808" s="1">
        <v>0.86723899999999998</v>
      </c>
      <c r="C808" s="1">
        <v>0.86434699999999998</v>
      </c>
      <c r="D808" t="str">
        <f t="shared" si="12"/>
        <v>B</v>
      </c>
    </row>
    <row r="809" spans="1:4" x14ac:dyDescent="0.25">
      <c r="A809" s="4" t="s">
        <v>231</v>
      </c>
      <c r="B809" s="1">
        <v>1.7892000000000002E-2</v>
      </c>
      <c r="C809" s="1">
        <v>1.4028000000000001E-2</v>
      </c>
      <c r="D809" t="str">
        <f t="shared" si="12"/>
        <v>B</v>
      </c>
    </row>
    <row r="810" spans="1:4" x14ac:dyDescent="0.25">
      <c r="A810" s="4" t="s">
        <v>232</v>
      </c>
      <c r="B810" s="1">
        <v>0.29889700000000002</v>
      </c>
      <c r="C810" s="1">
        <v>0.29667300000000002</v>
      </c>
      <c r="D810" t="str">
        <f t="shared" si="12"/>
        <v>B</v>
      </c>
    </row>
    <row r="811" spans="1:4" x14ac:dyDescent="0.25">
      <c r="A811" s="4" t="s">
        <v>233</v>
      </c>
      <c r="B811" s="1">
        <v>0.423147</v>
      </c>
      <c r="C811" s="1">
        <v>0.419211</v>
      </c>
      <c r="D811" t="str">
        <f t="shared" si="12"/>
        <v>B</v>
      </c>
    </row>
    <row r="812" spans="1:4" x14ac:dyDescent="0.25">
      <c r="A812" s="4" t="s">
        <v>234</v>
      </c>
      <c r="B812" s="1">
        <v>0.53744899999999995</v>
      </c>
      <c r="C812" s="1">
        <v>0.53895300000000002</v>
      </c>
      <c r="D812" t="str">
        <f t="shared" si="12"/>
        <v>A</v>
      </c>
    </row>
    <row r="813" spans="1:4" x14ac:dyDescent="0.25">
      <c r="A813" s="4" t="s">
        <v>235</v>
      </c>
      <c r="B813" s="1">
        <v>0.24182600000000001</v>
      </c>
      <c r="C813" s="1">
        <v>0.23921000000000001</v>
      </c>
      <c r="D813" t="str">
        <f t="shared" si="12"/>
        <v>B</v>
      </c>
    </row>
    <row r="814" spans="1:4" x14ac:dyDescent="0.25">
      <c r="A814" s="4" t="s">
        <v>236</v>
      </c>
      <c r="B814" s="1">
        <v>0.74470800000000004</v>
      </c>
      <c r="C814" s="1">
        <v>0.74641199999999996</v>
      </c>
      <c r="D814" t="str">
        <f t="shared" si="12"/>
        <v>A</v>
      </c>
    </row>
    <row r="815" spans="1:4" x14ac:dyDescent="0.25">
      <c r="A815" s="4" t="s">
        <v>237</v>
      </c>
      <c r="B815" s="1">
        <v>0.83006999999999997</v>
      </c>
      <c r="C815" s="1">
        <v>0.82670600000000005</v>
      </c>
      <c r="D815" t="str">
        <f t="shared" si="12"/>
        <v>B</v>
      </c>
    </row>
    <row r="816" spans="1:4" x14ac:dyDescent="0.25">
      <c r="A816" s="4" t="s">
        <v>238</v>
      </c>
      <c r="B816" s="1">
        <v>3.8924E-2</v>
      </c>
      <c r="C816" s="1">
        <v>3.7212000000000002E-2</v>
      </c>
      <c r="D816" t="str">
        <f t="shared" si="12"/>
        <v>B</v>
      </c>
    </row>
    <row r="817" spans="1:4" x14ac:dyDescent="0.25">
      <c r="A817" s="4" t="s">
        <v>239</v>
      </c>
      <c r="B817" s="1">
        <v>0.346945</v>
      </c>
      <c r="C817" s="1">
        <v>0.35031299999999999</v>
      </c>
      <c r="D817" t="str">
        <f t="shared" si="12"/>
        <v>A</v>
      </c>
    </row>
    <row r="818" spans="1:4" x14ac:dyDescent="0.25">
      <c r="A818" s="4" t="s">
        <v>240</v>
      </c>
      <c r="B818" s="1">
        <v>0.76658499999999996</v>
      </c>
      <c r="C818" s="1">
        <v>0.763181</v>
      </c>
      <c r="D818" t="str">
        <f t="shared" si="12"/>
        <v>B</v>
      </c>
    </row>
    <row r="819" spans="1:4" x14ac:dyDescent="0.25">
      <c r="A819" s="4" t="s">
        <v>241</v>
      </c>
      <c r="B819" s="1">
        <v>0.12286</v>
      </c>
      <c r="C819" s="1">
        <v>0.12078800000000001</v>
      </c>
      <c r="D819" t="str">
        <f t="shared" si="12"/>
        <v>B</v>
      </c>
    </row>
    <row r="820" spans="1:4" x14ac:dyDescent="0.25">
      <c r="A820" s="4" t="s">
        <v>242</v>
      </c>
      <c r="B820" s="1">
        <v>0.29494700000000001</v>
      </c>
      <c r="C820" s="1">
        <v>0.29311900000000002</v>
      </c>
      <c r="D820" t="str">
        <f t="shared" si="12"/>
        <v>B</v>
      </c>
    </row>
    <row r="821" spans="1:4" x14ac:dyDescent="0.25">
      <c r="A821" s="4" t="s">
        <v>243</v>
      </c>
      <c r="B821" s="1">
        <v>0.32779999999999998</v>
      </c>
      <c r="C821" s="1">
        <v>0.32583200000000001</v>
      </c>
      <c r="D821" t="str">
        <f t="shared" si="12"/>
        <v>B</v>
      </c>
    </row>
    <row r="822" spans="1:4" x14ac:dyDescent="0.25">
      <c r="A822" s="4" t="s">
        <v>244</v>
      </c>
      <c r="B822" s="1">
        <v>0.71818000000000004</v>
      </c>
      <c r="C822" s="1">
        <v>0.714916</v>
      </c>
      <c r="D822" t="str">
        <f t="shared" si="12"/>
        <v>B</v>
      </c>
    </row>
    <row r="823" spans="1:4" x14ac:dyDescent="0.25">
      <c r="A823" s="4" t="s">
        <v>245</v>
      </c>
      <c r="B823" s="1">
        <v>0.57927600000000001</v>
      </c>
      <c r="C823" s="1">
        <v>0.58151200000000003</v>
      </c>
      <c r="D823" t="str">
        <f t="shared" si="12"/>
        <v>A</v>
      </c>
    </row>
    <row r="824" spans="1:4" x14ac:dyDescent="0.25">
      <c r="A824" s="4" t="s">
        <v>246</v>
      </c>
      <c r="B824" s="1">
        <v>0.55222700000000002</v>
      </c>
      <c r="C824" s="1">
        <v>0.550759</v>
      </c>
      <c r="D824" t="str">
        <f t="shared" si="12"/>
        <v>B</v>
      </c>
    </row>
    <row r="825" spans="1:4" x14ac:dyDescent="0.25">
      <c r="A825" s="4" t="s">
        <v>247</v>
      </c>
      <c r="B825" s="1">
        <v>0.30108499999999999</v>
      </c>
      <c r="C825" s="1">
        <v>0.29910100000000001</v>
      </c>
      <c r="D825" t="str">
        <f t="shared" si="12"/>
        <v>B</v>
      </c>
    </row>
    <row r="826" spans="1:4" x14ac:dyDescent="0.25">
      <c r="A826" s="4" t="s">
        <v>248</v>
      </c>
      <c r="B826" s="1">
        <v>0.27788099999999999</v>
      </c>
      <c r="C826" s="1">
        <v>0.280553</v>
      </c>
      <c r="D826" t="str">
        <f t="shared" si="12"/>
        <v>A</v>
      </c>
    </row>
    <row r="827" spans="1:4" x14ac:dyDescent="0.25">
      <c r="A827" s="4" t="s">
        <v>249</v>
      </c>
      <c r="B827" s="1">
        <v>0.261075</v>
      </c>
      <c r="C827" s="1">
        <v>0.257411</v>
      </c>
      <c r="D827" t="str">
        <f t="shared" si="12"/>
        <v>B</v>
      </c>
    </row>
    <row r="828" spans="1:4" x14ac:dyDescent="0.25">
      <c r="A828" s="4" t="s">
        <v>250</v>
      </c>
      <c r="B828" s="1">
        <v>0.69297900000000001</v>
      </c>
      <c r="C828" s="1">
        <v>0.69500300000000004</v>
      </c>
      <c r="D828" t="str">
        <f t="shared" si="12"/>
        <v>A</v>
      </c>
    </row>
    <row r="829" spans="1:4" x14ac:dyDescent="0.25">
      <c r="A829" s="4" t="s">
        <v>251</v>
      </c>
      <c r="B829" s="1">
        <v>5.1720000000000002E-2</v>
      </c>
      <c r="C829" s="1">
        <v>5.4052000000000003E-2</v>
      </c>
      <c r="D829" t="str">
        <f t="shared" si="12"/>
        <v>A</v>
      </c>
    </row>
    <row r="830" spans="1:4" x14ac:dyDescent="0.25">
      <c r="A830" s="4" t="s">
        <v>252</v>
      </c>
      <c r="B830" s="1">
        <v>0.40370400000000001</v>
      </c>
      <c r="C830" s="1">
        <v>0.40213199999999999</v>
      </c>
      <c r="D830" t="str">
        <f t="shared" si="12"/>
        <v>B</v>
      </c>
    </row>
    <row r="831" spans="1:4" x14ac:dyDescent="0.25">
      <c r="A831" s="4" t="s">
        <v>253</v>
      </c>
      <c r="B831" s="1">
        <v>0.56004299999999996</v>
      </c>
      <c r="C831" s="1">
        <v>0.55661499999999997</v>
      </c>
      <c r="D831" t="str">
        <f t="shared" si="12"/>
        <v>B</v>
      </c>
    </row>
    <row r="832" spans="1:4" x14ac:dyDescent="0.25">
      <c r="A832" s="4" t="s">
        <v>430</v>
      </c>
      <c r="B832" s="1">
        <v>0.74694899999999997</v>
      </c>
      <c r="C832" s="1">
        <v>0.74481299999999995</v>
      </c>
      <c r="D832" t="str">
        <f t="shared" si="12"/>
        <v>B</v>
      </c>
    </row>
    <row r="833" spans="1:4" x14ac:dyDescent="0.25">
      <c r="A833" s="4" t="s">
        <v>254</v>
      </c>
      <c r="B833" s="1">
        <v>0.20783799999999999</v>
      </c>
      <c r="C833" s="1">
        <v>0.20622599999999999</v>
      </c>
      <c r="D833" t="str">
        <f t="shared" si="12"/>
        <v>B</v>
      </c>
    </row>
    <row r="834" spans="1:4" x14ac:dyDescent="0.25">
      <c r="A834" s="4" t="s">
        <v>255</v>
      </c>
      <c r="B834" s="1">
        <v>0.25523400000000002</v>
      </c>
      <c r="C834" s="1">
        <v>0.25786199999999998</v>
      </c>
      <c r="D834" t="str">
        <f t="shared" si="12"/>
        <v>A</v>
      </c>
    </row>
    <row r="835" spans="1:4" x14ac:dyDescent="0.25">
      <c r="A835" s="4" t="s">
        <v>256</v>
      </c>
      <c r="B835" s="1">
        <v>0.72481799999999996</v>
      </c>
      <c r="C835" s="1">
        <v>0.72209800000000002</v>
      </c>
      <c r="D835" t="str">
        <f t="shared" ref="D835:D898" si="13">IF(B835&lt;C835,"A","B")</f>
        <v>B</v>
      </c>
    </row>
    <row r="836" spans="1:4" x14ac:dyDescent="0.25">
      <c r="A836" s="4" t="s">
        <v>257</v>
      </c>
      <c r="B836" s="1">
        <v>0.66598000000000002</v>
      </c>
      <c r="C836" s="1">
        <v>0.66393599999999997</v>
      </c>
      <c r="D836" t="str">
        <f t="shared" si="13"/>
        <v>B</v>
      </c>
    </row>
    <row r="837" spans="1:4" x14ac:dyDescent="0.25">
      <c r="A837" s="4" t="s">
        <v>258</v>
      </c>
      <c r="B837" s="1">
        <v>0.75965099999999997</v>
      </c>
      <c r="C837" s="1">
        <v>0.76272300000000004</v>
      </c>
      <c r="D837" t="str">
        <f t="shared" si="13"/>
        <v>A</v>
      </c>
    </row>
    <row r="838" spans="1:4" x14ac:dyDescent="0.25">
      <c r="A838" s="4" t="s">
        <v>259</v>
      </c>
      <c r="B838" s="1">
        <v>0.72672199999999998</v>
      </c>
      <c r="C838" s="1">
        <v>0.72446999999999995</v>
      </c>
      <c r="D838" t="str">
        <f t="shared" si="13"/>
        <v>B</v>
      </c>
    </row>
    <row r="839" spans="1:4" x14ac:dyDescent="0.25">
      <c r="A839" s="4" t="s">
        <v>260</v>
      </c>
      <c r="B839" s="1">
        <v>0.38089400000000001</v>
      </c>
      <c r="C839" s="1">
        <v>0.37707400000000002</v>
      </c>
      <c r="D839" t="str">
        <f t="shared" si="13"/>
        <v>B</v>
      </c>
    </row>
    <row r="840" spans="1:4" x14ac:dyDescent="0.25">
      <c r="A840" s="4" t="s">
        <v>261</v>
      </c>
      <c r="B840" s="1">
        <v>0.34346399999999999</v>
      </c>
      <c r="C840" s="1">
        <v>0.34604400000000002</v>
      </c>
      <c r="D840" t="str">
        <f t="shared" si="13"/>
        <v>A</v>
      </c>
    </row>
    <row r="841" spans="1:4" x14ac:dyDescent="0.25">
      <c r="A841" s="4" t="s">
        <v>262</v>
      </c>
      <c r="B841" s="1">
        <v>6.8135000000000001E-2</v>
      </c>
      <c r="C841" s="1">
        <v>7.0362999999999995E-2</v>
      </c>
      <c r="D841" t="str">
        <f t="shared" si="13"/>
        <v>A</v>
      </c>
    </row>
    <row r="842" spans="1:4" x14ac:dyDescent="0.25">
      <c r="A842" s="4" t="s">
        <v>263</v>
      </c>
      <c r="B842" s="1">
        <v>3.39E-2</v>
      </c>
      <c r="C842" s="1">
        <v>3.2155999999999997E-2</v>
      </c>
      <c r="D842" t="str">
        <f t="shared" si="13"/>
        <v>B</v>
      </c>
    </row>
    <row r="843" spans="1:4" x14ac:dyDescent="0.25">
      <c r="A843" s="4" t="s">
        <v>264</v>
      </c>
      <c r="B843" s="1">
        <v>0.54122899999999996</v>
      </c>
      <c r="C843" s="1">
        <v>0.54350900000000002</v>
      </c>
      <c r="D843" t="str">
        <f t="shared" si="13"/>
        <v>A</v>
      </c>
    </row>
    <row r="844" spans="1:4" x14ac:dyDescent="0.25">
      <c r="A844" s="4" t="s">
        <v>265</v>
      </c>
      <c r="B844" s="1">
        <v>0.34791800000000001</v>
      </c>
      <c r="C844" s="1">
        <v>0.350962</v>
      </c>
      <c r="D844" t="str">
        <f t="shared" si="13"/>
        <v>A</v>
      </c>
    </row>
    <row r="845" spans="1:4" x14ac:dyDescent="0.25">
      <c r="A845" s="4" t="s">
        <v>266</v>
      </c>
      <c r="B845" s="1">
        <v>0.431591</v>
      </c>
      <c r="C845" s="1">
        <v>0.43324699999999999</v>
      </c>
      <c r="D845" t="str">
        <f t="shared" si="13"/>
        <v>A</v>
      </c>
    </row>
    <row r="846" spans="1:4" x14ac:dyDescent="0.25">
      <c r="A846" s="4" t="s">
        <v>267</v>
      </c>
      <c r="B846" s="1">
        <v>0.25780399999999998</v>
      </c>
      <c r="C846" s="1">
        <v>0.25446000000000002</v>
      </c>
      <c r="D846" t="str">
        <f t="shared" si="13"/>
        <v>B</v>
      </c>
    </row>
    <row r="847" spans="1:4" x14ac:dyDescent="0.25">
      <c r="A847" s="4" t="s">
        <v>60</v>
      </c>
      <c r="B847" s="1">
        <v>5.7468999999999999E-2</v>
      </c>
      <c r="C847" s="1">
        <v>5.4021E-2</v>
      </c>
      <c r="D847" t="str">
        <f t="shared" si="13"/>
        <v>B</v>
      </c>
    </row>
    <row r="848" spans="1:4" x14ac:dyDescent="0.25">
      <c r="A848" s="4" t="s">
        <v>12</v>
      </c>
      <c r="B848" s="1">
        <v>0.93074100000000004</v>
      </c>
      <c r="C848" s="1">
        <v>0.92855299999999996</v>
      </c>
      <c r="D848" t="str">
        <f t="shared" si="13"/>
        <v>B</v>
      </c>
    </row>
    <row r="849" spans="1:4" x14ac:dyDescent="0.25">
      <c r="A849" s="4" t="s">
        <v>268</v>
      </c>
      <c r="B849" s="1">
        <v>0.926319</v>
      </c>
      <c r="C849" s="1">
        <v>0.92290700000000003</v>
      </c>
      <c r="D849" t="str">
        <f t="shared" si="13"/>
        <v>B</v>
      </c>
    </row>
    <row r="850" spans="1:4" x14ac:dyDescent="0.25">
      <c r="A850" s="4" t="s">
        <v>269</v>
      </c>
      <c r="B850" s="1">
        <v>0.53266400000000003</v>
      </c>
      <c r="C850" s="1">
        <v>0.534856</v>
      </c>
      <c r="D850" t="str">
        <f t="shared" si="13"/>
        <v>A</v>
      </c>
    </row>
    <row r="851" spans="1:4" x14ac:dyDescent="0.25">
      <c r="A851" s="4" t="s">
        <v>270</v>
      </c>
      <c r="B851" s="1">
        <v>0.88112500000000005</v>
      </c>
      <c r="C851" s="1">
        <v>0.87737299999999996</v>
      </c>
      <c r="D851" t="str">
        <f t="shared" si="13"/>
        <v>B</v>
      </c>
    </row>
    <row r="852" spans="1:4" x14ac:dyDescent="0.25">
      <c r="A852" s="4" t="s">
        <v>271</v>
      </c>
      <c r="B852" s="1">
        <v>0.906107</v>
      </c>
      <c r="C852" s="1">
        <v>0.90796699999999997</v>
      </c>
      <c r="D852" t="str">
        <f t="shared" si="13"/>
        <v>A</v>
      </c>
    </row>
    <row r="853" spans="1:4" x14ac:dyDescent="0.25">
      <c r="A853" s="4" t="s">
        <v>272</v>
      </c>
      <c r="B853" s="1">
        <v>0.52357299999999996</v>
      </c>
      <c r="C853" s="1">
        <v>0.52576100000000003</v>
      </c>
      <c r="D853" t="str">
        <f t="shared" si="13"/>
        <v>A</v>
      </c>
    </row>
    <row r="854" spans="1:4" x14ac:dyDescent="0.25">
      <c r="A854" s="4" t="s">
        <v>273</v>
      </c>
      <c r="B854" s="1">
        <v>0.62061200000000005</v>
      </c>
      <c r="C854" s="1">
        <v>0.62377199999999999</v>
      </c>
      <c r="D854" t="str">
        <f t="shared" si="13"/>
        <v>A</v>
      </c>
    </row>
    <row r="855" spans="1:4" x14ac:dyDescent="0.25">
      <c r="A855" s="4" t="s">
        <v>274</v>
      </c>
      <c r="B855" s="1">
        <v>0.47454200000000002</v>
      </c>
      <c r="C855" s="1">
        <v>0.47071400000000002</v>
      </c>
      <c r="D855" t="str">
        <f t="shared" si="13"/>
        <v>B</v>
      </c>
    </row>
    <row r="856" spans="1:4" x14ac:dyDescent="0.25">
      <c r="A856" s="4" t="s">
        <v>275</v>
      </c>
      <c r="B856" s="1">
        <v>0.94390099999999999</v>
      </c>
      <c r="C856" s="1">
        <v>0.94228100000000004</v>
      </c>
      <c r="D856" t="str">
        <f t="shared" si="13"/>
        <v>B</v>
      </c>
    </row>
    <row r="857" spans="1:4" x14ac:dyDescent="0.25">
      <c r="A857" s="4" t="s">
        <v>276</v>
      </c>
      <c r="B857" s="1">
        <v>0.90642999999999996</v>
      </c>
      <c r="C857" s="1">
        <v>0.90972200000000003</v>
      </c>
      <c r="D857" t="str">
        <f t="shared" si="13"/>
        <v>A</v>
      </c>
    </row>
    <row r="858" spans="1:4" x14ac:dyDescent="0.25">
      <c r="A858" s="4" t="s">
        <v>277</v>
      </c>
      <c r="B858" s="1">
        <v>0.344642</v>
      </c>
      <c r="C858" s="1">
        <v>0.34694999999999998</v>
      </c>
      <c r="D858" t="str">
        <f t="shared" si="13"/>
        <v>A</v>
      </c>
    </row>
    <row r="859" spans="1:4" x14ac:dyDescent="0.25">
      <c r="A859" s="4" t="s">
        <v>278</v>
      </c>
      <c r="B859" s="1">
        <v>0.29603000000000002</v>
      </c>
      <c r="C859" s="1">
        <v>0.29230200000000001</v>
      </c>
      <c r="D859" t="str">
        <f t="shared" si="13"/>
        <v>B</v>
      </c>
    </row>
    <row r="860" spans="1:4" x14ac:dyDescent="0.25">
      <c r="A860" s="4" t="s">
        <v>279</v>
      </c>
      <c r="B860" s="1">
        <v>0.20541999999999999</v>
      </c>
      <c r="C860" s="1">
        <v>0.20174800000000001</v>
      </c>
      <c r="D860" t="str">
        <f t="shared" si="13"/>
        <v>B</v>
      </c>
    </row>
    <row r="861" spans="1:4" x14ac:dyDescent="0.25">
      <c r="A861" s="4" t="s">
        <v>280</v>
      </c>
      <c r="B861" s="1">
        <v>8.2901000000000002E-2</v>
      </c>
      <c r="C861" s="1">
        <v>8.4425E-2</v>
      </c>
      <c r="D861" t="str">
        <f t="shared" si="13"/>
        <v>A</v>
      </c>
    </row>
    <row r="862" spans="1:4" x14ac:dyDescent="0.25">
      <c r="A862" s="4" t="s">
        <v>281</v>
      </c>
      <c r="B862" s="1">
        <v>0.66776400000000002</v>
      </c>
      <c r="C862" s="1">
        <v>0.66424799999999995</v>
      </c>
      <c r="D862" t="str">
        <f t="shared" si="13"/>
        <v>B</v>
      </c>
    </row>
    <row r="863" spans="1:4" x14ac:dyDescent="0.25">
      <c r="A863" s="4" t="s">
        <v>282</v>
      </c>
      <c r="B863" s="1">
        <v>8.2269999999999999E-3</v>
      </c>
      <c r="C863" s="1">
        <v>1.0375000000000001E-2</v>
      </c>
      <c r="D863" t="str">
        <f t="shared" si="13"/>
        <v>A</v>
      </c>
    </row>
    <row r="864" spans="1:4" x14ac:dyDescent="0.25">
      <c r="A864" s="4" t="s">
        <v>283</v>
      </c>
      <c r="B864" s="1">
        <v>0.16709599999999999</v>
      </c>
      <c r="C864" s="1">
        <v>0.16858000000000001</v>
      </c>
      <c r="D864" t="str">
        <f t="shared" si="13"/>
        <v>A</v>
      </c>
    </row>
    <row r="865" spans="1:4" x14ac:dyDescent="0.25">
      <c r="A865" s="4" t="s">
        <v>284</v>
      </c>
      <c r="B865" s="1">
        <v>0.466858</v>
      </c>
      <c r="C865" s="1">
        <v>0.47053</v>
      </c>
      <c r="D865" t="str">
        <f t="shared" si="13"/>
        <v>A</v>
      </c>
    </row>
    <row r="866" spans="1:4" x14ac:dyDescent="0.25">
      <c r="A866" s="4" t="s">
        <v>285</v>
      </c>
      <c r="B866" s="1">
        <v>0.58929100000000001</v>
      </c>
      <c r="C866" s="1">
        <v>0.59181099999999998</v>
      </c>
      <c r="D866" t="str">
        <f t="shared" si="13"/>
        <v>A</v>
      </c>
    </row>
    <row r="867" spans="1:4" x14ac:dyDescent="0.25">
      <c r="A867" s="4" t="s">
        <v>286</v>
      </c>
      <c r="B867" s="1">
        <v>4.9029000000000003E-2</v>
      </c>
      <c r="C867" s="1">
        <v>5.2520999999999998E-2</v>
      </c>
      <c r="D867" t="str">
        <f t="shared" si="13"/>
        <v>A</v>
      </c>
    </row>
    <row r="868" spans="1:4" x14ac:dyDescent="0.25">
      <c r="A868" s="4" t="s">
        <v>287</v>
      </c>
      <c r="B868" s="1">
        <v>0.81754599999999999</v>
      </c>
      <c r="C868" s="1">
        <v>0.814446</v>
      </c>
      <c r="D868" t="str">
        <f t="shared" si="13"/>
        <v>B</v>
      </c>
    </row>
    <row r="869" spans="1:4" x14ac:dyDescent="0.25">
      <c r="A869" s="4" t="s">
        <v>288</v>
      </c>
      <c r="B869" s="1">
        <v>9.7457000000000002E-2</v>
      </c>
      <c r="C869" s="1">
        <v>9.9600999999999995E-2</v>
      </c>
      <c r="D869" t="str">
        <f t="shared" si="13"/>
        <v>A</v>
      </c>
    </row>
    <row r="870" spans="1:4" x14ac:dyDescent="0.25">
      <c r="A870" s="4" t="s">
        <v>289</v>
      </c>
      <c r="B870" s="1">
        <v>0.260156</v>
      </c>
      <c r="C870" s="1">
        <v>0.25726399999999999</v>
      </c>
      <c r="D870" t="str">
        <f t="shared" si="13"/>
        <v>B</v>
      </c>
    </row>
    <row r="871" spans="1:4" x14ac:dyDescent="0.25">
      <c r="A871" s="4" t="s">
        <v>290</v>
      </c>
      <c r="B871" s="1">
        <v>0.78090099999999996</v>
      </c>
      <c r="C871" s="1">
        <v>0.77821700000000005</v>
      </c>
      <c r="D871" t="str">
        <f t="shared" si="13"/>
        <v>B</v>
      </c>
    </row>
    <row r="872" spans="1:4" x14ac:dyDescent="0.25">
      <c r="A872" s="4" t="s">
        <v>291</v>
      </c>
      <c r="B872" s="1">
        <v>0.72183600000000003</v>
      </c>
      <c r="C872" s="1">
        <v>0.72330399999999995</v>
      </c>
      <c r="D872" t="str">
        <f t="shared" si="13"/>
        <v>A</v>
      </c>
    </row>
    <row r="873" spans="1:4" x14ac:dyDescent="0.25">
      <c r="A873" s="4" t="s">
        <v>292</v>
      </c>
      <c r="B873" s="1">
        <v>0.62462799999999996</v>
      </c>
      <c r="C873" s="1">
        <v>0.62682800000000005</v>
      </c>
      <c r="D873" t="str">
        <f t="shared" si="13"/>
        <v>A</v>
      </c>
    </row>
    <row r="874" spans="1:4" x14ac:dyDescent="0.25">
      <c r="A874" s="4" t="s">
        <v>293</v>
      </c>
      <c r="B874" s="1">
        <v>0.55314399999999997</v>
      </c>
      <c r="C874" s="1">
        <v>0.55515999999999999</v>
      </c>
      <c r="D874" t="str">
        <f t="shared" si="13"/>
        <v>A</v>
      </c>
    </row>
    <row r="875" spans="1:4" x14ac:dyDescent="0.25">
      <c r="A875" s="4" t="s">
        <v>87</v>
      </c>
      <c r="B875" s="1">
        <v>0.48994100000000002</v>
      </c>
      <c r="C875" s="1">
        <v>0.49311300000000002</v>
      </c>
      <c r="D875" t="str">
        <f t="shared" si="13"/>
        <v>A</v>
      </c>
    </row>
    <row r="876" spans="1:4" x14ac:dyDescent="0.25">
      <c r="A876" s="4" t="s">
        <v>87</v>
      </c>
      <c r="B876" s="1">
        <v>0.75573800000000002</v>
      </c>
      <c r="C876" s="1">
        <v>0.75292599999999998</v>
      </c>
      <c r="D876" t="str">
        <f t="shared" si="13"/>
        <v>B</v>
      </c>
    </row>
    <row r="877" spans="1:4" x14ac:dyDescent="0.25">
      <c r="A877" s="4" t="s">
        <v>294</v>
      </c>
      <c r="B877" s="1">
        <v>0.956812</v>
      </c>
      <c r="C877" s="1">
        <v>0.95374800000000004</v>
      </c>
      <c r="D877" t="str">
        <f t="shared" si="13"/>
        <v>B</v>
      </c>
    </row>
    <row r="878" spans="1:4" x14ac:dyDescent="0.25">
      <c r="A878" s="4" t="s">
        <v>295</v>
      </c>
      <c r="B878" s="1">
        <v>0.609267</v>
      </c>
      <c r="C878" s="1">
        <v>0.60625099999999998</v>
      </c>
      <c r="D878" t="str">
        <f t="shared" si="13"/>
        <v>B</v>
      </c>
    </row>
    <row r="879" spans="1:4" x14ac:dyDescent="0.25">
      <c r="A879" s="4" t="s">
        <v>296</v>
      </c>
      <c r="B879" s="1">
        <v>0.48624499999999998</v>
      </c>
      <c r="C879" s="1">
        <v>0.48857299999999998</v>
      </c>
      <c r="D879" t="str">
        <f t="shared" si="13"/>
        <v>A</v>
      </c>
    </row>
    <row r="880" spans="1:4" x14ac:dyDescent="0.25">
      <c r="A880" s="4" t="s">
        <v>297</v>
      </c>
      <c r="B880" s="1">
        <v>0.63311200000000001</v>
      </c>
      <c r="C880" s="1">
        <v>0.63467600000000002</v>
      </c>
      <c r="D880" t="str">
        <f t="shared" si="13"/>
        <v>A</v>
      </c>
    </row>
    <row r="881" spans="1:4" x14ac:dyDescent="0.25">
      <c r="A881" s="4" t="s">
        <v>298</v>
      </c>
      <c r="B881" s="1">
        <v>0.71425300000000003</v>
      </c>
      <c r="C881" s="1">
        <v>0.71617299999999995</v>
      </c>
      <c r="D881" t="str">
        <f t="shared" si="13"/>
        <v>A</v>
      </c>
    </row>
    <row r="882" spans="1:4" x14ac:dyDescent="0.25">
      <c r="A882" s="4" t="s">
        <v>299</v>
      </c>
      <c r="B882" s="1">
        <v>0.58881899999999998</v>
      </c>
      <c r="C882" s="1">
        <v>0.58577100000000004</v>
      </c>
      <c r="D882" t="str">
        <f t="shared" si="13"/>
        <v>B</v>
      </c>
    </row>
    <row r="883" spans="1:4" x14ac:dyDescent="0.25">
      <c r="A883" s="4" t="s">
        <v>300</v>
      </c>
      <c r="B883" s="1">
        <v>0.21463699999999999</v>
      </c>
      <c r="C883" s="1">
        <v>0.21702099999999999</v>
      </c>
      <c r="D883" t="str">
        <f t="shared" si="13"/>
        <v>A</v>
      </c>
    </row>
    <row r="884" spans="1:4" x14ac:dyDescent="0.25">
      <c r="A884" s="4" t="s">
        <v>301</v>
      </c>
      <c r="B884" s="1">
        <v>4.1440000000000001E-3</v>
      </c>
      <c r="C884" s="1">
        <v>2.196E-3</v>
      </c>
      <c r="D884" t="str">
        <f t="shared" si="13"/>
        <v>B</v>
      </c>
    </row>
    <row r="885" spans="1:4" x14ac:dyDescent="0.25">
      <c r="A885" s="4" t="s">
        <v>431</v>
      </c>
      <c r="B885" s="1">
        <v>0.38372699999999998</v>
      </c>
      <c r="C885" s="1">
        <v>0.38029099999999999</v>
      </c>
      <c r="D885" t="str">
        <f t="shared" si="13"/>
        <v>B</v>
      </c>
    </row>
    <row r="886" spans="1:4" x14ac:dyDescent="0.25">
      <c r="A886" s="4" t="s">
        <v>302</v>
      </c>
      <c r="B886" s="1">
        <v>0.16837199999999999</v>
      </c>
      <c r="C886" s="1">
        <v>0.17019599999999999</v>
      </c>
      <c r="D886" t="str">
        <f t="shared" si="13"/>
        <v>A</v>
      </c>
    </row>
    <row r="887" spans="1:4" x14ac:dyDescent="0.25">
      <c r="A887" s="4" t="s">
        <v>303</v>
      </c>
      <c r="B887" s="1">
        <v>0.11633300000000001</v>
      </c>
      <c r="C887" s="1">
        <v>0.113373</v>
      </c>
      <c r="D887" t="str">
        <f t="shared" si="13"/>
        <v>B</v>
      </c>
    </row>
    <row r="888" spans="1:4" x14ac:dyDescent="0.25">
      <c r="A888" s="4" t="s">
        <v>304</v>
      </c>
      <c r="B888" s="1">
        <v>0.90426600000000001</v>
      </c>
      <c r="C888" s="1">
        <v>0.90610999999999997</v>
      </c>
      <c r="D888" t="str">
        <f t="shared" si="13"/>
        <v>A</v>
      </c>
    </row>
    <row r="889" spans="1:4" x14ac:dyDescent="0.25">
      <c r="A889" s="4" t="s">
        <v>305</v>
      </c>
      <c r="B889" s="1">
        <v>0.71706700000000001</v>
      </c>
      <c r="C889" s="1">
        <v>0.71400300000000005</v>
      </c>
      <c r="D889" t="str">
        <f t="shared" si="13"/>
        <v>B</v>
      </c>
    </row>
    <row r="890" spans="1:4" x14ac:dyDescent="0.25">
      <c r="A890" s="4" t="s">
        <v>306</v>
      </c>
      <c r="B890" s="1">
        <v>0.97919</v>
      </c>
      <c r="C890" s="1">
        <v>0.97728199999999998</v>
      </c>
      <c r="D890" t="str">
        <f t="shared" si="13"/>
        <v>B</v>
      </c>
    </row>
    <row r="891" spans="1:4" x14ac:dyDescent="0.25">
      <c r="A891" s="4" t="s">
        <v>307</v>
      </c>
      <c r="B891" s="1">
        <v>0.67436099999999999</v>
      </c>
      <c r="C891" s="1">
        <v>0.67042500000000005</v>
      </c>
      <c r="D891" t="str">
        <f t="shared" si="13"/>
        <v>B</v>
      </c>
    </row>
    <row r="892" spans="1:4" x14ac:dyDescent="0.25">
      <c r="A892" s="4" t="s">
        <v>308</v>
      </c>
      <c r="B892" s="1">
        <v>0.25362299999999999</v>
      </c>
      <c r="C892" s="1">
        <v>0.256579</v>
      </c>
      <c r="D892" t="str">
        <f t="shared" si="13"/>
        <v>A</v>
      </c>
    </row>
    <row r="893" spans="1:4" x14ac:dyDescent="0.25">
      <c r="A893" s="4" t="s">
        <v>309</v>
      </c>
      <c r="B893" s="1">
        <v>5.6481999999999997E-2</v>
      </c>
      <c r="C893" s="1">
        <v>5.8942000000000001E-2</v>
      </c>
      <c r="D893" t="str">
        <f t="shared" si="13"/>
        <v>A</v>
      </c>
    </row>
    <row r="894" spans="1:4" x14ac:dyDescent="0.25">
      <c r="A894" s="4" t="s">
        <v>310</v>
      </c>
      <c r="B894" s="1">
        <v>0.870444</v>
      </c>
      <c r="C894" s="1">
        <v>0.86865199999999998</v>
      </c>
      <c r="D894" t="str">
        <f t="shared" si="13"/>
        <v>B</v>
      </c>
    </row>
    <row r="895" spans="1:4" x14ac:dyDescent="0.25">
      <c r="A895" s="4" t="s">
        <v>311</v>
      </c>
      <c r="B895" s="1">
        <v>0.959534</v>
      </c>
      <c r="C895" s="1">
        <v>0.96345000000000003</v>
      </c>
      <c r="D895" t="str">
        <f t="shared" si="13"/>
        <v>A</v>
      </c>
    </row>
    <row r="896" spans="1:4" x14ac:dyDescent="0.25">
      <c r="A896" s="4" t="s">
        <v>312</v>
      </c>
      <c r="B896" s="1">
        <v>5.4336000000000002E-2</v>
      </c>
      <c r="C896" s="1">
        <v>5.8035999999999997E-2</v>
      </c>
      <c r="D896" t="str">
        <f t="shared" si="13"/>
        <v>A</v>
      </c>
    </row>
    <row r="897" spans="1:4" x14ac:dyDescent="0.25">
      <c r="A897" s="4" t="s">
        <v>313</v>
      </c>
      <c r="B897" s="1">
        <v>0.83169999999999999</v>
      </c>
      <c r="C897" s="1">
        <v>0.82974400000000004</v>
      </c>
      <c r="D897" t="str">
        <f t="shared" si="13"/>
        <v>B</v>
      </c>
    </row>
    <row r="898" spans="1:4" x14ac:dyDescent="0.25">
      <c r="A898" s="4" t="s">
        <v>314</v>
      </c>
      <c r="B898" s="1">
        <v>0.62873999999999997</v>
      </c>
      <c r="C898" s="1">
        <v>0.63060400000000005</v>
      </c>
      <c r="D898" t="str">
        <f t="shared" si="13"/>
        <v>A</v>
      </c>
    </row>
    <row r="899" spans="1:4" x14ac:dyDescent="0.25">
      <c r="A899" s="4" t="s">
        <v>315</v>
      </c>
      <c r="B899" s="1">
        <v>0.91733100000000001</v>
      </c>
      <c r="C899" s="1">
        <v>0.91906299999999996</v>
      </c>
      <c r="D899" t="str">
        <f t="shared" ref="D899:D962" si="14">IF(B899&lt;C899,"A","B")</f>
        <v>A</v>
      </c>
    </row>
    <row r="900" spans="1:4" x14ac:dyDescent="0.25">
      <c r="A900" s="4" t="s">
        <v>316</v>
      </c>
      <c r="B900" s="1">
        <v>0.444025</v>
      </c>
      <c r="C900" s="1">
        <v>0.44708500000000001</v>
      </c>
      <c r="D900" t="str">
        <f t="shared" si="14"/>
        <v>A</v>
      </c>
    </row>
    <row r="901" spans="1:4" x14ac:dyDescent="0.25">
      <c r="A901" s="4" t="s">
        <v>317</v>
      </c>
      <c r="B901" s="1">
        <v>0.144228</v>
      </c>
      <c r="C901" s="1">
        <v>0.142376</v>
      </c>
      <c r="D901" t="str">
        <f t="shared" si="14"/>
        <v>B</v>
      </c>
    </row>
    <row r="902" spans="1:4" x14ac:dyDescent="0.25">
      <c r="A902" s="4" t="s">
        <v>318</v>
      </c>
      <c r="B902" s="1">
        <v>0.62203600000000003</v>
      </c>
      <c r="C902" s="1">
        <v>0.620224</v>
      </c>
      <c r="D902" t="str">
        <f t="shared" si="14"/>
        <v>B</v>
      </c>
    </row>
    <row r="903" spans="1:4" x14ac:dyDescent="0.25">
      <c r="A903" s="4" t="s">
        <v>319</v>
      </c>
      <c r="B903" s="1">
        <v>0.126361</v>
      </c>
      <c r="C903" s="1">
        <v>0.130357</v>
      </c>
      <c r="D903" t="str">
        <f t="shared" si="14"/>
        <v>A</v>
      </c>
    </row>
    <row r="904" spans="1:4" x14ac:dyDescent="0.25">
      <c r="A904" s="4" t="s">
        <v>320</v>
      </c>
      <c r="B904" s="1">
        <v>0.476607</v>
      </c>
      <c r="C904" s="1">
        <v>0.47875899999999999</v>
      </c>
      <c r="D904" t="str">
        <f t="shared" si="14"/>
        <v>A</v>
      </c>
    </row>
    <row r="905" spans="1:4" x14ac:dyDescent="0.25">
      <c r="A905" s="4" t="s">
        <v>321</v>
      </c>
      <c r="B905" s="1">
        <v>0.92649000000000004</v>
      </c>
      <c r="C905" s="1">
        <v>0.92508199999999996</v>
      </c>
      <c r="D905" t="str">
        <f t="shared" si="14"/>
        <v>B</v>
      </c>
    </row>
    <row r="906" spans="1:4" x14ac:dyDescent="0.25">
      <c r="A906" s="4" t="s">
        <v>322</v>
      </c>
      <c r="B906" s="1">
        <v>0.91881100000000004</v>
      </c>
      <c r="C906" s="1">
        <v>0.915323</v>
      </c>
      <c r="D906" t="str">
        <f t="shared" si="14"/>
        <v>B</v>
      </c>
    </row>
    <row r="907" spans="1:4" x14ac:dyDescent="0.25">
      <c r="A907" s="4" t="s">
        <v>323</v>
      </c>
      <c r="B907" s="1">
        <v>5.8838000000000001E-2</v>
      </c>
      <c r="C907" s="1">
        <v>5.6753999999999999E-2</v>
      </c>
      <c r="D907" t="str">
        <f t="shared" si="14"/>
        <v>B</v>
      </c>
    </row>
    <row r="908" spans="1:4" x14ac:dyDescent="0.25">
      <c r="A908" s="4" t="s">
        <v>324</v>
      </c>
      <c r="B908" s="1">
        <v>0.49864799999999998</v>
      </c>
      <c r="C908" s="1">
        <v>0.49723600000000001</v>
      </c>
      <c r="D908" t="str">
        <f t="shared" si="14"/>
        <v>B</v>
      </c>
    </row>
    <row r="909" spans="1:4" x14ac:dyDescent="0.25">
      <c r="A909" s="4" t="s">
        <v>325</v>
      </c>
      <c r="B909" s="1">
        <v>0.46205000000000002</v>
      </c>
      <c r="C909" s="1">
        <v>0.45918999999999999</v>
      </c>
      <c r="D909" t="str">
        <f t="shared" si="14"/>
        <v>B</v>
      </c>
    </row>
    <row r="910" spans="1:4" x14ac:dyDescent="0.25">
      <c r="A910" s="4" t="s">
        <v>326</v>
      </c>
      <c r="B910" s="1">
        <v>0.76355799999999996</v>
      </c>
      <c r="C910" s="1">
        <v>0.76023399999999997</v>
      </c>
      <c r="D910" t="str">
        <f t="shared" si="14"/>
        <v>B</v>
      </c>
    </row>
    <row r="911" spans="1:4" x14ac:dyDescent="0.25">
      <c r="A911" s="4" t="s">
        <v>327</v>
      </c>
      <c r="B911" s="1">
        <v>7.5789999999999998E-3</v>
      </c>
      <c r="C911" s="1">
        <v>1.0695E-2</v>
      </c>
      <c r="D911" t="str">
        <f t="shared" si="14"/>
        <v>A</v>
      </c>
    </row>
    <row r="912" spans="1:4" x14ac:dyDescent="0.25">
      <c r="A912" s="4" t="s">
        <v>328</v>
      </c>
      <c r="B912" s="1">
        <v>0.49057000000000001</v>
      </c>
      <c r="C912" s="1">
        <v>0.49304599999999998</v>
      </c>
      <c r="D912" t="str">
        <f t="shared" si="14"/>
        <v>A</v>
      </c>
    </row>
    <row r="913" spans="1:4" x14ac:dyDescent="0.25">
      <c r="A913" s="4" t="s">
        <v>329</v>
      </c>
      <c r="B913" s="1">
        <v>0.12620799999999999</v>
      </c>
      <c r="C913" s="1">
        <v>0.12831600000000001</v>
      </c>
      <c r="D913" t="str">
        <f t="shared" si="14"/>
        <v>A</v>
      </c>
    </row>
    <row r="914" spans="1:4" x14ac:dyDescent="0.25">
      <c r="A914" s="4" t="s">
        <v>330</v>
      </c>
      <c r="B914" s="1">
        <v>3.6773E-2</v>
      </c>
      <c r="C914" s="1">
        <v>3.4508999999999998E-2</v>
      </c>
      <c r="D914" t="str">
        <f t="shared" si="14"/>
        <v>B</v>
      </c>
    </row>
    <row r="915" spans="1:4" x14ac:dyDescent="0.25">
      <c r="A915" s="4" t="s">
        <v>331</v>
      </c>
      <c r="B915" s="1">
        <v>0.10241</v>
      </c>
      <c r="C915" s="1">
        <v>9.9713999999999997E-2</v>
      </c>
      <c r="D915" t="str">
        <f t="shared" si="14"/>
        <v>B</v>
      </c>
    </row>
    <row r="916" spans="1:4" x14ac:dyDescent="0.25">
      <c r="A916" s="4" t="s">
        <v>332</v>
      </c>
      <c r="B916" s="1">
        <v>0.71081099999999997</v>
      </c>
      <c r="C916" s="1">
        <v>0.70738299999999998</v>
      </c>
      <c r="D916" t="str">
        <f t="shared" si="14"/>
        <v>B</v>
      </c>
    </row>
    <row r="917" spans="1:4" x14ac:dyDescent="0.25">
      <c r="A917" s="4" t="s">
        <v>333</v>
      </c>
      <c r="B917" s="1">
        <v>0.288352</v>
      </c>
      <c r="C917" s="1">
        <v>0.29111999999999999</v>
      </c>
      <c r="D917" t="str">
        <f t="shared" si="14"/>
        <v>A</v>
      </c>
    </row>
    <row r="918" spans="1:4" x14ac:dyDescent="0.25">
      <c r="A918" s="4" t="s">
        <v>334</v>
      </c>
      <c r="B918" s="1">
        <v>0.14686399999999999</v>
      </c>
      <c r="C918" s="1">
        <v>0.14951200000000001</v>
      </c>
      <c r="D918" t="str">
        <f t="shared" si="14"/>
        <v>A</v>
      </c>
    </row>
    <row r="919" spans="1:4" x14ac:dyDescent="0.25">
      <c r="A919" s="4" t="s">
        <v>335</v>
      </c>
      <c r="B919" s="1">
        <v>0.42368600000000001</v>
      </c>
      <c r="C919" s="1">
        <v>0.42081000000000002</v>
      </c>
      <c r="D919" t="str">
        <f t="shared" si="14"/>
        <v>B</v>
      </c>
    </row>
    <row r="920" spans="1:4" x14ac:dyDescent="0.25">
      <c r="A920" s="4" t="s">
        <v>336</v>
      </c>
      <c r="B920" s="1">
        <v>0.96765500000000004</v>
      </c>
      <c r="C920" s="1">
        <v>0.96437899999999999</v>
      </c>
      <c r="D920" t="str">
        <f t="shared" si="14"/>
        <v>B</v>
      </c>
    </row>
    <row r="921" spans="1:4" x14ac:dyDescent="0.25">
      <c r="A921" s="4" t="s">
        <v>337</v>
      </c>
      <c r="B921" s="1">
        <v>5.2663000000000001E-2</v>
      </c>
      <c r="C921" s="1">
        <v>4.8890999999999997E-2</v>
      </c>
      <c r="D921" t="str">
        <f t="shared" si="14"/>
        <v>B</v>
      </c>
    </row>
    <row r="922" spans="1:4" x14ac:dyDescent="0.25">
      <c r="A922" s="4" t="s">
        <v>338</v>
      </c>
      <c r="B922" s="1">
        <v>0.114995</v>
      </c>
      <c r="C922" s="1">
        <v>0.113023</v>
      </c>
      <c r="D922" t="str">
        <f t="shared" si="14"/>
        <v>B</v>
      </c>
    </row>
    <row r="923" spans="1:4" x14ac:dyDescent="0.25">
      <c r="A923" s="4" t="s">
        <v>339</v>
      </c>
      <c r="B923" s="1">
        <v>0.55148399999999997</v>
      </c>
      <c r="C923" s="1">
        <v>0.55299600000000004</v>
      </c>
      <c r="D923" t="str">
        <f t="shared" si="14"/>
        <v>A</v>
      </c>
    </row>
    <row r="924" spans="1:4" x14ac:dyDescent="0.25">
      <c r="A924" s="4" t="s">
        <v>340</v>
      </c>
      <c r="B924" s="1">
        <v>0.91144700000000001</v>
      </c>
      <c r="C924" s="1">
        <v>0.91473099999999996</v>
      </c>
      <c r="D924" t="str">
        <f t="shared" si="14"/>
        <v>A</v>
      </c>
    </row>
    <row r="925" spans="1:4" x14ac:dyDescent="0.25">
      <c r="A925" s="4" t="s">
        <v>341</v>
      </c>
      <c r="B925" s="1">
        <v>0.70019799999999999</v>
      </c>
      <c r="C925" s="1">
        <v>0.70295399999999997</v>
      </c>
      <c r="D925" t="str">
        <f t="shared" si="14"/>
        <v>A</v>
      </c>
    </row>
    <row r="926" spans="1:4" x14ac:dyDescent="0.25">
      <c r="A926" s="4" t="s">
        <v>342</v>
      </c>
      <c r="B926" s="1">
        <v>0.52615599999999996</v>
      </c>
      <c r="C926" s="1">
        <v>0.52922000000000002</v>
      </c>
      <c r="D926" t="str">
        <f t="shared" si="14"/>
        <v>A</v>
      </c>
    </row>
    <row r="927" spans="1:4" x14ac:dyDescent="0.25">
      <c r="A927" s="4" t="s">
        <v>343</v>
      </c>
      <c r="B927" s="1">
        <v>0.68652000000000002</v>
      </c>
      <c r="C927" s="1">
        <v>0.68868399999999996</v>
      </c>
      <c r="D927" t="str">
        <f t="shared" si="14"/>
        <v>A</v>
      </c>
    </row>
    <row r="928" spans="1:4" x14ac:dyDescent="0.25">
      <c r="A928" s="4" t="s">
        <v>344</v>
      </c>
      <c r="B928" s="1">
        <v>0.35687200000000002</v>
      </c>
      <c r="C928" s="1">
        <v>0.3594</v>
      </c>
      <c r="D928" t="str">
        <f t="shared" si="14"/>
        <v>A</v>
      </c>
    </row>
    <row r="929" spans="1:4" x14ac:dyDescent="0.25">
      <c r="A929" s="4" t="s">
        <v>345</v>
      </c>
      <c r="B929" s="1">
        <v>0.77340900000000001</v>
      </c>
      <c r="C929" s="1">
        <v>0.77552900000000002</v>
      </c>
      <c r="D929" t="str">
        <f t="shared" si="14"/>
        <v>A</v>
      </c>
    </row>
    <row r="930" spans="1:4" x14ac:dyDescent="0.25">
      <c r="A930" s="4" t="s">
        <v>346</v>
      </c>
      <c r="B930" s="1">
        <v>0.11723</v>
      </c>
      <c r="C930" s="1">
        <v>0.115522</v>
      </c>
      <c r="D930" t="str">
        <f t="shared" si="14"/>
        <v>B</v>
      </c>
    </row>
    <row r="931" spans="1:4" x14ac:dyDescent="0.25">
      <c r="A931" s="4" t="s">
        <v>347</v>
      </c>
      <c r="B931" s="1">
        <v>0.24433299999999999</v>
      </c>
      <c r="C931" s="1">
        <v>0.24707699999999999</v>
      </c>
      <c r="D931" t="str">
        <f t="shared" si="14"/>
        <v>A</v>
      </c>
    </row>
    <row r="932" spans="1:4" x14ac:dyDescent="0.25">
      <c r="A932" s="4" t="s">
        <v>348</v>
      </c>
      <c r="B932" s="1">
        <v>1.4217E-2</v>
      </c>
      <c r="C932" s="1">
        <v>1.1981E-2</v>
      </c>
      <c r="D932" t="str">
        <f t="shared" si="14"/>
        <v>B</v>
      </c>
    </row>
    <row r="933" spans="1:4" x14ac:dyDescent="0.25">
      <c r="A933" s="4" t="s">
        <v>349</v>
      </c>
      <c r="B933" s="1">
        <v>0.62740099999999999</v>
      </c>
      <c r="C933" s="1">
        <v>0.62578100000000003</v>
      </c>
      <c r="D933" t="str">
        <f t="shared" si="14"/>
        <v>B</v>
      </c>
    </row>
    <row r="934" spans="1:4" x14ac:dyDescent="0.25">
      <c r="A934" s="4" t="s">
        <v>350</v>
      </c>
      <c r="B934" s="1">
        <v>0.93858200000000003</v>
      </c>
      <c r="C934" s="1">
        <v>0.94195799999999996</v>
      </c>
      <c r="D934" t="str">
        <f t="shared" si="14"/>
        <v>A</v>
      </c>
    </row>
    <row r="935" spans="1:4" x14ac:dyDescent="0.25">
      <c r="A935" s="4" t="s">
        <v>351</v>
      </c>
      <c r="B935" s="1">
        <v>0.69694299999999998</v>
      </c>
      <c r="C935" s="1">
        <v>0.698627</v>
      </c>
      <c r="D935" t="str">
        <f t="shared" si="14"/>
        <v>A</v>
      </c>
    </row>
    <row r="936" spans="1:4" x14ac:dyDescent="0.25">
      <c r="A936" s="4" t="s">
        <v>352</v>
      </c>
      <c r="B936" s="1">
        <v>0.13768</v>
      </c>
      <c r="C936" s="1">
        <v>0.134328</v>
      </c>
      <c r="D936" t="str">
        <f t="shared" si="14"/>
        <v>B</v>
      </c>
    </row>
    <row r="937" spans="1:4" x14ac:dyDescent="0.25">
      <c r="A937" s="4" t="s">
        <v>353</v>
      </c>
      <c r="B937" s="1">
        <v>0.74910699999999997</v>
      </c>
      <c r="C937" s="1">
        <v>0.753027</v>
      </c>
      <c r="D937" t="str">
        <f t="shared" si="14"/>
        <v>A</v>
      </c>
    </row>
    <row r="938" spans="1:4" x14ac:dyDescent="0.25">
      <c r="A938" s="4" t="s">
        <v>354</v>
      </c>
      <c r="B938" s="1">
        <v>0.58568299999999995</v>
      </c>
      <c r="C938" s="1">
        <v>0.58726699999999998</v>
      </c>
      <c r="D938" t="str">
        <f t="shared" si="14"/>
        <v>A</v>
      </c>
    </row>
    <row r="939" spans="1:4" x14ac:dyDescent="0.25">
      <c r="A939" s="4" t="s">
        <v>355</v>
      </c>
      <c r="B939" s="1">
        <v>0.59084800000000004</v>
      </c>
      <c r="C939" s="1">
        <v>0.59326400000000001</v>
      </c>
      <c r="D939" t="str">
        <f t="shared" si="14"/>
        <v>A</v>
      </c>
    </row>
    <row r="940" spans="1:4" x14ac:dyDescent="0.25">
      <c r="A940" s="4" t="s">
        <v>356</v>
      </c>
      <c r="B940" s="1">
        <v>0.14568999999999999</v>
      </c>
      <c r="C940" s="1">
        <v>0.14307400000000001</v>
      </c>
      <c r="D940" t="str">
        <f t="shared" si="14"/>
        <v>B</v>
      </c>
    </row>
    <row r="941" spans="1:4" x14ac:dyDescent="0.25">
      <c r="A941" s="4" t="s">
        <v>357</v>
      </c>
      <c r="B941" s="1">
        <v>0.63840600000000003</v>
      </c>
      <c r="C941" s="1">
        <v>0.64005400000000001</v>
      </c>
      <c r="D941" t="str">
        <f t="shared" si="14"/>
        <v>A</v>
      </c>
    </row>
    <row r="942" spans="1:4" x14ac:dyDescent="0.25">
      <c r="A942" s="4" t="s">
        <v>358</v>
      </c>
      <c r="B942" s="1">
        <v>0.76871599999999995</v>
      </c>
      <c r="C942" s="1">
        <v>0.77248799999999995</v>
      </c>
      <c r="D942" t="str">
        <f t="shared" si="14"/>
        <v>A</v>
      </c>
    </row>
    <row r="943" spans="1:4" x14ac:dyDescent="0.25">
      <c r="A943" s="4" t="s">
        <v>359</v>
      </c>
      <c r="B943" s="1">
        <v>0.81716200000000005</v>
      </c>
      <c r="C943" s="1">
        <v>0.81427000000000005</v>
      </c>
      <c r="D943" t="str">
        <f t="shared" si="14"/>
        <v>B</v>
      </c>
    </row>
    <row r="944" spans="1:4" x14ac:dyDescent="0.25">
      <c r="A944" s="4" t="s">
        <v>360</v>
      </c>
      <c r="B944" s="1">
        <v>0.85678500000000002</v>
      </c>
      <c r="C944" s="1">
        <v>0.85369300000000004</v>
      </c>
      <c r="D944" t="str">
        <f t="shared" si="14"/>
        <v>B</v>
      </c>
    </row>
    <row r="945" spans="1:4" x14ac:dyDescent="0.25">
      <c r="A945" s="4" t="s">
        <v>361</v>
      </c>
      <c r="B945" s="1">
        <v>0.45169599999999999</v>
      </c>
      <c r="C945" s="1">
        <v>0.45416800000000002</v>
      </c>
      <c r="D945" t="str">
        <f t="shared" si="14"/>
        <v>A</v>
      </c>
    </row>
    <row r="946" spans="1:4" x14ac:dyDescent="0.25">
      <c r="A946" s="4" t="s">
        <v>362</v>
      </c>
      <c r="B946" s="1">
        <v>0.61457899999999999</v>
      </c>
      <c r="C946" s="1">
        <v>0.61297100000000004</v>
      </c>
      <c r="D946" t="str">
        <f t="shared" si="14"/>
        <v>B</v>
      </c>
    </row>
    <row r="947" spans="1:4" x14ac:dyDescent="0.25">
      <c r="A947" s="4" t="s">
        <v>363</v>
      </c>
      <c r="B947" s="1">
        <v>0.58136100000000002</v>
      </c>
      <c r="C947" s="1">
        <v>0.57852499999999996</v>
      </c>
      <c r="D947" t="str">
        <f t="shared" si="14"/>
        <v>B</v>
      </c>
    </row>
    <row r="948" spans="1:4" x14ac:dyDescent="0.25">
      <c r="A948" s="4" t="s">
        <v>364</v>
      </c>
      <c r="B948" s="1">
        <v>0.96552199999999999</v>
      </c>
      <c r="C948" s="1">
        <v>0.96191400000000005</v>
      </c>
      <c r="D948" t="str">
        <f t="shared" si="14"/>
        <v>B</v>
      </c>
    </row>
    <row r="949" spans="1:4" x14ac:dyDescent="0.25">
      <c r="A949" s="4" t="s">
        <v>365</v>
      </c>
      <c r="B949" s="1">
        <v>0.429481</v>
      </c>
      <c r="C949" s="1">
        <v>0.426261</v>
      </c>
      <c r="D949" t="str">
        <f t="shared" si="14"/>
        <v>B</v>
      </c>
    </row>
    <row r="950" spans="1:4" x14ac:dyDescent="0.25">
      <c r="A950" s="4" t="s">
        <v>366</v>
      </c>
      <c r="B950" s="1">
        <v>0.64231899999999997</v>
      </c>
      <c r="C950" s="1">
        <v>0.64493900000000004</v>
      </c>
      <c r="D950" t="str">
        <f t="shared" si="14"/>
        <v>A</v>
      </c>
    </row>
    <row r="951" spans="1:4" x14ac:dyDescent="0.25">
      <c r="A951" s="4" t="s">
        <v>367</v>
      </c>
      <c r="B951" s="1">
        <v>0.64812400000000003</v>
      </c>
      <c r="C951" s="1">
        <v>0.64603600000000005</v>
      </c>
      <c r="D951" t="str">
        <f t="shared" si="14"/>
        <v>B</v>
      </c>
    </row>
    <row r="952" spans="1:4" x14ac:dyDescent="0.25">
      <c r="A952" s="4" t="s">
        <v>368</v>
      </c>
      <c r="B952" s="1">
        <v>3.1189999999999999E-2</v>
      </c>
      <c r="C952" s="1">
        <v>2.8662E-2</v>
      </c>
      <c r="D952" t="str">
        <f t="shared" si="14"/>
        <v>B</v>
      </c>
    </row>
    <row r="953" spans="1:4" x14ac:dyDescent="0.25">
      <c r="A953" s="4" t="s">
        <v>369</v>
      </c>
      <c r="B953" s="1">
        <v>0.78395599999999999</v>
      </c>
      <c r="C953" s="1">
        <v>0.78256400000000004</v>
      </c>
      <c r="D953" t="str">
        <f t="shared" si="14"/>
        <v>B</v>
      </c>
    </row>
    <row r="954" spans="1:4" x14ac:dyDescent="0.25">
      <c r="A954" s="4" t="s">
        <v>370</v>
      </c>
      <c r="B954" s="1">
        <v>0.77186999999999995</v>
      </c>
      <c r="C954" s="1">
        <v>0.76852600000000004</v>
      </c>
      <c r="D954" t="str">
        <f t="shared" si="14"/>
        <v>B</v>
      </c>
    </row>
    <row r="955" spans="1:4" x14ac:dyDescent="0.25">
      <c r="A955" s="4" t="s">
        <v>371</v>
      </c>
      <c r="B955" s="1">
        <v>0.99620900000000001</v>
      </c>
      <c r="C955" s="1">
        <v>0.99318499999999998</v>
      </c>
      <c r="D955" t="str">
        <f t="shared" si="14"/>
        <v>B</v>
      </c>
    </row>
    <row r="956" spans="1:4" x14ac:dyDescent="0.25">
      <c r="A956" s="4" t="s">
        <v>372</v>
      </c>
      <c r="B956" s="1">
        <v>0.26910400000000001</v>
      </c>
      <c r="C956" s="1">
        <v>0.27073199999999997</v>
      </c>
      <c r="D956" t="str">
        <f t="shared" si="14"/>
        <v>A</v>
      </c>
    </row>
    <row r="957" spans="1:4" x14ac:dyDescent="0.25">
      <c r="A957" s="4" t="s">
        <v>373</v>
      </c>
      <c r="B957" s="1">
        <v>0.79386299999999999</v>
      </c>
      <c r="C957" s="1">
        <v>0.797763</v>
      </c>
      <c r="D957" t="str">
        <f t="shared" si="14"/>
        <v>A</v>
      </c>
    </row>
    <row r="958" spans="1:4" x14ac:dyDescent="0.25">
      <c r="A958" s="4" t="s">
        <v>374</v>
      </c>
      <c r="B958" s="1">
        <v>0.92735400000000001</v>
      </c>
      <c r="C958" s="1">
        <v>0.93079400000000001</v>
      </c>
      <c r="D958" t="str">
        <f t="shared" si="14"/>
        <v>A</v>
      </c>
    </row>
    <row r="959" spans="1:4" x14ac:dyDescent="0.25">
      <c r="A959" s="4" t="s">
        <v>375</v>
      </c>
      <c r="B959" s="1">
        <v>0.41383199999999998</v>
      </c>
      <c r="C959" s="1">
        <v>0.41626000000000002</v>
      </c>
      <c r="D959" t="str">
        <f t="shared" si="14"/>
        <v>A</v>
      </c>
    </row>
    <row r="960" spans="1:4" x14ac:dyDescent="0.25">
      <c r="A960" s="4" t="s">
        <v>376</v>
      </c>
      <c r="B960" s="1">
        <v>0.74587599999999998</v>
      </c>
      <c r="C960" s="1">
        <v>0.74849200000000005</v>
      </c>
      <c r="D960" t="str">
        <f t="shared" si="14"/>
        <v>A</v>
      </c>
    </row>
    <row r="961" spans="1:4" x14ac:dyDescent="0.25">
      <c r="A961" s="4" t="s">
        <v>377</v>
      </c>
      <c r="B961" s="1">
        <v>0.65303999999999995</v>
      </c>
      <c r="C961" s="1">
        <v>0.64914400000000005</v>
      </c>
      <c r="D961" t="str">
        <f t="shared" si="14"/>
        <v>B</v>
      </c>
    </row>
    <row r="962" spans="1:4" x14ac:dyDescent="0.25">
      <c r="A962" s="4" t="s">
        <v>378</v>
      </c>
      <c r="B962" s="1">
        <v>0.62776399999999999</v>
      </c>
      <c r="C962" s="1">
        <v>0.62426800000000005</v>
      </c>
      <c r="D962" t="str">
        <f t="shared" si="14"/>
        <v>B</v>
      </c>
    </row>
    <row r="963" spans="1:4" x14ac:dyDescent="0.25">
      <c r="A963" s="4" t="s">
        <v>379</v>
      </c>
      <c r="B963" s="1">
        <v>0.880853</v>
      </c>
      <c r="C963" s="1">
        <v>0.88298100000000002</v>
      </c>
      <c r="D963" t="str">
        <f t="shared" ref="D963:D1001" si="15">IF(B963&lt;C963,"A","B")</f>
        <v>A</v>
      </c>
    </row>
    <row r="964" spans="1:4" x14ac:dyDescent="0.25">
      <c r="A964" s="4" t="s">
        <v>380</v>
      </c>
      <c r="B964" s="1">
        <v>0.64335699999999996</v>
      </c>
      <c r="C964" s="1">
        <v>0.63941700000000001</v>
      </c>
      <c r="D964" t="str">
        <f t="shared" si="15"/>
        <v>B</v>
      </c>
    </row>
    <row r="965" spans="1:4" x14ac:dyDescent="0.25">
      <c r="A965" s="4" t="s">
        <v>381</v>
      </c>
      <c r="B965" s="1">
        <v>0.89447600000000005</v>
      </c>
      <c r="C965" s="1">
        <v>0.89619199999999999</v>
      </c>
      <c r="D965" t="str">
        <f t="shared" si="15"/>
        <v>A</v>
      </c>
    </row>
    <row r="966" spans="1:4" x14ac:dyDescent="0.25">
      <c r="A966" s="4" t="s">
        <v>382</v>
      </c>
      <c r="B966" s="1">
        <v>0.59115099999999998</v>
      </c>
      <c r="C966" s="1">
        <v>0.58769899999999997</v>
      </c>
      <c r="D966" t="str">
        <f t="shared" si="15"/>
        <v>B</v>
      </c>
    </row>
    <row r="967" spans="1:4" x14ac:dyDescent="0.25">
      <c r="A967" s="4" t="s">
        <v>383</v>
      </c>
      <c r="B967" s="1">
        <v>5.2143000000000002E-2</v>
      </c>
      <c r="C967" s="1">
        <v>5.0654999999999999E-2</v>
      </c>
      <c r="D967" t="str">
        <f t="shared" si="15"/>
        <v>B</v>
      </c>
    </row>
    <row r="968" spans="1:4" x14ac:dyDescent="0.25">
      <c r="A968" s="4" t="s">
        <v>384</v>
      </c>
      <c r="B968" s="1">
        <v>0.78184600000000004</v>
      </c>
      <c r="C968" s="1">
        <v>0.78475399999999995</v>
      </c>
      <c r="D968" t="str">
        <f t="shared" si="15"/>
        <v>A</v>
      </c>
    </row>
    <row r="969" spans="1:4" x14ac:dyDescent="0.25">
      <c r="A969" s="4" t="s">
        <v>385</v>
      </c>
      <c r="B969" s="1">
        <v>0.626494</v>
      </c>
      <c r="C969" s="1">
        <v>0.62833399999999995</v>
      </c>
      <c r="D969" t="str">
        <f t="shared" si="15"/>
        <v>A</v>
      </c>
    </row>
    <row r="970" spans="1:4" x14ac:dyDescent="0.25">
      <c r="A970" s="4" t="s">
        <v>386</v>
      </c>
      <c r="B970" s="1">
        <v>0.71810700000000005</v>
      </c>
      <c r="C970" s="1">
        <v>0.71969899999999998</v>
      </c>
      <c r="D970" t="str">
        <f t="shared" si="15"/>
        <v>A</v>
      </c>
    </row>
    <row r="971" spans="1:4" x14ac:dyDescent="0.25">
      <c r="A971" s="4" t="s">
        <v>387</v>
      </c>
      <c r="B971" s="1">
        <v>0.59238800000000003</v>
      </c>
      <c r="C971" s="1">
        <v>0.58874800000000005</v>
      </c>
      <c r="D971" t="str">
        <f t="shared" si="15"/>
        <v>B</v>
      </c>
    </row>
    <row r="972" spans="1:4" x14ac:dyDescent="0.25">
      <c r="A972" s="4" t="s">
        <v>388</v>
      </c>
      <c r="B972" s="1">
        <v>0.68928500000000004</v>
      </c>
      <c r="C972" s="1">
        <v>0.68787699999999996</v>
      </c>
      <c r="D972" t="str">
        <f t="shared" si="15"/>
        <v>B</v>
      </c>
    </row>
    <row r="973" spans="1:4" x14ac:dyDescent="0.25">
      <c r="A973" s="4" t="s">
        <v>389</v>
      </c>
      <c r="B973" s="1">
        <v>0.62056900000000004</v>
      </c>
      <c r="C973" s="1">
        <v>0.623081</v>
      </c>
      <c r="D973" t="str">
        <f t="shared" si="15"/>
        <v>A</v>
      </c>
    </row>
    <row r="974" spans="1:4" x14ac:dyDescent="0.25">
      <c r="A974" s="4" t="s">
        <v>390</v>
      </c>
      <c r="B974" s="1">
        <v>0.30533100000000002</v>
      </c>
      <c r="C974" s="1">
        <v>0.30848700000000001</v>
      </c>
      <c r="D974" t="str">
        <f t="shared" si="15"/>
        <v>A</v>
      </c>
    </row>
    <row r="975" spans="1:4" x14ac:dyDescent="0.25">
      <c r="A975" s="4" t="s">
        <v>391</v>
      </c>
      <c r="B975" s="1">
        <v>8.7454000000000004E-2</v>
      </c>
      <c r="C975" s="1">
        <v>8.9934E-2</v>
      </c>
      <c r="D975" t="str">
        <f t="shared" si="15"/>
        <v>A</v>
      </c>
    </row>
    <row r="976" spans="1:4" x14ac:dyDescent="0.25">
      <c r="A976" s="4" t="s">
        <v>392</v>
      </c>
      <c r="B976" s="1">
        <v>0.27104099999999998</v>
      </c>
      <c r="C976" s="1">
        <v>0.27402900000000002</v>
      </c>
      <c r="D976" t="str">
        <f t="shared" si="15"/>
        <v>A</v>
      </c>
    </row>
    <row r="977" spans="1:4" x14ac:dyDescent="0.25">
      <c r="A977" s="4" t="s">
        <v>393</v>
      </c>
      <c r="B977" s="1">
        <v>0.93926699999999996</v>
      </c>
      <c r="C977" s="1">
        <v>0.941751</v>
      </c>
      <c r="D977" t="str">
        <f t="shared" si="15"/>
        <v>A</v>
      </c>
    </row>
    <row r="978" spans="1:4" x14ac:dyDescent="0.25">
      <c r="A978" s="4" t="s">
        <v>394</v>
      </c>
      <c r="B978" s="1">
        <v>0.78683000000000003</v>
      </c>
      <c r="C978" s="1">
        <v>0.78496600000000005</v>
      </c>
      <c r="D978" t="str">
        <f t="shared" si="15"/>
        <v>B</v>
      </c>
    </row>
    <row r="979" spans="1:4" x14ac:dyDescent="0.25">
      <c r="A979" s="4" t="s">
        <v>395</v>
      </c>
      <c r="B979" s="1">
        <v>0.42941800000000002</v>
      </c>
      <c r="C979" s="1">
        <v>0.42563400000000001</v>
      </c>
      <c r="D979" t="str">
        <f t="shared" si="15"/>
        <v>B</v>
      </c>
    </row>
    <row r="980" spans="1:4" x14ac:dyDescent="0.25">
      <c r="A980" s="4" t="s">
        <v>396</v>
      </c>
      <c r="B980" s="1">
        <v>0.14202300000000001</v>
      </c>
      <c r="C980" s="1">
        <v>0.13999500000000001</v>
      </c>
      <c r="D980" t="str">
        <f t="shared" si="15"/>
        <v>B</v>
      </c>
    </row>
    <row r="981" spans="1:4" x14ac:dyDescent="0.25">
      <c r="A981" s="4" t="s">
        <v>397</v>
      </c>
      <c r="B981" s="1">
        <v>0.62391700000000005</v>
      </c>
      <c r="C981" s="1">
        <v>0.62759699999999996</v>
      </c>
      <c r="D981" t="str">
        <f t="shared" si="15"/>
        <v>A</v>
      </c>
    </row>
    <row r="982" spans="1:4" x14ac:dyDescent="0.25">
      <c r="A982" s="4" t="s">
        <v>398</v>
      </c>
      <c r="B982" s="1">
        <v>0.62443000000000004</v>
      </c>
      <c r="C982" s="1">
        <v>0.62149799999999999</v>
      </c>
      <c r="D982" t="str">
        <f t="shared" si="15"/>
        <v>B</v>
      </c>
    </row>
    <row r="983" spans="1:4" x14ac:dyDescent="0.25">
      <c r="A983" s="4" t="s">
        <v>399</v>
      </c>
      <c r="B983" s="1">
        <v>0.86035300000000003</v>
      </c>
      <c r="C983" s="1">
        <v>0.86306099999999997</v>
      </c>
      <c r="D983" t="str">
        <f t="shared" si="15"/>
        <v>A</v>
      </c>
    </row>
    <row r="984" spans="1:4" x14ac:dyDescent="0.25">
      <c r="A984" s="4" t="s">
        <v>400</v>
      </c>
      <c r="B984" s="1">
        <v>0.50423899999999999</v>
      </c>
      <c r="C984" s="1">
        <v>0.502799</v>
      </c>
      <c r="D984" t="str">
        <f t="shared" si="15"/>
        <v>B</v>
      </c>
    </row>
    <row r="985" spans="1:4" x14ac:dyDescent="0.25">
      <c r="A985" s="4" t="s">
        <v>401</v>
      </c>
      <c r="B985" s="1">
        <v>0.35245900000000002</v>
      </c>
      <c r="C985" s="1">
        <v>0.35557899999999998</v>
      </c>
      <c r="D985" t="str">
        <f t="shared" si="15"/>
        <v>A</v>
      </c>
    </row>
    <row r="986" spans="1:4" x14ac:dyDescent="0.25">
      <c r="A986" s="4" t="s">
        <v>402</v>
      </c>
      <c r="B986" s="1">
        <v>0.54644499999999996</v>
      </c>
      <c r="C986" s="1">
        <v>0.544157</v>
      </c>
      <c r="D986" t="str">
        <f t="shared" si="15"/>
        <v>B</v>
      </c>
    </row>
    <row r="987" spans="1:4" x14ac:dyDescent="0.25">
      <c r="A987" s="4" t="s">
        <v>403</v>
      </c>
      <c r="B987" s="1">
        <v>0.53043799999999997</v>
      </c>
      <c r="C987" s="1">
        <v>0.53306600000000004</v>
      </c>
      <c r="D987" t="str">
        <f t="shared" si="15"/>
        <v>A</v>
      </c>
    </row>
    <row r="988" spans="1:4" x14ac:dyDescent="0.25">
      <c r="A988" s="4" t="s">
        <v>404</v>
      </c>
      <c r="B988" s="1">
        <v>0.56015199999999998</v>
      </c>
      <c r="C988" s="1">
        <v>0.55632400000000004</v>
      </c>
      <c r="D988" t="str">
        <f t="shared" si="15"/>
        <v>B</v>
      </c>
    </row>
    <row r="989" spans="1:4" x14ac:dyDescent="0.25">
      <c r="A989" s="4" t="s">
        <v>405</v>
      </c>
      <c r="B989" s="1">
        <v>0.90301600000000004</v>
      </c>
      <c r="C989" s="1">
        <v>0.90554000000000001</v>
      </c>
      <c r="D989" t="str">
        <f t="shared" si="15"/>
        <v>A</v>
      </c>
    </row>
    <row r="990" spans="1:4" x14ac:dyDescent="0.25">
      <c r="A990" s="4" t="s">
        <v>406</v>
      </c>
      <c r="B990" s="1">
        <v>0.23919599999999999</v>
      </c>
      <c r="C990" s="1">
        <v>0.24299999999999999</v>
      </c>
      <c r="D990" t="str">
        <f t="shared" si="15"/>
        <v>A</v>
      </c>
    </row>
    <row r="991" spans="1:4" x14ac:dyDescent="0.25">
      <c r="A991" s="4" t="s">
        <v>407</v>
      </c>
      <c r="B991" s="1">
        <v>0.80954700000000002</v>
      </c>
      <c r="C991" s="1">
        <v>0.81194299999999997</v>
      </c>
      <c r="D991" t="str">
        <f t="shared" si="15"/>
        <v>A</v>
      </c>
    </row>
    <row r="992" spans="1:4" x14ac:dyDescent="0.25">
      <c r="A992" s="4" t="s">
        <v>408</v>
      </c>
      <c r="B992" s="1">
        <v>9.325E-3</v>
      </c>
      <c r="C992" s="1">
        <v>7.417E-3</v>
      </c>
      <c r="D992" t="str">
        <f t="shared" si="15"/>
        <v>B</v>
      </c>
    </row>
    <row r="993" spans="1:4" x14ac:dyDescent="0.25">
      <c r="A993" s="4" t="s">
        <v>409</v>
      </c>
      <c r="B993" s="1">
        <v>0.92164199999999996</v>
      </c>
      <c r="C993" s="1">
        <v>0.92475799999999997</v>
      </c>
      <c r="D993" t="str">
        <f t="shared" si="15"/>
        <v>A</v>
      </c>
    </row>
    <row r="994" spans="1:4" x14ac:dyDescent="0.25">
      <c r="A994" s="4" t="s">
        <v>410</v>
      </c>
      <c r="B994" s="1">
        <v>0.94211</v>
      </c>
      <c r="C994" s="1">
        <v>0.94560599999999995</v>
      </c>
      <c r="D994" t="str">
        <f t="shared" si="15"/>
        <v>A</v>
      </c>
    </row>
    <row r="995" spans="1:4" x14ac:dyDescent="0.25">
      <c r="A995" s="4" t="s">
        <v>411</v>
      </c>
      <c r="B995" s="1">
        <v>0.51790700000000001</v>
      </c>
      <c r="C995" s="1">
        <v>0.51618299999999995</v>
      </c>
      <c r="D995" t="str">
        <f t="shared" si="15"/>
        <v>B</v>
      </c>
    </row>
    <row r="996" spans="1:4" x14ac:dyDescent="0.25">
      <c r="A996" s="4" t="s">
        <v>412</v>
      </c>
      <c r="B996" s="1">
        <v>0.16583700000000001</v>
      </c>
      <c r="C996" s="1">
        <v>0.16724900000000001</v>
      </c>
      <c r="D996" t="str">
        <f t="shared" si="15"/>
        <v>A</v>
      </c>
    </row>
    <row r="997" spans="1:4" x14ac:dyDescent="0.25">
      <c r="A997" s="4" t="s">
        <v>427</v>
      </c>
      <c r="B997" s="1">
        <v>2.5694999999999999E-2</v>
      </c>
      <c r="C997" s="1">
        <v>2.3115E-2</v>
      </c>
      <c r="D997" t="str">
        <f t="shared" si="15"/>
        <v>B</v>
      </c>
    </row>
    <row r="998" spans="1:4" x14ac:dyDescent="0.25">
      <c r="A998" s="4" t="s">
        <v>413</v>
      </c>
      <c r="B998" s="1">
        <v>0.91312199999999999</v>
      </c>
      <c r="C998" s="1">
        <v>0.91059800000000002</v>
      </c>
      <c r="D998" t="str">
        <f t="shared" si="15"/>
        <v>B</v>
      </c>
    </row>
    <row r="999" spans="1:4" x14ac:dyDescent="0.25">
      <c r="A999" s="4" t="s">
        <v>414</v>
      </c>
      <c r="B999" s="1">
        <v>0.58483099999999999</v>
      </c>
      <c r="C999" s="1">
        <v>0.58725899999999998</v>
      </c>
      <c r="D999" t="str">
        <f t="shared" si="15"/>
        <v>A</v>
      </c>
    </row>
    <row r="1000" spans="1:4" x14ac:dyDescent="0.25">
      <c r="A1000" s="4" t="s">
        <v>415</v>
      </c>
      <c r="B1000" s="1">
        <v>0.80934099999999998</v>
      </c>
      <c r="C1000" s="1">
        <v>0.81267299999999998</v>
      </c>
      <c r="D1000" t="str">
        <f t="shared" si="15"/>
        <v>A</v>
      </c>
    </row>
    <row r="1001" spans="1:4" x14ac:dyDescent="0.25">
      <c r="A1001" s="4" t="s">
        <v>416</v>
      </c>
      <c r="B1001" s="1">
        <v>0.84869399999999995</v>
      </c>
      <c r="C1001" s="1">
        <v>0.85199800000000003</v>
      </c>
      <c r="D1001" t="str">
        <f t="shared" si="15"/>
        <v>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sqref="A1:C1048576"/>
    </sheetView>
  </sheetViews>
  <sheetFormatPr defaultRowHeight="15" x14ac:dyDescent="0.25"/>
  <cols>
    <col min="1" max="1" width="19" bestFit="1" customWidth="1"/>
    <col min="2" max="3" width="8.140625" style="1" bestFit="1" customWidth="1"/>
    <col min="4" max="4" width="14.42578125" bestFit="1" customWidth="1"/>
    <col min="5" max="5" width="9.7109375" bestFit="1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1">
        <v>0.121036</v>
      </c>
      <c r="C2" s="1">
        <v>0.12492</v>
      </c>
    </row>
    <row r="3" spans="1:3" x14ac:dyDescent="0.25">
      <c r="A3" s="4" t="s">
        <v>4</v>
      </c>
      <c r="B3" s="1">
        <v>0.92153600000000002</v>
      </c>
      <c r="C3" s="1">
        <v>0.91932400000000003</v>
      </c>
    </row>
    <row r="4" spans="1:3" x14ac:dyDescent="0.25">
      <c r="A4" s="4" t="s">
        <v>5</v>
      </c>
      <c r="B4" s="1">
        <v>0.43023099999999997</v>
      </c>
      <c r="C4" s="1">
        <v>0.43248700000000001</v>
      </c>
    </row>
    <row r="5" spans="1:3" x14ac:dyDescent="0.25">
      <c r="A5" s="4" t="s">
        <v>6</v>
      </c>
      <c r="B5" s="1">
        <v>0.33882099999999998</v>
      </c>
      <c r="C5" s="1">
        <v>0.342389</v>
      </c>
    </row>
    <row r="6" spans="1:3" x14ac:dyDescent="0.25">
      <c r="A6" s="4" t="s">
        <v>7</v>
      </c>
      <c r="B6" s="1">
        <v>0.16389799999999999</v>
      </c>
      <c r="C6" s="1">
        <v>0.16686999999999999</v>
      </c>
    </row>
    <row r="7" spans="1:3" x14ac:dyDescent="0.25">
      <c r="A7" s="4" t="s">
        <v>8</v>
      </c>
      <c r="B7" s="1">
        <v>0.25012200000000001</v>
      </c>
      <c r="C7" s="1">
        <v>0.24668599999999999</v>
      </c>
    </row>
    <row r="8" spans="1:3" x14ac:dyDescent="0.25">
      <c r="A8" s="4" t="s">
        <v>9</v>
      </c>
      <c r="B8" s="1">
        <v>0.20372499999999999</v>
      </c>
      <c r="C8" s="1">
        <v>0.20172899999999999</v>
      </c>
    </row>
    <row r="9" spans="1:3" x14ac:dyDescent="0.25">
      <c r="A9" s="4" t="s">
        <v>10</v>
      </c>
      <c r="B9" s="1">
        <v>0.53941499999999998</v>
      </c>
      <c r="C9" s="1">
        <v>0.53671100000000005</v>
      </c>
    </row>
    <row r="10" spans="1:3" x14ac:dyDescent="0.25">
      <c r="A10" s="4" t="s">
        <v>11</v>
      </c>
      <c r="B10" s="1">
        <v>0.93227400000000005</v>
      </c>
      <c r="C10" s="1">
        <v>0.93418999999999996</v>
      </c>
    </row>
    <row r="11" spans="1:3" x14ac:dyDescent="0.25">
      <c r="A11" s="4" t="s">
        <v>12</v>
      </c>
      <c r="B11" s="1">
        <v>0.65463899999999997</v>
      </c>
      <c r="C11" s="1">
        <v>0.65809899999999999</v>
      </c>
    </row>
    <row r="12" spans="1:3" x14ac:dyDescent="0.25">
      <c r="A12" s="4" t="s">
        <v>13</v>
      </c>
      <c r="B12" s="1">
        <v>0.23710300000000001</v>
      </c>
      <c r="C12" s="1">
        <v>0.23566300000000001</v>
      </c>
    </row>
    <row r="13" spans="1:3" x14ac:dyDescent="0.25">
      <c r="A13" s="4" t="s">
        <v>14</v>
      </c>
      <c r="B13" s="1">
        <v>0.24673800000000001</v>
      </c>
      <c r="C13" s="1">
        <v>0.24312600000000001</v>
      </c>
    </row>
    <row r="14" spans="1:3" x14ac:dyDescent="0.25">
      <c r="A14" s="4" t="s">
        <v>15</v>
      </c>
      <c r="B14" s="1">
        <v>0.66593500000000005</v>
      </c>
      <c r="C14" s="1">
        <v>0.66326300000000005</v>
      </c>
    </row>
    <row r="15" spans="1:3" x14ac:dyDescent="0.25">
      <c r="A15" s="4" t="s">
        <v>16</v>
      </c>
      <c r="B15" s="1">
        <v>0.22825400000000001</v>
      </c>
      <c r="C15" s="1">
        <v>0.22492999999999999</v>
      </c>
    </row>
    <row r="16" spans="1:3" x14ac:dyDescent="0.25">
      <c r="A16" s="4" t="s">
        <v>17</v>
      </c>
      <c r="B16" s="1">
        <v>0.136911</v>
      </c>
      <c r="C16" s="1">
        <v>0.134159</v>
      </c>
    </row>
    <row r="17" spans="1:3" x14ac:dyDescent="0.25">
      <c r="A17" s="4" t="s">
        <v>18</v>
      </c>
      <c r="B17" s="1">
        <v>5.8460999999999999E-2</v>
      </c>
      <c r="C17" s="1">
        <v>6.1785E-2</v>
      </c>
    </row>
    <row r="18" spans="1:3" x14ac:dyDescent="0.25">
      <c r="A18" s="4" t="s">
        <v>19</v>
      </c>
      <c r="B18" s="1">
        <v>0.324683</v>
      </c>
      <c r="C18" s="1">
        <v>0.32151099999999999</v>
      </c>
    </row>
    <row r="19" spans="1:3" x14ac:dyDescent="0.25">
      <c r="A19" s="4" t="s">
        <v>20</v>
      </c>
      <c r="B19" s="1">
        <v>0.127914</v>
      </c>
      <c r="C19" s="1">
        <v>0.12561800000000001</v>
      </c>
    </row>
    <row r="20" spans="1:3" x14ac:dyDescent="0.25">
      <c r="A20" s="4" t="s">
        <v>21</v>
      </c>
      <c r="B20" s="1">
        <v>0.58114299999999997</v>
      </c>
      <c r="C20" s="1">
        <v>0.58296700000000001</v>
      </c>
    </row>
    <row r="21" spans="1:3" x14ac:dyDescent="0.25">
      <c r="A21" s="4" t="s">
        <v>22</v>
      </c>
      <c r="B21" s="1">
        <v>7.6165999999999998E-2</v>
      </c>
      <c r="C21" s="1">
        <v>7.9481999999999997E-2</v>
      </c>
    </row>
    <row r="22" spans="1:3" x14ac:dyDescent="0.25">
      <c r="A22" s="4" t="s">
        <v>23</v>
      </c>
      <c r="B22" s="1">
        <v>0.41572100000000001</v>
      </c>
      <c r="C22" s="1">
        <v>0.414217</v>
      </c>
    </row>
    <row r="23" spans="1:3" x14ac:dyDescent="0.25">
      <c r="A23" s="4" t="s">
        <v>24</v>
      </c>
      <c r="B23" s="1">
        <v>0.72382100000000005</v>
      </c>
      <c r="C23" s="1">
        <v>0.72524900000000003</v>
      </c>
    </row>
    <row r="24" spans="1:3" x14ac:dyDescent="0.25">
      <c r="A24" s="4" t="s">
        <v>25</v>
      </c>
      <c r="B24" s="1">
        <v>0.54693899999999995</v>
      </c>
      <c r="C24" s="1">
        <v>0.550423</v>
      </c>
    </row>
    <row r="25" spans="1:3" x14ac:dyDescent="0.25">
      <c r="A25" s="4" t="s">
        <v>26</v>
      </c>
      <c r="B25" s="1">
        <v>0.32196599999999997</v>
      </c>
      <c r="C25" s="1">
        <v>0.32423800000000003</v>
      </c>
    </row>
    <row r="26" spans="1:3" x14ac:dyDescent="0.25">
      <c r="A26" s="4" t="s">
        <v>27</v>
      </c>
      <c r="B26" s="1">
        <v>0.94908300000000001</v>
      </c>
      <c r="C26" s="1">
        <v>0.94690700000000005</v>
      </c>
    </row>
    <row r="27" spans="1:3" x14ac:dyDescent="0.25">
      <c r="A27" s="4" t="s">
        <v>28</v>
      </c>
      <c r="B27" s="1">
        <v>0.38782699999999998</v>
      </c>
      <c r="C27" s="1">
        <v>0.38494699999999998</v>
      </c>
    </row>
    <row r="28" spans="1:3" x14ac:dyDescent="0.25">
      <c r="A28" s="4" t="s">
        <v>29</v>
      </c>
      <c r="B28" s="1">
        <v>5.8074000000000001E-2</v>
      </c>
      <c r="C28" s="1">
        <v>5.5070000000000001E-2</v>
      </c>
    </row>
    <row r="29" spans="1:3" x14ac:dyDescent="0.25">
      <c r="A29" s="4" t="s">
        <v>30</v>
      </c>
      <c r="B29" s="1">
        <v>7.5792999999999999E-2</v>
      </c>
      <c r="C29" s="1">
        <v>7.8176999999999996E-2</v>
      </c>
    </row>
    <row r="30" spans="1:3" x14ac:dyDescent="0.25">
      <c r="A30" s="4" t="s">
        <v>31</v>
      </c>
      <c r="B30" s="1">
        <v>0.20865400000000001</v>
      </c>
      <c r="C30" s="1">
        <v>0.21079800000000001</v>
      </c>
    </row>
    <row r="31" spans="1:3" x14ac:dyDescent="0.25">
      <c r="A31" s="4" t="s">
        <v>32</v>
      </c>
      <c r="B31" s="1">
        <v>0.959372</v>
      </c>
      <c r="C31" s="1">
        <v>0.956704</v>
      </c>
    </row>
    <row r="32" spans="1:3" x14ac:dyDescent="0.25">
      <c r="A32" s="4" t="s">
        <v>33</v>
      </c>
      <c r="B32" s="1">
        <v>0.92453600000000002</v>
      </c>
      <c r="C32" s="1">
        <v>0.92642400000000003</v>
      </c>
    </row>
    <row r="33" spans="1:3" x14ac:dyDescent="0.25">
      <c r="A33" s="4" t="s">
        <v>34</v>
      </c>
      <c r="B33" s="1">
        <v>0.23633899999999999</v>
      </c>
      <c r="C33" s="1">
        <v>0.23261499999999999</v>
      </c>
    </row>
    <row r="34" spans="1:3" x14ac:dyDescent="0.25">
      <c r="A34" s="4" t="s">
        <v>428</v>
      </c>
      <c r="B34" s="1">
        <v>0.66373000000000004</v>
      </c>
      <c r="C34" s="1">
        <v>0.66111399999999998</v>
      </c>
    </row>
    <row r="35" spans="1:3" x14ac:dyDescent="0.25">
      <c r="A35" s="4" t="s">
        <v>35</v>
      </c>
      <c r="B35" s="1">
        <v>0.220334</v>
      </c>
      <c r="C35" s="1">
        <v>0.22331400000000001</v>
      </c>
    </row>
    <row r="36" spans="1:3" x14ac:dyDescent="0.25">
      <c r="A36" s="4" t="s">
        <v>36</v>
      </c>
      <c r="B36" s="1">
        <v>0.43002600000000002</v>
      </c>
      <c r="C36" s="1">
        <v>0.42713400000000001</v>
      </c>
    </row>
    <row r="37" spans="1:3" x14ac:dyDescent="0.25">
      <c r="A37" s="4" t="s">
        <v>37</v>
      </c>
      <c r="B37" s="1">
        <v>0.62783900000000004</v>
      </c>
      <c r="C37" s="1">
        <v>0.62973500000000004</v>
      </c>
    </row>
    <row r="38" spans="1:3" x14ac:dyDescent="0.25">
      <c r="A38" s="4" t="s">
        <v>38</v>
      </c>
      <c r="B38" s="1">
        <v>0.72344799999999998</v>
      </c>
      <c r="C38" s="1">
        <v>0.72086399999999995</v>
      </c>
    </row>
    <row r="39" spans="1:3" x14ac:dyDescent="0.25">
      <c r="A39" s="4" t="s">
        <v>39</v>
      </c>
      <c r="B39" s="1">
        <v>8.9300000000000004E-2</v>
      </c>
      <c r="C39" s="1">
        <v>9.3151999999999999E-2</v>
      </c>
    </row>
    <row r="40" spans="1:3" x14ac:dyDescent="0.25">
      <c r="A40" s="4" t="s">
        <v>40</v>
      </c>
      <c r="B40" s="1">
        <v>0.89808900000000003</v>
      </c>
      <c r="C40" s="1">
        <v>0.900501</v>
      </c>
    </row>
    <row r="41" spans="1:3" x14ac:dyDescent="0.25">
      <c r="A41" s="4" t="s">
        <v>41</v>
      </c>
      <c r="B41" s="1">
        <v>0.54968600000000001</v>
      </c>
      <c r="C41" s="1">
        <v>0.55359800000000003</v>
      </c>
    </row>
    <row r="42" spans="1:3" x14ac:dyDescent="0.25">
      <c r="A42" s="4" t="s">
        <v>42</v>
      </c>
      <c r="B42" s="1">
        <v>2.5205000000000002E-2</v>
      </c>
      <c r="C42" s="1">
        <v>2.8740999999999999E-2</v>
      </c>
    </row>
    <row r="43" spans="1:3" x14ac:dyDescent="0.25">
      <c r="A43" s="4" t="s">
        <v>43</v>
      </c>
      <c r="B43" s="1">
        <v>0.74113899999999999</v>
      </c>
      <c r="C43" s="1">
        <v>0.74283100000000002</v>
      </c>
    </row>
    <row r="44" spans="1:3" x14ac:dyDescent="0.25">
      <c r="A44" s="4" t="s">
        <v>44</v>
      </c>
      <c r="B44" s="1">
        <v>0.45712199999999997</v>
      </c>
      <c r="C44" s="1">
        <v>0.45935799999999999</v>
      </c>
    </row>
    <row r="45" spans="1:3" x14ac:dyDescent="0.25">
      <c r="A45" s="4" t="s">
        <v>45</v>
      </c>
      <c r="B45" s="1">
        <v>0.26977200000000001</v>
      </c>
      <c r="C45" s="1">
        <v>0.2661</v>
      </c>
    </row>
    <row r="46" spans="1:3" x14ac:dyDescent="0.25">
      <c r="A46" s="4" t="s">
        <v>46</v>
      </c>
      <c r="B46" s="1">
        <v>0.193527</v>
      </c>
      <c r="C46" s="1">
        <v>0.18987100000000001</v>
      </c>
    </row>
    <row r="47" spans="1:3" x14ac:dyDescent="0.25">
      <c r="A47" s="4" t="s">
        <v>47</v>
      </c>
      <c r="B47" s="1">
        <v>0.73745799999999995</v>
      </c>
      <c r="C47" s="1">
        <v>0.73368199999999995</v>
      </c>
    </row>
    <row r="48" spans="1:3" x14ac:dyDescent="0.25">
      <c r="A48" s="4" t="s">
        <v>48</v>
      </c>
      <c r="B48" s="1">
        <v>0.29613200000000001</v>
      </c>
      <c r="C48" s="1">
        <v>0.29450799999999999</v>
      </c>
    </row>
    <row r="49" spans="1:3" x14ac:dyDescent="0.25">
      <c r="A49" s="4" t="s">
        <v>49</v>
      </c>
      <c r="B49" s="1">
        <v>0.55866400000000005</v>
      </c>
      <c r="C49" s="1">
        <v>0.55554400000000004</v>
      </c>
    </row>
    <row r="50" spans="1:3" x14ac:dyDescent="0.25">
      <c r="A50" s="4" t="s">
        <v>50</v>
      </c>
      <c r="B50" s="1">
        <v>0.46306999999999998</v>
      </c>
      <c r="C50" s="1">
        <v>0.466978</v>
      </c>
    </row>
    <row r="51" spans="1:3" x14ac:dyDescent="0.25">
      <c r="A51" s="4" t="s">
        <v>51</v>
      </c>
      <c r="B51" s="1">
        <v>0.20654</v>
      </c>
      <c r="C51" s="1">
        <v>0.20846000000000001</v>
      </c>
    </row>
    <row r="52" spans="1:3" x14ac:dyDescent="0.25">
      <c r="A52" s="4" t="s">
        <v>52</v>
      </c>
      <c r="B52" s="1">
        <v>0.86371399999999998</v>
      </c>
      <c r="C52" s="1">
        <v>0.86516999999999999</v>
      </c>
    </row>
    <row r="53" spans="1:3" x14ac:dyDescent="0.25">
      <c r="A53" s="4" t="s">
        <v>53</v>
      </c>
      <c r="B53" s="1">
        <v>0.83620700000000003</v>
      </c>
      <c r="C53" s="1">
        <v>0.83887500000000004</v>
      </c>
    </row>
    <row r="54" spans="1:3" x14ac:dyDescent="0.25">
      <c r="A54" s="4" t="s">
        <v>54</v>
      </c>
      <c r="B54" s="1">
        <v>0.83164899999999997</v>
      </c>
      <c r="C54" s="1">
        <v>0.82985699999999996</v>
      </c>
    </row>
    <row r="55" spans="1:3" x14ac:dyDescent="0.25">
      <c r="A55" s="4" t="s">
        <v>55</v>
      </c>
      <c r="B55" s="1">
        <v>0.62158000000000002</v>
      </c>
      <c r="C55" s="1">
        <v>0.61829199999999995</v>
      </c>
    </row>
    <row r="56" spans="1:3" x14ac:dyDescent="0.25">
      <c r="A56" s="4" t="s">
        <v>56</v>
      </c>
      <c r="B56" s="1">
        <v>0.34653200000000001</v>
      </c>
      <c r="C56" s="1">
        <v>0.34881600000000001</v>
      </c>
    </row>
    <row r="57" spans="1:3" x14ac:dyDescent="0.25">
      <c r="A57" s="4" t="s">
        <v>57</v>
      </c>
      <c r="B57" s="1">
        <v>0.95849399999999996</v>
      </c>
      <c r="C57" s="1">
        <v>0.96079800000000004</v>
      </c>
    </row>
    <row r="58" spans="1:3" x14ac:dyDescent="0.25">
      <c r="A58" s="4" t="s">
        <v>58</v>
      </c>
      <c r="B58" s="1">
        <v>0.88663099999999995</v>
      </c>
      <c r="C58" s="1">
        <v>0.888683</v>
      </c>
    </row>
    <row r="59" spans="1:3" x14ac:dyDescent="0.25">
      <c r="A59" s="4" t="s">
        <v>59</v>
      </c>
      <c r="B59" s="1">
        <v>0.54649099999999995</v>
      </c>
      <c r="C59" s="1">
        <v>0.54815899999999995</v>
      </c>
    </row>
    <row r="60" spans="1:3" x14ac:dyDescent="0.25">
      <c r="A60" s="4" t="s">
        <v>60</v>
      </c>
      <c r="B60" s="1">
        <v>0.715557</v>
      </c>
      <c r="C60" s="1">
        <v>0.71916100000000005</v>
      </c>
    </row>
    <row r="61" spans="1:3" x14ac:dyDescent="0.25">
      <c r="A61" s="4" t="s">
        <v>61</v>
      </c>
      <c r="B61" s="1">
        <v>0.95039600000000002</v>
      </c>
      <c r="C61" s="1">
        <v>0.95372400000000002</v>
      </c>
    </row>
    <row r="62" spans="1:3" x14ac:dyDescent="0.25">
      <c r="A62" s="4" t="s">
        <v>62</v>
      </c>
      <c r="B62" s="1">
        <v>0.703264</v>
      </c>
      <c r="C62" s="1">
        <v>0.70138800000000001</v>
      </c>
    </row>
    <row r="63" spans="1:3" x14ac:dyDescent="0.25">
      <c r="A63" s="4" t="s">
        <v>63</v>
      </c>
      <c r="B63" s="1">
        <v>0.122056</v>
      </c>
      <c r="C63" s="1">
        <v>0.12371600000000001</v>
      </c>
    </row>
    <row r="64" spans="1:3" x14ac:dyDescent="0.25">
      <c r="A64" s="4" t="s">
        <v>64</v>
      </c>
      <c r="B64" s="1">
        <v>0.21684999999999999</v>
      </c>
      <c r="C64" s="1">
        <v>0.21870999999999999</v>
      </c>
    </row>
    <row r="65" spans="1:3" x14ac:dyDescent="0.25">
      <c r="A65" s="4" t="s">
        <v>65</v>
      </c>
      <c r="B65" s="1">
        <v>0.79385700000000003</v>
      </c>
      <c r="C65" s="1">
        <v>0.79043699999999995</v>
      </c>
    </row>
    <row r="66" spans="1:3" x14ac:dyDescent="0.25">
      <c r="A66" s="4" t="s">
        <v>66</v>
      </c>
      <c r="B66" s="1">
        <v>6.5331E-2</v>
      </c>
      <c r="C66" s="1">
        <v>6.2547000000000005E-2</v>
      </c>
    </row>
    <row r="67" spans="1:3" x14ac:dyDescent="0.25">
      <c r="A67" s="4" t="s">
        <v>67</v>
      </c>
      <c r="B67" s="1">
        <v>0.58044700000000005</v>
      </c>
      <c r="C67" s="1">
        <v>0.58282699999999998</v>
      </c>
    </row>
    <row r="68" spans="1:3" x14ac:dyDescent="0.25">
      <c r="A68" s="4" t="s">
        <v>68</v>
      </c>
      <c r="B68" s="1">
        <v>1.8766999999999999E-2</v>
      </c>
      <c r="C68" s="1">
        <v>2.1031000000000001E-2</v>
      </c>
    </row>
    <row r="69" spans="1:3" x14ac:dyDescent="0.25">
      <c r="A69" s="4" t="s">
        <v>69</v>
      </c>
      <c r="B69" s="1">
        <v>0.51825500000000002</v>
      </c>
      <c r="C69" s="1">
        <v>0.51454299999999997</v>
      </c>
    </row>
    <row r="70" spans="1:3" x14ac:dyDescent="0.25">
      <c r="A70" s="4" t="s">
        <v>70</v>
      </c>
      <c r="B70" s="1">
        <v>0.83702100000000002</v>
      </c>
      <c r="C70" s="1">
        <v>0.83974899999999997</v>
      </c>
    </row>
    <row r="71" spans="1:3" x14ac:dyDescent="0.25">
      <c r="A71" s="4" t="s">
        <v>71</v>
      </c>
      <c r="B71" s="1">
        <v>0.53334199999999998</v>
      </c>
      <c r="C71" s="1">
        <v>0.52953799999999995</v>
      </c>
    </row>
    <row r="72" spans="1:3" x14ac:dyDescent="0.25">
      <c r="A72" s="4" t="s">
        <v>72</v>
      </c>
      <c r="B72" s="1">
        <v>0.73590199999999995</v>
      </c>
      <c r="C72" s="1">
        <v>0.738062</v>
      </c>
    </row>
    <row r="73" spans="1:3" x14ac:dyDescent="0.25">
      <c r="A73" s="4" t="s">
        <v>73</v>
      </c>
      <c r="B73" s="1">
        <v>0.39306200000000002</v>
      </c>
      <c r="C73" s="1">
        <v>0.39612599999999998</v>
      </c>
    </row>
    <row r="74" spans="1:3" x14ac:dyDescent="0.25">
      <c r="A74" s="4" t="s">
        <v>74</v>
      </c>
      <c r="B74" s="1">
        <v>0.57475200000000004</v>
      </c>
      <c r="C74" s="1">
        <v>0.57793600000000001</v>
      </c>
    </row>
    <row r="75" spans="1:3" x14ac:dyDescent="0.25">
      <c r="A75" s="4" t="s">
        <v>75</v>
      </c>
      <c r="B75" s="1">
        <v>0.85006000000000004</v>
      </c>
      <c r="C75" s="1">
        <v>0.85299599999999998</v>
      </c>
    </row>
    <row r="76" spans="1:3" x14ac:dyDescent="0.25">
      <c r="A76" s="4" t="s">
        <v>76</v>
      </c>
      <c r="B76" s="1">
        <v>0.51857500000000001</v>
      </c>
      <c r="C76" s="1">
        <v>0.51999099999999998</v>
      </c>
    </row>
    <row r="77" spans="1:3" x14ac:dyDescent="0.25">
      <c r="A77" s="4" t="s">
        <v>77</v>
      </c>
      <c r="B77" s="1">
        <v>0.86746599999999996</v>
      </c>
      <c r="C77" s="1">
        <v>0.86568199999999995</v>
      </c>
    </row>
    <row r="78" spans="1:3" x14ac:dyDescent="0.25">
      <c r="A78" s="4" t="s">
        <v>78</v>
      </c>
      <c r="B78" s="1">
        <v>0.39455000000000001</v>
      </c>
      <c r="C78" s="1">
        <v>0.39648600000000001</v>
      </c>
    </row>
    <row r="79" spans="1:3" x14ac:dyDescent="0.25">
      <c r="A79" s="4" t="s">
        <v>79</v>
      </c>
      <c r="B79" s="1">
        <v>0.26555499999999999</v>
      </c>
      <c r="C79" s="1">
        <v>0.26725100000000002</v>
      </c>
    </row>
    <row r="80" spans="1:3" x14ac:dyDescent="0.25">
      <c r="A80" s="4" t="s">
        <v>80</v>
      </c>
      <c r="B80" s="1">
        <v>0.73143899999999995</v>
      </c>
      <c r="C80" s="1">
        <v>0.73288699999999996</v>
      </c>
    </row>
    <row r="81" spans="1:3" x14ac:dyDescent="0.25">
      <c r="A81" s="4" t="s">
        <v>81</v>
      </c>
      <c r="B81" s="1">
        <v>0.60814999999999997</v>
      </c>
      <c r="C81" s="1">
        <v>0.61146599999999995</v>
      </c>
    </row>
    <row r="82" spans="1:3" x14ac:dyDescent="0.25">
      <c r="A82" s="4" t="s">
        <v>82</v>
      </c>
      <c r="B82" s="1">
        <v>0.78575300000000003</v>
      </c>
      <c r="C82" s="1">
        <v>0.789157</v>
      </c>
    </row>
    <row r="83" spans="1:3" x14ac:dyDescent="0.25">
      <c r="A83" s="4" t="s">
        <v>83</v>
      </c>
      <c r="B83" s="1">
        <v>0.80414699999999995</v>
      </c>
      <c r="C83" s="1">
        <v>0.80682699999999996</v>
      </c>
    </row>
    <row r="84" spans="1:3" x14ac:dyDescent="0.25">
      <c r="A84" s="4" t="s">
        <v>84</v>
      </c>
      <c r="B84" s="1">
        <v>0.23138</v>
      </c>
      <c r="C84" s="1">
        <v>0.23502799999999999</v>
      </c>
    </row>
    <row r="85" spans="1:3" x14ac:dyDescent="0.25">
      <c r="A85" s="4" t="s">
        <v>85</v>
      </c>
      <c r="B85" s="1">
        <v>0.49402400000000002</v>
      </c>
      <c r="C85" s="1">
        <v>0.49656800000000001</v>
      </c>
    </row>
    <row r="86" spans="1:3" x14ac:dyDescent="0.25">
      <c r="A86" s="4" t="s">
        <v>86</v>
      </c>
      <c r="B86" s="1">
        <v>0.386492</v>
      </c>
      <c r="C86" s="1">
        <v>0.38474799999999998</v>
      </c>
    </row>
    <row r="87" spans="1:3" x14ac:dyDescent="0.25">
      <c r="A87" s="4" t="s">
        <v>87</v>
      </c>
      <c r="B87" s="1">
        <v>0.14188400000000001</v>
      </c>
      <c r="C87" s="1">
        <v>0.14574799999999999</v>
      </c>
    </row>
    <row r="88" spans="1:3" x14ac:dyDescent="0.25">
      <c r="A88" s="4" t="s">
        <v>88</v>
      </c>
      <c r="B88" s="1">
        <v>0.54971199999999998</v>
      </c>
      <c r="C88" s="1">
        <v>0.54660399999999998</v>
      </c>
    </row>
    <row r="89" spans="1:3" x14ac:dyDescent="0.25">
      <c r="A89" s="4" t="s">
        <v>89</v>
      </c>
      <c r="B89" s="1">
        <v>0.90169999999999995</v>
      </c>
      <c r="C89" s="1">
        <v>0.90521200000000002</v>
      </c>
    </row>
    <row r="90" spans="1:3" x14ac:dyDescent="0.25">
      <c r="A90" s="4" t="s">
        <v>90</v>
      </c>
      <c r="B90" s="1">
        <v>2.0478E-2</v>
      </c>
      <c r="C90" s="1">
        <v>1.7805999999999999E-2</v>
      </c>
    </row>
    <row r="91" spans="1:3" x14ac:dyDescent="0.25">
      <c r="A91" s="4" t="s">
        <v>91</v>
      </c>
      <c r="B91" s="1">
        <v>0.52953499999999998</v>
      </c>
      <c r="C91" s="1">
        <v>0.52674299999999996</v>
      </c>
    </row>
    <row r="92" spans="1:3" x14ac:dyDescent="0.25">
      <c r="A92" s="4" t="s">
        <v>92</v>
      </c>
      <c r="B92" s="1">
        <v>0.53350699999999995</v>
      </c>
      <c r="C92" s="1">
        <v>0.53640699999999997</v>
      </c>
    </row>
    <row r="93" spans="1:3" x14ac:dyDescent="0.25">
      <c r="A93" s="4" t="s">
        <v>93</v>
      </c>
      <c r="B93" s="1">
        <v>0.24371599999999999</v>
      </c>
      <c r="C93" s="1">
        <v>0.24526400000000001</v>
      </c>
    </row>
    <row r="94" spans="1:3" x14ac:dyDescent="0.25">
      <c r="A94" s="4" t="s">
        <v>94</v>
      </c>
      <c r="B94" s="1">
        <v>0.94168399999999997</v>
      </c>
      <c r="C94" s="1">
        <v>0.94411999999999996</v>
      </c>
    </row>
    <row r="95" spans="1:3" x14ac:dyDescent="0.25">
      <c r="A95" s="4" t="s">
        <v>95</v>
      </c>
      <c r="B95" s="1">
        <v>2.5318E-2</v>
      </c>
      <c r="C95" s="1">
        <v>2.8625999999999999E-2</v>
      </c>
    </row>
    <row r="96" spans="1:3" x14ac:dyDescent="0.25">
      <c r="A96" s="4" t="s">
        <v>96</v>
      </c>
      <c r="B96" s="1">
        <v>0.116232</v>
      </c>
      <c r="C96" s="1">
        <v>0.11791600000000001</v>
      </c>
    </row>
    <row r="97" spans="1:3" x14ac:dyDescent="0.25">
      <c r="A97" s="4" t="s">
        <v>97</v>
      </c>
      <c r="B97" s="1">
        <v>0.51822299999999999</v>
      </c>
      <c r="C97" s="1">
        <v>0.52104300000000003</v>
      </c>
    </row>
    <row r="98" spans="1:3" x14ac:dyDescent="0.25">
      <c r="A98" s="4" t="s">
        <v>98</v>
      </c>
      <c r="B98" s="1">
        <v>0.56562500000000004</v>
      </c>
      <c r="C98" s="1">
        <v>0.56870900000000002</v>
      </c>
    </row>
    <row r="99" spans="1:3" x14ac:dyDescent="0.25">
      <c r="A99" s="4" t="s">
        <v>99</v>
      </c>
      <c r="B99" s="1">
        <v>0.44529800000000003</v>
      </c>
      <c r="C99" s="1">
        <v>0.44776199999999999</v>
      </c>
    </row>
    <row r="100" spans="1:3" x14ac:dyDescent="0.25">
      <c r="A100" s="4" t="s">
        <v>100</v>
      </c>
      <c r="B100" s="1">
        <v>0.76018399999999997</v>
      </c>
      <c r="C100" s="1">
        <v>0.75855600000000001</v>
      </c>
    </row>
    <row r="101" spans="1:3" x14ac:dyDescent="0.25">
      <c r="A101" s="4" t="s">
        <v>101</v>
      </c>
      <c r="B101" s="1">
        <v>0.84344600000000003</v>
      </c>
      <c r="C101" s="1">
        <v>0.84693399999999996</v>
      </c>
    </row>
    <row r="102" spans="1:3" x14ac:dyDescent="0.25">
      <c r="A102" s="4" t="s">
        <v>102</v>
      </c>
      <c r="B102" s="1">
        <v>0.31938899999999998</v>
      </c>
      <c r="C102" s="1">
        <v>0.31539299999999998</v>
      </c>
    </row>
    <row r="103" spans="1:3" x14ac:dyDescent="0.25">
      <c r="A103" s="4" t="s">
        <v>103</v>
      </c>
      <c r="B103" s="1">
        <v>0.95169999999999999</v>
      </c>
      <c r="C103" s="1">
        <v>0.95000399999999996</v>
      </c>
    </row>
    <row r="104" spans="1:3" x14ac:dyDescent="0.25">
      <c r="A104" s="4" t="s">
        <v>104</v>
      </c>
      <c r="B104" s="1">
        <v>0.59223499999999996</v>
      </c>
      <c r="C104" s="1">
        <v>0.59553500000000004</v>
      </c>
    </row>
    <row r="105" spans="1:3" x14ac:dyDescent="0.25">
      <c r="A105" s="4" t="s">
        <v>105</v>
      </c>
      <c r="B105" s="1">
        <v>0.30809599999999998</v>
      </c>
      <c r="C105" s="1">
        <v>0.30620399999999998</v>
      </c>
    </row>
    <row r="106" spans="1:3" x14ac:dyDescent="0.25">
      <c r="A106" s="4" t="s">
        <v>106</v>
      </c>
      <c r="B106" s="1">
        <v>9.7731999999999999E-2</v>
      </c>
      <c r="C106" s="1">
        <v>9.4488000000000003E-2</v>
      </c>
    </row>
    <row r="107" spans="1:3" x14ac:dyDescent="0.25">
      <c r="A107" s="4" t="s">
        <v>107</v>
      </c>
      <c r="B107" s="1">
        <v>0.66037100000000004</v>
      </c>
      <c r="C107" s="1">
        <v>0.65702700000000003</v>
      </c>
    </row>
    <row r="108" spans="1:3" x14ac:dyDescent="0.25">
      <c r="A108" s="4" t="s">
        <v>108</v>
      </c>
      <c r="B108" s="1">
        <v>2.9668E-2</v>
      </c>
      <c r="C108" s="1">
        <v>3.2876000000000002E-2</v>
      </c>
    </row>
    <row r="109" spans="1:3" x14ac:dyDescent="0.25">
      <c r="A109" s="4" t="s">
        <v>109</v>
      </c>
      <c r="B109" s="1">
        <v>0.73365199999999997</v>
      </c>
      <c r="C109" s="1">
        <v>0.73118000000000005</v>
      </c>
    </row>
    <row r="110" spans="1:3" x14ac:dyDescent="0.25">
      <c r="A110" s="4" t="s">
        <v>110</v>
      </c>
      <c r="B110" s="1">
        <v>0.167017</v>
      </c>
      <c r="C110" s="1">
        <v>0.16538900000000001</v>
      </c>
    </row>
    <row r="111" spans="1:3" x14ac:dyDescent="0.25">
      <c r="A111" s="4" t="s">
        <v>429</v>
      </c>
      <c r="B111" s="1">
        <v>0.85646699999999998</v>
      </c>
      <c r="C111" s="1">
        <v>0.85925499999999999</v>
      </c>
    </row>
    <row r="112" spans="1:3" x14ac:dyDescent="0.25">
      <c r="A112" s="4" t="s">
        <v>111</v>
      </c>
      <c r="B112" s="1">
        <v>0.51173299999999999</v>
      </c>
      <c r="C112" s="1">
        <v>0.51459699999999997</v>
      </c>
    </row>
    <row r="113" spans="1:3" x14ac:dyDescent="0.25">
      <c r="A113" s="4" t="s">
        <v>112</v>
      </c>
      <c r="B113" s="1">
        <v>0.95174099999999995</v>
      </c>
      <c r="C113" s="1">
        <v>0.94936100000000001</v>
      </c>
    </row>
    <row r="114" spans="1:3" x14ac:dyDescent="0.25">
      <c r="A114" s="4" t="s">
        <v>113</v>
      </c>
      <c r="B114" s="1">
        <v>0.81435400000000002</v>
      </c>
      <c r="C114" s="1">
        <v>0.81171800000000005</v>
      </c>
    </row>
    <row r="115" spans="1:3" x14ac:dyDescent="0.25">
      <c r="A115" s="4" t="s">
        <v>114</v>
      </c>
      <c r="B115" s="1">
        <v>0.46311099999999999</v>
      </c>
      <c r="C115" s="1">
        <v>0.45991500000000002</v>
      </c>
    </row>
    <row r="116" spans="1:3" x14ac:dyDescent="0.25">
      <c r="A116" s="4" t="s">
        <v>115</v>
      </c>
      <c r="B116" s="1">
        <v>3.1198E-2</v>
      </c>
      <c r="C116" s="1">
        <v>2.9186E-2</v>
      </c>
    </row>
    <row r="117" spans="1:3" x14ac:dyDescent="0.25">
      <c r="A117" s="4" t="s">
        <v>116</v>
      </c>
      <c r="B117" s="1">
        <v>4.8832E-2</v>
      </c>
      <c r="C117" s="1">
        <v>5.0776000000000002E-2</v>
      </c>
    </row>
    <row r="118" spans="1:3" x14ac:dyDescent="0.25">
      <c r="A118" s="4" t="s">
        <v>75</v>
      </c>
      <c r="B118" s="1">
        <v>0.331623</v>
      </c>
      <c r="C118" s="1">
        <v>0.33379500000000001</v>
      </c>
    </row>
    <row r="119" spans="1:3" x14ac:dyDescent="0.25">
      <c r="A119" s="4" t="s">
        <v>117</v>
      </c>
      <c r="B119" s="1">
        <v>0.28364</v>
      </c>
      <c r="C119" s="1">
        <v>0.27990799999999999</v>
      </c>
    </row>
    <row r="120" spans="1:3" x14ac:dyDescent="0.25">
      <c r="A120" s="4" t="s">
        <v>118</v>
      </c>
      <c r="B120" s="1">
        <v>0.57245400000000002</v>
      </c>
      <c r="C120" s="1">
        <v>0.57566200000000001</v>
      </c>
    </row>
    <row r="121" spans="1:3" x14ac:dyDescent="0.25">
      <c r="A121" s="4" t="s">
        <v>119</v>
      </c>
      <c r="B121" s="1">
        <v>0.797157</v>
      </c>
      <c r="C121" s="1">
        <v>0.79524099999999998</v>
      </c>
    </row>
    <row r="122" spans="1:3" x14ac:dyDescent="0.25">
      <c r="A122" s="4" t="s">
        <v>120</v>
      </c>
      <c r="B122" s="1">
        <v>0.67288400000000004</v>
      </c>
      <c r="C122" s="1">
        <v>0.67135999999999996</v>
      </c>
    </row>
    <row r="123" spans="1:3" x14ac:dyDescent="0.25">
      <c r="A123" s="4" t="s">
        <v>121</v>
      </c>
      <c r="B123" s="1">
        <v>0.62824999999999998</v>
      </c>
      <c r="C123" s="1">
        <v>0.62470999999999999</v>
      </c>
    </row>
    <row r="124" spans="1:3" x14ac:dyDescent="0.25">
      <c r="A124" s="4" t="s">
        <v>122</v>
      </c>
      <c r="B124" s="1">
        <v>0.22853000000000001</v>
      </c>
      <c r="C124" s="1">
        <v>0.23114999999999999</v>
      </c>
    </row>
    <row r="125" spans="1:3" x14ac:dyDescent="0.25">
      <c r="A125" s="4" t="s">
        <v>123</v>
      </c>
      <c r="B125" s="1">
        <v>6.7060999999999996E-2</v>
      </c>
      <c r="C125" s="1">
        <v>7.0060999999999998E-2</v>
      </c>
    </row>
    <row r="126" spans="1:3" x14ac:dyDescent="0.25">
      <c r="A126" s="4" t="s">
        <v>124</v>
      </c>
      <c r="B126" s="1">
        <v>0.25201899999999999</v>
      </c>
      <c r="C126" s="1">
        <v>0.255247</v>
      </c>
    </row>
    <row r="127" spans="1:3" x14ac:dyDescent="0.25">
      <c r="A127" s="4" t="s">
        <v>125</v>
      </c>
      <c r="B127" s="1">
        <v>0.37008999999999997</v>
      </c>
      <c r="C127" s="1">
        <v>0.368454</v>
      </c>
    </row>
    <row r="128" spans="1:3" x14ac:dyDescent="0.25">
      <c r="A128" s="4" t="s">
        <v>87</v>
      </c>
      <c r="B128" s="1">
        <v>0.98247899999999999</v>
      </c>
      <c r="C128" s="1">
        <v>0.98585100000000003</v>
      </c>
    </row>
    <row r="129" spans="1:3" x14ac:dyDescent="0.25">
      <c r="A129" s="4" t="s">
        <v>126</v>
      </c>
      <c r="B129" s="1">
        <v>0.89384600000000003</v>
      </c>
      <c r="C129" s="1">
        <v>0.89706600000000003</v>
      </c>
    </row>
    <row r="130" spans="1:3" x14ac:dyDescent="0.25">
      <c r="A130" s="4" t="s">
        <v>127</v>
      </c>
      <c r="B130" s="1">
        <v>0.658308</v>
      </c>
      <c r="C130" s="1">
        <v>0.65516799999999997</v>
      </c>
    </row>
    <row r="131" spans="1:3" x14ac:dyDescent="0.25">
      <c r="A131" s="4" t="s">
        <v>128</v>
      </c>
      <c r="B131" s="1">
        <v>0.32555600000000001</v>
      </c>
      <c r="C131" s="1">
        <v>0.327264</v>
      </c>
    </row>
    <row r="132" spans="1:3" x14ac:dyDescent="0.25">
      <c r="A132" s="4" t="s">
        <v>129</v>
      </c>
      <c r="B132" s="1">
        <v>0.34697099999999997</v>
      </c>
      <c r="C132" s="1">
        <v>0.34513500000000003</v>
      </c>
    </row>
    <row r="133" spans="1:3" x14ac:dyDescent="0.25">
      <c r="A133" s="4" t="s">
        <v>130</v>
      </c>
      <c r="B133" s="1">
        <v>0.27076499999999998</v>
      </c>
      <c r="C133" s="1">
        <v>0.267621</v>
      </c>
    </row>
    <row r="134" spans="1:3" x14ac:dyDescent="0.25">
      <c r="A134" s="4" t="s">
        <v>131</v>
      </c>
      <c r="B134" s="1">
        <v>0.380658</v>
      </c>
      <c r="C134" s="1">
        <v>0.37909399999999999</v>
      </c>
    </row>
    <row r="135" spans="1:3" x14ac:dyDescent="0.25">
      <c r="A135" s="4" t="s">
        <v>132</v>
      </c>
      <c r="B135" s="1">
        <v>0.19933999999999999</v>
      </c>
      <c r="C135" s="1">
        <v>0.19636400000000001</v>
      </c>
    </row>
    <row r="136" spans="1:3" x14ac:dyDescent="0.25">
      <c r="A136" s="4" t="s">
        <v>133</v>
      </c>
      <c r="B136" s="1">
        <v>0.86760800000000005</v>
      </c>
      <c r="C136" s="1">
        <v>0.87038800000000005</v>
      </c>
    </row>
    <row r="137" spans="1:3" x14ac:dyDescent="0.25">
      <c r="A137" s="4" t="s">
        <v>134</v>
      </c>
      <c r="B137" s="1">
        <v>0.71828700000000001</v>
      </c>
      <c r="C137" s="1">
        <v>0.72052700000000003</v>
      </c>
    </row>
    <row r="138" spans="1:3" x14ac:dyDescent="0.25">
      <c r="A138" s="4" t="s">
        <v>135</v>
      </c>
      <c r="B138" s="1">
        <v>0.41060799999999997</v>
      </c>
      <c r="C138" s="1">
        <v>0.412908</v>
      </c>
    </row>
    <row r="139" spans="1:3" x14ac:dyDescent="0.25">
      <c r="A139" s="4" t="s">
        <v>136</v>
      </c>
      <c r="B139" s="1">
        <v>0.68890700000000005</v>
      </c>
      <c r="C139" s="1">
        <v>0.69249099999999997</v>
      </c>
    </row>
    <row r="140" spans="1:3" x14ac:dyDescent="0.25">
      <c r="A140" s="4" t="s">
        <v>137</v>
      </c>
      <c r="B140" s="1">
        <v>0.24684700000000001</v>
      </c>
      <c r="C140" s="1">
        <v>0.24374699999999999</v>
      </c>
    </row>
    <row r="141" spans="1:3" x14ac:dyDescent="0.25">
      <c r="A141" s="4" t="s">
        <v>138</v>
      </c>
      <c r="B141" s="1">
        <v>0.48477300000000001</v>
      </c>
      <c r="C141" s="1">
        <v>0.48279699999999998</v>
      </c>
    </row>
    <row r="142" spans="1:3" x14ac:dyDescent="0.25">
      <c r="A142" s="4" t="s">
        <v>139</v>
      </c>
      <c r="B142" s="1">
        <v>0.84553900000000004</v>
      </c>
      <c r="C142" s="1">
        <v>0.84697100000000003</v>
      </c>
    </row>
    <row r="143" spans="1:3" x14ac:dyDescent="0.25">
      <c r="A143" s="4" t="s">
        <v>140</v>
      </c>
      <c r="B143" s="1">
        <v>0.16140399999999999</v>
      </c>
      <c r="C143" s="1">
        <v>0.158052</v>
      </c>
    </row>
    <row r="144" spans="1:3" x14ac:dyDescent="0.25">
      <c r="A144" s="4" t="s">
        <v>141</v>
      </c>
      <c r="B144" s="1">
        <v>0.138354</v>
      </c>
      <c r="C144" s="1">
        <v>0.13685</v>
      </c>
    </row>
    <row r="145" spans="1:3" x14ac:dyDescent="0.25">
      <c r="A145" s="4" t="s">
        <v>142</v>
      </c>
      <c r="B145" s="1">
        <v>0.12570400000000001</v>
      </c>
      <c r="C145" s="1">
        <v>0.122964</v>
      </c>
    </row>
    <row r="146" spans="1:3" x14ac:dyDescent="0.25">
      <c r="A146" s="4" t="s">
        <v>143</v>
      </c>
      <c r="B146" s="1">
        <v>0.46729599999999999</v>
      </c>
      <c r="C146" s="1">
        <v>0.46933599999999998</v>
      </c>
    </row>
    <row r="147" spans="1:3" x14ac:dyDescent="0.25">
      <c r="A147" s="4" t="s">
        <v>144</v>
      </c>
      <c r="B147" s="1">
        <v>0.94697500000000001</v>
      </c>
      <c r="C147" s="1">
        <v>0.94982699999999998</v>
      </c>
    </row>
    <row r="148" spans="1:3" x14ac:dyDescent="0.25">
      <c r="A148" s="4" t="s">
        <v>145</v>
      </c>
      <c r="B148" s="1">
        <v>0.86413600000000002</v>
      </c>
      <c r="C148" s="1">
        <v>0.86697999999999997</v>
      </c>
    </row>
    <row r="149" spans="1:3" x14ac:dyDescent="0.25">
      <c r="A149" s="4" t="s">
        <v>146</v>
      </c>
      <c r="B149" s="1">
        <v>6.4591999999999997E-2</v>
      </c>
      <c r="C149" s="1">
        <v>6.1039999999999997E-2</v>
      </c>
    </row>
    <row r="150" spans="1:3" x14ac:dyDescent="0.25">
      <c r="A150" s="4" t="s">
        <v>147</v>
      </c>
      <c r="B150" s="1">
        <v>0.96590299999999996</v>
      </c>
      <c r="C150" s="1">
        <v>0.96327499999999999</v>
      </c>
    </row>
    <row r="151" spans="1:3" x14ac:dyDescent="0.25">
      <c r="A151" s="4" t="s">
        <v>148</v>
      </c>
      <c r="B151" s="1">
        <v>0.359732</v>
      </c>
      <c r="C151" s="1">
        <v>0.35632799999999998</v>
      </c>
    </row>
    <row r="152" spans="1:3" x14ac:dyDescent="0.25">
      <c r="A152" s="4" t="s">
        <v>149</v>
      </c>
      <c r="B152" s="1">
        <v>0.68221900000000002</v>
      </c>
      <c r="C152" s="1">
        <v>0.68393499999999996</v>
      </c>
    </row>
    <row r="153" spans="1:3" x14ac:dyDescent="0.25">
      <c r="A153" s="4" t="s">
        <v>150</v>
      </c>
      <c r="B153" s="1">
        <v>0.92992200000000003</v>
      </c>
      <c r="C153" s="1">
        <v>0.926122</v>
      </c>
    </row>
    <row r="154" spans="1:3" x14ac:dyDescent="0.25">
      <c r="A154" s="4" t="s">
        <v>151</v>
      </c>
      <c r="B154" s="1">
        <v>0.72409299999999999</v>
      </c>
      <c r="C154" s="1">
        <v>0.72649300000000006</v>
      </c>
    </row>
    <row r="155" spans="1:3" x14ac:dyDescent="0.25">
      <c r="A155" s="4" t="s">
        <v>152</v>
      </c>
      <c r="B155" s="1">
        <v>0.86309499999999995</v>
      </c>
      <c r="C155" s="1">
        <v>0.85914699999999999</v>
      </c>
    </row>
    <row r="156" spans="1:3" x14ac:dyDescent="0.25">
      <c r="A156" s="4" t="s">
        <v>153</v>
      </c>
      <c r="B156" s="1">
        <v>0.53429599999999999</v>
      </c>
      <c r="C156" s="1">
        <v>0.53593199999999996</v>
      </c>
    </row>
    <row r="157" spans="1:3" x14ac:dyDescent="0.25">
      <c r="A157" s="4" t="s">
        <v>154</v>
      </c>
      <c r="B157" s="1">
        <v>6.1955999999999997E-2</v>
      </c>
      <c r="C157" s="1">
        <v>5.8571999999999999E-2</v>
      </c>
    </row>
    <row r="158" spans="1:3" x14ac:dyDescent="0.25">
      <c r="A158" s="4" t="s">
        <v>155</v>
      </c>
      <c r="B158" s="1">
        <v>0.73158400000000001</v>
      </c>
      <c r="C158" s="1">
        <v>0.72921199999999997</v>
      </c>
    </row>
    <row r="159" spans="1:3" x14ac:dyDescent="0.25">
      <c r="A159" s="4" t="s">
        <v>156</v>
      </c>
      <c r="B159" s="1">
        <v>0.93236399999999997</v>
      </c>
      <c r="C159" s="1">
        <v>0.93049999999999999</v>
      </c>
    </row>
    <row r="160" spans="1:3" x14ac:dyDescent="0.25">
      <c r="A160" s="4" t="s">
        <v>157</v>
      </c>
      <c r="B160" s="1">
        <v>0.37124299999999999</v>
      </c>
      <c r="C160" s="1">
        <v>0.36984699999999998</v>
      </c>
    </row>
    <row r="161" spans="1:3" x14ac:dyDescent="0.25">
      <c r="A161" s="4" t="s">
        <v>158</v>
      </c>
      <c r="B161" s="1">
        <v>0.82938000000000001</v>
      </c>
      <c r="C161" s="1">
        <v>0.82733199999999996</v>
      </c>
    </row>
    <row r="162" spans="1:3" x14ac:dyDescent="0.25">
      <c r="A162" s="4" t="s">
        <v>159</v>
      </c>
      <c r="B162" s="1">
        <v>0.515621</v>
      </c>
      <c r="C162" s="1">
        <v>0.51379300000000006</v>
      </c>
    </row>
    <row r="163" spans="1:3" x14ac:dyDescent="0.25">
      <c r="A163" s="4" t="s">
        <v>160</v>
      </c>
      <c r="B163" s="1">
        <v>0.46384300000000001</v>
      </c>
      <c r="C163" s="1">
        <v>0.46656300000000001</v>
      </c>
    </row>
    <row r="164" spans="1:3" x14ac:dyDescent="0.25">
      <c r="A164" s="4" t="s">
        <v>161</v>
      </c>
      <c r="B164" s="1">
        <v>0.75155000000000005</v>
      </c>
      <c r="C164" s="1">
        <v>0.75432600000000005</v>
      </c>
    </row>
    <row r="165" spans="1:3" x14ac:dyDescent="0.25">
      <c r="A165" s="4" t="s">
        <v>162</v>
      </c>
      <c r="B165" s="1">
        <v>0.50681100000000001</v>
      </c>
      <c r="C165" s="1">
        <v>0.50492700000000001</v>
      </c>
    </row>
    <row r="166" spans="1:3" x14ac:dyDescent="0.25">
      <c r="A166" s="4" t="s">
        <v>163</v>
      </c>
      <c r="B166" s="1">
        <v>6.4921000000000006E-2</v>
      </c>
      <c r="C166" s="1">
        <v>6.2060999999999998E-2</v>
      </c>
    </row>
    <row r="167" spans="1:3" x14ac:dyDescent="0.25">
      <c r="A167" s="4" t="s">
        <v>107</v>
      </c>
      <c r="B167" s="1">
        <v>0.36874600000000002</v>
      </c>
      <c r="C167" s="1">
        <v>0.37047400000000003</v>
      </c>
    </row>
    <row r="168" spans="1:3" x14ac:dyDescent="0.25">
      <c r="A168" s="4" t="s">
        <v>16</v>
      </c>
      <c r="B168" s="1">
        <v>0.90525999999999995</v>
      </c>
      <c r="C168" s="1">
        <v>0.90354000000000001</v>
      </c>
    </row>
    <row r="169" spans="1:3" x14ac:dyDescent="0.25">
      <c r="A169" s="4" t="s">
        <v>64</v>
      </c>
      <c r="B169" s="1">
        <v>0.75966599999999995</v>
      </c>
      <c r="C169" s="1">
        <v>0.75585800000000003</v>
      </c>
    </row>
    <row r="170" spans="1:3" x14ac:dyDescent="0.25">
      <c r="A170" s="4" t="s">
        <v>155</v>
      </c>
      <c r="B170" s="1">
        <v>0.84710200000000002</v>
      </c>
      <c r="C170" s="1">
        <v>0.84899800000000003</v>
      </c>
    </row>
    <row r="171" spans="1:3" x14ac:dyDescent="0.25">
      <c r="A171" s="4" t="s">
        <v>74</v>
      </c>
      <c r="B171" s="1">
        <v>0.78240200000000004</v>
      </c>
      <c r="C171" s="1">
        <v>0.78495400000000004</v>
      </c>
    </row>
    <row r="172" spans="1:3" x14ac:dyDescent="0.25">
      <c r="A172" s="4" t="s">
        <v>21</v>
      </c>
      <c r="B172" s="1">
        <v>0.84183399999999997</v>
      </c>
      <c r="C172" s="1">
        <v>0.840086</v>
      </c>
    </row>
    <row r="173" spans="1:3" x14ac:dyDescent="0.25">
      <c r="A173" s="4" t="s">
        <v>27</v>
      </c>
      <c r="B173" s="1">
        <v>0.126585</v>
      </c>
      <c r="C173" s="1">
        <v>0.129029</v>
      </c>
    </row>
    <row r="174" spans="1:3" x14ac:dyDescent="0.25">
      <c r="A174" s="4" t="s">
        <v>83</v>
      </c>
      <c r="B174" s="1">
        <v>0.83486300000000002</v>
      </c>
      <c r="C174" s="1">
        <v>0.83299500000000004</v>
      </c>
    </row>
    <row r="175" spans="1:3" x14ac:dyDescent="0.25">
      <c r="A175" s="4" t="s">
        <v>60</v>
      </c>
      <c r="B175" s="1">
        <v>2.2539E-2</v>
      </c>
      <c r="C175" s="1">
        <v>2.0254999999999999E-2</v>
      </c>
    </row>
    <row r="176" spans="1:3" x14ac:dyDescent="0.25">
      <c r="A176" s="4" t="s">
        <v>12</v>
      </c>
      <c r="B176" s="1">
        <v>0.17019400000000001</v>
      </c>
      <c r="C176" s="1">
        <v>0.17386599999999999</v>
      </c>
    </row>
    <row r="177" spans="1:3" x14ac:dyDescent="0.25">
      <c r="A177" s="4" t="s">
        <v>49</v>
      </c>
      <c r="B177" s="1">
        <v>0.52166900000000005</v>
      </c>
      <c r="C177" s="1">
        <v>0.52531700000000003</v>
      </c>
    </row>
    <row r="178" spans="1:3" x14ac:dyDescent="0.25">
      <c r="A178" s="4" t="s">
        <v>47</v>
      </c>
      <c r="B178" s="1">
        <v>5.8332000000000002E-2</v>
      </c>
      <c r="C178" s="1">
        <v>5.5495999999999997E-2</v>
      </c>
    </row>
    <row r="179" spans="1:3" x14ac:dyDescent="0.25">
      <c r="A179" s="4" t="s">
        <v>41</v>
      </c>
      <c r="B179" s="1">
        <v>0.58149399999999996</v>
      </c>
      <c r="C179" s="1">
        <v>0.57857000000000003</v>
      </c>
    </row>
    <row r="180" spans="1:3" x14ac:dyDescent="0.25">
      <c r="A180" s="4" t="s">
        <v>117</v>
      </c>
      <c r="B180" s="1">
        <v>0.91855399999999998</v>
      </c>
      <c r="C180" s="1">
        <v>0.92222999999999999</v>
      </c>
    </row>
    <row r="181" spans="1:3" x14ac:dyDescent="0.25">
      <c r="A181" s="4" t="s">
        <v>162</v>
      </c>
      <c r="B181" s="1">
        <v>0.89708699999999997</v>
      </c>
      <c r="C181" s="1">
        <v>0.89373499999999995</v>
      </c>
    </row>
    <row r="182" spans="1:3" x14ac:dyDescent="0.25">
      <c r="A182" s="4" t="s">
        <v>5</v>
      </c>
      <c r="B182" s="1">
        <v>0.31651800000000002</v>
      </c>
      <c r="C182" s="1">
        <v>0.31273800000000002</v>
      </c>
    </row>
    <row r="183" spans="1:3" x14ac:dyDescent="0.25">
      <c r="A183" s="4" t="s">
        <v>109</v>
      </c>
      <c r="B183" s="1">
        <v>0.87171399999999999</v>
      </c>
      <c r="C183" s="1">
        <v>0.87551800000000002</v>
      </c>
    </row>
    <row r="184" spans="1:3" x14ac:dyDescent="0.25">
      <c r="A184" s="4" t="s">
        <v>75</v>
      </c>
      <c r="B184" s="1">
        <v>0.42321900000000001</v>
      </c>
      <c r="C184" s="1">
        <v>0.42627100000000001</v>
      </c>
    </row>
    <row r="185" spans="1:3" x14ac:dyDescent="0.25">
      <c r="A185" s="4" t="s">
        <v>75</v>
      </c>
      <c r="B185" s="1">
        <v>0.59153599999999995</v>
      </c>
      <c r="C185" s="1">
        <v>0.58769199999999999</v>
      </c>
    </row>
    <row r="186" spans="1:3" x14ac:dyDescent="0.25">
      <c r="A186" s="4" t="s">
        <v>68</v>
      </c>
      <c r="B186" s="1">
        <v>0.87950700000000004</v>
      </c>
      <c r="C186" s="1">
        <v>0.88255499999999998</v>
      </c>
    </row>
    <row r="187" spans="1:3" x14ac:dyDescent="0.25">
      <c r="A187" s="4" t="s">
        <v>72</v>
      </c>
      <c r="B187" s="1">
        <v>0.848275</v>
      </c>
      <c r="C187" s="1">
        <v>0.84999499999999995</v>
      </c>
    </row>
    <row r="188" spans="1:3" x14ac:dyDescent="0.25">
      <c r="A188" s="4" t="s">
        <v>3</v>
      </c>
      <c r="B188" s="1">
        <v>0.29002600000000001</v>
      </c>
      <c r="C188" s="1">
        <v>0.291682</v>
      </c>
    </row>
    <row r="189" spans="1:3" x14ac:dyDescent="0.25">
      <c r="A189" s="4" t="s">
        <v>107</v>
      </c>
      <c r="B189" s="1">
        <v>0.41733100000000001</v>
      </c>
      <c r="C189" s="1">
        <v>0.419491</v>
      </c>
    </row>
    <row r="190" spans="1:3" x14ac:dyDescent="0.25">
      <c r="A190" s="4" t="s">
        <v>16</v>
      </c>
      <c r="B190" s="1">
        <v>8.7446999999999997E-2</v>
      </c>
      <c r="C190" s="1">
        <v>8.5182999999999995E-2</v>
      </c>
    </row>
    <row r="191" spans="1:3" x14ac:dyDescent="0.25">
      <c r="A191" s="4" t="s">
        <v>64</v>
      </c>
      <c r="B191" s="1">
        <v>0.99943800000000005</v>
      </c>
      <c r="C191" s="1">
        <v>0.99675400000000003</v>
      </c>
    </row>
    <row r="192" spans="1:3" x14ac:dyDescent="0.25">
      <c r="A192" s="4" t="s">
        <v>155</v>
      </c>
      <c r="B192" s="1">
        <v>0.57598300000000002</v>
      </c>
      <c r="C192" s="1">
        <v>0.57948699999999997</v>
      </c>
    </row>
    <row r="193" spans="1:3" x14ac:dyDescent="0.25">
      <c r="A193" s="4" t="s">
        <v>74</v>
      </c>
      <c r="B193" s="1">
        <v>0.170068</v>
      </c>
      <c r="C193" s="1">
        <v>0.16739599999999999</v>
      </c>
    </row>
    <row r="194" spans="1:3" x14ac:dyDescent="0.25">
      <c r="A194" s="4" t="s">
        <v>21</v>
      </c>
      <c r="B194" s="1">
        <v>7.4226E-2</v>
      </c>
      <c r="C194" s="1">
        <v>7.5994000000000006E-2</v>
      </c>
    </row>
    <row r="195" spans="1:3" x14ac:dyDescent="0.25">
      <c r="A195" s="4" t="s">
        <v>27</v>
      </c>
      <c r="B195" s="1">
        <v>0.51301399999999997</v>
      </c>
      <c r="C195" s="1">
        <v>0.51158599999999999</v>
      </c>
    </row>
    <row r="196" spans="1:3" x14ac:dyDescent="0.25">
      <c r="A196" s="4" t="s">
        <v>83</v>
      </c>
      <c r="B196" s="1">
        <v>0.99456699999999998</v>
      </c>
      <c r="C196" s="1">
        <v>0.99620699999999995</v>
      </c>
    </row>
    <row r="197" spans="1:3" x14ac:dyDescent="0.25">
      <c r="A197" s="4" t="s">
        <v>60</v>
      </c>
      <c r="B197" s="1">
        <v>0.72680199999999995</v>
      </c>
      <c r="C197" s="1">
        <v>0.72868999999999995</v>
      </c>
    </row>
    <row r="198" spans="1:3" x14ac:dyDescent="0.25">
      <c r="A198" s="4" t="s">
        <v>12</v>
      </c>
      <c r="B198" s="1">
        <v>0.92180200000000001</v>
      </c>
      <c r="C198" s="1">
        <v>0.91994600000000004</v>
      </c>
    </row>
    <row r="199" spans="1:3" x14ac:dyDescent="0.25">
      <c r="A199" s="4" t="s">
        <v>49</v>
      </c>
      <c r="B199" s="1">
        <v>0.73685999999999996</v>
      </c>
      <c r="C199" s="1">
        <v>0.73460400000000003</v>
      </c>
    </row>
    <row r="200" spans="1:3" x14ac:dyDescent="0.25">
      <c r="A200" s="4" t="s">
        <v>47</v>
      </c>
      <c r="B200" s="1">
        <v>0.95486300000000002</v>
      </c>
      <c r="C200" s="1">
        <v>0.95218700000000001</v>
      </c>
    </row>
    <row r="201" spans="1:3" x14ac:dyDescent="0.25">
      <c r="A201" s="4" t="s">
        <v>41</v>
      </c>
      <c r="B201" s="1">
        <v>0.17504700000000001</v>
      </c>
      <c r="C201" s="1">
        <v>0.17893500000000001</v>
      </c>
    </row>
    <row r="202" spans="1:3" x14ac:dyDescent="0.25">
      <c r="A202" s="4" t="s">
        <v>117</v>
      </c>
      <c r="B202" s="1">
        <v>0.42769200000000002</v>
      </c>
      <c r="C202" s="1">
        <v>0.42931599999999998</v>
      </c>
    </row>
    <row r="203" spans="1:3" x14ac:dyDescent="0.25">
      <c r="A203" s="4" t="s">
        <v>162</v>
      </c>
      <c r="B203" s="1">
        <v>0.17679500000000001</v>
      </c>
      <c r="C203" s="1">
        <v>0.17477100000000001</v>
      </c>
    </row>
    <row r="204" spans="1:3" x14ac:dyDescent="0.25">
      <c r="A204" s="4" t="s">
        <v>5</v>
      </c>
      <c r="B204" s="1">
        <v>0.40955399999999997</v>
      </c>
      <c r="C204" s="1">
        <v>0.41143000000000002</v>
      </c>
    </row>
    <row r="205" spans="1:3" x14ac:dyDescent="0.25">
      <c r="A205" s="4" t="s">
        <v>109</v>
      </c>
      <c r="B205" s="1">
        <v>0.68685200000000002</v>
      </c>
      <c r="C205" s="1">
        <v>0.69050400000000001</v>
      </c>
    </row>
    <row r="206" spans="1:3" x14ac:dyDescent="0.25">
      <c r="A206" s="4" t="s">
        <v>75</v>
      </c>
      <c r="B206" s="1">
        <v>0.21182200000000001</v>
      </c>
      <c r="C206" s="1">
        <v>0.20880199999999999</v>
      </c>
    </row>
    <row r="207" spans="1:3" x14ac:dyDescent="0.25">
      <c r="A207" s="4" t="s">
        <v>75</v>
      </c>
      <c r="B207" s="1">
        <v>0.43252099999999999</v>
      </c>
      <c r="C207" s="1">
        <v>0.43110500000000002</v>
      </c>
    </row>
    <row r="208" spans="1:3" x14ac:dyDescent="0.25">
      <c r="A208" s="4" t="s">
        <v>68</v>
      </c>
      <c r="B208" s="1">
        <v>0.398974</v>
      </c>
      <c r="C208" s="1">
        <v>0.40052599999999999</v>
      </c>
    </row>
    <row r="209" spans="1:3" x14ac:dyDescent="0.25">
      <c r="A209" s="4" t="s">
        <v>72</v>
      </c>
      <c r="B209" s="1">
        <v>0.43932300000000002</v>
      </c>
      <c r="C209" s="1">
        <v>0.43679099999999998</v>
      </c>
    </row>
    <row r="210" spans="1:3" x14ac:dyDescent="0.25">
      <c r="A210" s="4" t="s">
        <v>3</v>
      </c>
      <c r="B210" s="1">
        <v>0.141675</v>
      </c>
      <c r="C210" s="1">
        <v>0.138651</v>
      </c>
    </row>
    <row r="211" spans="1:3" x14ac:dyDescent="0.25">
      <c r="A211" s="4" t="s">
        <v>47</v>
      </c>
      <c r="B211" s="1">
        <v>0.85342399999999996</v>
      </c>
      <c r="C211" s="1">
        <v>0.85614800000000002</v>
      </c>
    </row>
    <row r="212" spans="1:3" x14ac:dyDescent="0.25">
      <c r="A212" s="4" t="s">
        <v>41</v>
      </c>
      <c r="B212" s="1">
        <v>0.186281</v>
      </c>
      <c r="C212" s="1">
        <v>0.18371299999999999</v>
      </c>
    </row>
    <row r="213" spans="1:3" x14ac:dyDescent="0.25">
      <c r="A213" s="4" t="s">
        <v>117</v>
      </c>
      <c r="B213" s="1">
        <v>8.9881000000000003E-2</v>
      </c>
      <c r="C213" s="1">
        <v>9.2344999999999997E-2</v>
      </c>
    </row>
    <row r="214" spans="1:3" x14ac:dyDescent="0.25">
      <c r="A214" s="4" t="s">
        <v>162</v>
      </c>
      <c r="B214" s="1">
        <v>2.4351000000000001E-2</v>
      </c>
      <c r="C214" s="1">
        <v>2.6023000000000001E-2</v>
      </c>
    </row>
    <row r="215" spans="1:3" x14ac:dyDescent="0.25">
      <c r="A215" s="4" t="s">
        <v>5</v>
      </c>
      <c r="B215" s="1">
        <v>0.89798900000000004</v>
      </c>
      <c r="C215" s="1">
        <v>0.89986100000000002</v>
      </c>
    </row>
    <row r="216" spans="1:3" x14ac:dyDescent="0.25">
      <c r="A216" s="4" t="s">
        <v>109</v>
      </c>
      <c r="B216" s="1">
        <v>0.869726</v>
      </c>
      <c r="C216" s="1">
        <v>0.86768999999999996</v>
      </c>
    </row>
    <row r="217" spans="1:3" x14ac:dyDescent="0.25">
      <c r="A217" s="4" t="s">
        <v>47</v>
      </c>
      <c r="B217" s="1">
        <v>0.44847399999999998</v>
      </c>
      <c r="C217" s="1">
        <v>0.45169799999999999</v>
      </c>
    </row>
    <row r="218" spans="1:3" x14ac:dyDescent="0.25">
      <c r="A218" s="4" t="s">
        <v>41</v>
      </c>
      <c r="B218" s="1">
        <v>0.58307699999999996</v>
      </c>
      <c r="C218" s="1">
        <v>0.58018099999999995</v>
      </c>
    </row>
    <row r="219" spans="1:3" x14ac:dyDescent="0.25">
      <c r="A219" s="4" t="s">
        <v>117</v>
      </c>
      <c r="B219" s="1">
        <v>0.84016999999999997</v>
      </c>
      <c r="C219" s="1">
        <v>0.84218999999999999</v>
      </c>
    </row>
    <row r="220" spans="1:3" x14ac:dyDescent="0.25">
      <c r="A220" s="4" t="s">
        <v>162</v>
      </c>
      <c r="B220" s="1">
        <v>0.80282699999999996</v>
      </c>
      <c r="C220" s="1">
        <v>0.805091</v>
      </c>
    </row>
    <row r="221" spans="1:3" x14ac:dyDescent="0.25">
      <c r="A221" s="4" t="s">
        <v>5</v>
      </c>
      <c r="B221" s="1">
        <v>7.6984999999999998E-2</v>
      </c>
      <c r="C221" s="1">
        <v>7.3173000000000002E-2</v>
      </c>
    </row>
    <row r="222" spans="1:3" x14ac:dyDescent="0.25">
      <c r="A222" s="4" t="s">
        <v>109</v>
      </c>
      <c r="B222" s="1">
        <v>0.98943999999999999</v>
      </c>
      <c r="C222" s="1">
        <v>0.98772800000000005</v>
      </c>
    </row>
    <row r="223" spans="1:3" x14ac:dyDescent="0.25">
      <c r="A223" s="4" t="s">
        <v>47</v>
      </c>
      <c r="B223" s="1">
        <v>0.38585999999999998</v>
      </c>
      <c r="C223" s="1">
        <v>0.38773999999999997</v>
      </c>
    </row>
    <row r="224" spans="1:3" x14ac:dyDescent="0.25">
      <c r="A224" s="4" t="s">
        <v>41</v>
      </c>
      <c r="B224" s="1">
        <v>0.88634100000000005</v>
      </c>
      <c r="C224" s="1">
        <v>0.88827299999999998</v>
      </c>
    </row>
    <row r="225" spans="1:3" x14ac:dyDescent="0.25">
      <c r="A225" s="4" t="s">
        <v>117</v>
      </c>
      <c r="B225" s="1">
        <v>0.21960199999999999</v>
      </c>
      <c r="C225" s="1">
        <v>0.21732199999999999</v>
      </c>
    </row>
    <row r="226" spans="1:3" x14ac:dyDescent="0.25">
      <c r="A226" s="4" t="s">
        <v>162</v>
      </c>
      <c r="B226" s="1">
        <v>0.14232400000000001</v>
      </c>
      <c r="C226" s="1">
        <v>0.144844</v>
      </c>
    </row>
    <row r="227" spans="1:3" x14ac:dyDescent="0.25">
      <c r="A227" s="4" t="s">
        <v>5</v>
      </c>
      <c r="B227" s="1">
        <v>0.78616900000000001</v>
      </c>
      <c r="C227" s="1">
        <v>0.78911699999999996</v>
      </c>
    </row>
    <row r="228" spans="1:3" x14ac:dyDescent="0.25">
      <c r="A228" s="4" t="s">
        <v>109</v>
      </c>
      <c r="B228" s="1">
        <v>0.116871</v>
      </c>
      <c r="C228" s="1">
        <v>0.114135</v>
      </c>
    </row>
    <row r="229" spans="1:3" x14ac:dyDescent="0.25">
      <c r="A229" s="4" t="s">
        <v>47</v>
      </c>
      <c r="B229" s="1">
        <v>7.4501999999999999E-2</v>
      </c>
      <c r="C229" s="1">
        <v>7.3053999999999994E-2</v>
      </c>
    </row>
    <row r="230" spans="1:3" x14ac:dyDescent="0.25">
      <c r="A230" s="4" t="s">
        <v>41</v>
      </c>
      <c r="B230" s="1">
        <v>0.25088199999999999</v>
      </c>
      <c r="C230" s="1">
        <v>0.24737799999999999</v>
      </c>
    </row>
    <row r="231" spans="1:3" x14ac:dyDescent="0.25">
      <c r="A231" s="4" t="s">
        <v>117</v>
      </c>
      <c r="B231" s="1">
        <v>0.94641600000000004</v>
      </c>
      <c r="C231" s="1">
        <v>0.94965200000000005</v>
      </c>
    </row>
    <row r="232" spans="1:3" x14ac:dyDescent="0.25">
      <c r="A232" s="4" t="s">
        <v>162</v>
      </c>
      <c r="B232" s="1">
        <v>0.110017</v>
      </c>
      <c r="C232" s="1">
        <v>0.108101</v>
      </c>
    </row>
    <row r="233" spans="1:3" x14ac:dyDescent="0.25">
      <c r="A233" s="4" t="s">
        <v>164</v>
      </c>
      <c r="B233" s="1">
        <v>0.27964899999999998</v>
      </c>
      <c r="C233" s="1">
        <v>0.28198499999999999</v>
      </c>
    </row>
    <row r="234" spans="1:3" x14ac:dyDescent="0.25">
      <c r="A234" s="4" t="s">
        <v>109</v>
      </c>
      <c r="B234" s="1">
        <v>0.12549399999999999</v>
      </c>
      <c r="C234" s="1">
        <v>0.121934</v>
      </c>
    </row>
    <row r="235" spans="1:3" x14ac:dyDescent="0.25">
      <c r="A235" s="4" t="s">
        <v>162</v>
      </c>
      <c r="B235" s="1">
        <v>0.459476</v>
      </c>
      <c r="C235" s="1">
        <v>0.45600000000000002</v>
      </c>
    </row>
    <row r="236" spans="1:3" x14ac:dyDescent="0.25">
      <c r="A236" s="4" t="s">
        <v>5</v>
      </c>
      <c r="B236" s="1">
        <v>0.27487200000000001</v>
      </c>
      <c r="C236" s="1">
        <v>0.27720400000000001</v>
      </c>
    </row>
    <row r="237" spans="1:3" x14ac:dyDescent="0.25">
      <c r="A237" s="4" t="s">
        <v>109</v>
      </c>
      <c r="B237" s="1">
        <v>0.67701</v>
      </c>
      <c r="C237" s="1">
        <v>0.67305400000000004</v>
      </c>
    </row>
    <row r="238" spans="1:3" x14ac:dyDescent="0.25">
      <c r="A238" s="4" t="s">
        <v>165</v>
      </c>
      <c r="B238" s="1">
        <v>0.16714200000000001</v>
      </c>
      <c r="C238" s="1">
        <v>0.165106</v>
      </c>
    </row>
    <row r="239" spans="1:3" x14ac:dyDescent="0.25">
      <c r="A239" s="4" t="s">
        <v>5</v>
      </c>
      <c r="B239" s="1">
        <v>0.59608099999999997</v>
      </c>
      <c r="C239" s="1">
        <v>0.59963299999999997</v>
      </c>
    </row>
    <row r="240" spans="1:3" x14ac:dyDescent="0.25">
      <c r="A240" s="4" t="s">
        <v>109</v>
      </c>
      <c r="B240" s="1">
        <v>0.30414799999999997</v>
      </c>
      <c r="C240" s="1">
        <v>0.30221199999999998</v>
      </c>
    </row>
    <row r="241" spans="1:3" x14ac:dyDescent="0.25">
      <c r="A241" s="4" t="s">
        <v>162</v>
      </c>
      <c r="B241" s="1">
        <v>0.576519</v>
      </c>
      <c r="C241" s="1">
        <v>0.57400300000000004</v>
      </c>
    </row>
    <row r="242" spans="1:3" x14ac:dyDescent="0.25">
      <c r="A242" s="4" t="s">
        <v>5</v>
      </c>
      <c r="B242" s="1">
        <v>0.28254000000000001</v>
      </c>
      <c r="C242" s="1">
        <v>0.28488400000000003</v>
      </c>
    </row>
    <row r="243" spans="1:3" x14ac:dyDescent="0.25">
      <c r="A243" s="4" t="s">
        <v>109</v>
      </c>
      <c r="B243" s="1">
        <v>0.23408499999999999</v>
      </c>
      <c r="C243" s="1">
        <v>0.23075300000000001</v>
      </c>
    </row>
    <row r="244" spans="1:3" x14ac:dyDescent="0.25">
      <c r="A244" s="4" t="s">
        <v>87</v>
      </c>
      <c r="B244" s="1">
        <v>0.50998299999999996</v>
      </c>
      <c r="C244" s="1">
        <v>0.50774300000000006</v>
      </c>
    </row>
    <row r="245" spans="1:3" x14ac:dyDescent="0.25">
      <c r="A245" s="4" t="s">
        <v>87</v>
      </c>
      <c r="B245" s="1">
        <v>0.44664599999999999</v>
      </c>
      <c r="C245" s="1">
        <v>0.44944200000000001</v>
      </c>
    </row>
    <row r="246" spans="1:3" x14ac:dyDescent="0.25">
      <c r="A246" s="4" t="s">
        <v>87</v>
      </c>
      <c r="B246" s="1">
        <v>0.61230499999999999</v>
      </c>
      <c r="C246" s="1">
        <v>0.61417299999999997</v>
      </c>
    </row>
    <row r="247" spans="1:3" x14ac:dyDescent="0.25">
      <c r="A247" s="4" t="s">
        <v>87</v>
      </c>
      <c r="B247" s="1">
        <v>0.29541000000000001</v>
      </c>
      <c r="C247" s="1">
        <v>0.29919800000000002</v>
      </c>
    </row>
    <row r="248" spans="1:3" x14ac:dyDescent="0.25">
      <c r="A248" s="4" t="s">
        <v>56</v>
      </c>
      <c r="B248" s="1">
        <v>0.74378100000000003</v>
      </c>
      <c r="C248" s="1">
        <v>0.747197</v>
      </c>
    </row>
    <row r="249" spans="1:3" x14ac:dyDescent="0.25">
      <c r="A249" s="4" t="s">
        <v>132</v>
      </c>
      <c r="B249" s="1">
        <v>0.51571999999999996</v>
      </c>
      <c r="C249" s="1">
        <v>0.51715999999999995</v>
      </c>
    </row>
    <row r="250" spans="1:3" x14ac:dyDescent="0.25">
      <c r="A250" s="4" t="s">
        <v>18</v>
      </c>
      <c r="B250" s="1">
        <v>0.214673</v>
      </c>
      <c r="C250" s="1">
        <v>0.21774499999999999</v>
      </c>
    </row>
    <row r="251" spans="1:3" x14ac:dyDescent="0.25">
      <c r="A251" s="4" t="s">
        <v>85</v>
      </c>
      <c r="B251" s="1">
        <v>0.90568499999999996</v>
      </c>
      <c r="C251" s="1">
        <v>0.90785700000000003</v>
      </c>
    </row>
    <row r="252" spans="1:3" x14ac:dyDescent="0.25">
      <c r="A252" s="4" t="s">
        <v>112</v>
      </c>
      <c r="B252" s="1">
        <v>0.45399299999999998</v>
      </c>
      <c r="C252" s="1">
        <v>0.452185</v>
      </c>
    </row>
    <row r="253" spans="1:3" x14ac:dyDescent="0.25">
      <c r="A253" s="4" t="s">
        <v>103</v>
      </c>
      <c r="B253" s="1">
        <v>0.65021700000000004</v>
      </c>
      <c r="C253" s="1">
        <v>0.64635299999999996</v>
      </c>
    </row>
    <row r="254" spans="1:3" x14ac:dyDescent="0.25">
      <c r="A254" s="4" t="s">
        <v>57</v>
      </c>
      <c r="B254" s="1">
        <v>0.174453</v>
      </c>
      <c r="C254" s="1">
        <v>0.176009</v>
      </c>
    </row>
    <row r="255" spans="1:3" x14ac:dyDescent="0.25">
      <c r="A255" s="4" t="s">
        <v>3</v>
      </c>
      <c r="B255" s="1">
        <v>0.140041</v>
      </c>
      <c r="C255" s="1">
        <v>0.14161699999999999</v>
      </c>
    </row>
    <row r="256" spans="1:3" x14ac:dyDescent="0.25">
      <c r="A256" s="4" t="s">
        <v>4</v>
      </c>
      <c r="B256" s="1">
        <v>0.86221700000000001</v>
      </c>
      <c r="C256" s="1">
        <v>0.85994899999999996</v>
      </c>
    </row>
    <row r="257" spans="1:3" x14ac:dyDescent="0.25">
      <c r="A257" s="4" t="s">
        <v>5</v>
      </c>
      <c r="B257" s="1">
        <v>0.50733099999999998</v>
      </c>
      <c r="C257" s="1">
        <v>0.51071900000000003</v>
      </c>
    </row>
    <row r="258" spans="1:3" x14ac:dyDescent="0.25">
      <c r="A258" s="4" t="s">
        <v>6</v>
      </c>
      <c r="B258" s="1">
        <v>0.89605199999999996</v>
      </c>
      <c r="C258" s="1">
        <v>0.89464399999999999</v>
      </c>
    </row>
    <row r="259" spans="1:3" x14ac:dyDescent="0.25">
      <c r="A259" s="4" t="s">
        <v>7</v>
      </c>
      <c r="B259" s="1">
        <v>0.54949499999999996</v>
      </c>
      <c r="C259" s="1">
        <v>0.54675499999999999</v>
      </c>
    </row>
    <row r="260" spans="1:3" x14ac:dyDescent="0.25">
      <c r="A260" s="4" t="s">
        <v>8</v>
      </c>
      <c r="B260" s="1">
        <v>6.8551000000000001E-2</v>
      </c>
      <c r="C260" s="1">
        <v>6.5270999999999996E-2</v>
      </c>
    </row>
    <row r="261" spans="1:3" x14ac:dyDescent="0.25">
      <c r="A261" s="4" t="s">
        <v>9</v>
      </c>
      <c r="B261" s="1">
        <v>6.9554000000000005E-2</v>
      </c>
      <c r="C261" s="1">
        <v>6.7585999999999993E-2</v>
      </c>
    </row>
    <row r="262" spans="1:3" x14ac:dyDescent="0.25">
      <c r="A262" s="4" t="s">
        <v>10</v>
      </c>
      <c r="B262" s="1">
        <v>0.85223800000000005</v>
      </c>
      <c r="C262" s="1">
        <v>0.84849799999999997</v>
      </c>
    </row>
    <row r="263" spans="1:3" x14ac:dyDescent="0.25">
      <c r="A263" s="4" t="s">
        <v>11</v>
      </c>
      <c r="B263" s="1">
        <v>0.44774900000000001</v>
      </c>
      <c r="C263" s="1">
        <v>0.451573</v>
      </c>
    </row>
    <row r="264" spans="1:3" x14ac:dyDescent="0.25">
      <c r="A264" s="4" t="s">
        <v>12</v>
      </c>
      <c r="B264" s="1">
        <v>0.84136299999999997</v>
      </c>
      <c r="C264" s="1">
        <v>0.83881899999999998</v>
      </c>
    </row>
    <row r="265" spans="1:3" x14ac:dyDescent="0.25">
      <c r="A265" s="4" t="s">
        <v>13</v>
      </c>
      <c r="B265" s="1">
        <v>0.20627400000000001</v>
      </c>
      <c r="C265" s="1">
        <v>0.20369799999999999</v>
      </c>
    </row>
    <row r="266" spans="1:3" x14ac:dyDescent="0.25">
      <c r="A266" s="4" t="s">
        <v>14</v>
      </c>
      <c r="B266" s="1">
        <v>0.53404300000000005</v>
      </c>
      <c r="C266" s="1">
        <v>0.53097899999999998</v>
      </c>
    </row>
    <row r="267" spans="1:3" x14ac:dyDescent="0.25">
      <c r="A267" s="4" t="s">
        <v>15</v>
      </c>
      <c r="B267" s="1">
        <v>0.52019700000000002</v>
      </c>
      <c r="C267" s="1">
        <v>0.52254900000000004</v>
      </c>
    </row>
    <row r="268" spans="1:3" x14ac:dyDescent="0.25">
      <c r="A268" s="4" t="s">
        <v>16</v>
      </c>
      <c r="B268" s="1">
        <v>0.464613</v>
      </c>
      <c r="C268" s="1">
        <v>0.46155299999999999</v>
      </c>
    </row>
    <row r="269" spans="1:3" x14ac:dyDescent="0.25">
      <c r="A269" s="4" t="s">
        <v>17</v>
      </c>
      <c r="B269" s="1">
        <v>0.94928199999999996</v>
      </c>
      <c r="C269" s="1">
        <v>0.94705799999999996</v>
      </c>
    </row>
    <row r="270" spans="1:3" x14ac:dyDescent="0.25">
      <c r="A270" s="4" t="s">
        <v>18</v>
      </c>
      <c r="B270" s="1">
        <v>0.62996300000000005</v>
      </c>
      <c r="C270" s="1">
        <v>0.62636700000000001</v>
      </c>
    </row>
    <row r="271" spans="1:3" x14ac:dyDescent="0.25">
      <c r="A271" s="4" t="s">
        <v>19</v>
      </c>
      <c r="B271" s="1">
        <v>0.76597700000000002</v>
      </c>
      <c r="C271" s="1">
        <v>0.76212500000000005</v>
      </c>
    </row>
    <row r="272" spans="1:3" x14ac:dyDescent="0.25">
      <c r="A272" s="4" t="s">
        <v>20</v>
      </c>
      <c r="B272" s="1">
        <v>0.65905100000000005</v>
      </c>
      <c r="C272" s="1">
        <v>0.662879</v>
      </c>
    </row>
    <row r="273" spans="1:3" x14ac:dyDescent="0.25">
      <c r="A273" s="4" t="s">
        <v>21</v>
      </c>
      <c r="B273" s="1">
        <v>0.88179300000000005</v>
      </c>
      <c r="C273" s="1">
        <v>0.87958099999999995</v>
      </c>
    </row>
    <row r="274" spans="1:3" x14ac:dyDescent="0.25">
      <c r="A274" s="4" t="s">
        <v>22</v>
      </c>
      <c r="B274" s="1">
        <v>0.96188399999999996</v>
      </c>
      <c r="C274" s="1">
        <v>0.95841200000000004</v>
      </c>
    </row>
    <row r="275" spans="1:3" x14ac:dyDescent="0.25">
      <c r="A275" s="4" t="s">
        <v>23</v>
      </c>
      <c r="B275" s="1">
        <v>0.551709</v>
      </c>
      <c r="C275" s="1">
        <v>0.54965699999999995</v>
      </c>
    </row>
    <row r="276" spans="1:3" x14ac:dyDescent="0.25">
      <c r="A276" s="4" t="s">
        <v>24</v>
      </c>
      <c r="B276" s="1">
        <v>0.55516799999999999</v>
      </c>
      <c r="C276" s="1">
        <v>0.55682399999999999</v>
      </c>
    </row>
    <row r="277" spans="1:3" x14ac:dyDescent="0.25">
      <c r="A277" s="4" t="s">
        <v>25</v>
      </c>
      <c r="B277" s="1">
        <v>0.50799799999999995</v>
      </c>
      <c r="C277" s="1">
        <v>0.50580599999999998</v>
      </c>
    </row>
    <row r="278" spans="1:3" x14ac:dyDescent="0.25">
      <c r="A278" s="4" t="s">
        <v>26</v>
      </c>
      <c r="B278" s="1">
        <v>0.29010599999999998</v>
      </c>
      <c r="C278" s="1">
        <v>0.29300599999999999</v>
      </c>
    </row>
    <row r="279" spans="1:3" x14ac:dyDescent="0.25">
      <c r="A279" s="4" t="s">
        <v>27</v>
      </c>
      <c r="B279" s="1">
        <v>0.888069</v>
      </c>
      <c r="C279" s="1">
        <v>0.88534100000000004</v>
      </c>
    </row>
    <row r="280" spans="1:3" x14ac:dyDescent="0.25">
      <c r="A280" s="4" t="s">
        <v>28</v>
      </c>
      <c r="B280" s="1">
        <v>0.29008400000000001</v>
      </c>
      <c r="C280" s="1">
        <v>0.29398800000000003</v>
      </c>
    </row>
    <row r="281" spans="1:3" x14ac:dyDescent="0.25">
      <c r="A281" s="4" t="s">
        <v>29</v>
      </c>
      <c r="B281" s="1">
        <v>0.53885000000000005</v>
      </c>
      <c r="C281" s="1">
        <v>0.53549000000000002</v>
      </c>
    </row>
    <row r="282" spans="1:3" x14ac:dyDescent="0.25">
      <c r="A282" s="4" t="s">
        <v>30</v>
      </c>
      <c r="B282" s="1">
        <v>0.46298299999999998</v>
      </c>
      <c r="C282" s="1">
        <v>0.459231</v>
      </c>
    </row>
    <row r="283" spans="1:3" x14ac:dyDescent="0.25">
      <c r="A283" s="4" t="s">
        <v>31</v>
      </c>
      <c r="B283" s="1">
        <v>7.6189999999999999E-3</v>
      </c>
      <c r="C283" s="1">
        <v>3.8670000000000002E-3</v>
      </c>
    </row>
    <row r="284" spans="1:3" x14ac:dyDescent="0.25">
      <c r="A284" s="4" t="s">
        <v>32</v>
      </c>
      <c r="B284" s="1">
        <v>0.83624799999999999</v>
      </c>
      <c r="C284" s="1">
        <v>0.832376</v>
      </c>
    </row>
    <row r="285" spans="1:3" x14ac:dyDescent="0.25">
      <c r="A285" s="4" t="s">
        <v>33</v>
      </c>
      <c r="B285" s="1">
        <v>0.506386</v>
      </c>
      <c r="C285" s="1">
        <v>0.50263400000000003</v>
      </c>
    </row>
    <row r="286" spans="1:3" x14ac:dyDescent="0.25">
      <c r="A286" s="4" t="s">
        <v>166</v>
      </c>
      <c r="B286" s="1">
        <v>0.30390899999999998</v>
      </c>
      <c r="C286" s="1">
        <v>0.30128100000000002</v>
      </c>
    </row>
    <row r="287" spans="1:3" x14ac:dyDescent="0.25">
      <c r="A287" s="4" t="s">
        <v>428</v>
      </c>
      <c r="B287" s="1">
        <v>0.93484299999999998</v>
      </c>
      <c r="C287" s="1">
        <v>0.93879100000000004</v>
      </c>
    </row>
    <row r="288" spans="1:3" x14ac:dyDescent="0.25">
      <c r="A288" s="4" t="s">
        <v>35</v>
      </c>
      <c r="B288" s="1">
        <v>0.74358000000000002</v>
      </c>
      <c r="C288" s="1">
        <v>0.74584399999999995</v>
      </c>
    </row>
    <row r="289" spans="1:3" x14ac:dyDescent="0.25">
      <c r="A289" s="4" t="s">
        <v>36</v>
      </c>
      <c r="B289" s="1">
        <v>0.89885000000000004</v>
      </c>
      <c r="C289" s="1">
        <v>0.90130200000000005</v>
      </c>
    </row>
    <row r="290" spans="1:3" x14ac:dyDescent="0.25">
      <c r="A290" s="4" t="s">
        <v>37</v>
      </c>
      <c r="B290" s="1">
        <v>0.59133800000000003</v>
      </c>
      <c r="C290" s="1">
        <v>0.59383399999999997</v>
      </c>
    </row>
    <row r="291" spans="1:3" x14ac:dyDescent="0.25">
      <c r="A291" s="4" t="s">
        <v>38</v>
      </c>
      <c r="B291" s="1">
        <v>0.333036</v>
      </c>
      <c r="C291" s="1">
        <v>0.33584799999999998</v>
      </c>
    </row>
    <row r="292" spans="1:3" x14ac:dyDescent="0.25">
      <c r="A292" s="4" t="s">
        <v>167</v>
      </c>
      <c r="B292" s="1">
        <v>0.40695900000000002</v>
      </c>
      <c r="C292" s="1">
        <v>0.40518700000000002</v>
      </c>
    </row>
    <row r="293" spans="1:3" x14ac:dyDescent="0.25">
      <c r="A293" s="4" t="s">
        <v>40</v>
      </c>
      <c r="B293" s="1">
        <v>4.8376000000000002E-2</v>
      </c>
      <c r="C293" s="1">
        <v>4.4811999999999998E-2</v>
      </c>
    </row>
    <row r="294" spans="1:3" x14ac:dyDescent="0.25">
      <c r="A294" s="4" t="s">
        <v>41</v>
      </c>
      <c r="B294" s="1">
        <v>0.93147599999999997</v>
      </c>
      <c r="C294" s="1">
        <v>0.93533999999999995</v>
      </c>
    </row>
    <row r="295" spans="1:3" x14ac:dyDescent="0.25">
      <c r="A295" s="4" t="s">
        <v>168</v>
      </c>
      <c r="B295" s="1">
        <v>0.80745199999999995</v>
      </c>
      <c r="C295" s="1">
        <v>0.80398400000000003</v>
      </c>
    </row>
    <row r="296" spans="1:3" x14ac:dyDescent="0.25">
      <c r="A296" s="4" t="s">
        <v>43</v>
      </c>
      <c r="B296" s="1">
        <v>0.90426899999999999</v>
      </c>
      <c r="C296" s="1">
        <v>0.90110500000000004</v>
      </c>
    </row>
    <row r="297" spans="1:3" x14ac:dyDescent="0.25">
      <c r="A297" s="4" t="s">
        <v>44</v>
      </c>
      <c r="B297" s="1">
        <v>0.35200999999999999</v>
      </c>
      <c r="C297" s="1">
        <v>0.354738</v>
      </c>
    </row>
    <row r="298" spans="1:3" x14ac:dyDescent="0.25">
      <c r="A298" s="4" t="s">
        <v>45</v>
      </c>
      <c r="B298" s="1">
        <v>0.39247599999999999</v>
      </c>
      <c r="C298" s="1">
        <v>0.39583600000000002</v>
      </c>
    </row>
    <row r="299" spans="1:3" x14ac:dyDescent="0.25">
      <c r="A299" s="4" t="s">
        <v>46</v>
      </c>
      <c r="B299" s="1">
        <v>0.42665900000000001</v>
      </c>
      <c r="C299" s="1">
        <v>0.42278300000000002</v>
      </c>
    </row>
    <row r="300" spans="1:3" x14ac:dyDescent="0.25">
      <c r="A300" s="4" t="s">
        <v>47</v>
      </c>
      <c r="B300" s="1">
        <v>0.807975</v>
      </c>
      <c r="C300" s="1">
        <v>0.80529099999999998</v>
      </c>
    </row>
    <row r="301" spans="1:3" x14ac:dyDescent="0.25">
      <c r="A301" s="4" t="s">
        <v>48</v>
      </c>
      <c r="B301" s="1">
        <v>0.79716600000000004</v>
      </c>
      <c r="C301" s="1">
        <v>0.80053399999999997</v>
      </c>
    </row>
    <row r="302" spans="1:3" x14ac:dyDescent="0.25">
      <c r="A302" s="4" t="s">
        <v>49</v>
      </c>
      <c r="B302" s="1">
        <v>0.84440099999999996</v>
      </c>
      <c r="C302" s="1">
        <v>0.84294100000000005</v>
      </c>
    </row>
    <row r="303" spans="1:3" x14ac:dyDescent="0.25">
      <c r="A303" s="4" t="s">
        <v>50</v>
      </c>
      <c r="B303" s="1">
        <v>0.64752100000000001</v>
      </c>
      <c r="C303" s="1">
        <v>0.64468899999999996</v>
      </c>
    </row>
    <row r="304" spans="1:3" x14ac:dyDescent="0.25">
      <c r="A304" s="4" t="s">
        <v>51</v>
      </c>
      <c r="B304" s="1">
        <v>0.61894099999999996</v>
      </c>
      <c r="C304" s="1">
        <v>0.61649299999999996</v>
      </c>
    </row>
    <row r="305" spans="1:3" x14ac:dyDescent="0.25">
      <c r="A305" s="4" t="s">
        <v>52</v>
      </c>
      <c r="B305" s="1">
        <v>0.80732599999999999</v>
      </c>
      <c r="C305" s="1">
        <v>0.80408199999999996</v>
      </c>
    </row>
    <row r="306" spans="1:3" x14ac:dyDescent="0.25">
      <c r="A306" s="4" t="s">
        <v>53</v>
      </c>
      <c r="B306" s="1">
        <v>0.36659199999999997</v>
      </c>
      <c r="C306" s="1">
        <v>0.368896</v>
      </c>
    </row>
    <row r="307" spans="1:3" x14ac:dyDescent="0.25">
      <c r="A307" s="4" t="s">
        <v>54</v>
      </c>
      <c r="B307" s="1">
        <v>0.70056799999999997</v>
      </c>
      <c r="C307" s="1">
        <v>0.70311999999999997</v>
      </c>
    </row>
    <row r="308" spans="1:3" x14ac:dyDescent="0.25">
      <c r="A308" s="4" t="s">
        <v>55</v>
      </c>
      <c r="B308" s="1">
        <v>0.62152399999999997</v>
      </c>
      <c r="C308" s="1">
        <v>0.61756</v>
      </c>
    </row>
    <row r="309" spans="1:3" x14ac:dyDescent="0.25">
      <c r="A309" s="4" t="s">
        <v>56</v>
      </c>
      <c r="B309" s="1">
        <v>5.7780000000000001E-3</v>
      </c>
      <c r="C309" s="1">
        <v>1.7899999999999999E-3</v>
      </c>
    </row>
    <row r="310" spans="1:3" x14ac:dyDescent="0.25">
      <c r="A310" s="4" t="s">
        <v>57</v>
      </c>
      <c r="B310" s="1">
        <v>7.8621999999999997E-2</v>
      </c>
      <c r="C310" s="1">
        <v>7.6165999999999998E-2</v>
      </c>
    </row>
    <row r="311" spans="1:3" x14ac:dyDescent="0.25">
      <c r="A311" s="4" t="s">
        <v>58</v>
      </c>
      <c r="B311" s="1">
        <v>0.314112</v>
      </c>
      <c r="C311" s="1">
        <v>0.31717200000000001</v>
      </c>
    </row>
    <row r="312" spans="1:3" x14ac:dyDescent="0.25">
      <c r="A312" s="4" t="s">
        <v>59</v>
      </c>
      <c r="B312" s="1">
        <v>0.91732499999999995</v>
      </c>
      <c r="C312" s="1">
        <v>0.91552900000000004</v>
      </c>
    </row>
    <row r="313" spans="1:3" x14ac:dyDescent="0.25">
      <c r="A313" s="4" t="s">
        <v>60</v>
      </c>
      <c r="B313" s="1">
        <v>0.56916199999999995</v>
      </c>
      <c r="C313" s="1">
        <v>0.56642999999999999</v>
      </c>
    </row>
    <row r="314" spans="1:3" x14ac:dyDescent="0.25">
      <c r="A314" s="4" t="s">
        <v>61</v>
      </c>
      <c r="B314" s="1">
        <v>0.44656000000000001</v>
      </c>
      <c r="C314" s="1">
        <v>0.449212</v>
      </c>
    </row>
    <row r="315" spans="1:3" x14ac:dyDescent="0.25">
      <c r="A315" s="4" t="s">
        <v>62</v>
      </c>
      <c r="B315" s="1">
        <v>0.61977899999999997</v>
      </c>
      <c r="C315" s="1">
        <v>0.62161100000000002</v>
      </c>
    </row>
    <row r="316" spans="1:3" x14ac:dyDescent="0.25">
      <c r="A316" s="4" t="s">
        <v>63</v>
      </c>
      <c r="B316" s="1">
        <v>0.35734100000000002</v>
      </c>
      <c r="C316" s="1">
        <v>0.355101</v>
      </c>
    </row>
    <row r="317" spans="1:3" x14ac:dyDescent="0.25">
      <c r="A317" s="4" t="s">
        <v>64</v>
      </c>
      <c r="B317" s="1">
        <v>0.31358399999999997</v>
      </c>
      <c r="C317" s="1">
        <v>0.317444</v>
      </c>
    </row>
    <row r="318" spans="1:3" x14ac:dyDescent="0.25">
      <c r="A318" s="4" t="s">
        <v>65</v>
      </c>
      <c r="B318" s="1">
        <v>0.51582700000000004</v>
      </c>
      <c r="C318" s="1">
        <v>0.51399899999999998</v>
      </c>
    </row>
    <row r="319" spans="1:3" x14ac:dyDescent="0.25">
      <c r="A319" s="4" t="s">
        <v>66</v>
      </c>
      <c r="B319" s="1">
        <v>0.336086</v>
      </c>
      <c r="C319" s="1">
        <v>0.33219799999999999</v>
      </c>
    </row>
    <row r="320" spans="1:3" x14ac:dyDescent="0.25">
      <c r="A320" s="4" t="s">
        <v>67</v>
      </c>
      <c r="B320" s="1">
        <v>0.60153500000000004</v>
      </c>
      <c r="C320" s="1">
        <v>0.59848699999999999</v>
      </c>
    </row>
    <row r="321" spans="1:3" x14ac:dyDescent="0.25">
      <c r="A321" s="4" t="s">
        <v>68</v>
      </c>
      <c r="B321" s="1">
        <v>0.52852399999999999</v>
      </c>
      <c r="C321" s="1">
        <v>0.52494399999999997</v>
      </c>
    </row>
    <row r="322" spans="1:3" x14ac:dyDescent="0.25">
      <c r="A322" s="4" t="s">
        <v>69</v>
      </c>
      <c r="B322" s="1">
        <v>0.52150200000000002</v>
      </c>
      <c r="C322" s="1">
        <v>0.517926</v>
      </c>
    </row>
    <row r="323" spans="1:3" x14ac:dyDescent="0.25">
      <c r="A323" s="4" t="s">
        <v>70</v>
      </c>
      <c r="B323" s="1">
        <v>0.55355699999999997</v>
      </c>
      <c r="C323" s="1">
        <v>0.55564499999999994</v>
      </c>
    </row>
    <row r="324" spans="1:3" x14ac:dyDescent="0.25">
      <c r="A324" s="4" t="s">
        <v>71</v>
      </c>
      <c r="B324" s="1">
        <v>0.61365199999999998</v>
      </c>
      <c r="C324" s="1">
        <v>0.61106000000000005</v>
      </c>
    </row>
    <row r="325" spans="1:3" x14ac:dyDescent="0.25">
      <c r="A325" s="4" t="s">
        <v>72</v>
      </c>
      <c r="B325" s="1">
        <v>0.35344900000000001</v>
      </c>
      <c r="C325" s="1">
        <v>0.35718100000000003</v>
      </c>
    </row>
    <row r="326" spans="1:3" x14ac:dyDescent="0.25">
      <c r="A326" s="4" t="s">
        <v>73</v>
      </c>
      <c r="B326" s="1">
        <v>0.31540200000000002</v>
      </c>
      <c r="C326" s="1">
        <v>0.31398599999999999</v>
      </c>
    </row>
    <row r="327" spans="1:3" x14ac:dyDescent="0.25">
      <c r="A327" s="4" t="s">
        <v>74</v>
      </c>
      <c r="B327" s="1">
        <v>0.20558899999999999</v>
      </c>
      <c r="C327" s="1">
        <v>0.20712900000000001</v>
      </c>
    </row>
    <row r="328" spans="1:3" x14ac:dyDescent="0.25">
      <c r="A328" s="4" t="s">
        <v>75</v>
      </c>
      <c r="B328" s="1">
        <v>0.87064699999999995</v>
      </c>
      <c r="C328" s="1">
        <v>0.87361100000000003</v>
      </c>
    </row>
    <row r="329" spans="1:3" x14ac:dyDescent="0.25">
      <c r="A329" s="4" t="s">
        <v>76</v>
      </c>
      <c r="B329" s="1">
        <v>6.5492999999999996E-2</v>
      </c>
      <c r="C329" s="1">
        <v>6.8885000000000002E-2</v>
      </c>
    </row>
    <row r="330" spans="1:3" x14ac:dyDescent="0.25">
      <c r="A330" s="4" t="s">
        <v>77</v>
      </c>
      <c r="B330" s="1">
        <v>0.32361200000000001</v>
      </c>
      <c r="C330" s="1">
        <v>0.31988800000000001</v>
      </c>
    </row>
    <row r="331" spans="1:3" x14ac:dyDescent="0.25">
      <c r="A331" s="4" t="s">
        <v>78</v>
      </c>
      <c r="B331" s="1">
        <v>0.93040699999999998</v>
      </c>
      <c r="C331" s="1">
        <v>0.93328299999999997</v>
      </c>
    </row>
    <row r="332" spans="1:3" x14ac:dyDescent="0.25">
      <c r="A332" s="4" t="s">
        <v>79</v>
      </c>
      <c r="B332" s="1">
        <v>0.22035199999999999</v>
      </c>
      <c r="C332" s="1">
        <v>0.21679999999999999</v>
      </c>
    </row>
    <row r="333" spans="1:3" x14ac:dyDescent="0.25">
      <c r="A333" s="4" t="s">
        <v>80</v>
      </c>
      <c r="B333" s="1">
        <v>0.58458699999999997</v>
      </c>
      <c r="C333" s="1">
        <v>0.58833899999999995</v>
      </c>
    </row>
    <row r="334" spans="1:3" x14ac:dyDescent="0.25">
      <c r="A334" s="4" t="s">
        <v>81</v>
      </c>
      <c r="B334" s="1">
        <v>0.553678</v>
      </c>
      <c r="C334" s="1">
        <v>0.55054599999999998</v>
      </c>
    </row>
    <row r="335" spans="1:3" x14ac:dyDescent="0.25">
      <c r="A335" s="4" t="s">
        <v>82</v>
      </c>
      <c r="B335" s="1">
        <v>0.34303299999999998</v>
      </c>
      <c r="C335" s="1">
        <v>0.34460099999999999</v>
      </c>
    </row>
    <row r="336" spans="1:3" x14ac:dyDescent="0.25">
      <c r="A336" s="4" t="s">
        <v>83</v>
      </c>
      <c r="B336" s="1">
        <v>0.48969400000000002</v>
      </c>
      <c r="C336" s="1">
        <v>0.48625800000000002</v>
      </c>
    </row>
    <row r="337" spans="1:3" x14ac:dyDescent="0.25">
      <c r="A337" s="4" t="s">
        <v>84</v>
      </c>
      <c r="B337" s="1">
        <v>0.51541800000000004</v>
      </c>
      <c r="C337" s="1">
        <v>0.51847399999999999</v>
      </c>
    </row>
    <row r="338" spans="1:3" x14ac:dyDescent="0.25">
      <c r="A338" s="4" t="s">
        <v>85</v>
      </c>
      <c r="B338" s="1">
        <v>0.139958</v>
      </c>
      <c r="C338" s="1">
        <v>0.14291400000000001</v>
      </c>
    </row>
    <row r="339" spans="1:3" x14ac:dyDescent="0.25">
      <c r="A339" s="4" t="s">
        <v>169</v>
      </c>
      <c r="B339" s="1">
        <v>0.60565199999999997</v>
      </c>
      <c r="C339" s="1">
        <v>0.60829999999999995</v>
      </c>
    </row>
    <row r="340" spans="1:3" x14ac:dyDescent="0.25">
      <c r="A340" s="4" t="s">
        <v>87</v>
      </c>
      <c r="B340" s="1">
        <v>0.517347</v>
      </c>
      <c r="C340" s="1">
        <v>0.51533499999999999</v>
      </c>
    </row>
    <row r="341" spans="1:3" x14ac:dyDescent="0.25">
      <c r="A341" s="4" t="s">
        <v>88</v>
      </c>
      <c r="B341" s="1">
        <v>0.48257800000000001</v>
      </c>
      <c r="C341" s="1">
        <v>0.480354</v>
      </c>
    </row>
    <row r="342" spans="1:3" x14ac:dyDescent="0.25">
      <c r="A342" s="4" t="s">
        <v>89</v>
      </c>
      <c r="B342" s="1">
        <v>0.42967</v>
      </c>
      <c r="C342" s="1">
        <v>0.42654599999999998</v>
      </c>
    </row>
    <row r="343" spans="1:3" x14ac:dyDescent="0.25">
      <c r="A343" s="4" t="s">
        <v>90</v>
      </c>
      <c r="B343" s="1">
        <v>0.271982</v>
      </c>
      <c r="C343" s="1">
        <v>0.26878999999999997</v>
      </c>
    </row>
    <row r="344" spans="1:3" x14ac:dyDescent="0.25">
      <c r="A344" s="4" t="s">
        <v>91</v>
      </c>
      <c r="B344" s="1">
        <v>0.97138999999999998</v>
      </c>
      <c r="C344" s="1">
        <v>0.97505799999999998</v>
      </c>
    </row>
    <row r="345" spans="1:3" x14ac:dyDescent="0.25">
      <c r="A345" s="4" t="s">
        <v>92</v>
      </c>
      <c r="B345" s="1">
        <v>0.78457500000000002</v>
      </c>
      <c r="C345" s="1">
        <v>0.78705899999999995</v>
      </c>
    </row>
    <row r="346" spans="1:3" x14ac:dyDescent="0.25">
      <c r="A346" s="4" t="s">
        <v>93</v>
      </c>
      <c r="B346" s="1">
        <v>0.64764299999999997</v>
      </c>
      <c r="C346" s="1">
        <v>0.64919099999999996</v>
      </c>
    </row>
    <row r="347" spans="1:3" x14ac:dyDescent="0.25">
      <c r="A347" s="4" t="s">
        <v>94</v>
      </c>
      <c r="B347" s="1">
        <v>0.44351000000000002</v>
      </c>
      <c r="C347" s="1">
        <v>0.44622200000000001</v>
      </c>
    </row>
    <row r="348" spans="1:3" x14ac:dyDescent="0.25">
      <c r="A348" s="4" t="s">
        <v>95</v>
      </c>
      <c r="B348" s="1">
        <v>0.18242900000000001</v>
      </c>
      <c r="C348" s="1">
        <v>0.18092900000000001</v>
      </c>
    </row>
    <row r="349" spans="1:3" x14ac:dyDescent="0.25">
      <c r="A349" s="4" t="s">
        <v>96</v>
      </c>
      <c r="B349" s="1">
        <v>0.699542</v>
      </c>
      <c r="C349" s="1">
        <v>0.70160199999999995</v>
      </c>
    </row>
    <row r="350" spans="1:3" x14ac:dyDescent="0.25">
      <c r="A350" s="4" t="s">
        <v>97</v>
      </c>
      <c r="B350" s="1">
        <v>0.79618299999999997</v>
      </c>
      <c r="C350" s="1">
        <v>0.79799500000000001</v>
      </c>
    </row>
    <row r="351" spans="1:3" x14ac:dyDescent="0.25">
      <c r="A351" s="4" t="s">
        <v>98</v>
      </c>
      <c r="B351" s="1">
        <v>0.456841</v>
      </c>
      <c r="C351" s="1">
        <v>0.45322499999999999</v>
      </c>
    </row>
    <row r="352" spans="1:3" x14ac:dyDescent="0.25">
      <c r="A352" s="4" t="s">
        <v>99</v>
      </c>
      <c r="B352" s="1">
        <v>0.51575599999999999</v>
      </c>
      <c r="C352" s="1">
        <v>0.51722000000000001</v>
      </c>
    </row>
    <row r="353" spans="1:3" x14ac:dyDescent="0.25">
      <c r="A353" s="4" t="s">
        <v>100</v>
      </c>
      <c r="B353" s="1">
        <v>0.98372400000000004</v>
      </c>
      <c r="C353" s="1">
        <v>0.98587599999999997</v>
      </c>
    </row>
    <row r="354" spans="1:3" x14ac:dyDescent="0.25">
      <c r="A354" s="4" t="s">
        <v>101</v>
      </c>
      <c r="B354" s="1">
        <v>0.37134800000000001</v>
      </c>
      <c r="C354" s="1">
        <v>0.374724</v>
      </c>
    </row>
    <row r="355" spans="1:3" x14ac:dyDescent="0.25">
      <c r="A355" s="4" t="s">
        <v>102</v>
      </c>
      <c r="B355" s="1">
        <v>0.69207300000000005</v>
      </c>
      <c r="C355" s="1">
        <v>0.68920499999999996</v>
      </c>
    </row>
    <row r="356" spans="1:3" x14ac:dyDescent="0.25">
      <c r="A356" s="4" t="s">
        <v>103</v>
      </c>
      <c r="B356" s="1">
        <v>0.28323100000000001</v>
      </c>
      <c r="C356" s="1">
        <v>0.28487099999999999</v>
      </c>
    </row>
    <row r="357" spans="1:3" x14ac:dyDescent="0.25">
      <c r="A357" s="4" t="s">
        <v>104</v>
      </c>
      <c r="B357" s="1">
        <v>0.18839400000000001</v>
      </c>
      <c r="C357" s="1">
        <v>0.191078</v>
      </c>
    </row>
    <row r="358" spans="1:3" x14ac:dyDescent="0.25">
      <c r="A358" s="4" t="s">
        <v>105</v>
      </c>
      <c r="B358" s="1">
        <v>9.3122999999999997E-2</v>
      </c>
      <c r="C358" s="1">
        <v>9.0423000000000003E-2</v>
      </c>
    </row>
    <row r="359" spans="1:3" x14ac:dyDescent="0.25">
      <c r="A359" s="4" t="s">
        <v>106</v>
      </c>
      <c r="B359" s="1">
        <v>0.97974099999999997</v>
      </c>
      <c r="C359" s="1">
        <v>0.98368500000000003</v>
      </c>
    </row>
    <row r="360" spans="1:3" x14ac:dyDescent="0.25">
      <c r="A360" s="4" t="s">
        <v>107</v>
      </c>
      <c r="B360" s="1">
        <v>0.40933199999999997</v>
      </c>
      <c r="C360" s="1">
        <v>0.41129199999999999</v>
      </c>
    </row>
    <row r="361" spans="1:3" x14ac:dyDescent="0.25">
      <c r="A361" s="4" t="s">
        <v>108</v>
      </c>
      <c r="B361" s="1">
        <v>0.39525900000000003</v>
      </c>
      <c r="C361" s="1">
        <v>0.39127499999999998</v>
      </c>
    </row>
    <row r="362" spans="1:3" x14ac:dyDescent="0.25">
      <c r="A362" s="4" t="s">
        <v>109</v>
      </c>
      <c r="B362" s="1">
        <v>0.30027799999999999</v>
      </c>
      <c r="C362" s="1">
        <v>0.30407800000000001</v>
      </c>
    </row>
    <row r="363" spans="1:3" x14ac:dyDescent="0.25">
      <c r="A363" s="4" t="s">
        <v>110</v>
      </c>
      <c r="B363" s="1">
        <v>0.56430000000000002</v>
      </c>
      <c r="C363" s="1">
        <v>0.56179999999999997</v>
      </c>
    </row>
    <row r="364" spans="1:3" x14ac:dyDescent="0.25">
      <c r="A364" s="4" t="s">
        <v>429</v>
      </c>
      <c r="B364" s="1">
        <v>0.192581</v>
      </c>
      <c r="C364" s="1">
        <v>0.18934500000000001</v>
      </c>
    </row>
    <row r="365" spans="1:3" x14ac:dyDescent="0.25">
      <c r="A365" s="4" t="s">
        <v>111</v>
      </c>
      <c r="B365" s="1">
        <v>0.66062200000000004</v>
      </c>
      <c r="C365" s="1">
        <v>0.65834599999999999</v>
      </c>
    </row>
    <row r="366" spans="1:3" x14ac:dyDescent="0.25">
      <c r="A366" s="4" t="s">
        <v>112</v>
      </c>
      <c r="B366" s="1">
        <v>0.85606400000000005</v>
      </c>
      <c r="C366" s="1">
        <v>0.85216400000000003</v>
      </c>
    </row>
    <row r="367" spans="1:3" x14ac:dyDescent="0.25">
      <c r="A367" s="4" t="s">
        <v>113</v>
      </c>
      <c r="B367" s="1">
        <v>0.93603599999999998</v>
      </c>
      <c r="C367" s="1">
        <v>0.93963600000000003</v>
      </c>
    </row>
    <row r="368" spans="1:3" x14ac:dyDescent="0.25">
      <c r="A368" s="4" t="s">
        <v>114</v>
      </c>
      <c r="B368" s="1">
        <v>0.56009799999999998</v>
      </c>
      <c r="C368" s="1">
        <v>0.55808599999999997</v>
      </c>
    </row>
    <row r="369" spans="1:3" x14ac:dyDescent="0.25">
      <c r="A369" s="4" t="s">
        <v>115</v>
      </c>
      <c r="B369" s="1">
        <v>0.98607599999999995</v>
      </c>
      <c r="C369" s="1">
        <v>0.98280400000000001</v>
      </c>
    </row>
    <row r="370" spans="1:3" x14ac:dyDescent="0.25">
      <c r="A370" s="4" t="s">
        <v>116</v>
      </c>
      <c r="B370" s="1">
        <v>0.31276999999999999</v>
      </c>
      <c r="C370" s="1">
        <v>0.31504599999999999</v>
      </c>
    </row>
    <row r="371" spans="1:3" x14ac:dyDescent="0.25">
      <c r="A371" s="4" t="s">
        <v>75</v>
      </c>
      <c r="B371" s="1">
        <v>0.66879599999999995</v>
      </c>
      <c r="C371" s="1">
        <v>0.67200400000000005</v>
      </c>
    </row>
    <row r="372" spans="1:3" x14ac:dyDescent="0.25">
      <c r="A372" s="4" t="s">
        <v>117</v>
      </c>
      <c r="B372" s="1">
        <v>0.26135000000000003</v>
      </c>
      <c r="C372" s="1">
        <v>0.26341399999999998</v>
      </c>
    </row>
    <row r="373" spans="1:3" x14ac:dyDescent="0.25">
      <c r="A373" s="4" t="s">
        <v>118</v>
      </c>
      <c r="B373" s="1">
        <v>0.657829</v>
      </c>
      <c r="C373" s="1">
        <v>0.65565300000000004</v>
      </c>
    </row>
    <row r="374" spans="1:3" x14ac:dyDescent="0.25">
      <c r="A374" s="4" t="s">
        <v>119</v>
      </c>
      <c r="B374" s="1">
        <v>0.80451099999999998</v>
      </c>
      <c r="C374" s="1">
        <v>0.80257900000000004</v>
      </c>
    </row>
    <row r="375" spans="1:3" x14ac:dyDescent="0.25">
      <c r="A375" s="4" t="s">
        <v>120</v>
      </c>
      <c r="B375" s="1">
        <v>0.42249799999999998</v>
      </c>
      <c r="C375" s="1">
        <v>0.42418600000000001</v>
      </c>
    </row>
    <row r="376" spans="1:3" x14ac:dyDescent="0.25">
      <c r="A376" s="4" t="s">
        <v>121</v>
      </c>
      <c r="B376" s="1">
        <v>0.49659500000000001</v>
      </c>
      <c r="C376" s="1">
        <v>0.494703</v>
      </c>
    </row>
    <row r="377" spans="1:3" x14ac:dyDescent="0.25">
      <c r="A377" s="4" t="s">
        <v>122</v>
      </c>
      <c r="B377" s="1">
        <v>3.8954000000000003E-2</v>
      </c>
      <c r="C377" s="1">
        <v>4.0722000000000001E-2</v>
      </c>
    </row>
    <row r="378" spans="1:3" x14ac:dyDescent="0.25">
      <c r="A378" s="4" t="s">
        <v>123</v>
      </c>
      <c r="B378" s="1">
        <v>0.97869200000000001</v>
      </c>
      <c r="C378" s="1">
        <v>0.97506400000000004</v>
      </c>
    </row>
    <row r="379" spans="1:3" x14ac:dyDescent="0.25">
      <c r="A379" s="4" t="s">
        <v>124</v>
      </c>
      <c r="B379" s="1">
        <v>0.37814999999999999</v>
      </c>
      <c r="C379" s="1">
        <v>0.38008599999999998</v>
      </c>
    </row>
    <row r="380" spans="1:3" x14ac:dyDescent="0.25">
      <c r="A380" s="4" t="s">
        <v>125</v>
      </c>
      <c r="B380" s="1">
        <v>0.93394999999999995</v>
      </c>
      <c r="C380" s="1">
        <v>0.93237000000000003</v>
      </c>
    </row>
    <row r="381" spans="1:3" x14ac:dyDescent="0.25">
      <c r="A381" s="4" t="s">
        <v>87</v>
      </c>
      <c r="B381" s="1">
        <v>0.56462000000000001</v>
      </c>
      <c r="C381" s="1">
        <v>0.56223999999999996</v>
      </c>
    </row>
    <row r="382" spans="1:3" x14ac:dyDescent="0.25">
      <c r="A382" s="4" t="s">
        <v>126</v>
      </c>
      <c r="B382" s="1">
        <v>0.63802199999999998</v>
      </c>
      <c r="C382" s="1">
        <v>0.64200199999999996</v>
      </c>
    </row>
    <row r="383" spans="1:3" x14ac:dyDescent="0.25">
      <c r="A383" s="4" t="s">
        <v>127</v>
      </c>
      <c r="B383" s="1">
        <v>0.74746999999999997</v>
      </c>
      <c r="C383" s="1">
        <v>0.74487400000000004</v>
      </c>
    </row>
    <row r="384" spans="1:3" x14ac:dyDescent="0.25">
      <c r="A384" s="4" t="s">
        <v>128</v>
      </c>
      <c r="B384" s="1">
        <v>0.63809400000000005</v>
      </c>
      <c r="C384" s="1">
        <v>0.63576600000000005</v>
      </c>
    </row>
    <row r="385" spans="1:3" x14ac:dyDescent="0.25">
      <c r="A385" s="4" t="s">
        <v>129</v>
      </c>
      <c r="B385" s="1">
        <v>0.30509900000000001</v>
      </c>
      <c r="C385" s="1">
        <v>0.308195</v>
      </c>
    </row>
    <row r="386" spans="1:3" x14ac:dyDescent="0.25">
      <c r="A386" s="4" t="s">
        <v>130</v>
      </c>
      <c r="B386" s="1">
        <v>0.23073199999999999</v>
      </c>
      <c r="C386" s="1">
        <v>0.22701199999999999</v>
      </c>
    </row>
    <row r="387" spans="1:3" x14ac:dyDescent="0.25">
      <c r="A387" s="4" t="s">
        <v>131</v>
      </c>
      <c r="B387" s="1">
        <v>0.64960200000000001</v>
      </c>
      <c r="C387" s="1">
        <v>0.65140200000000004</v>
      </c>
    </row>
    <row r="388" spans="1:3" x14ac:dyDescent="0.25">
      <c r="A388" s="4" t="s">
        <v>132</v>
      </c>
      <c r="B388" s="1">
        <v>0.64908500000000002</v>
      </c>
      <c r="C388" s="1">
        <v>0.65082499999999999</v>
      </c>
    </row>
    <row r="389" spans="1:3" x14ac:dyDescent="0.25">
      <c r="A389" s="4" t="s">
        <v>170</v>
      </c>
      <c r="B389" s="1">
        <v>0.46080500000000002</v>
      </c>
      <c r="C389" s="1">
        <v>0.46401300000000001</v>
      </c>
    </row>
    <row r="390" spans="1:3" x14ac:dyDescent="0.25">
      <c r="A390" s="4" t="s">
        <v>134</v>
      </c>
      <c r="B390" s="1">
        <v>0.86431400000000003</v>
      </c>
      <c r="C390" s="1">
        <v>0.86280199999999996</v>
      </c>
    </row>
    <row r="391" spans="1:3" x14ac:dyDescent="0.25">
      <c r="A391" s="4" t="s">
        <v>135</v>
      </c>
      <c r="B391" s="1">
        <v>0.55270699999999995</v>
      </c>
      <c r="C391" s="1">
        <v>0.55523100000000003</v>
      </c>
    </row>
    <row r="392" spans="1:3" x14ac:dyDescent="0.25">
      <c r="A392" s="4" t="s">
        <v>136</v>
      </c>
      <c r="B392" s="1">
        <v>0.41161799999999998</v>
      </c>
      <c r="C392" s="1">
        <v>0.40927400000000003</v>
      </c>
    </row>
    <row r="393" spans="1:3" x14ac:dyDescent="0.25">
      <c r="A393" s="4" t="s">
        <v>137</v>
      </c>
      <c r="B393" s="1">
        <v>0.15091399999999999</v>
      </c>
      <c r="C393" s="1">
        <v>0.14927399999999999</v>
      </c>
    </row>
    <row r="394" spans="1:3" x14ac:dyDescent="0.25">
      <c r="A394" s="4" t="s">
        <v>138</v>
      </c>
      <c r="B394" s="1">
        <v>0.92752500000000004</v>
      </c>
      <c r="C394" s="1">
        <v>0.92424099999999998</v>
      </c>
    </row>
    <row r="395" spans="1:3" x14ac:dyDescent="0.25">
      <c r="A395" s="4" t="s">
        <v>139</v>
      </c>
      <c r="B395" s="1">
        <v>0.89180499999999996</v>
      </c>
      <c r="C395" s="1">
        <v>0.89452100000000001</v>
      </c>
    </row>
    <row r="396" spans="1:3" x14ac:dyDescent="0.25">
      <c r="A396" s="4" t="s">
        <v>140</v>
      </c>
      <c r="B396" s="1">
        <v>0.94930499999999995</v>
      </c>
      <c r="C396" s="1">
        <v>0.95100099999999999</v>
      </c>
    </row>
    <row r="397" spans="1:3" x14ac:dyDescent="0.25">
      <c r="A397" s="4" t="s">
        <v>141</v>
      </c>
      <c r="B397" s="1">
        <v>0.99470000000000003</v>
      </c>
      <c r="C397" s="1">
        <v>0.99698399999999998</v>
      </c>
    </row>
    <row r="398" spans="1:3" x14ac:dyDescent="0.25">
      <c r="A398" s="4" t="s">
        <v>142</v>
      </c>
      <c r="B398" s="1">
        <v>0.924736</v>
      </c>
      <c r="C398" s="1">
        <v>0.92187600000000003</v>
      </c>
    </row>
    <row r="399" spans="1:3" x14ac:dyDescent="0.25">
      <c r="A399" s="4" t="s">
        <v>143</v>
      </c>
      <c r="B399" s="1">
        <v>0.34360400000000002</v>
      </c>
      <c r="C399" s="1">
        <v>0.345912</v>
      </c>
    </row>
    <row r="400" spans="1:3" x14ac:dyDescent="0.25">
      <c r="A400" s="4" t="s">
        <v>144</v>
      </c>
      <c r="B400" s="1">
        <v>3.9156999999999997E-2</v>
      </c>
      <c r="C400" s="1">
        <v>4.1876999999999998E-2</v>
      </c>
    </row>
    <row r="401" spans="1:3" x14ac:dyDescent="0.25">
      <c r="A401" s="4" t="s">
        <v>145</v>
      </c>
      <c r="B401" s="1">
        <v>0.70873299999999995</v>
      </c>
      <c r="C401" s="1">
        <v>0.71220499999999998</v>
      </c>
    </row>
    <row r="402" spans="1:3" x14ac:dyDescent="0.25">
      <c r="A402" s="4" t="s">
        <v>146</v>
      </c>
      <c r="B402" s="1">
        <v>0.61743499999999996</v>
      </c>
      <c r="C402" s="1">
        <v>0.61920299999999995</v>
      </c>
    </row>
    <row r="403" spans="1:3" x14ac:dyDescent="0.25">
      <c r="A403" s="4" t="s">
        <v>147</v>
      </c>
      <c r="B403" s="1">
        <v>0.75391399999999997</v>
      </c>
      <c r="C403" s="1">
        <v>0.75674200000000003</v>
      </c>
    </row>
    <row r="404" spans="1:3" x14ac:dyDescent="0.25">
      <c r="A404" s="4" t="s">
        <v>148</v>
      </c>
      <c r="B404" s="1">
        <v>0.924647</v>
      </c>
      <c r="C404" s="1">
        <v>0.92724300000000004</v>
      </c>
    </row>
    <row r="405" spans="1:3" x14ac:dyDescent="0.25">
      <c r="A405" s="4" t="s">
        <v>149</v>
      </c>
      <c r="B405" s="1">
        <v>0.13003200000000001</v>
      </c>
      <c r="C405" s="1">
        <v>0.13252800000000001</v>
      </c>
    </row>
    <row r="406" spans="1:3" x14ac:dyDescent="0.25">
      <c r="A406" s="4" t="s">
        <v>150</v>
      </c>
      <c r="B406" s="1">
        <v>0.52590599999999998</v>
      </c>
      <c r="C406" s="1">
        <v>0.52823399999999998</v>
      </c>
    </row>
    <row r="407" spans="1:3" x14ac:dyDescent="0.25">
      <c r="A407" s="4" t="s">
        <v>171</v>
      </c>
      <c r="B407" s="1">
        <v>0.60342499999999999</v>
      </c>
      <c r="C407" s="1">
        <v>0.605105</v>
      </c>
    </row>
    <row r="408" spans="1:3" x14ac:dyDescent="0.25">
      <c r="A408" s="4" t="s">
        <v>152</v>
      </c>
      <c r="B408" s="1">
        <v>1.2241E-2</v>
      </c>
      <c r="C408" s="1">
        <v>1.6216999999999999E-2</v>
      </c>
    </row>
    <row r="409" spans="1:3" x14ac:dyDescent="0.25">
      <c r="A409" s="4" t="s">
        <v>153</v>
      </c>
      <c r="B409" s="1">
        <v>0.13258500000000001</v>
      </c>
      <c r="C409" s="1">
        <v>0.13410900000000001</v>
      </c>
    </row>
    <row r="410" spans="1:3" x14ac:dyDescent="0.25">
      <c r="A410" s="4" t="s">
        <v>154</v>
      </c>
      <c r="B410" s="1">
        <v>0.44955299999999998</v>
      </c>
      <c r="C410" s="1">
        <v>0.447237</v>
      </c>
    </row>
    <row r="411" spans="1:3" x14ac:dyDescent="0.25">
      <c r="A411" s="4" t="s">
        <v>155</v>
      </c>
      <c r="B411" s="1">
        <v>0.113997</v>
      </c>
      <c r="C411" s="1">
        <v>0.117621</v>
      </c>
    </row>
    <row r="412" spans="1:3" x14ac:dyDescent="0.25">
      <c r="A412" s="4" t="s">
        <v>156</v>
      </c>
      <c r="B412" s="1">
        <v>0.77753799999999995</v>
      </c>
      <c r="C412" s="1">
        <v>0.774814</v>
      </c>
    </row>
    <row r="413" spans="1:3" x14ac:dyDescent="0.25">
      <c r="A413" s="4" t="s">
        <v>157</v>
      </c>
      <c r="B413" s="1">
        <v>0.82582299999999997</v>
      </c>
      <c r="C413" s="1">
        <v>0.82754700000000003</v>
      </c>
    </row>
    <row r="414" spans="1:3" x14ac:dyDescent="0.25">
      <c r="A414" s="4" t="s">
        <v>158</v>
      </c>
      <c r="B414" s="1">
        <v>0.20841899999999999</v>
      </c>
      <c r="C414" s="1">
        <v>0.212231</v>
      </c>
    </row>
    <row r="415" spans="1:3" x14ac:dyDescent="0.25">
      <c r="A415" s="4" t="s">
        <v>159</v>
      </c>
      <c r="B415" s="1">
        <v>0.39568500000000001</v>
      </c>
      <c r="C415" s="1">
        <v>0.39231700000000003</v>
      </c>
    </row>
    <row r="416" spans="1:3" x14ac:dyDescent="0.25">
      <c r="A416" s="4" t="s">
        <v>160</v>
      </c>
      <c r="B416" s="1">
        <v>1.9332999999999999E-2</v>
      </c>
      <c r="C416" s="1">
        <v>1.6733000000000001E-2</v>
      </c>
    </row>
    <row r="417" spans="1:3" x14ac:dyDescent="0.25">
      <c r="A417" s="4" t="s">
        <v>161</v>
      </c>
      <c r="B417" s="1">
        <v>0.37874799999999997</v>
      </c>
      <c r="C417" s="1">
        <v>0.382492</v>
      </c>
    </row>
    <row r="418" spans="1:3" x14ac:dyDescent="0.25">
      <c r="A418" s="4" t="s">
        <v>162</v>
      </c>
      <c r="B418" s="1">
        <v>0.72762800000000005</v>
      </c>
      <c r="C418" s="1">
        <v>0.73021999999999998</v>
      </c>
    </row>
    <row r="419" spans="1:3" x14ac:dyDescent="0.25">
      <c r="A419" s="4" t="s">
        <v>163</v>
      </c>
      <c r="B419" s="1">
        <v>0.69269999999999998</v>
      </c>
      <c r="C419" s="1">
        <v>0.69043600000000005</v>
      </c>
    </row>
    <row r="420" spans="1:3" x14ac:dyDescent="0.25">
      <c r="A420" s="4" t="s">
        <v>172</v>
      </c>
      <c r="B420" s="1">
        <v>0.90573400000000004</v>
      </c>
      <c r="C420" s="1">
        <v>0.90789799999999998</v>
      </c>
    </row>
    <row r="421" spans="1:3" x14ac:dyDescent="0.25">
      <c r="A421" s="4" t="s">
        <v>16</v>
      </c>
      <c r="B421" s="1">
        <v>0.376137</v>
      </c>
      <c r="C421" s="1">
        <v>0.37329699999999999</v>
      </c>
    </row>
    <row r="422" spans="1:3" x14ac:dyDescent="0.25">
      <c r="A422" s="4" t="s">
        <v>64</v>
      </c>
      <c r="B422" s="1">
        <v>0.352136</v>
      </c>
      <c r="C422" s="1">
        <v>0.35384399999999999</v>
      </c>
    </row>
    <row r="423" spans="1:3" x14ac:dyDescent="0.25">
      <c r="A423" s="4" t="s">
        <v>155</v>
      </c>
      <c r="B423" s="1">
        <v>0.247169</v>
      </c>
      <c r="C423" s="1">
        <v>0.24446100000000001</v>
      </c>
    </row>
    <row r="424" spans="1:3" x14ac:dyDescent="0.25">
      <c r="A424" s="4" t="s">
        <v>74</v>
      </c>
      <c r="B424" s="1">
        <v>0.64918399999999998</v>
      </c>
      <c r="C424" s="1">
        <v>0.64702800000000005</v>
      </c>
    </row>
    <row r="425" spans="1:3" x14ac:dyDescent="0.25">
      <c r="A425" s="4" t="s">
        <v>21</v>
      </c>
      <c r="B425" s="1">
        <v>0.36847200000000002</v>
      </c>
      <c r="C425" s="1">
        <v>0.364732</v>
      </c>
    </row>
    <row r="426" spans="1:3" x14ac:dyDescent="0.25">
      <c r="A426" s="4" t="s">
        <v>27</v>
      </c>
      <c r="B426" s="1">
        <v>0.15427399999999999</v>
      </c>
      <c r="C426" s="1">
        <v>0.151698</v>
      </c>
    </row>
    <row r="427" spans="1:3" x14ac:dyDescent="0.25">
      <c r="A427" s="4" t="s">
        <v>83</v>
      </c>
      <c r="B427" s="1">
        <v>0.67313500000000004</v>
      </c>
      <c r="C427" s="1">
        <v>0.67577900000000002</v>
      </c>
    </row>
    <row r="428" spans="1:3" x14ac:dyDescent="0.25">
      <c r="A428" s="4" t="s">
        <v>60</v>
      </c>
      <c r="B428" s="1">
        <v>0.97160000000000002</v>
      </c>
      <c r="C428" s="1">
        <v>0.96899999999999997</v>
      </c>
    </row>
    <row r="429" spans="1:3" x14ac:dyDescent="0.25">
      <c r="A429" s="4" t="s">
        <v>12</v>
      </c>
      <c r="B429" s="1">
        <v>0.33185700000000001</v>
      </c>
      <c r="C429" s="1">
        <v>0.33362900000000001</v>
      </c>
    </row>
    <row r="430" spans="1:3" x14ac:dyDescent="0.25">
      <c r="A430" s="4" t="s">
        <v>49</v>
      </c>
      <c r="B430" s="1">
        <v>0.94723900000000005</v>
      </c>
      <c r="C430" s="1">
        <v>0.94938299999999998</v>
      </c>
    </row>
    <row r="431" spans="1:3" x14ac:dyDescent="0.25">
      <c r="A431" s="4" t="s">
        <v>47</v>
      </c>
      <c r="B431" s="1">
        <v>6.2723000000000001E-2</v>
      </c>
      <c r="C431" s="1">
        <v>6.6118999999999997E-2</v>
      </c>
    </row>
    <row r="432" spans="1:3" x14ac:dyDescent="0.25">
      <c r="A432" s="4" t="s">
        <v>41</v>
      </c>
      <c r="B432" s="1">
        <v>0.78174299999999997</v>
      </c>
      <c r="C432" s="1">
        <v>0.78416300000000005</v>
      </c>
    </row>
    <row r="433" spans="1:3" x14ac:dyDescent="0.25">
      <c r="A433" s="4" t="s">
        <v>117</v>
      </c>
      <c r="B433" s="1">
        <v>0.17993500000000001</v>
      </c>
      <c r="C433" s="1">
        <v>0.17603099999999999</v>
      </c>
    </row>
    <row r="434" spans="1:3" x14ac:dyDescent="0.25">
      <c r="A434" s="4" t="s">
        <v>162</v>
      </c>
      <c r="B434" s="1">
        <v>0.29753600000000002</v>
      </c>
      <c r="C434" s="1">
        <v>0.30076399999999998</v>
      </c>
    </row>
    <row r="435" spans="1:3" x14ac:dyDescent="0.25">
      <c r="A435" s="4" t="s">
        <v>5</v>
      </c>
      <c r="B435" s="1">
        <v>0.98460700000000001</v>
      </c>
      <c r="C435" s="1">
        <v>0.98188699999999995</v>
      </c>
    </row>
    <row r="436" spans="1:3" x14ac:dyDescent="0.25">
      <c r="A436" s="4" t="s">
        <v>109</v>
      </c>
      <c r="B436" s="1">
        <v>0.78365300000000004</v>
      </c>
      <c r="C436" s="1">
        <v>0.78609700000000005</v>
      </c>
    </row>
    <row r="437" spans="1:3" x14ac:dyDescent="0.25">
      <c r="A437" s="4" t="s">
        <v>75</v>
      </c>
      <c r="B437" s="1">
        <v>0.169961</v>
      </c>
      <c r="C437" s="1">
        <v>0.17214099999999999</v>
      </c>
    </row>
    <row r="438" spans="1:3" x14ac:dyDescent="0.25">
      <c r="A438" s="4" t="s">
        <v>75</v>
      </c>
      <c r="B438" s="1">
        <v>0.400312</v>
      </c>
      <c r="C438" s="1">
        <v>0.40276000000000001</v>
      </c>
    </row>
    <row r="439" spans="1:3" x14ac:dyDescent="0.25">
      <c r="A439" s="4" t="s">
        <v>68</v>
      </c>
      <c r="B439" s="1">
        <v>0.25546200000000002</v>
      </c>
      <c r="C439" s="1">
        <v>0.25842199999999999</v>
      </c>
    </row>
    <row r="440" spans="1:3" x14ac:dyDescent="0.25">
      <c r="A440" s="4" t="s">
        <v>72</v>
      </c>
      <c r="B440" s="1">
        <v>0.33413399999999999</v>
      </c>
      <c r="C440" s="1">
        <v>0.33112599999999998</v>
      </c>
    </row>
    <row r="441" spans="1:3" x14ac:dyDescent="0.25">
      <c r="A441" s="4" t="s">
        <v>3</v>
      </c>
      <c r="B441" s="1">
        <v>0.83289800000000003</v>
      </c>
      <c r="C441" s="1">
        <v>0.82982199999999995</v>
      </c>
    </row>
    <row r="442" spans="1:3" x14ac:dyDescent="0.25">
      <c r="A442" s="4" t="s">
        <v>107</v>
      </c>
      <c r="B442" s="1">
        <v>0.27387699999999998</v>
      </c>
      <c r="C442" s="1">
        <v>0.271065</v>
      </c>
    </row>
    <row r="443" spans="1:3" x14ac:dyDescent="0.25">
      <c r="A443" s="4" t="s">
        <v>16</v>
      </c>
      <c r="B443" s="1">
        <v>0.82084800000000002</v>
      </c>
      <c r="C443" s="1">
        <v>0.81814399999999998</v>
      </c>
    </row>
    <row r="444" spans="1:3" x14ac:dyDescent="0.25">
      <c r="A444" s="4" t="s">
        <v>64</v>
      </c>
      <c r="B444" s="1">
        <v>0.43862400000000001</v>
      </c>
      <c r="C444" s="1">
        <v>0.43687599999999999</v>
      </c>
    </row>
    <row r="445" spans="1:3" x14ac:dyDescent="0.25">
      <c r="A445" s="4" t="s">
        <v>155</v>
      </c>
      <c r="B445" s="1">
        <v>0.93974999999999997</v>
      </c>
      <c r="C445" s="1">
        <v>0.94196199999999997</v>
      </c>
    </row>
    <row r="446" spans="1:3" x14ac:dyDescent="0.25">
      <c r="A446" s="4" t="s">
        <v>74</v>
      </c>
      <c r="B446" s="1">
        <v>0.27588800000000002</v>
      </c>
      <c r="C446" s="1">
        <v>0.27738800000000002</v>
      </c>
    </row>
    <row r="447" spans="1:3" x14ac:dyDescent="0.25">
      <c r="A447" s="4" t="s">
        <v>21</v>
      </c>
      <c r="B447" s="1">
        <v>0.72038999999999997</v>
      </c>
      <c r="C447" s="1">
        <v>0.722634</v>
      </c>
    </row>
    <row r="448" spans="1:3" x14ac:dyDescent="0.25">
      <c r="A448" s="4" t="s">
        <v>27</v>
      </c>
      <c r="B448" s="1">
        <v>0.19815199999999999</v>
      </c>
      <c r="C448" s="1">
        <v>0.20089599999999999</v>
      </c>
    </row>
    <row r="449" spans="1:3" x14ac:dyDescent="0.25">
      <c r="A449" s="4" t="s">
        <v>83</v>
      </c>
      <c r="B449" s="1">
        <v>0.72719900000000004</v>
      </c>
      <c r="C449" s="1">
        <v>0.72877099999999995</v>
      </c>
    </row>
    <row r="450" spans="1:3" x14ac:dyDescent="0.25">
      <c r="A450" s="4" t="s">
        <v>60</v>
      </c>
      <c r="B450" s="1">
        <v>0.71798300000000004</v>
      </c>
      <c r="C450" s="1">
        <v>0.71585500000000002</v>
      </c>
    </row>
    <row r="451" spans="1:3" x14ac:dyDescent="0.25">
      <c r="A451" s="4" t="s">
        <v>12</v>
      </c>
      <c r="B451" s="1">
        <v>0.74244399999999999</v>
      </c>
      <c r="C451" s="1">
        <v>0.73979200000000001</v>
      </c>
    </row>
    <row r="452" spans="1:3" x14ac:dyDescent="0.25">
      <c r="A452" s="4" t="s">
        <v>49</v>
      </c>
      <c r="B452" s="1">
        <v>0.16655700000000001</v>
      </c>
      <c r="C452" s="1">
        <v>0.168625</v>
      </c>
    </row>
    <row r="453" spans="1:3" x14ac:dyDescent="0.25">
      <c r="A453" s="4" t="s">
        <v>47</v>
      </c>
      <c r="B453" s="1">
        <v>0.138625</v>
      </c>
      <c r="C453" s="1">
        <v>0.14114499999999999</v>
      </c>
    </row>
    <row r="454" spans="1:3" x14ac:dyDescent="0.25">
      <c r="A454" s="4" t="s">
        <v>41</v>
      </c>
      <c r="B454" s="1">
        <v>0.79450500000000002</v>
      </c>
      <c r="C454" s="1">
        <v>0.79184500000000002</v>
      </c>
    </row>
    <row r="455" spans="1:3" x14ac:dyDescent="0.25">
      <c r="A455" s="4" t="s">
        <v>117</v>
      </c>
      <c r="B455" s="1">
        <v>0.97350800000000004</v>
      </c>
      <c r="C455" s="1">
        <v>0.97145199999999998</v>
      </c>
    </row>
    <row r="456" spans="1:3" x14ac:dyDescent="0.25">
      <c r="A456" s="4" t="s">
        <v>162</v>
      </c>
      <c r="B456" s="1">
        <v>0.43030000000000002</v>
      </c>
      <c r="C456" s="1">
        <v>0.432728</v>
      </c>
    </row>
    <row r="457" spans="1:3" x14ac:dyDescent="0.25">
      <c r="A457" s="4" t="s">
        <v>5</v>
      </c>
      <c r="B457" s="1">
        <v>0.42173100000000002</v>
      </c>
      <c r="C457" s="1">
        <v>0.42501100000000003</v>
      </c>
    </row>
    <row r="458" spans="1:3" x14ac:dyDescent="0.25">
      <c r="A458" s="4" t="s">
        <v>109</v>
      </c>
      <c r="B458" s="1">
        <v>0.61124299999999998</v>
      </c>
      <c r="C458" s="1">
        <v>0.61519100000000004</v>
      </c>
    </row>
    <row r="459" spans="1:3" x14ac:dyDescent="0.25">
      <c r="A459" s="4" t="s">
        <v>75</v>
      </c>
      <c r="B459" s="1">
        <v>0.48200599999999999</v>
      </c>
      <c r="C459" s="1">
        <v>0.485122</v>
      </c>
    </row>
    <row r="460" spans="1:3" x14ac:dyDescent="0.25">
      <c r="A460" s="4" t="s">
        <v>75</v>
      </c>
      <c r="B460" s="1">
        <v>0.75184499999999999</v>
      </c>
      <c r="C460" s="1">
        <v>0.75461699999999998</v>
      </c>
    </row>
    <row r="461" spans="1:3" x14ac:dyDescent="0.25">
      <c r="A461" s="4" t="s">
        <v>68</v>
      </c>
      <c r="B461" s="1">
        <v>0.98681600000000003</v>
      </c>
      <c r="C461" s="1">
        <v>0.98857600000000001</v>
      </c>
    </row>
    <row r="462" spans="1:3" x14ac:dyDescent="0.25">
      <c r="A462" s="4" t="s">
        <v>72</v>
      </c>
      <c r="B462" s="1">
        <v>0.22588900000000001</v>
      </c>
      <c r="C462" s="1">
        <v>0.224385</v>
      </c>
    </row>
    <row r="463" spans="1:3" x14ac:dyDescent="0.25">
      <c r="A463" s="4" t="s">
        <v>3</v>
      </c>
      <c r="B463" s="1">
        <v>9.0769000000000002E-2</v>
      </c>
      <c r="C463" s="1">
        <v>9.3213000000000004E-2</v>
      </c>
    </row>
    <row r="464" spans="1:3" x14ac:dyDescent="0.25">
      <c r="A464" s="4" t="s">
        <v>47</v>
      </c>
      <c r="B464" s="1">
        <v>0.76115200000000005</v>
      </c>
      <c r="C464" s="1">
        <v>0.75938799999999995</v>
      </c>
    </row>
    <row r="465" spans="1:3" x14ac:dyDescent="0.25">
      <c r="A465" s="4" t="s">
        <v>41</v>
      </c>
      <c r="B465" s="1">
        <v>0.61574300000000004</v>
      </c>
      <c r="C465" s="1">
        <v>0.61297900000000005</v>
      </c>
    </row>
    <row r="466" spans="1:3" x14ac:dyDescent="0.25">
      <c r="A466" s="4" t="s">
        <v>117</v>
      </c>
      <c r="B466" s="1">
        <v>0.67266300000000001</v>
      </c>
      <c r="C466" s="1">
        <v>0.676651</v>
      </c>
    </row>
    <row r="467" spans="1:3" x14ac:dyDescent="0.25">
      <c r="A467" s="4" t="s">
        <v>173</v>
      </c>
      <c r="B467" s="1">
        <v>0.45782299999999998</v>
      </c>
      <c r="C467" s="1">
        <v>0.45575500000000002</v>
      </c>
    </row>
    <row r="468" spans="1:3" x14ac:dyDescent="0.25">
      <c r="A468" s="4" t="s">
        <v>5</v>
      </c>
      <c r="B468" s="1">
        <v>0.85437099999999999</v>
      </c>
      <c r="C468" s="1">
        <v>0.85165500000000005</v>
      </c>
    </row>
    <row r="469" spans="1:3" x14ac:dyDescent="0.25">
      <c r="A469" s="4" t="s">
        <v>109</v>
      </c>
      <c r="B469" s="1">
        <v>0.59859799999999996</v>
      </c>
      <c r="C469" s="1">
        <v>0.59520600000000001</v>
      </c>
    </row>
    <row r="470" spans="1:3" x14ac:dyDescent="0.25">
      <c r="A470" s="4" t="s">
        <v>47</v>
      </c>
      <c r="B470" s="1">
        <v>0.39534399999999997</v>
      </c>
      <c r="C470" s="1">
        <v>0.39347199999999999</v>
      </c>
    </row>
    <row r="471" spans="1:3" x14ac:dyDescent="0.25">
      <c r="A471" s="4" t="s">
        <v>41</v>
      </c>
      <c r="B471" s="1">
        <v>0.811751</v>
      </c>
      <c r="C471" s="1">
        <v>0.81549499999999997</v>
      </c>
    </row>
    <row r="472" spans="1:3" x14ac:dyDescent="0.25">
      <c r="A472" s="4" t="s">
        <v>117</v>
      </c>
      <c r="B472" s="1">
        <v>0.57271000000000005</v>
      </c>
      <c r="C472" s="1">
        <v>0.57501000000000002</v>
      </c>
    </row>
    <row r="473" spans="1:3" x14ac:dyDescent="0.25">
      <c r="A473" s="4" t="s">
        <v>162</v>
      </c>
      <c r="B473" s="1">
        <v>0.81777500000000003</v>
      </c>
      <c r="C473" s="1">
        <v>0.81406699999999999</v>
      </c>
    </row>
    <row r="474" spans="1:3" x14ac:dyDescent="0.25">
      <c r="A474" s="4" t="s">
        <v>5</v>
      </c>
      <c r="B474" s="1">
        <v>0.72962700000000003</v>
      </c>
      <c r="C474" s="1">
        <v>0.72729500000000002</v>
      </c>
    </row>
    <row r="475" spans="1:3" x14ac:dyDescent="0.25">
      <c r="A475" s="4" t="s">
        <v>109</v>
      </c>
      <c r="B475" s="1">
        <v>0.20138</v>
      </c>
      <c r="C475" s="1">
        <v>0.197932</v>
      </c>
    </row>
    <row r="476" spans="1:3" x14ac:dyDescent="0.25">
      <c r="A476" s="4" t="s">
        <v>47</v>
      </c>
      <c r="B476" s="1">
        <v>0.30973099999999998</v>
      </c>
      <c r="C476" s="1">
        <v>0.31371900000000003</v>
      </c>
    </row>
    <row r="477" spans="1:3" x14ac:dyDescent="0.25">
      <c r="A477" s="4" t="s">
        <v>41</v>
      </c>
      <c r="B477" s="1">
        <v>0.90852699999999997</v>
      </c>
      <c r="C477" s="1">
        <v>0.90690300000000001</v>
      </c>
    </row>
    <row r="478" spans="1:3" x14ac:dyDescent="0.25">
      <c r="A478" s="4" t="s">
        <v>117</v>
      </c>
      <c r="B478" s="1">
        <v>3.3759999999999998E-2</v>
      </c>
      <c r="C478" s="1">
        <v>3.5316E-2</v>
      </c>
    </row>
    <row r="479" spans="1:3" x14ac:dyDescent="0.25">
      <c r="A479" s="4" t="s">
        <v>162</v>
      </c>
      <c r="B479" s="1">
        <v>0.97303899999999999</v>
      </c>
      <c r="C479" s="1">
        <v>0.97464700000000004</v>
      </c>
    </row>
    <row r="480" spans="1:3" x14ac:dyDescent="0.25">
      <c r="A480" s="4" t="s">
        <v>5</v>
      </c>
      <c r="B480" s="1">
        <v>0.14322299999999999</v>
      </c>
      <c r="C480" s="1">
        <v>0.14696300000000001</v>
      </c>
    </row>
    <row r="481" spans="1:3" x14ac:dyDescent="0.25">
      <c r="A481" s="4" t="s">
        <v>109</v>
      </c>
      <c r="B481" s="1">
        <v>0.87870300000000001</v>
      </c>
      <c r="C481" s="1">
        <v>0.87566699999999997</v>
      </c>
    </row>
    <row r="482" spans="1:3" x14ac:dyDescent="0.25">
      <c r="A482" s="4" t="s">
        <v>47</v>
      </c>
      <c r="B482" s="1">
        <v>0.78562500000000002</v>
      </c>
      <c r="C482" s="1">
        <v>0.78268499999999996</v>
      </c>
    </row>
    <row r="483" spans="1:3" x14ac:dyDescent="0.25">
      <c r="A483" s="4" t="s">
        <v>41</v>
      </c>
      <c r="B483" s="1">
        <v>0.86237600000000003</v>
      </c>
      <c r="C483" s="1">
        <v>0.86603200000000002</v>
      </c>
    </row>
    <row r="484" spans="1:3" x14ac:dyDescent="0.25">
      <c r="A484" s="4" t="s">
        <v>117</v>
      </c>
      <c r="B484" s="1">
        <v>0.95934200000000003</v>
      </c>
      <c r="C484" s="1">
        <v>0.95758200000000004</v>
      </c>
    </row>
    <row r="485" spans="1:3" x14ac:dyDescent="0.25">
      <c r="A485" s="4" t="s">
        <v>162</v>
      </c>
      <c r="B485" s="1">
        <v>0.74316700000000002</v>
      </c>
      <c r="C485" s="1">
        <v>0.74651500000000004</v>
      </c>
    </row>
    <row r="486" spans="1:3" x14ac:dyDescent="0.25">
      <c r="A486" s="4" t="s">
        <v>5</v>
      </c>
      <c r="B486" s="1">
        <v>0.74470000000000003</v>
      </c>
      <c r="C486" s="1">
        <v>0.74815600000000004</v>
      </c>
    </row>
    <row r="487" spans="1:3" x14ac:dyDescent="0.25">
      <c r="A487" s="4" t="s">
        <v>109</v>
      </c>
      <c r="B487" s="1">
        <v>0.74424900000000005</v>
      </c>
      <c r="C487" s="1">
        <v>0.74671699999999996</v>
      </c>
    </row>
    <row r="488" spans="1:3" x14ac:dyDescent="0.25">
      <c r="A488" s="4" t="s">
        <v>162</v>
      </c>
      <c r="B488" s="1">
        <v>0.245144</v>
      </c>
      <c r="C488" s="1">
        <v>0.242704</v>
      </c>
    </row>
    <row r="489" spans="1:3" x14ac:dyDescent="0.25">
      <c r="A489" s="4" t="s">
        <v>5</v>
      </c>
      <c r="B489" s="1">
        <v>0.95478200000000002</v>
      </c>
      <c r="C489" s="1">
        <v>0.95157000000000003</v>
      </c>
    </row>
    <row r="490" spans="1:3" x14ac:dyDescent="0.25">
      <c r="A490" s="4" t="s">
        <v>109</v>
      </c>
      <c r="B490" s="1">
        <v>0.19941800000000001</v>
      </c>
      <c r="C490" s="1">
        <v>0.20191799999999999</v>
      </c>
    </row>
    <row r="491" spans="1:3" x14ac:dyDescent="0.25">
      <c r="A491" s="4" t="s">
        <v>162</v>
      </c>
      <c r="B491" s="1">
        <v>0.44693699999999997</v>
      </c>
      <c r="C491" s="1">
        <v>0.44320900000000002</v>
      </c>
    </row>
    <row r="492" spans="1:3" x14ac:dyDescent="0.25">
      <c r="A492" s="4" t="s">
        <v>5</v>
      </c>
      <c r="B492" s="1">
        <v>0.13649500000000001</v>
      </c>
      <c r="C492" s="1">
        <v>0.139319</v>
      </c>
    </row>
    <row r="493" spans="1:3" x14ac:dyDescent="0.25">
      <c r="A493" s="4" t="s">
        <v>109</v>
      </c>
      <c r="B493" s="1">
        <v>0.86325399999999997</v>
      </c>
      <c r="C493" s="1">
        <v>0.86702199999999996</v>
      </c>
    </row>
    <row r="494" spans="1:3" x14ac:dyDescent="0.25">
      <c r="A494" s="4" t="s">
        <v>162</v>
      </c>
      <c r="B494" s="1">
        <v>2.3812E-2</v>
      </c>
      <c r="C494" s="1">
        <v>2.0455999999999998E-2</v>
      </c>
    </row>
    <row r="495" spans="1:3" x14ac:dyDescent="0.25">
      <c r="A495" s="4" t="s">
        <v>5</v>
      </c>
      <c r="B495" s="1">
        <v>0.13581199999999999</v>
      </c>
      <c r="C495" s="1">
        <v>0.13939199999999999</v>
      </c>
    </row>
    <row r="496" spans="1:3" x14ac:dyDescent="0.25">
      <c r="A496" s="4" t="s">
        <v>109</v>
      </c>
      <c r="B496" s="1">
        <v>0.60236199999999995</v>
      </c>
      <c r="C496" s="1">
        <v>0.60606199999999999</v>
      </c>
    </row>
    <row r="497" spans="1:3" x14ac:dyDescent="0.25">
      <c r="A497" s="4" t="s">
        <v>87</v>
      </c>
      <c r="B497" s="1">
        <v>0.74911300000000003</v>
      </c>
      <c r="C497" s="1">
        <v>0.745757</v>
      </c>
    </row>
    <row r="498" spans="1:3" x14ac:dyDescent="0.25">
      <c r="A498" s="4" t="s">
        <v>87</v>
      </c>
      <c r="B498" s="1">
        <v>0.32229000000000002</v>
      </c>
      <c r="C498" s="1">
        <v>0.31961000000000001</v>
      </c>
    </row>
    <row r="499" spans="1:3" x14ac:dyDescent="0.25">
      <c r="A499" s="4" t="s">
        <v>87</v>
      </c>
      <c r="B499" s="1">
        <v>0.25899800000000001</v>
      </c>
      <c r="C499" s="1">
        <v>0.26230599999999998</v>
      </c>
    </row>
    <row r="500" spans="1:3" x14ac:dyDescent="0.25">
      <c r="A500" s="4" t="s">
        <v>87</v>
      </c>
      <c r="B500" s="1">
        <v>0.16008700000000001</v>
      </c>
      <c r="C500" s="1">
        <v>0.15717100000000001</v>
      </c>
    </row>
    <row r="501" spans="1:3" x14ac:dyDescent="0.25">
      <c r="A501" s="4" t="s">
        <v>56</v>
      </c>
      <c r="B501" s="1">
        <v>0.34593800000000002</v>
      </c>
      <c r="C501" s="1">
        <v>0.34431400000000001</v>
      </c>
    </row>
    <row r="502" spans="1:3" x14ac:dyDescent="0.25">
      <c r="A502" s="4" t="s">
        <v>132</v>
      </c>
      <c r="B502" s="1">
        <v>4.0057000000000002E-2</v>
      </c>
      <c r="C502" s="1">
        <v>4.1741E-2</v>
      </c>
    </row>
    <row r="503" spans="1:3" x14ac:dyDescent="0.25">
      <c r="A503" s="4" t="s">
        <v>18</v>
      </c>
      <c r="B503" s="1">
        <v>1.0023960000000001</v>
      </c>
      <c r="C503" s="1">
        <v>0.99877199999999999</v>
      </c>
    </row>
    <row r="504" spans="1:3" x14ac:dyDescent="0.25">
      <c r="A504" s="4" t="s">
        <v>85</v>
      </c>
      <c r="B504" s="1">
        <v>9.6156000000000005E-2</v>
      </c>
      <c r="C504" s="1">
        <v>9.7767999999999994E-2</v>
      </c>
    </row>
    <row r="505" spans="1:3" x14ac:dyDescent="0.25">
      <c r="A505" s="4" t="s">
        <v>112</v>
      </c>
      <c r="B505" s="1">
        <v>0.82941900000000002</v>
      </c>
      <c r="C505" s="1">
        <v>0.82691499999999996</v>
      </c>
    </row>
    <row r="506" spans="1:3" x14ac:dyDescent="0.25">
      <c r="A506" s="4" t="s">
        <v>103</v>
      </c>
      <c r="B506" s="1">
        <v>0.92061899999999997</v>
      </c>
      <c r="C506" s="1">
        <v>0.92293099999999995</v>
      </c>
    </row>
    <row r="507" spans="1:3" x14ac:dyDescent="0.25">
      <c r="A507" s="4" t="s">
        <v>57</v>
      </c>
      <c r="B507" s="1">
        <v>0.66941799999999996</v>
      </c>
      <c r="C507" s="1">
        <v>0.66777399999999998</v>
      </c>
    </row>
    <row r="508" spans="1:3" x14ac:dyDescent="0.25">
      <c r="A508" s="4" t="s">
        <v>3</v>
      </c>
      <c r="B508" s="1">
        <v>0.31244499999999997</v>
      </c>
      <c r="C508" s="1">
        <v>0.31022499999999997</v>
      </c>
    </row>
    <row r="509" spans="1:3" x14ac:dyDescent="0.25">
      <c r="A509" s="4" t="s">
        <v>4</v>
      </c>
      <c r="B509" s="1">
        <v>0.16196199999999999</v>
      </c>
      <c r="C509" s="1">
        <v>0.16370999999999999</v>
      </c>
    </row>
    <row r="510" spans="1:3" x14ac:dyDescent="0.25">
      <c r="A510" s="4" t="s">
        <v>5</v>
      </c>
      <c r="B510" s="1">
        <v>4.0059999999999998E-2</v>
      </c>
      <c r="C510" s="1">
        <v>3.8204000000000002E-2</v>
      </c>
    </row>
    <row r="511" spans="1:3" x14ac:dyDescent="0.25">
      <c r="A511" s="4" t="s">
        <v>6</v>
      </c>
      <c r="B511" s="1">
        <v>0.71089100000000005</v>
      </c>
      <c r="C511" s="1">
        <v>0.71311899999999995</v>
      </c>
    </row>
    <row r="512" spans="1:3" x14ac:dyDescent="0.25">
      <c r="A512" s="4" t="s">
        <v>7</v>
      </c>
      <c r="B512" s="1">
        <v>0.172735</v>
      </c>
      <c r="C512" s="1">
        <v>0.17081499999999999</v>
      </c>
    </row>
    <row r="513" spans="1:3" x14ac:dyDescent="0.25">
      <c r="A513" s="4" t="s">
        <v>8</v>
      </c>
      <c r="B513" s="1">
        <v>0.89442100000000002</v>
      </c>
      <c r="C513" s="1">
        <v>0.89109700000000003</v>
      </c>
    </row>
    <row r="514" spans="1:3" x14ac:dyDescent="0.25">
      <c r="A514" s="4" t="s">
        <v>9</v>
      </c>
      <c r="B514" s="1">
        <v>3.9071000000000002E-2</v>
      </c>
      <c r="C514" s="1">
        <v>4.2567000000000001E-2</v>
      </c>
    </row>
    <row r="515" spans="1:3" x14ac:dyDescent="0.25">
      <c r="A515" s="4" t="s">
        <v>10</v>
      </c>
      <c r="B515" s="1">
        <v>3.9606000000000002E-2</v>
      </c>
      <c r="C515" s="1">
        <v>3.7274000000000002E-2</v>
      </c>
    </row>
    <row r="516" spans="1:3" x14ac:dyDescent="0.25">
      <c r="A516" s="4" t="s">
        <v>11</v>
      </c>
      <c r="B516" s="1">
        <v>0.91238200000000003</v>
      </c>
      <c r="C516" s="1">
        <v>0.91429400000000005</v>
      </c>
    </row>
    <row r="517" spans="1:3" x14ac:dyDescent="0.25">
      <c r="A517" s="4" t="s">
        <v>12</v>
      </c>
      <c r="B517" s="1">
        <v>0.43819900000000001</v>
      </c>
      <c r="C517" s="1">
        <v>0.43998700000000002</v>
      </c>
    </row>
    <row r="518" spans="1:3" x14ac:dyDescent="0.25">
      <c r="A518" s="4" t="s">
        <v>13</v>
      </c>
      <c r="B518" s="1">
        <v>0.188942</v>
      </c>
      <c r="C518" s="1">
        <v>0.186422</v>
      </c>
    </row>
    <row r="519" spans="1:3" x14ac:dyDescent="0.25">
      <c r="A519" s="4" t="s">
        <v>14</v>
      </c>
      <c r="B519" s="1">
        <v>0.63127299999999997</v>
      </c>
      <c r="C519" s="1">
        <v>0.63441700000000001</v>
      </c>
    </row>
    <row r="520" spans="1:3" x14ac:dyDescent="0.25">
      <c r="A520" s="4" t="s">
        <v>15</v>
      </c>
      <c r="B520" s="1">
        <v>5.6968999999999999E-2</v>
      </c>
      <c r="C520" s="1">
        <v>5.4597E-2</v>
      </c>
    </row>
    <row r="521" spans="1:3" x14ac:dyDescent="0.25">
      <c r="A521" s="4" t="s">
        <v>16</v>
      </c>
      <c r="B521" s="1">
        <v>0.129272</v>
      </c>
      <c r="C521" s="1">
        <v>0.12600800000000001</v>
      </c>
    </row>
    <row r="522" spans="1:3" x14ac:dyDescent="0.25">
      <c r="A522" s="4" t="s">
        <v>17</v>
      </c>
      <c r="B522" s="1">
        <v>9.0898999999999994E-2</v>
      </c>
      <c r="C522" s="1">
        <v>9.3718999999999997E-2</v>
      </c>
    </row>
    <row r="523" spans="1:3" x14ac:dyDescent="0.25">
      <c r="A523" s="4" t="s">
        <v>18</v>
      </c>
      <c r="B523" s="1">
        <v>0.77679200000000004</v>
      </c>
      <c r="C523" s="1">
        <v>0.77528799999999998</v>
      </c>
    </row>
    <row r="524" spans="1:3" x14ac:dyDescent="0.25">
      <c r="A524" s="4" t="s">
        <v>19</v>
      </c>
      <c r="B524" s="1">
        <v>0.94621999999999995</v>
      </c>
      <c r="C524" s="1">
        <v>0.948376</v>
      </c>
    </row>
    <row r="525" spans="1:3" x14ac:dyDescent="0.25">
      <c r="A525" s="4" t="s">
        <v>20</v>
      </c>
      <c r="B525" s="1">
        <v>0.262909</v>
      </c>
      <c r="C525" s="1">
        <v>0.26447300000000001</v>
      </c>
    </row>
    <row r="526" spans="1:3" x14ac:dyDescent="0.25">
      <c r="A526" s="4" t="s">
        <v>21</v>
      </c>
      <c r="B526" s="1">
        <v>0.99788299999999996</v>
      </c>
      <c r="C526" s="1">
        <v>0.99948300000000001</v>
      </c>
    </row>
    <row r="527" spans="1:3" x14ac:dyDescent="0.25">
      <c r="A527" s="4" t="s">
        <v>22</v>
      </c>
      <c r="B527" s="1">
        <v>0.96167100000000005</v>
      </c>
      <c r="C527" s="1">
        <v>0.95925099999999996</v>
      </c>
    </row>
    <row r="528" spans="1:3" x14ac:dyDescent="0.25">
      <c r="A528" s="4" t="s">
        <v>23</v>
      </c>
      <c r="B528" s="1">
        <v>0.50349999999999995</v>
      </c>
      <c r="C528" s="1">
        <v>0.50675999999999999</v>
      </c>
    </row>
    <row r="529" spans="1:3" x14ac:dyDescent="0.25">
      <c r="A529" s="4" t="s">
        <v>24</v>
      </c>
      <c r="B529" s="1">
        <v>0.355049</v>
      </c>
      <c r="C529" s="1">
        <v>0.358705</v>
      </c>
    </row>
    <row r="530" spans="1:3" x14ac:dyDescent="0.25">
      <c r="A530" s="4" t="s">
        <v>25</v>
      </c>
      <c r="B530" s="1">
        <v>0.93257800000000002</v>
      </c>
      <c r="C530" s="1">
        <v>0.92980200000000002</v>
      </c>
    </row>
    <row r="531" spans="1:3" x14ac:dyDescent="0.25">
      <c r="A531" s="4" t="s">
        <v>26</v>
      </c>
      <c r="B531" s="1">
        <v>0.34465099999999999</v>
      </c>
      <c r="C531" s="1">
        <v>0.347607</v>
      </c>
    </row>
    <row r="532" spans="1:3" x14ac:dyDescent="0.25">
      <c r="A532" s="4" t="s">
        <v>27</v>
      </c>
      <c r="B532" s="1">
        <v>0.16414500000000001</v>
      </c>
      <c r="C532" s="1">
        <v>0.16232099999999999</v>
      </c>
    </row>
    <row r="533" spans="1:3" x14ac:dyDescent="0.25">
      <c r="A533" s="4" t="s">
        <v>28</v>
      </c>
      <c r="B533" s="1">
        <v>0.52204899999999999</v>
      </c>
      <c r="C533" s="1">
        <v>0.52420900000000004</v>
      </c>
    </row>
    <row r="534" spans="1:3" x14ac:dyDescent="0.25">
      <c r="A534" s="4" t="s">
        <v>29</v>
      </c>
      <c r="B534" s="1">
        <v>0.39477299999999999</v>
      </c>
      <c r="C534" s="1">
        <v>0.39140900000000001</v>
      </c>
    </row>
    <row r="535" spans="1:3" x14ac:dyDescent="0.25">
      <c r="A535" s="4" t="s">
        <v>30</v>
      </c>
      <c r="B535" s="1">
        <v>0.13069600000000001</v>
      </c>
      <c r="C535" s="1">
        <v>0.134684</v>
      </c>
    </row>
    <row r="536" spans="1:3" x14ac:dyDescent="0.25">
      <c r="A536" s="4" t="s">
        <v>31</v>
      </c>
      <c r="B536" s="1">
        <v>0.108847</v>
      </c>
      <c r="C536" s="1">
        <v>0.105555</v>
      </c>
    </row>
    <row r="537" spans="1:3" x14ac:dyDescent="0.25">
      <c r="A537" s="4" t="s">
        <v>32</v>
      </c>
      <c r="B537" s="1">
        <v>0.62104000000000004</v>
      </c>
      <c r="C537" s="1">
        <v>0.62345200000000001</v>
      </c>
    </row>
    <row r="538" spans="1:3" x14ac:dyDescent="0.25">
      <c r="A538" s="4" t="s">
        <v>33</v>
      </c>
      <c r="B538" s="1">
        <v>0.915269</v>
      </c>
      <c r="C538" s="1">
        <v>0.91838500000000001</v>
      </c>
    </row>
    <row r="539" spans="1:3" x14ac:dyDescent="0.25">
      <c r="A539" s="4" t="s">
        <v>174</v>
      </c>
      <c r="B539" s="1">
        <v>0.39857500000000001</v>
      </c>
      <c r="C539" s="1">
        <v>0.40067900000000001</v>
      </c>
    </row>
    <row r="540" spans="1:3" x14ac:dyDescent="0.25">
      <c r="A540" s="4" t="s">
        <v>428</v>
      </c>
      <c r="B540" s="1">
        <v>0.67204299999999995</v>
      </c>
      <c r="C540" s="1">
        <v>0.67345100000000002</v>
      </c>
    </row>
    <row r="541" spans="1:3" x14ac:dyDescent="0.25">
      <c r="A541" s="4" t="s">
        <v>35</v>
      </c>
      <c r="B541" s="1">
        <v>3.5965999999999998E-2</v>
      </c>
      <c r="C541" s="1">
        <v>3.7982000000000002E-2</v>
      </c>
    </row>
    <row r="542" spans="1:3" x14ac:dyDescent="0.25">
      <c r="A542" s="4" t="s">
        <v>36</v>
      </c>
      <c r="B542" s="1">
        <v>0.514571</v>
      </c>
      <c r="C542" s="1">
        <v>0.51262700000000005</v>
      </c>
    </row>
    <row r="543" spans="1:3" x14ac:dyDescent="0.25">
      <c r="A543" s="4" t="s">
        <v>37</v>
      </c>
      <c r="B543" s="1">
        <v>0.923041</v>
      </c>
      <c r="C543" s="1">
        <v>0.92067699999999997</v>
      </c>
    </row>
    <row r="544" spans="1:3" x14ac:dyDescent="0.25">
      <c r="A544" s="4" t="s">
        <v>38</v>
      </c>
      <c r="B544" s="1">
        <v>0.14195199999999999</v>
      </c>
      <c r="C544" s="1">
        <v>0.13925599999999999</v>
      </c>
    </row>
    <row r="545" spans="1:3" x14ac:dyDescent="0.25">
      <c r="A545" s="4" t="s">
        <v>175</v>
      </c>
      <c r="B545" s="1">
        <v>0.832403</v>
      </c>
      <c r="C545" s="1">
        <v>0.83075900000000003</v>
      </c>
    </row>
    <row r="546" spans="1:3" x14ac:dyDescent="0.25">
      <c r="A546" s="4" t="s">
        <v>40</v>
      </c>
      <c r="B546" s="1">
        <v>0.67679900000000004</v>
      </c>
      <c r="C546" s="1">
        <v>0.67894299999999996</v>
      </c>
    </row>
    <row r="547" spans="1:3" x14ac:dyDescent="0.25">
      <c r="A547" s="4" t="s">
        <v>41</v>
      </c>
      <c r="B547" s="1">
        <v>0.33540799999999998</v>
      </c>
      <c r="C547" s="1">
        <v>0.33905200000000002</v>
      </c>
    </row>
    <row r="548" spans="1:3" x14ac:dyDescent="0.25">
      <c r="A548" s="4" t="s">
        <v>176</v>
      </c>
      <c r="B548" s="1">
        <v>0.71115899999999999</v>
      </c>
      <c r="C548" s="1">
        <v>0.70776300000000003</v>
      </c>
    </row>
    <row r="549" spans="1:3" x14ac:dyDescent="0.25">
      <c r="A549" s="4" t="s">
        <v>43</v>
      </c>
      <c r="B549" s="1">
        <v>0.71188700000000005</v>
      </c>
      <c r="C549" s="1">
        <v>0.715611</v>
      </c>
    </row>
    <row r="550" spans="1:3" x14ac:dyDescent="0.25">
      <c r="A550" s="4" t="s">
        <v>44</v>
      </c>
      <c r="B550" s="1">
        <v>0.40304299999999998</v>
      </c>
      <c r="C550" s="1">
        <v>0.399339</v>
      </c>
    </row>
    <row r="551" spans="1:3" x14ac:dyDescent="0.25">
      <c r="A551" s="4" t="s">
        <v>45</v>
      </c>
      <c r="B551" s="1">
        <v>0.90539000000000003</v>
      </c>
      <c r="C551" s="1">
        <v>0.90761800000000004</v>
      </c>
    </row>
    <row r="552" spans="1:3" x14ac:dyDescent="0.25">
      <c r="A552" s="4" t="s">
        <v>46</v>
      </c>
      <c r="B552" s="1">
        <v>0.23264499999999999</v>
      </c>
      <c r="C552" s="1">
        <v>0.235897</v>
      </c>
    </row>
    <row r="553" spans="1:3" x14ac:dyDescent="0.25">
      <c r="A553" s="4" t="s">
        <v>47</v>
      </c>
      <c r="B553" s="1">
        <v>0.23163800000000001</v>
      </c>
      <c r="C553" s="1">
        <v>0.23316999999999999</v>
      </c>
    </row>
    <row r="554" spans="1:3" x14ac:dyDescent="0.25">
      <c r="A554" s="4" t="s">
        <v>48</v>
      </c>
      <c r="B554" s="1">
        <v>0.53415599999999996</v>
      </c>
      <c r="C554" s="1">
        <v>0.53560399999999997</v>
      </c>
    </row>
    <row r="555" spans="1:3" x14ac:dyDescent="0.25">
      <c r="A555" s="4" t="s">
        <v>49</v>
      </c>
      <c r="B555" s="1">
        <v>0.76181600000000005</v>
      </c>
      <c r="C555" s="1">
        <v>0.75960799999999995</v>
      </c>
    </row>
    <row r="556" spans="1:3" x14ac:dyDescent="0.25">
      <c r="A556" s="4" t="s">
        <v>50</v>
      </c>
      <c r="B556" s="1">
        <v>0.14851200000000001</v>
      </c>
      <c r="C556" s="1">
        <v>0.14644799999999999</v>
      </c>
    </row>
    <row r="557" spans="1:3" x14ac:dyDescent="0.25">
      <c r="A557" s="4" t="s">
        <v>51</v>
      </c>
      <c r="B557" s="1">
        <v>0.231432</v>
      </c>
      <c r="C557" s="1">
        <v>0.22759199999999999</v>
      </c>
    </row>
    <row r="558" spans="1:3" x14ac:dyDescent="0.25">
      <c r="A558" s="4" t="s">
        <v>52</v>
      </c>
      <c r="B558" s="1">
        <v>0.86003499999999999</v>
      </c>
      <c r="C558" s="1">
        <v>0.85779499999999997</v>
      </c>
    </row>
    <row r="559" spans="1:3" x14ac:dyDescent="0.25">
      <c r="A559" s="4" t="s">
        <v>53</v>
      </c>
      <c r="B559" s="1">
        <v>0.57415799999999995</v>
      </c>
      <c r="C559" s="1">
        <v>0.57219399999999998</v>
      </c>
    </row>
    <row r="560" spans="1:3" x14ac:dyDescent="0.25">
      <c r="A560" s="4" t="s">
        <v>54</v>
      </c>
      <c r="B560" s="1">
        <v>0.10882</v>
      </c>
      <c r="C560" s="1">
        <v>0.104932</v>
      </c>
    </row>
    <row r="561" spans="1:3" x14ac:dyDescent="0.25">
      <c r="A561" s="4" t="s">
        <v>55</v>
      </c>
      <c r="B561" s="1">
        <v>0.72411499999999995</v>
      </c>
      <c r="C561" s="1">
        <v>0.72764300000000004</v>
      </c>
    </row>
    <row r="562" spans="1:3" x14ac:dyDescent="0.25">
      <c r="A562" s="4" t="s">
        <v>56</v>
      </c>
      <c r="B562" s="1">
        <v>0.45928099999999999</v>
      </c>
      <c r="C562" s="1">
        <v>0.45549299999999998</v>
      </c>
    </row>
    <row r="563" spans="1:3" x14ac:dyDescent="0.25">
      <c r="A563" s="4" t="s">
        <v>57</v>
      </c>
      <c r="B563" s="1">
        <v>0.99172199999999999</v>
      </c>
      <c r="C563" s="1">
        <v>0.99490199999999995</v>
      </c>
    </row>
    <row r="564" spans="1:3" x14ac:dyDescent="0.25">
      <c r="A564" s="4" t="s">
        <v>58</v>
      </c>
      <c r="B564" s="1">
        <v>0.90173300000000001</v>
      </c>
      <c r="C564" s="1">
        <v>0.905613</v>
      </c>
    </row>
    <row r="565" spans="1:3" x14ac:dyDescent="0.25">
      <c r="A565" s="4" t="s">
        <v>59</v>
      </c>
      <c r="B565" s="1">
        <v>0.99075100000000005</v>
      </c>
      <c r="C565" s="1">
        <v>0.98880699999999999</v>
      </c>
    </row>
    <row r="566" spans="1:3" x14ac:dyDescent="0.25">
      <c r="A566" s="4" t="s">
        <v>60</v>
      </c>
      <c r="B566" s="1">
        <v>0.71294500000000005</v>
      </c>
      <c r="C566" s="1">
        <v>0.716229</v>
      </c>
    </row>
    <row r="567" spans="1:3" x14ac:dyDescent="0.25">
      <c r="A567" s="4" t="s">
        <v>61</v>
      </c>
      <c r="B567" s="1">
        <v>0.25781799999999999</v>
      </c>
      <c r="C567" s="1">
        <v>0.25594600000000001</v>
      </c>
    </row>
    <row r="568" spans="1:3" x14ac:dyDescent="0.25">
      <c r="A568" s="4" t="s">
        <v>62</v>
      </c>
      <c r="B568" s="1">
        <v>8.6955000000000005E-2</v>
      </c>
      <c r="C568" s="1">
        <v>8.5378999999999997E-2</v>
      </c>
    </row>
    <row r="569" spans="1:3" x14ac:dyDescent="0.25">
      <c r="A569" s="4" t="s">
        <v>63</v>
      </c>
      <c r="B569" s="1">
        <v>0.35100700000000001</v>
      </c>
      <c r="C569" s="1">
        <v>0.35246300000000003</v>
      </c>
    </row>
    <row r="570" spans="1:3" x14ac:dyDescent="0.25">
      <c r="A570" s="4" t="s">
        <v>64</v>
      </c>
      <c r="B570" s="1">
        <v>0.82595300000000005</v>
      </c>
      <c r="C570" s="1">
        <v>0.82917700000000005</v>
      </c>
    </row>
    <row r="571" spans="1:3" x14ac:dyDescent="0.25">
      <c r="A571" s="4" t="s">
        <v>65</v>
      </c>
      <c r="B571" s="1">
        <v>0.55854400000000004</v>
      </c>
      <c r="C571" s="1">
        <v>0.55462400000000001</v>
      </c>
    </row>
    <row r="572" spans="1:3" x14ac:dyDescent="0.25">
      <c r="A572" s="4" t="s">
        <v>66</v>
      </c>
      <c r="B572" s="1">
        <v>0.21590100000000001</v>
      </c>
      <c r="C572" s="1">
        <v>0.21798100000000001</v>
      </c>
    </row>
    <row r="573" spans="1:3" x14ac:dyDescent="0.25">
      <c r="A573" s="4" t="s">
        <v>67</v>
      </c>
      <c r="B573" s="1">
        <v>0.859155</v>
      </c>
      <c r="C573" s="1">
        <v>0.85716700000000001</v>
      </c>
    </row>
    <row r="574" spans="1:3" x14ac:dyDescent="0.25">
      <c r="A574" s="4" t="s">
        <v>68</v>
      </c>
      <c r="B574" s="1">
        <v>0.67446200000000001</v>
      </c>
      <c r="C574" s="1">
        <v>0.67788999999999999</v>
      </c>
    </row>
    <row r="575" spans="1:3" x14ac:dyDescent="0.25">
      <c r="A575" s="4" t="s">
        <v>69</v>
      </c>
      <c r="B575" s="1">
        <v>0.47924800000000001</v>
      </c>
      <c r="C575" s="1">
        <v>0.47626000000000002</v>
      </c>
    </row>
    <row r="576" spans="1:3" x14ac:dyDescent="0.25">
      <c r="A576" s="4" t="s">
        <v>70</v>
      </c>
      <c r="B576" s="1">
        <v>0.51831700000000003</v>
      </c>
      <c r="C576" s="1">
        <v>0.52147299999999996</v>
      </c>
    </row>
    <row r="577" spans="1:3" x14ac:dyDescent="0.25">
      <c r="A577" s="4" t="s">
        <v>71</v>
      </c>
      <c r="B577" s="1">
        <v>0.69348799999999999</v>
      </c>
      <c r="C577" s="1">
        <v>0.69093599999999999</v>
      </c>
    </row>
    <row r="578" spans="1:3" x14ac:dyDescent="0.25">
      <c r="A578" s="4" t="s">
        <v>72</v>
      </c>
      <c r="B578" s="1">
        <v>0.145533</v>
      </c>
      <c r="C578" s="1">
        <v>0.14855299999999999</v>
      </c>
    </row>
    <row r="579" spans="1:3" x14ac:dyDescent="0.25">
      <c r="A579" s="4" t="s">
        <v>73</v>
      </c>
      <c r="B579" s="1">
        <v>0.94866899999999998</v>
      </c>
      <c r="C579" s="1">
        <v>0.950569</v>
      </c>
    </row>
    <row r="580" spans="1:3" x14ac:dyDescent="0.25">
      <c r="A580" s="4" t="s">
        <v>74</v>
      </c>
      <c r="B580" s="1">
        <v>0.61492599999999997</v>
      </c>
      <c r="C580" s="1">
        <v>0.61283799999999999</v>
      </c>
    </row>
    <row r="581" spans="1:3" x14ac:dyDescent="0.25">
      <c r="A581" s="4" t="s">
        <v>75</v>
      </c>
      <c r="B581" s="1">
        <v>0.80092399999999997</v>
      </c>
      <c r="C581" s="1">
        <v>0.79910400000000004</v>
      </c>
    </row>
    <row r="582" spans="1:3" x14ac:dyDescent="0.25">
      <c r="A582" s="4" t="s">
        <v>76</v>
      </c>
      <c r="B582" s="1">
        <v>0.80892299999999995</v>
      </c>
      <c r="C582" s="1">
        <v>0.806979</v>
      </c>
    </row>
    <row r="583" spans="1:3" x14ac:dyDescent="0.25">
      <c r="A583" s="4" t="s">
        <v>77</v>
      </c>
      <c r="B583" s="1">
        <v>2.6912999999999999E-2</v>
      </c>
      <c r="C583" s="1">
        <v>2.9256999999999998E-2</v>
      </c>
    </row>
    <row r="584" spans="1:3" x14ac:dyDescent="0.25">
      <c r="A584" s="4" t="s">
        <v>78</v>
      </c>
      <c r="B584" s="1">
        <v>0.84384199999999998</v>
      </c>
      <c r="C584" s="1">
        <v>0.845642</v>
      </c>
    </row>
    <row r="585" spans="1:3" x14ac:dyDescent="0.25">
      <c r="A585" s="4" t="s">
        <v>79</v>
      </c>
      <c r="B585" s="1">
        <v>0.81873700000000005</v>
      </c>
      <c r="C585" s="1">
        <v>0.82059300000000002</v>
      </c>
    </row>
    <row r="586" spans="1:3" x14ac:dyDescent="0.25">
      <c r="A586" s="4" t="s">
        <v>80</v>
      </c>
      <c r="B586" s="1">
        <v>0.77809700000000004</v>
      </c>
      <c r="C586" s="1">
        <v>0.77524899999999997</v>
      </c>
    </row>
    <row r="587" spans="1:3" x14ac:dyDescent="0.25">
      <c r="A587" s="4" t="s">
        <v>81</v>
      </c>
      <c r="B587" s="1">
        <v>0.83649600000000002</v>
      </c>
      <c r="C587" s="1">
        <v>0.83909599999999995</v>
      </c>
    </row>
    <row r="588" spans="1:3" x14ac:dyDescent="0.25">
      <c r="A588" s="4" t="s">
        <v>82</v>
      </c>
      <c r="B588" s="1">
        <v>0.63863800000000004</v>
      </c>
      <c r="C588" s="1">
        <v>0.64251000000000003</v>
      </c>
    </row>
    <row r="589" spans="1:3" x14ac:dyDescent="0.25">
      <c r="A589" s="4" t="s">
        <v>83</v>
      </c>
      <c r="B589" s="1">
        <v>0.43880400000000003</v>
      </c>
      <c r="C589" s="1">
        <v>0.435784</v>
      </c>
    </row>
    <row r="590" spans="1:3" x14ac:dyDescent="0.25">
      <c r="A590" s="4" t="s">
        <v>84</v>
      </c>
      <c r="B590" s="1">
        <v>0.20413700000000001</v>
      </c>
      <c r="C590" s="1">
        <v>0.20184099999999999</v>
      </c>
    </row>
    <row r="591" spans="1:3" x14ac:dyDescent="0.25">
      <c r="A591" s="4" t="s">
        <v>85</v>
      </c>
      <c r="B591" s="1">
        <v>0.88788900000000004</v>
      </c>
      <c r="C591" s="1">
        <v>0.88389300000000004</v>
      </c>
    </row>
    <row r="592" spans="1:3" x14ac:dyDescent="0.25">
      <c r="A592" s="4" t="s">
        <v>177</v>
      </c>
      <c r="B592" s="1">
        <v>0.96728700000000001</v>
      </c>
      <c r="C592" s="1">
        <v>0.97079099999999996</v>
      </c>
    </row>
    <row r="593" spans="1:3" x14ac:dyDescent="0.25">
      <c r="A593" s="4" t="s">
        <v>87</v>
      </c>
      <c r="B593" s="1">
        <v>0.121395</v>
      </c>
      <c r="C593" s="1">
        <v>0.124755</v>
      </c>
    </row>
    <row r="594" spans="1:3" x14ac:dyDescent="0.25">
      <c r="A594" s="4" t="s">
        <v>88</v>
      </c>
      <c r="B594" s="1">
        <v>5.8613999999999999E-2</v>
      </c>
      <c r="C594" s="1">
        <v>5.6474000000000003E-2</v>
      </c>
    </row>
    <row r="595" spans="1:3" x14ac:dyDescent="0.25">
      <c r="A595" s="4" t="s">
        <v>89</v>
      </c>
      <c r="B595" s="1">
        <v>0.79559199999999997</v>
      </c>
      <c r="C595" s="1">
        <v>0.792188</v>
      </c>
    </row>
    <row r="596" spans="1:3" x14ac:dyDescent="0.25">
      <c r="A596" s="4" t="s">
        <v>90</v>
      </c>
      <c r="B596" s="1">
        <v>0.63536800000000004</v>
      </c>
      <c r="C596" s="1">
        <v>0.639208</v>
      </c>
    </row>
    <row r="597" spans="1:3" x14ac:dyDescent="0.25">
      <c r="A597" s="4" t="s">
        <v>91</v>
      </c>
      <c r="B597" s="1">
        <v>0.29477999999999999</v>
      </c>
      <c r="C597" s="1">
        <v>0.29804799999999998</v>
      </c>
    </row>
    <row r="598" spans="1:3" x14ac:dyDescent="0.25">
      <c r="A598" s="4" t="s">
        <v>92</v>
      </c>
      <c r="B598" s="1">
        <v>0.312112</v>
      </c>
      <c r="C598" s="1">
        <v>0.31450800000000001</v>
      </c>
    </row>
    <row r="599" spans="1:3" x14ac:dyDescent="0.25">
      <c r="A599" s="4" t="s">
        <v>93</v>
      </c>
      <c r="B599" s="1">
        <v>2.2315999999999999E-2</v>
      </c>
      <c r="C599" s="1">
        <v>1.9543999999999999E-2</v>
      </c>
    </row>
    <row r="600" spans="1:3" x14ac:dyDescent="0.25">
      <c r="A600" s="4" t="s">
        <v>94</v>
      </c>
      <c r="B600" s="1">
        <v>0.65988999999999998</v>
      </c>
      <c r="C600" s="1">
        <v>0.65681</v>
      </c>
    </row>
    <row r="601" spans="1:3" x14ac:dyDescent="0.25">
      <c r="A601" s="4" t="s">
        <v>95</v>
      </c>
      <c r="B601" s="1">
        <v>0.75181399999999998</v>
      </c>
      <c r="C601" s="1">
        <v>0.74925399999999998</v>
      </c>
    </row>
    <row r="602" spans="1:3" x14ac:dyDescent="0.25">
      <c r="A602" s="4" t="s">
        <v>96</v>
      </c>
      <c r="B602" s="1">
        <v>0.69461200000000001</v>
      </c>
      <c r="C602" s="1">
        <v>0.69851200000000002</v>
      </c>
    </row>
    <row r="603" spans="1:3" x14ac:dyDescent="0.25">
      <c r="A603" s="4" t="s">
        <v>97</v>
      </c>
      <c r="B603" s="1">
        <v>0.217417</v>
      </c>
      <c r="C603" s="1">
        <v>0.215721</v>
      </c>
    </row>
    <row r="604" spans="1:3" x14ac:dyDescent="0.25">
      <c r="A604" s="4" t="s">
        <v>98</v>
      </c>
      <c r="B604" s="1">
        <v>0.248913</v>
      </c>
      <c r="C604" s="1">
        <v>0.25204100000000002</v>
      </c>
    </row>
    <row r="605" spans="1:3" x14ac:dyDescent="0.25">
      <c r="A605" s="4" t="s">
        <v>99</v>
      </c>
      <c r="B605" s="1">
        <v>9.5533999999999994E-2</v>
      </c>
      <c r="C605" s="1">
        <v>9.1910000000000006E-2</v>
      </c>
    </row>
    <row r="606" spans="1:3" x14ac:dyDescent="0.25">
      <c r="A606" s="4" t="s">
        <v>100</v>
      </c>
      <c r="B606" s="1">
        <v>0.56021500000000002</v>
      </c>
      <c r="C606" s="1">
        <v>0.56196699999999999</v>
      </c>
    </row>
    <row r="607" spans="1:3" x14ac:dyDescent="0.25">
      <c r="A607" s="4" t="s">
        <v>101</v>
      </c>
      <c r="B607" s="1">
        <v>9.8788000000000001E-2</v>
      </c>
      <c r="C607" s="1">
        <v>9.6680000000000002E-2</v>
      </c>
    </row>
    <row r="608" spans="1:3" x14ac:dyDescent="0.25">
      <c r="A608" s="4" t="s">
        <v>102</v>
      </c>
      <c r="B608" s="1">
        <v>0.66766999999999999</v>
      </c>
      <c r="C608" s="1">
        <v>0.67010999999999998</v>
      </c>
    </row>
    <row r="609" spans="1:3" x14ac:dyDescent="0.25">
      <c r="A609" s="4" t="s">
        <v>103</v>
      </c>
      <c r="B609" s="1">
        <v>0.69916400000000001</v>
      </c>
      <c r="C609" s="1">
        <v>0.70058399999999998</v>
      </c>
    </row>
    <row r="610" spans="1:3" x14ac:dyDescent="0.25">
      <c r="A610" s="4" t="s">
        <v>104</v>
      </c>
      <c r="B610" s="1">
        <v>0.50448999999999999</v>
      </c>
      <c r="C610" s="1">
        <v>0.50298200000000004</v>
      </c>
    </row>
    <row r="611" spans="1:3" x14ac:dyDescent="0.25">
      <c r="A611" s="4" t="s">
        <v>105</v>
      </c>
      <c r="B611" s="1">
        <v>0.70912799999999998</v>
      </c>
      <c r="C611" s="1">
        <v>0.70633199999999996</v>
      </c>
    </row>
    <row r="612" spans="1:3" x14ac:dyDescent="0.25">
      <c r="A612" s="4" t="s">
        <v>106</v>
      </c>
      <c r="B612" s="1">
        <v>0.25471199999999999</v>
      </c>
      <c r="C612" s="1">
        <v>0.25790400000000002</v>
      </c>
    </row>
    <row r="613" spans="1:3" x14ac:dyDescent="0.25">
      <c r="A613" s="4" t="s">
        <v>178</v>
      </c>
      <c r="B613" s="1">
        <v>0.52383800000000003</v>
      </c>
      <c r="C613" s="1">
        <v>0.52654999999999996</v>
      </c>
    </row>
    <row r="614" spans="1:3" x14ac:dyDescent="0.25">
      <c r="A614" s="4" t="s">
        <v>108</v>
      </c>
      <c r="B614" s="1">
        <v>9.1436000000000003E-2</v>
      </c>
      <c r="C614" s="1">
        <v>9.3964000000000006E-2</v>
      </c>
    </row>
    <row r="615" spans="1:3" x14ac:dyDescent="0.25">
      <c r="A615" s="4" t="s">
        <v>109</v>
      </c>
      <c r="B615" s="1">
        <v>0.404277</v>
      </c>
      <c r="C615" s="1">
        <v>0.40759299999999998</v>
      </c>
    </row>
    <row r="616" spans="1:3" x14ac:dyDescent="0.25">
      <c r="A616" s="4" t="s">
        <v>110</v>
      </c>
      <c r="B616" s="1">
        <v>0.11290600000000001</v>
      </c>
      <c r="C616" s="1">
        <v>0.11459</v>
      </c>
    </row>
    <row r="617" spans="1:3" x14ac:dyDescent="0.25">
      <c r="A617" s="4" t="s">
        <v>429</v>
      </c>
      <c r="B617" s="1">
        <v>0.95077199999999995</v>
      </c>
      <c r="C617" s="1">
        <v>0.94779599999999997</v>
      </c>
    </row>
    <row r="618" spans="1:3" x14ac:dyDescent="0.25">
      <c r="A618" s="4" t="s">
        <v>111</v>
      </c>
      <c r="B618" s="1">
        <v>0.37411299999999997</v>
      </c>
      <c r="C618" s="1">
        <v>0.37249300000000002</v>
      </c>
    </row>
    <row r="619" spans="1:3" x14ac:dyDescent="0.25">
      <c r="A619" s="4" t="s">
        <v>112</v>
      </c>
      <c r="B619" s="1">
        <v>0.43324000000000001</v>
      </c>
      <c r="C619" s="1">
        <v>0.43135600000000002</v>
      </c>
    </row>
    <row r="620" spans="1:3" x14ac:dyDescent="0.25">
      <c r="A620" s="4" t="s">
        <v>113</v>
      </c>
      <c r="B620" s="1">
        <v>0.16992399999999999</v>
      </c>
      <c r="C620" s="1">
        <v>0.166296</v>
      </c>
    </row>
    <row r="621" spans="1:3" x14ac:dyDescent="0.25">
      <c r="A621" s="4" t="s">
        <v>114</v>
      </c>
      <c r="B621" s="1">
        <v>0.21842300000000001</v>
      </c>
      <c r="C621" s="1">
        <v>0.21506700000000001</v>
      </c>
    </row>
    <row r="622" spans="1:3" x14ac:dyDescent="0.25">
      <c r="A622" s="4" t="s">
        <v>115</v>
      </c>
      <c r="B622" s="1">
        <v>0.492419</v>
      </c>
      <c r="C622" s="1">
        <v>0.49516300000000002</v>
      </c>
    </row>
    <row r="623" spans="1:3" x14ac:dyDescent="0.25">
      <c r="A623" s="4" t="s">
        <v>116</v>
      </c>
      <c r="B623" s="1">
        <v>0.73995699999999998</v>
      </c>
      <c r="C623" s="1">
        <v>0.74338499999999996</v>
      </c>
    </row>
    <row r="624" spans="1:3" x14ac:dyDescent="0.25">
      <c r="A624" s="4" t="s">
        <v>75</v>
      </c>
      <c r="B624" s="1">
        <v>0.19887299999999999</v>
      </c>
      <c r="C624" s="1">
        <v>0.196909</v>
      </c>
    </row>
    <row r="625" spans="1:3" x14ac:dyDescent="0.25">
      <c r="A625" s="4" t="s">
        <v>117</v>
      </c>
      <c r="B625" s="1">
        <v>0.82010700000000003</v>
      </c>
      <c r="C625" s="1">
        <v>0.82233500000000004</v>
      </c>
    </row>
    <row r="626" spans="1:3" x14ac:dyDescent="0.25">
      <c r="A626" s="4" t="s">
        <v>118</v>
      </c>
      <c r="B626" s="1">
        <v>0.83749799999999996</v>
      </c>
      <c r="C626" s="1">
        <v>0.83599400000000001</v>
      </c>
    </row>
    <row r="627" spans="1:3" x14ac:dyDescent="0.25">
      <c r="A627" s="4" t="s">
        <v>119</v>
      </c>
      <c r="B627" s="1">
        <v>0.71098499999999998</v>
      </c>
      <c r="C627" s="1">
        <v>0.70876899999999998</v>
      </c>
    </row>
    <row r="628" spans="1:3" x14ac:dyDescent="0.25">
      <c r="A628" s="4" t="s">
        <v>120</v>
      </c>
      <c r="B628" s="1">
        <v>2.4251999999999999E-2</v>
      </c>
      <c r="C628" s="1">
        <v>2.2828000000000001E-2</v>
      </c>
    </row>
    <row r="629" spans="1:3" x14ac:dyDescent="0.25">
      <c r="A629" s="4" t="s">
        <v>121</v>
      </c>
      <c r="B629" s="1">
        <v>0.49061199999999999</v>
      </c>
      <c r="C629" s="1">
        <v>0.48800399999999999</v>
      </c>
    </row>
    <row r="630" spans="1:3" x14ac:dyDescent="0.25">
      <c r="A630" s="4" t="s">
        <v>122</v>
      </c>
      <c r="B630" s="1">
        <v>0.68302600000000002</v>
      </c>
      <c r="C630" s="1">
        <v>0.68075799999999997</v>
      </c>
    </row>
    <row r="631" spans="1:3" x14ac:dyDescent="0.25">
      <c r="A631" s="4" t="s">
        <v>123</v>
      </c>
      <c r="B631" s="1">
        <v>0.38374799999999998</v>
      </c>
      <c r="C631" s="1">
        <v>0.38646399999999997</v>
      </c>
    </row>
    <row r="632" spans="1:3" x14ac:dyDescent="0.25">
      <c r="A632" s="4" t="s">
        <v>124</v>
      </c>
      <c r="B632" s="1">
        <v>5.1858000000000001E-2</v>
      </c>
      <c r="C632" s="1">
        <v>5.5253999999999998E-2</v>
      </c>
    </row>
    <row r="633" spans="1:3" x14ac:dyDescent="0.25">
      <c r="A633" s="4" t="s">
        <v>125</v>
      </c>
      <c r="B633" s="1">
        <v>0.56990099999999999</v>
      </c>
      <c r="C633" s="1">
        <v>0.57219699999999996</v>
      </c>
    </row>
    <row r="634" spans="1:3" x14ac:dyDescent="0.25">
      <c r="A634" s="4" t="s">
        <v>87</v>
      </c>
      <c r="B634" s="1">
        <v>0.44867299999999999</v>
      </c>
      <c r="C634" s="1">
        <v>0.45009300000000002</v>
      </c>
    </row>
    <row r="635" spans="1:3" x14ac:dyDescent="0.25">
      <c r="A635" s="4" t="s">
        <v>126</v>
      </c>
      <c r="B635" s="1">
        <v>0.80859300000000001</v>
      </c>
      <c r="C635" s="1">
        <v>0.80629700000000004</v>
      </c>
    </row>
    <row r="636" spans="1:3" x14ac:dyDescent="0.25">
      <c r="A636" s="4" t="s">
        <v>127</v>
      </c>
      <c r="B636" s="1">
        <v>0.82420800000000005</v>
      </c>
      <c r="C636" s="1">
        <v>0.82768799999999998</v>
      </c>
    </row>
    <row r="637" spans="1:3" x14ac:dyDescent="0.25">
      <c r="A637" s="4" t="s">
        <v>128</v>
      </c>
      <c r="B637" s="1">
        <v>6.3480999999999996E-2</v>
      </c>
      <c r="C637" s="1">
        <v>6.6905000000000006E-2</v>
      </c>
    </row>
    <row r="638" spans="1:3" x14ac:dyDescent="0.25">
      <c r="A638" s="4" t="s">
        <v>129</v>
      </c>
      <c r="B638" s="1">
        <v>0.89078199999999996</v>
      </c>
      <c r="C638" s="1">
        <v>0.89239400000000002</v>
      </c>
    </row>
    <row r="639" spans="1:3" x14ac:dyDescent="0.25">
      <c r="A639" s="4" t="s">
        <v>130</v>
      </c>
      <c r="B639" s="1">
        <v>0.54161700000000002</v>
      </c>
      <c r="C639" s="1">
        <v>0.53762900000000002</v>
      </c>
    </row>
    <row r="640" spans="1:3" x14ac:dyDescent="0.25">
      <c r="A640" s="4" t="s">
        <v>131</v>
      </c>
      <c r="B640" s="1">
        <v>5.3295000000000002E-2</v>
      </c>
      <c r="C640" s="1">
        <v>5.0727000000000001E-2</v>
      </c>
    </row>
    <row r="641" spans="1:3" x14ac:dyDescent="0.25">
      <c r="A641" s="4" t="s">
        <v>132</v>
      </c>
      <c r="B641" s="1">
        <v>6.6352999999999995E-2</v>
      </c>
      <c r="C641" s="1">
        <v>6.3589000000000007E-2</v>
      </c>
    </row>
    <row r="642" spans="1:3" x14ac:dyDescent="0.25">
      <c r="A642" s="4" t="s">
        <v>179</v>
      </c>
      <c r="B642" s="1">
        <v>0.92008900000000005</v>
      </c>
      <c r="C642" s="1">
        <v>0.92382900000000001</v>
      </c>
    </row>
    <row r="643" spans="1:3" x14ac:dyDescent="0.25">
      <c r="A643" s="4" t="s">
        <v>134</v>
      </c>
      <c r="B643" s="1">
        <v>0.16026199999999999</v>
      </c>
      <c r="C643" s="1">
        <v>0.16416600000000001</v>
      </c>
    </row>
    <row r="644" spans="1:3" x14ac:dyDescent="0.25">
      <c r="A644" s="4" t="s">
        <v>135</v>
      </c>
      <c r="B644" s="1">
        <v>2.2994000000000001E-2</v>
      </c>
      <c r="C644" s="1">
        <v>2.5885999999999999E-2</v>
      </c>
    </row>
    <row r="645" spans="1:3" x14ac:dyDescent="0.25">
      <c r="A645" s="4" t="s">
        <v>136</v>
      </c>
      <c r="B645" s="1">
        <v>0.67697099999999999</v>
      </c>
      <c r="C645" s="1">
        <v>0.67554700000000001</v>
      </c>
    </row>
    <row r="646" spans="1:3" x14ac:dyDescent="0.25">
      <c r="A646" s="4" t="s">
        <v>137</v>
      </c>
      <c r="B646" s="1">
        <v>0.78898900000000005</v>
      </c>
      <c r="C646" s="1">
        <v>0.78733299999999995</v>
      </c>
    </row>
    <row r="647" spans="1:3" x14ac:dyDescent="0.25">
      <c r="A647" s="4" t="s">
        <v>138</v>
      </c>
      <c r="B647" s="1">
        <v>0.94605499999999998</v>
      </c>
      <c r="C647" s="1">
        <v>0.94314699999999996</v>
      </c>
    </row>
    <row r="648" spans="1:3" x14ac:dyDescent="0.25">
      <c r="A648" s="4" t="s">
        <v>139</v>
      </c>
      <c r="B648" s="1">
        <v>0.28436099999999997</v>
      </c>
      <c r="C648" s="1">
        <v>0.286385</v>
      </c>
    </row>
    <row r="649" spans="1:3" x14ac:dyDescent="0.25">
      <c r="A649" s="4" t="s">
        <v>140</v>
      </c>
      <c r="B649" s="1">
        <v>0.90234800000000004</v>
      </c>
      <c r="C649" s="1">
        <v>0.89943600000000001</v>
      </c>
    </row>
    <row r="650" spans="1:3" x14ac:dyDescent="0.25">
      <c r="A650" s="4" t="s">
        <v>141</v>
      </c>
      <c r="B650" s="1">
        <v>0.85301000000000005</v>
      </c>
      <c r="C650" s="1">
        <v>0.85059799999999997</v>
      </c>
    </row>
    <row r="651" spans="1:3" x14ac:dyDescent="0.25">
      <c r="A651" s="4" t="s">
        <v>142</v>
      </c>
      <c r="B651" s="1">
        <v>0.24293500000000001</v>
      </c>
      <c r="C651" s="1">
        <v>0.24593100000000001</v>
      </c>
    </row>
    <row r="652" spans="1:3" x14ac:dyDescent="0.25">
      <c r="A652" s="4" t="s">
        <v>143</v>
      </c>
      <c r="B652" s="1">
        <v>0.80431299999999994</v>
      </c>
      <c r="C652" s="1">
        <v>0.80078099999999997</v>
      </c>
    </row>
    <row r="653" spans="1:3" x14ac:dyDescent="0.25">
      <c r="A653" s="4" t="s">
        <v>144</v>
      </c>
      <c r="B653" s="1">
        <v>0.73835600000000001</v>
      </c>
      <c r="C653" s="1">
        <v>0.73983200000000005</v>
      </c>
    </row>
    <row r="654" spans="1:3" x14ac:dyDescent="0.25">
      <c r="A654" s="4" t="s">
        <v>145</v>
      </c>
      <c r="B654" s="1">
        <v>0.47162799999999999</v>
      </c>
      <c r="C654" s="1">
        <v>0.46820800000000001</v>
      </c>
    </row>
    <row r="655" spans="1:3" x14ac:dyDescent="0.25">
      <c r="A655" s="4" t="s">
        <v>146</v>
      </c>
      <c r="B655" s="1">
        <v>0.72777400000000003</v>
      </c>
      <c r="C655" s="1">
        <v>0.72487400000000002</v>
      </c>
    </row>
    <row r="656" spans="1:3" x14ac:dyDescent="0.25">
      <c r="A656" s="4" t="s">
        <v>147</v>
      </c>
      <c r="B656" s="1">
        <v>0.42548399999999997</v>
      </c>
      <c r="C656" s="1">
        <v>0.42727199999999999</v>
      </c>
    </row>
    <row r="657" spans="1:3" x14ac:dyDescent="0.25">
      <c r="A657" s="4" t="s">
        <v>148</v>
      </c>
      <c r="B657" s="1">
        <v>0.84191199999999999</v>
      </c>
      <c r="C657" s="1">
        <v>0.84441600000000006</v>
      </c>
    </row>
    <row r="658" spans="1:3" x14ac:dyDescent="0.25">
      <c r="A658" s="4" t="s">
        <v>149</v>
      </c>
      <c r="B658" s="1">
        <v>0.84406099999999995</v>
      </c>
      <c r="C658" s="1">
        <v>0.84692100000000003</v>
      </c>
    </row>
    <row r="659" spans="1:3" x14ac:dyDescent="0.25">
      <c r="A659" s="4" t="s">
        <v>150</v>
      </c>
      <c r="B659" s="1">
        <v>0.71468200000000004</v>
      </c>
      <c r="C659" s="1">
        <v>0.71811000000000003</v>
      </c>
    </row>
    <row r="660" spans="1:3" x14ac:dyDescent="0.25">
      <c r="A660" s="4" t="s">
        <v>180</v>
      </c>
      <c r="B660" s="1">
        <v>0.14814099999999999</v>
      </c>
      <c r="C660" s="1">
        <v>0.14450499999999999</v>
      </c>
    </row>
    <row r="661" spans="1:3" x14ac:dyDescent="0.25">
      <c r="A661" s="4" t="s">
        <v>152</v>
      </c>
      <c r="B661" s="1">
        <v>0.76902999999999999</v>
      </c>
      <c r="C661" s="1">
        <v>0.76503399999999999</v>
      </c>
    </row>
    <row r="662" spans="1:3" x14ac:dyDescent="0.25">
      <c r="A662" s="4" t="s">
        <v>153</v>
      </c>
      <c r="B662" s="1">
        <v>0.36479400000000001</v>
      </c>
      <c r="C662" s="1">
        <v>0.36725799999999997</v>
      </c>
    </row>
    <row r="663" spans="1:3" x14ac:dyDescent="0.25">
      <c r="A663" s="4" t="s">
        <v>154</v>
      </c>
      <c r="B663" s="1">
        <v>0.53641000000000005</v>
      </c>
      <c r="C663" s="1">
        <v>0.53306200000000004</v>
      </c>
    </row>
    <row r="664" spans="1:3" x14ac:dyDescent="0.25">
      <c r="A664" s="4" t="s">
        <v>155</v>
      </c>
      <c r="B664" s="1">
        <v>0.38238299999999997</v>
      </c>
      <c r="C664" s="1">
        <v>0.38064700000000001</v>
      </c>
    </row>
    <row r="665" spans="1:3" x14ac:dyDescent="0.25">
      <c r="A665" s="4" t="s">
        <v>156</v>
      </c>
      <c r="B665" s="1">
        <v>0.47500999999999999</v>
      </c>
      <c r="C665" s="1">
        <v>0.47900199999999998</v>
      </c>
    </row>
    <row r="666" spans="1:3" x14ac:dyDescent="0.25">
      <c r="A666" s="4" t="s">
        <v>157</v>
      </c>
      <c r="B666" s="1">
        <v>0.72528599999999999</v>
      </c>
      <c r="C666" s="1">
        <v>0.72699800000000003</v>
      </c>
    </row>
    <row r="667" spans="1:3" x14ac:dyDescent="0.25">
      <c r="A667" s="4" t="s">
        <v>158</v>
      </c>
      <c r="B667" s="1">
        <v>0.58547800000000005</v>
      </c>
      <c r="C667" s="1">
        <v>0.58823000000000003</v>
      </c>
    </row>
    <row r="668" spans="1:3" x14ac:dyDescent="0.25">
      <c r="A668" s="4" t="s">
        <v>159</v>
      </c>
      <c r="B668" s="1">
        <v>0.37415799999999999</v>
      </c>
      <c r="C668" s="1">
        <v>0.375778</v>
      </c>
    </row>
    <row r="669" spans="1:3" x14ac:dyDescent="0.25">
      <c r="A669" s="4" t="s">
        <v>160</v>
      </c>
      <c r="B669" s="1">
        <v>0.85336199999999995</v>
      </c>
      <c r="C669" s="1">
        <v>0.85630600000000001</v>
      </c>
    </row>
    <row r="670" spans="1:3" x14ac:dyDescent="0.25">
      <c r="A670" s="4" t="s">
        <v>161</v>
      </c>
      <c r="B670" s="1">
        <v>0.87226400000000004</v>
      </c>
      <c r="C670" s="1">
        <v>0.86888399999999999</v>
      </c>
    </row>
    <row r="671" spans="1:3" x14ac:dyDescent="0.25">
      <c r="A671" s="4" t="s">
        <v>162</v>
      </c>
      <c r="B671" s="1">
        <v>0.42178399999999999</v>
      </c>
      <c r="C671" s="1">
        <v>0.42480400000000001</v>
      </c>
    </row>
    <row r="672" spans="1:3" x14ac:dyDescent="0.25">
      <c r="A672" s="4" t="s">
        <v>163</v>
      </c>
      <c r="B672" s="1">
        <v>0.71701300000000001</v>
      </c>
      <c r="C672" s="1">
        <v>0.71365299999999998</v>
      </c>
    </row>
    <row r="673" spans="1:3" x14ac:dyDescent="0.25">
      <c r="A673" s="4" t="s">
        <v>107</v>
      </c>
      <c r="B673" s="1">
        <v>2.9825000000000001E-2</v>
      </c>
      <c r="C673" s="1">
        <v>3.3637E-2</v>
      </c>
    </row>
    <row r="674" spans="1:3" x14ac:dyDescent="0.25">
      <c r="A674" s="4" t="s">
        <v>16</v>
      </c>
      <c r="B674" s="1">
        <v>0.26755400000000001</v>
      </c>
      <c r="C674" s="1">
        <v>0.266042</v>
      </c>
    </row>
    <row r="675" spans="1:3" x14ac:dyDescent="0.25">
      <c r="A675" s="4" t="s">
        <v>64</v>
      </c>
      <c r="B675" s="1">
        <v>0.184341</v>
      </c>
      <c r="C675" s="1">
        <v>0.18803700000000001</v>
      </c>
    </row>
    <row r="676" spans="1:3" x14ac:dyDescent="0.25">
      <c r="A676" s="4" t="s">
        <v>155</v>
      </c>
      <c r="B676" s="1">
        <v>0.55934799999999996</v>
      </c>
      <c r="C676" s="1">
        <v>0.55619200000000002</v>
      </c>
    </row>
    <row r="677" spans="1:3" x14ac:dyDescent="0.25">
      <c r="A677" s="4" t="s">
        <v>74</v>
      </c>
      <c r="B677" s="1">
        <v>0.30348399999999998</v>
      </c>
      <c r="C677" s="1">
        <v>0.30182799999999999</v>
      </c>
    </row>
    <row r="678" spans="1:3" x14ac:dyDescent="0.25">
      <c r="A678" s="4" t="s">
        <v>21</v>
      </c>
      <c r="B678" s="1">
        <v>0.25031599999999998</v>
      </c>
      <c r="C678" s="1">
        <v>0.24890399999999999</v>
      </c>
    </row>
    <row r="679" spans="1:3" x14ac:dyDescent="0.25">
      <c r="A679" s="4" t="s">
        <v>27</v>
      </c>
      <c r="B679" s="1">
        <v>7.0146E-2</v>
      </c>
      <c r="C679" s="1">
        <v>6.633E-2</v>
      </c>
    </row>
    <row r="680" spans="1:3" x14ac:dyDescent="0.25">
      <c r="A680" s="4" t="s">
        <v>83</v>
      </c>
      <c r="B680" s="1">
        <v>6.6768999999999995E-2</v>
      </c>
      <c r="C680" s="1">
        <v>6.9177000000000002E-2</v>
      </c>
    </row>
    <row r="681" spans="1:3" x14ac:dyDescent="0.25">
      <c r="A681" s="4" t="s">
        <v>60</v>
      </c>
      <c r="B681" s="1">
        <v>0.42548900000000001</v>
      </c>
      <c r="C681" s="1">
        <v>0.42702099999999998</v>
      </c>
    </row>
    <row r="682" spans="1:3" x14ac:dyDescent="0.25">
      <c r="A682" s="4" t="s">
        <v>12</v>
      </c>
      <c r="B682" s="1">
        <v>0.67800800000000006</v>
      </c>
      <c r="C682" s="1">
        <v>0.67982399999999998</v>
      </c>
    </row>
    <row r="683" spans="1:3" x14ac:dyDescent="0.25">
      <c r="A683" s="4" t="s">
        <v>49</v>
      </c>
      <c r="B683" s="1">
        <v>0.76098399999999999</v>
      </c>
      <c r="C683" s="1">
        <v>0.75931599999999999</v>
      </c>
    </row>
    <row r="684" spans="1:3" x14ac:dyDescent="0.25">
      <c r="A684" s="4" t="s">
        <v>47</v>
      </c>
      <c r="B684" s="1">
        <v>0.203124</v>
      </c>
      <c r="C684" s="1">
        <v>0.204928</v>
      </c>
    </row>
    <row r="685" spans="1:3" x14ac:dyDescent="0.25">
      <c r="A685" s="4" t="s">
        <v>41</v>
      </c>
      <c r="B685" s="1">
        <v>0.55237700000000001</v>
      </c>
      <c r="C685" s="1">
        <v>0.55376899999999996</v>
      </c>
    </row>
    <row r="686" spans="1:3" x14ac:dyDescent="0.25">
      <c r="A686" s="4" t="s">
        <v>117</v>
      </c>
      <c r="B686" s="1">
        <v>0.184863</v>
      </c>
      <c r="C686" s="1">
        <v>0.181919</v>
      </c>
    </row>
    <row r="687" spans="1:3" x14ac:dyDescent="0.25">
      <c r="A687" s="4" t="s">
        <v>162</v>
      </c>
      <c r="B687" s="1">
        <v>0.15484700000000001</v>
      </c>
      <c r="C687" s="1">
        <v>0.152063</v>
      </c>
    </row>
    <row r="688" spans="1:3" x14ac:dyDescent="0.25">
      <c r="A688" s="4" t="s">
        <v>5</v>
      </c>
      <c r="B688" s="1">
        <v>0.19459099999999999</v>
      </c>
      <c r="C688" s="1">
        <v>0.196183</v>
      </c>
    </row>
    <row r="689" spans="1:3" x14ac:dyDescent="0.25">
      <c r="A689" s="4" t="s">
        <v>109</v>
      </c>
      <c r="B689" s="1">
        <v>0.36385299999999998</v>
      </c>
      <c r="C689" s="1">
        <v>0.36585299999999998</v>
      </c>
    </row>
    <row r="690" spans="1:3" x14ac:dyDescent="0.25">
      <c r="A690" s="4" t="s">
        <v>75</v>
      </c>
      <c r="B690" s="1">
        <v>0.33326600000000001</v>
      </c>
      <c r="C690" s="1">
        <v>0.32928600000000002</v>
      </c>
    </row>
    <row r="691" spans="1:3" x14ac:dyDescent="0.25">
      <c r="A691" s="4" t="s">
        <v>75</v>
      </c>
      <c r="B691" s="1">
        <v>0.75790400000000002</v>
      </c>
      <c r="C691" s="1">
        <v>0.75648000000000004</v>
      </c>
    </row>
    <row r="692" spans="1:3" x14ac:dyDescent="0.25">
      <c r="A692" s="4" t="s">
        <v>68</v>
      </c>
      <c r="B692" s="1">
        <v>0.40887499999999999</v>
      </c>
      <c r="C692" s="1">
        <v>0.40652700000000003</v>
      </c>
    </row>
    <row r="693" spans="1:3" x14ac:dyDescent="0.25">
      <c r="A693" s="4" t="s">
        <v>72</v>
      </c>
      <c r="B693" s="1">
        <v>0.44072499999999998</v>
      </c>
      <c r="C693" s="1">
        <v>0.43829299999999999</v>
      </c>
    </row>
    <row r="694" spans="1:3" x14ac:dyDescent="0.25">
      <c r="A694" s="4" t="s">
        <v>3</v>
      </c>
      <c r="B694" s="1">
        <v>0.640208</v>
      </c>
      <c r="C694" s="1">
        <v>0.64333600000000002</v>
      </c>
    </row>
    <row r="695" spans="1:3" x14ac:dyDescent="0.25">
      <c r="A695" s="4" t="s">
        <v>181</v>
      </c>
      <c r="B695" s="1">
        <v>0.89040600000000003</v>
      </c>
      <c r="C695" s="1">
        <v>0.88888599999999995</v>
      </c>
    </row>
    <row r="696" spans="1:3" x14ac:dyDescent="0.25">
      <c r="A696" s="4" t="s">
        <v>16</v>
      </c>
      <c r="B696" s="1">
        <v>0.25660300000000003</v>
      </c>
      <c r="C696" s="1">
        <v>0.25871100000000002</v>
      </c>
    </row>
    <row r="697" spans="1:3" x14ac:dyDescent="0.25">
      <c r="A697" s="4" t="s">
        <v>64</v>
      </c>
      <c r="B697" s="1">
        <v>0.122706</v>
      </c>
      <c r="C697" s="1">
        <v>0.118814</v>
      </c>
    </row>
    <row r="698" spans="1:3" x14ac:dyDescent="0.25">
      <c r="A698" s="4" t="s">
        <v>155</v>
      </c>
      <c r="B698" s="1">
        <v>0.58026999999999995</v>
      </c>
      <c r="C698" s="1">
        <v>0.58299400000000001</v>
      </c>
    </row>
    <row r="699" spans="1:3" x14ac:dyDescent="0.25">
      <c r="A699" s="4" t="s">
        <v>74</v>
      </c>
      <c r="B699" s="1">
        <v>0.91838799999999998</v>
      </c>
      <c r="C699" s="1">
        <v>0.91548399999999996</v>
      </c>
    </row>
    <row r="700" spans="1:3" x14ac:dyDescent="0.25">
      <c r="A700" s="4" t="s">
        <v>21</v>
      </c>
      <c r="B700" s="1">
        <v>0.54036300000000004</v>
      </c>
      <c r="C700" s="1">
        <v>0.54307099999999997</v>
      </c>
    </row>
    <row r="701" spans="1:3" x14ac:dyDescent="0.25">
      <c r="A701" s="4" t="s">
        <v>27</v>
      </c>
      <c r="B701" s="1">
        <v>0.45537100000000003</v>
      </c>
      <c r="C701" s="1">
        <v>0.45788699999999999</v>
      </c>
    </row>
    <row r="702" spans="1:3" x14ac:dyDescent="0.25">
      <c r="A702" s="4" t="s">
        <v>83</v>
      </c>
      <c r="B702" s="1">
        <v>0.91982600000000003</v>
      </c>
      <c r="C702" s="1">
        <v>0.91775399999999996</v>
      </c>
    </row>
    <row r="703" spans="1:3" x14ac:dyDescent="0.25">
      <c r="A703" s="4" t="s">
        <v>60</v>
      </c>
      <c r="B703" s="1">
        <v>0.22966</v>
      </c>
      <c r="C703" s="1">
        <v>0.23246800000000001</v>
      </c>
    </row>
    <row r="704" spans="1:3" x14ac:dyDescent="0.25">
      <c r="A704" s="4" t="s">
        <v>12</v>
      </c>
      <c r="B704" s="1">
        <v>0.55209399999999997</v>
      </c>
      <c r="C704" s="1">
        <v>0.54861000000000004</v>
      </c>
    </row>
    <row r="705" spans="1:3" x14ac:dyDescent="0.25">
      <c r="A705" s="4" t="s">
        <v>49</v>
      </c>
      <c r="B705" s="1">
        <v>0.558307</v>
      </c>
      <c r="C705" s="1">
        <v>0.55478700000000003</v>
      </c>
    </row>
    <row r="706" spans="1:3" x14ac:dyDescent="0.25">
      <c r="A706" s="4" t="s">
        <v>47</v>
      </c>
      <c r="B706" s="1">
        <v>0.33376899999999998</v>
      </c>
      <c r="C706" s="1">
        <v>0.33111299999999999</v>
      </c>
    </row>
    <row r="707" spans="1:3" x14ac:dyDescent="0.25">
      <c r="A707" s="4" t="s">
        <v>41</v>
      </c>
      <c r="B707" s="1">
        <v>0.57073399999999996</v>
      </c>
      <c r="C707" s="1">
        <v>0.56704200000000005</v>
      </c>
    </row>
    <row r="708" spans="1:3" x14ac:dyDescent="0.25">
      <c r="A708" s="4" t="s">
        <v>117</v>
      </c>
      <c r="B708" s="1">
        <v>0.73974700000000004</v>
      </c>
      <c r="C708" s="1">
        <v>0.74296300000000004</v>
      </c>
    </row>
    <row r="709" spans="1:3" x14ac:dyDescent="0.25">
      <c r="A709" s="4" t="s">
        <v>182</v>
      </c>
      <c r="B709" s="1">
        <v>0.83426</v>
      </c>
      <c r="C709" s="1">
        <v>0.83696800000000005</v>
      </c>
    </row>
    <row r="710" spans="1:3" x14ac:dyDescent="0.25">
      <c r="A710" s="4" t="s">
        <v>5</v>
      </c>
      <c r="B710" s="1">
        <v>0.53817999999999999</v>
      </c>
      <c r="C710" s="1">
        <v>0.53967600000000004</v>
      </c>
    </row>
    <row r="711" spans="1:3" x14ac:dyDescent="0.25">
      <c r="A711" s="4" t="s">
        <v>109</v>
      </c>
      <c r="B711" s="1">
        <v>0.58387299999999998</v>
      </c>
      <c r="C711" s="1">
        <v>0.58202500000000001</v>
      </c>
    </row>
    <row r="712" spans="1:3" x14ac:dyDescent="0.25">
      <c r="A712" s="4" t="s">
        <v>75</v>
      </c>
      <c r="B712" s="1">
        <v>0.55288199999999998</v>
      </c>
      <c r="C712" s="1">
        <v>0.55628200000000005</v>
      </c>
    </row>
    <row r="713" spans="1:3" x14ac:dyDescent="0.25">
      <c r="A713" s="4" t="s">
        <v>75</v>
      </c>
      <c r="B713" s="1">
        <v>0.294576</v>
      </c>
      <c r="C713" s="1">
        <v>0.292016</v>
      </c>
    </row>
    <row r="714" spans="1:3" x14ac:dyDescent="0.25">
      <c r="A714" s="4" t="s">
        <v>68</v>
      </c>
      <c r="B714" s="1">
        <v>0.71384899999999996</v>
      </c>
      <c r="C714" s="1">
        <v>0.71065299999999998</v>
      </c>
    </row>
    <row r="715" spans="1:3" x14ac:dyDescent="0.25">
      <c r="A715" s="4" t="s">
        <v>72</v>
      </c>
      <c r="B715" s="1">
        <v>0.40520400000000001</v>
      </c>
      <c r="C715" s="1">
        <v>0.40260400000000002</v>
      </c>
    </row>
    <row r="716" spans="1:3" x14ac:dyDescent="0.25">
      <c r="A716" s="4" t="s">
        <v>3</v>
      </c>
      <c r="B716" s="1">
        <v>0.59558999999999995</v>
      </c>
      <c r="C716" s="1">
        <v>0.59787400000000002</v>
      </c>
    </row>
    <row r="717" spans="1:3" x14ac:dyDescent="0.25">
      <c r="A717" s="4" t="s">
        <v>47</v>
      </c>
      <c r="B717" s="1">
        <v>0.56683799999999995</v>
      </c>
      <c r="C717" s="1">
        <v>0.56295399999999995</v>
      </c>
    </row>
    <row r="718" spans="1:3" x14ac:dyDescent="0.25">
      <c r="A718" s="4" t="s">
        <v>41</v>
      </c>
      <c r="B718" s="1">
        <v>0.101677</v>
      </c>
      <c r="C718" s="1">
        <v>9.9404999999999993E-2</v>
      </c>
    </row>
    <row r="719" spans="1:3" x14ac:dyDescent="0.25">
      <c r="A719" s="4" t="s">
        <v>117</v>
      </c>
      <c r="B719" s="1">
        <v>0.803373</v>
      </c>
      <c r="C719" s="1">
        <v>0.79982900000000001</v>
      </c>
    </row>
    <row r="720" spans="1:3" x14ac:dyDescent="0.25">
      <c r="A720" s="4" t="s">
        <v>162</v>
      </c>
      <c r="B720" s="1">
        <v>0.57133</v>
      </c>
      <c r="C720" s="1">
        <v>0.57415400000000005</v>
      </c>
    </row>
    <row r="721" spans="1:3" x14ac:dyDescent="0.25">
      <c r="A721" s="4" t="s">
        <v>5</v>
      </c>
      <c r="B721" s="1">
        <v>0.33269399999999999</v>
      </c>
      <c r="C721" s="1">
        <v>0.33667799999999998</v>
      </c>
    </row>
    <row r="722" spans="1:3" x14ac:dyDescent="0.25">
      <c r="A722" s="4" t="s">
        <v>109</v>
      </c>
      <c r="B722" s="1">
        <v>0.23508799999999999</v>
      </c>
      <c r="C722" s="1">
        <v>0.23294000000000001</v>
      </c>
    </row>
    <row r="723" spans="1:3" x14ac:dyDescent="0.25">
      <c r="A723" s="4" t="s">
        <v>47</v>
      </c>
      <c r="B723" s="1">
        <v>0.36631000000000002</v>
      </c>
      <c r="C723" s="1">
        <v>0.36299799999999999</v>
      </c>
    </row>
    <row r="724" spans="1:3" x14ac:dyDescent="0.25">
      <c r="A724" s="4" t="s">
        <v>41</v>
      </c>
      <c r="B724" s="1">
        <v>0.52646300000000001</v>
      </c>
      <c r="C724" s="1">
        <v>0.52316700000000005</v>
      </c>
    </row>
    <row r="725" spans="1:3" x14ac:dyDescent="0.25">
      <c r="A725" s="4" t="s">
        <v>117</v>
      </c>
      <c r="B725" s="1">
        <v>0.93513800000000002</v>
      </c>
      <c r="C725" s="1">
        <v>0.93698199999999998</v>
      </c>
    </row>
    <row r="726" spans="1:3" x14ac:dyDescent="0.25">
      <c r="A726" s="4" t="s">
        <v>162</v>
      </c>
      <c r="B726" s="1">
        <v>0.73413300000000004</v>
      </c>
      <c r="C726" s="1">
        <v>0.73189300000000002</v>
      </c>
    </row>
    <row r="727" spans="1:3" x14ac:dyDescent="0.25">
      <c r="A727" s="4" t="s">
        <v>5</v>
      </c>
      <c r="B727" s="1">
        <v>0.84894400000000003</v>
      </c>
      <c r="C727" s="1">
        <v>0.84666799999999998</v>
      </c>
    </row>
    <row r="728" spans="1:3" x14ac:dyDescent="0.25">
      <c r="A728" s="4" t="s">
        <v>109</v>
      </c>
      <c r="B728" s="1">
        <v>0.38767800000000002</v>
      </c>
      <c r="C728" s="1">
        <v>0.38923000000000002</v>
      </c>
    </row>
    <row r="729" spans="1:3" x14ac:dyDescent="0.25">
      <c r="A729" s="4" t="s">
        <v>47</v>
      </c>
      <c r="B729" s="1">
        <v>4.8843999999999999E-2</v>
      </c>
      <c r="C729" s="1">
        <v>5.1991999999999997E-2</v>
      </c>
    </row>
    <row r="730" spans="1:3" x14ac:dyDescent="0.25">
      <c r="A730" s="4" t="s">
        <v>41</v>
      </c>
      <c r="B730" s="1">
        <v>0.44640400000000002</v>
      </c>
      <c r="C730" s="1">
        <v>0.4481</v>
      </c>
    </row>
    <row r="731" spans="1:3" x14ac:dyDescent="0.25">
      <c r="A731" s="4" t="s">
        <v>117</v>
      </c>
      <c r="B731" s="1">
        <v>0.56385600000000002</v>
      </c>
      <c r="C731" s="1">
        <v>0.56057199999999996</v>
      </c>
    </row>
    <row r="732" spans="1:3" x14ac:dyDescent="0.25">
      <c r="A732" s="4" t="s">
        <v>162</v>
      </c>
      <c r="B732" s="1">
        <v>0.48971599999999998</v>
      </c>
      <c r="C732" s="1">
        <v>0.492728</v>
      </c>
    </row>
    <row r="733" spans="1:3" x14ac:dyDescent="0.25">
      <c r="A733" s="4" t="s">
        <v>5</v>
      </c>
      <c r="B733" s="1">
        <v>0.95572699999999999</v>
      </c>
      <c r="C733" s="1">
        <v>0.95332300000000003</v>
      </c>
    </row>
    <row r="734" spans="1:3" x14ac:dyDescent="0.25">
      <c r="A734" s="4" t="s">
        <v>109</v>
      </c>
      <c r="B734" s="1">
        <v>0.73162199999999999</v>
      </c>
      <c r="C734" s="1">
        <v>0.73468599999999995</v>
      </c>
    </row>
    <row r="735" spans="1:3" x14ac:dyDescent="0.25">
      <c r="A735" s="4" t="s">
        <v>47</v>
      </c>
      <c r="B735" s="1">
        <v>0.35125499999999998</v>
      </c>
      <c r="C735" s="1">
        <v>0.349383</v>
      </c>
    </row>
    <row r="736" spans="1:3" x14ac:dyDescent="0.25">
      <c r="A736" s="4" t="s">
        <v>41</v>
      </c>
      <c r="B736" s="1">
        <v>0.70953299999999997</v>
      </c>
      <c r="C736" s="1">
        <v>0.71285699999999996</v>
      </c>
    </row>
    <row r="737" spans="1:3" x14ac:dyDescent="0.25">
      <c r="A737" s="4" t="s">
        <v>117</v>
      </c>
      <c r="B737" s="1">
        <v>0.54806999999999995</v>
      </c>
      <c r="C737" s="1">
        <v>0.54442199999999996</v>
      </c>
    </row>
    <row r="738" spans="1:3" x14ac:dyDescent="0.25">
      <c r="A738" s="4" t="s">
        <v>162</v>
      </c>
      <c r="B738" s="1">
        <v>0.90659900000000004</v>
      </c>
      <c r="C738" s="1">
        <v>0.90828699999999996</v>
      </c>
    </row>
    <row r="739" spans="1:3" x14ac:dyDescent="0.25">
      <c r="A739" s="4" t="s">
        <v>5</v>
      </c>
      <c r="B739" s="1">
        <v>0.52575099999999997</v>
      </c>
      <c r="C739" s="1">
        <v>0.52411099999999999</v>
      </c>
    </row>
    <row r="740" spans="1:3" x14ac:dyDescent="0.25">
      <c r="A740" s="4" t="s">
        <v>109</v>
      </c>
      <c r="B740" s="1">
        <v>0.114372</v>
      </c>
      <c r="C740" s="1">
        <v>0.116748</v>
      </c>
    </row>
    <row r="741" spans="1:3" x14ac:dyDescent="0.25">
      <c r="A741" s="4" t="s">
        <v>162</v>
      </c>
      <c r="B741" s="1">
        <v>8.4322999999999995E-2</v>
      </c>
      <c r="C741" s="1">
        <v>8.0866999999999994E-2</v>
      </c>
    </row>
    <row r="742" spans="1:3" x14ac:dyDescent="0.25">
      <c r="A742" s="4" t="s">
        <v>5</v>
      </c>
      <c r="B742" s="1">
        <v>0.12634100000000001</v>
      </c>
      <c r="C742" s="1">
        <v>0.122433</v>
      </c>
    </row>
    <row r="743" spans="1:3" x14ac:dyDescent="0.25">
      <c r="A743" s="4" t="s">
        <v>109</v>
      </c>
      <c r="B743" s="1">
        <v>0.44507799999999997</v>
      </c>
      <c r="C743" s="1">
        <v>0.44834600000000002</v>
      </c>
    </row>
    <row r="744" spans="1:3" x14ac:dyDescent="0.25">
      <c r="A744" s="4" t="s">
        <v>162</v>
      </c>
      <c r="B744" s="1">
        <v>1.2021E-2</v>
      </c>
      <c r="C744" s="1">
        <v>1.3877E-2</v>
      </c>
    </row>
    <row r="745" spans="1:3" x14ac:dyDescent="0.25">
      <c r="A745" s="4" t="s">
        <v>5</v>
      </c>
      <c r="B745" s="1">
        <v>0.18615499999999999</v>
      </c>
      <c r="C745" s="1">
        <v>0.18418699999999999</v>
      </c>
    </row>
    <row r="746" spans="1:3" x14ac:dyDescent="0.25">
      <c r="A746" s="4" t="s">
        <v>109</v>
      </c>
      <c r="B746" s="1">
        <v>5.2546000000000002E-2</v>
      </c>
      <c r="C746" s="1">
        <v>5.0361999999999997E-2</v>
      </c>
    </row>
    <row r="747" spans="1:3" x14ac:dyDescent="0.25">
      <c r="A747" s="4" t="s">
        <v>162</v>
      </c>
      <c r="B747" s="1">
        <v>0.33263599999999999</v>
      </c>
      <c r="C747" s="1">
        <v>0.32883600000000002</v>
      </c>
    </row>
    <row r="748" spans="1:3" x14ac:dyDescent="0.25">
      <c r="A748" s="4" t="s">
        <v>5</v>
      </c>
      <c r="B748" s="1">
        <v>0.82136500000000001</v>
      </c>
      <c r="C748" s="1">
        <v>0.82473700000000005</v>
      </c>
    </row>
    <row r="749" spans="1:3" x14ac:dyDescent="0.25">
      <c r="A749" s="4" t="s">
        <v>109</v>
      </c>
      <c r="B749" s="1">
        <v>0.51990700000000001</v>
      </c>
      <c r="C749" s="1">
        <v>0.52331899999999998</v>
      </c>
    </row>
    <row r="750" spans="1:3" x14ac:dyDescent="0.25">
      <c r="A750" s="4" t="s">
        <v>87</v>
      </c>
      <c r="B750" s="1">
        <v>0.193798</v>
      </c>
      <c r="C750" s="1">
        <v>0.19087000000000001</v>
      </c>
    </row>
    <row r="751" spans="1:3" x14ac:dyDescent="0.25">
      <c r="A751" s="4" t="s">
        <v>87</v>
      </c>
      <c r="B751" s="1">
        <v>0.52210599999999996</v>
      </c>
      <c r="C751" s="1">
        <v>0.52360600000000002</v>
      </c>
    </row>
    <row r="752" spans="1:3" x14ac:dyDescent="0.25">
      <c r="A752" s="4" t="s">
        <v>87</v>
      </c>
      <c r="B752" s="1">
        <v>7.9268000000000005E-2</v>
      </c>
      <c r="C752" s="1">
        <v>8.1591999999999998E-2</v>
      </c>
    </row>
    <row r="753" spans="1:3" x14ac:dyDescent="0.25">
      <c r="A753" s="4" t="s">
        <v>87</v>
      </c>
      <c r="B753" s="1">
        <v>0.290101</v>
      </c>
      <c r="C753" s="1">
        <v>0.29200100000000001</v>
      </c>
    </row>
    <row r="754" spans="1:3" x14ac:dyDescent="0.25">
      <c r="A754" s="4" t="s">
        <v>56</v>
      </c>
      <c r="B754" s="1">
        <v>0.76231800000000005</v>
      </c>
      <c r="C754" s="1">
        <v>0.75952200000000003</v>
      </c>
    </row>
    <row r="755" spans="1:3" x14ac:dyDescent="0.25">
      <c r="A755" s="4" t="s">
        <v>132</v>
      </c>
      <c r="B755" s="1">
        <v>2.7099000000000002E-2</v>
      </c>
      <c r="C755" s="1">
        <v>2.2926999999999999E-2</v>
      </c>
    </row>
    <row r="756" spans="1:3" x14ac:dyDescent="0.25">
      <c r="A756" s="4" t="s">
        <v>18</v>
      </c>
      <c r="B756" s="1">
        <v>0.97761100000000001</v>
      </c>
      <c r="C756" s="1">
        <v>0.98051100000000002</v>
      </c>
    </row>
    <row r="757" spans="1:3" x14ac:dyDescent="0.25">
      <c r="A757" s="4" t="s">
        <v>85</v>
      </c>
      <c r="B757" s="1">
        <v>0.85538400000000003</v>
      </c>
      <c r="C757" s="1">
        <v>0.85827600000000004</v>
      </c>
    </row>
    <row r="758" spans="1:3" x14ac:dyDescent="0.25">
      <c r="A758" s="4" t="s">
        <v>112</v>
      </c>
      <c r="B758" s="1">
        <v>8.3103999999999997E-2</v>
      </c>
      <c r="C758" s="1">
        <v>8.0135999999999999E-2</v>
      </c>
    </row>
    <row r="759" spans="1:3" x14ac:dyDescent="0.25">
      <c r="A759" s="4" t="s">
        <v>103</v>
      </c>
      <c r="B759" s="1">
        <v>0.39823199999999997</v>
      </c>
      <c r="C759" s="1">
        <v>0.40016400000000002</v>
      </c>
    </row>
    <row r="760" spans="1:3" x14ac:dyDescent="0.25">
      <c r="A760" s="4" t="s">
        <v>57</v>
      </c>
      <c r="B760" s="1">
        <v>0.885293</v>
      </c>
      <c r="C760" s="1">
        <v>0.88205699999999998</v>
      </c>
    </row>
    <row r="761" spans="1:3" x14ac:dyDescent="0.25">
      <c r="A761" s="4" t="s">
        <v>183</v>
      </c>
      <c r="B761" s="1">
        <v>0.100374</v>
      </c>
      <c r="C761" s="1">
        <v>9.8185999999999996E-2</v>
      </c>
    </row>
    <row r="762" spans="1:3" x14ac:dyDescent="0.25">
      <c r="A762" s="4" t="s">
        <v>184</v>
      </c>
      <c r="B762" s="1">
        <v>0.58142000000000005</v>
      </c>
      <c r="C762" s="1">
        <v>0.58476799999999995</v>
      </c>
    </row>
    <row r="763" spans="1:3" x14ac:dyDescent="0.25">
      <c r="A763" s="4" t="s">
        <v>185</v>
      </c>
      <c r="B763" s="1">
        <v>0.79104600000000003</v>
      </c>
      <c r="C763" s="1">
        <v>0.78865799999999997</v>
      </c>
    </row>
    <row r="764" spans="1:3" x14ac:dyDescent="0.25">
      <c r="A764" s="4" t="s">
        <v>186</v>
      </c>
      <c r="B764" s="1">
        <v>0.53231499999999998</v>
      </c>
      <c r="C764" s="1">
        <v>0.52875499999999998</v>
      </c>
    </row>
    <row r="765" spans="1:3" x14ac:dyDescent="0.25">
      <c r="A765" s="4" t="s">
        <v>187</v>
      </c>
      <c r="B765" s="1">
        <v>0.688388</v>
      </c>
      <c r="C765" s="1">
        <v>0.69217200000000001</v>
      </c>
    </row>
    <row r="766" spans="1:3" x14ac:dyDescent="0.25">
      <c r="A766" s="4" t="s">
        <v>188</v>
      </c>
      <c r="B766" s="1">
        <v>0.28119699999999997</v>
      </c>
      <c r="C766" s="1">
        <v>0.27765699999999999</v>
      </c>
    </row>
    <row r="767" spans="1:3" x14ac:dyDescent="0.25">
      <c r="A767" s="4" t="s">
        <v>189</v>
      </c>
      <c r="B767" s="1">
        <v>0.99743400000000004</v>
      </c>
      <c r="C767" s="1">
        <v>0.99429400000000001</v>
      </c>
    </row>
    <row r="768" spans="1:3" x14ac:dyDescent="0.25">
      <c r="A768" s="4" t="s">
        <v>190</v>
      </c>
      <c r="B768" s="1">
        <v>0.78212599999999999</v>
      </c>
      <c r="C768" s="1">
        <v>0.779918</v>
      </c>
    </row>
    <row r="769" spans="1:3" x14ac:dyDescent="0.25">
      <c r="A769" s="4" t="s">
        <v>191</v>
      </c>
      <c r="B769" s="1">
        <v>0.193879</v>
      </c>
      <c r="C769" s="1">
        <v>0.19175500000000001</v>
      </c>
    </row>
    <row r="770" spans="1:3" x14ac:dyDescent="0.25">
      <c r="A770" s="4" t="s">
        <v>192</v>
      </c>
      <c r="B770" s="1">
        <v>0.23611099999999999</v>
      </c>
      <c r="C770" s="1">
        <v>0.23797099999999999</v>
      </c>
    </row>
    <row r="771" spans="1:3" x14ac:dyDescent="0.25">
      <c r="A771" s="4" t="s">
        <v>193</v>
      </c>
      <c r="B771" s="1">
        <v>0.122076</v>
      </c>
      <c r="C771" s="1">
        <v>0.12460400000000001</v>
      </c>
    </row>
    <row r="772" spans="1:3" x14ac:dyDescent="0.25">
      <c r="A772" s="4" t="s">
        <v>194</v>
      </c>
      <c r="B772" s="1">
        <v>0.59056699999999995</v>
      </c>
      <c r="C772" s="1">
        <v>0.58848299999999998</v>
      </c>
    </row>
    <row r="773" spans="1:3" x14ac:dyDescent="0.25">
      <c r="A773" s="4" t="s">
        <v>195</v>
      </c>
      <c r="B773" s="1">
        <v>0.41790500000000003</v>
      </c>
      <c r="C773" s="1">
        <v>0.415773</v>
      </c>
    </row>
    <row r="774" spans="1:3" x14ac:dyDescent="0.25">
      <c r="A774" s="4" t="s">
        <v>196</v>
      </c>
      <c r="B774" s="1">
        <v>0.73899499999999996</v>
      </c>
      <c r="C774" s="1">
        <v>0.74130700000000005</v>
      </c>
    </row>
    <row r="775" spans="1:3" x14ac:dyDescent="0.25">
      <c r="A775" s="4" t="s">
        <v>197</v>
      </c>
      <c r="B775" s="1">
        <v>0.35936200000000001</v>
      </c>
      <c r="C775" s="1">
        <v>0.35786600000000002</v>
      </c>
    </row>
    <row r="776" spans="1:3" x14ac:dyDescent="0.25">
      <c r="A776" s="4" t="s">
        <v>198</v>
      </c>
      <c r="B776" s="1">
        <v>0.220692</v>
      </c>
      <c r="C776" s="1">
        <v>0.218588</v>
      </c>
    </row>
    <row r="777" spans="1:3" x14ac:dyDescent="0.25">
      <c r="A777" s="4" t="s">
        <v>199</v>
      </c>
      <c r="B777" s="1">
        <v>5.1676E-2</v>
      </c>
      <c r="C777" s="1">
        <v>5.3148000000000001E-2</v>
      </c>
    </row>
    <row r="778" spans="1:3" x14ac:dyDescent="0.25">
      <c r="A778" s="4" t="s">
        <v>200</v>
      </c>
      <c r="B778" s="1">
        <v>0.64594499999999999</v>
      </c>
      <c r="C778" s="1">
        <v>0.649501</v>
      </c>
    </row>
    <row r="779" spans="1:3" x14ac:dyDescent="0.25">
      <c r="A779" s="4" t="s">
        <v>201</v>
      </c>
      <c r="B779" s="1">
        <v>1.3842999999999999E-2</v>
      </c>
      <c r="C779" s="1">
        <v>1.1911E-2</v>
      </c>
    </row>
    <row r="780" spans="1:3" x14ac:dyDescent="0.25">
      <c r="A780" s="4" t="s">
        <v>202</v>
      </c>
      <c r="B780" s="1">
        <v>0.817774</v>
      </c>
      <c r="C780" s="1">
        <v>0.82153799999999999</v>
      </c>
    </row>
    <row r="781" spans="1:3" x14ac:dyDescent="0.25">
      <c r="A781" s="4" t="s">
        <v>203</v>
      </c>
      <c r="B781" s="1">
        <v>0.49404599999999999</v>
      </c>
      <c r="C781" s="1">
        <v>0.49249399999999999</v>
      </c>
    </row>
    <row r="782" spans="1:3" x14ac:dyDescent="0.25">
      <c r="A782" s="4" t="s">
        <v>204</v>
      </c>
      <c r="B782" s="1">
        <v>0.62856599999999996</v>
      </c>
      <c r="C782" s="1">
        <v>0.631602</v>
      </c>
    </row>
    <row r="783" spans="1:3" x14ac:dyDescent="0.25">
      <c r="A783" s="4" t="s">
        <v>205</v>
      </c>
      <c r="B783" s="1">
        <v>0.62204599999999999</v>
      </c>
      <c r="C783" s="1">
        <v>0.62412999999999996</v>
      </c>
    </row>
    <row r="784" spans="1:3" x14ac:dyDescent="0.25">
      <c r="A784" s="4" t="s">
        <v>206</v>
      </c>
      <c r="B784" s="1">
        <v>0.65591200000000005</v>
      </c>
      <c r="C784" s="1">
        <v>0.65336000000000005</v>
      </c>
    </row>
    <row r="785" spans="1:3" x14ac:dyDescent="0.25">
      <c r="A785" s="4" t="s">
        <v>207</v>
      </c>
      <c r="B785" s="1">
        <v>0.68479000000000001</v>
      </c>
      <c r="C785" s="1">
        <v>0.68872999999999995</v>
      </c>
    </row>
    <row r="786" spans="1:3" x14ac:dyDescent="0.25">
      <c r="A786" s="4" t="s">
        <v>208</v>
      </c>
      <c r="B786" s="1">
        <v>0.81711299999999998</v>
      </c>
      <c r="C786" s="1">
        <v>0.81896500000000005</v>
      </c>
    </row>
    <row r="787" spans="1:3" x14ac:dyDescent="0.25">
      <c r="A787" s="4" t="s">
        <v>209</v>
      </c>
      <c r="B787" s="1">
        <v>0.40768100000000002</v>
      </c>
      <c r="C787" s="1">
        <v>0.40382499999999999</v>
      </c>
    </row>
    <row r="788" spans="1:3" x14ac:dyDescent="0.25">
      <c r="A788" s="4" t="s">
        <v>210</v>
      </c>
      <c r="B788" s="1">
        <v>0.32662200000000002</v>
      </c>
      <c r="C788" s="1">
        <v>0.32874599999999998</v>
      </c>
    </row>
    <row r="789" spans="1:3" x14ac:dyDescent="0.25">
      <c r="A789" s="4" t="s">
        <v>211</v>
      </c>
      <c r="B789" s="1">
        <v>0.29138900000000001</v>
      </c>
      <c r="C789" s="1">
        <v>0.29344100000000001</v>
      </c>
    </row>
    <row r="790" spans="1:3" x14ac:dyDescent="0.25">
      <c r="A790" s="4" t="s">
        <v>212</v>
      </c>
      <c r="B790" s="1">
        <v>0.15565499999999999</v>
      </c>
      <c r="C790" s="1">
        <v>0.151727</v>
      </c>
    </row>
    <row r="791" spans="1:3" x14ac:dyDescent="0.25">
      <c r="A791" s="4" t="s">
        <v>213</v>
      </c>
      <c r="B791" s="1">
        <v>0.88904300000000003</v>
      </c>
      <c r="C791" s="1">
        <v>0.88658300000000001</v>
      </c>
    </row>
    <row r="792" spans="1:3" x14ac:dyDescent="0.25">
      <c r="A792" s="4" t="s">
        <v>214</v>
      </c>
      <c r="B792" s="1">
        <v>0.64281900000000003</v>
      </c>
      <c r="C792" s="1">
        <v>0.64061900000000005</v>
      </c>
    </row>
    <row r="793" spans="1:3" x14ac:dyDescent="0.25">
      <c r="A793" s="4" t="s">
        <v>215</v>
      </c>
      <c r="B793" s="1">
        <v>0.92084600000000005</v>
      </c>
      <c r="C793" s="1">
        <v>0.924014</v>
      </c>
    </row>
    <row r="794" spans="1:3" x14ac:dyDescent="0.25">
      <c r="A794" s="4" t="s">
        <v>216</v>
      </c>
      <c r="B794" s="1">
        <v>0.21799099999999999</v>
      </c>
      <c r="C794" s="1">
        <v>0.21532299999999999</v>
      </c>
    </row>
    <row r="795" spans="1:3" x14ac:dyDescent="0.25">
      <c r="A795" s="4" t="s">
        <v>217</v>
      </c>
      <c r="B795" s="1">
        <v>9.6702999999999997E-2</v>
      </c>
      <c r="C795" s="1">
        <v>9.4674999999999995E-2</v>
      </c>
    </row>
    <row r="796" spans="1:3" x14ac:dyDescent="0.25">
      <c r="A796" s="4" t="s">
        <v>218</v>
      </c>
      <c r="B796" s="1">
        <v>4.9180000000000001E-2</v>
      </c>
      <c r="C796" s="1">
        <v>4.5275999999999997E-2</v>
      </c>
    </row>
    <row r="797" spans="1:3" x14ac:dyDescent="0.25">
      <c r="A797" s="4" t="s">
        <v>219</v>
      </c>
      <c r="B797" s="1">
        <v>0.51214999999999999</v>
      </c>
      <c r="C797" s="1">
        <v>0.50854600000000005</v>
      </c>
    </row>
    <row r="798" spans="1:3" x14ac:dyDescent="0.25">
      <c r="A798" s="4" t="s">
        <v>220</v>
      </c>
      <c r="B798" s="1">
        <v>0.56824699999999995</v>
      </c>
      <c r="C798" s="1">
        <v>0.56993099999999997</v>
      </c>
    </row>
    <row r="799" spans="1:3" x14ac:dyDescent="0.25">
      <c r="A799" s="4" t="s">
        <v>221</v>
      </c>
      <c r="B799" s="1">
        <v>0.83130700000000002</v>
      </c>
      <c r="C799" s="1">
        <v>0.82957099999999995</v>
      </c>
    </row>
    <row r="800" spans="1:3" x14ac:dyDescent="0.25">
      <c r="A800" s="4" t="s">
        <v>222</v>
      </c>
      <c r="B800" s="1">
        <v>0.16234899999999999</v>
      </c>
      <c r="C800" s="1">
        <v>0.15942100000000001</v>
      </c>
    </row>
    <row r="801" spans="1:3" x14ac:dyDescent="0.25">
      <c r="A801" s="4" t="s">
        <v>223</v>
      </c>
      <c r="B801" s="1">
        <v>0.66965399999999997</v>
      </c>
      <c r="C801" s="1">
        <v>0.66589399999999999</v>
      </c>
    </row>
    <row r="802" spans="1:3" x14ac:dyDescent="0.25">
      <c r="A802" s="4" t="s">
        <v>224</v>
      </c>
      <c r="B802" s="1">
        <v>0.88523799999999997</v>
      </c>
      <c r="C802" s="1">
        <v>0.88202999999999998</v>
      </c>
    </row>
    <row r="803" spans="1:3" x14ac:dyDescent="0.25">
      <c r="A803" s="4" t="s">
        <v>225</v>
      </c>
      <c r="B803" s="1">
        <v>0.13014400000000001</v>
      </c>
      <c r="C803" s="1">
        <v>0.133712</v>
      </c>
    </row>
    <row r="804" spans="1:3" x14ac:dyDescent="0.25">
      <c r="A804" s="4" t="s">
        <v>226</v>
      </c>
      <c r="B804" s="1">
        <v>0.30818200000000001</v>
      </c>
      <c r="C804" s="1">
        <v>0.30521399999999999</v>
      </c>
    </row>
    <row r="805" spans="1:3" x14ac:dyDescent="0.25">
      <c r="A805" s="4" t="s">
        <v>227</v>
      </c>
      <c r="B805" s="1">
        <v>0.529331</v>
      </c>
      <c r="C805" s="1">
        <v>0.532107</v>
      </c>
    </row>
    <row r="806" spans="1:3" x14ac:dyDescent="0.25">
      <c r="A806" s="4" t="s">
        <v>228</v>
      </c>
      <c r="B806" s="1">
        <v>3.1982999999999998E-2</v>
      </c>
      <c r="C806" s="1">
        <v>3.5730999999999999E-2</v>
      </c>
    </row>
    <row r="807" spans="1:3" x14ac:dyDescent="0.25">
      <c r="A807" s="4" t="s">
        <v>229</v>
      </c>
      <c r="B807" s="1">
        <v>0.119934</v>
      </c>
      <c r="C807" s="1">
        <v>0.11670999999999999</v>
      </c>
    </row>
    <row r="808" spans="1:3" x14ac:dyDescent="0.25">
      <c r="A808" s="4" t="s">
        <v>230</v>
      </c>
      <c r="B808" s="1">
        <v>0.86723899999999998</v>
      </c>
      <c r="C808" s="1">
        <v>0.86434699999999998</v>
      </c>
    </row>
    <row r="809" spans="1:3" x14ac:dyDescent="0.25">
      <c r="A809" s="4" t="s">
        <v>231</v>
      </c>
      <c r="B809" s="1">
        <v>1.7892000000000002E-2</v>
      </c>
      <c r="C809" s="1">
        <v>1.4028000000000001E-2</v>
      </c>
    </row>
    <row r="810" spans="1:3" x14ac:dyDescent="0.25">
      <c r="A810" s="4" t="s">
        <v>232</v>
      </c>
      <c r="B810" s="1">
        <v>0.29889700000000002</v>
      </c>
      <c r="C810" s="1">
        <v>0.29667300000000002</v>
      </c>
    </row>
    <row r="811" spans="1:3" x14ac:dyDescent="0.25">
      <c r="A811" s="4" t="s">
        <v>233</v>
      </c>
      <c r="B811" s="1">
        <v>0.423147</v>
      </c>
      <c r="C811" s="1">
        <v>0.419211</v>
      </c>
    </row>
    <row r="812" spans="1:3" x14ac:dyDescent="0.25">
      <c r="A812" s="4" t="s">
        <v>234</v>
      </c>
      <c r="B812" s="1">
        <v>0.53744899999999995</v>
      </c>
      <c r="C812" s="1">
        <v>0.53895300000000002</v>
      </c>
    </row>
    <row r="813" spans="1:3" x14ac:dyDescent="0.25">
      <c r="A813" s="4" t="s">
        <v>235</v>
      </c>
      <c r="B813" s="1">
        <v>0.24182600000000001</v>
      </c>
      <c r="C813" s="1">
        <v>0.23921000000000001</v>
      </c>
    </row>
    <row r="814" spans="1:3" x14ac:dyDescent="0.25">
      <c r="A814" s="4" t="s">
        <v>236</v>
      </c>
      <c r="B814" s="1">
        <v>0.74470800000000004</v>
      </c>
      <c r="C814" s="1">
        <v>0.74641199999999996</v>
      </c>
    </row>
    <row r="815" spans="1:3" x14ac:dyDescent="0.25">
      <c r="A815" s="4" t="s">
        <v>237</v>
      </c>
      <c r="B815" s="1">
        <v>0.83006999999999997</v>
      </c>
      <c r="C815" s="1">
        <v>0.82670600000000005</v>
      </c>
    </row>
    <row r="816" spans="1:3" x14ac:dyDescent="0.25">
      <c r="A816" s="4" t="s">
        <v>238</v>
      </c>
      <c r="B816" s="1">
        <v>3.8924E-2</v>
      </c>
      <c r="C816" s="1">
        <v>3.7212000000000002E-2</v>
      </c>
    </row>
    <row r="817" spans="1:3" x14ac:dyDescent="0.25">
      <c r="A817" s="4" t="s">
        <v>239</v>
      </c>
      <c r="B817" s="1">
        <v>0.346945</v>
      </c>
      <c r="C817" s="1">
        <v>0.35031299999999999</v>
      </c>
    </row>
    <row r="818" spans="1:3" x14ac:dyDescent="0.25">
      <c r="A818" s="4" t="s">
        <v>240</v>
      </c>
      <c r="B818" s="1">
        <v>0.76658499999999996</v>
      </c>
      <c r="C818" s="1">
        <v>0.763181</v>
      </c>
    </row>
    <row r="819" spans="1:3" x14ac:dyDescent="0.25">
      <c r="A819" s="4" t="s">
        <v>241</v>
      </c>
      <c r="B819" s="1">
        <v>0.12286</v>
      </c>
      <c r="C819" s="1">
        <v>0.12078800000000001</v>
      </c>
    </row>
    <row r="820" spans="1:3" x14ac:dyDescent="0.25">
      <c r="A820" s="4" t="s">
        <v>242</v>
      </c>
      <c r="B820" s="1">
        <v>0.29494700000000001</v>
      </c>
      <c r="C820" s="1">
        <v>0.29311900000000002</v>
      </c>
    </row>
    <row r="821" spans="1:3" x14ac:dyDescent="0.25">
      <c r="A821" s="4" t="s">
        <v>243</v>
      </c>
      <c r="B821" s="1">
        <v>0.32779999999999998</v>
      </c>
      <c r="C821" s="1">
        <v>0.32583200000000001</v>
      </c>
    </row>
    <row r="822" spans="1:3" x14ac:dyDescent="0.25">
      <c r="A822" s="4" t="s">
        <v>244</v>
      </c>
      <c r="B822" s="1">
        <v>0.71818000000000004</v>
      </c>
      <c r="C822" s="1">
        <v>0.714916</v>
      </c>
    </row>
    <row r="823" spans="1:3" x14ac:dyDescent="0.25">
      <c r="A823" s="4" t="s">
        <v>245</v>
      </c>
      <c r="B823" s="1">
        <v>0.57927600000000001</v>
      </c>
      <c r="C823" s="1">
        <v>0.58151200000000003</v>
      </c>
    </row>
    <row r="824" spans="1:3" x14ac:dyDescent="0.25">
      <c r="A824" s="4" t="s">
        <v>246</v>
      </c>
      <c r="B824" s="1">
        <v>0.55222700000000002</v>
      </c>
      <c r="C824" s="1">
        <v>0.550759</v>
      </c>
    </row>
    <row r="825" spans="1:3" x14ac:dyDescent="0.25">
      <c r="A825" s="4" t="s">
        <v>247</v>
      </c>
      <c r="B825" s="1">
        <v>0.30108499999999999</v>
      </c>
      <c r="C825" s="1">
        <v>0.29910100000000001</v>
      </c>
    </row>
    <row r="826" spans="1:3" x14ac:dyDescent="0.25">
      <c r="A826" s="4" t="s">
        <v>248</v>
      </c>
      <c r="B826" s="1">
        <v>0.27788099999999999</v>
      </c>
      <c r="C826" s="1">
        <v>0.280553</v>
      </c>
    </row>
    <row r="827" spans="1:3" x14ac:dyDescent="0.25">
      <c r="A827" s="4" t="s">
        <v>249</v>
      </c>
      <c r="B827" s="1">
        <v>0.261075</v>
      </c>
      <c r="C827" s="1">
        <v>0.257411</v>
      </c>
    </row>
    <row r="828" spans="1:3" x14ac:dyDescent="0.25">
      <c r="A828" s="4" t="s">
        <v>250</v>
      </c>
      <c r="B828" s="1">
        <v>0.69297900000000001</v>
      </c>
      <c r="C828" s="1">
        <v>0.69500300000000004</v>
      </c>
    </row>
    <row r="829" spans="1:3" x14ac:dyDescent="0.25">
      <c r="A829" s="4" t="s">
        <v>251</v>
      </c>
      <c r="B829" s="1">
        <v>5.1720000000000002E-2</v>
      </c>
      <c r="C829" s="1">
        <v>5.4052000000000003E-2</v>
      </c>
    </row>
    <row r="830" spans="1:3" x14ac:dyDescent="0.25">
      <c r="A830" s="4" t="s">
        <v>252</v>
      </c>
      <c r="B830" s="1">
        <v>0.40370400000000001</v>
      </c>
      <c r="C830" s="1">
        <v>0.40213199999999999</v>
      </c>
    </row>
    <row r="831" spans="1:3" x14ac:dyDescent="0.25">
      <c r="A831" s="4" t="s">
        <v>253</v>
      </c>
      <c r="B831" s="1">
        <v>0.56004299999999996</v>
      </c>
      <c r="C831" s="1">
        <v>0.55661499999999997</v>
      </c>
    </row>
    <row r="832" spans="1:3" x14ac:dyDescent="0.25">
      <c r="A832" s="4" t="s">
        <v>430</v>
      </c>
      <c r="B832" s="1">
        <v>0.74694899999999997</v>
      </c>
      <c r="C832" s="1">
        <v>0.74481299999999995</v>
      </c>
    </row>
    <row r="833" spans="1:3" x14ac:dyDescent="0.25">
      <c r="A833" s="4" t="s">
        <v>254</v>
      </c>
      <c r="B833" s="1">
        <v>0.20783799999999999</v>
      </c>
      <c r="C833" s="1">
        <v>0.20622599999999999</v>
      </c>
    </row>
    <row r="834" spans="1:3" x14ac:dyDescent="0.25">
      <c r="A834" s="4" t="s">
        <v>255</v>
      </c>
      <c r="B834" s="1">
        <v>0.25523400000000002</v>
      </c>
      <c r="C834" s="1">
        <v>0.25786199999999998</v>
      </c>
    </row>
    <row r="835" spans="1:3" x14ac:dyDescent="0.25">
      <c r="A835" s="4" t="s">
        <v>256</v>
      </c>
      <c r="B835" s="1">
        <v>0.72481799999999996</v>
      </c>
      <c r="C835" s="1">
        <v>0.72209800000000002</v>
      </c>
    </row>
    <row r="836" spans="1:3" x14ac:dyDescent="0.25">
      <c r="A836" s="4" t="s">
        <v>257</v>
      </c>
      <c r="B836" s="1">
        <v>0.66598000000000002</v>
      </c>
      <c r="C836" s="1">
        <v>0.66393599999999997</v>
      </c>
    </row>
    <row r="837" spans="1:3" x14ac:dyDescent="0.25">
      <c r="A837" s="4" t="s">
        <v>258</v>
      </c>
      <c r="B837" s="1">
        <v>0.75965099999999997</v>
      </c>
      <c r="C837" s="1">
        <v>0.76272300000000004</v>
      </c>
    </row>
    <row r="838" spans="1:3" x14ac:dyDescent="0.25">
      <c r="A838" s="4" t="s">
        <v>259</v>
      </c>
      <c r="B838" s="1">
        <v>0.72672199999999998</v>
      </c>
      <c r="C838" s="1">
        <v>0.72446999999999995</v>
      </c>
    </row>
    <row r="839" spans="1:3" x14ac:dyDescent="0.25">
      <c r="A839" s="4" t="s">
        <v>260</v>
      </c>
      <c r="B839" s="1">
        <v>0.38089400000000001</v>
      </c>
      <c r="C839" s="1">
        <v>0.37707400000000002</v>
      </c>
    </row>
    <row r="840" spans="1:3" x14ac:dyDescent="0.25">
      <c r="A840" s="4" t="s">
        <v>261</v>
      </c>
      <c r="B840" s="1">
        <v>0.34346399999999999</v>
      </c>
      <c r="C840" s="1">
        <v>0.34604400000000002</v>
      </c>
    </row>
    <row r="841" spans="1:3" x14ac:dyDescent="0.25">
      <c r="A841" s="4" t="s">
        <v>262</v>
      </c>
      <c r="B841" s="1">
        <v>6.8135000000000001E-2</v>
      </c>
      <c r="C841" s="1">
        <v>7.0362999999999995E-2</v>
      </c>
    </row>
    <row r="842" spans="1:3" x14ac:dyDescent="0.25">
      <c r="A842" s="4" t="s">
        <v>263</v>
      </c>
      <c r="B842" s="1">
        <v>3.39E-2</v>
      </c>
      <c r="C842" s="1">
        <v>3.2155999999999997E-2</v>
      </c>
    </row>
    <row r="843" spans="1:3" x14ac:dyDescent="0.25">
      <c r="A843" s="4" t="s">
        <v>264</v>
      </c>
      <c r="B843" s="1">
        <v>0.54122899999999996</v>
      </c>
      <c r="C843" s="1">
        <v>0.54350900000000002</v>
      </c>
    </row>
    <row r="844" spans="1:3" x14ac:dyDescent="0.25">
      <c r="A844" s="4" t="s">
        <v>265</v>
      </c>
      <c r="B844" s="1">
        <v>0.34791800000000001</v>
      </c>
      <c r="C844" s="1">
        <v>0.350962</v>
      </c>
    </row>
    <row r="845" spans="1:3" x14ac:dyDescent="0.25">
      <c r="A845" s="4" t="s">
        <v>266</v>
      </c>
      <c r="B845" s="1">
        <v>0.431591</v>
      </c>
      <c r="C845" s="1">
        <v>0.43324699999999999</v>
      </c>
    </row>
    <row r="846" spans="1:3" x14ac:dyDescent="0.25">
      <c r="A846" s="4" t="s">
        <v>267</v>
      </c>
      <c r="B846" s="1">
        <v>0.25780399999999998</v>
      </c>
      <c r="C846" s="1">
        <v>0.25446000000000002</v>
      </c>
    </row>
    <row r="847" spans="1:3" x14ac:dyDescent="0.25">
      <c r="A847" s="4" t="s">
        <v>60</v>
      </c>
      <c r="B847" s="1">
        <v>5.7468999999999999E-2</v>
      </c>
      <c r="C847" s="1">
        <v>5.4021E-2</v>
      </c>
    </row>
    <row r="848" spans="1:3" x14ac:dyDescent="0.25">
      <c r="A848" s="4" t="s">
        <v>12</v>
      </c>
      <c r="B848" s="1">
        <v>0.93074100000000004</v>
      </c>
      <c r="C848" s="1">
        <v>0.92855299999999996</v>
      </c>
    </row>
    <row r="849" spans="1:3" x14ac:dyDescent="0.25">
      <c r="A849" s="4" t="s">
        <v>268</v>
      </c>
      <c r="B849" s="1">
        <v>0.926319</v>
      </c>
      <c r="C849" s="1">
        <v>0.92290700000000003</v>
      </c>
    </row>
    <row r="850" spans="1:3" x14ac:dyDescent="0.25">
      <c r="A850" s="4" t="s">
        <v>269</v>
      </c>
      <c r="B850" s="1">
        <v>0.53266400000000003</v>
      </c>
      <c r="C850" s="1">
        <v>0.534856</v>
      </c>
    </row>
    <row r="851" spans="1:3" x14ac:dyDescent="0.25">
      <c r="A851" s="4" t="s">
        <v>270</v>
      </c>
      <c r="B851" s="1">
        <v>0.88112500000000005</v>
      </c>
      <c r="C851" s="1">
        <v>0.87737299999999996</v>
      </c>
    </row>
    <row r="852" spans="1:3" x14ac:dyDescent="0.25">
      <c r="A852" s="4" t="s">
        <v>271</v>
      </c>
      <c r="B852" s="1">
        <v>0.906107</v>
      </c>
      <c r="C852" s="1">
        <v>0.90796699999999997</v>
      </c>
    </row>
    <row r="853" spans="1:3" x14ac:dyDescent="0.25">
      <c r="A853" s="4" t="s">
        <v>272</v>
      </c>
      <c r="B853" s="1">
        <v>0.52357299999999996</v>
      </c>
      <c r="C853" s="1">
        <v>0.52576100000000003</v>
      </c>
    </row>
    <row r="854" spans="1:3" x14ac:dyDescent="0.25">
      <c r="A854" s="4" t="s">
        <v>273</v>
      </c>
      <c r="B854" s="1">
        <v>0.62061200000000005</v>
      </c>
      <c r="C854" s="1">
        <v>0.62377199999999999</v>
      </c>
    </row>
    <row r="855" spans="1:3" x14ac:dyDescent="0.25">
      <c r="A855" s="4" t="s">
        <v>274</v>
      </c>
      <c r="B855" s="1">
        <v>0.47454200000000002</v>
      </c>
      <c r="C855" s="1">
        <v>0.47071400000000002</v>
      </c>
    </row>
    <row r="856" spans="1:3" x14ac:dyDescent="0.25">
      <c r="A856" s="4" t="s">
        <v>275</v>
      </c>
      <c r="B856" s="1">
        <v>0.94390099999999999</v>
      </c>
      <c r="C856" s="1">
        <v>0.94228100000000004</v>
      </c>
    </row>
    <row r="857" spans="1:3" x14ac:dyDescent="0.25">
      <c r="A857" s="4" t="s">
        <v>276</v>
      </c>
      <c r="B857" s="1">
        <v>0.90642999999999996</v>
      </c>
      <c r="C857" s="1">
        <v>0.90972200000000003</v>
      </c>
    </row>
    <row r="858" spans="1:3" x14ac:dyDescent="0.25">
      <c r="A858" s="4" t="s">
        <v>277</v>
      </c>
      <c r="B858" s="1">
        <v>0.344642</v>
      </c>
      <c r="C858" s="1">
        <v>0.34694999999999998</v>
      </c>
    </row>
    <row r="859" spans="1:3" x14ac:dyDescent="0.25">
      <c r="A859" s="4" t="s">
        <v>278</v>
      </c>
      <c r="B859" s="1">
        <v>0.29603000000000002</v>
      </c>
      <c r="C859" s="1">
        <v>0.29230200000000001</v>
      </c>
    </row>
    <row r="860" spans="1:3" x14ac:dyDescent="0.25">
      <c r="A860" s="4" t="s">
        <v>279</v>
      </c>
      <c r="B860" s="1">
        <v>0.20541999999999999</v>
      </c>
      <c r="C860" s="1">
        <v>0.20174800000000001</v>
      </c>
    </row>
    <row r="861" spans="1:3" x14ac:dyDescent="0.25">
      <c r="A861" s="4" t="s">
        <v>280</v>
      </c>
      <c r="B861" s="1">
        <v>8.2901000000000002E-2</v>
      </c>
      <c r="C861" s="1">
        <v>8.4425E-2</v>
      </c>
    </row>
    <row r="862" spans="1:3" x14ac:dyDescent="0.25">
      <c r="A862" s="4" t="s">
        <v>281</v>
      </c>
      <c r="B862" s="1">
        <v>0.66776400000000002</v>
      </c>
      <c r="C862" s="1">
        <v>0.66424799999999995</v>
      </c>
    </row>
    <row r="863" spans="1:3" x14ac:dyDescent="0.25">
      <c r="A863" s="4" t="s">
        <v>282</v>
      </c>
      <c r="B863" s="1">
        <v>8.2269999999999999E-3</v>
      </c>
      <c r="C863" s="1">
        <v>1.0375000000000001E-2</v>
      </c>
    </row>
    <row r="864" spans="1:3" x14ac:dyDescent="0.25">
      <c r="A864" s="4" t="s">
        <v>283</v>
      </c>
      <c r="B864" s="1">
        <v>0.16709599999999999</v>
      </c>
      <c r="C864" s="1">
        <v>0.16858000000000001</v>
      </c>
    </row>
    <row r="865" spans="1:3" x14ac:dyDescent="0.25">
      <c r="A865" s="4" t="s">
        <v>284</v>
      </c>
      <c r="B865" s="1">
        <v>0.466858</v>
      </c>
      <c r="C865" s="1">
        <v>0.47053</v>
      </c>
    </row>
    <row r="866" spans="1:3" x14ac:dyDescent="0.25">
      <c r="A866" s="4" t="s">
        <v>285</v>
      </c>
      <c r="B866" s="1">
        <v>0.58929100000000001</v>
      </c>
      <c r="C866" s="1">
        <v>0.59181099999999998</v>
      </c>
    </row>
    <row r="867" spans="1:3" x14ac:dyDescent="0.25">
      <c r="A867" s="4" t="s">
        <v>286</v>
      </c>
      <c r="B867" s="1">
        <v>4.9029000000000003E-2</v>
      </c>
      <c r="C867" s="1">
        <v>5.2520999999999998E-2</v>
      </c>
    </row>
    <row r="868" spans="1:3" x14ac:dyDescent="0.25">
      <c r="A868" s="4" t="s">
        <v>287</v>
      </c>
      <c r="B868" s="1">
        <v>0.81754599999999999</v>
      </c>
      <c r="C868" s="1">
        <v>0.814446</v>
      </c>
    </row>
    <row r="869" spans="1:3" x14ac:dyDescent="0.25">
      <c r="A869" s="4" t="s">
        <v>288</v>
      </c>
      <c r="B869" s="1">
        <v>9.7457000000000002E-2</v>
      </c>
      <c r="C869" s="1">
        <v>9.9600999999999995E-2</v>
      </c>
    </row>
    <row r="870" spans="1:3" x14ac:dyDescent="0.25">
      <c r="A870" s="4" t="s">
        <v>289</v>
      </c>
      <c r="B870" s="1">
        <v>0.260156</v>
      </c>
      <c r="C870" s="1">
        <v>0.25726399999999999</v>
      </c>
    </row>
    <row r="871" spans="1:3" x14ac:dyDescent="0.25">
      <c r="A871" s="4" t="s">
        <v>290</v>
      </c>
      <c r="B871" s="1">
        <v>0.78090099999999996</v>
      </c>
      <c r="C871" s="1">
        <v>0.77821700000000005</v>
      </c>
    </row>
    <row r="872" spans="1:3" x14ac:dyDescent="0.25">
      <c r="A872" s="4" t="s">
        <v>291</v>
      </c>
      <c r="B872" s="1">
        <v>0.72183600000000003</v>
      </c>
      <c r="C872" s="1">
        <v>0.72330399999999995</v>
      </c>
    </row>
    <row r="873" spans="1:3" x14ac:dyDescent="0.25">
      <c r="A873" s="4" t="s">
        <v>292</v>
      </c>
      <c r="B873" s="1">
        <v>0.62462799999999996</v>
      </c>
      <c r="C873" s="1">
        <v>0.62682800000000005</v>
      </c>
    </row>
    <row r="874" spans="1:3" x14ac:dyDescent="0.25">
      <c r="A874" s="4" t="s">
        <v>293</v>
      </c>
      <c r="B874" s="1">
        <v>0.55314399999999997</v>
      </c>
      <c r="C874" s="1">
        <v>0.55515999999999999</v>
      </c>
    </row>
    <row r="875" spans="1:3" x14ac:dyDescent="0.25">
      <c r="A875" s="4" t="s">
        <v>87</v>
      </c>
      <c r="B875" s="1">
        <v>0.48994100000000002</v>
      </c>
      <c r="C875" s="1">
        <v>0.49311300000000002</v>
      </c>
    </row>
    <row r="876" spans="1:3" x14ac:dyDescent="0.25">
      <c r="A876" s="4" t="s">
        <v>87</v>
      </c>
      <c r="B876" s="1">
        <v>0.75573800000000002</v>
      </c>
      <c r="C876" s="1">
        <v>0.75292599999999998</v>
      </c>
    </row>
    <row r="877" spans="1:3" x14ac:dyDescent="0.25">
      <c r="A877" s="4" t="s">
        <v>294</v>
      </c>
      <c r="B877" s="1">
        <v>0.956812</v>
      </c>
      <c r="C877" s="1">
        <v>0.95374800000000004</v>
      </c>
    </row>
    <row r="878" spans="1:3" x14ac:dyDescent="0.25">
      <c r="A878" s="4" t="s">
        <v>295</v>
      </c>
      <c r="B878" s="1">
        <v>0.609267</v>
      </c>
      <c r="C878" s="1">
        <v>0.60625099999999998</v>
      </c>
    </row>
    <row r="879" spans="1:3" x14ac:dyDescent="0.25">
      <c r="A879" s="4" t="s">
        <v>296</v>
      </c>
      <c r="B879" s="1">
        <v>0.48624499999999998</v>
      </c>
      <c r="C879" s="1">
        <v>0.48857299999999998</v>
      </c>
    </row>
    <row r="880" spans="1:3" x14ac:dyDescent="0.25">
      <c r="A880" s="4" t="s">
        <v>297</v>
      </c>
      <c r="B880" s="1">
        <v>0.63311200000000001</v>
      </c>
      <c r="C880" s="1">
        <v>0.63467600000000002</v>
      </c>
    </row>
    <row r="881" spans="1:3" x14ac:dyDescent="0.25">
      <c r="A881" s="4" t="s">
        <v>298</v>
      </c>
      <c r="B881" s="1">
        <v>0.71425300000000003</v>
      </c>
      <c r="C881" s="1">
        <v>0.71617299999999995</v>
      </c>
    </row>
    <row r="882" spans="1:3" x14ac:dyDescent="0.25">
      <c r="A882" s="4" t="s">
        <v>299</v>
      </c>
      <c r="B882" s="1">
        <v>0.58881899999999998</v>
      </c>
      <c r="C882" s="1">
        <v>0.58577100000000004</v>
      </c>
    </row>
    <row r="883" spans="1:3" x14ac:dyDescent="0.25">
      <c r="A883" s="4" t="s">
        <v>300</v>
      </c>
      <c r="B883" s="1">
        <v>0.21463699999999999</v>
      </c>
      <c r="C883" s="1">
        <v>0.21702099999999999</v>
      </c>
    </row>
    <row r="884" spans="1:3" x14ac:dyDescent="0.25">
      <c r="A884" s="4" t="s">
        <v>301</v>
      </c>
      <c r="B884" s="1">
        <v>4.1440000000000001E-3</v>
      </c>
      <c r="C884" s="1">
        <v>2.196E-3</v>
      </c>
    </row>
    <row r="885" spans="1:3" x14ac:dyDescent="0.25">
      <c r="A885" s="4" t="s">
        <v>431</v>
      </c>
      <c r="B885" s="1">
        <v>0.38372699999999998</v>
      </c>
      <c r="C885" s="1">
        <v>0.38029099999999999</v>
      </c>
    </row>
    <row r="886" spans="1:3" x14ac:dyDescent="0.25">
      <c r="A886" s="4" t="s">
        <v>302</v>
      </c>
      <c r="B886" s="1">
        <v>0.16837199999999999</v>
      </c>
      <c r="C886" s="1">
        <v>0.17019599999999999</v>
      </c>
    </row>
    <row r="887" spans="1:3" x14ac:dyDescent="0.25">
      <c r="A887" s="4" t="s">
        <v>303</v>
      </c>
      <c r="B887" s="1">
        <v>0.11633300000000001</v>
      </c>
      <c r="C887" s="1">
        <v>0.113373</v>
      </c>
    </row>
    <row r="888" spans="1:3" x14ac:dyDescent="0.25">
      <c r="A888" s="4" t="s">
        <v>304</v>
      </c>
      <c r="B888" s="1">
        <v>0.90426600000000001</v>
      </c>
      <c r="C888" s="1">
        <v>0.90610999999999997</v>
      </c>
    </row>
    <row r="889" spans="1:3" x14ac:dyDescent="0.25">
      <c r="A889" s="4" t="s">
        <v>305</v>
      </c>
      <c r="B889" s="1">
        <v>0.71706700000000001</v>
      </c>
      <c r="C889" s="1">
        <v>0.71400300000000005</v>
      </c>
    </row>
    <row r="890" spans="1:3" x14ac:dyDescent="0.25">
      <c r="A890" s="4" t="s">
        <v>306</v>
      </c>
      <c r="B890" s="1">
        <v>0.97919</v>
      </c>
      <c r="C890" s="1">
        <v>0.97728199999999998</v>
      </c>
    </row>
    <row r="891" spans="1:3" x14ac:dyDescent="0.25">
      <c r="A891" s="4" t="s">
        <v>307</v>
      </c>
      <c r="B891" s="1">
        <v>0.67436099999999999</v>
      </c>
      <c r="C891" s="1">
        <v>0.67042500000000005</v>
      </c>
    </row>
    <row r="892" spans="1:3" x14ac:dyDescent="0.25">
      <c r="A892" s="4" t="s">
        <v>308</v>
      </c>
      <c r="B892" s="1">
        <v>0.25362299999999999</v>
      </c>
      <c r="C892" s="1">
        <v>0.256579</v>
      </c>
    </row>
    <row r="893" spans="1:3" x14ac:dyDescent="0.25">
      <c r="A893" s="4" t="s">
        <v>309</v>
      </c>
      <c r="B893" s="1">
        <v>5.6481999999999997E-2</v>
      </c>
      <c r="C893" s="1">
        <v>5.8942000000000001E-2</v>
      </c>
    </row>
    <row r="894" spans="1:3" x14ac:dyDescent="0.25">
      <c r="A894" s="4" t="s">
        <v>310</v>
      </c>
      <c r="B894" s="1">
        <v>0.870444</v>
      </c>
      <c r="C894" s="1">
        <v>0.86865199999999998</v>
      </c>
    </row>
    <row r="895" spans="1:3" x14ac:dyDescent="0.25">
      <c r="A895" s="4" t="s">
        <v>311</v>
      </c>
      <c r="B895" s="1">
        <v>0.959534</v>
      </c>
      <c r="C895" s="1">
        <v>0.96345000000000003</v>
      </c>
    </row>
    <row r="896" spans="1:3" x14ac:dyDescent="0.25">
      <c r="A896" s="4" t="s">
        <v>312</v>
      </c>
      <c r="B896" s="1">
        <v>5.4336000000000002E-2</v>
      </c>
      <c r="C896" s="1">
        <v>5.8035999999999997E-2</v>
      </c>
    </row>
    <row r="897" spans="1:3" x14ac:dyDescent="0.25">
      <c r="A897" s="4" t="s">
        <v>313</v>
      </c>
      <c r="B897" s="1">
        <v>0.83169999999999999</v>
      </c>
      <c r="C897" s="1">
        <v>0.82974400000000004</v>
      </c>
    </row>
    <row r="898" spans="1:3" x14ac:dyDescent="0.25">
      <c r="A898" s="4" t="s">
        <v>314</v>
      </c>
      <c r="B898" s="1">
        <v>0.62873999999999997</v>
      </c>
      <c r="C898" s="1">
        <v>0.63060400000000005</v>
      </c>
    </row>
    <row r="899" spans="1:3" x14ac:dyDescent="0.25">
      <c r="A899" s="4" t="s">
        <v>315</v>
      </c>
      <c r="B899" s="1">
        <v>0.91733100000000001</v>
      </c>
      <c r="C899" s="1">
        <v>0.91906299999999996</v>
      </c>
    </row>
    <row r="900" spans="1:3" x14ac:dyDescent="0.25">
      <c r="A900" s="4" t="s">
        <v>316</v>
      </c>
      <c r="B900" s="1">
        <v>0.444025</v>
      </c>
      <c r="C900" s="1">
        <v>0.44708500000000001</v>
      </c>
    </row>
    <row r="901" spans="1:3" x14ac:dyDescent="0.25">
      <c r="A901" s="4" t="s">
        <v>317</v>
      </c>
      <c r="B901" s="1">
        <v>0.144228</v>
      </c>
      <c r="C901" s="1">
        <v>0.142376</v>
      </c>
    </row>
    <row r="902" spans="1:3" x14ac:dyDescent="0.25">
      <c r="A902" s="4" t="s">
        <v>318</v>
      </c>
      <c r="B902" s="1">
        <v>0.62203600000000003</v>
      </c>
      <c r="C902" s="1">
        <v>0.620224</v>
      </c>
    </row>
    <row r="903" spans="1:3" x14ac:dyDescent="0.25">
      <c r="A903" s="4" t="s">
        <v>319</v>
      </c>
      <c r="B903" s="1">
        <v>0.126361</v>
      </c>
      <c r="C903" s="1">
        <v>0.130357</v>
      </c>
    </row>
    <row r="904" spans="1:3" x14ac:dyDescent="0.25">
      <c r="A904" s="4" t="s">
        <v>320</v>
      </c>
      <c r="B904" s="1">
        <v>0.476607</v>
      </c>
      <c r="C904" s="1">
        <v>0.47875899999999999</v>
      </c>
    </row>
    <row r="905" spans="1:3" x14ac:dyDescent="0.25">
      <c r="A905" s="4" t="s">
        <v>321</v>
      </c>
      <c r="B905" s="1">
        <v>0.92649000000000004</v>
      </c>
      <c r="C905" s="1">
        <v>0.92508199999999996</v>
      </c>
    </row>
    <row r="906" spans="1:3" x14ac:dyDescent="0.25">
      <c r="A906" s="4" t="s">
        <v>322</v>
      </c>
      <c r="B906" s="1">
        <v>0.91881100000000004</v>
      </c>
      <c r="C906" s="1">
        <v>0.915323</v>
      </c>
    </row>
    <row r="907" spans="1:3" x14ac:dyDescent="0.25">
      <c r="A907" s="4" t="s">
        <v>323</v>
      </c>
      <c r="B907" s="1">
        <v>5.8838000000000001E-2</v>
      </c>
      <c r="C907" s="1">
        <v>5.6753999999999999E-2</v>
      </c>
    </row>
    <row r="908" spans="1:3" x14ac:dyDescent="0.25">
      <c r="A908" s="4" t="s">
        <v>324</v>
      </c>
      <c r="B908" s="1">
        <v>0.49864799999999998</v>
      </c>
      <c r="C908" s="1">
        <v>0.49723600000000001</v>
      </c>
    </row>
    <row r="909" spans="1:3" x14ac:dyDescent="0.25">
      <c r="A909" s="4" t="s">
        <v>325</v>
      </c>
      <c r="B909" s="1">
        <v>0.46205000000000002</v>
      </c>
      <c r="C909" s="1">
        <v>0.45918999999999999</v>
      </c>
    </row>
    <row r="910" spans="1:3" x14ac:dyDescent="0.25">
      <c r="A910" s="4" t="s">
        <v>326</v>
      </c>
      <c r="B910" s="1">
        <v>0.76355799999999996</v>
      </c>
      <c r="C910" s="1">
        <v>0.76023399999999997</v>
      </c>
    </row>
    <row r="911" spans="1:3" x14ac:dyDescent="0.25">
      <c r="A911" s="4" t="s">
        <v>327</v>
      </c>
      <c r="B911" s="1">
        <v>7.5789999999999998E-3</v>
      </c>
      <c r="C911" s="1">
        <v>1.0695E-2</v>
      </c>
    </row>
    <row r="912" spans="1:3" x14ac:dyDescent="0.25">
      <c r="A912" s="4" t="s">
        <v>328</v>
      </c>
      <c r="B912" s="1">
        <v>0.49057000000000001</v>
      </c>
      <c r="C912" s="1">
        <v>0.49304599999999998</v>
      </c>
    </row>
    <row r="913" spans="1:3" x14ac:dyDescent="0.25">
      <c r="A913" s="4" t="s">
        <v>329</v>
      </c>
      <c r="B913" s="1">
        <v>0.12620799999999999</v>
      </c>
      <c r="C913" s="1">
        <v>0.12831600000000001</v>
      </c>
    </row>
    <row r="914" spans="1:3" x14ac:dyDescent="0.25">
      <c r="A914" s="4" t="s">
        <v>330</v>
      </c>
      <c r="B914" s="1">
        <v>3.6773E-2</v>
      </c>
      <c r="C914" s="1">
        <v>3.4508999999999998E-2</v>
      </c>
    </row>
    <row r="915" spans="1:3" x14ac:dyDescent="0.25">
      <c r="A915" s="4" t="s">
        <v>331</v>
      </c>
      <c r="B915" s="1">
        <v>0.10241</v>
      </c>
      <c r="C915" s="1">
        <v>9.9713999999999997E-2</v>
      </c>
    </row>
    <row r="916" spans="1:3" x14ac:dyDescent="0.25">
      <c r="A916" s="4" t="s">
        <v>332</v>
      </c>
      <c r="B916" s="1">
        <v>0.71081099999999997</v>
      </c>
      <c r="C916" s="1">
        <v>0.70738299999999998</v>
      </c>
    </row>
    <row r="917" spans="1:3" x14ac:dyDescent="0.25">
      <c r="A917" s="4" t="s">
        <v>333</v>
      </c>
      <c r="B917" s="1">
        <v>0.288352</v>
      </c>
      <c r="C917" s="1">
        <v>0.29111999999999999</v>
      </c>
    </row>
    <row r="918" spans="1:3" x14ac:dyDescent="0.25">
      <c r="A918" s="4" t="s">
        <v>334</v>
      </c>
      <c r="B918" s="1">
        <v>0.14686399999999999</v>
      </c>
      <c r="C918" s="1">
        <v>0.14951200000000001</v>
      </c>
    </row>
    <row r="919" spans="1:3" x14ac:dyDescent="0.25">
      <c r="A919" s="4" t="s">
        <v>335</v>
      </c>
      <c r="B919" s="1">
        <v>0.42368600000000001</v>
      </c>
      <c r="C919" s="1">
        <v>0.42081000000000002</v>
      </c>
    </row>
    <row r="920" spans="1:3" x14ac:dyDescent="0.25">
      <c r="A920" s="4" t="s">
        <v>336</v>
      </c>
      <c r="B920" s="1">
        <v>0.96765500000000004</v>
      </c>
      <c r="C920" s="1">
        <v>0.96437899999999999</v>
      </c>
    </row>
    <row r="921" spans="1:3" x14ac:dyDescent="0.25">
      <c r="A921" s="4" t="s">
        <v>337</v>
      </c>
      <c r="B921" s="1">
        <v>5.2663000000000001E-2</v>
      </c>
      <c r="C921" s="1">
        <v>4.8890999999999997E-2</v>
      </c>
    </row>
    <row r="922" spans="1:3" x14ac:dyDescent="0.25">
      <c r="A922" s="4" t="s">
        <v>338</v>
      </c>
      <c r="B922" s="1">
        <v>0.114995</v>
      </c>
      <c r="C922" s="1">
        <v>0.113023</v>
      </c>
    </row>
    <row r="923" spans="1:3" x14ac:dyDescent="0.25">
      <c r="A923" s="4" t="s">
        <v>339</v>
      </c>
      <c r="B923" s="1">
        <v>0.55148399999999997</v>
      </c>
      <c r="C923" s="1">
        <v>0.55299600000000004</v>
      </c>
    </row>
    <row r="924" spans="1:3" x14ac:dyDescent="0.25">
      <c r="A924" s="4" t="s">
        <v>340</v>
      </c>
      <c r="B924" s="1">
        <v>0.91144700000000001</v>
      </c>
      <c r="C924" s="1">
        <v>0.91473099999999996</v>
      </c>
    </row>
    <row r="925" spans="1:3" x14ac:dyDescent="0.25">
      <c r="A925" s="4" t="s">
        <v>341</v>
      </c>
      <c r="B925" s="1">
        <v>0.70019799999999999</v>
      </c>
      <c r="C925" s="1">
        <v>0.70295399999999997</v>
      </c>
    </row>
    <row r="926" spans="1:3" x14ac:dyDescent="0.25">
      <c r="A926" s="4" t="s">
        <v>342</v>
      </c>
      <c r="B926" s="1">
        <v>0.52615599999999996</v>
      </c>
      <c r="C926" s="1">
        <v>0.52922000000000002</v>
      </c>
    </row>
    <row r="927" spans="1:3" x14ac:dyDescent="0.25">
      <c r="A927" s="4" t="s">
        <v>343</v>
      </c>
      <c r="B927" s="1">
        <v>0.68652000000000002</v>
      </c>
      <c r="C927" s="1">
        <v>0.68868399999999996</v>
      </c>
    </row>
    <row r="928" spans="1:3" x14ac:dyDescent="0.25">
      <c r="A928" s="4" t="s">
        <v>344</v>
      </c>
      <c r="B928" s="1">
        <v>0.35687200000000002</v>
      </c>
      <c r="C928" s="1">
        <v>0.3594</v>
      </c>
    </row>
    <row r="929" spans="1:3" x14ac:dyDescent="0.25">
      <c r="A929" s="4" t="s">
        <v>345</v>
      </c>
      <c r="B929" s="1">
        <v>0.77340900000000001</v>
      </c>
      <c r="C929" s="1">
        <v>0.77552900000000002</v>
      </c>
    </row>
    <row r="930" spans="1:3" x14ac:dyDescent="0.25">
      <c r="A930" s="4" t="s">
        <v>346</v>
      </c>
      <c r="B930" s="1">
        <v>0.11723</v>
      </c>
      <c r="C930" s="1">
        <v>0.115522</v>
      </c>
    </row>
    <row r="931" spans="1:3" x14ac:dyDescent="0.25">
      <c r="A931" s="4" t="s">
        <v>347</v>
      </c>
      <c r="B931" s="1">
        <v>0.24433299999999999</v>
      </c>
      <c r="C931" s="1">
        <v>0.24707699999999999</v>
      </c>
    </row>
    <row r="932" spans="1:3" x14ac:dyDescent="0.25">
      <c r="A932" s="4" t="s">
        <v>348</v>
      </c>
      <c r="B932" s="1">
        <v>1.4217E-2</v>
      </c>
      <c r="C932" s="1">
        <v>1.1981E-2</v>
      </c>
    </row>
    <row r="933" spans="1:3" x14ac:dyDescent="0.25">
      <c r="A933" s="4" t="s">
        <v>349</v>
      </c>
      <c r="B933" s="1">
        <v>0.62740099999999999</v>
      </c>
      <c r="C933" s="1">
        <v>0.62578100000000003</v>
      </c>
    </row>
    <row r="934" spans="1:3" x14ac:dyDescent="0.25">
      <c r="A934" s="4" t="s">
        <v>350</v>
      </c>
      <c r="B934" s="1">
        <v>0.93858200000000003</v>
      </c>
      <c r="C934" s="1">
        <v>0.94195799999999996</v>
      </c>
    </row>
    <row r="935" spans="1:3" x14ac:dyDescent="0.25">
      <c r="A935" s="4" t="s">
        <v>351</v>
      </c>
      <c r="B935" s="1">
        <v>0.69694299999999998</v>
      </c>
      <c r="C935" s="1">
        <v>0.698627</v>
      </c>
    </row>
    <row r="936" spans="1:3" x14ac:dyDescent="0.25">
      <c r="A936" s="4" t="s">
        <v>352</v>
      </c>
      <c r="B936" s="1">
        <v>0.13768</v>
      </c>
      <c r="C936" s="1">
        <v>0.134328</v>
      </c>
    </row>
    <row r="937" spans="1:3" x14ac:dyDescent="0.25">
      <c r="A937" s="4" t="s">
        <v>353</v>
      </c>
      <c r="B937" s="1">
        <v>0.74910699999999997</v>
      </c>
      <c r="C937" s="1">
        <v>0.753027</v>
      </c>
    </row>
    <row r="938" spans="1:3" x14ac:dyDescent="0.25">
      <c r="A938" s="4" t="s">
        <v>354</v>
      </c>
      <c r="B938" s="1">
        <v>0.58568299999999995</v>
      </c>
      <c r="C938" s="1">
        <v>0.58726699999999998</v>
      </c>
    </row>
    <row r="939" spans="1:3" x14ac:dyDescent="0.25">
      <c r="A939" s="4" t="s">
        <v>355</v>
      </c>
      <c r="B939" s="1">
        <v>0.59084800000000004</v>
      </c>
      <c r="C939" s="1">
        <v>0.59326400000000001</v>
      </c>
    </row>
    <row r="940" spans="1:3" x14ac:dyDescent="0.25">
      <c r="A940" s="4" t="s">
        <v>356</v>
      </c>
      <c r="B940" s="1">
        <v>0.14568999999999999</v>
      </c>
      <c r="C940" s="1">
        <v>0.14307400000000001</v>
      </c>
    </row>
    <row r="941" spans="1:3" x14ac:dyDescent="0.25">
      <c r="A941" s="4" t="s">
        <v>357</v>
      </c>
      <c r="B941" s="1">
        <v>0.63840600000000003</v>
      </c>
      <c r="C941" s="1">
        <v>0.64005400000000001</v>
      </c>
    </row>
    <row r="942" spans="1:3" x14ac:dyDescent="0.25">
      <c r="A942" s="4" t="s">
        <v>358</v>
      </c>
      <c r="B942" s="1">
        <v>0.76871599999999995</v>
      </c>
      <c r="C942" s="1">
        <v>0.77248799999999995</v>
      </c>
    </row>
    <row r="943" spans="1:3" x14ac:dyDescent="0.25">
      <c r="A943" s="4" t="s">
        <v>359</v>
      </c>
      <c r="B943" s="1">
        <v>0.81716200000000005</v>
      </c>
      <c r="C943" s="1">
        <v>0.81427000000000005</v>
      </c>
    </row>
    <row r="944" spans="1:3" x14ac:dyDescent="0.25">
      <c r="A944" s="4" t="s">
        <v>360</v>
      </c>
      <c r="B944" s="1">
        <v>0.85678500000000002</v>
      </c>
      <c r="C944" s="1">
        <v>0.85369300000000004</v>
      </c>
    </row>
    <row r="945" spans="1:3" x14ac:dyDescent="0.25">
      <c r="A945" s="4" t="s">
        <v>361</v>
      </c>
      <c r="B945" s="1">
        <v>0.45169599999999999</v>
      </c>
      <c r="C945" s="1">
        <v>0.45416800000000002</v>
      </c>
    </row>
    <row r="946" spans="1:3" x14ac:dyDescent="0.25">
      <c r="A946" s="4" t="s">
        <v>362</v>
      </c>
      <c r="B946" s="1">
        <v>0.61457899999999999</v>
      </c>
      <c r="C946" s="1">
        <v>0.61297100000000004</v>
      </c>
    </row>
    <row r="947" spans="1:3" x14ac:dyDescent="0.25">
      <c r="A947" s="4" t="s">
        <v>363</v>
      </c>
      <c r="B947" s="1">
        <v>0.58136100000000002</v>
      </c>
      <c r="C947" s="1">
        <v>0.57852499999999996</v>
      </c>
    </row>
    <row r="948" spans="1:3" x14ac:dyDescent="0.25">
      <c r="A948" s="4" t="s">
        <v>364</v>
      </c>
      <c r="B948" s="1">
        <v>0.96552199999999999</v>
      </c>
      <c r="C948" s="1">
        <v>0.96191400000000005</v>
      </c>
    </row>
    <row r="949" spans="1:3" x14ac:dyDescent="0.25">
      <c r="A949" s="4" t="s">
        <v>365</v>
      </c>
      <c r="B949" s="1">
        <v>0.429481</v>
      </c>
      <c r="C949" s="1">
        <v>0.426261</v>
      </c>
    </row>
    <row r="950" spans="1:3" x14ac:dyDescent="0.25">
      <c r="A950" s="4" t="s">
        <v>366</v>
      </c>
      <c r="B950" s="1">
        <v>0.64231899999999997</v>
      </c>
      <c r="C950" s="1">
        <v>0.64493900000000004</v>
      </c>
    </row>
    <row r="951" spans="1:3" x14ac:dyDescent="0.25">
      <c r="A951" s="4" t="s">
        <v>367</v>
      </c>
      <c r="B951" s="1">
        <v>0.64812400000000003</v>
      </c>
      <c r="C951" s="1">
        <v>0.64603600000000005</v>
      </c>
    </row>
    <row r="952" spans="1:3" x14ac:dyDescent="0.25">
      <c r="A952" s="4" t="s">
        <v>368</v>
      </c>
      <c r="B952" s="1">
        <v>3.1189999999999999E-2</v>
      </c>
      <c r="C952" s="1">
        <v>2.8662E-2</v>
      </c>
    </row>
    <row r="953" spans="1:3" x14ac:dyDescent="0.25">
      <c r="A953" s="4" t="s">
        <v>369</v>
      </c>
      <c r="B953" s="1">
        <v>0.78395599999999999</v>
      </c>
      <c r="C953" s="1">
        <v>0.78256400000000004</v>
      </c>
    </row>
    <row r="954" spans="1:3" x14ac:dyDescent="0.25">
      <c r="A954" s="4" t="s">
        <v>370</v>
      </c>
      <c r="B954" s="1">
        <v>0.77186999999999995</v>
      </c>
      <c r="C954" s="1">
        <v>0.76852600000000004</v>
      </c>
    </row>
    <row r="955" spans="1:3" x14ac:dyDescent="0.25">
      <c r="A955" s="4" t="s">
        <v>371</v>
      </c>
      <c r="B955" s="1">
        <v>0.99620900000000001</v>
      </c>
      <c r="C955" s="1">
        <v>0.99318499999999998</v>
      </c>
    </row>
    <row r="956" spans="1:3" x14ac:dyDescent="0.25">
      <c r="A956" s="4" t="s">
        <v>372</v>
      </c>
      <c r="B956" s="1">
        <v>0.26910400000000001</v>
      </c>
      <c r="C956" s="1">
        <v>0.27073199999999997</v>
      </c>
    </row>
    <row r="957" spans="1:3" x14ac:dyDescent="0.25">
      <c r="A957" s="4" t="s">
        <v>373</v>
      </c>
      <c r="B957" s="1">
        <v>0.79386299999999999</v>
      </c>
      <c r="C957" s="1">
        <v>0.797763</v>
      </c>
    </row>
    <row r="958" spans="1:3" x14ac:dyDescent="0.25">
      <c r="A958" s="4" t="s">
        <v>374</v>
      </c>
      <c r="B958" s="1">
        <v>0.92735400000000001</v>
      </c>
      <c r="C958" s="1">
        <v>0.93079400000000001</v>
      </c>
    </row>
    <row r="959" spans="1:3" x14ac:dyDescent="0.25">
      <c r="A959" s="4" t="s">
        <v>375</v>
      </c>
      <c r="B959" s="1">
        <v>0.41383199999999998</v>
      </c>
      <c r="C959" s="1">
        <v>0.41626000000000002</v>
      </c>
    </row>
    <row r="960" spans="1:3" x14ac:dyDescent="0.25">
      <c r="A960" s="4" t="s">
        <v>376</v>
      </c>
      <c r="B960" s="1">
        <v>0.74587599999999998</v>
      </c>
      <c r="C960" s="1">
        <v>0.74849200000000005</v>
      </c>
    </row>
    <row r="961" spans="1:3" x14ac:dyDescent="0.25">
      <c r="A961" s="4" t="s">
        <v>377</v>
      </c>
      <c r="B961" s="1">
        <v>0.65303999999999995</v>
      </c>
      <c r="C961" s="1">
        <v>0.64914400000000005</v>
      </c>
    </row>
    <row r="962" spans="1:3" x14ac:dyDescent="0.25">
      <c r="A962" s="4" t="s">
        <v>378</v>
      </c>
      <c r="B962" s="1">
        <v>0.62776399999999999</v>
      </c>
      <c r="C962" s="1">
        <v>0.62426800000000005</v>
      </c>
    </row>
    <row r="963" spans="1:3" x14ac:dyDescent="0.25">
      <c r="A963" s="4" t="s">
        <v>379</v>
      </c>
      <c r="B963" s="1">
        <v>0.880853</v>
      </c>
      <c r="C963" s="1">
        <v>0.88298100000000002</v>
      </c>
    </row>
    <row r="964" spans="1:3" x14ac:dyDescent="0.25">
      <c r="A964" s="4" t="s">
        <v>380</v>
      </c>
      <c r="B964" s="1">
        <v>0.64335699999999996</v>
      </c>
      <c r="C964" s="1">
        <v>0.63941700000000001</v>
      </c>
    </row>
    <row r="965" spans="1:3" x14ac:dyDescent="0.25">
      <c r="A965" s="4" t="s">
        <v>381</v>
      </c>
      <c r="B965" s="1">
        <v>0.89447600000000005</v>
      </c>
      <c r="C965" s="1">
        <v>0.89619199999999999</v>
      </c>
    </row>
    <row r="966" spans="1:3" x14ac:dyDescent="0.25">
      <c r="A966" s="4" t="s">
        <v>382</v>
      </c>
      <c r="B966" s="1">
        <v>0.59115099999999998</v>
      </c>
      <c r="C966" s="1">
        <v>0.58769899999999997</v>
      </c>
    </row>
    <row r="967" spans="1:3" x14ac:dyDescent="0.25">
      <c r="A967" s="4" t="s">
        <v>383</v>
      </c>
      <c r="B967" s="1">
        <v>5.2143000000000002E-2</v>
      </c>
      <c r="C967" s="1">
        <v>5.0654999999999999E-2</v>
      </c>
    </row>
    <row r="968" spans="1:3" x14ac:dyDescent="0.25">
      <c r="A968" s="4" t="s">
        <v>384</v>
      </c>
      <c r="B968" s="1">
        <v>0.78184600000000004</v>
      </c>
      <c r="C968" s="1">
        <v>0.78475399999999995</v>
      </c>
    </row>
    <row r="969" spans="1:3" x14ac:dyDescent="0.25">
      <c r="A969" s="4" t="s">
        <v>385</v>
      </c>
      <c r="B969" s="1">
        <v>0.626494</v>
      </c>
      <c r="C969" s="1">
        <v>0.62833399999999995</v>
      </c>
    </row>
    <row r="970" spans="1:3" x14ac:dyDescent="0.25">
      <c r="A970" s="4" t="s">
        <v>386</v>
      </c>
      <c r="B970" s="1">
        <v>0.71810700000000005</v>
      </c>
      <c r="C970" s="1">
        <v>0.71969899999999998</v>
      </c>
    </row>
    <row r="971" spans="1:3" x14ac:dyDescent="0.25">
      <c r="A971" s="4" t="s">
        <v>387</v>
      </c>
      <c r="B971" s="1">
        <v>0.59238800000000003</v>
      </c>
      <c r="C971" s="1">
        <v>0.58874800000000005</v>
      </c>
    </row>
    <row r="972" spans="1:3" x14ac:dyDescent="0.25">
      <c r="A972" s="4" t="s">
        <v>388</v>
      </c>
      <c r="B972" s="1">
        <v>0.68928500000000004</v>
      </c>
      <c r="C972" s="1">
        <v>0.68787699999999996</v>
      </c>
    </row>
    <row r="973" spans="1:3" x14ac:dyDescent="0.25">
      <c r="A973" s="4" t="s">
        <v>389</v>
      </c>
      <c r="B973" s="1">
        <v>0.62056900000000004</v>
      </c>
      <c r="C973" s="1">
        <v>0.623081</v>
      </c>
    </row>
    <row r="974" spans="1:3" x14ac:dyDescent="0.25">
      <c r="A974" s="4" t="s">
        <v>390</v>
      </c>
      <c r="B974" s="1">
        <v>0.30533100000000002</v>
      </c>
      <c r="C974" s="1">
        <v>0.30848700000000001</v>
      </c>
    </row>
    <row r="975" spans="1:3" x14ac:dyDescent="0.25">
      <c r="A975" s="4" t="s">
        <v>391</v>
      </c>
      <c r="B975" s="1">
        <v>8.7454000000000004E-2</v>
      </c>
      <c r="C975" s="1">
        <v>8.9934E-2</v>
      </c>
    </row>
    <row r="976" spans="1:3" x14ac:dyDescent="0.25">
      <c r="A976" s="4" t="s">
        <v>392</v>
      </c>
      <c r="B976" s="1">
        <v>0.27104099999999998</v>
      </c>
      <c r="C976" s="1">
        <v>0.27402900000000002</v>
      </c>
    </row>
    <row r="977" spans="1:3" x14ac:dyDescent="0.25">
      <c r="A977" s="4" t="s">
        <v>393</v>
      </c>
      <c r="B977" s="1">
        <v>0.93926699999999996</v>
      </c>
      <c r="C977" s="1">
        <v>0.941751</v>
      </c>
    </row>
    <row r="978" spans="1:3" x14ac:dyDescent="0.25">
      <c r="A978" s="4" t="s">
        <v>394</v>
      </c>
      <c r="B978" s="1">
        <v>0.78683000000000003</v>
      </c>
      <c r="C978" s="1">
        <v>0.78496600000000005</v>
      </c>
    </row>
    <row r="979" spans="1:3" x14ac:dyDescent="0.25">
      <c r="A979" s="4" t="s">
        <v>395</v>
      </c>
      <c r="B979" s="1">
        <v>0.42941800000000002</v>
      </c>
      <c r="C979" s="1">
        <v>0.42563400000000001</v>
      </c>
    </row>
    <row r="980" spans="1:3" x14ac:dyDescent="0.25">
      <c r="A980" s="4" t="s">
        <v>396</v>
      </c>
      <c r="B980" s="1">
        <v>0.14202300000000001</v>
      </c>
      <c r="C980" s="1">
        <v>0.13999500000000001</v>
      </c>
    </row>
    <row r="981" spans="1:3" x14ac:dyDescent="0.25">
      <c r="A981" s="4" t="s">
        <v>397</v>
      </c>
      <c r="B981" s="1">
        <v>0.62391700000000005</v>
      </c>
      <c r="C981" s="1">
        <v>0.62759699999999996</v>
      </c>
    </row>
    <row r="982" spans="1:3" x14ac:dyDescent="0.25">
      <c r="A982" s="4" t="s">
        <v>398</v>
      </c>
      <c r="B982" s="1">
        <v>0.62443000000000004</v>
      </c>
      <c r="C982" s="1">
        <v>0.62149799999999999</v>
      </c>
    </row>
    <row r="983" spans="1:3" x14ac:dyDescent="0.25">
      <c r="A983" s="4" t="s">
        <v>399</v>
      </c>
      <c r="B983" s="1">
        <v>0.86035300000000003</v>
      </c>
      <c r="C983" s="1">
        <v>0.86306099999999997</v>
      </c>
    </row>
    <row r="984" spans="1:3" x14ac:dyDescent="0.25">
      <c r="A984" s="4" t="s">
        <v>400</v>
      </c>
      <c r="B984" s="1">
        <v>0.50423899999999999</v>
      </c>
      <c r="C984" s="1">
        <v>0.502799</v>
      </c>
    </row>
    <row r="985" spans="1:3" x14ac:dyDescent="0.25">
      <c r="A985" s="4" t="s">
        <v>401</v>
      </c>
      <c r="B985" s="1">
        <v>0.35245900000000002</v>
      </c>
      <c r="C985" s="1">
        <v>0.35557899999999998</v>
      </c>
    </row>
    <row r="986" spans="1:3" x14ac:dyDescent="0.25">
      <c r="A986" s="4" t="s">
        <v>402</v>
      </c>
      <c r="B986" s="1">
        <v>0.54644499999999996</v>
      </c>
      <c r="C986" s="1">
        <v>0.544157</v>
      </c>
    </row>
    <row r="987" spans="1:3" x14ac:dyDescent="0.25">
      <c r="A987" s="4" t="s">
        <v>403</v>
      </c>
      <c r="B987" s="1">
        <v>0.53043799999999997</v>
      </c>
      <c r="C987" s="1">
        <v>0.53306600000000004</v>
      </c>
    </row>
    <row r="988" spans="1:3" x14ac:dyDescent="0.25">
      <c r="A988" s="4" t="s">
        <v>404</v>
      </c>
      <c r="B988" s="1">
        <v>0.56015199999999998</v>
      </c>
      <c r="C988" s="1">
        <v>0.55632400000000004</v>
      </c>
    </row>
    <row r="989" spans="1:3" x14ac:dyDescent="0.25">
      <c r="A989" s="4" t="s">
        <v>405</v>
      </c>
      <c r="B989" s="1">
        <v>0.90301600000000004</v>
      </c>
      <c r="C989" s="1">
        <v>0.90554000000000001</v>
      </c>
    </row>
    <row r="990" spans="1:3" x14ac:dyDescent="0.25">
      <c r="A990" s="4" t="s">
        <v>406</v>
      </c>
      <c r="B990" s="1">
        <v>0.23919599999999999</v>
      </c>
      <c r="C990" s="1">
        <v>0.24299999999999999</v>
      </c>
    </row>
    <row r="991" spans="1:3" x14ac:dyDescent="0.25">
      <c r="A991" s="4" t="s">
        <v>407</v>
      </c>
      <c r="B991" s="1">
        <v>0.80954700000000002</v>
      </c>
      <c r="C991" s="1">
        <v>0.81194299999999997</v>
      </c>
    </row>
    <row r="992" spans="1:3" x14ac:dyDescent="0.25">
      <c r="A992" s="4" t="s">
        <v>408</v>
      </c>
      <c r="B992" s="1">
        <v>9.325E-3</v>
      </c>
      <c r="C992" s="1">
        <v>7.417E-3</v>
      </c>
    </row>
    <row r="993" spans="1:3" x14ac:dyDescent="0.25">
      <c r="A993" s="4" t="s">
        <v>409</v>
      </c>
      <c r="B993" s="1">
        <v>0.92164199999999996</v>
      </c>
      <c r="C993" s="1">
        <v>0.92475799999999997</v>
      </c>
    </row>
    <row r="994" spans="1:3" x14ac:dyDescent="0.25">
      <c r="A994" s="4" t="s">
        <v>410</v>
      </c>
      <c r="B994" s="1">
        <v>0.94211</v>
      </c>
      <c r="C994" s="1">
        <v>0.94560599999999995</v>
      </c>
    </row>
    <row r="995" spans="1:3" x14ac:dyDescent="0.25">
      <c r="A995" s="4" t="s">
        <v>411</v>
      </c>
      <c r="B995" s="1">
        <v>0.51790700000000001</v>
      </c>
      <c r="C995" s="1">
        <v>0.51618299999999995</v>
      </c>
    </row>
    <row r="996" spans="1:3" x14ac:dyDescent="0.25">
      <c r="A996" s="4" t="s">
        <v>412</v>
      </c>
      <c r="B996" s="1">
        <v>0.16583700000000001</v>
      </c>
      <c r="C996" s="1">
        <v>0.16724900000000001</v>
      </c>
    </row>
    <row r="997" spans="1:3" x14ac:dyDescent="0.25">
      <c r="A997" s="4" t="s">
        <v>427</v>
      </c>
      <c r="B997" s="1">
        <v>2.5694999999999999E-2</v>
      </c>
      <c r="C997" s="1">
        <v>2.3115E-2</v>
      </c>
    </row>
    <row r="998" spans="1:3" x14ac:dyDescent="0.25">
      <c r="A998" s="4" t="s">
        <v>413</v>
      </c>
      <c r="B998" s="1">
        <v>0.91312199999999999</v>
      </c>
      <c r="C998" s="1">
        <v>0.91059800000000002</v>
      </c>
    </row>
    <row r="999" spans="1:3" x14ac:dyDescent="0.25">
      <c r="A999" s="4" t="s">
        <v>414</v>
      </c>
      <c r="B999" s="1">
        <v>0.58483099999999999</v>
      </c>
      <c r="C999" s="1">
        <v>0.58725899999999998</v>
      </c>
    </row>
    <row r="1000" spans="1:3" x14ac:dyDescent="0.25">
      <c r="A1000" s="4" t="s">
        <v>415</v>
      </c>
      <c r="B1000" s="1">
        <v>0.80934099999999998</v>
      </c>
      <c r="C1000" s="1">
        <v>0.81267299999999998</v>
      </c>
    </row>
    <row r="1001" spans="1:3" x14ac:dyDescent="0.25">
      <c r="A1001" s="4" t="s">
        <v>416</v>
      </c>
      <c r="B1001" s="1">
        <v>0.84869399999999995</v>
      </c>
      <c r="C1001" s="1">
        <v>0.85199800000000003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12</vt:i4>
      </vt:variant>
      <vt:variant>
        <vt:lpstr>Zakresy nazwane</vt:lpstr>
      </vt:variant>
      <vt:variant>
        <vt:i4>22</vt:i4>
      </vt:variant>
    </vt:vector>
  </HeadingPairs>
  <TitlesOfParts>
    <vt:vector size="34" baseType="lpstr">
      <vt:lpstr>z8-odp</vt:lpstr>
      <vt:lpstr>z8</vt:lpstr>
      <vt:lpstr>z7-odp</vt:lpstr>
      <vt:lpstr>z7</vt:lpstr>
      <vt:lpstr>z6</vt:lpstr>
      <vt:lpstr>z5-odp</vt:lpstr>
      <vt:lpstr>z5</vt:lpstr>
      <vt:lpstr>z4</vt:lpstr>
      <vt:lpstr>z3</vt:lpstr>
      <vt:lpstr>z2</vt:lpstr>
      <vt:lpstr>z1</vt:lpstr>
      <vt:lpstr>dane</vt:lpstr>
      <vt:lpstr>'z1'!pomiar</vt:lpstr>
      <vt:lpstr>'z2'!pomiar</vt:lpstr>
      <vt:lpstr>'z3'!pomiar</vt:lpstr>
      <vt:lpstr>'z4'!pomiar</vt:lpstr>
      <vt:lpstr>'z6'!pomiar</vt:lpstr>
      <vt:lpstr>'z7'!pomiar</vt:lpstr>
      <vt:lpstr>'z8'!pomiar</vt:lpstr>
      <vt:lpstr>dane!pomiar_1</vt:lpstr>
      <vt:lpstr>'z1'!pomiar_1</vt:lpstr>
      <vt:lpstr>'z2'!pomiar_1</vt:lpstr>
      <vt:lpstr>'z3'!pomiar_1</vt:lpstr>
      <vt:lpstr>'z4'!pomiar_1</vt:lpstr>
      <vt:lpstr>'z5'!pomiar_1</vt:lpstr>
      <vt:lpstr>'z6'!pomiar_1</vt:lpstr>
      <vt:lpstr>'z7'!pomiar_1</vt:lpstr>
      <vt:lpstr>'z8'!pomiar_1</vt:lpstr>
      <vt:lpstr>'z2'!pomiar_2</vt:lpstr>
      <vt:lpstr>'z3'!pomiar_2</vt:lpstr>
      <vt:lpstr>'z4'!pomiar_2</vt:lpstr>
      <vt:lpstr>'z6'!pomiar_2</vt:lpstr>
      <vt:lpstr>'z7'!pomiar_2</vt:lpstr>
      <vt:lpstr>'z8'!pomiar_2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2026-03-05T10:53:23Z</dcterms:created>
  <dcterms:modified xsi:type="dcterms:W3CDTF">2026-03-06T11:16:58Z</dcterms:modified>
</cp:coreProperties>
</file>