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14-01\"/>
    </mc:Choice>
  </mc:AlternateContent>
  <bookViews>
    <workbookView xWindow="0" yWindow="0" windowWidth="20490" windowHeight="7530"/>
  </bookViews>
  <sheets>
    <sheet name="dane (2)" sheetId="4" r:id="rId1"/>
    <sheet name="z2" sheetId="3" r:id="rId2"/>
    <sheet name="z1" sheetId="2" r:id="rId3"/>
    <sheet name="dane" sheetId="1" r:id="rId4"/>
  </sheets>
  <definedNames>
    <definedName name="komisja" localSheetId="3">dane!$A$1:$D$501</definedName>
    <definedName name="komisja" localSheetId="0">'dane (2)'!$A$1:$D$501</definedName>
    <definedName name="komisja" localSheetId="2">'z1'!$A$1:$D$501</definedName>
    <definedName name="komisja" localSheetId="1">'z2'!$A$1:$D$501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G2" i="4"/>
  <c r="H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2" i="4"/>
  <c r="H3" i="3"/>
  <c r="G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2" i="3"/>
  <c r="H5" i="2"/>
  <c r="I5" i="2"/>
  <c r="G5" i="2"/>
  <c r="I2" i="2"/>
  <c r="H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2" i="2"/>
</calcChain>
</file>

<file path=xl/connections.xml><?xml version="1.0" encoding="utf-8"?>
<connections xmlns="http://schemas.openxmlformats.org/spreadsheetml/2006/main">
  <connection id="1" name="komisja" type="6" refreshedVersion="6" background="1" saveData="1">
    <textPr codePage="1250" sourceFile="C:\Users\2022aR\Desktop\Matura\2014-01\komisja.txt" decimal="," thousands=" " tab="0" semicolon="1">
      <textFields count="4">
        <textField type="text"/>
        <textField type="text"/>
        <textField/>
        <textField/>
      </textFields>
    </textPr>
  </connection>
  <connection id="2" name="komisja1" type="6" refreshedVersion="6" background="1" saveData="1">
    <textPr codePage="1250" sourceFile="C:\Users\2022aR\Desktop\Matura\2014-01\komisja.txt" decimal="," thousands=" " tab="0" semicolon="1">
      <textFields count="4">
        <textField type="text"/>
        <textField type="text"/>
        <textField/>
        <textField/>
      </textFields>
    </textPr>
  </connection>
  <connection id="3" name="komisja2" type="6" refreshedVersion="6" background="1" saveData="1">
    <textPr codePage="1250" sourceFile="C:\Users\2022aR\Desktop\Matura\2014-01\komisja.txt" decimal="," thousands=" " tab="0" semicolon="1">
      <textFields count="4">
        <textField type="text"/>
        <textField type="text"/>
        <textField/>
        <textField/>
      </textFields>
    </textPr>
  </connection>
  <connection id="4" name="komisja3" type="6" refreshedVersion="6" background="1" saveData="1">
    <textPr codePage="1250" sourceFile="C:\Users\2022aR\Desktop\Matura\2014-01\komisja.txt" decimal="," thousands=" " tab="0" semicolon="1">
      <textFields count="4">
        <textField type="text"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<sst xmlns="http://schemas.openxmlformats.org/spreadsheetml/2006/main" count="4033" uniqueCount="1020">
  <si>
    <t>Imię_i_nazwisko</t>
  </si>
  <si>
    <t>PESEL</t>
  </si>
  <si>
    <t>liczba_osób_w _rodzinie</t>
  </si>
  <si>
    <t>dochód</t>
  </si>
  <si>
    <t>Paweł Małgorzewicz</t>
  </si>
  <si>
    <t>95053066651</t>
  </si>
  <si>
    <t>Jerzy ŚŚmietanka</t>
  </si>
  <si>
    <t>95081120792</t>
  </si>
  <si>
    <t>Adam Abramczyk</t>
  </si>
  <si>
    <t>94022419214</t>
  </si>
  <si>
    <t>Karol Adam</t>
  </si>
  <si>
    <t>95070485956</t>
  </si>
  <si>
    <t>Irena Adamczyk</t>
  </si>
  <si>
    <t>95102779587</t>
  </si>
  <si>
    <t>Karolina Adamczyk</t>
  </si>
  <si>
    <t>95072117220</t>
  </si>
  <si>
    <t>Krzysztof Adamczyk</t>
  </si>
  <si>
    <t>97111986419</t>
  </si>
  <si>
    <t>Piotr Adamczyk</t>
  </si>
  <si>
    <t>96090582973</t>
  </si>
  <si>
    <t>Ewa Adamiec</t>
  </si>
  <si>
    <t>96060504763</t>
  </si>
  <si>
    <t>Jan Adamiec</t>
  </si>
  <si>
    <t>95091876434</t>
  </si>
  <si>
    <t>97011414456</t>
  </si>
  <si>
    <t>Witold Adamiec</t>
  </si>
  <si>
    <t>96110918353</t>
  </si>
  <si>
    <t>Jolanta Adamowicz</t>
  </si>
  <si>
    <t>96112121566</t>
  </si>
  <si>
    <t>Adam Adamowicz</t>
  </si>
  <si>
    <t>96041741138</t>
  </si>
  <si>
    <t>Jan Adamowicz</t>
  </si>
  <si>
    <t>97112302173</t>
  </si>
  <si>
    <t>Karolina Adamska</t>
  </si>
  <si>
    <t>96050582740</t>
  </si>
  <si>
    <t>Jerzy Adamski</t>
  </si>
  <si>
    <t>95122871618</t>
  </si>
  <si>
    <t>Paweł Adamski</t>
  </si>
  <si>
    <t>95051494474</t>
  </si>
  <si>
    <t>Ryszard Adamski</t>
  </si>
  <si>
    <t>97070221190</t>
  </si>
  <si>
    <t>Małgorzata Adamus</t>
  </si>
  <si>
    <t>96050278940</t>
  </si>
  <si>
    <t>Adam Adamus</t>
  </si>
  <si>
    <t>95121410452</t>
  </si>
  <si>
    <t>Wiktor Adamus</t>
  </si>
  <si>
    <t>96101824834</t>
  </si>
  <si>
    <t>Ewa Aderek</t>
  </si>
  <si>
    <t>97070687680</t>
  </si>
  <si>
    <t>Karol Aderek</t>
  </si>
  <si>
    <t>97112926274</t>
  </si>
  <si>
    <t>Joanna Albert</t>
  </si>
  <si>
    <t>96070241304</t>
  </si>
  <si>
    <t>Jerzy Albert</t>
  </si>
  <si>
    <t>96030428435</t>
  </si>
  <si>
    <t>Barbara Aleksander</t>
  </si>
  <si>
    <t>97051224220</t>
  </si>
  <si>
    <t>Krzysztof Aleksander</t>
  </si>
  <si>
    <t>94061198334</t>
  </si>
  <si>
    <t>Piotr Aleksander</t>
  </si>
  <si>
    <t>95100626591</t>
  </si>
  <si>
    <t>Barbara Aleksandrowicz</t>
  </si>
  <si>
    <t>95100664942</t>
  </si>
  <si>
    <t>Krystyna Aleksandrowicz</t>
  </si>
  <si>
    <t>94063051503</t>
  </si>
  <si>
    <t>Michał Aleksandrowicz</t>
  </si>
  <si>
    <t>95070858576</t>
  </si>
  <si>
    <t>Zofia Alot</t>
  </si>
  <si>
    <t>94021928366</t>
  </si>
  <si>
    <t>Adam Alot</t>
  </si>
  <si>
    <t>96022516571</t>
  </si>
  <si>
    <t>Krzysztof Alot</t>
  </si>
  <si>
    <t>97060113252</t>
  </si>
  <si>
    <t>Arkadiusz Amanowicz</t>
  </si>
  <si>
    <t>96120454395</t>
  </si>
  <si>
    <t>Anna Andrzejewska</t>
  </si>
  <si>
    <t>95042786403</t>
  </si>
  <si>
    <t>Barbara Andrzejewska</t>
  </si>
  <si>
    <t>97052408764</t>
  </si>
  <si>
    <t>Adam Andrzejewski</t>
  </si>
  <si>
    <t>98062021091</t>
  </si>
  <si>
    <t>Jerzy Andrzejewski</t>
  </si>
  <si>
    <t>96103103256</t>
  </si>
  <si>
    <t>Jolanta Antczak</t>
  </si>
  <si>
    <t>95040113386</t>
  </si>
  <si>
    <t>Jerzy Antczak</t>
  </si>
  <si>
    <t>96011023774</t>
  </si>
  <si>
    <t>Marian Antoni</t>
  </si>
  <si>
    <t>95040922193</t>
  </si>
  <si>
    <t>Krystyna Antonkiewicz</t>
  </si>
  <si>
    <t>96082426726</t>
  </si>
  <si>
    <t>Zofia Antonkiewicz</t>
  </si>
  <si>
    <t>94120486187</t>
  </si>
  <si>
    <t>Agnieszka Antos</t>
  </si>
  <si>
    <t>98042852828</t>
  </si>
  <si>
    <t>Hanna Antos</t>
  </si>
  <si>
    <t>96050494588</t>
  </si>
  <si>
    <t>Karolina Antos</t>
  </si>
  <si>
    <t>96021024561</t>
  </si>
  <si>
    <t>Adam Antos</t>
  </si>
  <si>
    <t>95072277911</t>
  </si>
  <si>
    <t>Krystian Antos</t>
  </si>
  <si>
    <t>96072877873</t>
  </si>
  <si>
    <t>Mieczysław Antos</t>
  </si>
  <si>
    <t>96122961138</t>
  </si>
  <si>
    <t>Wiesław Antos</t>
  </si>
  <si>
    <t>96091403637</t>
  </si>
  <si>
    <t>Krystyna Arak</t>
  </si>
  <si>
    <t>96060626140</t>
  </si>
  <si>
    <t>Karol Arak</t>
  </si>
  <si>
    <t>95022191896</t>
  </si>
  <si>
    <t>Halina Aronowska</t>
  </si>
  <si>
    <t>96101536265</t>
  </si>
  <si>
    <t>Adam Aronowski</t>
  </si>
  <si>
    <t>94010484136</t>
  </si>
  <si>
    <t>Wiesław Aronowski</t>
  </si>
  <si>
    <t>97102052152</t>
  </si>
  <si>
    <t>Zofia Augustyn</t>
  </si>
  <si>
    <t>96062655108</t>
  </si>
  <si>
    <t>Barbara Augustyniak</t>
  </si>
  <si>
    <t>97091525585</t>
  </si>
  <si>
    <t>Piotr Augustyniak</t>
  </si>
  <si>
    <t>97051518017</t>
  </si>
  <si>
    <t>Anna Babiarz</t>
  </si>
  <si>
    <t>94021610128</t>
  </si>
  <si>
    <t>Waldemar Babiarz</t>
  </si>
  <si>
    <t>95062884172</t>
  </si>
  <si>
    <t>Barbara Babula</t>
  </si>
  <si>
    <t>97080734000</t>
  </si>
  <si>
    <t>Jan Babula</t>
  </si>
  <si>
    <t>97012728392</t>
  </si>
  <si>
    <t>Danuta Badowska</t>
  </si>
  <si>
    <t>97102123984</t>
  </si>
  <si>
    <t>Małgorzata Badowska</t>
  </si>
  <si>
    <t>95050820362</t>
  </si>
  <si>
    <t>Bronisław Badowski</t>
  </si>
  <si>
    <t>95053143437</t>
  </si>
  <si>
    <t>Karol Badowski</t>
  </si>
  <si>
    <t>97122085415</t>
  </si>
  <si>
    <t>Ewelina Bajda</t>
  </si>
  <si>
    <t>95101058469</t>
  </si>
  <si>
    <t>Antoni Bajda</t>
  </si>
  <si>
    <t>97110353331</t>
  </si>
  <si>
    <t>Marcin Bajda</t>
  </si>
  <si>
    <t>96121683716</t>
  </si>
  <si>
    <t>Irena Bajer</t>
  </si>
  <si>
    <t>96011222302</t>
  </si>
  <si>
    <t>Alfred Bajer</t>
  </si>
  <si>
    <t>96042871591</t>
  </si>
  <si>
    <t>Stefan Bajer</t>
  </si>
  <si>
    <t>96061678092</t>
  </si>
  <si>
    <t>Klementyna Bak</t>
  </si>
  <si>
    <t>97121472180</t>
  </si>
  <si>
    <t>Janusz Baka</t>
  </si>
  <si>
    <t>95040512215</t>
  </si>
  <si>
    <t>Iwona Balcer</t>
  </si>
  <si>
    <t>95050479528</t>
  </si>
  <si>
    <t>Zofia Balcerek</t>
  </si>
  <si>
    <t>95082125406</t>
  </si>
  <si>
    <t>Zygmunt Balcerek</t>
  </si>
  <si>
    <t>95021577673</t>
  </si>
  <si>
    <t>Iwona Balcerowska</t>
  </si>
  <si>
    <t>97082864141</t>
  </si>
  <si>
    <t>Krystian Balcerowski</t>
  </si>
  <si>
    <t>96102480693</t>
  </si>
  <si>
    <t>Ilona Balcerzak</t>
  </si>
  <si>
    <t>96093049468</t>
  </si>
  <si>
    <t>Anna Balicka</t>
  </si>
  <si>
    <t>96081035349</t>
  </si>
  <si>
    <t>Krzysztof Balicki</t>
  </si>
  <si>
    <t>97082814375</t>
  </si>
  <si>
    <t>Michał Balicki</t>
  </si>
  <si>
    <t>95042579799</t>
  </si>
  <si>
    <t>Henryk Banaś</t>
  </si>
  <si>
    <t>94082842296</t>
  </si>
  <si>
    <t>Dorota Banach</t>
  </si>
  <si>
    <t>95111575529</t>
  </si>
  <si>
    <t>Zofia Banach</t>
  </si>
  <si>
    <t>96042357602</t>
  </si>
  <si>
    <t>Paweł Banach</t>
  </si>
  <si>
    <t>95082156390</t>
  </si>
  <si>
    <t>Wanda Banaczek</t>
  </si>
  <si>
    <t>95102960329</t>
  </si>
  <si>
    <t>Paulina Banasiak</t>
  </si>
  <si>
    <t>97012740680</t>
  </si>
  <si>
    <t>Piotr Banasiak</t>
  </si>
  <si>
    <t>95040987431</t>
  </si>
  <si>
    <t>Beata Banasiewicz</t>
  </si>
  <si>
    <t>94060143366</t>
  </si>
  <si>
    <t>Irena Banasiewicz</t>
  </si>
  <si>
    <t>96081582827</t>
  </si>
  <si>
    <t>Andrzej Banasiewicz</t>
  </si>
  <si>
    <t>96080835636</t>
  </si>
  <si>
    <t>Irena Banasik</t>
  </si>
  <si>
    <t>97060468147</t>
  </si>
  <si>
    <t>Zofia Banasik</t>
  </si>
  <si>
    <t>94080423400</t>
  </si>
  <si>
    <t>Antoni Banasik</t>
  </si>
  <si>
    <t>95050657357</t>
  </si>
  <si>
    <t>Igor Banasik</t>
  </si>
  <si>
    <t>94060182152</t>
  </si>
  <si>
    <t>Paweł Banasik</t>
  </si>
  <si>
    <t>96102032616</t>
  </si>
  <si>
    <t>Barbara Banaszczyk</t>
  </si>
  <si>
    <t>97080871327</t>
  </si>
  <si>
    <t>Adrian Banaszczyk</t>
  </si>
  <si>
    <t>95031846675</t>
  </si>
  <si>
    <t>Celina Banaszek</t>
  </si>
  <si>
    <t>94102587600</t>
  </si>
  <si>
    <t>Bolesław Banaszek</t>
  </si>
  <si>
    <t>95092467174</t>
  </si>
  <si>
    <t>Dorota Banaszkiewicz</t>
  </si>
  <si>
    <t>95112388346</t>
  </si>
  <si>
    <t>Czesław Banaszkiewicz</t>
  </si>
  <si>
    <t>95120692996</t>
  </si>
  <si>
    <t>Ewa Bandera</t>
  </si>
  <si>
    <t>96031016400</t>
  </si>
  <si>
    <t>Daniel Bandera</t>
  </si>
  <si>
    <t>96090861670</t>
  </si>
  <si>
    <t>Grażyna Banderas</t>
  </si>
  <si>
    <t>97101638582</t>
  </si>
  <si>
    <t>Edward Banderas</t>
  </si>
  <si>
    <t>96041375676</t>
  </si>
  <si>
    <t>Grzegorz Banel</t>
  </si>
  <si>
    <t>94071387113</t>
  </si>
  <si>
    <t>Piotr Bansik</t>
  </si>
  <si>
    <t>96122866358</t>
  </si>
  <si>
    <t>Halina Bańka</t>
  </si>
  <si>
    <t>95011345684</t>
  </si>
  <si>
    <t>Irena Bańkowska</t>
  </si>
  <si>
    <t>97022437462</t>
  </si>
  <si>
    <t>Jolanta Bańkowska</t>
  </si>
  <si>
    <t>96042444702</t>
  </si>
  <si>
    <t>Ireneusz Bańkowski</t>
  </si>
  <si>
    <t>97031738176</t>
  </si>
  <si>
    <t>Krystyna Barabasz</t>
  </si>
  <si>
    <t>96080602463</t>
  </si>
  <si>
    <t>Kazimierz Baran</t>
  </si>
  <si>
    <t>95122071490</t>
  </si>
  <si>
    <t>Leon Baran</t>
  </si>
  <si>
    <t>96082025758</t>
  </si>
  <si>
    <t>Zbigniew Baran</t>
  </si>
  <si>
    <t>97071261375</t>
  </si>
  <si>
    <t>Ludmiła Baranek</t>
  </si>
  <si>
    <t>97050542264</t>
  </si>
  <si>
    <t>Olgierd Baranek</t>
  </si>
  <si>
    <t>96090361132</t>
  </si>
  <si>
    <t>Olga Barankiewicz</t>
  </si>
  <si>
    <t>97021185342</t>
  </si>
  <si>
    <t>Piotr Barankiewicz</t>
  </si>
  <si>
    <t>95082084376</t>
  </si>
  <si>
    <t>Paulina Baranowska</t>
  </si>
  <si>
    <t>94042027103</t>
  </si>
  <si>
    <t>Stanisława Baranowska</t>
  </si>
  <si>
    <t>95012316104</t>
  </si>
  <si>
    <t>Paweł Baranowski</t>
  </si>
  <si>
    <t>95041728330</t>
  </si>
  <si>
    <t>Ryszard Baranowski</t>
  </si>
  <si>
    <t>95012674118</t>
  </si>
  <si>
    <t>Teresa Barańska</t>
  </si>
  <si>
    <t>97082351805</t>
  </si>
  <si>
    <t>Urszula Barańska</t>
  </si>
  <si>
    <t>95103152888</t>
  </si>
  <si>
    <t>Adam Barański</t>
  </si>
  <si>
    <t>95122272457</t>
  </si>
  <si>
    <t>Karol Barański</t>
  </si>
  <si>
    <t>97051792231</t>
  </si>
  <si>
    <t>Tadeusz Barański</t>
  </si>
  <si>
    <t>96111283373</t>
  </si>
  <si>
    <t>Waldemar Barański</t>
  </si>
  <si>
    <t>96050669595</t>
  </si>
  <si>
    <t>Arnold Barbucha</t>
  </si>
  <si>
    <t>97100851210</t>
  </si>
  <si>
    <t>Barbara Barcik</t>
  </si>
  <si>
    <t>96070984742</t>
  </si>
  <si>
    <t>Zyta Barcikowska</t>
  </si>
  <si>
    <t>98122698144</t>
  </si>
  <si>
    <t>Zenon Barcikowski</t>
  </si>
  <si>
    <t>97050552137</t>
  </si>
  <si>
    <t>Adam Barczewski</t>
  </si>
  <si>
    <t>98031247675</t>
  </si>
  <si>
    <t>Cezary Barczyk</t>
  </si>
  <si>
    <t>96062089550</t>
  </si>
  <si>
    <t>Celina Bardzio</t>
  </si>
  <si>
    <t>96042317426</t>
  </si>
  <si>
    <t>Danuta Bargiel</t>
  </si>
  <si>
    <t>97011853806</t>
  </si>
  <si>
    <t>Dionizy Bargieł</t>
  </si>
  <si>
    <t>97020130114</t>
  </si>
  <si>
    <t>Mieczysław Barnaś</t>
  </si>
  <si>
    <t>95041404452</t>
  </si>
  <si>
    <t>Jolanta Baron</t>
  </si>
  <si>
    <t>96020411021</t>
  </si>
  <si>
    <t>Alina Barska</t>
  </si>
  <si>
    <t>96090772769</t>
  </si>
  <si>
    <t>Zenon Barski</t>
  </si>
  <si>
    <t>94073167357</t>
  </si>
  <si>
    <t>Halina Barszcz</t>
  </si>
  <si>
    <t>96061080507</t>
  </si>
  <si>
    <t>Zofia Barszcz</t>
  </si>
  <si>
    <t>96061317405</t>
  </si>
  <si>
    <t>Adam Barszcz</t>
  </si>
  <si>
    <t>96072658997</t>
  </si>
  <si>
    <t>Paweł Barszcz</t>
  </si>
  <si>
    <t>95122036257</t>
  </si>
  <si>
    <t>Anna Barszczewska</t>
  </si>
  <si>
    <t>95062777366</t>
  </si>
  <si>
    <t>Cecylia Barszczewska</t>
  </si>
  <si>
    <t>96120514987</t>
  </si>
  <si>
    <t>Halina Barszczewska</t>
  </si>
  <si>
    <t>94071305223</t>
  </si>
  <si>
    <t>Karol Barszczewski</t>
  </si>
  <si>
    <t>96102562757</t>
  </si>
  <si>
    <t>Ewa Bartel</t>
  </si>
  <si>
    <t>95082752527</t>
  </si>
  <si>
    <t>Elwira Bartkiewicz</t>
  </si>
  <si>
    <t>95082747208</t>
  </si>
  <si>
    <t>Lucjan Bartkowiak</t>
  </si>
  <si>
    <t>94031572771</t>
  </si>
  <si>
    <t>Feliks Bartnik</t>
  </si>
  <si>
    <t>97012038259</t>
  </si>
  <si>
    <t>Bolesław Bartoś</t>
  </si>
  <si>
    <t>97100727692</t>
  </si>
  <si>
    <t>Jan Bartodziej</t>
  </si>
  <si>
    <t>96112892413</t>
  </si>
  <si>
    <t>Kazimiera Bartosiak</t>
  </si>
  <si>
    <t>96061816461</t>
  </si>
  <si>
    <t>Eliza Bartosiewicz</t>
  </si>
  <si>
    <t>97030781687</t>
  </si>
  <si>
    <t>Kazimierz Bartosik</t>
  </si>
  <si>
    <t>95062818519</t>
  </si>
  <si>
    <t>Ewa Bartosińska</t>
  </si>
  <si>
    <t>96040148745</t>
  </si>
  <si>
    <t>Krystyna Bartosz</t>
  </si>
  <si>
    <t>95011686589</t>
  </si>
  <si>
    <t>Adam Bartoszek</t>
  </si>
  <si>
    <t>95082408411</t>
  </si>
  <si>
    <t>Stanisław Bartoszewicz</t>
  </si>
  <si>
    <t>96112074291</t>
  </si>
  <si>
    <t>Zofia Barwicka</t>
  </si>
  <si>
    <t>95100648100</t>
  </si>
  <si>
    <t>Cezary Baryła</t>
  </si>
  <si>
    <t>96092715977</t>
  </si>
  <si>
    <t>Daniel Baryła</t>
  </si>
  <si>
    <t>97083019793</t>
  </si>
  <si>
    <t>Antoni Baryłka</t>
  </si>
  <si>
    <t>95021185072</t>
  </si>
  <si>
    <t>Klemens Baryłkiewicz</t>
  </si>
  <si>
    <t>95041867611</t>
  </si>
  <si>
    <t>Józef Baryłko</t>
  </si>
  <si>
    <t>96093003613</t>
  </si>
  <si>
    <t>Zenobiusz Basaj</t>
  </si>
  <si>
    <t>97030322514</t>
  </si>
  <si>
    <t>Anna Basiak</t>
  </si>
  <si>
    <t>98010378084</t>
  </si>
  <si>
    <t>Artur Basiński</t>
  </si>
  <si>
    <t>96082264838</t>
  </si>
  <si>
    <t>Marta Bator</t>
  </si>
  <si>
    <t>97051956626</t>
  </si>
  <si>
    <t>Stefan Batory</t>
  </si>
  <si>
    <t>97011913757</t>
  </si>
  <si>
    <t>Celina Batycka</t>
  </si>
  <si>
    <t>95010223840</t>
  </si>
  <si>
    <t>Józefina Bauer</t>
  </si>
  <si>
    <t>97032167386</t>
  </si>
  <si>
    <t>Stefan Bawarski</t>
  </si>
  <si>
    <t>96112362471</t>
  </si>
  <si>
    <t>Marcin Bazydło</t>
  </si>
  <si>
    <t>96082323535</t>
  </si>
  <si>
    <t>Jerzy Bąk</t>
  </si>
  <si>
    <t>95041778519</t>
  </si>
  <si>
    <t>Roch Bdzikot</t>
  </si>
  <si>
    <t>97072728077</t>
  </si>
  <si>
    <t>Justyna Bedka</t>
  </si>
  <si>
    <t>94020104606</t>
  </si>
  <si>
    <t>Anna Bednarczyk</t>
  </si>
  <si>
    <t>96050228501</t>
  </si>
  <si>
    <t>Andrzej Bednarczyk</t>
  </si>
  <si>
    <t>96091946552</t>
  </si>
  <si>
    <t>Stanisłšw Bednarek</t>
  </si>
  <si>
    <t>96110709470</t>
  </si>
  <si>
    <t>Zenon Bednarek</t>
  </si>
  <si>
    <t>96120593379</t>
  </si>
  <si>
    <t>Karolina Bednarska</t>
  </si>
  <si>
    <t>96101314188</t>
  </si>
  <si>
    <t>Marek Bednarski</t>
  </si>
  <si>
    <t>96091118139</t>
  </si>
  <si>
    <t>Józef Bednarz</t>
  </si>
  <si>
    <t>95022008936</t>
  </si>
  <si>
    <t>Martyna Bedyńska</t>
  </si>
  <si>
    <t>97081685541</t>
  </si>
  <si>
    <t>Marcin Bedyński</t>
  </si>
  <si>
    <t>95011718358</t>
  </si>
  <si>
    <t>Bolesław Bek</t>
  </si>
  <si>
    <t>95120375510</t>
  </si>
  <si>
    <t>Iwona Bekasiewicz</t>
  </si>
  <si>
    <t>96051200162</t>
  </si>
  <si>
    <t>Kazimierz Benedykt</t>
  </si>
  <si>
    <t>96033168631</t>
  </si>
  <si>
    <t>Bartosz Bentkowski</t>
  </si>
  <si>
    <t>95032675739</t>
  </si>
  <si>
    <t>Zofia Berak</t>
  </si>
  <si>
    <t>95100713202</t>
  </si>
  <si>
    <t>Anita Berezowska</t>
  </si>
  <si>
    <t>95120817700</t>
  </si>
  <si>
    <t>Adam Berezowski</t>
  </si>
  <si>
    <t>96032408536</t>
  </si>
  <si>
    <t>Hanna Bernacik</t>
  </si>
  <si>
    <t>96061406705</t>
  </si>
  <si>
    <t>Adam Berus</t>
  </si>
  <si>
    <t>97120637454</t>
  </si>
  <si>
    <t>Karolina Bębenek</t>
  </si>
  <si>
    <t>95082232205</t>
  </si>
  <si>
    <t>Anan Bębenek</t>
  </si>
  <si>
    <t>97072942316</t>
  </si>
  <si>
    <t>Czesław Bębenek</t>
  </si>
  <si>
    <t>95110354314</t>
  </si>
  <si>
    <t>Artur Białas</t>
  </si>
  <si>
    <t>95100708358</t>
  </si>
  <si>
    <t>Jerzy Białczak</t>
  </si>
  <si>
    <t>95022031099</t>
  </si>
  <si>
    <t>Agnieszka Białecka</t>
  </si>
  <si>
    <t>95121756949</t>
  </si>
  <si>
    <t>Paulina Białek</t>
  </si>
  <si>
    <t>96082186228</t>
  </si>
  <si>
    <t>Karol Białek</t>
  </si>
  <si>
    <t>96013070675</t>
  </si>
  <si>
    <t>Piotr Białkowski</t>
  </si>
  <si>
    <t>96021578695</t>
  </si>
  <si>
    <t>Halina Białowšs</t>
  </si>
  <si>
    <t>96040271447</t>
  </si>
  <si>
    <t>Marcin Białowšs</t>
  </si>
  <si>
    <t>95092351277</t>
  </si>
  <si>
    <t>Leszek Biały</t>
  </si>
  <si>
    <t>95053035491</t>
  </si>
  <si>
    <t>Kazimierz Biedka</t>
  </si>
  <si>
    <t>96022497753</t>
  </si>
  <si>
    <t>Joanna Biedrzyńska</t>
  </si>
  <si>
    <t>95041227624</t>
  </si>
  <si>
    <t>Danuta Biegaj</t>
  </si>
  <si>
    <t>95110664721</t>
  </si>
  <si>
    <t>Józef Biegaj</t>
  </si>
  <si>
    <t>97110271857</t>
  </si>
  <si>
    <t>Małgorzata Bielawska</t>
  </si>
  <si>
    <t>97013031282</t>
  </si>
  <si>
    <t>Marcin Bielawski</t>
  </si>
  <si>
    <t>96052231192</t>
  </si>
  <si>
    <t>Maria Bielec</t>
  </si>
  <si>
    <t>96043053903</t>
  </si>
  <si>
    <t>Danuta Bielecka</t>
  </si>
  <si>
    <t>97122526345</t>
  </si>
  <si>
    <t>Michał Bielecki</t>
  </si>
  <si>
    <t>95071935115</t>
  </si>
  <si>
    <t>Alina Bienias</t>
  </si>
  <si>
    <t>97032767081</t>
  </si>
  <si>
    <t>Karolina Bień</t>
  </si>
  <si>
    <t>95100365522</t>
  </si>
  <si>
    <t>Zenon Biernacki</t>
  </si>
  <si>
    <t>96092088491</t>
  </si>
  <si>
    <t>Dorota Bilska</t>
  </si>
  <si>
    <t>96052411367</t>
  </si>
  <si>
    <t>Wojciech Bilski</t>
  </si>
  <si>
    <t>96092746410</t>
  </si>
  <si>
    <t>Izabela Bińkowska</t>
  </si>
  <si>
    <t>98112713783</t>
  </si>
  <si>
    <t>Artur Bińkowski</t>
  </si>
  <si>
    <t>96032577274</t>
  </si>
  <si>
    <t>Kazimierz Bińkowski</t>
  </si>
  <si>
    <t>96101200573</t>
  </si>
  <si>
    <t>Zofia Bisińska</t>
  </si>
  <si>
    <t>97091942104</t>
  </si>
  <si>
    <t>Adam Bisiński</t>
  </si>
  <si>
    <t>95102822070</t>
  </si>
  <si>
    <t>Halina Bitner</t>
  </si>
  <si>
    <t>96052913760</t>
  </si>
  <si>
    <t>Krystyna Blacharz</t>
  </si>
  <si>
    <t>95100762305</t>
  </si>
  <si>
    <t>Maria Blicharska</t>
  </si>
  <si>
    <t>97071954121</t>
  </si>
  <si>
    <t>Maria Błaszczyk</t>
  </si>
  <si>
    <t>96121375547</t>
  </si>
  <si>
    <t>Olga Błaszkiewicz</t>
  </si>
  <si>
    <t>96081627364</t>
  </si>
  <si>
    <t>Kazimierz Błędowski</t>
  </si>
  <si>
    <t>98052088293</t>
  </si>
  <si>
    <t>Łukasz Błocki</t>
  </si>
  <si>
    <t>97110718592</t>
  </si>
  <si>
    <t>Jerzy Błotny</t>
  </si>
  <si>
    <t>96102167693</t>
  </si>
  <si>
    <t>Barbara Bronikowska</t>
  </si>
  <si>
    <t>95021476163</t>
  </si>
  <si>
    <t>Mirosława Brzezińska</t>
  </si>
  <si>
    <t>95022526522</t>
  </si>
  <si>
    <t>Marcelina Bšba</t>
  </si>
  <si>
    <t>97101819383</t>
  </si>
  <si>
    <t>Karol Bšbalewski</t>
  </si>
  <si>
    <t>96020312698</t>
  </si>
  <si>
    <t>Kazimierz Bšbalski</t>
  </si>
  <si>
    <t>95072405714</t>
  </si>
  <si>
    <t>Marcin Bšczek</t>
  </si>
  <si>
    <t>98091851618</t>
  </si>
  <si>
    <t>Zofia Bšczkowska</t>
  </si>
  <si>
    <t>97010407464</t>
  </si>
  <si>
    <t>Jerzy Bšczkowski</t>
  </si>
  <si>
    <t>95082172330</t>
  </si>
  <si>
    <t>Grażyna Bšk</t>
  </si>
  <si>
    <t>98072619808</t>
  </si>
  <si>
    <t>Zdzisław Bšk</t>
  </si>
  <si>
    <t>95012829495</t>
  </si>
  <si>
    <t>Celina Bškała</t>
  </si>
  <si>
    <t>96031513662</t>
  </si>
  <si>
    <t>Roman Bškowski</t>
  </si>
  <si>
    <t>97031717490</t>
  </si>
  <si>
    <t>Zenon Buczek</t>
  </si>
  <si>
    <t>97080610119</t>
  </si>
  <si>
    <t>Krzysztof Buczyński</t>
  </si>
  <si>
    <t>96040466597</t>
  </si>
  <si>
    <t>Teresa Budzisz</t>
  </si>
  <si>
    <t>96062078525</t>
  </si>
  <si>
    <t>Karol Budzisz</t>
  </si>
  <si>
    <t>95122466216</t>
  </si>
  <si>
    <t>Jan Bugajski</t>
  </si>
  <si>
    <t>95032971033</t>
  </si>
  <si>
    <t>Danuta Bugała</t>
  </si>
  <si>
    <t>97082464365</t>
  </si>
  <si>
    <t>Agnieszka Bujak</t>
  </si>
  <si>
    <t>97112224860</t>
  </si>
  <si>
    <t>Anna Bujanowicz</t>
  </si>
  <si>
    <t>94021311722</t>
  </si>
  <si>
    <t>Marian Bukalski</t>
  </si>
  <si>
    <t>96050146218</t>
  </si>
  <si>
    <t>Ewa Bulej</t>
  </si>
  <si>
    <t>95110428361</t>
  </si>
  <si>
    <t>Kazimierz Burda</t>
  </si>
  <si>
    <t>98071261433</t>
  </si>
  <si>
    <t>Edward Bzinkowski</t>
  </si>
  <si>
    <t>98062653490</t>
  </si>
  <si>
    <t>Włodzimierz Cabaj</t>
  </si>
  <si>
    <t>96011630493</t>
  </si>
  <si>
    <t>Wanda Całka</t>
  </si>
  <si>
    <t>97062444442</t>
  </si>
  <si>
    <t>Zofia Cedro</t>
  </si>
  <si>
    <t>94100758967</t>
  </si>
  <si>
    <t>Urban Cegłowski</t>
  </si>
  <si>
    <t>95082634656</t>
  </si>
  <si>
    <t>Andrzej Ceja</t>
  </si>
  <si>
    <t>95122740178</t>
  </si>
  <si>
    <t>Zenon Celej</t>
  </si>
  <si>
    <t>97012011539</t>
  </si>
  <si>
    <t>Stefan Celiński</t>
  </si>
  <si>
    <t>95062487993</t>
  </si>
  <si>
    <t>Urszula Cender</t>
  </si>
  <si>
    <t>97081507702</t>
  </si>
  <si>
    <t>Stanisława Chaberek</t>
  </si>
  <si>
    <t>96011472127</t>
  </si>
  <si>
    <t>Krystyna Chałbińska</t>
  </si>
  <si>
    <t>96032529127</t>
  </si>
  <si>
    <t>Eleonora Chałupka</t>
  </si>
  <si>
    <t>95042662666</t>
  </si>
  <si>
    <t>Jan Chamerski</t>
  </si>
  <si>
    <t>96061362955</t>
  </si>
  <si>
    <t>Mateusz Chebda</t>
  </si>
  <si>
    <t>97020973856</t>
  </si>
  <si>
    <t>Jerzy Chlebuś</t>
  </si>
  <si>
    <t>96060555752</t>
  </si>
  <si>
    <t>Karolina Chłopecka</t>
  </si>
  <si>
    <t>96012514448</t>
  </si>
  <si>
    <t>Karol Chłopicki</t>
  </si>
  <si>
    <t>96112522930</t>
  </si>
  <si>
    <t>Paulina Chmiel</t>
  </si>
  <si>
    <t>96010222242</t>
  </si>
  <si>
    <t>Lidia Chmielarz</t>
  </si>
  <si>
    <t>98121522844</t>
  </si>
  <si>
    <t>Laura Chmielewska</t>
  </si>
  <si>
    <t>96090363707</t>
  </si>
  <si>
    <t>Bogdan Chmielewski</t>
  </si>
  <si>
    <t>94082886254</t>
  </si>
  <si>
    <t>Damian Chmielewski</t>
  </si>
  <si>
    <t>96061536534</t>
  </si>
  <si>
    <t>Zygmunt Chochoł</t>
  </si>
  <si>
    <t>98071105296</t>
  </si>
  <si>
    <t>Karol Chochowski</t>
  </si>
  <si>
    <t>95062038151</t>
  </si>
  <si>
    <t>Kazimierz Chodyra</t>
  </si>
  <si>
    <t>96052886156</t>
  </si>
  <si>
    <t>Stefan Chodyra</t>
  </si>
  <si>
    <t>97051765419</t>
  </si>
  <si>
    <t>Elżbieta Chojnacka</t>
  </si>
  <si>
    <t>96102714420</t>
  </si>
  <si>
    <t>Jerzy Chojnacki</t>
  </si>
  <si>
    <t>95011659774</t>
  </si>
  <si>
    <t>Marek Chojnacki</t>
  </si>
  <si>
    <t>96061284857</t>
  </si>
  <si>
    <t>Roman Chojnacki</t>
  </si>
  <si>
    <t>96021973711</t>
  </si>
  <si>
    <t>Agnieszka Chrzanowska</t>
  </si>
  <si>
    <t>94070734886</t>
  </si>
  <si>
    <t>Konstanty Chwaliński</t>
  </si>
  <si>
    <t>96090599256</t>
  </si>
  <si>
    <t>Jan Chwała</t>
  </si>
  <si>
    <t>95010731778</t>
  </si>
  <si>
    <t>Ryszard Chwałek</t>
  </si>
  <si>
    <t>97042007238</t>
  </si>
  <si>
    <t>Józef Chylak</t>
  </si>
  <si>
    <t>96121662276</t>
  </si>
  <si>
    <t>Dorota Cichawa</t>
  </si>
  <si>
    <t>95051318088</t>
  </si>
  <si>
    <t>Anna Cichocka</t>
  </si>
  <si>
    <t>98010528748</t>
  </si>
  <si>
    <t>Wojciech Cichocki</t>
  </si>
  <si>
    <t>96042643934</t>
  </si>
  <si>
    <t>Dorota Cichosz</t>
  </si>
  <si>
    <t>96060341805</t>
  </si>
  <si>
    <t>Artur Cichowšs</t>
  </si>
  <si>
    <t>97042443395</t>
  </si>
  <si>
    <t>Teresa Cieślak</t>
  </si>
  <si>
    <t>96011785643</t>
  </si>
  <si>
    <t>Jolanta Cieślik</t>
  </si>
  <si>
    <t>97010892242</t>
  </si>
  <si>
    <t>Maria Ciechanowicz</t>
  </si>
  <si>
    <t>96031733266</t>
  </si>
  <si>
    <t>Renata Cybulska</t>
  </si>
  <si>
    <t>94102671462</t>
  </si>
  <si>
    <t>Jerzy Czajkowski</t>
  </si>
  <si>
    <t>95041921313</t>
  </si>
  <si>
    <t>Jerzy Czarnecki</t>
  </si>
  <si>
    <t>97102428690</t>
  </si>
  <si>
    <t>Grażyna Ćwiklińska</t>
  </si>
  <si>
    <t>95012369324</t>
  </si>
  <si>
    <t>Magdalena Deja</t>
  </si>
  <si>
    <t>96020327481</t>
  </si>
  <si>
    <t>Ewa Deska</t>
  </si>
  <si>
    <t>98073086889</t>
  </si>
  <si>
    <t>Agnieszka Długoborska</t>
  </si>
  <si>
    <t>95081343405</t>
  </si>
  <si>
    <t>Gustaw Dróżdż</t>
  </si>
  <si>
    <t>96012413471</t>
  </si>
  <si>
    <t>Tomasz Dubała</t>
  </si>
  <si>
    <t>97082430355</t>
  </si>
  <si>
    <t>Kazimierz Dudziński</t>
  </si>
  <si>
    <t>96072354077</t>
  </si>
  <si>
    <t>Anna Dulęba</t>
  </si>
  <si>
    <t>95080463560</t>
  </si>
  <si>
    <t>Tadeusz Duralski</t>
  </si>
  <si>
    <t>95012868892</t>
  </si>
  <si>
    <t>Marek Dziekan</t>
  </si>
  <si>
    <t>96020682577</t>
  </si>
  <si>
    <t>Anita Dziewięcka</t>
  </si>
  <si>
    <t>96080877227</t>
  </si>
  <si>
    <t>Robert Falek</t>
  </si>
  <si>
    <t>97010566635</t>
  </si>
  <si>
    <t>Krzysztof Figurski</t>
  </si>
  <si>
    <t>97092414316</t>
  </si>
  <si>
    <t>Jarosław Filipiak</t>
  </si>
  <si>
    <t>96071193013</t>
  </si>
  <si>
    <t>Anna Firlej</t>
  </si>
  <si>
    <t>96092327486</t>
  </si>
  <si>
    <t>Tadeusz Gołos</t>
  </si>
  <si>
    <t>97080428611</t>
  </si>
  <si>
    <t>Jerzy Gołšbek</t>
  </si>
  <si>
    <t>95030918416</t>
  </si>
  <si>
    <t>Marianna Goraj</t>
  </si>
  <si>
    <t>96041464945</t>
  </si>
  <si>
    <t>Józef Górecki</t>
  </si>
  <si>
    <t>97122815199</t>
  </si>
  <si>
    <t>Danuta Grdulska</t>
  </si>
  <si>
    <t>96052114581</t>
  </si>
  <si>
    <t>Rafał Grodecki</t>
  </si>
  <si>
    <t>96071923414</t>
  </si>
  <si>
    <t>Irena Gruszczyńska</t>
  </si>
  <si>
    <t>96071810183</t>
  </si>
  <si>
    <t>Magdalena Gruszczyńska</t>
  </si>
  <si>
    <t>98031857106</t>
  </si>
  <si>
    <t>Zofia Grzesik</t>
  </si>
  <si>
    <t>95122087864</t>
  </si>
  <si>
    <t>Tomasz Grzmil</t>
  </si>
  <si>
    <t>96091855274</t>
  </si>
  <si>
    <t>Wanda Grzywacz</t>
  </si>
  <si>
    <t>96061494069</t>
  </si>
  <si>
    <t>Sławomir Gumowski</t>
  </si>
  <si>
    <t>98083037879</t>
  </si>
  <si>
    <t>Helena Haruza</t>
  </si>
  <si>
    <t>96013047727</t>
  </si>
  <si>
    <t>Krzysztof Hentel</t>
  </si>
  <si>
    <t>95112013837</t>
  </si>
  <si>
    <t>Anna Idzik</t>
  </si>
  <si>
    <t>97120748103</t>
  </si>
  <si>
    <t>Roman Iwański</t>
  </si>
  <si>
    <t>94071763630</t>
  </si>
  <si>
    <t>Sara Jaśkiewicz</t>
  </si>
  <si>
    <t>96092615888</t>
  </si>
  <si>
    <t>Sylwester Jabłoński</t>
  </si>
  <si>
    <t>96062253436</t>
  </si>
  <si>
    <t>Maria Jackowska</t>
  </si>
  <si>
    <t>95032201781</t>
  </si>
  <si>
    <t>Agnieszka Jakubczyk</t>
  </si>
  <si>
    <t>96102893222</t>
  </si>
  <si>
    <t>Henryk Jakubczyk</t>
  </si>
  <si>
    <t>94011525111</t>
  </si>
  <si>
    <t>Mirosław Jakus</t>
  </si>
  <si>
    <t>96120442796</t>
  </si>
  <si>
    <t>Jerzy Jamski</t>
  </si>
  <si>
    <t>97011313939</t>
  </si>
  <si>
    <t>Edward Janas</t>
  </si>
  <si>
    <t>96112217917</t>
  </si>
  <si>
    <t>Jan Janowski</t>
  </si>
  <si>
    <t>97072625794</t>
  </si>
  <si>
    <t>Jolanta Jaros</t>
  </si>
  <si>
    <t>96032682460</t>
  </si>
  <si>
    <t>Roman Jedlikowski</t>
  </si>
  <si>
    <t>95060815556</t>
  </si>
  <si>
    <t>Witold Jóźwiak</t>
  </si>
  <si>
    <t>96050986476</t>
  </si>
  <si>
    <t>Alicja Kaźmierowska</t>
  </si>
  <si>
    <t>94051952508</t>
  </si>
  <si>
    <t>Piotr Kaleta</t>
  </si>
  <si>
    <t>95052321717</t>
  </si>
  <si>
    <t>Barbara Karcz</t>
  </si>
  <si>
    <t>96071070185</t>
  </si>
  <si>
    <t>Stanisława Kasińska</t>
  </si>
  <si>
    <t>98073152746</t>
  </si>
  <si>
    <t>Krzysztof Katana</t>
  </si>
  <si>
    <t>97051385950</t>
  </si>
  <si>
    <t>Wiesław Katana</t>
  </si>
  <si>
    <t>98041285874</t>
  </si>
  <si>
    <t>Ewa Klimaszewska</t>
  </si>
  <si>
    <t>95080222303</t>
  </si>
  <si>
    <t>Sylwester Kołodziejczyk</t>
  </si>
  <si>
    <t>95031438058</t>
  </si>
  <si>
    <t>Grzegorz Kończak</t>
  </si>
  <si>
    <t>96101636637</t>
  </si>
  <si>
    <t>Gerard Kopycki</t>
  </si>
  <si>
    <t>95021184491</t>
  </si>
  <si>
    <t>Roman Kos</t>
  </si>
  <si>
    <t>96083110473</t>
  </si>
  <si>
    <t>Grzegorz Kowalczyk</t>
  </si>
  <si>
    <t>95090638455</t>
  </si>
  <si>
    <t>Jerzy Kowalczyk</t>
  </si>
  <si>
    <t>98061030735</t>
  </si>
  <si>
    <t>Jadwiga Kowalska</t>
  </si>
  <si>
    <t>94021145608</t>
  </si>
  <si>
    <t>Jerzy Kowalski</t>
  </si>
  <si>
    <t>96022122558</t>
  </si>
  <si>
    <t>Damian Kowalski</t>
  </si>
  <si>
    <t>95080931359</t>
  </si>
  <si>
    <t>Andrzej Kozakowski</t>
  </si>
  <si>
    <t>97120925399</t>
  </si>
  <si>
    <t>Janusz Kozłowski</t>
  </si>
  <si>
    <t>95010235432</t>
  </si>
  <si>
    <t>Piotr Krakowiak</t>
  </si>
  <si>
    <t>95061622735</t>
  </si>
  <si>
    <t>Artur Kral</t>
  </si>
  <si>
    <t>95081314711</t>
  </si>
  <si>
    <t>Krzysztof Krok</t>
  </si>
  <si>
    <t>96011113778</t>
  </si>
  <si>
    <t>Danuta Król</t>
  </si>
  <si>
    <t>94040494507</t>
  </si>
  <si>
    <t>Krzysztof Krul</t>
  </si>
  <si>
    <t>95060800992</t>
  </si>
  <si>
    <t>Krzysztof Ksel</t>
  </si>
  <si>
    <t>96082588914</t>
  </si>
  <si>
    <t>Zbigniew Kuśmierczyk</t>
  </si>
  <si>
    <t>97050656794</t>
  </si>
  <si>
    <t>Aleksandra Kubiak</t>
  </si>
  <si>
    <t>98021949149</t>
  </si>
  <si>
    <t>Danuta Kuc</t>
  </si>
  <si>
    <t>95061348125</t>
  </si>
  <si>
    <t>Mariola Kukulska</t>
  </si>
  <si>
    <t>96031546381</t>
  </si>
  <si>
    <t>Grażyna Kumór</t>
  </si>
  <si>
    <t>97050371848</t>
  </si>
  <si>
    <t>Zbigniew Kunka</t>
  </si>
  <si>
    <t>98030244710</t>
  </si>
  <si>
    <t>Lesław Kupis</t>
  </si>
  <si>
    <t>98030482271</t>
  </si>
  <si>
    <t>Aleksandra Kwas</t>
  </si>
  <si>
    <t>97020984461</t>
  </si>
  <si>
    <t>Henryka Latała</t>
  </si>
  <si>
    <t>96122376141</t>
  </si>
  <si>
    <t>Anita Lewińska</t>
  </si>
  <si>
    <t>97120426944</t>
  </si>
  <si>
    <t>Franciszek Lipiński</t>
  </si>
  <si>
    <t>96070917676</t>
  </si>
  <si>
    <t>Jerzy Lipiński</t>
  </si>
  <si>
    <t>96012898256</t>
  </si>
  <si>
    <t>Janusz Ławniczek</t>
  </si>
  <si>
    <t>96073026757</t>
  </si>
  <si>
    <t>Stanisław Łojek</t>
  </si>
  <si>
    <t>95111977710</t>
  </si>
  <si>
    <t>Małgorzata Maciejczyk</t>
  </si>
  <si>
    <t>97073067108</t>
  </si>
  <si>
    <t>Jerzy Majcher</t>
  </si>
  <si>
    <t>97102662379</t>
  </si>
  <si>
    <t>Stanisław Majchrowicz</t>
  </si>
  <si>
    <t>95093087133</t>
  </si>
  <si>
    <t>Dorota Majewska</t>
  </si>
  <si>
    <t>96020866623</t>
  </si>
  <si>
    <t>Danuta Majka</t>
  </si>
  <si>
    <t>95062116747</t>
  </si>
  <si>
    <t>Stanisława Malecka</t>
  </si>
  <si>
    <t>96101938364</t>
  </si>
  <si>
    <t>Jan Małek</t>
  </si>
  <si>
    <t>95110684116</t>
  </si>
  <si>
    <t>Jan Marasek</t>
  </si>
  <si>
    <t>96110121537</t>
  </si>
  <si>
    <t>Alicja Marchlewska</t>
  </si>
  <si>
    <t>96061115928</t>
  </si>
  <si>
    <t>Anna Marzec</t>
  </si>
  <si>
    <t>96090980627</t>
  </si>
  <si>
    <t>Barbara Medyńska</t>
  </si>
  <si>
    <t>97112342601</t>
  </si>
  <si>
    <t>Maria Michajłow</t>
  </si>
  <si>
    <t>96042856507</t>
  </si>
  <si>
    <t>Janusz Michalak</t>
  </si>
  <si>
    <t>96103014178</t>
  </si>
  <si>
    <t>Aleksandra Michalec</t>
  </si>
  <si>
    <t>97112161480</t>
  </si>
  <si>
    <t>Barbara Michalska</t>
  </si>
  <si>
    <t>97120365528</t>
  </si>
  <si>
    <t>Dioniza Michalska</t>
  </si>
  <si>
    <t>95020567404</t>
  </si>
  <si>
    <t>Zbigniew Miller</t>
  </si>
  <si>
    <t>96080835834</t>
  </si>
  <si>
    <t>Jan Mirecki</t>
  </si>
  <si>
    <t>95061187658</t>
  </si>
  <si>
    <t>Tomasz Misiak</t>
  </si>
  <si>
    <t>97021464896</t>
  </si>
  <si>
    <t>Henryk Misztal</t>
  </si>
  <si>
    <t>96090671037</t>
  </si>
  <si>
    <t>Jarosław Młyńczak</t>
  </si>
  <si>
    <t>96091930539</t>
  </si>
  <si>
    <t>Krystyna Moršg</t>
  </si>
  <si>
    <t>95082416849</t>
  </si>
  <si>
    <t>Andrzej Mrozowski</t>
  </si>
  <si>
    <t>97120814510</t>
  </si>
  <si>
    <t>Janusz Nawrot</t>
  </si>
  <si>
    <t>94061624495</t>
  </si>
  <si>
    <t>Edward Nosowski</t>
  </si>
  <si>
    <t>96052346630</t>
  </si>
  <si>
    <t>Anna Nowak</t>
  </si>
  <si>
    <t>95032284740</t>
  </si>
  <si>
    <t>Jerzy Nowak</t>
  </si>
  <si>
    <t>96080778474</t>
  </si>
  <si>
    <t>Wiesław Nowak</t>
  </si>
  <si>
    <t>95020419398</t>
  </si>
  <si>
    <t>Marianna Ościk</t>
  </si>
  <si>
    <t>95102607563</t>
  </si>
  <si>
    <t>Ireneusz Ogonowski</t>
  </si>
  <si>
    <t>97041131598</t>
  </si>
  <si>
    <t>Elżbieta Okla</t>
  </si>
  <si>
    <t>95042266846</t>
  </si>
  <si>
    <t>Konrad Olszewski</t>
  </si>
  <si>
    <t>96041834135</t>
  </si>
  <si>
    <t>Ryszard Orlik</t>
  </si>
  <si>
    <t>97053130053</t>
  </si>
  <si>
    <t>Agata Orłowska</t>
  </si>
  <si>
    <t>95020314808</t>
  </si>
  <si>
    <t>Wojciech Otwinowski</t>
  </si>
  <si>
    <t>94010820958</t>
  </si>
  <si>
    <t>Stanisław Papier</t>
  </si>
  <si>
    <t>96102972451</t>
  </si>
  <si>
    <t>Marzena Pastuszka</t>
  </si>
  <si>
    <t>97081735864</t>
  </si>
  <si>
    <t>Danuta Pawłowska</t>
  </si>
  <si>
    <t>94100523464</t>
  </si>
  <si>
    <t>Zenon Pietruszka</t>
  </si>
  <si>
    <t>97110536455</t>
  </si>
  <si>
    <t>Anita Pietrzyk</t>
  </si>
  <si>
    <t>95122880566</t>
  </si>
  <si>
    <t>Leszek Pigulski</t>
  </si>
  <si>
    <t>98022702114</t>
  </si>
  <si>
    <t>Irena Piotrowska</t>
  </si>
  <si>
    <t>95122751905</t>
  </si>
  <si>
    <t>Alicja Pisarska</t>
  </si>
  <si>
    <t>97041411647</t>
  </si>
  <si>
    <t>Jerzy Piwnik</t>
  </si>
  <si>
    <t>95062908292</t>
  </si>
  <si>
    <t>Jadwiga Podczasiak</t>
  </si>
  <si>
    <t>96011058822</t>
  </si>
  <si>
    <t>Jadwiga Podsiadło</t>
  </si>
  <si>
    <t>94071652844</t>
  </si>
  <si>
    <t>Jerzy Podsiadły</t>
  </si>
  <si>
    <t>96110514214</t>
  </si>
  <si>
    <t>Marzena Porzucek</t>
  </si>
  <si>
    <t>95092656389</t>
  </si>
  <si>
    <t>Jarosław Prokop</t>
  </si>
  <si>
    <t>97051624358</t>
  </si>
  <si>
    <t>Piotr Prokop</t>
  </si>
  <si>
    <t>95121234052</t>
  </si>
  <si>
    <t>Laura Przybylska</t>
  </si>
  <si>
    <t>94051612420</t>
  </si>
  <si>
    <t>Anna Pytka</t>
  </si>
  <si>
    <t>96071838460</t>
  </si>
  <si>
    <t>Maria Rejkowicz</t>
  </si>
  <si>
    <t>98102423524</t>
  </si>
  <si>
    <t>Piotr Rokosz</t>
  </si>
  <si>
    <t>95102087978</t>
  </si>
  <si>
    <t>Stanisława Różalska</t>
  </si>
  <si>
    <t>96082353480</t>
  </si>
  <si>
    <t>Edmund Różycki</t>
  </si>
  <si>
    <t>97111519130</t>
  </si>
  <si>
    <t>Ewa Różyńska</t>
  </si>
  <si>
    <t>95040324827</t>
  </si>
  <si>
    <t>Mieczysława Rybicka</t>
  </si>
  <si>
    <t>96111846406</t>
  </si>
  <si>
    <t>Małgorzata Rybińska</t>
  </si>
  <si>
    <t>96033035120</t>
  </si>
  <si>
    <t>Leszek Rychta</t>
  </si>
  <si>
    <t>96020384332</t>
  </si>
  <si>
    <t>Mieczysław Sadza</t>
  </si>
  <si>
    <t>96020668478</t>
  </si>
  <si>
    <t>Barbara Sarek</t>
  </si>
  <si>
    <t>95081082641</t>
  </si>
  <si>
    <t>Zbigniew Sekuła</t>
  </si>
  <si>
    <t>96121714256</t>
  </si>
  <si>
    <t>Małgorzata Serwicka</t>
  </si>
  <si>
    <t>96072316749</t>
  </si>
  <si>
    <t>Władysława Setniewska</t>
  </si>
  <si>
    <t>97060621425</t>
  </si>
  <si>
    <t>Zbigniew Sitarek</t>
  </si>
  <si>
    <t>98072123879</t>
  </si>
  <si>
    <t>Edmund Skoczkowski</t>
  </si>
  <si>
    <t>96121858051</t>
  </si>
  <si>
    <t>Waldemar Skowroński</t>
  </si>
  <si>
    <t>96101092912</t>
  </si>
  <si>
    <t>Anna Skórska</t>
  </si>
  <si>
    <t>95052035287</t>
  </si>
  <si>
    <t>Magdalena Sławińska</t>
  </si>
  <si>
    <t>96032664527</t>
  </si>
  <si>
    <t>Danuta Stachura</t>
  </si>
  <si>
    <t>98022744880</t>
  </si>
  <si>
    <t>Krystyna Stańczyk</t>
  </si>
  <si>
    <t>95110819169</t>
  </si>
  <si>
    <t>Robert Stępień</t>
  </si>
  <si>
    <t>96120367158</t>
  </si>
  <si>
    <t>Krystyna Swoboda</t>
  </si>
  <si>
    <t>94102138189</t>
  </si>
  <si>
    <t>Jerzy Sylwar</t>
  </si>
  <si>
    <t>95081743496</t>
  </si>
  <si>
    <t>Tadeusz Szczygielski</t>
  </si>
  <si>
    <t>95091714130</t>
  </si>
  <si>
    <t>Wiesława Sznyrowska</t>
  </si>
  <si>
    <t>95032479289</t>
  </si>
  <si>
    <t>Zofia Szymańska</t>
  </si>
  <si>
    <t>97081694468</t>
  </si>
  <si>
    <t>Wiesław Szymański</t>
  </si>
  <si>
    <t>94083068314</t>
  </si>
  <si>
    <t>Małgorzata Szymczyk</t>
  </si>
  <si>
    <t>97040944867</t>
  </si>
  <si>
    <t>Zofia Tekiela</t>
  </si>
  <si>
    <t>95081736564</t>
  </si>
  <si>
    <t>Jerzy Tkacz</t>
  </si>
  <si>
    <t>97082877536</t>
  </si>
  <si>
    <t>Norbert Tomczyk</t>
  </si>
  <si>
    <t>96082660818</t>
  </si>
  <si>
    <t>Kazimierz Truszkowski</t>
  </si>
  <si>
    <t>97040216298</t>
  </si>
  <si>
    <t>Mariola Tucholska</t>
  </si>
  <si>
    <t>95020955100</t>
  </si>
  <si>
    <t>Tomasz Tutaj</t>
  </si>
  <si>
    <t>97051813013</t>
  </si>
  <si>
    <t>Karol Walas</t>
  </si>
  <si>
    <t>96053157271</t>
  </si>
  <si>
    <t>Jarosław Warnawin</t>
  </si>
  <si>
    <t>96073137574</t>
  </si>
  <si>
    <t>Ewa Wesołowska</t>
  </si>
  <si>
    <t>95100953246</t>
  </si>
  <si>
    <t>Jadwiga Wiek</t>
  </si>
  <si>
    <t>94122593465</t>
  </si>
  <si>
    <t>Anna Wierzbińska</t>
  </si>
  <si>
    <t>96052213303</t>
  </si>
  <si>
    <t>Wiesława Wilk</t>
  </si>
  <si>
    <t>95122244306</t>
  </si>
  <si>
    <t>Zdzisława Włodarczyk</t>
  </si>
  <si>
    <t>94042842148</t>
  </si>
  <si>
    <t>Krzysztof Włodarski</t>
  </si>
  <si>
    <t>96022467433</t>
  </si>
  <si>
    <t>Janina Woźniak</t>
  </si>
  <si>
    <t>97021838585</t>
  </si>
  <si>
    <t>Jan Wochniak</t>
  </si>
  <si>
    <t>98010361879</t>
  </si>
  <si>
    <t>Jacek Wojtas</t>
  </si>
  <si>
    <t>96090493819</t>
  </si>
  <si>
    <t>Anita Wota</t>
  </si>
  <si>
    <t>97021553585</t>
  </si>
  <si>
    <t>Leszek Wójcik</t>
  </si>
  <si>
    <t>96080253256</t>
  </si>
  <si>
    <t>Marian Wypchło</t>
  </si>
  <si>
    <t>95081237737</t>
  </si>
  <si>
    <t>Joanna Zasada</t>
  </si>
  <si>
    <t>95091933047</t>
  </si>
  <si>
    <t>Jan Zawodnik</t>
  </si>
  <si>
    <t>95020874795</t>
  </si>
  <si>
    <t>Teresa Zeller</t>
  </si>
  <si>
    <t>94040705366</t>
  </si>
  <si>
    <t>Edyta Zimna</t>
  </si>
  <si>
    <t>97103066646</t>
  </si>
  <si>
    <t>Jerzy Zugaj</t>
  </si>
  <si>
    <t>96092959250</t>
  </si>
  <si>
    <t>Tomasz Zychowicz</t>
  </si>
  <si>
    <t>97100873836</t>
  </si>
  <si>
    <t>Piotr Żuchowski</t>
  </si>
  <si>
    <t>96011317691</t>
  </si>
  <si>
    <t>stypendium</t>
  </si>
  <si>
    <t>Ile 150</t>
  </si>
  <si>
    <t>Ile 200</t>
  </si>
  <si>
    <t>Ile 250</t>
  </si>
  <si>
    <t>Ile % 150</t>
  </si>
  <si>
    <t>Ile % 200</t>
  </si>
  <si>
    <t>Ile % 250</t>
  </si>
  <si>
    <t>na osobę</t>
  </si>
  <si>
    <t>Max na osobę</t>
  </si>
  <si>
    <t>Min na osobę</t>
  </si>
  <si>
    <t>data do odjęcia</t>
  </si>
  <si>
    <t>rok</t>
  </si>
  <si>
    <t>miesiac</t>
  </si>
  <si>
    <t>dzień</t>
  </si>
  <si>
    <t>data</t>
  </si>
  <si>
    <t>różnica</t>
  </si>
  <si>
    <t>ile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</si>
</sst>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164" fontId="0" fillId="0" borderId="0" xfId="1" applyNumberFormat="1" applyFont="1"/>
    <xf numFmtId="0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Ile procent pobiera dane stypendium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'z1'!$G$4:$I$4</c:f>
              <c:strCache>
                <c:ptCount val="3"/>
                <c:pt idx="0">
                  <c:v>Ile % 150</c:v>
                </c:pt>
                <c:pt idx="1">
                  <c:v>Ile % 200</c:v>
                </c:pt>
                <c:pt idx="2">
                  <c:v>Ile % 250</c:v>
                </c:pt>
              </c:strCache>
            </c:strRef>
          </c:cat>
          <c:val>
            <c:numRef>
              <c:f>'z1'!$G$5:$I$5</c:f>
              <c:numCache>
                <c:formatCode>0.0%</c:formatCode>
                <c:ptCount val="3"/>
                <c:pt idx="0">
                  <c:v>5.3999999999999999E-2</c:v>
                </c:pt>
                <c:pt idx="1">
                  <c:v>4.3999999999999997E-2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7-4480-9129-8BEA5317D2C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5</xdr:row>
      <xdr:rowOff>142875</xdr:rowOff>
    </xdr:from>
    <xdr:to>
      <xdr:col>14</xdr:col>
      <xdr:colOff>542925</xdr:colOff>
      <xdr:row>20</xdr:row>
      <xdr:rowOff>28575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komisja" connectionId="4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komisja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komisja" connectionId="2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komisj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workbookViewId="0">
      <selection activeCell="L2" sqref="L2"/>
    </sheetView>
  </sheetViews>
  <sheetFormatPr defaultRowHeight="15" x14ac:dyDescent="0.25"/>
  <cols>
    <col min="1" max="1" width="23.28515625" bestFit="1" customWidth="1"/>
    <col min="2" max="2" width="12" bestFit="1" customWidth="1"/>
    <col min="3" max="3" width="23" bestFit="1" customWidth="1"/>
    <col min="4" max="4" width="7.5703125" bestFit="1" customWidth="1"/>
    <col min="5" max="5" width="14.42578125" style="3" bestFit="1" customWidth="1"/>
    <col min="6" max="6" width="9.140625" style="3"/>
    <col min="8" max="8" width="11" customWidth="1"/>
    <col min="9" max="9" width="14.42578125" bestFit="1" customWidth="1"/>
    <col min="10" max="10" width="10.140625" bestFit="1" customWidth="1"/>
    <col min="11" max="11" width="10.140625" style="4" bestFit="1" customWidth="1"/>
  </cols>
  <sheetData>
    <row r="1" spans="1:12" x14ac:dyDescent="0.25">
      <c r="A1" s="1" t="s">
        <v>0</v>
      </c>
      <c r="B1" s="1" t="s">
        <v>1</v>
      </c>
      <c r="C1" t="s">
        <v>2</v>
      </c>
      <c r="D1" t="s">
        <v>3</v>
      </c>
      <c r="E1" s="3" t="s">
        <v>1014</v>
      </c>
      <c r="F1" s="3" t="s">
        <v>1015</v>
      </c>
      <c r="G1" s="3" t="s">
        <v>1016</v>
      </c>
      <c r="H1" s="3" t="s">
        <v>1017</v>
      </c>
      <c r="I1" s="3" t="s">
        <v>1013</v>
      </c>
      <c r="J1" s="3" t="s">
        <v>1018</v>
      </c>
      <c r="K1" s="4" t="s">
        <v>1019</v>
      </c>
      <c r="L1">
        <f>COUNTIF(K:K,17)</f>
        <v>132</v>
      </c>
    </row>
    <row r="2" spans="1:12" x14ac:dyDescent="0.25">
      <c r="A2" s="1" t="s">
        <v>4</v>
      </c>
      <c r="B2" s="1" t="s">
        <v>5</v>
      </c>
      <c r="C2">
        <v>2</v>
      </c>
      <c r="D2">
        <v>3603</v>
      </c>
      <c r="E2" s="1">
        <f>1900+1*LEFT(B2,2)</f>
        <v>1995</v>
      </c>
      <c r="F2" s="3" t="str">
        <f>MID(B2,3,2)</f>
        <v>05</v>
      </c>
      <c r="G2" s="3" t="str">
        <f>MID(B2,5,2)</f>
        <v>30</v>
      </c>
      <c r="H2" t="str">
        <f>CONCATENATE(G2,".",F2,".",E2)</f>
        <v>30.05.1995</v>
      </c>
      <c r="I2" s="5">
        <v>41640</v>
      </c>
      <c r="J2" s="5">
        <f>I2-H2</f>
        <v>6791</v>
      </c>
      <c r="K2" s="6">
        <f>YEAR(J2)-1900</f>
        <v>18</v>
      </c>
    </row>
    <row r="3" spans="1:12" x14ac:dyDescent="0.25">
      <c r="A3" s="1" t="s">
        <v>6</v>
      </c>
      <c r="B3" s="1" t="s">
        <v>7</v>
      </c>
      <c r="C3">
        <v>5</v>
      </c>
      <c r="D3">
        <v>3969</v>
      </c>
      <c r="E3" s="1">
        <f t="shared" ref="E3:E66" si="0">1900+1*LEFT(B3,2)</f>
        <v>1995</v>
      </c>
      <c r="F3" s="3" t="str">
        <f t="shared" ref="F3:F66" si="1">MID(B3,3,2)</f>
        <v>08</v>
      </c>
      <c r="G3" s="3" t="str">
        <f t="shared" ref="G3:G66" si="2">MID(B3,5,2)</f>
        <v>11</v>
      </c>
      <c r="H3" t="str">
        <f t="shared" ref="H3:H66" si="3">CONCATENATE(G3,".",F3,".",E3)</f>
        <v>11.08.1995</v>
      </c>
      <c r="I3" s="5">
        <v>41641</v>
      </c>
      <c r="J3" s="5">
        <f t="shared" ref="J3:J66" si="4">I3-H3</f>
        <v>6719</v>
      </c>
      <c r="K3" s="6">
        <f t="shared" ref="K3:K66" si="5">YEAR(J3)-1900</f>
        <v>18</v>
      </c>
    </row>
    <row r="4" spans="1:12" x14ac:dyDescent="0.25">
      <c r="A4" s="1" t="s">
        <v>8</v>
      </c>
      <c r="B4" s="1" t="s">
        <v>9</v>
      </c>
      <c r="C4">
        <v>4</v>
      </c>
      <c r="D4">
        <v>2213</v>
      </c>
      <c r="E4" s="1">
        <f t="shared" si="0"/>
        <v>1994</v>
      </c>
      <c r="F4" s="3" t="str">
        <f t="shared" si="1"/>
        <v>02</v>
      </c>
      <c r="G4" s="3" t="str">
        <f t="shared" si="2"/>
        <v>24</v>
      </c>
      <c r="H4" t="str">
        <f t="shared" si="3"/>
        <v>24.02.1994</v>
      </c>
      <c r="I4" s="5">
        <v>41642</v>
      </c>
      <c r="J4" s="5">
        <f t="shared" si="4"/>
        <v>7253</v>
      </c>
      <c r="K4" s="6">
        <f t="shared" si="5"/>
        <v>19</v>
      </c>
    </row>
    <row r="5" spans="1:12" x14ac:dyDescent="0.25">
      <c r="A5" s="1" t="s">
        <v>10</v>
      </c>
      <c r="B5" s="1" t="s">
        <v>11</v>
      </c>
      <c r="C5">
        <v>3</v>
      </c>
      <c r="D5">
        <v>3104</v>
      </c>
      <c r="E5" s="1">
        <f t="shared" si="0"/>
        <v>1995</v>
      </c>
      <c r="F5" s="3" t="str">
        <f t="shared" si="1"/>
        <v>07</v>
      </c>
      <c r="G5" s="3" t="str">
        <f t="shared" si="2"/>
        <v>04</v>
      </c>
      <c r="H5" t="str">
        <f t="shared" si="3"/>
        <v>04.07.1995</v>
      </c>
      <c r="I5" s="5">
        <v>41643</v>
      </c>
      <c r="J5" s="5">
        <f t="shared" si="4"/>
        <v>6759</v>
      </c>
      <c r="K5" s="6">
        <f t="shared" si="5"/>
        <v>18</v>
      </c>
    </row>
    <row r="6" spans="1:12" x14ac:dyDescent="0.25">
      <c r="A6" s="1" t="s">
        <v>12</v>
      </c>
      <c r="B6" s="1" t="s">
        <v>13</v>
      </c>
      <c r="C6">
        <v>3</v>
      </c>
      <c r="D6">
        <v>1007</v>
      </c>
      <c r="E6" s="1">
        <f t="shared" si="0"/>
        <v>1995</v>
      </c>
      <c r="F6" s="3" t="str">
        <f t="shared" si="1"/>
        <v>10</v>
      </c>
      <c r="G6" s="3" t="str">
        <f t="shared" si="2"/>
        <v>27</v>
      </c>
      <c r="H6" t="str">
        <f t="shared" si="3"/>
        <v>27.10.1995</v>
      </c>
      <c r="I6" s="5">
        <v>41644</v>
      </c>
      <c r="J6" s="5">
        <f t="shared" si="4"/>
        <v>6645</v>
      </c>
      <c r="K6" s="6">
        <f t="shared" si="5"/>
        <v>18</v>
      </c>
    </row>
    <row r="7" spans="1:12" x14ac:dyDescent="0.25">
      <c r="A7" s="1" t="s">
        <v>14</v>
      </c>
      <c r="B7" s="1" t="s">
        <v>15</v>
      </c>
      <c r="C7">
        <v>5</v>
      </c>
      <c r="D7">
        <v>1281</v>
      </c>
      <c r="E7" s="1">
        <f t="shared" si="0"/>
        <v>1995</v>
      </c>
      <c r="F7" s="3" t="str">
        <f t="shared" si="1"/>
        <v>07</v>
      </c>
      <c r="G7" s="3" t="str">
        <f t="shared" si="2"/>
        <v>21</v>
      </c>
      <c r="H7" t="str">
        <f t="shared" si="3"/>
        <v>21.07.1995</v>
      </c>
      <c r="I7" s="5">
        <v>41645</v>
      </c>
      <c r="J7" s="5">
        <f t="shared" si="4"/>
        <v>6744</v>
      </c>
      <c r="K7" s="6">
        <f t="shared" si="5"/>
        <v>18</v>
      </c>
    </row>
    <row r="8" spans="1:12" x14ac:dyDescent="0.25">
      <c r="A8" s="1" t="s">
        <v>16</v>
      </c>
      <c r="B8" s="1" t="s">
        <v>17</v>
      </c>
      <c r="C8">
        <v>2</v>
      </c>
      <c r="D8">
        <v>667</v>
      </c>
      <c r="E8" s="1">
        <f t="shared" si="0"/>
        <v>1997</v>
      </c>
      <c r="F8" s="3" t="str">
        <f t="shared" si="1"/>
        <v>11</v>
      </c>
      <c r="G8" s="3" t="str">
        <f t="shared" si="2"/>
        <v>19</v>
      </c>
      <c r="H8" t="str">
        <f t="shared" si="3"/>
        <v>19.11.1997</v>
      </c>
      <c r="I8" s="5">
        <v>41646</v>
      </c>
      <c r="J8" s="5">
        <f t="shared" si="4"/>
        <v>5893</v>
      </c>
      <c r="K8" s="6">
        <f t="shared" si="5"/>
        <v>16</v>
      </c>
    </row>
    <row r="9" spans="1:12" x14ac:dyDescent="0.25">
      <c r="A9" s="1" t="s">
        <v>18</v>
      </c>
      <c r="B9" s="1" t="s">
        <v>19</v>
      </c>
      <c r="C9">
        <v>3</v>
      </c>
      <c r="D9">
        <v>1148</v>
      </c>
      <c r="E9" s="1">
        <f t="shared" si="0"/>
        <v>1996</v>
      </c>
      <c r="F9" s="3" t="str">
        <f t="shared" si="1"/>
        <v>09</v>
      </c>
      <c r="G9" s="3" t="str">
        <f t="shared" si="2"/>
        <v>05</v>
      </c>
      <c r="H9" t="str">
        <f t="shared" si="3"/>
        <v>05.09.1996</v>
      </c>
      <c r="I9" s="5">
        <v>41647</v>
      </c>
      <c r="J9" s="5">
        <f t="shared" si="4"/>
        <v>6334</v>
      </c>
      <c r="K9" s="6">
        <f t="shared" si="5"/>
        <v>17</v>
      </c>
    </row>
    <row r="10" spans="1:12" x14ac:dyDescent="0.25">
      <c r="A10" s="1" t="s">
        <v>20</v>
      </c>
      <c r="B10" s="1" t="s">
        <v>21</v>
      </c>
      <c r="C10">
        <v>5</v>
      </c>
      <c r="D10">
        <v>2605</v>
      </c>
      <c r="E10" s="1">
        <f t="shared" si="0"/>
        <v>1996</v>
      </c>
      <c r="F10" s="3" t="str">
        <f t="shared" si="1"/>
        <v>06</v>
      </c>
      <c r="G10" s="3" t="str">
        <f t="shared" si="2"/>
        <v>05</v>
      </c>
      <c r="H10" t="str">
        <f t="shared" si="3"/>
        <v>05.06.1996</v>
      </c>
      <c r="I10" s="5">
        <v>41648</v>
      </c>
      <c r="J10" s="5">
        <f t="shared" si="4"/>
        <v>6427</v>
      </c>
      <c r="K10" s="6">
        <f t="shared" si="5"/>
        <v>17</v>
      </c>
    </row>
    <row r="11" spans="1:12" x14ac:dyDescent="0.25">
      <c r="A11" s="1" t="s">
        <v>22</v>
      </c>
      <c r="B11" s="1" t="s">
        <v>23</v>
      </c>
      <c r="C11">
        <v>3</v>
      </c>
      <c r="D11">
        <v>1813</v>
      </c>
      <c r="E11" s="1">
        <f t="shared" si="0"/>
        <v>1995</v>
      </c>
      <c r="F11" s="3" t="str">
        <f t="shared" si="1"/>
        <v>09</v>
      </c>
      <c r="G11" s="3" t="str">
        <f t="shared" si="2"/>
        <v>18</v>
      </c>
      <c r="H11" t="str">
        <f t="shared" si="3"/>
        <v>18.09.1995</v>
      </c>
      <c r="I11" s="5">
        <v>41649</v>
      </c>
      <c r="J11" s="5">
        <f t="shared" si="4"/>
        <v>6689</v>
      </c>
      <c r="K11" s="6">
        <f t="shared" si="5"/>
        <v>18</v>
      </c>
    </row>
    <row r="12" spans="1:12" x14ac:dyDescent="0.25">
      <c r="A12" s="1" t="s">
        <v>22</v>
      </c>
      <c r="B12" s="1" t="s">
        <v>24</v>
      </c>
      <c r="C12">
        <v>2</v>
      </c>
      <c r="D12">
        <v>841</v>
      </c>
      <c r="E12" s="1">
        <f t="shared" si="0"/>
        <v>1997</v>
      </c>
      <c r="F12" s="3" t="str">
        <f t="shared" si="1"/>
        <v>01</v>
      </c>
      <c r="G12" s="3" t="str">
        <f t="shared" si="2"/>
        <v>14</v>
      </c>
      <c r="H12" t="str">
        <f t="shared" si="3"/>
        <v>14.01.1997</v>
      </c>
      <c r="I12" s="5">
        <v>41650</v>
      </c>
      <c r="J12" s="5">
        <f t="shared" si="4"/>
        <v>6206</v>
      </c>
      <c r="K12" s="6">
        <f t="shared" si="5"/>
        <v>16</v>
      </c>
    </row>
    <row r="13" spans="1:12" x14ac:dyDescent="0.25">
      <c r="A13" s="1" t="s">
        <v>25</v>
      </c>
      <c r="B13" s="1" t="s">
        <v>26</v>
      </c>
      <c r="C13">
        <v>4</v>
      </c>
      <c r="D13">
        <v>2605</v>
      </c>
      <c r="E13" s="1">
        <f t="shared" si="0"/>
        <v>1996</v>
      </c>
      <c r="F13" s="3" t="str">
        <f t="shared" si="1"/>
        <v>11</v>
      </c>
      <c r="G13" s="3" t="str">
        <f t="shared" si="2"/>
        <v>09</v>
      </c>
      <c r="H13" t="str">
        <f t="shared" si="3"/>
        <v>09.11.1996</v>
      </c>
      <c r="I13" s="5">
        <v>41651</v>
      </c>
      <c r="J13" s="5">
        <f t="shared" si="4"/>
        <v>6273</v>
      </c>
      <c r="K13" s="6">
        <f t="shared" si="5"/>
        <v>17</v>
      </c>
    </row>
    <row r="14" spans="1:12" x14ac:dyDescent="0.25">
      <c r="A14" s="1" t="s">
        <v>27</v>
      </c>
      <c r="B14" s="1" t="s">
        <v>28</v>
      </c>
      <c r="C14">
        <v>4</v>
      </c>
      <c r="D14">
        <v>4129</v>
      </c>
      <c r="E14" s="1">
        <f t="shared" si="0"/>
        <v>1996</v>
      </c>
      <c r="F14" s="3" t="str">
        <f t="shared" si="1"/>
        <v>11</v>
      </c>
      <c r="G14" s="3" t="str">
        <f t="shared" si="2"/>
        <v>21</v>
      </c>
      <c r="H14" t="str">
        <f t="shared" si="3"/>
        <v>21.11.1996</v>
      </c>
      <c r="I14" s="5">
        <v>41652</v>
      </c>
      <c r="J14" s="5">
        <f t="shared" si="4"/>
        <v>6262</v>
      </c>
      <c r="K14" s="6">
        <f t="shared" si="5"/>
        <v>17</v>
      </c>
    </row>
    <row r="15" spans="1:12" x14ac:dyDescent="0.25">
      <c r="A15" s="1" t="s">
        <v>29</v>
      </c>
      <c r="B15" s="1" t="s">
        <v>30</v>
      </c>
      <c r="C15">
        <v>5</v>
      </c>
      <c r="D15">
        <v>791</v>
      </c>
      <c r="E15" s="1">
        <f t="shared" si="0"/>
        <v>1996</v>
      </c>
      <c r="F15" s="3" t="str">
        <f t="shared" si="1"/>
        <v>04</v>
      </c>
      <c r="G15" s="3" t="str">
        <f t="shared" si="2"/>
        <v>17</v>
      </c>
      <c r="H15" t="str">
        <f t="shared" si="3"/>
        <v>17.04.1996</v>
      </c>
      <c r="I15" s="5">
        <v>41653</v>
      </c>
      <c r="J15" s="5">
        <f t="shared" si="4"/>
        <v>6481</v>
      </c>
      <c r="K15" s="6">
        <f t="shared" si="5"/>
        <v>17</v>
      </c>
    </row>
    <row r="16" spans="1:12" x14ac:dyDescent="0.25">
      <c r="A16" s="1" t="s">
        <v>31</v>
      </c>
      <c r="B16" s="1" t="s">
        <v>32</v>
      </c>
      <c r="C16">
        <v>2</v>
      </c>
      <c r="D16">
        <v>4308</v>
      </c>
      <c r="E16" s="1">
        <f t="shared" si="0"/>
        <v>1997</v>
      </c>
      <c r="F16" s="3" t="str">
        <f t="shared" si="1"/>
        <v>11</v>
      </c>
      <c r="G16" s="3" t="str">
        <f t="shared" si="2"/>
        <v>23</v>
      </c>
      <c r="H16" t="str">
        <f t="shared" si="3"/>
        <v>23.11.1997</v>
      </c>
      <c r="I16" s="5">
        <v>41654</v>
      </c>
      <c r="J16" s="5">
        <f t="shared" si="4"/>
        <v>5897</v>
      </c>
      <c r="K16" s="6">
        <f t="shared" si="5"/>
        <v>16</v>
      </c>
    </row>
    <row r="17" spans="1:11" x14ac:dyDescent="0.25">
      <c r="A17" s="1" t="s">
        <v>33</v>
      </c>
      <c r="B17" s="1" t="s">
        <v>34</v>
      </c>
      <c r="C17">
        <v>4</v>
      </c>
      <c r="D17">
        <v>4294</v>
      </c>
      <c r="E17" s="1">
        <f t="shared" si="0"/>
        <v>1996</v>
      </c>
      <c r="F17" s="3" t="str">
        <f t="shared" si="1"/>
        <v>05</v>
      </c>
      <c r="G17" s="3" t="str">
        <f t="shared" si="2"/>
        <v>05</v>
      </c>
      <c r="H17" t="str">
        <f t="shared" si="3"/>
        <v>05.05.1996</v>
      </c>
      <c r="I17" s="5">
        <v>41655</v>
      </c>
      <c r="J17" s="5">
        <f t="shared" si="4"/>
        <v>6465</v>
      </c>
      <c r="K17" s="6">
        <f t="shared" si="5"/>
        <v>17</v>
      </c>
    </row>
    <row r="18" spans="1:11" x14ac:dyDescent="0.25">
      <c r="A18" s="1" t="s">
        <v>35</v>
      </c>
      <c r="B18" s="1" t="s">
        <v>36</v>
      </c>
      <c r="C18">
        <v>2</v>
      </c>
      <c r="D18">
        <v>3707</v>
      </c>
      <c r="E18" s="1">
        <f t="shared" si="0"/>
        <v>1995</v>
      </c>
      <c r="F18" s="3" t="str">
        <f t="shared" si="1"/>
        <v>12</v>
      </c>
      <c r="G18" s="3" t="str">
        <f t="shared" si="2"/>
        <v>28</v>
      </c>
      <c r="H18" t="str">
        <f t="shared" si="3"/>
        <v>28.12.1995</v>
      </c>
      <c r="I18" s="5">
        <v>41656</v>
      </c>
      <c r="J18" s="5">
        <f t="shared" si="4"/>
        <v>6595</v>
      </c>
      <c r="K18" s="6">
        <f t="shared" si="5"/>
        <v>18</v>
      </c>
    </row>
    <row r="19" spans="1:11" x14ac:dyDescent="0.25">
      <c r="A19" s="1" t="s">
        <v>37</v>
      </c>
      <c r="B19" s="1" t="s">
        <v>38</v>
      </c>
      <c r="C19">
        <v>3</v>
      </c>
      <c r="D19">
        <v>2018</v>
      </c>
      <c r="E19" s="1">
        <f t="shared" si="0"/>
        <v>1995</v>
      </c>
      <c r="F19" s="3" t="str">
        <f t="shared" si="1"/>
        <v>05</v>
      </c>
      <c r="G19" s="3" t="str">
        <f t="shared" si="2"/>
        <v>14</v>
      </c>
      <c r="H19" t="str">
        <f t="shared" si="3"/>
        <v>14.05.1995</v>
      </c>
      <c r="I19" s="5">
        <v>41657</v>
      </c>
      <c r="J19" s="5">
        <f t="shared" si="4"/>
        <v>6824</v>
      </c>
      <c r="K19" s="6">
        <f t="shared" si="5"/>
        <v>18</v>
      </c>
    </row>
    <row r="20" spans="1:11" x14ac:dyDescent="0.25">
      <c r="A20" s="1" t="s">
        <v>39</v>
      </c>
      <c r="B20" s="1" t="s">
        <v>40</v>
      </c>
      <c r="C20">
        <v>4</v>
      </c>
      <c r="D20">
        <v>3879</v>
      </c>
      <c r="E20" s="1">
        <f t="shared" si="0"/>
        <v>1997</v>
      </c>
      <c r="F20" s="3" t="str">
        <f t="shared" si="1"/>
        <v>07</v>
      </c>
      <c r="G20" s="3" t="str">
        <f t="shared" si="2"/>
        <v>02</v>
      </c>
      <c r="H20" t="str">
        <f t="shared" si="3"/>
        <v>02.07.1997</v>
      </c>
      <c r="I20" s="5">
        <v>41658</v>
      </c>
      <c r="J20" s="5">
        <f t="shared" si="4"/>
        <v>6045</v>
      </c>
      <c r="K20" s="6">
        <f t="shared" si="5"/>
        <v>16</v>
      </c>
    </row>
    <row r="21" spans="1:11" x14ac:dyDescent="0.25">
      <c r="A21" s="1" t="s">
        <v>41</v>
      </c>
      <c r="B21" s="1" t="s">
        <v>42</v>
      </c>
      <c r="C21">
        <v>5</v>
      </c>
      <c r="D21">
        <v>2588</v>
      </c>
      <c r="E21" s="1">
        <f t="shared" si="0"/>
        <v>1996</v>
      </c>
      <c r="F21" s="3" t="str">
        <f t="shared" si="1"/>
        <v>05</v>
      </c>
      <c r="G21" s="3" t="str">
        <f t="shared" si="2"/>
        <v>02</v>
      </c>
      <c r="H21" t="str">
        <f t="shared" si="3"/>
        <v>02.05.1996</v>
      </c>
      <c r="I21" s="5">
        <v>41659</v>
      </c>
      <c r="J21" s="5">
        <f t="shared" si="4"/>
        <v>6472</v>
      </c>
      <c r="K21" s="6">
        <f t="shared" si="5"/>
        <v>17</v>
      </c>
    </row>
    <row r="22" spans="1:11" x14ac:dyDescent="0.25">
      <c r="A22" s="1" t="s">
        <v>43</v>
      </c>
      <c r="B22" s="1" t="s">
        <v>44</v>
      </c>
      <c r="C22">
        <v>5</v>
      </c>
      <c r="D22">
        <v>3077</v>
      </c>
      <c r="E22" s="1">
        <f t="shared" si="0"/>
        <v>1995</v>
      </c>
      <c r="F22" s="3" t="str">
        <f t="shared" si="1"/>
        <v>12</v>
      </c>
      <c r="G22" s="3" t="str">
        <f t="shared" si="2"/>
        <v>14</v>
      </c>
      <c r="H22" t="str">
        <f t="shared" si="3"/>
        <v>14.12.1995</v>
      </c>
      <c r="I22" s="5">
        <v>41660</v>
      </c>
      <c r="J22" s="5">
        <f t="shared" si="4"/>
        <v>6613</v>
      </c>
      <c r="K22" s="6">
        <f t="shared" si="5"/>
        <v>18</v>
      </c>
    </row>
    <row r="23" spans="1:11" x14ac:dyDescent="0.25">
      <c r="A23" s="1" t="s">
        <v>45</v>
      </c>
      <c r="B23" s="1" t="s">
        <v>46</v>
      </c>
      <c r="C23">
        <v>4</v>
      </c>
      <c r="D23">
        <v>1951</v>
      </c>
      <c r="E23" s="1">
        <f t="shared" si="0"/>
        <v>1996</v>
      </c>
      <c r="F23" s="3" t="str">
        <f t="shared" si="1"/>
        <v>10</v>
      </c>
      <c r="G23" s="3" t="str">
        <f t="shared" si="2"/>
        <v>18</v>
      </c>
      <c r="H23" t="str">
        <f t="shared" si="3"/>
        <v>18.10.1996</v>
      </c>
      <c r="I23" s="5">
        <v>41661</v>
      </c>
      <c r="J23" s="5">
        <f t="shared" si="4"/>
        <v>6305</v>
      </c>
      <c r="K23" s="6">
        <f t="shared" si="5"/>
        <v>17</v>
      </c>
    </row>
    <row r="24" spans="1:11" x14ac:dyDescent="0.25">
      <c r="A24" s="1" t="s">
        <v>47</v>
      </c>
      <c r="B24" s="1" t="s">
        <v>48</v>
      </c>
      <c r="C24">
        <v>5</v>
      </c>
      <c r="D24">
        <v>1329</v>
      </c>
      <c r="E24" s="1">
        <f t="shared" si="0"/>
        <v>1997</v>
      </c>
      <c r="F24" s="3" t="str">
        <f t="shared" si="1"/>
        <v>07</v>
      </c>
      <c r="G24" s="3" t="str">
        <f t="shared" si="2"/>
        <v>06</v>
      </c>
      <c r="H24" t="str">
        <f t="shared" si="3"/>
        <v>06.07.1997</v>
      </c>
      <c r="I24" s="5">
        <v>41662</v>
      </c>
      <c r="J24" s="5">
        <f t="shared" si="4"/>
        <v>6045</v>
      </c>
      <c r="K24" s="6">
        <f t="shared" si="5"/>
        <v>16</v>
      </c>
    </row>
    <row r="25" spans="1:11" x14ac:dyDescent="0.25">
      <c r="A25" s="1" t="s">
        <v>49</v>
      </c>
      <c r="B25" s="1" t="s">
        <v>50</v>
      </c>
      <c r="C25">
        <v>3</v>
      </c>
      <c r="D25">
        <v>3353</v>
      </c>
      <c r="E25" s="1">
        <f t="shared" si="0"/>
        <v>1997</v>
      </c>
      <c r="F25" s="3" t="str">
        <f t="shared" si="1"/>
        <v>11</v>
      </c>
      <c r="G25" s="3" t="str">
        <f t="shared" si="2"/>
        <v>29</v>
      </c>
      <c r="H25" t="str">
        <f t="shared" si="3"/>
        <v>29.11.1997</v>
      </c>
      <c r="I25" s="5">
        <v>41663</v>
      </c>
      <c r="J25" s="5">
        <f t="shared" si="4"/>
        <v>5900</v>
      </c>
      <c r="K25" s="6">
        <f t="shared" si="5"/>
        <v>16</v>
      </c>
    </row>
    <row r="26" spans="1:11" x14ac:dyDescent="0.25">
      <c r="A26" s="1" t="s">
        <v>51</v>
      </c>
      <c r="B26" s="1" t="s">
        <v>52</v>
      </c>
      <c r="C26">
        <v>5</v>
      </c>
      <c r="D26">
        <v>1634</v>
      </c>
      <c r="E26" s="1">
        <f t="shared" si="0"/>
        <v>1996</v>
      </c>
      <c r="F26" s="3" t="str">
        <f t="shared" si="1"/>
        <v>07</v>
      </c>
      <c r="G26" s="3" t="str">
        <f t="shared" si="2"/>
        <v>02</v>
      </c>
      <c r="H26" t="str">
        <f t="shared" si="3"/>
        <v>02.07.1996</v>
      </c>
      <c r="I26" s="5">
        <v>41664</v>
      </c>
      <c r="J26" s="5">
        <f t="shared" si="4"/>
        <v>6416</v>
      </c>
      <c r="K26" s="6">
        <f t="shared" si="5"/>
        <v>17</v>
      </c>
    </row>
    <row r="27" spans="1:11" x14ac:dyDescent="0.25">
      <c r="A27" s="1" t="s">
        <v>53</v>
      </c>
      <c r="B27" s="1" t="s">
        <v>54</v>
      </c>
      <c r="C27">
        <v>6</v>
      </c>
      <c r="D27">
        <v>942</v>
      </c>
      <c r="E27" s="1">
        <f t="shared" si="0"/>
        <v>1996</v>
      </c>
      <c r="F27" s="3" t="str">
        <f t="shared" si="1"/>
        <v>03</v>
      </c>
      <c r="G27" s="3" t="str">
        <f t="shared" si="2"/>
        <v>04</v>
      </c>
      <c r="H27" t="str">
        <f t="shared" si="3"/>
        <v>04.03.1996</v>
      </c>
      <c r="I27" s="5">
        <v>41665</v>
      </c>
      <c r="J27" s="5">
        <f t="shared" si="4"/>
        <v>6537</v>
      </c>
      <c r="K27" s="6">
        <f t="shared" si="5"/>
        <v>17</v>
      </c>
    </row>
    <row r="28" spans="1:11" x14ac:dyDescent="0.25">
      <c r="A28" s="1" t="s">
        <v>55</v>
      </c>
      <c r="B28" s="1" t="s">
        <v>56</v>
      </c>
      <c r="C28">
        <v>2</v>
      </c>
      <c r="D28">
        <v>1182</v>
      </c>
      <c r="E28" s="1">
        <f t="shared" si="0"/>
        <v>1997</v>
      </c>
      <c r="F28" s="3" t="str">
        <f t="shared" si="1"/>
        <v>05</v>
      </c>
      <c r="G28" s="3" t="str">
        <f t="shared" si="2"/>
        <v>12</v>
      </c>
      <c r="H28" t="str">
        <f t="shared" si="3"/>
        <v>12.05.1997</v>
      </c>
      <c r="I28" s="5">
        <v>41666</v>
      </c>
      <c r="J28" s="5">
        <f t="shared" si="4"/>
        <v>6104</v>
      </c>
      <c r="K28" s="6">
        <f t="shared" si="5"/>
        <v>16</v>
      </c>
    </row>
    <row r="29" spans="1:11" x14ac:dyDescent="0.25">
      <c r="A29" s="1" t="s">
        <v>57</v>
      </c>
      <c r="B29" s="1" t="s">
        <v>58</v>
      </c>
      <c r="C29">
        <v>6</v>
      </c>
      <c r="D29">
        <v>3626</v>
      </c>
      <c r="E29" s="1">
        <f t="shared" si="0"/>
        <v>1994</v>
      </c>
      <c r="F29" s="3" t="str">
        <f t="shared" si="1"/>
        <v>06</v>
      </c>
      <c r="G29" s="3" t="str">
        <f t="shared" si="2"/>
        <v>11</v>
      </c>
      <c r="H29" t="str">
        <f t="shared" si="3"/>
        <v>11.06.1994</v>
      </c>
      <c r="I29" s="5">
        <v>41667</v>
      </c>
      <c r="J29" s="5">
        <f t="shared" si="4"/>
        <v>7171</v>
      </c>
      <c r="K29" s="6">
        <f t="shared" si="5"/>
        <v>19</v>
      </c>
    </row>
    <row r="30" spans="1:11" x14ac:dyDescent="0.25">
      <c r="A30" s="1" t="s">
        <v>59</v>
      </c>
      <c r="B30" s="1" t="s">
        <v>60</v>
      </c>
      <c r="C30">
        <v>5</v>
      </c>
      <c r="D30">
        <v>3001</v>
      </c>
      <c r="E30" s="1">
        <f t="shared" si="0"/>
        <v>1995</v>
      </c>
      <c r="F30" s="3" t="str">
        <f t="shared" si="1"/>
        <v>10</v>
      </c>
      <c r="G30" s="3" t="str">
        <f t="shared" si="2"/>
        <v>06</v>
      </c>
      <c r="H30" t="str">
        <f t="shared" si="3"/>
        <v>06.10.1995</v>
      </c>
      <c r="I30" s="5">
        <v>41668</v>
      </c>
      <c r="J30" s="5">
        <f t="shared" si="4"/>
        <v>6690</v>
      </c>
      <c r="K30" s="6">
        <f t="shared" si="5"/>
        <v>18</v>
      </c>
    </row>
    <row r="31" spans="1:11" x14ac:dyDescent="0.25">
      <c r="A31" s="1" t="s">
        <v>61</v>
      </c>
      <c r="B31" s="1" t="s">
        <v>62</v>
      </c>
      <c r="C31">
        <v>4</v>
      </c>
      <c r="D31">
        <v>1293</v>
      </c>
      <c r="E31" s="1">
        <f t="shared" si="0"/>
        <v>1995</v>
      </c>
      <c r="F31" s="3" t="str">
        <f t="shared" si="1"/>
        <v>10</v>
      </c>
      <c r="G31" s="3" t="str">
        <f t="shared" si="2"/>
        <v>06</v>
      </c>
      <c r="H31" t="str">
        <f t="shared" si="3"/>
        <v>06.10.1995</v>
      </c>
      <c r="I31" s="5">
        <v>41669</v>
      </c>
      <c r="J31" s="5">
        <f t="shared" si="4"/>
        <v>6691</v>
      </c>
      <c r="K31" s="6">
        <f t="shared" si="5"/>
        <v>18</v>
      </c>
    </row>
    <row r="32" spans="1:11" x14ac:dyDescent="0.25">
      <c r="A32" s="1" t="s">
        <v>63</v>
      </c>
      <c r="B32" s="1" t="s">
        <v>64</v>
      </c>
      <c r="C32">
        <v>2</v>
      </c>
      <c r="D32">
        <v>1752</v>
      </c>
      <c r="E32" s="1">
        <f t="shared" si="0"/>
        <v>1994</v>
      </c>
      <c r="F32" s="3" t="str">
        <f t="shared" si="1"/>
        <v>06</v>
      </c>
      <c r="G32" s="3" t="str">
        <f t="shared" si="2"/>
        <v>30</v>
      </c>
      <c r="H32" t="str">
        <f t="shared" si="3"/>
        <v>30.06.1994</v>
      </c>
      <c r="I32" s="5">
        <v>41670</v>
      </c>
      <c r="J32" s="5">
        <f t="shared" si="4"/>
        <v>7155</v>
      </c>
      <c r="K32" s="6">
        <f t="shared" si="5"/>
        <v>19</v>
      </c>
    </row>
    <row r="33" spans="1:11" x14ac:dyDescent="0.25">
      <c r="A33" s="1" t="s">
        <v>65</v>
      </c>
      <c r="B33" s="1" t="s">
        <v>66</v>
      </c>
      <c r="C33">
        <v>5</v>
      </c>
      <c r="D33">
        <v>2726</v>
      </c>
      <c r="E33" s="1">
        <f t="shared" si="0"/>
        <v>1995</v>
      </c>
      <c r="F33" s="3" t="str">
        <f t="shared" si="1"/>
        <v>07</v>
      </c>
      <c r="G33" s="3" t="str">
        <f t="shared" si="2"/>
        <v>08</v>
      </c>
      <c r="H33" t="str">
        <f t="shared" si="3"/>
        <v>08.07.1995</v>
      </c>
      <c r="I33" s="5">
        <v>41671</v>
      </c>
      <c r="J33" s="5">
        <f t="shared" si="4"/>
        <v>6783</v>
      </c>
      <c r="K33" s="6">
        <f t="shared" si="5"/>
        <v>18</v>
      </c>
    </row>
    <row r="34" spans="1:11" x14ac:dyDescent="0.25">
      <c r="A34" s="1" t="s">
        <v>67</v>
      </c>
      <c r="B34" s="1" t="s">
        <v>68</v>
      </c>
      <c r="C34">
        <v>5</v>
      </c>
      <c r="D34">
        <v>2159</v>
      </c>
      <c r="E34" s="1">
        <f t="shared" si="0"/>
        <v>1994</v>
      </c>
      <c r="F34" s="3" t="str">
        <f t="shared" si="1"/>
        <v>02</v>
      </c>
      <c r="G34" s="3" t="str">
        <f t="shared" si="2"/>
        <v>19</v>
      </c>
      <c r="H34" t="str">
        <f t="shared" si="3"/>
        <v>19.02.1994</v>
      </c>
      <c r="I34" s="5">
        <v>41672</v>
      </c>
      <c r="J34" s="5">
        <f t="shared" si="4"/>
        <v>7288</v>
      </c>
      <c r="K34" s="6">
        <f t="shared" si="5"/>
        <v>19</v>
      </c>
    </row>
    <row r="35" spans="1:11" x14ac:dyDescent="0.25">
      <c r="A35" s="1" t="s">
        <v>69</v>
      </c>
      <c r="B35" s="1" t="s">
        <v>70</v>
      </c>
      <c r="C35">
        <v>5</v>
      </c>
      <c r="D35">
        <v>3389</v>
      </c>
      <c r="E35" s="1">
        <f t="shared" si="0"/>
        <v>1996</v>
      </c>
      <c r="F35" s="3" t="str">
        <f t="shared" si="1"/>
        <v>02</v>
      </c>
      <c r="G35" s="3" t="str">
        <f t="shared" si="2"/>
        <v>25</v>
      </c>
      <c r="H35" t="str">
        <f t="shared" si="3"/>
        <v>25.02.1996</v>
      </c>
      <c r="I35" s="5">
        <v>41673</v>
      </c>
      <c r="J35" s="5">
        <f t="shared" si="4"/>
        <v>6553</v>
      </c>
      <c r="K35" s="6">
        <f t="shared" si="5"/>
        <v>17</v>
      </c>
    </row>
    <row r="36" spans="1:11" x14ac:dyDescent="0.25">
      <c r="A36" s="1" t="s">
        <v>71</v>
      </c>
      <c r="B36" s="1" t="s">
        <v>72</v>
      </c>
      <c r="C36">
        <v>4</v>
      </c>
      <c r="D36">
        <v>4328</v>
      </c>
      <c r="E36" s="1">
        <f t="shared" si="0"/>
        <v>1997</v>
      </c>
      <c r="F36" s="3" t="str">
        <f t="shared" si="1"/>
        <v>06</v>
      </c>
      <c r="G36" s="3" t="str">
        <f t="shared" si="2"/>
        <v>01</v>
      </c>
      <c r="H36" t="str">
        <f t="shared" si="3"/>
        <v>01.06.1997</v>
      </c>
      <c r="I36" s="5">
        <v>41674</v>
      </c>
      <c r="J36" s="5">
        <f t="shared" si="4"/>
        <v>6092</v>
      </c>
      <c r="K36" s="6">
        <f t="shared" si="5"/>
        <v>16</v>
      </c>
    </row>
    <row r="37" spans="1:11" x14ac:dyDescent="0.25">
      <c r="A37" s="1" t="s">
        <v>73</v>
      </c>
      <c r="B37" s="1" t="s">
        <v>74</v>
      </c>
      <c r="C37">
        <v>4</v>
      </c>
      <c r="D37">
        <v>2369</v>
      </c>
      <c r="E37" s="1">
        <f t="shared" si="0"/>
        <v>1996</v>
      </c>
      <c r="F37" s="3" t="str">
        <f t="shared" si="1"/>
        <v>12</v>
      </c>
      <c r="G37" s="3" t="str">
        <f t="shared" si="2"/>
        <v>04</v>
      </c>
      <c r="H37" t="str">
        <f t="shared" si="3"/>
        <v>04.12.1996</v>
      </c>
      <c r="I37" s="5">
        <v>41675</v>
      </c>
      <c r="J37" s="5">
        <f t="shared" si="4"/>
        <v>6272</v>
      </c>
      <c r="K37" s="6">
        <f t="shared" si="5"/>
        <v>17</v>
      </c>
    </row>
    <row r="38" spans="1:11" x14ac:dyDescent="0.25">
      <c r="A38" s="1" t="s">
        <v>75</v>
      </c>
      <c r="B38" s="1" t="s">
        <v>76</v>
      </c>
      <c r="C38">
        <v>6</v>
      </c>
      <c r="D38">
        <v>1788</v>
      </c>
      <c r="E38" s="1">
        <f t="shared" si="0"/>
        <v>1995</v>
      </c>
      <c r="F38" s="3" t="str">
        <f t="shared" si="1"/>
        <v>04</v>
      </c>
      <c r="G38" s="3" t="str">
        <f t="shared" si="2"/>
        <v>27</v>
      </c>
      <c r="H38" t="str">
        <f t="shared" si="3"/>
        <v>27.04.1995</v>
      </c>
      <c r="I38" s="5">
        <v>41676</v>
      </c>
      <c r="J38" s="5">
        <f t="shared" si="4"/>
        <v>6860</v>
      </c>
      <c r="K38" s="6">
        <f t="shared" si="5"/>
        <v>18</v>
      </c>
    </row>
    <row r="39" spans="1:11" x14ac:dyDescent="0.25">
      <c r="A39" s="1" t="s">
        <v>77</v>
      </c>
      <c r="B39" s="1" t="s">
        <v>78</v>
      </c>
      <c r="C39">
        <v>4</v>
      </c>
      <c r="D39">
        <v>2086</v>
      </c>
      <c r="E39" s="1">
        <f t="shared" si="0"/>
        <v>1997</v>
      </c>
      <c r="F39" s="3" t="str">
        <f t="shared" si="1"/>
        <v>05</v>
      </c>
      <c r="G39" s="3" t="str">
        <f t="shared" si="2"/>
        <v>24</v>
      </c>
      <c r="H39" t="str">
        <f t="shared" si="3"/>
        <v>24.05.1997</v>
      </c>
      <c r="I39" s="5">
        <v>41677</v>
      </c>
      <c r="J39" s="5">
        <f t="shared" si="4"/>
        <v>6103</v>
      </c>
      <c r="K39" s="6">
        <f t="shared" si="5"/>
        <v>16</v>
      </c>
    </row>
    <row r="40" spans="1:11" x14ac:dyDescent="0.25">
      <c r="A40" s="1" t="s">
        <v>79</v>
      </c>
      <c r="B40" s="1" t="s">
        <v>80</v>
      </c>
      <c r="C40">
        <v>3</v>
      </c>
      <c r="D40">
        <v>3741</v>
      </c>
      <c r="E40" s="1">
        <f t="shared" si="0"/>
        <v>1998</v>
      </c>
      <c r="F40" s="3" t="str">
        <f t="shared" si="1"/>
        <v>06</v>
      </c>
      <c r="G40" s="3" t="str">
        <f t="shared" si="2"/>
        <v>20</v>
      </c>
      <c r="H40" t="str">
        <f t="shared" si="3"/>
        <v>20.06.1998</v>
      </c>
      <c r="I40" s="5">
        <v>41678</v>
      </c>
      <c r="J40" s="5">
        <f t="shared" si="4"/>
        <v>5712</v>
      </c>
      <c r="K40" s="6">
        <f t="shared" si="5"/>
        <v>15</v>
      </c>
    </row>
    <row r="41" spans="1:11" x14ac:dyDescent="0.25">
      <c r="A41" s="1" t="s">
        <v>81</v>
      </c>
      <c r="B41" s="1" t="s">
        <v>82</v>
      </c>
      <c r="C41">
        <v>2</v>
      </c>
      <c r="D41">
        <v>654</v>
      </c>
      <c r="E41" s="1">
        <f t="shared" si="0"/>
        <v>1996</v>
      </c>
      <c r="F41" s="3" t="str">
        <f t="shared" si="1"/>
        <v>10</v>
      </c>
      <c r="G41" s="3" t="str">
        <f t="shared" si="2"/>
        <v>31</v>
      </c>
      <c r="H41" t="str">
        <f t="shared" si="3"/>
        <v>31.10.1996</v>
      </c>
      <c r="I41" s="5">
        <v>41679</v>
      </c>
      <c r="J41" s="5">
        <f t="shared" si="4"/>
        <v>6310</v>
      </c>
      <c r="K41" s="6">
        <f t="shared" si="5"/>
        <v>17</v>
      </c>
    </row>
    <row r="42" spans="1:11" x14ac:dyDescent="0.25">
      <c r="A42" s="1" t="s">
        <v>83</v>
      </c>
      <c r="B42" s="1" t="s">
        <v>84</v>
      </c>
      <c r="C42">
        <v>4</v>
      </c>
      <c r="D42">
        <v>3739</v>
      </c>
      <c r="E42" s="1">
        <f t="shared" si="0"/>
        <v>1995</v>
      </c>
      <c r="F42" s="3" t="str">
        <f t="shared" si="1"/>
        <v>04</v>
      </c>
      <c r="G42" s="3" t="str">
        <f t="shared" si="2"/>
        <v>01</v>
      </c>
      <c r="H42" t="str">
        <f t="shared" si="3"/>
        <v>01.04.1995</v>
      </c>
      <c r="I42" s="5">
        <v>41680</v>
      </c>
      <c r="J42" s="5">
        <f t="shared" si="4"/>
        <v>6890</v>
      </c>
      <c r="K42" s="6">
        <f t="shared" si="5"/>
        <v>18</v>
      </c>
    </row>
    <row r="43" spans="1:11" x14ac:dyDescent="0.25">
      <c r="A43" s="1" t="s">
        <v>85</v>
      </c>
      <c r="B43" s="1" t="s">
        <v>86</v>
      </c>
      <c r="C43">
        <v>3</v>
      </c>
      <c r="D43">
        <v>3607</v>
      </c>
      <c r="E43" s="1">
        <f t="shared" si="0"/>
        <v>1996</v>
      </c>
      <c r="F43" s="3" t="str">
        <f t="shared" si="1"/>
        <v>01</v>
      </c>
      <c r="G43" s="3" t="str">
        <f t="shared" si="2"/>
        <v>10</v>
      </c>
      <c r="H43" t="str">
        <f t="shared" si="3"/>
        <v>10.01.1996</v>
      </c>
      <c r="I43" s="5">
        <v>41681</v>
      </c>
      <c r="J43" s="5">
        <f t="shared" si="4"/>
        <v>6607</v>
      </c>
      <c r="K43" s="6">
        <f t="shared" si="5"/>
        <v>18</v>
      </c>
    </row>
    <row r="44" spans="1:11" x14ac:dyDescent="0.25">
      <c r="A44" s="1" t="s">
        <v>87</v>
      </c>
      <c r="B44" s="1" t="s">
        <v>88</v>
      </c>
      <c r="C44">
        <v>5</v>
      </c>
      <c r="D44">
        <v>3607</v>
      </c>
      <c r="E44" s="1">
        <f t="shared" si="0"/>
        <v>1995</v>
      </c>
      <c r="F44" s="3" t="str">
        <f t="shared" si="1"/>
        <v>04</v>
      </c>
      <c r="G44" s="3" t="str">
        <f t="shared" si="2"/>
        <v>09</v>
      </c>
      <c r="H44" t="str">
        <f t="shared" si="3"/>
        <v>09.04.1995</v>
      </c>
      <c r="I44" s="5">
        <v>41682</v>
      </c>
      <c r="J44" s="5">
        <f t="shared" si="4"/>
        <v>6884</v>
      </c>
      <c r="K44" s="6">
        <f t="shared" si="5"/>
        <v>18</v>
      </c>
    </row>
    <row r="45" spans="1:11" x14ac:dyDescent="0.25">
      <c r="A45" s="1" t="s">
        <v>89</v>
      </c>
      <c r="B45" s="1" t="s">
        <v>90</v>
      </c>
      <c r="C45">
        <v>4</v>
      </c>
      <c r="D45">
        <v>1621</v>
      </c>
      <c r="E45" s="1">
        <f t="shared" si="0"/>
        <v>1996</v>
      </c>
      <c r="F45" s="3" t="str">
        <f t="shared" si="1"/>
        <v>08</v>
      </c>
      <c r="G45" s="3" t="str">
        <f t="shared" si="2"/>
        <v>24</v>
      </c>
      <c r="H45" t="str">
        <f t="shared" si="3"/>
        <v>24.08.1996</v>
      </c>
      <c r="I45" s="5">
        <v>41683</v>
      </c>
      <c r="J45" s="5">
        <f t="shared" si="4"/>
        <v>6382</v>
      </c>
      <c r="K45" s="6">
        <f t="shared" si="5"/>
        <v>17</v>
      </c>
    </row>
    <row r="46" spans="1:11" x14ac:dyDescent="0.25">
      <c r="A46" s="1" t="s">
        <v>91</v>
      </c>
      <c r="B46" s="1" t="s">
        <v>92</v>
      </c>
      <c r="C46">
        <v>4</v>
      </c>
      <c r="D46">
        <v>3527</v>
      </c>
      <c r="E46" s="1">
        <f t="shared" si="0"/>
        <v>1994</v>
      </c>
      <c r="F46" s="3" t="str">
        <f t="shared" si="1"/>
        <v>12</v>
      </c>
      <c r="G46" s="3" t="str">
        <f t="shared" si="2"/>
        <v>04</v>
      </c>
      <c r="H46" t="str">
        <f t="shared" si="3"/>
        <v>04.12.1994</v>
      </c>
      <c r="I46" s="5">
        <v>41684</v>
      </c>
      <c r="J46" s="5">
        <f t="shared" si="4"/>
        <v>7012</v>
      </c>
      <c r="K46" s="6">
        <f t="shared" si="5"/>
        <v>19</v>
      </c>
    </row>
    <row r="47" spans="1:11" x14ac:dyDescent="0.25">
      <c r="A47" s="1" t="s">
        <v>93</v>
      </c>
      <c r="B47" s="1" t="s">
        <v>94</v>
      </c>
      <c r="C47">
        <v>6</v>
      </c>
      <c r="D47">
        <v>833</v>
      </c>
      <c r="E47" s="1">
        <f t="shared" si="0"/>
        <v>1998</v>
      </c>
      <c r="F47" s="3" t="str">
        <f t="shared" si="1"/>
        <v>04</v>
      </c>
      <c r="G47" s="3" t="str">
        <f t="shared" si="2"/>
        <v>28</v>
      </c>
      <c r="H47" t="str">
        <f t="shared" si="3"/>
        <v>28.04.1998</v>
      </c>
      <c r="I47" s="5">
        <v>41685</v>
      </c>
      <c r="J47" s="5">
        <f t="shared" si="4"/>
        <v>5772</v>
      </c>
      <c r="K47" s="6">
        <f t="shared" si="5"/>
        <v>15</v>
      </c>
    </row>
    <row r="48" spans="1:11" x14ac:dyDescent="0.25">
      <c r="A48" s="1" t="s">
        <v>95</v>
      </c>
      <c r="B48" s="1" t="s">
        <v>96</v>
      </c>
      <c r="C48">
        <v>6</v>
      </c>
      <c r="D48">
        <v>1705</v>
      </c>
      <c r="E48" s="1">
        <f t="shared" si="0"/>
        <v>1996</v>
      </c>
      <c r="F48" s="3" t="str">
        <f t="shared" si="1"/>
        <v>05</v>
      </c>
      <c r="G48" s="3" t="str">
        <f t="shared" si="2"/>
        <v>04</v>
      </c>
      <c r="H48" t="str">
        <f t="shared" si="3"/>
        <v>04.05.1996</v>
      </c>
      <c r="I48" s="5">
        <v>41686</v>
      </c>
      <c r="J48" s="5">
        <f t="shared" si="4"/>
        <v>6497</v>
      </c>
      <c r="K48" s="6">
        <f t="shared" si="5"/>
        <v>17</v>
      </c>
    </row>
    <row r="49" spans="1:11" x14ac:dyDescent="0.25">
      <c r="A49" s="1" t="s">
        <v>97</v>
      </c>
      <c r="B49" s="1" t="s">
        <v>98</v>
      </c>
      <c r="C49">
        <v>3</v>
      </c>
      <c r="D49">
        <v>2772</v>
      </c>
      <c r="E49" s="1">
        <f t="shared" si="0"/>
        <v>1996</v>
      </c>
      <c r="F49" s="3" t="str">
        <f t="shared" si="1"/>
        <v>02</v>
      </c>
      <c r="G49" s="3" t="str">
        <f t="shared" si="2"/>
        <v>10</v>
      </c>
      <c r="H49" t="str">
        <f t="shared" si="3"/>
        <v>10.02.1996</v>
      </c>
      <c r="I49" s="5">
        <v>41687</v>
      </c>
      <c r="J49" s="5">
        <f t="shared" si="4"/>
        <v>6582</v>
      </c>
      <c r="K49" s="6">
        <f t="shared" si="5"/>
        <v>18</v>
      </c>
    </row>
    <row r="50" spans="1:11" x14ac:dyDescent="0.25">
      <c r="A50" s="1" t="s">
        <v>99</v>
      </c>
      <c r="B50" s="1" t="s">
        <v>100</v>
      </c>
      <c r="C50">
        <v>3</v>
      </c>
      <c r="D50">
        <v>1710</v>
      </c>
      <c r="E50" s="1">
        <f t="shared" si="0"/>
        <v>1995</v>
      </c>
      <c r="F50" s="3" t="str">
        <f t="shared" si="1"/>
        <v>07</v>
      </c>
      <c r="G50" s="3" t="str">
        <f t="shared" si="2"/>
        <v>22</v>
      </c>
      <c r="H50" t="str">
        <f t="shared" si="3"/>
        <v>22.07.1995</v>
      </c>
      <c r="I50" s="5">
        <v>41688</v>
      </c>
      <c r="J50" s="5">
        <f t="shared" si="4"/>
        <v>6786</v>
      </c>
      <c r="K50" s="6">
        <f t="shared" si="5"/>
        <v>18</v>
      </c>
    </row>
    <row r="51" spans="1:11" x14ac:dyDescent="0.25">
      <c r="A51" s="1" t="s">
        <v>101</v>
      </c>
      <c r="B51" s="1" t="s">
        <v>102</v>
      </c>
      <c r="C51">
        <v>5</v>
      </c>
      <c r="D51">
        <v>1371</v>
      </c>
      <c r="E51" s="1">
        <f t="shared" si="0"/>
        <v>1996</v>
      </c>
      <c r="F51" s="3" t="str">
        <f t="shared" si="1"/>
        <v>07</v>
      </c>
      <c r="G51" s="3" t="str">
        <f t="shared" si="2"/>
        <v>28</v>
      </c>
      <c r="H51" t="str">
        <f t="shared" si="3"/>
        <v>28.07.1996</v>
      </c>
      <c r="I51" s="5">
        <v>41689</v>
      </c>
      <c r="J51" s="5">
        <f t="shared" si="4"/>
        <v>6415</v>
      </c>
      <c r="K51" s="6">
        <f t="shared" si="5"/>
        <v>17</v>
      </c>
    </row>
    <row r="52" spans="1:11" x14ac:dyDescent="0.25">
      <c r="A52" s="1" t="s">
        <v>103</v>
      </c>
      <c r="B52" s="1" t="s">
        <v>104</v>
      </c>
      <c r="C52">
        <v>2</v>
      </c>
      <c r="D52">
        <v>1349</v>
      </c>
      <c r="E52" s="1">
        <f t="shared" si="0"/>
        <v>1996</v>
      </c>
      <c r="F52" s="3" t="str">
        <f t="shared" si="1"/>
        <v>12</v>
      </c>
      <c r="G52" s="3" t="str">
        <f t="shared" si="2"/>
        <v>29</v>
      </c>
      <c r="H52" t="str">
        <f t="shared" si="3"/>
        <v>29.12.1996</v>
      </c>
      <c r="I52" s="5">
        <v>41690</v>
      </c>
      <c r="J52" s="5">
        <f t="shared" si="4"/>
        <v>6262</v>
      </c>
      <c r="K52" s="6">
        <f t="shared" si="5"/>
        <v>17</v>
      </c>
    </row>
    <row r="53" spans="1:11" x14ac:dyDescent="0.25">
      <c r="A53" s="1" t="s">
        <v>105</v>
      </c>
      <c r="B53" s="1" t="s">
        <v>106</v>
      </c>
      <c r="C53">
        <v>6</v>
      </c>
      <c r="D53">
        <v>3155</v>
      </c>
      <c r="E53" s="1">
        <f t="shared" si="0"/>
        <v>1996</v>
      </c>
      <c r="F53" s="3" t="str">
        <f t="shared" si="1"/>
        <v>09</v>
      </c>
      <c r="G53" s="3" t="str">
        <f t="shared" si="2"/>
        <v>14</v>
      </c>
      <c r="H53" t="str">
        <f t="shared" si="3"/>
        <v>14.09.1996</v>
      </c>
      <c r="I53" s="5">
        <v>41691</v>
      </c>
      <c r="J53" s="5">
        <f t="shared" si="4"/>
        <v>6369</v>
      </c>
      <c r="K53" s="6">
        <f t="shared" si="5"/>
        <v>17</v>
      </c>
    </row>
    <row r="54" spans="1:11" x14ac:dyDescent="0.25">
      <c r="A54" s="1" t="s">
        <v>107</v>
      </c>
      <c r="B54" s="1" t="s">
        <v>108</v>
      </c>
      <c r="C54">
        <v>3</v>
      </c>
      <c r="D54">
        <v>1674</v>
      </c>
      <c r="E54" s="1">
        <f t="shared" si="0"/>
        <v>1996</v>
      </c>
      <c r="F54" s="3" t="str">
        <f t="shared" si="1"/>
        <v>06</v>
      </c>
      <c r="G54" s="3" t="str">
        <f t="shared" si="2"/>
        <v>06</v>
      </c>
      <c r="H54" t="str">
        <f t="shared" si="3"/>
        <v>06.06.1996</v>
      </c>
      <c r="I54" s="5">
        <v>41692</v>
      </c>
      <c r="J54" s="5">
        <f t="shared" si="4"/>
        <v>6470</v>
      </c>
      <c r="K54" s="6">
        <f t="shared" si="5"/>
        <v>17</v>
      </c>
    </row>
    <row r="55" spans="1:11" x14ac:dyDescent="0.25">
      <c r="A55" s="1" t="s">
        <v>109</v>
      </c>
      <c r="B55" s="1" t="s">
        <v>110</v>
      </c>
      <c r="C55">
        <v>4</v>
      </c>
      <c r="D55">
        <v>3416</v>
      </c>
      <c r="E55" s="1">
        <f t="shared" si="0"/>
        <v>1995</v>
      </c>
      <c r="F55" s="3" t="str">
        <f t="shared" si="1"/>
        <v>02</v>
      </c>
      <c r="G55" s="3" t="str">
        <f t="shared" si="2"/>
        <v>21</v>
      </c>
      <c r="H55" t="str">
        <f t="shared" si="3"/>
        <v>21.02.1995</v>
      </c>
      <c r="I55" s="5">
        <v>41693</v>
      </c>
      <c r="J55" s="5">
        <f t="shared" si="4"/>
        <v>6942</v>
      </c>
      <c r="K55" s="6">
        <f t="shared" si="5"/>
        <v>19</v>
      </c>
    </row>
    <row r="56" spans="1:11" x14ac:dyDescent="0.25">
      <c r="A56" s="1" t="s">
        <v>111</v>
      </c>
      <c r="B56" s="1" t="s">
        <v>112</v>
      </c>
      <c r="C56">
        <v>6</v>
      </c>
      <c r="D56">
        <v>3615</v>
      </c>
      <c r="E56" s="1">
        <f t="shared" si="0"/>
        <v>1996</v>
      </c>
      <c r="F56" s="3" t="str">
        <f t="shared" si="1"/>
        <v>10</v>
      </c>
      <c r="G56" s="3" t="str">
        <f t="shared" si="2"/>
        <v>15</v>
      </c>
      <c r="H56" t="str">
        <f t="shared" si="3"/>
        <v>15.10.1996</v>
      </c>
      <c r="I56" s="5">
        <v>41694</v>
      </c>
      <c r="J56" s="5">
        <f t="shared" si="4"/>
        <v>6341</v>
      </c>
      <c r="K56" s="6">
        <f t="shared" si="5"/>
        <v>17</v>
      </c>
    </row>
    <row r="57" spans="1:11" x14ac:dyDescent="0.25">
      <c r="A57" s="1" t="s">
        <v>113</v>
      </c>
      <c r="B57" s="1" t="s">
        <v>114</v>
      </c>
      <c r="C57">
        <v>3</v>
      </c>
      <c r="D57">
        <v>1035</v>
      </c>
      <c r="E57" s="1">
        <f t="shared" si="0"/>
        <v>1994</v>
      </c>
      <c r="F57" s="3" t="str">
        <f t="shared" si="1"/>
        <v>01</v>
      </c>
      <c r="G57" s="3" t="str">
        <f t="shared" si="2"/>
        <v>04</v>
      </c>
      <c r="H57" t="str">
        <f t="shared" si="3"/>
        <v>04.01.1994</v>
      </c>
      <c r="I57" s="5">
        <v>41695</v>
      </c>
      <c r="J57" s="5">
        <f t="shared" si="4"/>
        <v>7357</v>
      </c>
      <c r="K57" s="6">
        <f t="shared" si="5"/>
        <v>20</v>
      </c>
    </row>
    <row r="58" spans="1:11" x14ac:dyDescent="0.25">
      <c r="A58" s="1" t="s">
        <v>115</v>
      </c>
      <c r="B58" s="1" t="s">
        <v>116</v>
      </c>
      <c r="C58">
        <v>5</v>
      </c>
      <c r="D58">
        <v>2704</v>
      </c>
      <c r="E58" s="1">
        <f t="shared" si="0"/>
        <v>1997</v>
      </c>
      <c r="F58" s="3" t="str">
        <f t="shared" si="1"/>
        <v>10</v>
      </c>
      <c r="G58" s="3" t="str">
        <f t="shared" si="2"/>
        <v>20</v>
      </c>
      <c r="H58" t="str">
        <f t="shared" si="3"/>
        <v>20.10.1997</v>
      </c>
      <c r="I58" s="5">
        <v>41696</v>
      </c>
      <c r="J58" s="5">
        <f t="shared" si="4"/>
        <v>5973</v>
      </c>
      <c r="K58" s="6">
        <f t="shared" si="5"/>
        <v>16</v>
      </c>
    </row>
    <row r="59" spans="1:11" x14ac:dyDescent="0.25">
      <c r="A59" s="1" t="s">
        <v>117</v>
      </c>
      <c r="B59" s="1" t="s">
        <v>118</v>
      </c>
      <c r="C59">
        <v>5</v>
      </c>
      <c r="D59">
        <v>2884</v>
      </c>
      <c r="E59" s="1">
        <f t="shared" si="0"/>
        <v>1996</v>
      </c>
      <c r="F59" s="3" t="str">
        <f t="shared" si="1"/>
        <v>06</v>
      </c>
      <c r="G59" s="3" t="str">
        <f t="shared" si="2"/>
        <v>26</v>
      </c>
      <c r="H59" t="str">
        <f t="shared" si="3"/>
        <v>26.06.1996</v>
      </c>
      <c r="I59" s="5">
        <v>41697</v>
      </c>
      <c r="J59" s="5">
        <f t="shared" si="4"/>
        <v>6455</v>
      </c>
      <c r="K59" s="6">
        <f t="shared" si="5"/>
        <v>17</v>
      </c>
    </row>
    <row r="60" spans="1:11" x14ac:dyDescent="0.25">
      <c r="A60" s="1" t="s">
        <v>119</v>
      </c>
      <c r="B60" s="1" t="s">
        <v>120</v>
      </c>
      <c r="C60">
        <v>2</v>
      </c>
      <c r="D60">
        <v>2613</v>
      </c>
      <c r="E60" s="1">
        <f t="shared" si="0"/>
        <v>1997</v>
      </c>
      <c r="F60" s="3" t="str">
        <f t="shared" si="1"/>
        <v>09</v>
      </c>
      <c r="G60" s="3" t="str">
        <f t="shared" si="2"/>
        <v>15</v>
      </c>
      <c r="H60" t="str">
        <f t="shared" si="3"/>
        <v>15.09.1997</v>
      </c>
      <c r="I60" s="5">
        <v>41698</v>
      </c>
      <c r="J60" s="5">
        <f t="shared" si="4"/>
        <v>6010</v>
      </c>
      <c r="K60" s="6">
        <f t="shared" si="5"/>
        <v>16</v>
      </c>
    </row>
    <row r="61" spans="1:11" x14ac:dyDescent="0.25">
      <c r="A61" s="1" t="s">
        <v>121</v>
      </c>
      <c r="B61" s="1" t="s">
        <v>122</v>
      </c>
      <c r="C61">
        <v>5</v>
      </c>
      <c r="D61">
        <v>2642</v>
      </c>
      <c r="E61" s="1">
        <f t="shared" si="0"/>
        <v>1997</v>
      </c>
      <c r="F61" s="3" t="str">
        <f t="shared" si="1"/>
        <v>05</v>
      </c>
      <c r="G61" s="3" t="str">
        <f t="shared" si="2"/>
        <v>15</v>
      </c>
      <c r="H61" t="str">
        <f t="shared" si="3"/>
        <v>15.05.1997</v>
      </c>
      <c r="I61" s="5">
        <v>41699</v>
      </c>
      <c r="J61" s="5">
        <f t="shared" si="4"/>
        <v>6134</v>
      </c>
      <c r="K61" s="6">
        <f t="shared" si="5"/>
        <v>16</v>
      </c>
    </row>
    <row r="62" spans="1:11" x14ac:dyDescent="0.25">
      <c r="A62" s="1" t="s">
        <v>123</v>
      </c>
      <c r="B62" s="1" t="s">
        <v>124</v>
      </c>
      <c r="C62">
        <v>5</v>
      </c>
      <c r="D62">
        <v>3560</v>
      </c>
      <c r="E62" s="1">
        <f t="shared" si="0"/>
        <v>1994</v>
      </c>
      <c r="F62" s="3" t="str">
        <f t="shared" si="1"/>
        <v>02</v>
      </c>
      <c r="G62" s="3" t="str">
        <f t="shared" si="2"/>
        <v>16</v>
      </c>
      <c r="H62" t="str">
        <f t="shared" si="3"/>
        <v>16.02.1994</v>
      </c>
      <c r="I62" s="5">
        <v>41700</v>
      </c>
      <c r="J62" s="5">
        <f t="shared" si="4"/>
        <v>7319</v>
      </c>
      <c r="K62" s="6">
        <f t="shared" si="5"/>
        <v>20</v>
      </c>
    </row>
    <row r="63" spans="1:11" x14ac:dyDescent="0.25">
      <c r="A63" s="1" t="s">
        <v>125</v>
      </c>
      <c r="B63" s="1" t="s">
        <v>126</v>
      </c>
      <c r="C63">
        <v>6</v>
      </c>
      <c r="D63">
        <v>2420</v>
      </c>
      <c r="E63" s="1">
        <f t="shared" si="0"/>
        <v>1995</v>
      </c>
      <c r="F63" s="3" t="str">
        <f t="shared" si="1"/>
        <v>06</v>
      </c>
      <c r="G63" s="3" t="str">
        <f t="shared" si="2"/>
        <v>28</v>
      </c>
      <c r="H63" t="str">
        <f t="shared" si="3"/>
        <v>28.06.1995</v>
      </c>
      <c r="I63" s="5">
        <v>41701</v>
      </c>
      <c r="J63" s="5">
        <f t="shared" si="4"/>
        <v>6823</v>
      </c>
      <c r="K63" s="6">
        <f t="shared" si="5"/>
        <v>18</v>
      </c>
    </row>
    <row r="64" spans="1:11" x14ac:dyDescent="0.25">
      <c r="A64" s="1" t="s">
        <v>127</v>
      </c>
      <c r="B64" s="1" t="s">
        <v>128</v>
      </c>
      <c r="C64">
        <v>4</v>
      </c>
      <c r="D64">
        <v>3911</v>
      </c>
      <c r="E64" s="1">
        <f t="shared" si="0"/>
        <v>1997</v>
      </c>
      <c r="F64" s="3" t="str">
        <f t="shared" si="1"/>
        <v>08</v>
      </c>
      <c r="G64" s="3" t="str">
        <f t="shared" si="2"/>
        <v>07</v>
      </c>
      <c r="H64" t="str">
        <f t="shared" si="3"/>
        <v>07.08.1997</v>
      </c>
      <c r="I64" s="5">
        <v>41702</v>
      </c>
      <c r="J64" s="5">
        <f t="shared" si="4"/>
        <v>6053</v>
      </c>
      <c r="K64" s="6">
        <f t="shared" si="5"/>
        <v>16</v>
      </c>
    </row>
    <row r="65" spans="1:11" x14ac:dyDescent="0.25">
      <c r="A65" s="1" t="s">
        <v>129</v>
      </c>
      <c r="B65" s="1" t="s">
        <v>130</v>
      </c>
      <c r="C65">
        <v>4</v>
      </c>
      <c r="D65">
        <v>2506</v>
      </c>
      <c r="E65" s="1">
        <f t="shared" si="0"/>
        <v>1997</v>
      </c>
      <c r="F65" s="3" t="str">
        <f t="shared" si="1"/>
        <v>01</v>
      </c>
      <c r="G65" s="3" t="str">
        <f t="shared" si="2"/>
        <v>27</v>
      </c>
      <c r="H65" t="str">
        <f t="shared" si="3"/>
        <v>27.01.1997</v>
      </c>
      <c r="I65" s="5">
        <v>41703</v>
      </c>
      <c r="J65" s="5">
        <f t="shared" si="4"/>
        <v>6246</v>
      </c>
      <c r="K65" s="6">
        <f t="shared" si="5"/>
        <v>17</v>
      </c>
    </row>
    <row r="66" spans="1:11" x14ac:dyDescent="0.25">
      <c r="A66" s="1" t="s">
        <v>131</v>
      </c>
      <c r="B66" s="1" t="s">
        <v>132</v>
      </c>
      <c r="C66">
        <v>3</v>
      </c>
      <c r="D66">
        <v>1123</v>
      </c>
      <c r="E66" s="1">
        <f t="shared" si="0"/>
        <v>1997</v>
      </c>
      <c r="F66" s="3" t="str">
        <f t="shared" si="1"/>
        <v>10</v>
      </c>
      <c r="G66" s="3" t="str">
        <f t="shared" si="2"/>
        <v>21</v>
      </c>
      <c r="H66" t="str">
        <f t="shared" si="3"/>
        <v>21.10.1997</v>
      </c>
      <c r="I66" s="5">
        <v>41704</v>
      </c>
      <c r="J66" s="5">
        <f t="shared" si="4"/>
        <v>5980</v>
      </c>
      <c r="K66" s="6">
        <f t="shared" si="5"/>
        <v>16</v>
      </c>
    </row>
    <row r="67" spans="1:11" x14ac:dyDescent="0.25">
      <c r="A67" s="1" t="s">
        <v>133</v>
      </c>
      <c r="B67" s="1" t="s">
        <v>134</v>
      </c>
      <c r="C67">
        <v>3</v>
      </c>
      <c r="D67">
        <v>3415</v>
      </c>
      <c r="E67" s="1">
        <f t="shared" ref="E67:E130" si="6">1900+1*LEFT(B67,2)</f>
        <v>1995</v>
      </c>
      <c r="F67" s="3" t="str">
        <f t="shared" ref="F67:F130" si="7">MID(B67,3,2)</f>
        <v>05</v>
      </c>
      <c r="G67" s="3" t="str">
        <f t="shared" ref="G67:G130" si="8">MID(B67,5,2)</f>
        <v>08</v>
      </c>
      <c r="H67" t="str">
        <f t="shared" ref="H67:H130" si="9">CONCATENATE(G67,".",F67,".",E67)</f>
        <v>08.05.1995</v>
      </c>
      <c r="I67" s="5">
        <v>41705</v>
      </c>
      <c r="J67" s="5">
        <f t="shared" ref="J67:J130" si="10">I67-H67</f>
        <v>6878</v>
      </c>
      <c r="K67" s="6">
        <f t="shared" ref="K67:K130" si="11">YEAR(J67)-1900</f>
        <v>18</v>
      </c>
    </row>
    <row r="68" spans="1:11" x14ac:dyDescent="0.25">
      <c r="A68" s="1" t="s">
        <v>135</v>
      </c>
      <c r="B68" s="1" t="s">
        <v>136</v>
      </c>
      <c r="C68">
        <v>3</v>
      </c>
      <c r="D68">
        <v>716</v>
      </c>
      <c r="E68" s="1">
        <f t="shared" si="6"/>
        <v>1995</v>
      </c>
      <c r="F68" s="3" t="str">
        <f t="shared" si="7"/>
        <v>05</v>
      </c>
      <c r="G68" s="3" t="str">
        <f t="shared" si="8"/>
        <v>31</v>
      </c>
      <c r="H68" t="str">
        <f t="shared" si="9"/>
        <v>31.05.1995</v>
      </c>
      <c r="I68" s="5">
        <v>41706</v>
      </c>
      <c r="J68" s="5">
        <f t="shared" si="10"/>
        <v>6856</v>
      </c>
      <c r="K68" s="6">
        <f t="shared" si="11"/>
        <v>18</v>
      </c>
    </row>
    <row r="69" spans="1:11" x14ac:dyDescent="0.25">
      <c r="A69" s="1" t="s">
        <v>137</v>
      </c>
      <c r="B69" s="1" t="s">
        <v>138</v>
      </c>
      <c r="C69">
        <v>5</v>
      </c>
      <c r="D69">
        <v>892</v>
      </c>
      <c r="E69" s="1">
        <f t="shared" si="6"/>
        <v>1997</v>
      </c>
      <c r="F69" s="3" t="str">
        <f t="shared" si="7"/>
        <v>12</v>
      </c>
      <c r="G69" s="3" t="str">
        <f t="shared" si="8"/>
        <v>20</v>
      </c>
      <c r="H69" t="str">
        <f t="shared" si="9"/>
        <v>20.12.1997</v>
      </c>
      <c r="I69" s="5">
        <v>41707</v>
      </c>
      <c r="J69" s="5">
        <f t="shared" si="10"/>
        <v>5923</v>
      </c>
      <c r="K69" s="6">
        <f t="shared" si="11"/>
        <v>16</v>
      </c>
    </row>
    <row r="70" spans="1:11" x14ac:dyDescent="0.25">
      <c r="A70" s="1" t="s">
        <v>139</v>
      </c>
      <c r="B70" s="1" t="s">
        <v>140</v>
      </c>
      <c r="C70">
        <v>5</v>
      </c>
      <c r="D70">
        <v>2026</v>
      </c>
      <c r="E70" s="1">
        <f t="shared" si="6"/>
        <v>1995</v>
      </c>
      <c r="F70" s="3" t="str">
        <f t="shared" si="7"/>
        <v>10</v>
      </c>
      <c r="G70" s="3" t="str">
        <f t="shared" si="8"/>
        <v>10</v>
      </c>
      <c r="H70" t="str">
        <f t="shared" si="9"/>
        <v>10.10.1995</v>
      </c>
      <c r="I70" s="5">
        <v>41708</v>
      </c>
      <c r="J70" s="5">
        <f t="shared" si="10"/>
        <v>6726</v>
      </c>
      <c r="K70" s="6">
        <f t="shared" si="11"/>
        <v>18</v>
      </c>
    </row>
    <row r="71" spans="1:11" x14ac:dyDescent="0.25">
      <c r="A71" s="1" t="s">
        <v>141</v>
      </c>
      <c r="B71" s="1" t="s">
        <v>142</v>
      </c>
      <c r="C71">
        <v>6</v>
      </c>
      <c r="D71">
        <v>1114</v>
      </c>
      <c r="E71" s="1">
        <f t="shared" si="6"/>
        <v>1997</v>
      </c>
      <c r="F71" s="3" t="str">
        <f t="shared" si="7"/>
        <v>11</v>
      </c>
      <c r="G71" s="3" t="str">
        <f t="shared" si="8"/>
        <v>03</v>
      </c>
      <c r="H71" t="str">
        <f t="shared" si="9"/>
        <v>03.11.1997</v>
      </c>
      <c r="I71" s="5">
        <v>41709</v>
      </c>
      <c r="J71" s="5">
        <f t="shared" si="10"/>
        <v>5972</v>
      </c>
      <c r="K71" s="6">
        <f t="shared" si="11"/>
        <v>16</v>
      </c>
    </row>
    <row r="72" spans="1:11" x14ac:dyDescent="0.25">
      <c r="A72" s="1" t="s">
        <v>143</v>
      </c>
      <c r="B72" s="1" t="s">
        <v>144</v>
      </c>
      <c r="C72">
        <v>6</v>
      </c>
      <c r="D72">
        <v>1351</v>
      </c>
      <c r="E72" s="1">
        <f t="shared" si="6"/>
        <v>1996</v>
      </c>
      <c r="F72" s="3" t="str">
        <f t="shared" si="7"/>
        <v>12</v>
      </c>
      <c r="G72" s="3" t="str">
        <f t="shared" si="8"/>
        <v>16</v>
      </c>
      <c r="H72" t="str">
        <f t="shared" si="9"/>
        <v>16.12.1996</v>
      </c>
      <c r="I72" s="5">
        <v>41710</v>
      </c>
      <c r="J72" s="5">
        <f t="shared" si="10"/>
        <v>6295</v>
      </c>
      <c r="K72" s="6">
        <f t="shared" si="11"/>
        <v>17</v>
      </c>
    </row>
    <row r="73" spans="1:11" x14ac:dyDescent="0.25">
      <c r="A73" s="1" t="s">
        <v>145</v>
      </c>
      <c r="B73" s="1" t="s">
        <v>146</v>
      </c>
      <c r="C73">
        <v>4</v>
      </c>
      <c r="D73">
        <v>4128</v>
      </c>
      <c r="E73" s="1">
        <f t="shared" si="6"/>
        <v>1996</v>
      </c>
      <c r="F73" s="3" t="str">
        <f t="shared" si="7"/>
        <v>01</v>
      </c>
      <c r="G73" s="3" t="str">
        <f t="shared" si="8"/>
        <v>12</v>
      </c>
      <c r="H73" t="str">
        <f t="shared" si="9"/>
        <v>12.01.1996</v>
      </c>
      <c r="I73" s="5">
        <v>41711</v>
      </c>
      <c r="J73" s="5">
        <f t="shared" si="10"/>
        <v>6635</v>
      </c>
      <c r="K73" s="6">
        <f t="shared" si="11"/>
        <v>18</v>
      </c>
    </row>
    <row r="74" spans="1:11" x14ac:dyDescent="0.25">
      <c r="A74" s="1" t="s">
        <v>147</v>
      </c>
      <c r="B74" s="1" t="s">
        <v>148</v>
      </c>
      <c r="C74">
        <v>4</v>
      </c>
      <c r="D74">
        <v>2992</v>
      </c>
      <c r="E74" s="1">
        <f t="shared" si="6"/>
        <v>1996</v>
      </c>
      <c r="F74" s="3" t="str">
        <f t="shared" si="7"/>
        <v>04</v>
      </c>
      <c r="G74" s="3" t="str">
        <f t="shared" si="8"/>
        <v>28</v>
      </c>
      <c r="H74" t="str">
        <f t="shared" si="9"/>
        <v>28.04.1996</v>
      </c>
      <c r="I74" s="5">
        <v>41712</v>
      </c>
      <c r="J74" s="5">
        <f t="shared" si="10"/>
        <v>6529</v>
      </c>
      <c r="K74" s="6">
        <f t="shared" si="11"/>
        <v>17</v>
      </c>
    </row>
    <row r="75" spans="1:11" x14ac:dyDescent="0.25">
      <c r="A75" s="1" t="s">
        <v>149</v>
      </c>
      <c r="B75" s="1" t="s">
        <v>150</v>
      </c>
      <c r="C75">
        <v>6</v>
      </c>
      <c r="D75">
        <v>1113</v>
      </c>
      <c r="E75" s="1">
        <f t="shared" si="6"/>
        <v>1996</v>
      </c>
      <c r="F75" s="3" t="str">
        <f t="shared" si="7"/>
        <v>06</v>
      </c>
      <c r="G75" s="3" t="str">
        <f t="shared" si="8"/>
        <v>16</v>
      </c>
      <c r="H75" t="str">
        <f t="shared" si="9"/>
        <v>16.06.1996</v>
      </c>
      <c r="I75" s="5">
        <v>41713</v>
      </c>
      <c r="J75" s="5">
        <f t="shared" si="10"/>
        <v>6481</v>
      </c>
      <c r="K75" s="6">
        <f t="shared" si="11"/>
        <v>17</v>
      </c>
    </row>
    <row r="76" spans="1:11" x14ac:dyDescent="0.25">
      <c r="A76" s="1" t="s">
        <v>151</v>
      </c>
      <c r="B76" s="1" t="s">
        <v>152</v>
      </c>
      <c r="C76">
        <v>3</v>
      </c>
      <c r="D76">
        <v>2267</v>
      </c>
      <c r="E76" s="1">
        <f t="shared" si="6"/>
        <v>1997</v>
      </c>
      <c r="F76" s="3" t="str">
        <f t="shared" si="7"/>
        <v>12</v>
      </c>
      <c r="G76" s="3" t="str">
        <f t="shared" si="8"/>
        <v>14</v>
      </c>
      <c r="H76" t="str">
        <f t="shared" si="9"/>
        <v>14.12.1997</v>
      </c>
      <c r="I76" s="5">
        <v>41714</v>
      </c>
      <c r="J76" s="5">
        <f t="shared" si="10"/>
        <v>5936</v>
      </c>
      <c r="K76" s="6">
        <f t="shared" si="11"/>
        <v>16</v>
      </c>
    </row>
    <row r="77" spans="1:11" x14ac:dyDescent="0.25">
      <c r="A77" s="1" t="s">
        <v>153</v>
      </c>
      <c r="B77" s="1" t="s">
        <v>154</v>
      </c>
      <c r="C77">
        <v>5</v>
      </c>
      <c r="D77">
        <v>1429</v>
      </c>
      <c r="E77" s="1">
        <f t="shared" si="6"/>
        <v>1995</v>
      </c>
      <c r="F77" s="3" t="str">
        <f t="shared" si="7"/>
        <v>04</v>
      </c>
      <c r="G77" s="3" t="str">
        <f t="shared" si="8"/>
        <v>05</v>
      </c>
      <c r="H77" t="str">
        <f t="shared" si="9"/>
        <v>05.04.1995</v>
      </c>
      <c r="I77" s="5">
        <v>41715</v>
      </c>
      <c r="J77" s="5">
        <f t="shared" si="10"/>
        <v>6921</v>
      </c>
      <c r="K77" s="6">
        <f t="shared" si="11"/>
        <v>18</v>
      </c>
    </row>
    <row r="78" spans="1:11" x14ac:dyDescent="0.25">
      <c r="A78" s="1" t="s">
        <v>155</v>
      </c>
      <c r="B78" s="1" t="s">
        <v>156</v>
      </c>
      <c r="C78">
        <v>2</v>
      </c>
      <c r="D78">
        <v>2554</v>
      </c>
      <c r="E78" s="1">
        <f t="shared" si="6"/>
        <v>1995</v>
      </c>
      <c r="F78" s="3" t="str">
        <f t="shared" si="7"/>
        <v>05</v>
      </c>
      <c r="G78" s="3" t="str">
        <f t="shared" si="8"/>
        <v>04</v>
      </c>
      <c r="H78" t="str">
        <f t="shared" si="9"/>
        <v>04.05.1995</v>
      </c>
      <c r="I78" s="5">
        <v>41716</v>
      </c>
      <c r="J78" s="5">
        <f t="shared" si="10"/>
        <v>6893</v>
      </c>
      <c r="K78" s="6">
        <f t="shared" si="11"/>
        <v>18</v>
      </c>
    </row>
    <row r="79" spans="1:11" x14ac:dyDescent="0.25">
      <c r="A79" s="1" t="s">
        <v>157</v>
      </c>
      <c r="B79" s="1" t="s">
        <v>158</v>
      </c>
      <c r="C79">
        <v>3</v>
      </c>
      <c r="D79">
        <v>2892</v>
      </c>
      <c r="E79" s="1">
        <f t="shared" si="6"/>
        <v>1995</v>
      </c>
      <c r="F79" s="3" t="str">
        <f t="shared" si="7"/>
        <v>08</v>
      </c>
      <c r="G79" s="3" t="str">
        <f t="shared" si="8"/>
        <v>21</v>
      </c>
      <c r="H79" t="str">
        <f t="shared" si="9"/>
        <v>21.08.1995</v>
      </c>
      <c r="I79" s="5">
        <v>41717</v>
      </c>
      <c r="J79" s="5">
        <f t="shared" si="10"/>
        <v>6785</v>
      </c>
      <c r="K79" s="6">
        <f t="shared" si="11"/>
        <v>18</v>
      </c>
    </row>
    <row r="80" spans="1:11" x14ac:dyDescent="0.25">
      <c r="A80" s="1" t="s">
        <v>159</v>
      </c>
      <c r="B80" s="1" t="s">
        <v>160</v>
      </c>
      <c r="C80">
        <v>4</v>
      </c>
      <c r="D80">
        <v>3322</v>
      </c>
      <c r="E80" s="1">
        <f t="shared" si="6"/>
        <v>1995</v>
      </c>
      <c r="F80" s="3" t="str">
        <f t="shared" si="7"/>
        <v>02</v>
      </c>
      <c r="G80" s="3" t="str">
        <f t="shared" si="8"/>
        <v>15</v>
      </c>
      <c r="H80" t="str">
        <f t="shared" si="9"/>
        <v>15.02.1995</v>
      </c>
      <c r="I80" s="5">
        <v>41718</v>
      </c>
      <c r="J80" s="5">
        <f t="shared" si="10"/>
        <v>6973</v>
      </c>
      <c r="K80" s="6">
        <f t="shared" si="11"/>
        <v>19</v>
      </c>
    </row>
    <row r="81" spans="1:11" x14ac:dyDescent="0.25">
      <c r="A81" s="1" t="s">
        <v>161</v>
      </c>
      <c r="B81" s="1" t="s">
        <v>162</v>
      </c>
      <c r="C81">
        <v>4</v>
      </c>
      <c r="D81">
        <v>1594</v>
      </c>
      <c r="E81" s="1">
        <f t="shared" si="6"/>
        <v>1997</v>
      </c>
      <c r="F81" s="3" t="str">
        <f t="shared" si="7"/>
        <v>08</v>
      </c>
      <c r="G81" s="3" t="str">
        <f t="shared" si="8"/>
        <v>28</v>
      </c>
      <c r="H81" t="str">
        <f t="shared" si="9"/>
        <v>28.08.1997</v>
      </c>
      <c r="I81" s="5">
        <v>41719</v>
      </c>
      <c r="J81" s="5">
        <f t="shared" si="10"/>
        <v>6049</v>
      </c>
      <c r="K81" s="6">
        <f t="shared" si="11"/>
        <v>16</v>
      </c>
    </row>
    <row r="82" spans="1:11" x14ac:dyDescent="0.25">
      <c r="A82" s="1" t="s">
        <v>163</v>
      </c>
      <c r="B82" s="1" t="s">
        <v>164</v>
      </c>
      <c r="C82">
        <v>3</v>
      </c>
      <c r="D82">
        <v>4342</v>
      </c>
      <c r="E82" s="1">
        <f t="shared" si="6"/>
        <v>1996</v>
      </c>
      <c r="F82" s="3" t="str">
        <f t="shared" si="7"/>
        <v>10</v>
      </c>
      <c r="G82" s="3" t="str">
        <f t="shared" si="8"/>
        <v>24</v>
      </c>
      <c r="H82" t="str">
        <f t="shared" si="9"/>
        <v>24.10.1996</v>
      </c>
      <c r="I82" s="5">
        <v>41720</v>
      </c>
      <c r="J82" s="5">
        <f t="shared" si="10"/>
        <v>6358</v>
      </c>
      <c r="K82" s="6">
        <f t="shared" si="11"/>
        <v>17</v>
      </c>
    </row>
    <row r="83" spans="1:11" x14ac:dyDescent="0.25">
      <c r="A83" s="1" t="s">
        <v>165</v>
      </c>
      <c r="B83" s="1" t="s">
        <v>166</v>
      </c>
      <c r="C83">
        <v>5</v>
      </c>
      <c r="D83">
        <v>1718</v>
      </c>
      <c r="E83" s="1">
        <f t="shared" si="6"/>
        <v>1996</v>
      </c>
      <c r="F83" s="3" t="str">
        <f t="shared" si="7"/>
        <v>09</v>
      </c>
      <c r="G83" s="3" t="str">
        <f t="shared" si="8"/>
        <v>30</v>
      </c>
      <c r="H83" t="str">
        <f t="shared" si="9"/>
        <v>30.09.1996</v>
      </c>
      <c r="I83" s="5">
        <v>41721</v>
      </c>
      <c r="J83" s="5">
        <f t="shared" si="10"/>
        <v>6383</v>
      </c>
      <c r="K83" s="6">
        <f t="shared" si="11"/>
        <v>17</v>
      </c>
    </row>
    <row r="84" spans="1:11" x14ac:dyDescent="0.25">
      <c r="A84" s="1" t="s">
        <v>167</v>
      </c>
      <c r="B84" s="1" t="s">
        <v>168</v>
      </c>
      <c r="C84">
        <v>2</v>
      </c>
      <c r="D84">
        <v>4314</v>
      </c>
      <c r="E84" s="1">
        <f t="shared" si="6"/>
        <v>1996</v>
      </c>
      <c r="F84" s="3" t="str">
        <f t="shared" si="7"/>
        <v>08</v>
      </c>
      <c r="G84" s="3" t="str">
        <f t="shared" si="8"/>
        <v>10</v>
      </c>
      <c r="H84" t="str">
        <f t="shared" si="9"/>
        <v>10.08.1996</v>
      </c>
      <c r="I84" s="5">
        <v>41722</v>
      </c>
      <c r="J84" s="5">
        <f t="shared" si="10"/>
        <v>6435</v>
      </c>
      <c r="K84" s="6">
        <f t="shared" si="11"/>
        <v>17</v>
      </c>
    </row>
    <row r="85" spans="1:11" x14ac:dyDescent="0.25">
      <c r="A85" s="1" t="s">
        <v>169</v>
      </c>
      <c r="B85" s="1" t="s">
        <v>170</v>
      </c>
      <c r="C85">
        <v>5</v>
      </c>
      <c r="D85">
        <v>3865</v>
      </c>
      <c r="E85" s="1">
        <f t="shared" si="6"/>
        <v>1997</v>
      </c>
      <c r="F85" s="3" t="str">
        <f t="shared" si="7"/>
        <v>08</v>
      </c>
      <c r="G85" s="3" t="str">
        <f t="shared" si="8"/>
        <v>28</v>
      </c>
      <c r="H85" t="str">
        <f t="shared" si="9"/>
        <v>28.08.1997</v>
      </c>
      <c r="I85" s="5">
        <v>41723</v>
      </c>
      <c r="J85" s="5">
        <f t="shared" si="10"/>
        <v>6053</v>
      </c>
      <c r="K85" s="6">
        <f t="shared" si="11"/>
        <v>16</v>
      </c>
    </row>
    <row r="86" spans="1:11" x14ac:dyDescent="0.25">
      <c r="A86" s="1" t="s">
        <v>171</v>
      </c>
      <c r="B86" s="1" t="s">
        <v>172</v>
      </c>
      <c r="C86">
        <v>3</v>
      </c>
      <c r="D86">
        <v>2628</v>
      </c>
      <c r="E86" s="1">
        <f t="shared" si="6"/>
        <v>1995</v>
      </c>
      <c r="F86" s="3" t="str">
        <f t="shared" si="7"/>
        <v>04</v>
      </c>
      <c r="G86" s="3" t="str">
        <f t="shared" si="8"/>
        <v>25</v>
      </c>
      <c r="H86" t="str">
        <f t="shared" si="9"/>
        <v>25.04.1995</v>
      </c>
      <c r="I86" s="5">
        <v>41724</v>
      </c>
      <c r="J86" s="5">
        <f t="shared" si="10"/>
        <v>6910</v>
      </c>
      <c r="K86" s="6">
        <f t="shared" si="11"/>
        <v>18</v>
      </c>
    </row>
    <row r="87" spans="1:11" x14ac:dyDescent="0.25">
      <c r="A87" s="1" t="s">
        <v>173</v>
      </c>
      <c r="B87" s="1" t="s">
        <v>174</v>
      </c>
      <c r="C87">
        <v>4</v>
      </c>
      <c r="D87">
        <v>4063</v>
      </c>
      <c r="E87" s="1">
        <f t="shared" si="6"/>
        <v>1994</v>
      </c>
      <c r="F87" s="3" t="str">
        <f t="shared" si="7"/>
        <v>08</v>
      </c>
      <c r="G87" s="3" t="str">
        <f t="shared" si="8"/>
        <v>28</v>
      </c>
      <c r="H87" t="str">
        <f t="shared" si="9"/>
        <v>28.08.1994</v>
      </c>
      <c r="I87" s="5">
        <v>41725</v>
      </c>
      <c r="J87" s="5">
        <f t="shared" si="10"/>
        <v>7151</v>
      </c>
      <c r="K87" s="6">
        <f t="shared" si="11"/>
        <v>19</v>
      </c>
    </row>
    <row r="88" spans="1:11" x14ac:dyDescent="0.25">
      <c r="A88" s="1" t="s">
        <v>175</v>
      </c>
      <c r="B88" s="1" t="s">
        <v>176</v>
      </c>
      <c r="C88">
        <v>5</v>
      </c>
      <c r="D88">
        <v>2483</v>
      </c>
      <c r="E88" s="1">
        <f t="shared" si="6"/>
        <v>1995</v>
      </c>
      <c r="F88" s="3" t="str">
        <f t="shared" si="7"/>
        <v>11</v>
      </c>
      <c r="G88" s="3" t="str">
        <f t="shared" si="8"/>
        <v>15</v>
      </c>
      <c r="H88" t="str">
        <f t="shared" si="9"/>
        <v>15.11.1995</v>
      </c>
      <c r="I88" s="5">
        <v>41726</v>
      </c>
      <c r="J88" s="5">
        <f t="shared" si="10"/>
        <v>6708</v>
      </c>
      <c r="K88" s="6">
        <f t="shared" si="11"/>
        <v>18</v>
      </c>
    </row>
    <row r="89" spans="1:11" x14ac:dyDescent="0.25">
      <c r="A89" s="1" t="s">
        <v>177</v>
      </c>
      <c r="B89" s="1" t="s">
        <v>178</v>
      </c>
      <c r="C89">
        <v>5</v>
      </c>
      <c r="D89">
        <v>1818</v>
      </c>
      <c r="E89" s="1">
        <f t="shared" si="6"/>
        <v>1996</v>
      </c>
      <c r="F89" s="3" t="str">
        <f t="shared" si="7"/>
        <v>04</v>
      </c>
      <c r="G89" s="3" t="str">
        <f t="shared" si="8"/>
        <v>23</v>
      </c>
      <c r="H89" t="str">
        <f t="shared" si="9"/>
        <v>23.04.1996</v>
      </c>
      <c r="I89" s="5">
        <v>41727</v>
      </c>
      <c r="J89" s="5">
        <f t="shared" si="10"/>
        <v>6549</v>
      </c>
      <c r="K89" s="6">
        <f t="shared" si="11"/>
        <v>17</v>
      </c>
    </row>
    <row r="90" spans="1:11" x14ac:dyDescent="0.25">
      <c r="A90" s="1" t="s">
        <v>179</v>
      </c>
      <c r="B90" s="1" t="s">
        <v>180</v>
      </c>
      <c r="C90">
        <v>5</v>
      </c>
      <c r="D90">
        <v>3607</v>
      </c>
      <c r="E90" s="1">
        <f t="shared" si="6"/>
        <v>1995</v>
      </c>
      <c r="F90" s="3" t="str">
        <f t="shared" si="7"/>
        <v>08</v>
      </c>
      <c r="G90" s="3" t="str">
        <f t="shared" si="8"/>
        <v>21</v>
      </c>
      <c r="H90" t="str">
        <f t="shared" si="9"/>
        <v>21.08.1995</v>
      </c>
      <c r="I90" s="5">
        <v>41728</v>
      </c>
      <c r="J90" s="5">
        <f t="shared" si="10"/>
        <v>6796</v>
      </c>
      <c r="K90" s="6">
        <f t="shared" si="11"/>
        <v>18</v>
      </c>
    </row>
    <row r="91" spans="1:11" x14ac:dyDescent="0.25">
      <c r="A91" s="1" t="s">
        <v>181</v>
      </c>
      <c r="B91" s="1" t="s">
        <v>182</v>
      </c>
      <c r="C91">
        <v>6</v>
      </c>
      <c r="D91">
        <v>4101</v>
      </c>
      <c r="E91" s="1">
        <f t="shared" si="6"/>
        <v>1995</v>
      </c>
      <c r="F91" s="3" t="str">
        <f t="shared" si="7"/>
        <v>10</v>
      </c>
      <c r="G91" s="3" t="str">
        <f t="shared" si="8"/>
        <v>29</v>
      </c>
      <c r="H91" t="str">
        <f t="shared" si="9"/>
        <v>29.10.1995</v>
      </c>
      <c r="I91" s="5">
        <v>41729</v>
      </c>
      <c r="J91" s="5">
        <f t="shared" si="10"/>
        <v>6728</v>
      </c>
      <c r="K91" s="6">
        <f t="shared" si="11"/>
        <v>18</v>
      </c>
    </row>
    <row r="92" spans="1:11" x14ac:dyDescent="0.25">
      <c r="A92" s="1" t="s">
        <v>183</v>
      </c>
      <c r="B92" s="1" t="s">
        <v>184</v>
      </c>
      <c r="C92">
        <v>5</v>
      </c>
      <c r="D92">
        <v>2038</v>
      </c>
      <c r="E92" s="1">
        <f t="shared" si="6"/>
        <v>1997</v>
      </c>
      <c r="F92" s="3" t="str">
        <f t="shared" si="7"/>
        <v>01</v>
      </c>
      <c r="G92" s="3" t="str">
        <f t="shared" si="8"/>
        <v>27</v>
      </c>
      <c r="H92" t="str">
        <f t="shared" si="9"/>
        <v>27.01.1997</v>
      </c>
      <c r="I92" s="5">
        <v>41730</v>
      </c>
      <c r="J92" s="5">
        <f t="shared" si="10"/>
        <v>6273</v>
      </c>
      <c r="K92" s="6">
        <f t="shared" si="11"/>
        <v>17</v>
      </c>
    </row>
    <row r="93" spans="1:11" x14ac:dyDescent="0.25">
      <c r="A93" s="1" t="s">
        <v>185</v>
      </c>
      <c r="B93" s="1" t="s">
        <v>186</v>
      </c>
      <c r="C93">
        <v>3</v>
      </c>
      <c r="D93">
        <v>2793</v>
      </c>
      <c r="E93" s="1">
        <f t="shared" si="6"/>
        <v>1995</v>
      </c>
      <c r="F93" s="3" t="str">
        <f t="shared" si="7"/>
        <v>04</v>
      </c>
      <c r="G93" s="3" t="str">
        <f t="shared" si="8"/>
        <v>09</v>
      </c>
      <c r="H93" t="str">
        <f t="shared" si="9"/>
        <v>09.04.1995</v>
      </c>
      <c r="I93" s="5">
        <v>41731</v>
      </c>
      <c r="J93" s="5">
        <f t="shared" si="10"/>
        <v>6933</v>
      </c>
      <c r="K93" s="6">
        <f t="shared" si="11"/>
        <v>18</v>
      </c>
    </row>
    <row r="94" spans="1:11" x14ac:dyDescent="0.25">
      <c r="A94" s="1" t="s">
        <v>187</v>
      </c>
      <c r="B94" s="1" t="s">
        <v>188</v>
      </c>
      <c r="C94">
        <v>4</v>
      </c>
      <c r="D94">
        <v>3127</v>
      </c>
      <c r="E94" s="1">
        <f t="shared" si="6"/>
        <v>1994</v>
      </c>
      <c r="F94" s="3" t="str">
        <f t="shared" si="7"/>
        <v>06</v>
      </c>
      <c r="G94" s="3" t="str">
        <f t="shared" si="8"/>
        <v>01</v>
      </c>
      <c r="H94" t="str">
        <f t="shared" si="9"/>
        <v>01.06.1994</v>
      </c>
      <c r="I94" s="5">
        <v>41732</v>
      </c>
      <c r="J94" s="5">
        <f t="shared" si="10"/>
        <v>7246</v>
      </c>
      <c r="K94" s="6">
        <f t="shared" si="11"/>
        <v>19</v>
      </c>
    </row>
    <row r="95" spans="1:11" x14ac:dyDescent="0.25">
      <c r="A95" s="1" t="s">
        <v>189</v>
      </c>
      <c r="B95" s="1" t="s">
        <v>190</v>
      </c>
      <c r="C95">
        <v>4</v>
      </c>
      <c r="D95">
        <v>2286</v>
      </c>
      <c r="E95" s="1">
        <f t="shared" si="6"/>
        <v>1996</v>
      </c>
      <c r="F95" s="3" t="str">
        <f t="shared" si="7"/>
        <v>08</v>
      </c>
      <c r="G95" s="3" t="str">
        <f t="shared" si="8"/>
        <v>15</v>
      </c>
      <c r="H95" t="str">
        <f t="shared" si="9"/>
        <v>15.08.1996</v>
      </c>
      <c r="I95" s="5">
        <v>41733</v>
      </c>
      <c r="J95" s="5">
        <f t="shared" si="10"/>
        <v>6441</v>
      </c>
      <c r="K95" s="6">
        <f t="shared" si="11"/>
        <v>17</v>
      </c>
    </row>
    <row r="96" spans="1:11" x14ac:dyDescent="0.25">
      <c r="A96" s="1" t="s">
        <v>191</v>
      </c>
      <c r="B96" s="1" t="s">
        <v>192</v>
      </c>
      <c r="C96">
        <v>4</v>
      </c>
      <c r="D96">
        <v>1831</v>
      </c>
      <c r="E96" s="1">
        <f t="shared" si="6"/>
        <v>1996</v>
      </c>
      <c r="F96" s="3" t="str">
        <f t="shared" si="7"/>
        <v>08</v>
      </c>
      <c r="G96" s="3" t="str">
        <f t="shared" si="8"/>
        <v>08</v>
      </c>
      <c r="H96" t="str">
        <f t="shared" si="9"/>
        <v>08.08.1996</v>
      </c>
      <c r="I96" s="5">
        <v>41734</v>
      </c>
      <c r="J96" s="5">
        <f t="shared" si="10"/>
        <v>6449</v>
      </c>
      <c r="K96" s="6">
        <f t="shared" si="11"/>
        <v>17</v>
      </c>
    </row>
    <row r="97" spans="1:11" x14ac:dyDescent="0.25">
      <c r="A97" s="1" t="s">
        <v>193</v>
      </c>
      <c r="B97" s="1" t="s">
        <v>194</v>
      </c>
      <c r="C97">
        <v>5</v>
      </c>
      <c r="D97">
        <v>4052</v>
      </c>
      <c r="E97" s="1">
        <f t="shared" si="6"/>
        <v>1997</v>
      </c>
      <c r="F97" s="3" t="str">
        <f t="shared" si="7"/>
        <v>06</v>
      </c>
      <c r="G97" s="3" t="str">
        <f t="shared" si="8"/>
        <v>04</v>
      </c>
      <c r="H97" t="str">
        <f t="shared" si="9"/>
        <v>04.06.1997</v>
      </c>
      <c r="I97" s="5">
        <v>41735</v>
      </c>
      <c r="J97" s="5">
        <f t="shared" si="10"/>
        <v>6150</v>
      </c>
      <c r="K97" s="6">
        <f t="shared" si="11"/>
        <v>16</v>
      </c>
    </row>
    <row r="98" spans="1:11" x14ac:dyDescent="0.25">
      <c r="A98" s="1" t="s">
        <v>195</v>
      </c>
      <c r="B98" s="1" t="s">
        <v>196</v>
      </c>
      <c r="C98">
        <v>4</v>
      </c>
      <c r="D98">
        <v>3872</v>
      </c>
      <c r="E98" s="1">
        <f t="shared" si="6"/>
        <v>1994</v>
      </c>
      <c r="F98" s="3" t="str">
        <f t="shared" si="7"/>
        <v>08</v>
      </c>
      <c r="G98" s="3" t="str">
        <f t="shared" si="8"/>
        <v>04</v>
      </c>
      <c r="H98" t="str">
        <f t="shared" si="9"/>
        <v>04.08.1994</v>
      </c>
      <c r="I98" s="5">
        <v>41736</v>
      </c>
      <c r="J98" s="5">
        <f t="shared" si="10"/>
        <v>7186</v>
      </c>
      <c r="K98" s="6">
        <f t="shared" si="11"/>
        <v>19</v>
      </c>
    </row>
    <row r="99" spans="1:11" x14ac:dyDescent="0.25">
      <c r="A99" s="1" t="s">
        <v>197</v>
      </c>
      <c r="B99" s="1" t="s">
        <v>198</v>
      </c>
      <c r="C99">
        <v>3</v>
      </c>
      <c r="D99">
        <v>647</v>
      </c>
      <c r="E99" s="1">
        <f t="shared" si="6"/>
        <v>1995</v>
      </c>
      <c r="F99" s="3" t="str">
        <f t="shared" si="7"/>
        <v>05</v>
      </c>
      <c r="G99" s="3" t="str">
        <f t="shared" si="8"/>
        <v>06</v>
      </c>
      <c r="H99" t="str">
        <f t="shared" si="9"/>
        <v>06.05.1995</v>
      </c>
      <c r="I99" s="5">
        <v>41737</v>
      </c>
      <c r="J99" s="5">
        <f t="shared" si="10"/>
        <v>6912</v>
      </c>
      <c r="K99" s="6">
        <f t="shared" si="11"/>
        <v>18</v>
      </c>
    </row>
    <row r="100" spans="1:11" x14ac:dyDescent="0.25">
      <c r="A100" s="1" t="s">
        <v>199</v>
      </c>
      <c r="B100" s="1" t="s">
        <v>200</v>
      </c>
      <c r="C100">
        <v>3</v>
      </c>
      <c r="D100">
        <v>3747</v>
      </c>
      <c r="E100" s="1">
        <f t="shared" si="6"/>
        <v>1994</v>
      </c>
      <c r="F100" s="3" t="str">
        <f t="shared" si="7"/>
        <v>06</v>
      </c>
      <c r="G100" s="3" t="str">
        <f t="shared" si="8"/>
        <v>01</v>
      </c>
      <c r="H100" t="str">
        <f t="shared" si="9"/>
        <v>01.06.1994</v>
      </c>
      <c r="I100" s="5">
        <v>41738</v>
      </c>
      <c r="J100" s="5">
        <f t="shared" si="10"/>
        <v>7252</v>
      </c>
      <c r="K100" s="6">
        <f t="shared" si="11"/>
        <v>19</v>
      </c>
    </row>
    <row r="101" spans="1:11" x14ac:dyDescent="0.25">
      <c r="A101" s="1" t="s">
        <v>201</v>
      </c>
      <c r="B101" s="1" t="s">
        <v>202</v>
      </c>
      <c r="C101">
        <v>5</v>
      </c>
      <c r="D101">
        <v>3408</v>
      </c>
      <c r="E101" s="1">
        <f t="shared" si="6"/>
        <v>1996</v>
      </c>
      <c r="F101" s="3" t="str">
        <f t="shared" si="7"/>
        <v>10</v>
      </c>
      <c r="G101" s="3" t="str">
        <f t="shared" si="8"/>
        <v>20</v>
      </c>
      <c r="H101" t="str">
        <f t="shared" si="9"/>
        <v>20.10.1996</v>
      </c>
      <c r="I101" s="5">
        <v>41739</v>
      </c>
      <c r="J101" s="5">
        <f t="shared" si="10"/>
        <v>6381</v>
      </c>
      <c r="K101" s="6">
        <f t="shared" si="11"/>
        <v>17</v>
      </c>
    </row>
    <row r="102" spans="1:11" x14ac:dyDescent="0.25">
      <c r="A102" s="1" t="s">
        <v>203</v>
      </c>
      <c r="B102" s="1" t="s">
        <v>204</v>
      </c>
      <c r="C102">
        <v>5</v>
      </c>
      <c r="D102">
        <v>708</v>
      </c>
      <c r="E102" s="1">
        <f t="shared" si="6"/>
        <v>1997</v>
      </c>
      <c r="F102" s="3" t="str">
        <f t="shared" si="7"/>
        <v>08</v>
      </c>
      <c r="G102" s="3" t="str">
        <f t="shared" si="8"/>
        <v>08</v>
      </c>
      <c r="H102" t="str">
        <f t="shared" si="9"/>
        <v>08.08.1997</v>
      </c>
      <c r="I102" s="5">
        <v>41740</v>
      </c>
      <c r="J102" s="5">
        <f t="shared" si="10"/>
        <v>6090</v>
      </c>
      <c r="K102" s="6">
        <f t="shared" si="11"/>
        <v>16</v>
      </c>
    </row>
    <row r="103" spans="1:11" x14ac:dyDescent="0.25">
      <c r="A103" s="1" t="s">
        <v>205</v>
      </c>
      <c r="B103" s="1" t="s">
        <v>206</v>
      </c>
      <c r="C103">
        <v>4</v>
      </c>
      <c r="D103">
        <v>994</v>
      </c>
      <c r="E103" s="1">
        <f t="shared" si="6"/>
        <v>1995</v>
      </c>
      <c r="F103" s="3" t="str">
        <f t="shared" si="7"/>
        <v>03</v>
      </c>
      <c r="G103" s="3" t="str">
        <f t="shared" si="8"/>
        <v>18</v>
      </c>
      <c r="H103" t="str">
        <f t="shared" si="9"/>
        <v>18.03.1995</v>
      </c>
      <c r="I103" s="5">
        <v>41741</v>
      </c>
      <c r="J103" s="5">
        <f t="shared" si="10"/>
        <v>6965</v>
      </c>
      <c r="K103" s="6">
        <f t="shared" si="11"/>
        <v>19</v>
      </c>
    </row>
    <row r="104" spans="1:11" x14ac:dyDescent="0.25">
      <c r="A104" s="1" t="s">
        <v>207</v>
      </c>
      <c r="B104" s="1" t="s">
        <v>208</v>
      </c>
      <c r="C104">
        <v>2</v>
      </c>
      <c r="D104">
        <v>1626</v>
      </c>
      <c r="E104" s="1">
        <f t="shared" si="6"/>
        <v>1994</v>
      </c>
      <c r="F104" s="3" t="str">
        <f t="shared" si="7"/>
        <v>10</v>
      </c>
      <c r="G104" s="3" t="str">
        <f t="shared" si="8"/>
        <v>25</v>
      </c>
      <c r="H104" t="str">
        <f t="shared" si="9"/>
        <v>25.10.1994</v>
      </c>
      <c r="I104" s="5">
        <v>41742</v>
      </c>
      <c r="J104" s="5">
        <f t="shared" si="10"/>
        <v>7110</v>
      </c>
      <c r="K104" s="6">
        <f t="shared" si="11"/>
        <v>19</v>
      </c>
    </row>
    <row r="105" spans="1:11" x14ac:dyDescent="0.25">
      <c r="A105" s="1" t="s">
        <v>209</v>
      </c>
      <c r="B105" s="1" t="s">
        <v>210</v>
      </c>
      <c r="C105">
        <v>6</v>
      </c>
      <c r="D105">
        <v>1808</v>
      </c>
      <c r="E105" s="1">
        <f t="shared" si="6"/>
        <v>1995</v>
      </c>
      <c r="F105" s="3" t="str">
        <f t="shared" si="7"/>
        <v>09</v>
      </c>
      <c r="G105" s="3" t="str">
        <f t="shared" si="8"/>
        <v>24</v>
      </c>
      <c r="H105" t="str">
        <f t="shared" si="9"/>
        <v>24.09.1995</v>
      </c>
      <c r="I105" s="5">
        <v>41743</v>
      </c>
      <c r="J105" s="5">
        <f t="shared" si="10"/>
        <v>6777</v>
      </c>
      <c r="K105" s="6">
        <f t="shared" si="11"/>
        <v>18</v>
      </c>
    </row>
    <row r="106" spans="1:11" x14ac:dyDescent="0.25">
      <c r="A106" s="1" t="s">
        <v>211</v>
      </c>
      <c r="B106" s="1" t="s">
        <v>212</v>
      </c>
      <c r="C106">
        <v>5</v>
      </c>
      <c r="D106">
        <v>2295</v>
      </c>
      <c r="E106" s="1">
        <f t="shared" si="6"/>
        <v>1995</v>
      </c>
      <c r="F106" s="3" t="str">
        <f t="shared" si="7"/>
        <v>11</v>
      </c>
      <c r="G106" s="3" t="str">
        <f t="shared" si="8"/>
        <v>23</v>
      </c>
      <c r="H106" t="str">
        <f t="shared" si="9"/>
        <v>23.11.1995</v>
      </c>
      <c r="I106" s="5">
        <v>41744</v>
      </c>
      <c r="J106" s="5">
        <f t="shared" si="10"/>
        <v>6718</v>
      </c>
      <c r="K106" s="6">
        <f t="shared" si="11"/>
        <v>18</v>
      </c>
    </row>
    <row r="107" spans="1:11" x14ac:dyDescent="0.25">
      <c r="A107" s="1" t="s">
        <v>213</v>
      </c>
      <c r="B107" s="1" t="s">
        <v>214</v>
      </c>
      <c r="C107">
        <v>2</v>
      </c>
      <c r="D107">
        <v>3883</v>
      </c>
      <c r="E107" s="1">
        <f t="shared" si="6"/>
        <v>1995</v>
      </c>
      <c r="F107" s="3" t="str">
        <f t="shared" si="7"/>
        <v>12</v>
      </c>
      <c r="G107" s="3" t="str">
        <f t="shared" si="8"/>
        <v>06</v>
      </c>
      <c r="H107" t="str">
        <f t="shared" si="9"/>
        <v>06.12.1995</v>
      </c>
      <c r="I107" s="5">
        <v>41745</v>
      </c>
      <c r="J107" s="5">
        <f t="shared" si="10"/>
        <v>6706</v>
      </c>
      <c r="K107" s="6">
        <f t="shared" si="11"/>
        <v>18</v>
      </c>
    </row>
    <row r="108" spans="1:11" x14ac:dyDescent="0.25">
      <c r="A108" s="1" t="s">
        <v>215</v>
      </c>
      <c r="B108" s="1" t="s">
        <v>216</v>
      </c>
      <c r="C108">
        <v>5</v>
      </c>
      <c r="D108">
        <v>1133</v>
      </c>
      <c r="E108" s="1">
        <f t="shared" si="6"/>
        <v>1996</v>
      </c>
      <c r="F108" s="3" t="str">
        <f t="shared" si="7"/>
        <v>03</v>
      </c>
      <c r="G108" s="3" t="str">
        <f t="shared" si="8"/>
        <v>10</v>
      </c>
      <c r="H108" t="str">
        <f t="shared" si="9"/>
        <v>10.03.1996</v>
      </c>
      <c r="I108" s="5">
        <v>41746</v>
      </c>
      <c r="J108" s="5">
        <f t="shared" si="10"/>
        <v>6612</v>
      </c>
      <c r="K108" s="6">
        <f t="shared" si="11"/>
        <v>18</v>
      </c>
    </row>
    <row r="109" spans="1:11" x14ac:dyDescent="0.25">
      <c r="A109" s="1" t="s">
        <v>217</v>
      </c>
      <c r="B109" s="1" t="s">
        <v>218</v>
      </c>
      <c r="C109">
        <v>3</v>
      </c>
      <c r="D109">
        <v>1553</v>
      </c>
      <c r="E109" s="1">
        <f t="shared" si="6"/>
        <v>1996</v>
      </c>
      <c r="F109" s="3" t="str">
        <f t="shared" si="7"/>
        <v>09</v>
      </c>
      <c r="G109" s="3" t="str">
        <f t="shared" si="8"/>
        <v>08</v>
      </c>
      <c r="H109" t="str">
        <f t="shared" si="9"/>
        <v>08.09.1996</v>
      </c>
      <c r="I109" s="5">
        <v>41747</v>
      </c>
      <c r="J109" s="5">
        <f t="shared" si="10"/>
        <v>6431</v>
      </c>
      <c r="K109" s="6">
        <f t="shared" si="11"/>
        <v>17</v>
      </c>
    </row>
    <row r="110" spans="1:11" x14ac:dyDescent="0.25">
      <c r="A110" s="1" t="s">
        <v>219</v>
      </c>
      <c r="B110" s="1" t="s">
        <v>220</v>
      </c>
      <c r="C110">
        <v>5</v>
      </c>
      <c r="D110">
        <v>923</v>
      </c>
      <c r="E110" s="1">
        <f t="shared" si="6"/>
        <v>1997</v>
      </c>
      <c r="F110" s="3" t="str">
        <f t="shared" si="7"/>
        <v>10</v>
      </c>
      <c r="G110" s="3" t="str">
        <f t="shared" si="8"/>
        <v>16</v>
      </c>
      <c r="H110" t="str">
        <f t="shared" si="9"/>
        <v>16.10.1997</v>
      </c>
      <c r="I110" s="5">
        <v>41748</v>
      </c>
      <c r="J110" s="5">
        <f t="shared" si="10"/>
        <v>6029</v>
      </c>
      <c r="K110" s="6">
        <f t="shared" si="11"/>
        <v>16</v>
      </c>
    </row>
    <row r="111" spans="1:11" x14ac:dyDescent="0.25">
      <c r="A111" s="1" t="s">
        <v>221</v>
      </c>
      <c r="B111" s="1" t="s">
        <v>222</v>
      </c>
      <c r="C111">
        <v>2</v>
      </c>
      <c r="D111">
        <v>1857</v>
      </c>
      <c r="E111" s="1">
        <f t="shared" si="6"/>
        <v>1996</v>
      </c>
      <c r="F111" s="3" t="str">
        <f t="shared" si="7"/>
        <v>04</v>
      </c>
      <c r="G111" s="3" t="str">
        <f t="shared" si="8"/>
        <v>13</v>
      </c>
      <c r="H111" t="str">
        <f t="shared" si="9"/>
        <v>13.04.1996</v>
      </c>
      <c r="I111" s="5">
        <v>41749</v>
      </c>
      <c r="J111" s="5">
        <f t="shared" si="10"/>
        <v>6581</v>
      </c>
      <c r="K111" s="6">
        <f t="shared" si="11"/>
        <v>18</v>
      </c>
    </row>
    <row r="112" spans="1:11" x14ac:dyDescent="0.25">
      <c r="A112" s="1" t="s">
        <v>223</v>
      </c>
      <c r="B112" s="1" t="s">
        <v>224</v>
      </c>
      <c r="C112">
        <v>2</v>
      </c>
      <c r="D112">
        <v>1200</v>
      </c>
      <c r="E112" s="1">
        <f t="shared" si="6"/>
        <v>1994</v>
      </c>
      <c r="F112" s="3" t="str">
        <f t="shared" si="7"/>
        <v>07</v>
      </c>
      <c r="G112" s="3" t="str">
        <f t="shared" si="8"/>
        <v>13</v>
      </c>
      <c r="H112" t="str">
        <f t="shared" si="9"/>
        <v>13.07.1994</v>
      </c>
      <c r="I112" s="5">
        <v>41750</v>
      </c>
      <c r="J112" s="5">
        <f t="shared" si="10"/>
        <v>7222</v>
      </c>
      <c r="K112" s="6">
        <f t="shared" si="11"/>
        <v>19</v>
      </c>
    </row>
    <row r="113" spans="1:11" x14ac:dyDescent="0.25">
      <c r="A113" s="1" t="s">
        <v>225</v>
      </c>
      <c r="B113" s="1" t="s">
        <v>226</v>
      </c>
      <c r="C113">
        <v>4</v>
      </c>
      <c r="D113">
        <v>3259</v>
      </c>
      <c r="E113" s="1">
        <f t="shared" si="6"/>
        <v>1996</v>
      </c>
      <c r="F113" s="3" t="str">
        <f t="shared" si="7"/>
        <v>12</v>
      </c>
      <c r="G113" s="3" t="str">
        <f t="shared" si="8"/>
        <v>28</v>
      </c>
      <c r="H113" t="str">
        <f t="shared" si="9"/>
        <v>28.12.1996</v>
      </c>
      <c r="I113" s="5">
        <v>41751</v>
      </c>
      <c r="J113" s="5">
        <f t="shared" si="10"/>
        <v>6324</v>
      </c>
      <c r="K113" s="6">
        <f t="shared" si="11"/>
        <v>17</v>
      </c>
    </row>
    <row r="114" spans="1:11" x14ac:dyDescent="0.25">
      <c r="A114" s="1" t="s">
        <v>227</v>
      </c>
      <c r="B114" s="1" t="s">
        <v>228</v>
      </c>
      <c r="C114">
        <v>5</v>
      </c>
      <c r="D114">
        <v>996</v>
      </c>
      <c r="E114" s="1">
        <f t="shared" si="6"/>
        <v>1995</v>
      </c>
      <c r="F114" s="3" t="str">
        <f t="shared" si="7"/>
        <v>01</v>
      </c>
      <c r="G114" s="3" t="str">
        <f t="shared" si="8"/>
        <v>13</v>
      </c>
      <c r="H114" t="str">
        <f t="shared" si="9"/>
        <v>13.01.1995</v>
      </c>
      <c r="I114" s="5">
        <v>41752</v>
      </c>
      <c r="J114" s="5">
        <f t="shared" si="10"/>
        <v>7040</v>
      </c>
      <c r="K114" s="6">
        <f t="shared" si="11"/>
        <v>19</v>
      </c>
    </row>
    <row r="115" spans="1:11" x14ac:dyDescent="0.25">
      <c r="A115" s="1" t="s">
        <v>229</v>
      </c>
      <c r="B115" s="1" t="s">
        <v>230</v>
      </c>
      <c r="C115">
        <v>2</v>
      </c>
      <c r="D115">
        <v>2978</v>
      </c>
      <c r="E115" s="1">
        <f t="shared" si="6"/>
        <v>1997</v>
      </c>
      <c r="F115" s="3" t="str">
        <f t="shared" si="7"/>
        <v>02</v>
      </c>
      <c r="G115" s="3" t="str">
        <f t="shared" si="8"/>
        <v>24</v>
      </c>
      <c r="H115" t="str">
        <f t="shared" si="9"/>
        <v>24.02.1997</v>
      </c>
      <c r="I115" s="5">
        <v>41753</v>
      </c>
      <c r="J115" s="5">
        <f t="shared" si="10"/>
        <v>6268</v>
      </c>
      <c r="K115" s="6">
        <f t="shared" si="11"/>
        <v>17</v>
      </c>
    </row>
    <row r="116" spans="1:11" x14ac:dyDescent="0.25">
      <c r="A116" s="1" t="s">
        <v>231</v>
      </c>
      <c r="B116" s="1" t="s">
        <v>232</v>
      </c>
      <c r="C116">
        <v>6</v>
      </c>
      <c r="D116">
        <v>2980</v>
      </c>
      <c r="E116" s="1">
        <f t="shared" si="6"/>
        <v>1996</v>
      </c>
      <c r="F116" s="3" t="str">
        <f t="shared" si="7"/>
        <v>04</v>
      </c>
      <c r="G116" s="3" t="str">
        <f t="shared" si="8"/>
        <v>24</v>
      </c>
      <c r="H116" t="str">
        <f t="shared" si="9"/>
        <v>24.04.1996</v>
      </c>
      <c r="I116" s="5">
        <v>41754</v>
      </c>
      <c r="J116" s="5">
        <f t="shared" si="10"/>
        <v>6575</v>
      </c>
      <c r="K116" s="6">
        <f t="shared" si="11"/>
        <v>17</v>
      </c>
    </row>
    <row r="117" spans="1:11" x14ac:dyDescent="0.25">
      <c r="A117" s="1" t="s">
        <v>233</v>
      </c>
      <c r="B117" s="1" t="s">
        <v>234</v>
      </c>
      <c r="C117">
        <v>5</v>
      </c>
      <c r="D117">
        <v>1166</v>
      </c>
      <c r="E117" s="1">
        <f t="shared" si="6"/>
        <v>1997</v>
      </c>
      <c r="F117" s="3" t="str">
        <f t="shared" si="7"/>
        <v>03</v>
      </c>
      <c r="G117" s="3" t="str">
        <f t="shared" si="8"/>
        <v>17</v>
      </c>
      <c r="H117" t="str">
        <f t="shared" si="9"/>
        <v>17.03.1997</v>
      </c>
      <c r="I117" s="5">
        <v>41755</v>
      </c>
      <c r="J117" s="5">
        <f t="shared" si="10"/>
        <v>6249</v>
      </c>
      <c r="K117" s="6">
        <f t="shared" si="11"/>
        <v>17</v>
      </c>
    </row>
    <row r="118" spans="1:11" x14ac:dyDescent="0.25">
      <c r="A118" s="1" t="s">
        <v>235</v>
      </c>
      <c r="B118" s="1" t="s">
        <v>236</v>
      </c>
      <c r="C118">
        <v>2</v>
      </c>
      <c r="D118">
        <v>2901</v>
      </c>
      <c r="E118" s="1">
        <f t="shared" si="6"/>
        <v>1996</v>
      </c>
      <c r="F118" s="3" t="str">
        <f t="shared" si="7"/>
        <v>08</v>
      </c>
      <c r="G118" s="3" t="str">
        <f t="shared" si="8"/>
        <v>06</v>
      </c>
      <c r="H118" t="str">
        <f t="shared" si="9"/>
        <v>06.08.1996</v>
      </c>
      <c r="I118" s="5">
        <v>41756</v>
      </c>
      <c r="J118" s="5">
        <f t="shared" si="10"/>
        <v>6473</v>
      </c>
      <c r="K118" s="6">
        <f t="shared" si="11"/>
        <v>17</v>
      </c>
    </row>
    <row r="119" spans="1:11" x14ac:dyDescent="0.25">
      <c r="A119" s="1" t="s">
        <v>237</v>
      </c>
      <c r="B119" s="1" t="s">
        <v>238</v>
      </c>
      <c r="C119">
        <v>3</v>
      </c>
      <c r="D119">
        <v>900</v>
      </c>
      <c r="E119" s="1">
        <f t="shared" si="6"/>
        <v>1995</v>
      </c>
      <c r="F119" s="3" t="str">
        <f t="shared" si="7"/>
        <v>12</v>
      </c>
      <c r="G119" s="3" t="str">
        <f t="shared" si="8"/>
        <v>20</v>
      </c>
      <c r="H119" t="str">
        <f t="shared" si="9"/>
        <v>20.12.1995</v>
      </c>
      <c r="I119" s="5">
        <v>41757</v>
      </c>
      <c r="J119" s="5">
        <f t="shared" si="10"/>
        <v>6704</v>
      </c>
      <c r="K119" s="6">
        <f t="shared" si="11"/>
        <v>18</v>
      </c>
    </row>
    <row r="120" spans="1:11" x14ac:dyDescent="0.25">
      <c r="A120" s="1" t="s">
        <v>239</v>
      </c>
      <c r="B120" s="1" t="s">
        <v>240</v>
      </c>
      <c r="C120">
        <v>6</v>
      </c>
      <c r="D120">
        <v>2003</v>
      </c>
      <c r="E120" s="1">
        <f t="shared" si="6"/>
        <v>1996</v>
      </c>
      <c r="F120" s="3" t="str">
        <f t="shared" si="7"/>
        <v>08</v>
      </c>
      <c r="G120" s="3" t="str">
        <f t="shared" si="8"/>
        <v>20</v>
      </c>
      <c r="H120" t="str">
        <f t="shared" si="9"/>
        <v>20.08.1996</v>
      </c>
      <c r="I120" s="5">
        <v>41758</v>
      </c>
      <c r="J120" s="5">
        <f t="shared" si="10"/>
        <v>6461</v>
      </c>
      <c r="K120" s="6">
        <f t="shared" si="11"/>
        <v>17</v>
      </c>
    </row>
    <row r="121" spans="1:11" x14ac:dyDescent="0.25">
      <c r="A121" s="1" t="s">
        <v>241</v>
      </c>
      <c r="B121" s="1" t="s">
        <v>242</v>
      </c>
      <c r="C121">
        <v>4</v>
      </c>
      <c r="D121">
        <v>2120</v>
      </c>
      <c r="E121" s="1">
        <f t="shared" si="6"/>
        <v>1997</v>
      </c>
      <c r="F121" s="3" t="str">
        <f t="shared" si="7"/>
        <v>07</v>
      </c>
      <c r="G121" s="3" t="str">
        <f t="shared" si="8"/>
        <v>12</v>
      </c>
      <c r="H121" t="str">
        <f t="shared" si="9"/>
        <v>12.07.1997</v>
      </c>
      <c r="I121" s="5">
        <v>41759</v>
      </c>
      <c r="J121" s="5">
        <f t="shared" si="10"/>
        <v>6136</v>
      </c>
      <c r="K121" s="6">
        <f t="shared" si="11"/>
        <v>16</v>
      </c>
    </row>
    <row r="122" spans="1:11" x14ac:dyDescent="0.25">
      <c r="A122" s="1" t="s">
        <v>243</v>
      </c>
      <c r="B122" s="1" t="s">
        <v>244</v>
      </c>
      <c r="C122">
        <v>5</v>
      </c>
      <c r="D122">
        <v>1114</v>
      </c>
      <c r="E122" s="1">
        <f t="shared" si="6"/>
        <v>1997</v>
      </c>
      <c r="F122" s="3" t="str">
        <f t="shared" si="7"/>
        <v>05</v>
      </c>
      <c r="G122" s="3" t="str">
        <f t="shared" si="8"/>
        <v>05</v>
      </c>
      <c r="H122" t="str">
        <f t="shared" si="9"/>
        <v>05.05.1997</v>
      </c>
      <c r="I122" s="5">
        <v>41760</v>
      </c>
      <c r="J122" s="5">
        <f t="shared" si="10"/>
        <v>6205</v>
      </c>
      <c r="K122" s="6">
        <f t="shared" si="11"/>
        <v>16</v>
      </c>
    </row>
    <row r="123" spans="1:11" x14ac:dyDescent="0.25">
      <c r="A123" s="1" t="s">
        <v>245</v>
      </c>
      <c r="B123" s="1" t="s">
        <v>246</v>
      </c>
      <c r="C123">
        <v>6</v>
      </c>
      <c r="D123">
        <v>1902</v>
      </c>
      <c r="E123" s="1">
        <f t="shared" si="6"/>
        <v>1996</v>
      </c>
      <c r="F123" s="3" t="str">
        <f t="shared" si="7"/>
        <v>09</v>
      </c>
      <c r="G123" s="3" t="str">
        <f t="shared" si="8"/>
        <v>03</v>
      </c>
      <c r="H123" t="str">
        <f t="shared" si="9"/>
        <v>03.09.1996</v>
      </c>
      <c r="I123" s="5">
        <v>41761</v>
      </c>
      <c r="J123" s="5">
        <f t="shared" si="10"/>
        <v>6450</v>
      </c>
      <c r="K123" s="6">
        <f t="shared" si="11"/>
        <v>17</v>
      </c>
    </row>
    <row r="124" spans="1:11" x14ac:dyDescent="0.25">
      <c r="A124" s="1" t="s">
        <v>247</v>
      </c>
      <c r="B124" s="1" t="s">
        <v>248</v>
      </c>
      <c r="C124">
        <v>2</v>
      </c>
      <c r="D124">
        <v>2795</v>
      </c>
      <c r="E124" s="1">
        <f t="shared" si="6"/>
        <v>1997</v>
      </c>
      <c r="F124" s="3" t="str">
        <f t="shared" si="7"/>
        <v>02</v>
      </c>
      <c r="G124" s="3" t="str">
        <f t="shared" si="8"/>
        <v>11</v>
      </c>
      <c r="H124" t="str">
        <f t="shared" si="9"/>
        <v>11.02.1997</v>
      </c>
      <c r="I124" s="5">
        <v>41762</v>
      </c>
      <c r="J124" s="5">
        <f t="shared" si="10"/>
        <v>6290</v>
      </c>
      <c r="K124" s="6">
        <f t="shared" si="11"/>
        <v>17</v>
      </c>
    </row>
    <row r="125" spans="1:11" x14ac:dyDescent="0.25">
      <c r="A125" s="1" t="s">
        <v>249</v>
      </c>
      <c r="B125" s="1" t="s">
        <v>250</v>
      </c>
      <c r="C125">
        <v>5</v>
      </c>
      <c r="D125">
        <v>3998</v>
      </c>
      <c r="E125" s="1">
        <f t="shared" si="6"/>
        <v>1995</v>
      </c>
      <c r="F125" s="3" t="str">
        <f t="shared" si="7"/>
        <v>08</v>
      </c>
      <c r="G125" s="3" t="str">
        <f t="shared" si="8"/>
        <v>20</v>
      </c>
      <c r="H125" t="str">
        <f t="shared" si="9"/>
        <v>20.08.1995</v>
      </c>
      <c r="I125" s="5">
        <v>41763</v>
      </c>
      <c r="J125" s="5">
        <f t="shared" si="10"/>
        <v>6832</v>
      </c>
      <c r="K125" s="6">
        <f t="shared" si="11"/>
        <v>18</v>
      </c>
    </row>
    <row r="126" spans="1:11" x14ac:dyDescent="0.25">
      <c r="A126" s="1" t="s">
        <v>251</v>
      </c>
      <c r="B126" s="1" t="s">
        <v>252</v>
      </c>
      <c r="C126">
        <v>5</v>
      </c>
      <c r="D126">
        <v>2875</v>
      </c>
      <c r="E126" s="1">
        <f t="shared" si="6"/>
        <v>1994</v>
      </c>
      <c r="F126" s="3" t="str">
        <f t="shared" si="7"/>
        <v>04</v>
      </c>
      <c r="G126" s="3" t="str">
        <f t="shared" si="8"/>
        <v>20</v>
      </c>
      <c r="H126" t="str">
        <f t="shared" si="9"/>
        <v>20.04.1994</v>
      </c>
      <c r="I126" s="5">
        <v>41764</v>
      </c>
      <c r="J126" s="5">
        <f t="shared" si="10"/>
        <v>7320</v>
      </c>
      <c r="K126" s="6">
        <f t="shared" si="11"/>
        <v>20</v>
      </c>
    </row>
    <row r="127" spans="1:11" x14ac:dyDescent="0.25">
      <c r="A127" s="1" t="s">
        <v>253</v>
      </c>
      <c r="B127" s="1" t="s">
        <v>254</v>
      </c>
      <c r="C127">
        <v>3</v>
      </c>
      <c r="D127">
        <v>1173</v>
      </c>
      <c r="E127" s="1">
        <f t="shared" si="6"/>
        <v>1995</v>
      </c>
      <c r="F127" s="3" t="str">
        <f t="shared" si="7"/>
        <v>01</v>
      </c>
      <c r="G127" s="3" t="str">
        <f t="shared" si="8"/>
        <v>23</v>
      </c>
      <c r="H127" t="str">
        <f t="shared" si="9"/>
        <v>23.01.1995</v>
      </c>
      <c r="I127" s="5">
        <v>41765</v>
      </c>
      <c r="J127" s="5">
        <f t="shared" si="10"/>
        <v>7043</v>
      </c>
      <c r="K127" s="6">
        <f t="shared" si="11"/>
        <v>19</v>
      </c>
    </row>
    <row r="128" spans="1:11" x14ac:dyDescent="0.25">
      <c r="A128" s="1" t="s">
        <v>255</v>
      </c>
      <c r="B128" s="1" t="s">
        <v>256</v>
      </c>
      <c r="C128">
        <v>5</v>
      </c>
      <c r="D128">
        <v>988</v>
      </c>
      <c r="E128" s="1">
        <f t="shared" si="6"/>
        <v>1995</v>
      </c>
      <c r="F128" s="3" t="str">
        <f t="shared" si="7"/>
        <v>04</v>
      </c>
      <c r="G128" s="3" t="str">
        <f t="shared" si="8"/>
        <v>17</v>
      </c>
      <c r="H128" t="str">
        <f t="shared" si="9"/>
        <v>17.04.1995</v>
      </c>
      <c r="I128" s="5">
        <v>41766</v>
      </c>
      <c r="J128" s="5">
        <f t="shared" si="10"/>
        <v>6960</v>
      </c>
      <c r="K128" s="6">
        <f t="shared" si="11"/>
        <v>19</v>
      </c>
    </row>
    <row r="129" spans="1:11" x14ac:dyDescent="0.25">
      <c r="A129" s="1" t="s">
        <v>257</v>
      </c>
      <c r="B129" s="1" t="s">
        <v>258</v>
      </c>
      <c r="C129">
        <v>2</v>
      </c>
      <c r="D129">
        <v>2317</v>
      </c>
      <c r="E129" s="1">
        <f t="shared" si="6"/>
        <v>1995</v>
      </c>
      <c r="F129" s="3" t="str">
        <f t="shared" si="7"/>
        <v>01</v>
      </c>
      <c r="G129" s="3" t="str">
        <f t="shared" si="8"/>
        <v>26</v>
      </c>
      <c r="H129" t="str">
        <f t="shared" si="9"/>
        <v>26.01.1995</v>
      </c>
      <c r="I129" s="5">
        <v>41767</v>
      </c>
      <c r="J129" s="5">
        <f t="shared" si="10"/>
        <v>7042</v>
      </c>
      <c r="K129" s="6">
        <f t="shared" si="11"/>
        <v>19</v>
      </c>
    </row>
    <row r="130" spans="1:11" x14ac:dyDescent="0.25">
      <c r="A130" s="1" t="s">
        <v>259</v>
      </c>
      <c r="B130" s="1" t="s">
        <v>260</v>
      </c>
      <c r="C130">
        <v>5</v>
      </c>
      <c r="D130">
        <v>1996</v>
      </c>
      <c r="E130" s="1">
        <f t="shared" si="6"/>
        <v>1997</v>
      </c>
      <c r="F130" s="3" t="str">
        <f t="shared" si="7"/>
        <v>08</v>
      </c>
      <c r="G130" s="3" t="str">
        <f t="shared" si="8"/>
        <v>23</v>
      </c>
      <c r="H130" t="str">
        <f t="shared" si="9"/>
        <v>23.08.1997</v>
      </c>
      <c r="I130" s="5">
        <v>41768</v>
      </c>
      <c r="J130" s="5">
        <f t="shared" si="10"/>
        <v>6103</v>
      </c>
      <c r="K130" s="6">
        <f t="shared" si="11"/>
        <v>16</v>
      </c>
    </row>
    <row r="131" spans="1:11" x14ac:dyDescent="0.25">
      <c r="A131" s="1" t="s">
        <v>261</v>
      </c>
      <c r="B131" s="1" t="s">
        <v>262</v>
      </c>
      <c r="C131">
        <v>2</v>
      </c>
      <c r="D131">
        <v>1653</v>
      </c>
      <c r="E131" s="1">
        <f t="shared" ref="E131:E194" si="12">1900+1*LEFT(B131,2)</f>
        <v>1995</v>
      </c>
      <c r="F131" s="3" t="str">
        <f t="shared" ref="F131:F194" si="13">MID(B131,3,2)</f>
        <v>10</v>
      </c>
      <c r="G131" s="3" t="str">
        <f t="shared" ref="G131:G194" si="14">MID(B131,5,2)</f>
        <v>31</v>
      </c>
      <c r="H131" t="str">
        <f t="shared" ref="H131:H194" si="15">CONCATENATE(G131,".",F131,".",E131)</f>
        <v>31.10.1995</v>
      </c>
      <c r="I131" s="5">
        <v>41769</v>
      </c>
      <c r="J131" s="5">
        <f t="shared" ref="J131:J194" si="16">I131-H131</f>
        <v>6766</v>
      </c>
      <c r="K131" s="6">
        <f t="shared" ref="K131:K194" si="17">YEAR(J131)-1900</f>
        <v>18</v>
      </c>
    </row>
    <row r="132" spans="1:11" x14ac:dyDescent="0.25">
      <c r="A132" s="1" t="s">
        <v>263</v>
      </c>
      <c r="B132" s="1" t="s">
        <v>264</v>
      </c>
      <c r="C132">
        <v>3</v>
      </c>
      <c r="D132">
        <v>944</v>
      </c>
      <c r="E132" s="1">
        <f t="shared" si="12"/>
        <v>1995</v>
      </c>
      <c r="F132" s="3" t="str">
        <f t="shared" si="13"/>
        <v>12</v>
      </c>
      <c r="G132" s="3" t="str">
        <f t="shared" si="14"/>
        <v>22</v>
      </c>
      <c r="H132" t="str">
        <f t="shared" si="15"/>
        <v>22.12.1995</v>
      </c>
      <c r="I132" s="5">
        <v>41770</v>
      </c>
      <c r="J132" s="5">
        <f t="shared" si="16"/>
        <v>6715</v>
      </c>
      <c r="K132" s="6">
        <f t="shared" si="17"/>
        <v>18</v>
      </c>
    </row>
    <row r="133" spans="1:11" x14ac:dyDescent="0.25">
      <c r="A133" s="1" t="s">
        <v>265</v>
      </c>
      <c r="B133" s="1" t="s">
        <v>266</v>
      </c>
      <c r="C133">
        <v>5</v>
      </c>
      <c r="D133">
        <v>1614</v>
      </c>
      <c r="E133" s="1">
        <f t="shared" si="12"/>
        <v>1997</v>
      </c>
      <c r="F133" s="3" t="str">
        <f t="shared" si="13"/>
        <v>05</v>
      </c>
      <c r="G133" s="3" t="str">
        <f t="shared" si="14"/>
        <v>17</v>
      </c>
      <c r="H133" t="str">
        <f t="shared" si="15"/>
        <v>17.05.1997</v>
      </c>
      <c r="I133" s="5">
        <v>41771</v>
      </c>
      <c r="J133" s="5">
        <f t="shared" si="16"/>
        <v>6204</v>
      </c>
      <c r="K133" s="6">
        <f t="shared" si="17"/>
        <v>16</v>
      </c>
    </row>
    <row r="134" spans="1:11" x14ac:dyDescent="0.25">
      <c r="A134" s="1" t="s">
        <v>267</v>
      </c>
      <c r="B134" s="1" t="s">
        <v>268</v>
      </c>
      <c r="C134">
        <v>3</v>
      </c>
      <c r="D134">
        <v>1641</v>
      </c>
      <c r="E134" s="1">
        <f t="shared" si="12"/>
        <v>1996</v>
      </c>
      <c r="F134" s="3" t="str">
        <f t="shared" si="13"/>
        <v>11</v>
      </c>
      <c r="G134" s="3" t="str">
        <f t="shared" si="14"/>
        <v>12</v>
      </c>
      <c r="H134" t="str">
        <f t="shared" si="15"/>
        <v>12.11.1996</v>
      </c>
      <c r="I134" s="5">
        <v>41772</v>
      </c>
      <c r="J134" s="5">
        <f t="shared" si="16"/>
        <v>6391</v>
      </c>
      <c r="K134" s="6">
        <f t="shared" si="17"/>
        <v>17</v>
      </c>
    </row>
    <row r="135" spans="1:11" x14ac:dyDescent="0.25">
      <c r="A135" s="1" t="s">
        <v>269</v>
      </c>
      <c r="B135" s="1" t="s">
        <v>270</v>
      </c>
      <c r="C135">
        <v>3</v>
      </c>
      <c r="D135">
        <v>3100</v>
      </c>
      <c r="E135" s="1">
        <f t="shared" si="12"/>
        <v>1996</v>
      </c>
      <c r="F135" s="3" t="str">
        <f t="shared" si="13"/>
        <v>05</v>
      </c>
      <c r="G135" s="3" t="str">
        <f t="shared" si="14"/>
        <v>06</v>
      </c>
      <c r="H135" t="str">
        <f t="shared" si="15"/>
        <v>06.05.1996</v>
      </c>
      <c r="I135" s="5">
        <v>41773</v>
      </c>
      <c r="J135" s="5">
        <f t="shared" si="16"/>
        <v>6582</v>
      </c>
      <c r="K135" s="6">
        <f t="shared" si="17"/>
        <v>18</v>
      </c>
    </row>
    <row r="136" spans="1:11" x14ac:dyDescent="0.25">
      <c r="A136" s="1" t="s">
        <v>271</v>
      </c>
      <c r="B136" s="1" t="s">
        <v>272</v>
      </c>
      <c r="C136">
        <v>4</v>
      </c>
      <c r="D136">
        <v>2922</v>
      </c>
      <c r="E136" s="1">
        <f t="shared" si="12"/>
        <v>1997</v>
      </c>
      <c r="F136" s="3" t="str">
        <f t="shared" si="13"/>
        <v>10</v>
      </c>
      <c r="G136" s="3" t="str">
        <f t="shared" si="14"/>
        <v>08</v>
      </c>
      <c r="H136" t="str">
        <f t="shared" si="15"/>
        <v>08.10.1997</v>
      </c>
      <c r="I136" s="5">
        <v>41774</v>
      </c>
      <c r="J136" s="5">
        <f t="shared" si="16"/>
        <v>6063</v>
      </c>
      <c r="K136" s="6">
        <f t="shared" si="17"/>
        <v>16</v>
      </c>
    </row>
    <row r="137" spans="1:11" x14ac:dyDescent="0.25">
      <c r="A137" s="1" t="s">
        <v>273</v>
      </c>
      <c r="B137" s="1" t="s">
        <v>274</v>
      </c>
      <c r="C137">
        <v>6</v>
      </c>
      <c r="D137">
        <v>3635</v>
      </c>
      <c r="E137" s="1">
        <f t="shared" si="12"/>
        <v>1996</v>
      </c>
      <c r="F137" s="3" t="str">
        <f t="shared" si="13"/>
        <v>07</v>
      </c>
      <c r="G137" s="3" t="str">
        <f t="shared" si="14"/>
        <v>09</v>
      </c>
      <c r="H137" t="str">
        <f t="shared" si="15"/>
        <v>09.07.1996</v>
      </c>
      <c r="I137" s="5">
        <v>41775</v>
      </c>
      <c r="J137" s="5">
        <f t="shared" si="16"/>
        <v>6520</v>
      </c>
      <c r="K137" s="6">
        <f t="shared" si="17"/>
        <v>17</v>
      </c>
    </row>
    <row r="138" spans="1:11" x14ac:dyDescent="0.25">
      <c r="A138" s="1" t="s">
        <v>275</v>
      </c>
      <c r="B138" s="1" t="s">
        <v>276</v>
      </c>
      <c r="C138">
        <v>2</v>
      </c>
      <c r="D138">
        <v>3716</v>
      </c>
      <c r="E138" s="1">
        <f t="shared" si="12"/>
        <v>1998</v>
      </c>
      <c r="F138" s="3" t="str">
        <f t="shared" si="13"/>
        <v>12</v>
      </c>
      <c r="G138" s="3" t="str">
        <f t="shared" si="14"/>
        <v>26</v>
      </c>
      <c r="H138" t="str">
        <f t="shared" si="15"/>
        <v>26.12.1998</v>
      </c>
      <c r="I138" s="5">
        <v>41776</v>
      </c>
      <c r="J138" s="5">
        <f t="shared" si="16"/>
        <v>5621</v>
      </c>
      <c r="K138" s="6">
        <f t="shared" si="17"/>
        <v>15</v>
      </c>
    </row>
    <row r="139" spans="1:11" x14ac:dyDescent="0.25">
      <c r="A139" s="1" t="s">
        <v>277</v>
      </c>
      <c r="B139" s="1" t="s">
        <v>278</v>
      </c>
      <c r="C139">
        <v>6</v>
      </c>
      <c r="D139">
        <v>2287</v>
      </c>
      <c r="E139" s="1">
        <f t="shared" si="12"/>
        <v>1997</v>
      </c>
      <c r="F139" s="3" t="str">
        <f t="shared" si="13"/>
        <v>05</v>
      </c>
      <c r="G139" s="3" t="str">
        <f t="shared" si="14"/>
        <v>05</v>
      </c>
      <c r="H139" t="str">
        <f t="shared" si="15"/>
        <v>05.05.1997</v>
      </c>
      <c r="I139" s="5">
        <v>41777</v>
      </c>
      <c r="J139" s="5">
        <f t="shared" si="16"/>
        <v>6222</v>
      </c>
      <c r="K139" s="6">
        <f t="shared" si="17"/>
        <v>17</v>
      </c>
    </row>
    <row r="140" spans="1:11" x14ac:dyDescent="0.25">
      <c r="A140" s="1" t="s">
        <v>279</v>
      </c>
      <c r="B140" s="1" t="s">
        <v>280</v>
      </c>
      <c r="C140">
        <v>3</v>
      </c>
      <c r="D140">
        <v>1201</v>
      </c>
      <c r="E140" s="1">
        <f t="shared" si="12"/>
        <v>1998</v>
      </c>
      <c r="F140" s="3" t="str">
        <f t="shared" si="13"/>
        <v>03</v>
      </c>
      <c r="G140" s="3" t="str">
        <f t="shared" si="14"/>
        <v>12</v>
      </c>
      <c r="H140" t="str">
        <f t="shared" si="15"/>
        <v>12.03.1998</v>
      </c>
      <c r="I140" s="5">
        <v>41778</v>
      </c>
      <c r="J140" s="5">
        <f t="shared" si="16"/>
        <v>5912</v>
      </c>
      <c r="K140" s="6">
        <f t="shared" si="17"/>
        <v>16</v>
      </c>
    </row>
    <row r="141" spans="1:11" x14ac:dyDescent="0.25">
      <c r="A141" s="1" t="s">
        <v>281</v>
      </c>
      <c r="B141" s="1" t="s">
        <v>282</v>
      </c>
      <c r="C141">
        <v>3</v>
      </c>
      <c r="D141">
        <v>723</v>
      </c>
      <c r="E141" s="1">
        <f t="shared" si="12"/>
        <v>1996</v>
      </c>
      <c r="F141" s="3" t="str">
        <f t="shared" si="13"/>
        <v>06</v>
      </c>
      <c r="G141" s="3" t="str">
        <f t="shared" si="14"/>
        <v>20</v>
      </c>
      <c r="H141" t="str">
        <f t="shared" si="15"/>
        <v>20.06.1996</v>
      </c>
      <c r="I141" s="5">
        <v>41779</v>
      </c>
      <c r="J141" s="5">
        <f t="shared" si="16"/>
        <v>6543</v>
      </c>
      <c r="K141" s="6">
        <f t="shared" si="17"/>
        <v>17</v>
      </c>
    </row>
    <row r="142" spans="1:11" x14ac:dyDescent="0.25">
      <c r="A142" s="1" t="s">
        <v>283</v>
      </c>
      <c r="B142" s="1" t="s">
        <v>284</v>
      </c>
      <c r="C142">
        <v>2</v>
      </c>
      <c r="D142">
        <v>795</v>
      </c>
      <c r="E142" s="1">
        <f t="shared" si="12"/>
        <v>1996</v>
      </c>
      <c r="F142" s="3" t="str">
        <f t="shared" si="13"/>
        <v>04</v>
      </c>
      <c r="G142" s="3" t="str">
        <f t="shared" si="14"/>
        <v>23</v>
      </c>
      <c r="H142" t="str">
        <f t="shared" si="15"/>
        <v>23.04.1996</v>
      </c>
      <c r="I142" s="5">
        <v>41780</v>
      </c>
      <c r="J142" s="5">
        <f t="shared" si="16"/>
        <v>6602</v>
      </c>
      <c r="K142" s="6">
        <f t="shared" si="17"/>
        <v>18</v>
      </c>
    </row>
    <row r="143" spans="1:11" x14ac:dyDescent="0.25">
      <c r="A143" s="1" t="s">
        <v>285</v>
      </c>
      <c r="B143" s="1" t="s">
        <v>286</v>
      </c>
      <c r="C143">
        <v>5</v>
      </c>
      <c r="D143">
        <v>3673</v>
      </c>
      <c r="E143" s="1">
        <f t="shared" si="12"/>
        <v>1997</v>
      </c>
      <c r="F143" s="3" t="str">
        <f t="shared" si="13"/>
        <v>01</v>
      </c>
      <c r="G143" s="3" t="str">
        <f t="shared" si="14"/>
        <v>18</v>
      </c>
      <c r="H143" t="str">
        <f t="shared" si="15"/>
        <v>18.01.1997</v>
      </c>
      <c r="I143" s="5">
        <v>41781</v>
      </c>
      <c r="J143" s="5">
        <f t="shared" si="16"/>
        <v>6333</v>
      </c>
      <c r="K143" s="6">
        <f t="shared" si="17"/>
        <v>17</v>
      </c>
    </row>
    <row r="144" spans="1:11" x14ac:dyDescent="0.25">
      <c r="A144" s="1" t="s">
        <v>287</v>
      </c>
      <c r="B144" s="1" t="s">
        <v>288</v>
      </c>
      <c r="C144">
        <v>2</v>
      </c>
      <c r="D144">
        <v>4320</v>
      </c>
      <c r="E144" s="1">
        <f t="shared" si="12"/>
        <v>1997</v>
      </c>
      <c r="F144" s="3" t="str">
        <f t="shared" si="13"/>
        <v>02</v>
      </c>
      <c r="G144" s="3" t="str">
        <f t="shared" si="14"/>
        <v>01</v>
      </c>
      <c r="H144" t="str">
        <f t="shared" si="15"/>
        <v>01.02.1997</v>
      </c>
      <c r="I144" s="5">
        <v>41782</v>
      </c>
      <c r="J144" s="5">
        <f t="shared" si="16"/>
        <v>6320</v>
      </c>
      <c r="K144" s="6">
        <f t="shared" si="17"/>
        <v>17</v>
      </c>
    </row>
    <row r="145" spans="1:11" x14ac:dyDescent="0.25">
      <c r="A145" s="1" t="s">
        <v>289</v>
      </c>
      <c r="B145" s="1" t="s">
        <v>290</v>
      </c>
      <c r="C145">
        <v>3</v>
      </c>
      <c r="D145">
        <v>2575</v>
      </c>
      <c r="E145" s="1">
        <f t="shared" si="12"/>
        <v>1995</v>
      </c>
      <c r="F145" s="3" t="str">
        <f t="shared" si="13"/>
        <v>04</v>
      </c>
      <c r="G145" s="3" t="str">
        <f t="shared" si="14"/>
        <v>14</v>
      </c>
      <c r="H145" t="str">
        <f t="shared" si="15"/>
        <v>14.04.1995</v>
      </c>
      <c r="I145" s="5">
        <v>41783</v>
      </c>
      <c r="J145" s="5">
        <f t="shared" si="16"/>
        <v>6980</v>
      </c>
      <c r="K145" s="6">
        <f t="shared" si="17"/>
        <v>19</v>
      </c>
    </row>
    <row r="146" spans="1:11" x14ac:dyDescent="0.25">
      <c r="A146" s="1" t="s">
        <v>291</v>
      </c>
      <c r="B146" s="1" t="s">
        <v>292</v>
      </c>
      <c r="C146">
        <v>6</v>
      </c>
      <c r="D146">
        <v>2079</v>
      </c>
      <c r="E146" s="1">
        <f t="shared" si="12"/>
        <v>1996</v>
      </c>
      <c r="F146" s="3" t="str">
        <f t="shared" si="13"/>
        <v>02</v>
      </c>
      <c r="G146" s="3" t="str">
        <f t="shared" si="14"/>
        <v>04</v>
      </c>
      <c r="H146" t="str">
        <f t="shared" si="15"/>
        <v>04.02.1996</v>
      </c>
      <c r="I146" s="5">
        <v>41784</v>
      </c>
      <c r="J146" s="5">
        <f t="shared" si="16"/>
        <v>6685</v>
      </c>
      <c r="K146" s="6">
        <f t="shared" si="17"/>
        <v>18</v>
      </c>
    </row>
    <row r="147" spans="1:11" x14ac:dyDescent="0.25">
      <c r="A147" s="1" t="s">
        <v>293</v>
      </c>
      <c r="B147" s="1" t="s">
        <v>294</v>
      </c>
      <c r="C147">
        <v>6</v>
      </c>
      <c r="D147">
        <v>1120</v>
      </c>
      <c r="E147" s="1">
        <f t="shared" si="12"/>
        <v>1996</v>
      </c>
      <c r="F147" s="3" t="str">
        <f t="shared" si="13"/>
        <v>09</v>
      </c>
      <c r="G147" s="3" t="str">
        <f t="shared" si="14"/>
        <v>07</v>
      </c>
      <c r="H147" t="str">
        <f t="shared" si="15"/>
        <v>07.09.1996</v>
      </c>
      <c r="I147" s="5">
        <v>41785</v>
      </c>
      <c r="J147" s="5">
        <f t="shared" si="16"/>
        <v>6470</v>
      </c>
      <c r="K147" s="6">
        <f t="shared" si="17"/>
        <v>17</v>
      </c>
    </row>
    <row r="148" spans="1:11" x14ac:dyDescent="0.25">
      <c r="A148" s="1" t="s">
        <v>295</v>
      </c>
      <c r="B148" s="1" t="s">
        <v>296</v>
      </c>
      <c r="C148">
        <v>5</v>
      </c>
      <c r="D148">
        <v>3463</v>
      </c>
      <c r="E148" s="1">
        <f t="shared" si="12"/>
        <v>1994</v>
      </c>
      <c r="F148" s="3" t="str">
        <f t="shared" si="13"/>
        <v>07</v>
      </c>
      <c r="G148" s="3" t="str">
        <f t="shared" si="14"/>
        <v>31</v>
      </c>
      <c r="H148" t="str">
        <f t="shared" si="15"/>
        <v>31.07.1994</v>
      </c>
      <c r="I148" s="5">
        <v>41786</v>
      </c>
      <c r="J148" s="5">
        <f t="shared" si="16"/>
        <v>7240</v>
      </c>
      <c r="K148" s="6">
        <f t="shared" si="17"/>
        <v>19</v>
      </c>
    </row>
    <row r="149" spans="1:11" x14ac:dyDescent="0.25">
      <c r="A149" s="1" t="s">
        <v>297</v>
      </c>
      <c r="B149" s="1" t="s">
        <v>298</v>
      </c>
      <c r="C149">
        <v>6</v>
      </c>
      <c r="D149">
        <v>2723</v>
      </c>
      <c r="E149" s="1">
        <f t="shared" si="12"/>
        <v>1996</v>
      </c>
      <c r="F149" s="3" t="str">
        <f t="shared" si="13"/>
        <v>06</v>
      </c>
      <c r="G149" s="3" t="str">
        <f t="shared" si="14"/>
        <v>10</v>
      </c>
      <c r="H149" t="str">
        <f t="shared" si="15"/>
        <v>10.06.1996</v>
      </c>
      <c r="I149" s="5">
        <v>41787</v>
      </c>
      <c r="J149" s="5">
        <f t="shared" si="16"/>
        <v>6561</v>
      </c>
      <c r="K149" s="6">
        <f t="shared" si="17"/>
        <v>17</v>
      </c>
    </row>
    <row r="150" spans="1:11" x14ac:dyDescent="0.25">
      <c r="A150" s="1" t="s">
        <v>299</v>
      </c>
      <c r="B150" s="1" t="s">
        <v>300</v>
      </c>
      <c r="C150">
        <v>6</v>
      </c>
      <c r="D150">
        <v>1193</v>
      </c>
      <c r="E150" s="1">
        <f t="shared" si="12"/>
        <v>1996</v>
      </c>
      <c r="F150" s="3" t="str">
        <f t="shared" si="13"/>
        <v>06</v>
      </c>
      <c r="G150" s="3" t="str">
        <f t="shared" si="14"/>
        <v>13</v>
      </c>
      <c r="H150" t="str">
        <f t="shared" si="15"/>
        <v>13.06.1996</v>
      </c>
      <c r="I150" s="5">
        <v>41788</v>
      </c>
      <c r="J150" s="5">
        <f t="shared" si="16"/>
        <v>6559</v>
      </c>
      <c r="K150" s="6">
        <f t="shared" si="17"/>
        <v>17</v>
      </c>
    </row>
    <row r="151" spans="1:11" x14ac:dyDescent="0.25">
      <c r="A151" s="1" t="s">
        <v>301</v>
      </c>
      <c r="B151" s="1" t="s">
        <v>302</v>
      </c>
      <c r="C151">
        <v>3</v>
      </c>
      <c r="D151">
        <v>1192</v>
      </c>
      <c r="E151" s="1">
        <f t="shared" si="12"/>
        <v>1996</v>
      </c>
      <c r="F151" s="3" t="str">
        <f t="shared" si="13"/>
        <v>07</v>
      </c>
      <c r="G151" s="3" t="str">
        <f t="shared" si="14"/>
        <v>26</v>
      </c>
      <c r="H151" t="str">
        <f t="shared" si="15"/>
        <v>26.07.1996</v>
      </c>
      <c r="I151" s="5">
        <v>41789</v>
      </c>
      <c r="J151" s="5">
        <f t="shared" si="16"/>
        <v>6517</v>
      </c>
      <c r="K151" s="6">
        <f t="shared" si="17"/>
        <v>17</v>
      </c>
    </row>
    <row r="152" spans="1:11" x14ac:dyDescent="0.25">
      <c r="A152" s="1" t="s">
        <v>303</v>
      </c>
      <c r="B152" s="1" t="s">
        <v>304</v>
      </c>
      <c r="C152">
        <v>6</v>
      </c>
      <c r="D152">
        <v>1201</v>
      </c>
      <c r="E152" s="1">
        <f t="shared" si="12"/>
        <v>1995</v>
      </c>
      <c r="F152" s="3" t="str">
        <f t="shared" si="13"/>
        <v>12</v>
      </c>
      <c r="G152" s="3" t="str">
        <f t="shared" si="14"/>
        <v>20</v>
      </c>
      <c r="H152" t="str">
        <f t="shared" si="15"/>
        <v>20.12.1995</v>
      </c>
      <c r="I152" s="5">
        <v>41790</v>
      </c>
      <c r="J152" s="5">
        <f t="shared" si="16"/>
        <v>6737</v>
      </c>
      <c r="K152" s="6">
        <f t="shared" si="17"/>
        <v>18</v>
      </c>
    </row>
    <row r="153" spans="1:11" x14ac:dyDescent="0.25">
      <c r="A153" s="1" t="s">
        <v>305</v>
      </c>
      <c r="B153" s="1" t="s">
        <v>306</v>
      </c>
      <c r="C153">
        <v>3</v>
      </c>
      <c r="D153">
        <v>2544</v>
      </c>
      <c r="E153" s="1">
        <f t="shared" si="12"/>
        <v>1995</v>
      </c>
      <c r="F153" s="3" t="str">
        <f t="shared" si="13"/>
        <v>06</v>
      </c>
      <c r="G153" s="3" t="str">
        <f t="shared" si="14"/>
        <v>27</v>
      </c>
      <c r="H153" t="str">
        <f t="shared" si="15"/>
        <v>27.06.1995</v>
      </c>
      <c r="I153" s="5">
        <v>41791</v>
      </c>
      <c r="J153" s="5">
        <f t="shared" si="16"/>
        <v>6914</v>
      </c>
      <c r="K153" s="6">
        <f t="shared" si="17"/>
        <v>18</v>
      </c>
    </row>
    <row r="154" spans="1:11" x14ac:dyDescent="0.25">
      <c r="A154" s="1" t="s">
        <v>307</v>
      </c>
      <c r="B154" s="1" t="s">
        <v>308</v>
      </c>
      <c r="C154">
        <v>3</v>
      </c>
      <c r="D154">
        <v>3374</v>
      </c>
      <c r="E154" s="1">
        <f t="shared" si="12"/>
        <v>1996</v>
      </c>
      <c r="F154" s="3" t="str">
        <f t="shared" si="13"/>
        <v>12</v>
      </c>
      <c r="G154" s="3" t="str">
        <f t="shared" si="14"/>
        <v>05</v>
      </c>
      <c r="H154" t="str">
        <f t="shared" si="15"/>
        <v>05.12.1996</v>
      </c>
      <c r="I154" s="5">
        <v>41792</v>
      </c>
      <c r="J154" s="5">
        <f t="shared" si="16"/>
        <v>6388</v>
      </c>
      <c r="K154" s="6">
        <f t="shared" si="17"/>
        <v>17</v>
      </c>
    </row>
    <row r="155" spans="1:11" x14ac:dyDescent="0.25">
      <c r="A155" s="1" t="s">
        <v>309</v>
      </c>
      <c r="B155" s="1" t="s">
        <v>310</v>
      </c>
      <c r="C155">
        <v>5</v>
      </c>
      <c r="D155">
        <v>3382</v>
      </c>
      <c r="E155" s="1">
        <f t="shared" si="12"/>
        <v>1994</v>
      </c>
      <c r="F155" s="3" t="str">
        <f t="shared" si="13"/>
        <v>07</v>
      </c>
      <c r="G155" s="3" t="str">
        <f t="shared" si="14"/>
        <v>13</v>
      </c>
      <c r="H155" t="str">
        <f t="shared" si="15"/>
        <v>13.07.1994</v>
      </c>
      <c r="I155" s="5">
        <v>41793</v>
      </c>
      <c r="J155" s="5">
        <f t="shared" si="16"/>
        <v>7265</v>
      </c>
      <c r="K155" s="6">
        <f t="shared" si="17"/>
        <v>19</v>
      </c>
    </row>
    <row r="156" spans="1:11" x14ac:dyDescent="0.25">
      <c r="A156" s="1" t="s">
        <v>311</v>
      </c>
      <c r="B156" s="1" t="s">
        <v>312</v>
      </c>
      <c r="C156">
        <v>4</v>
      </c>
      <c r="D156">
        <v>1152</v>
      </c>
      <c r="E156" s="1">
        <f t="shared" si="12"/>
        <v>1996</v>
      </c>
      <c r="F156" s="3" t="str">
        <f t="shared" si="13"/>
        <v>10</v>
      </c>
      <c r="G156" s="3" t="str">
        <f t="shared" si="14"/>
        <v>25</v>
      </c>
      <c r="H156" t="str">
        <f t="shared" si="15"/>
        <v>25.10.1996</v>
      </c>
      <c r="I156" s="5">
        <v>41794</v>
      </c>
      <c r="J156" s="5">
        <f t="shared" si="16"/>
        <v>6431</v>
      </c>
      <c r="K156" s="6">
        <f t="shared" si="17"/>
        <v>17</v>
      </c>
    </row>
    <row r="157" spans="1:11" x14ac:dyDescent="0.25">
      <c r="A157" s="1" t="s">
        <v>313</v>
      </c>
      <c r="B157" s="1" t="s">
        <v>314</v>
      </c>
      <c r="C157">
        <v>5</v>
      </c>
      <c r="D157">
        <v>1903</v>
      </c>
      <c r="E157" s="1">
        <f t="shared" si="12"/>
        <v>1995</v>
      </c>
      <c r="F157" s="3" t="str">
        <f t="shared" si="13"/>
        <v>08</v>
      </c>
      <c r="G157" s="3" t="str">
        <f t="shared" si="14"/>
        <v>27</v>
      </c>
      <c r="H157" t="str">
        <f t="shared" si="15"/>
        <v>27.08.1995</v>
      </c>
      <c r="I157" s="5">
        <v>41795</v>
      </c>
      <c r="J157" s="5">
        <f t="shared" si="16"/>
        <v>6857</v>
      </c>
      <c r="K157" s="6">
        <f t="shared" si="17"/>
        <v>18</v>
      </c>
    </row>
    <row r="158" spans="1:11" x14ac:dyDescent="0.25">
      <c r="A158" s="1" t="s">
        <v>315</v>
      </c>
      <c r="B158" s="1" t="s">
        <v>316</v>
      </c>
      <c r="C158">
        <v>3</v>
      </c>
      <c r="D158">
        <v>3126</v>
      </c>
      <c r="E158" s="1">
        <f t="shared" si="12"/>
        <v>1995</v>
      </c>
      <c r="F158" s="3" t="str">
        <f t="shared" si="13"/>
        <v>08</v>
      </c>
      <c r="G158" s="3" t="str">
        <f t="shared" si="14"/>
        <v>27</v>
      </c>
      <c r="H158" t="str">
        <f t="shared" si="15"/>
        <v>27.08.1995</v>
      </c>
      <c r="I158" s="5">
        <v>41796</v>
      </c>
      <c r="J158" s="5">
        <f t="shared" si="16"/>
        <v>6858</v>
      </c>
      <c r="K158" s="6">
        <f t="shared" si="17"/>
        <v>18</v>
      </c>
    </row>
    <row r="159" spans="1:11" x14ac:dyDescent="0.25">
      <c r="A159" s="1" t="s">
        <v>317</v>
      </c>
      <c r="B159" s="1" t="s">
        <v>318</v>
      </c>
      <c r="C159">
        <v>2</v>
      </c>
      <c r="D159">
        <v>3285</v>
      </c>
      <c r="E159" s="1">
        <f t="shared" si="12"/>
        <v>1994</v>
      </c>
      <c r="F159" s="3" t="str">
        <f t="shared" si="13"/>
        <v>03</v>
      </c>
      <c r="G159" s="3" t="str">
        <f t="shared" si="14"/>
        <v>15</v>
      </c>
      <c r="H159" t="str">
        <f t="shared" si="15"/>
        <v>15.03.1994</v>
      </c>
      <c r="I159" s="5">
        <v>41797</v>
      </c>
      <c r="J159" s="5">
        <f t="shared" si="16"/>
        <v>7389</v>
      </c>
      <c r="K159" s="6">
        <f t="shared" si="17"/>
        <v>20</v>
      </c>
    </row>
    <row r="160" spans="1:11" x14ac:dyDescent="0.25">
      <c r="A160" s="1" t="s">
        <v>319</v>
      </c>
      <c r="B160" s="1" t="s">
        <v>320</v>
      </c>
      <c r="C160">
        <v>3</v>
      </c>
      <c r="D160">
        <v>4003</v>
      </c>
      <c r="E160" s="1">
        <f t="shared" si="12"/>
        <v>1997</v>
      </c>
      <c r="F160" s="3" t="str">
        <f t="shared" si="13"/>
        <v>01</v>
      </c>
      <c r="G160" s="3" t="str">
        <f t="shared" si="14"/>
        <v>20</v>
      </c>
      <c r="H160" t="str">
        <f t="shared" si="15"/>
        <v>20.01.1997</v>
      </c>
      <c r="I160" s="5">
        <v>41798</v>
      </c>
      <c r="J160" s="5">
        <f t="shared" si="16"/>
        <v>6348</v>
      </c>
      <c r="K160" s="6">
        <f t="shared" si="17"/>
        <v>17</v>
      </c>
    </row>
    <row r="161" spans="1:11" x14ac:dyDescent="0.25">
      <c r="A161" s="1" t="s">
        <v>321</v>
      </c>
      <c r="B161" s="1" t="s">
        <v>322</v>
      </c>
      <c r="C161">
        <v>5</v>
      </c>
      <c r="D161">
        <v>4214</v>
      </c>
      <c r="E161" s="1">
        <f t="shared" si="12"/>
        <v>1997</v>
      </c>
      <c r="F161" s="3" t="str">
        <f t="shared" si="13"/>
        <v>10</v>
      </c>
      <c r="G161" s="3" t="str">
        <f t="shared" si="14"/>
        <v>07</v>
      </c>
      <c r="H161" t="str">
        <f t="shared" si="15"/>
        <v>07.10.1997</v>
      </c>
      <c r="I161" s="5">
        <v>41799</v>
      </c>
      <c r="J161" s="5">
        <f t="shared" si="16"/>
        <v>6089</v>
      </c>
      <c r="K161" s="6">
        <f t="shared" si="17"/>
        <v>16</v>
      </c>
    </row>
    <row r="162" spans="1:11" x14ac:dyDescent="0.25">
      <c r="A162" s="1" t="s">
        <v>323</v>
      </c>
      <c r="B162" s="1" t="s">
        <v>324</v>
      </c>
      <c r="C162">
        <v>6</v>
      </c>
      <c r="D162">
        <v>3748</v>
      </c>
      <c r="E162" s="1">
        <f t="shared" si="12"/>
        <v>1996</v>
      </c>
      <c r="F162" s="3" t="str">
        <f t="shared" si="13"/>
        <v>11</v>
      </c>
      <c r="G162" s="3" t="str">
        <f t="shared" si="14"/>
        <v>28</v>
      </c>
      <c r="H162" t="str">
        <f t="shared" si="15"/>
        <v>28.11.1996</v>
      </c>
      <c r="I162" s="5">
        <v>41800</v>
      </c>
      <c r="J162" s="5">
        <f t="shared" si="16"/>
        <v>6403</v>
      </c>
      <c r="K162" s="6">
        <f t="shared" si="17"/>
        <v>17</v>
      </c>
    </row>
    <row r="163" spans="1:11" x14ac:dyDescent="0.25">
      <c r="A163" s="1" t="s">
        <v>325</v>
      </c>
      <c r="B163" s="1" t="s">
        <v>326</v>
      </c>
      <c r="C163">
        <v>2</v>
      </c>
      <c r="D163">
        <v>1397</v>
      </c>
      <c r="E163" s="1">
        <f t="shared" si="12"/>
        <v>1996</v>
      </c>
      <c r="F163" s="3" t="str">
        <f t="shared" si="13"/>
        <v>06</v>
      </c>
      <c r="G163" s="3" t="str">
        <f t="shared" si="14"/>
        <v>18</v>
      </c>
      <c r="H163" t="str">
        <f t="shared" si="15"/>
        <v>18.06.1996</v>
      </c>
      <c r="I163" s="5">
        <v>41801</v>
      </c>
      <c r="J163" s="5">
        <f t="shared" si="16"/>
        <v>6567</v>
      </c>
      <c r="K163" s="6">
        <f t="shared" si="17"/>
        <v>17</v>
      </c>
    </row>
    <row r="164" spans="1:11" x14ac:dyDescent="0.25">
      <c r="A164" s="1" t="s">
        <v>327</v>
      </c>
      <c r="B164" s="1" t="s">
        <v>328</v>
      </c>
      <c r="C164">
        <v>4</v>
      </c>
      <c r="D164">
        <v>3685</v>
      </c>
      <c r="E164" s="1">
        <f t="shared" si="12"/>
        <v>1997</v>
      </c>
      <c r="F164" s="3" t="str">
        <f t="shared" si="13"/>
        <v>03</v>
      </c>
      <c r="G164" s="3" t="str">
        <f t="shared" si="14"/>
        <v>07</v>
      </c>
      <c r="H164" t="str">
        <f t="shared" si="15"/>
        <v>07.03.1997</v>
      </c>
      <c r="I164" s="5">
        <v>41802</v>
      </c>
      <c r="J164" s="5">
        <f t="shared" si="16"/>
        <v>6306</v>
      </c>
      <c r="K164" s="6">
        <f t="shared" si="17"/>
        <v>17</v>
      </c>
    </row>
    <row r="165" spans="1:11" x14ac:dyDescent="0.25">
      <c r="A165" s="1" t="s">
        <v>329</v>
      </c>
      <c r="B165" s="1" t="s">
        <v>330</v>
      </c>
      <c r="C165">
        <v>2</v>
      </c>
      <c r="D165">
        <v>2360</v>
      </c>
      <c r="E165" s="1">
        <f t="shared" si="12"/>
        <v>1995</v>
      </c>
      <c r="F165" s="3" t="str">
        <f t="shared" si="13"/>
        <v>06</v>
      </c>
      <c r="G165" s="3" t="str">
        <f t="shared" si="14"/>
        <v>28</v>
      </c>
      <c r="H165" t="str">
        <f t="shared" si="15"/>
        <v>28.06.1995</v>
      </c>
      <c r="I165" s="5">
        <v>41803</v>
      </c>
      <c r="J165" s="5">
        <f t="shared" si="16"/>
        <v>6925</v>
      </c>
      <c r="K165" s="6">
        <f t="shared" si="17"/>
        <v>18</v>
      </c>
    </row>
    <row r="166" spans="1:11" x14ac:dyDescent="0.25">
      <c r="A166" s="1" t="s">
        <v>331</v>
      </c>
      <c r="B166" s="1" t="s">
        <v>332</v>
      </c>
      <c r="C166">
        <v>6</v>
      </c>
      <c r="D166">
        <v>3716</v>
      </c>
      <c r="E166" s="1">
        <f t="shared" si="12"/>
        <v>1996</v>
      </c>
      <c r="F166" s="3" t="str">
        <f t="shared" si="13"/>
        <v>04</v>
      </c>
      <c r="G166" s="3" t="str">
        <f t="shared" si="14"/>
        <v>01</v>
      </c>
      <c r="H166" t="str">
        <f t="shared" si="15"/>
        <v>01.04.1996</v>
      </c>
      <c r="I166" s="5">
        <v>41804</v>
      </c>
      <c r="J166" s="5">
        <f t="shared" si="16"/>
        <v>6648</v>
      </c>
      <c r="K166" s="6">
        <f t="shared" si="17"/>
        <v>18</v>
      </c>
    </row>
    <row r="167" spans="1:11" x14ac:dyDescent="0.25">
      <c r="A167" s="1" t="s">
        <v>333</v>
      </c>
      <c r="B167" s="1" t="s">
        <v>334</v>
      </c>
      <c r="C167">
        <v>4</v>
      </c>
      <c r="D167">
        <v>3000</v>
      </c>
      <c r="E167" s="1">
        <f t="shared" si="12"/>
        <v>1995</v>
      </c>
      <c r="F167" s="3" t="str">
        <f t="shared" si="13"/>
        <v>01</v>
      </c>
      <c r="G167" s="3" t="str">
        <f t="shared" si="14"/>
        <v>16</v>
      </c>
      <c r="H167" t="str">
        <f t="shared" si="15"/>
        <v>16.01.1995</v>
      </c>
      <c r="I167" s="5">
        <v>41805</v>
      </c>
      <c r="J167" s="5">
        <f t="shared" si="16"/>
        <v>7090</v>
      </c>
      <c r="K167" s="6">
        <f t="shared" si="17"/>
        <v>19</v>
      </c>
    </row>
    <row r="168" spans="1:11" x14ac:dyDescent="0.25">
      <c r="A168" s="1" t="s">
        <v>335</v>
      </c>
      <c r="B168" s="1" t="s">
        <v>336</v>
      </c>
      <c r="C168">
        <v>3</v>
      </c>
      <c r="D168">
        <v>3914</v>
      </c>
      <c r="E168" s="1">
        <f t="shared" si="12"/>
        <v>1995</v>
      </c>
      <c r="F168" s="3" t="str">
        <f t="shared" si="13"/>
        <v>08</v>
      </c>
      <c r="G168" s="3" t="str">
        <f t="shared" si="14"/>
        <v>24</v>
      </c>
      <c r="H168" t="str">
        <f t="shared" si="15"/>
        <v>24.08.1995</v>
      </c>
      <c r="I168" s="5">
        <v>41806</v>
      </c>
      <c r="J168" s="5">
        <f t="shared" si="16"/>
        <v>6871</v>
      </c>
      <c r="K168" s="6">
        <f t="shared" si="17"/>
        <v>18</v>
      </c>
    </row>
    <row r="169" spans="1:11" x14ac:dyDescent="0.25">
      <c r="A169" s="1" t="s">
        <v>337</v>
      </c>
      <c r="B169" s="1" t="s">
        <v>338</v>
      </c>
      <c r="C169">
        <v>4</v>
      </c>
      <c r="D169">
        <v>680</v>
      </c>
      <c r="E169" s="1">
        <f t="shared" si="12"/>
        <v>1996</v>
      </c>
      <c r="F169" s="3" t="str">
        <f t="shared" si="13"/>
        <v>11</v>
      </c>
      <c r="G169" s="3" t="str">
        <f t="shared" si="14"/>
        <v>20</v>
      </c>
      <c r="H169" t="str">
        <f t="shared" si="15"/>
        <v>20.11.1996</v>
      </c>
      <c r="I169" s="5">
        <v>41807</v>
      </c>
      <c r="J169" s="5">
        <f t="shared" si="16"/>
        <v>6418</v>
      </c>
      <c r="K169" s="6">
        <f t="shared" si="17"/>
        <v>17</v>
      </c>
    </row>
    <row r="170" spans="1:11" x14ac:dyDescent="0.25">
      <c r="A170" s="1" t="s">
        <v>339</v>
      </c>
      <c r="B170" s="1" t="s">
        <v>340</v>
      </c>
      <c r="C170">
        <v>2</v>
      </c>
      <c r="D170">
        <v>1821</v>
      </c>
      <c r="E170" s="1">
        <f t="shared" si="12"/>
        <v>1995</v>
      </c>
      <c r="F170" s="3" t="str">
        <f t="shared" si="13"/>
        <v>10</v>
      </c>
      <c r="G170" s="3" t="str">
        <f t="shared" si="14"/>
        <v>06</v>
      </c>
      <c r="H170" t="str">
        <f t="shared" si="15"/>
        <v>06.10.1995</v>
      </c>
      <c r="I170" s="5">
        <v>41808</v>
      </c>
      <c r="J170" s="5">
        <f t="shared" si="16"/>
        <v>6830</v>
      </c>
      <c r="K170" s="6">
        <f t="shared" si="17"/>
        <v>18</v>
      </c>
    </row>
    <row r="171" spans="1:11" x14ac:dyDescent="0.25">
      <c r="A171" s="1" t="s">
        <v>341</v>
      </c>
      <c r="B171" s="1" t="s">
        <v>342</v>
      </c>
      <c r="C171">
        <v>3</v>
      </c>
      <c r="D171">
        <v>4125</v>
      </c>
      <c r="E171" s="1">
        <f t="shared" si="12"/>
        <v>1996</v>
      </c>
      <c r="F171" s="3" t="str">
        <f t="shared" si="13"/>
        <v>09</v>
      </c>
      <c r="G171" s="3" t="str">
        <f t="shared" si="14"/>
        <v>27</v>
      </c>
      <c r="H171" t="str">
        <f t="shared" si="15"/>
        <v>27.09.1996</v>
      </c>
      <c r="I171" s="5">
        <v>41809</v>
      </c>
      <c r="J171" s="5">
        <f t="shared" si="16"/>
        <v>6474</v>
      </c>
      <c r="K171" s="6">
        <f t="shared" si="17"/>
        <v>17</v>
      </c>
    </row>
    <row r="172" spans="1:11" x14ac:dyDescent="0.25">
      <c r="A172" s="1" t="s">
        <v>343</v>
      </c>
      <c r="B172" s="1" t="s">
        <v>344</v>
      </c>
      <c r="C172">
        <v>6</v>
      </c>
      <c r="D172">
        <v>2837</v>
      </c>
      <c r="E172" s="1">
        <f t="shared" si="12"/>
        <v>1997</v>
      </c>
      <c r="F172" s="3" t="str">
        <f t="shared" si="13"/>
        <v>08</v>
      </c>
      <c r="G172" s="3" t="str">
        <f t="shared" si="14"/>
        <v>30</v>
      </c>
      <c r="H172" t="str">
        <f t="shared" si="15"/>
        <v>30.08.1997</v>
      </c>
      <c r="I172" s="5">
        <v>41810</v>
      </c>
      <c r="J172" s="5">
        <f t="shared" si="16"/>
        <v>6138</v>
      </c>
      <c r="K172" s="6">
        <f t="shared" si="17"/>
        <v>16</v>
      </c>
    </row>
    <row r="173" spans="1:11" x14ac:dyDescent="0.25">
      <c r="A173" s="1" t="s">
        <v>345</v>
      </c>
      <c r="B173" s="1" t="s">
        <v>346</v>
      </c>
      <c r="C173">
        <v>3</v>
      </c>
      <c r="D173">
        <v>4039</v>
      </c>
      <c r="E173" s="1">
        <f t="shared" si="12"/>
        <v>1995</v>
      </c>
      <c r="F173" s="3" t="str">
        <f t="shared" si="13"/>
        <v>02</v>
      </c>
      <c r="G173" s="3" t="str">
        <f t="shared" si="14"/>
        <v>11</v>
      </c>
      <c r="H173" t="str">
        <f t="shared" si="15"/>
        <v>11.02.1995</v>
      </c>
      <c r="I173" s="5">
        <v>41811</v>
      </c>
      <c r="J173" s="5">
        <f t="shared" si="16"/>
        <v>7070</v>
      </c>
      <c r="K173" s="6">
        <f t="shared" si="17"/>
        <v>19</v>
      </c>
    </row>
    <row r="174" spans="1:11" x14ac:dyDescent="0.25">
      <c r="A174" s="1" t="s">
        <v>347</v>
      </c>
      <c r="B174" s="1" t="s">
        <v>348</v>
      </c>
      <c r="C174">
        <v>3</v>
      </c>
      <c r="D174">
        <v>1436</v>
      </c>
      <c r="E174" s="1">
        <f t="shared" si="12"/>
        <v>1995</v>
      </c>
      <c r="F174" s="3" t="str">
        <f t="shared" si="13"/>
        <v>04</v>
      </c>
      <c r="G174" s="3" t="str">
        <f t="shared" si="14"/>
        <v>18</v>
      </c>
      <c r="H174" t="str">
        <f t="shared" si="15"/>
        <v>18.04.1995</v>
      </c>
      <c r="I174" s="5">
        <v>41812</v>
      </c>
      <c r="J174" s="5">
        <f t="shared" si="16"/>
        <v>7005</v>
      </c>
      <c r="K174" s="6">
        <f t="shared" si="17"/>
        <v>19</v>
      </c>
    </row>
    <row r="175" spans="1:11" x14ac:dyDescent="0.25">
      <c r="A175" s="1" t="s">
        <v>349</v>
      </c>
      <c r="B175" s="1" t="s">
        <v>350</v>
      </c>
      <c r="C175">
        <v>6</v>
      </c>
      <c r="D175">
        <v>2821</v>
      </c>
      <c r="E175" s="1">
        <f t="shared" si="12"/>
        <v>1996</v>
      </c>
      <c r="F175" s="3" t="str">
        <f t="shared" si="13"/>
        <v>09</v>
      </c>
      <c r="G175" s="3" t="str">
        <f t="shared" si="14"/>
        <v>30</v>
      </c>
      <c r="H175" t="str">
        <f t="shared" si="15"/>
        <v>30.09.1996</v>
      </c>
      <c r="I175" s="5">
        <v>41813</v>
      </c>
      <c r="J175" s="5">
        <f t="shared" si="16"/>
        <v>6475</v>
      </c>
      <c r="K175" s="6">
        <f t="shared" si="17"/>
        <v>17</v>
      </c>
    </row>
    <row r="176" spans="1:11" x14ac:dyDescent="0.25">
      <c r="A176" s="1" t="s">
        <v>351</v>
      </c>
      <c r="B176" s="1" t="s">
        <v>352</v>
      </c>
      <c r="C176">
        <v>3</v>
      </c>
      <c r="D176">
        <v>1316</v>
      </c>
      <c r="E176" s="1">
        <f t="shared" si="12"/>
        <v>1997</v>
      </c>
      <c r="F176" s="3" t="str">
        <f t="shared" si="13"/>
        <v>03</v>
      </c>
      <c r="G176" s="3" t="str">
        <f t="shared" si="14"/>
        <v>03</v>
      </c>
      <c r="H176" t="str">
        <f t="shared" si="15"/>
        <v>03.03.1997</v>
      </c>
      <c r="I176" s="5">
        <v>41814</v>
      </c>
      <c r="J176" s="5">
        <f t="shared" si="16"/>
        <v>6322</v>
      </c>
      <c r="K176" s="6">
        <f t="shared" si="17"/>
        <v>17</v>
      </c>
    </row>
    <row r="177" spans="1:11" x14ac:dyDescent="0.25">
      <c r="A177" s="1" t="s">
        <v>353</v>
      </c>
      <c r="B177" s="1" t="s">
        <v>354</v>
      </c>
      <c r="C177">
        <v>6</v>
      </c>
      <c r="D177">
        <v>4295</v>
      </c>
      <c r="E177" s="1">
        <f t="shared" si="12"/>
        <v>1998</v>
      </c>
      <c r="F177" s="3" t="str">
        <f t="shared" si="13"/>
        <v>01</v>
      </c>
      <c r="G177" s="3" t="str">
        <f t="shared" si="14"/>
        <v>03</v>
      </c>
      <c r="H177" t="str">
        <f t="shared" si="15"/>
        <v>03.01.1998</v>
      </c>
      <c r="I177" s="5">
        <v>41815</v>
      </c>
      <c r="J177" s="5">
        <f t="shared" si="16"/>
        <v>6017</v>
      </c>
      <c r="K177" s="6">
        <f t="shared" si="17"/>
        <v>16</v>
      </c>
    </row>
    <row r="178" spans="1:11" x14ac:dyDescent="0.25">
      <c r="A178" s="1" t="s">
        <v>355</v>
      </c>
      <c r="B178" s="1" t="s">
        <v>356</v>
      </c>
      <c r="C178">
        <v>4</v>
      </c>
      <c r="D178">
        <v>3744</v>
      </c>
      <c r="E178" s="1">
        <f t="shared" si="12"/>
        <v>1996</v>
      </c>
      <c r="F178" s="3" t="str">
        <f t="shared" si="13"/>
        <v>08</v>
      </c>
      <c r="G178" s="3" t="str">
        <f t="shared" si="14"/>
        <v>22</v>
      </c>
      <c r="H178" t="str">
        <f t="shared" si="15"/>
        <v>22.08.1996</v>
      </c>
      <c r="I178" s="5">
        <v>41816</v>
      </c>
      <c r="J178" s="5">
        <f t="shared" si="16"/>
        <v>6517</v>
      </c>
      <c r="K178" s="6">
        <f t="shared" si="17"/>
        <v>17</v>
      </c>
    </row>
    <row r="179" spans="1:11" x14ac:dyDescent="0.25">
      <c r="A179" s="1" t="s">
        <v>357</v>
      </c>
      <c r="B179" s="1" t="s">
        <v>358</v>
      </c>
      <c r="C179">
        <v>4</v>
      </c>
      <c r="D179">
        <v>1447</v>
      </c>
      <c r="E179" s="1">
        <f t="shared" si="12"/>
        <v>1997</v>
      </c>
      <c r="F179" s="3" t="str">
        <f t="shared" si="13"/>
        <v>05</v>
      </c>
      <c r="G179" s="3" t="str">
        <f t="shared" si="14"/>
        <v>19</v>
      </c>
      <c r="H179" t="str">
        <f t="shared" si="15"/>
        <v>19.05.1997</v>
      </c>
      <c r="I179" s="5">
        <v>41817</v>
      </c>
      <c r="J179" s="5">
        <f t="shared" si="16"/>
        <v>6248</v>
      </c>
      <c r="K179" s="6">
        <f t="shared" si="17"/>
        <v>17</v>
      </c>
    </row>
    <row r="180" spans="1:11" x14ac:dyDescent="0.25">
      <c r="A180" s="1" t="s">
        <v>359</v>
      </c>
      <c r="B180" s="1" t="s">
        <v>360</v>
      </c>
      <c r="C180">
        <v>4</v>
      </c>
      <c r="D180">
        <v>3234</v>
      </c>
      <c r="E180" s="1">
        <f t="shared" si="12"/>
        <v>1997</v>
      </c>
      <c r="F180" s="3" t="str">
        <f t="shared" si="13"/>
        <v>01</v>
      </c>
      <c r="G180" s="3" t="str">
        <f t="shared" si="14"/>
        <v>19</v>
      </c>
      <c r="H180" t="str">
        <f t="shared" si="15"/>
        <v>19.01.1997</v>
      </c>
      <c r="I180" s="5">
        <v>41818</v>
      </c>
      <c r="J180" s="5">
        <f t="shared" si="16"/>
        <v>6369</v>
      </c>
      <c r="K180" s="6">
        <f t="shared" si="17"/>
        <v>17</v>
      </c>
    </row>
    <row r="181" spans="1:11" x14ac:dyDescent="0.25">
      <c r="A181" s="1" t="s">
        <v>361</v>
      </c>
      <c r="B181" s="1" t="s">
        <v>362</v>
      </c>
      <c r="C181">
        <v>4</v>
      </c>
      <c r="D181">
        <v>1219</v>
      </c>
      <c r="E181" s="1">
        <f t="shared" si="12"/>
        <v>1995</v>
      </c>
      <c r="F181" s="3" t="str">
        <f t="shared" si="13"/>
        <v>01</v>
      </c>
      <c r="G181" s="3" t="str">
        <f t="shared" si="14"/>
        <v>02</v>
      </c>
      <c r="H181" t="str">
        <f t="shared" si="15"/>
        <v>02.01.1995</v>
      </c>
      <c r="I181" s="5">
        <v>41819</v>
      </c>
      <c r="J181" s="5">
        <f t="shared" si="16"/>
        <v>7118</v>
      </c>
      <c r="K181" s="6">
        <f t="shared" si="17"/>
        <v>19</v>
      </c>
    </row>
    <row r="182" spans="1:11" x14ac:dyDescent="0.25">
      <c r="A182" s="1" t="s">
        <v>363</v>
      </c>
      <c r="B182" s="1" t="s">
        <v>364</v>
      </c>
      <c r="C182">
        <v>3</v>
      </c>
      <c r="D182">
        <v>2105</v>
      </c>
      <c r="E182" s="1">
        <f t="shared" si="12"/>
        <v>1997</v>
      </c>
      <c r="F182" s="3" t="str">
        <f t="shared" si="13"/>
        <v>03</v>
      </c>
      <c r="G182" s="3" t="str">
        <f t="shared" si="14"/>
        <v>21</v>
      </c>
      <c r="H182" t="str">
        <f t="shared" si="15"/>
        <v>21.03.1997</v>
      </c>
      <c r="I182" s="5">
        <v>41820</v>
      </c>
      <c r="J182" s="5">
        <f t="shared" si="16"/>
        <v>6310</v>
      </c>
      <c r="K182" s="6">
        <f t="shared" si="17"/>
        <v>17</v>
      </c>
    </row>
    <row r="183" spans="1:11" x14ac:dyDescent="0.25">
      <c r="A183" s="1" t="s">
        <v>365</v>
      </c>
      <c r="B183" s="1" t="s">
        <v>366</v>
      </c>
      <c r="C183">
        <v>5</v>
      </c>
      <c r="D183">
        <v>1943</v>
      </c>
      <c r="E183" s="1">
        <f t="shared" si="12"/>
        <v>1996</v>
      </c>
      <c r="F183" s="3" t="str">
        <f t="shared" si="13"/>
        <v>11</v>
      </c>
      <c r="G183" s="3" t="str">
        <f t="shared" si="14"/>
        <v>23</v>
      </c>
      <c r="H183" t="str">
        <f t="shared" si="15"/>
        <v>23.11.1996</v>
      </c>
      <c r="I183" s="5">
        <v>41821</v>
      </c>
      <c r="J183" s="5">
        <f t="shared" si="16"/>
        <v>6429</v>
      </c>
      <c r="K183" s="6">
        <f t="shared" si="17"/>
        <v>17</v>
      </c>
    </row>
    <row r="184" spans="1:11" x14ac:dyDescent="0.25">
      <c r="A184" s="1" t="s">
        <v>367</v>
      </c>
      <c r="B184" s="1" t="s">
        <v>368</v>
      </c>
      <c r="C184">
        <v>3</v>
      </c>
      <c r="D184">
        <v>1890</v>
      </c>
      <c r="E184" s="1">
        <f t="shared" si="12"/>
        <v>1996</v>
      </c>
      <c r="F184" s="3" t="str">
        <f t="shared" si="13"/>
        <v>08</v>
      </c>
      <c r="G184" s="3" t="str">
        <f t="shared" si="14"/>
        <v>23</v>
      </c>
      <c r="H184" t="str">
        <f t="shared" si="15"/>
        <v>23.08.1996</v>
      </c>
      <c r="I184" s="5">
        <v>41822</v>
      </c>
      <c r="J184" s="5">
        <f t="shared" si="16"/>
        <v>6522</v>
      </c>
      <c r="K184" s="6">
        <f t="shared" si="17"/>
        <v>17</v>
      </c>
    </row>
    <row r="185" spans="1:11" x14ac:dyDescent="0.25">
      <c r="A185" s="1" t="s">
        <v>369</v>
      </c>
      <c r="B185" s="1" t="s">
        <v>370</v>
      </c>
      <c r="C185">
        <v>2</v>
      </c>
      <c r="D185">
        <v>689</v>
      </c>
      <c r="E185" s="1">
        <f t="shared" si="12"/>
        <v>1995</v>
      </c>
      <c r="F185" s="3" t="str">
        <f t="shared" si="13"/>
        <v>04</v>
      </c>
      <c r="G185" s="3" t="str">
        <f t="shared" si="14"/>
        <v>17</v>
      </c>
      <c r="H185" t="str">
        <f t="shared" si="15"/>
        <v>17.04.1995</v>
      </c>
      <c r="I185" s="5">
        <v>41823</v>
      </c>
      <c r="J185" s="5">
        <f t="shared" si="16"/>
        <v>7017</v>
      </c>
      <c r="K185" s="6">
        <f t="shared" si="17"/>
        <v>19</v>
      </c>
    </row>
    <row r="186" spans="1:11" x14ac:dyDescent="0.25">
      <c r="A186" s="1" t="s">
        <v>371</v>
      </c>
      <c r="B186" s="1" t="s">
        <v>372</v>
      </c>
      <c r="C186">
        <v>6</v>
      </c>
      <c r="D186">
        <v>676</v>
      </c>
      <c r="E186" s="1">
        <f t="shared" si="12"/>
        <v>1997</v>
      </c>
      <c r="F186" s="3" t="str">
        <f t="shared" si="13"/>
        <v>07</v>
      </c>
      <c r="G186" s="3" t="str">
        <f t="shared" si="14"/>
        <v>27</v>
      </c>
      <c r="H186" t="str">
        <f t="shared" si="15"/>
        <v>27.07.1997</v>
      </c>
      <c r="I186" s="5">
        <v>41824</v>
      </c>
      <c r="J186" s="5">
        <f t="shared" si="16"/>
        <v>6186</v>
      </c>
      <c r="K186" s="6">
        <f t="shared" si="17"/>
        <v>16</v>
      </c>
    </row>
    <row r="187" spans="1:11" x14ac:dyDescent="0.25">
      <c r="A187" s="1" t="s">
        <v>373</v>
      </c>
      <c r="B187" s="1" t="s">
        <v>374</v>
      </c>
      <c r="C187">
        <v>3</v>
      </c>
      <c r="D187">
        <v>895</v>
      </c>
      <c r="E187" s="1">
        <f t="shared" si="12"/>
        <v>1994</v>
      </c>
      <c r="F187" s="3" t="str">
        <f t="shared" si="13"/>
        <v>02</v>
      </c>
      <c r="G187" s="3" t="str">
        <f t="shared" si="14"/>
        <v>01</v>
      </c>
      <c r="H187" t="str">
        <f t="shared" si="15"/>
        <v>01.02.1994</v>
      </c>
      <c r="I187" s="5">
        <v>41825</v>
      </c>
      <c r="J187" s="5">
        <f t="shared" si="16"/>
        <v>7459</v>
      </c>
      <c r="K187" s="6">
        <f t="shared" si="17"/>
        <v>20</v>
      </c>
    </row>
    <row r="188" spans="1:11" x14ac:dyDescent="0.25">
      <c r="A188" s="1" t="s">
        <v>375</v>
      </c>
      <c r="B188" s="1" t="s">
        <v>376</v>
      </c>
      <c r="C188">
        <v>5</v>
      </c>
      <c r="D188">
        <v>3993</v>
      </c>
      <c r="E188" s="1">
        <f t="shared" si="12"/>
        <v>1996</v>
      </c>
      <c r="F188" s="3" t="str">
        <f t="shared" si="13"/>
        <v>05</v>
      </c>
      <c r="G188" s="3" t="str">
        <f t="shared" si="14"/>
        <v>02</v>
      </c>
      <c r="H188" t="str">
        <f t="shared" si="15"/>
        <v>02.05.1996</v>
      </c>
      <c r="I188" s="5">
        <v>41826</v>
      </c>
      <c r="J188" s="5">
        <f t="shared" si="16"/>
        <v>6639</v>
      </c>
      <c r="K188" s="6">
        <f t="shared" si="17"/>
        <v>18</v>
      </c>
    </row>
    <row r="189" spans="1:11" x14ac:dyDescent="0.25">
      <c r="A189" s="1" t="s">
        <v>377</v>
      </c>
      <c r="B189" s="1" t="s">
        <v>378</v>
      </c>
      <c r="C189">
        <v>4</v>
      </c>
      <c r="D189">
        <v>2124</v>
      </c>
      <c r="E189" s="1">
        <f t="shared" si="12"/>
        <v>1996</v>
      </c>
      <c r="F189" s="3" t="str">
        <f t="shared" si="13"/>
        <v>09</v>
      </c>
      <c r="G189" s="3" t="str">
        <f t="shared" si="14"/>
        <v>19</v>
      </c>
      <c r="H189" t="str">
        <f t="shared" si="15"/>
        <v>19.09.1996</v>
      </c>
      <c r="I189" s="5">
        <v>41827</v>
      </c>
      <c r="J189" s="5">
        <f t="shared" si="16"/>
        <v>6500</v>
      </c>
      <c r="K189" s="6">
        <f t="shared" si="17"/>
        <v>17</v>
      </c>
    </row>
    <row r="190" spans="1:11" x14ac:dyDescent="0.25">
      <c r="A190" s="1" t="s">
        <v>379</v>
      </c>
      <c r="B190" s="1" t="s">
        <v>380</v>
      </c>
      <c r="C190">
        <v>5</v>
      </c>
      <c r="D190">
        <v>1054</v>
      </c>
      <c r="E190" s="1">
        <f t="shared" si="12"/>
        <v>1996</v>
      </c>
      <c r="F190" s="3" t="str">
        <f t="shared" si="13"/>
        <v>11</v>
      </c>
      <c r="G190" s="3" t="str">
        <f t="shared" si="14"/>
        <v>07</v>
      </c>
      <c r="H190" t="str">
        <f t="shared" si="15"/>
        <v>07.11.1996</v>
      </c>
      <c r="I190" s="5">
        <v>41828</v>
      </c>
      <c r="J190" s="5">
        <f t="shared" si="16"/>
        <v>6452</v>
      </c>
      <c r="K190" s="6">
        <f t="shared" si="17"/>
        <v>17</v>
      </c>
    </row>
    <row r="191" spans="1:11" x14ac:dyDescent="0.25">
      <c r="A191" s="1" t="s">
        <v>381</v>
      </c>
      <c r="B191" s="1" t="s">
        <v>382</v>
      </c>
      <c r="C191">
        <v>4</v>
      </c>
      <c r="D191">
        <v>4074</v>
      </c>
      <c r="E191" s="1">
        <f t="shared" si="12"/>
        <v>1996</v>
      </c>
      <c r="F191" s="3" t="str">
        <f t="shared" si="13"/>
        <v>12</v>
      </c>
      <c r="G191" s="3" t="str">
        <f t="shared" si="14"/>
        <v>05</v>
      </c>
      <c r="H191" t="str">
        <f t="shared" si="15"/>
        <v>05.12.1996</v>
      </c>
      <c r="I191" s="5">
        <v>41829</v>
      </c>
      <c r="J191" s="5">
        <f t="shared" si="16"/>
        <v>6425</v>
      </c>
      <c r="K191" s="6">
        <f t="shared" si="17"/>
        <v>17</v>
      </c>
    </row>
    <row r="192" spans="1:11" x14ac:dyDescent="0.25">
      <c r="A192" s="1" t="s">
        <v>383</v>
      </c>
      <c r="B192" s="1" t="s">
        <v>384</v>
      </c>
      <c r="C192">
        <v>4</v>
      </c>
      <c r="D192">
        <v>4321</v>
      </c>
      <c r="E192" s="1">
        <f t="shared" si="12"/>
        <v>1996</v>
      </c>
      <c r="F192" s="3" t="str">
        <f t="shared" si="13"/>
        <v>10</v>
      </c>
      <c r="G192" s="3" t="str">
        <f t="shared" si="14"/>
        <v>13</v>
      </c>
      <c r="H192" t="str">
        <f t="shared" si="15"/>
        <v>13.10.1996</v>
      </c>
      <c r="I192" s="5">
        <v>41830</v>
      </c>
      <c r="J192" s="5">
        <f t="shared" si="16"/>
        <v>6479</v>
      </c>
      <c r="K192" s="6">
        <f t="shared" si="17"/>
        <v>17</v>
      </c>
    </row>
    <row r="193" spans="1:11" x14ac:dyDescent="0.25">
      <c r="A193" s="1" t="s">
        <v>385</v>
      </c>
      <c r="B193" s="1" t="s">
        <v>386</v>
      </c>
      <c r="C193">
        <v>5</v>
      </c>
      <c r="D193">
        <v>4152</v>
      </c>
      <c r="E193" s="1">
        <f t="shared" si="12"/>
        <v>1996</v>
      </c>
      <c r="F193" s="3" t="str">
        <f t="shared" si="13"/>
        <v>09</v>
      </c>
      <c r="G193" s="3" t="str">
        <f t="shared" si="14"/>
        <v>11</v>
      </c>
      <c r="H193" t="str">
        <f t="shared" si="15"/>
        <v>11.09.1996</v>
      </c>
      <c r="I193" s="5">
        <v>41831</v>
      </c>
      <c r="J193" s="5">
        <f t="shared" si="16"/>
        <v>6512</v>
      </c>
      <c r="K193" s="6">
        <f t="shared" si="17"/>
        <v>17</v>
      </c>
    </row>
    <row r="194" spans="1:11" x14ac:dyDescent="0.25">
      <c r="A194" s="1" t="s">
        <v>387</v>
      </c>
      <c r="B194" s="1" t="s">
        <v>388</v>
      </c>
      <c r="C194">
        <v>3</v>
      </c>
      <c r="D194">
        <v>4051</v>
      </c>
      <c r="E194" s="1">
        <f t="shared" si="12"/>
        <v>1995</v>
      </c>
      <c r="F194" s="3" t="str">
        <f t="shared" si="13"/>
        <v>02</v>
      </c>
      <c r="G194" s="3" t="str">
        <f t="shared" si="14"/>
        <v>20</v>
      </c>
      <c r="H194" t="str">
        <f t="shared" si="15"/>
        <v>20.02.1995</v>
      </c>
      <c r="I194" s="5">
        <v>41832</v>
      </c>
      <c r="J194" s="5">
        <f t="shared" si="16"/>
        <v>7082</v>
      </c>
      <c r="K194" s="6">
        <f t="shared" si="17"/>
        <v>19</v>
      </c>
    </row>
    <row r="195" spans="1:11" x14ac:dyDescent="0.25">
      <c r="A195" s="1" t="s">
        <v>389</v>
      </c>
      <c r="B195" s="1" t="s">
        <v>390</v>
      </c>
      <c r="C195">
        <v>2</v>
      </c>
      <c r="D195">
        <v>4418</v>
      </c>
      <c r="E195" s="1">
        <f t="shared" ref="E195:E258" si="18">1900+1*LEFT(B195,2)</f>
        <v>1997</v>
      </c>
      <c r="F195" s="3" t="str">
        <f t="shared" ref="F195:F258" si="19">MID(B195,3,2)</f>
        <v>08</v>
      </c>
      <c r="G195" s="3" t="str">
        <f t="shared" ref="G195:G258" si="20">MID(B195,5,2)</f>
        <v>16</v>
      </c>
      <c r="H195" t="str">
        <f t="shared" ref="H195:H258" si="21">CONCATENATE(G195,".",F195,".",E195)</f>
        <v>16.08.1997</v>
      </c>
      <c r="I195" s="5">
        <v>41833</v>
      </c>
      <c r="J195" s="5">
        <f t="shared" ref="J195:J258" si="22">I195-H195</f>
        <v>6175</v>
      </c>
      <c r="K195" s="6">
        <f t="shared" ref="K195:K258" si="23">YEAR(J195)-1900</f>
        <v>16</v>
      </c>
    </row>
    <row r="196" spans="1:11" x14ac:dyDescent="0.25">
      <c r="A196" s="1" t="s">
        <v>391</v>
      </c>
      <c r="B196" s="1" t="s">
        <v>392</v>
      </c>
      <c r="C196">
        <v>6</v>
      </c>
      <c r="D196">
        <v>1797</v>
      </c>
      <c r="E196" s="1">
        <f t="shared" si="18"/>
        <v>1995</v>
      </c>
      <c r="F196" s="3" t="str">
        <f t="shared" si="19"/>
        <v>01</v>
      </c>
      <c r="G196" s="3" t="str">
        <f t="shared" si="20"/>
        <v>17</v>
      </c>
      <c r="H196" t="str">
        <f t="shared" si="21"/>
        <v>17.01.1995</v>
      </c>
      <c r="I196" s="5">
        <v>41834</v>
      </c>
      <c r="J196" s="5">
        <f t="shared" si="22"/>
        <v>7118</v>
      </c>
      <c r="K196" s="6">
        <f t="shared" si="23"/>
        <v>19</v>
      </c>
    </row>
    <row r="197" spans="1:11" x14ac:dyDescent="0.25">
      <c r="A197" s="1" t="s">
        <v>393</v>
      </c>
      <c r="B197" s="1" t="s">
        <v>394</v>
      </c>
      <c r="C197">
        <v>5</v>
      </c>
      <c r="D197">
        <v>1612</v>
      </c>
      <c r="E197" s="1">
        <f t="shared" si="18"/>
        <v>1995</v>
      </c>
      <c r="F197" s="3" t="str">
        <f t="shared" si="19"/>
        <v>12</v>
      </c>
      <c r="G197" s="3" t="str">
        <f t="shared" si="20"/>
        <v>03</v>
      </c>
      <c r="H197" t="str">
        <f t="shared" si="21"/>
        <v>03.12.1995</v>
      </c>
      <c r="I197" s="5">
        <v>41835</v>
      </c>
      <c r="J197" s="5">
        <f t="shared" si="22"/>
        <v>6799</v>
      </c>
      <c r="K197" s="6">
        <f t="shared" si="23"/>
        <v>18</v>
      </c>
    </row>
    <row r="198" spans="1:11" x14ac:dyDescent="0.25">
      <c r="A198" s="1" t="s">
        <v>395</v>
      </c>
      <c r="B198" s="1" t="s">
        <v>396</v>
      </c>
      <c r="C198">
        <v>5</v>
      </c>
      <c r="D198">
        <v>1359</v>
      </c>
      <c r="E198" s="1">
        <f t="shared" si="18"/>
        <v>1996</v>
      </c>
      <c r="F198" s="3" t="str">
        <f t="shared" si="19"/>
        <v>05</v>
      </c>
      <c r="G198" s="3" t="str">
        <f t="shared" si="20"/>
        <v>12</v>
      </c>
      <c r="H198" t="str">
        <f t="shared" si="21"/>
        <v>12.05.1996</v>
      </c>
      <c r="I198" s="5">
        <v>41836</v>
      </c>
      <c r="J198" s="5">
        <f t="shared" si="22"/>
        <v>6639</v>
      </c>
      <c r="K198" s="6">
        <f t="shared" si="23"/>
        <v>18</v>
      </c>
    </row>
    <row r="199" spans="1:11" x14ac:dyDescent="0.25">
      <c r="A199" s="1" t="s">
        <v>397</v>
      </c>
      <c r="B199" s="1" t="s">
        <v>398</v>
      </c>
      <c r="C199">
        <v>5</v>
      </c>
      <c r="D199">
        <v>861</v>
      </c>
      <c r="E199" s="1">
        <f t="shared" si="18"/>
        <v>1996</v>
      </c>
      <c r="F199" s="3" t="str">
        <f t="shared" si="19"/>
        <v>03</v>
      </c>
      <c r="G199" s="3" t="str">
        <f t="shared" si="20"/>
        <v>31</v>
      </c>
      <c r="H199" t="str">
        <f t="shared" si="21"/>
        <v>31.03.1996</v>
      </c>
      <c r="I199" s="5">
        <v>41837</v>
      </c>
      <c r="J199" s="5">
        <f t="shared" si="22"/>
        <v>6682</v>
      </c>
      <c r="K199" s="6">
        <f t="shared" si="23"/>
        <v>18</v>
      </c>
    </row>
    <row r="200" spans="1:11" x14ac:dyDescent="0.25">
      <c r="A200" s="1" t="s">
        <v>399</v>
      </c>
      <c r="B200" s="1" t="s">
        <v>400</v>
      </c>
      <c r="C200">
        <v>5</v>
      </c>
      <c r="D200">
        <v>2636</v>
      </c>
      <c r="E200" s="1">
        <f t="shared" si="18"/>
        <v>1995</v>
      </c>
      <c r="F200" s="3" t="str">
        <f t="shared" si="19"/>
        <v>03</v>
      </c>
      <c r="G200" s="3" t="str">
        <f t="shared" si="20"/>
        <v>26</v>
      </c>
      <c r="H200" t="str">
        <f t="shared" si="21"/>
        <v>26.03.1995</v>
      </c>
      <c r="I200" s="5">
        <v>41838</v>
      </c>
      <c r="J200" s="5">
        <f t="shared" si="22"/>
        <v>7054</v>
      </c>
      <c r="K200" s="6">
        <f t="shared" si="23"/>
        <v>19</v>
      </c>
    </row>
    <row r="201" spans="1:11" x14ac:dyDescent="0.25">
      <c r="A201" s="1" t="s">
        <v>401</v>
      </c>
      <c r="B201" s="1" t="s">
        <v>402</v>
      </c>
      <c r="C201">
        <v>4</v>
      </c>
      <c r="D201">
        <v>4153</v>
      </c>
      <c r="E201" s="1">
        <f t="shared" si="18"/>
        <v>1995</v>
      </c>
      <c r="F201" s="3" t="str">
        <f t="shared" si="19"/>
        <v>10</v>
      </c>
      <c r="G201" s="3" t="str">
        <f t="shared" si="20"/>
        <v>07</v>
      </c>
      <c r="H201" t="str">
        <f t="shared" si="21"/>
        <v>07.10.1995</v>
      </c>
      <c r="I201" s="5">
        <v>41839</v>
      </c>
      <c r="J201" s="5">
        <f t="shared" si="22"/>
        <v>6860</v>
      </c>
      <c r="K201" s="6">
        <f t="shared" si="23"/>
        <v>18</v>
      </c>
    </row>
    <row r="202" spans="1:11" x14ac:dyDescent="0.25">
      <c r="A202" s="1" t="s">
        <v>403</v>
      </c>
      <c r="B202" s="1" t="s">
        <v>404</v>
      </c>
      <c r="C202">
        <v>3</v>
      </c>
      <c r="D202">
        <v>3799</v>
      </c>
      <c r="E202" s="1">
        <f t="shared" si="18"/>
        <v>1995</v>
      </c>
      <c r="F202" s="3" t="str">
        <f t="shared" si="19"/>
        <v>12</v>
      </c>
      <c r="G202" s="3" t="str">
        <f t="shared" si="20"/>
        <v>08</v>
      </c>
      <c r="H202" t="str">
        <f t="shared" si="21"/>
        <v>08.12.1995</v>
      </c>
      <c r="I202" s="5">
        <v>41840</v>
      </c>
      <c r="J202" s="5">
        <f t="shared" si="22"/>
        <v>6799</v>
      </c>
      <c r="K202" s="6">
        <f t="shared" si="23"/>
        <v>18</v>
      </c>
    </row>
    <row r="203" spans="1:11" x14ac:dyDescent="0.25">
      <c r="A203" s="1" t="s">
        <v>405</v>
      </c>
      <c r="B203" s="1" t="s">
        <v>406</v>
      </c>
      <c r="C203">
        <v>4</v>
      </c>
      <c r="D203">
        <v>3491</v>
      </c>
      <c r="E203" s="1">
        <f t="shared" si="18"/>
        <v>1996</v>
      </c>
      <c r="F203" s="3" t="str">
        <f t="shared" si="19"/>
        <v>03</v>
      </c>
      <c r="G203" s="3" t="str">
        <f t="shared" si="20"/>
        <v>24</v>
      </c>
      <c r="H203" t="str">
        <f t="shared" si="21"/>
        <v>24.03.1996</v>
      </c>
      <c r="I203" s="5">
        <v>41841</v>
      </c>
      <c r="J203" s="5">
        <f t="shared" si="22"/>
        <v>6693</v>
      </c>
      <c r="K203" s="6">
        <f t="shared" si="23"/>
        <v>18</v>
      </c>
    </row>
    <row r="204" spans="1:11" x14ac:dyDescent="0.25">
      <c r="A204" s="1" t="s">
        <v>407</v>
      </c>
      <c r="B204" s="1" t="s">
        <v>408</v>
      </c>
      <c r="C204">
        <v>2</v>
      </c>
      <c r="D204">
        <v>3441</v>
      </c>
      <c r="E204" s="1">
        <f t="shared" si="18"/>
        <v>1996</v>
      </c>
      <c r="F204" s="3" t="str">
        <f t="shared" si="19"/>
        <v>06</v>
      </c>
      <c r="G204" s="3" t="str">
        <f t="shared" si="20"/>
        <v>14</v>
      </c>
      <c r="H204" t="str">
        <f t="shared" si="21"/>
        <v>14.06.1996</v>
      </c>
      <c r="I204" s="5">
        <v>41842</v>
      </c>
      <c r="J204" s="5">
        <f t="shared" si="22"/>
        <v>6612</v>
      </c>
      <c r="K204" s="6">
        <f t="shared" si="23"/>
        <v>18</v>
      </c>
    </row>
    <row r="205" spans="1:11" x14ac:dyDescent="0.25">
      <c r="A205" s="1" t="s">
        <v>409</v>
      </c>
      <c r="B205" s="1" t="s">
        <v>410</v>
      </c>
      <c r="C205">
        <v>3</v>
      </c>
      <c r="D205">
        <v>1263</v>
      </c>
      <c r="E205" s="1">
        <f t="shared" si="18"/>
        <v>1997</v>
      </c>
      <c r="F205" s="3" t="str">
        <f t="shared" si="19"/>
        <v>12</v>
      </c>
      <c r="G205" s="3" t="str">
        <f t="shared" si="20"/>
        <v>06</v>
      </c>
      <c r="H205" t="str">
        <f t="shared" si="21"/>
        <v>06.12.1997</v>
      </c>
      <c r="I205" s="5">
        <v>41843</v>
      </c>
      <c r="J205" s="5">
        <f t="shared" si="22"/>
        <v>6073</v>
      </c>
      <c r="K205" s="6">
        <f t="shared" si="23"/>
        <v>16</v>
      </c>
    </row>
    <row r="206" spans="1:11" x14ac:dyDescent="0.25">
      <c r="A206" s="1" t="s">
        <v>411</v>
      </c>
      <c r="B206" s="1" t="s">
        <v>412</v>
      </c>
      <c r="C206">
        <v>3</v>
      </c>
      <c r="D206">
        <v>767</v>
      </c>
      <c r="E206" s="1">
        <f t="shared" si="18"/>
        <v>1995</v>
      </c>
      <c r="F206" s="3" t="str">
        <f t="shared" si="19"/>
        <v>08</v>
      </c>
      <c r="G206" s="3" t="str">
        <f t="shared" si="20"/>
        <v>22</v>
      </c>
      <c r="H206" t="str">
        <f t="shared" si="21"/>
        <v>22.08.1995</v>
      </c>
      <c r="I206" s="5">
        <v>41844</v>
      </c>
      <c r="J206" s="5">
        <f t="shared" si="22"/>
        <v>6911</v>
      </c>
      <c r="K206" s="6">
        <f t="shared" si="23"/>
        <v>18</v>
      </c>
    </row>
    <row r="207" spans="1:11" x14ac:dyDescent="0.25">
      <c r="A207" s="1" t="s">
        <v>413</v>
      </c>
      <c r="B207" s="1" t="s">
        <v>414</v>
      </c>
      <c r="C207">
        <v>3</v>
      </c>
      <c r="D207">
        <v>1583</v>
      </c>
      <c r="E207" s="1">
        <f t="shared" si="18"/>
        <v>1997</v>
      </c>
      <c r="F207" s="3" t="str">
        <f t="shared" si="19"/>
        <v>07</v>
      </c>
      <c r="G207" s="3" t="str">
        <f t="shared" si="20"/>
        <v>29</v>
      </c>
      <c r="H207" t="str">
        <f t="shared" si="21"/>
        <v>29.07.1997</v>
      </c>
      <c r="I207" s="5">
        <v>41845</v>
      </c>
      <c r="J207" s="5">
        <f t="shared" si="22"/>
        <v>6205</v>
      </c>
      <c r="K207" s="6">
        <f t="shared" si="23"/>
        <v>16</v>
      </c>
    </row>
    <row r="208" spans="1:11" x14ac:dyDescent="0.25">
      <c r="A208" s="1" t="s">
        <v>415</v>
      </c>
      <c r="B208" s="1" t="s">
        <v>416</v>
      </c>
      <c r="C208">
        <v>4</v>
      </c>
      <c r="D208">
        <v>3211</v>
      </c>
      <c r="E208" s="1">
        <f t="shared" si="18"/>
        <v>1995</v>
      </c>
      <c r="F208" s="3" t="str">
        <f t="shared" si="19"/>
        <v>11</v>
      </c>
      <c r="G208" s="3" t="str">
        <f t="shared" si="20"/>
        <v>03</v>
      </c>
      <c r="H208" t="str">
        <f t="shared" si="21"/>
        <v>03.11.1995</v>
      </c>
      <c r="I208" s="5">
        <v>41846</v>
      </c>
      <c r="J208" s="5">
        <f t="shared" si="22"/>
        <v>6840</v>
      </c>
      <c r="K208" s="6">
        <f t="shared" si="23"/>
        <v>18</v>
      </c>
    </row>
    <row r="209" spans="1:11" x14ac:dyDescent="0.25">
      <c r="A209" s="1" t="s">
        <v>417</v>
      </c>
      <c r="B209" s="1" t="s">
        <v>418</v>
      </c>
      <c r="C209">
        <v>4</v>
      </c>
      <c r="D209">
        <v>2432</v>
      </c>
      <c r="E209" s="1">
        <f t="shared" si="18"/>
        <v>1995</v>
      </c>
      <c r="F209" s="3" t="str">
        <f t="shared" si="19"/>
        <v>10</v>
      </c>
      <c r="G209" s="3" t="str">
        <f t="shared" si="20"/>
        <v>07</v>
      </c>
      <c r="H209" t="str">
        <f t="shared" si="21"/>
        <v>07.10.1995</v>
      </c>
      <c r="I209" s="5">
        <v>41847</v>
      </c>
      <c r="J209" s="5">
        <f t="shared" si="22"/>
        <v>6868</v>
      </c>
      <c r="K209" s="6">
        <f t="shared" si="23"/>
        <v>18</v>
      </c>
    </row>
    <row r="210" spans="1:11" x14ac:dyDescent="0.25">
      <c r="A210" s="1" t="s">
        <v>419</v>
      </c>
      <c r="B210" s="1" t="s">
        <v>420</v>
      </c>
      <c r="C210">
        <v>5</v>
      </c>
      <c r="D210">
        <v>4185</v>
      </c>
      <c r="E210" s="1">
        <f t="shared" si="18"/>
        <v>1995</v>
      </c>
      <c r="F210" s="3" t="str">
        <f t="shared" si="19"/>
        <v>02</v>
      </c>
      <c r="G210" s="3" t="str">
        <f t="shared" si="20"/>
        <v>20</v>
      </c>
      <c r="H210" t="str">
        <f t="shared" si="21"/>
        <v>20.02.1995</v>
      </c>
      <c r="I210" s="5">
        <v>41848</v>
      </c>
      <c r="J210" s="5">
        <f t="shared" si="22"/>
        <v>7098</v>
      </c>
      <c r="K210" s="6">
        <f t="shared" si="23"/>
        <v>19</v>
      </c>
    </row>
    <row r="211" spans="1:11" x14ac:dyDescent="0.25">
      <c r="A211" s="1" t="s">
        <v>421</v>
      </c>
      <c r="B211" s="1" t="s">
        <v>422</v>
      </c>
      <c r="C211">
        <v>4</v>
      </c>
      <c r="D211">
        <v>2595</v>
      </c>
      <c r="E211" s="1">
        <f t="shared" si="18"/>
        <v>1995</v>
      </c>
      <c r="F211" s="3" t="str">
        <f t="shared" si="19"/>
        <v>12</v>
      </c>
      <c r="G211" s="3" t="str">
        <f t="shared" si="20"/>
        <v>17</v>
      </c>
      <c r="H211" t="str">
        <f t="shared" si="21"/>
        <v>17.12.1995</v>
      </c>
      <c r="I211" s="5">
        <v>41849</v>
      </c>
      <c r="J211" s="5">
        <f t="shared" si="22"/>
        <v>6799</v>
      </c>
      <c r="K211" s="6">
        <f t="shared" si="23"/>
        <v>18</v>
      </c>
    </row>
    <row r="212" spans="1:11" x14ac:dyDescent="0.25">
      <c r="A212" s="1" t="s">
        <v>423</v>
      </c>
      <c r="B212" s="1" t="s">
        <v>424</v>
      </c>
      <c r="C212">
        <v>3</v>
      </c>
      <c r="D212">
        <v>1219</v>
      </c>
      <c r="E212" s="1">
        <f t="shared" si="18"/>
        <v>1996</v>
      </c>
      <c r="F212" s="3" t="str">
        <f t="shared" si="19"/>
        <v>08</v>
      </c>
      <c r="G212" s="3" t="str">
        <f t="shared" si="20"/>
        <v>21</v>
      </c>
      <c r="H212" t="str">
        <f t="shared" si="21"/>
        <v>21.08.1996</v>
      </c>
      <c r="I212" s="5">
        <v>41850</v>
      </c>
      <c r="J212" s="5">
        <f t="shared" si="22"/>
        <v>6552</v>
      </c>
      <c r="K212" s="6">
        <f t="shared" si="23"/>
        <v>17</v>
      </c>
    </row>
    <row r="213" spans="1:11" x14ac:dyDescent="0.25">
      <c r="A213" s="1" t="s">
        <v>425</v>
      </c>
      <c r="B213" s="1" t="s">
        <v>426</v>
      </c>
      <c r="C213">
        <v>4</v>
      </c>
      <c r="D213">
        <v>3670</v>
      </c>
      <c r="E213" s="1">
        <f t="shared" si="18"/>
        <v>1996</v>
      </c>
      <c r="F213" s="3" t="str">
        <f t="shared" si="19"/>
        <v>01</v>
      </c>
      <c r="G213" s="3" t="str">
        <f t="shared" si="20"/>
        <v>30</v>
      </c>
      <c r="H213" t="str">
        <f t="shared" si="21"/>
        <v>30.01.1996</v>
      </c>
      <c r="I213" s="5">
        <v>41851</v>
      </c>
      <c r="J213" s="5">
        <f t="shared" si="22"/>
        <v>6757</v>
      </c>
      <c r="K213" s="6">
        <f t="shared" si="23"/>
        <v>18</v>
      </c>
    </row>
    <row r="214" spans="1:11" x14ac:dyDescent="0.25">
      <c r="A214" s="1" t="s">
        <v>427</v>
      </c>
      <c r="B214" s="1" t="s">
        <v>428</v>
      </c>
      <c r="C214">
        <v>6</v>
      </c>
      <c r="D214">
        <v>1563</v>
      </c>
      <c r="E214" s="1">
        <f t="shared" si="18"/>
        <v>1996</v>
      </c>
      <c r="F214" s="3" t="str">
        <f t="shared" si="19"/>
        <v>02</v>
      </c>
      <c r="G214" s="3" t="str">
        <f t="shared" si="20"/>
        <v>15</v>
      </c>
      <c r="H214" t="str">
        <f t="shared" si="21"/>
        <v>15.02.1996</v>
      </c>
      <c r="I214" s="5">
        <v>41852</v>
      </c>
      <c r="J214" s="5">
        <f t="shared" si="22"/>
        <v>6742</v>
      </c>
      <c r="K214" s="6">
        <f t="shared" si="23"/>
        <v>18</v>
      </c>
    </row>
    <row r="215" spans="1:11" x14ac:dyDescent="0.25">
      <c r="A215" s="1" t="s">
        <v>429</v>
      </c>
      <c r="B215" s="1" t="s">
        <v>430</v>
      </c>
      <c r="C215">
        <v>2</v>
      </c>
      <c r="D215">
        <v>4222</v>
      </c>
      <c r="E215" s="1">
        <f t="shared" si="18"/>
        <v>1996</v>
      </c>
      <c r="F215" s="3" t="str">
        <f t="shared" si="19"/>
        <v>04</v>
      </c>
      <c r="G215" s="3" t="str">
        <f t="shared" si="20"/>
        <v>02</v>
      </c>
      <c r="H215" t="str">
        <f t="shared" si="21"/>
        <v>02.04.1996</v>
      </c>
      <c r="I215" s="5">
        <v>41853</v>
      </c>
      <c r="J215" s="5">
        <f t="shared" si="22"/>
        <v>6696</v>
      </c>
      <c r="K215" s="6">
        <f t="shared" si="23"/>
        <v>18</v>
      </c>
    </row>
    <row r="216" spans="1:11" x14ac:dyDescent="0.25">
      <c r="A216" s="1" t="s">
        <v>431</v>
      </c>
      <c r="B216" s="1" t="s">
        <v>432</v>
      </c>
      <c r="C216">
        <v>5</v>
      </c>
      <c r="D216">
        <v>2627</v>
      </c>
      <c r="E216" s="1">
        <f t="shared" si="18"/>
        <v>1995</v>
      </c>
      <c r="F216" s="3" t="str">
        <f t="shared" si="19"/>
        <v>09</v>
      </c>
      <c r="G216" s="3" t="str">
        <f t="shared" si="20"/>
        <v>23</v>
      </c>
      <c r="H216" t="str">
        <f t="shared" si="21"/>
        <v>23.09.1995</v>
      </c>
      <c r="I216" s="5">
        <v>41854</v>
      </c>
      <c r="J216" s="5">
        <f t="shared" si="22"/>
        <v>6889</v>
      </c>
      <c r="K216" s="6">
        <f t="shared" si="23"/>
        <v>18</v>
      </c>
    </row>
    <row r="217" spans="1:11" x14ac:dyDescent="0.25">
      <c r="A217" s="1" t="s">
        <v>433</v>
      </c>
      <c r="B217" s="1" t="s">
        <v>434</v>
      </c>
      <c r="C217">
        <v>2</v>
      </c>
      <c r="D217">
        <v>2103</v>
      </c>
      <c r="E217" s="1">
        <f t="shared" si="18"/>
        <v>1995</v>
      </c>
      <c r="F217" s="3" t="str">
        <f t="shared" si="19"/>
        <v>05</v>
      </c>
      <c r="G217" s="3" t="str">
        <f t="shared" si="20"/>
        <v>30</v>
      </c>
      <c r="H217" t="str">
        <f t="shared" si="21"/>
        <v>30.05.1995</v>
      </c>
      <c r="I217" s="5">
        <v>41855</v>
      </c>
      <c r="J217" s="5">
        <f t="shared" si="22"/>
        <v>7006</v>
      </c>
      <c r="K217" s="6">
        <f t="shared" si="23"/>
        <v>19</v>
      </c>
    </row>
    <row r="218" spans="1:11" x14ac:dyDescent="0.25">
      <c r="A218" s="1" t="s">
        <v>435</v>
      </c>
      <c r="B218" s="1" t="s">
        <v>436</v>
      </c>
      <c r="C218">
        <v>3</v>
      </c>
      <c r="D218">
        <v>4380</v>
      </c>
      <c r="E218" s="1">
        <f t="shared" si="18"/>
        <v>1996</v>
      </c>
      <c r="F218" s="3" t="str">
        <f t="shared" si="19"/>
        <v>02</v>
      </c>
      <c r="G218" s="3" t="str">
        <f t="shared" si="20"/>
        <v>24</v>
      </c>
      <c r="H218" t="str">
        <f t="shared" si="21"/>
        <v>24.02.1996</v>
      </c>
      <c r="I218" s="5">
        <v>41856</v>
      </c>
      <c r="J218" s="5">
        <f t="shared" si="22"/>
        <v>6737</v>
      </c>
      <c r="K218" s="6">
        <f t="shared" si="23"/>
        <v>18</v>
      </c>
    </row>
    <row r="219" spans="1:11" x14ac:dyDescent="0.25">
      <c r="A219" s="1" t="s">
        <v>437</v>
      </c>
      <c r="B219" s="1" t="s">
        <v>438</v>
      </c>
      <c r="C219">
        <v>6</v>
      </c>
      <c r="D219">
        <v>689</v>
      </c>
      <c r="E219" s="1">
        <f t="shared" si="18"/>
        <v>1995</v>
      </c>
      <c r="F219" s="3" t="str">
        <f t="shared" si="19"/>
        <v>04</v>
      </c>
      <c r="G219" s="3" t="str">
        <f t="shared" si="20"/>
        <v>12</v>
      </c>
      <c r="H219" t="str">
        <f t="shared" si="21"/>
        <v>12.04.1995</v>
      </c>
      <c r="I219" s="5">
        <v>41857</v>
      </c>
      <c r="J219" s="5">
        <f t="shared" si="22"/>
        <v>7056</v>
      </c>
      <c r="K219" s="6">
        <f t="shared" si="23"/>
        <v>19</v>
      </c>
    </row>
    <row r="220" spans="1:11" x14ac:dyDescent="0.25">
      <c r="A220" s="1" t="s">
        <v>439</v>
      </c>
      <c r="B220" s="1" t="s">
        <v>440</v>
      </c>
      <c r="C220">
        <v>6</v>
      </c>
      <c r="D220">
        <v>3877</v>
      </c>
      <c r="E220" s="1">
        <f t="shared" si="18"/>
        <v>1995</v>
      </c>
      <c r="F220" s="3" t="str">
        <f t="shared" si="19"/>
        <v>11</v>
      </c>
      <c r="G220" s="3" t="str">
        <f t="shared" si="20"/>
        <v>06</v>
      </c>
      <c r="H220" t="str">
        <f t="shared" si="21"/>
        <v>06.11.1995</v>
      </c>
      <c r="I220" s="5">
        <v>41858</v>
      </c>
      <c r="J220" s="5">
        <f t="shared" si="22"/>
        <v>6849</v>
      </c>
      <c r="K220" s="6">
        <f t="shared" si="23"/>
        <v>18</v>
      </c>
    </row>
    <row r="221" spans="1:11" x14ac:dyDescent="0.25">
      <c r="A221" s="1" t="s">
        <v>441</v>
      </c>
      <c r="B221" s="1" t="s">
        <v>442</v>
      </c>
      <c r="C221">
        <v>4</v>
      </c>
      <c r="D221">
        <v>2551</v>
      </c>
      <c r="E221" s="1">
        <f t="shared" si="18"/>
        <v>1997</v>
      </c>
      <c r="F221" s="3" t="str">
        <f t="shared" si="19"/>
        <v>11</v>
      </c>
      <c r="G221" s="3" t="str">
        <f t="shared" si="20"/>
        <v>02</v>
      </c>
      <c r="H221" t="str">
        <f t="shared" si="21"/>
        <v>02.11.1997</v>
      </c>
      <c r="I221" s="5">
        <v>41859</v>
      </c>
      <c r="J221" s="5">
        <f t="shared" si="22"/>
        <v>6123</v>
      </c>
      <c r="K221" s="6">
        <f t="shared" si="23"/>
        <v>16</v>
      </c>
    </row>
    <row r="222" spans="1:11" x14ac:dyDescent="0.25">
      <c r="A222" s="1" t="s">
        <v>443</v>
      </c>
      <c r="B222" s="1" t="s">
        <v>444</v>
      </c>
      <c r="C222">
        <v>3</v>
      </c>
      <c r="D222">
        <v>1499</v>
      </c>
      <c r="E222" s="1">
        <f t="shared" si="18"/>
        <v>1997</v>
      </c>
      <c r="F222" s="3" t="str">
        <f t="shared" si="19"/>
        <v>01</v>
      </c>
      <c r="G222" s="3" t="str">
        <f t="shared" si="20"/>
        <v>30</v>
      </c>
      <c r="H222" t="str">
        <f t="shared" si="21"/>
        <v>30.01.1997</v>
      </c>
      <c r="I222" s="5">
        <v>41860</v>
      </c>
      <c r="J222" s="5">
        <f t="shared" si="22"/>
        <v>6400</v>
      </c>
      <c r="K222" s="6">
        <f t="shared" si="23"/>
        <v>17</v>
      </c>
    </row>
    <row r="223" spans="1:11" x14ac:dyDescent="0.25">
      <c r="A223" s="1" t="s">
        <v>445</v>
      </c>
      <c r="B223" s="1" t="s">
        <v>446</v>
      </c>
      <c r="C223">
        <v>3</v>
      </c>
      <c r="D223">
        <v>2743</v>
      </c>
      <c r="E223" s="1">
        <f t="shared" si="18"/>
        <v>1996</v>
      </c>
      <c r="F223" s="3" t="str">
        <f t="shared" si="19"/>
        <v>05</v>
      </c>
      <c r="G223" s="3" t="str">
        <f t="shared" si="20"/>
        <v>22</v>
      </c>
      <c r="H223" t="str">
        <f t="shared" si="21"/>
        <v>22.05.1996</v>
      </c>
      <c r="I223" s="5">
        <v>41861</v>
      </c>
      <c r="J223" s="5">
        <f t="shared" si="22"/>
        <v>6654</v>
      </c>
      <c r="K223" s="6">
        <f t="shared" si="23"/>
        <v>18</v>
      </c>
    </row>
    <row r="224" spans="1:11" x14ac:dyDescent="0.25">
      <c r="A224" s="1" t="s">
        <v>447</v>
      </c>
      <c r="B224" s="1" t="s">
        <v>448</v>
      </c>
      <c r="C224">
        <v>4</v>
      </c>
      <c r="D224">
        <v>2331</v>
      </c>
      <c r="E224" s="1">
        <f t="shared" si="18"/>
        <v>1996</v>
      </c>
      <c r="F224" s="3" t="str">
        <f t="shared" si="19"/>
        <v>04</v>
      </c>
      <c r="G224" s="3" t="str">
        <f t="shared" si="20"/>
        <v>30</v>
      </c>
      <c r="H224" t="str">
        <f t="shared" si="21"/>
        <v>30.04.1996</v>
      </c>
      <c r="I224" s="5">
        <v>41862</v>
      </c>
      <c r="J224" s="5">
        <f t="shared" si="22"/>
        <v>6677</v>
      </c>
      <c r="K224" s="6">
        <f t="shared" si="23"/>
        <v>18</v>
      </c>
    </row>
    <row r="225" spans="1:11" x14ac:dyDescent="0.25">
      <c r="A225" s="1" t="s">
        <v>449</v>
      </c>
      <c r="B225" s="1" t="s">
        <v>450</v>
      </c>
      <c r="C225">
        <v>2</v>
      </c>
      <c r="D225">
        <v>3999</v>
      </c>
      <c r="E225" s="1">
        <f t="shared" si="18"/>
        <v>1997</v>
      </c>
      <c r="F225" s="3" t="str">
        <f t="shared" si="19"/>
        <v>12</v>
      </c>
      <c r="G225" s="3" t="str">
        <f t="shared" si="20"/>
        <v>25</v>
      </c>
      <c r="H225" t="str">
        <f t="shared" si="21"/>
        <v>25.12.1997</v>
      </c>
      <c r="I225" s="5">
        <v>41863</v>
      </c>
      <c r="J225" s="5">
        <f t="shared" si="22"/>
        <v>6074</v>
      </c>
      <c r="K225" s="6">
        <f t="shared" si="23"/>
        <v>16</v>
      </c>
    </row>
    <row r="226" spans="1:11" x14ac:dyDescent="0.25">
      <c r="A226" s="1" t="s">
        <v>451</v>
      </c>
      <c r="B226" s="1" t="s">
        <v>452</v>
      </c>
      <c r="C226">
        <v>6</v>
      </c>
      <c r="D226">
        <v>2212</v>
      </c>
      <c r="E226" s="1">
        <f t="shared" si="18"/>
        <v>1995</v>
      </c>
      <c r="F226" s="3" t="str">
        <f t="shared" si="19"/>
        <v>07</v>
      </c>
      <c r="G226" s="3" t="str">
        <f t="shared" si="20"/>
        <v>19</v>
      </c>
      <c r="H226" t="str">
        <f t="shared" si="21"/>
        <v>19.07.1995</v>
      </c>
      <c r="I226" s="5">
        <v>41864</v>
      </c>
      <c r="J226" s="5">
        <f t="shared" si="22"/>
        <v>6965</v>
      </c>
      <c r="K226" s="6">
        <f t="shared" si="23"/>
        <v>19</v>
      </c>
    </row>
    <row r="227" spans="1:11" x14ac:dyDescent="0.25">
      <c r="A227" s="1" t="s">
        <v>453</v>
      </c>
      <c r="B227" s="1" t="s">
        <v>454</v>
      </c>
      <c r="C227">
        <v>5</v>
      </c>
      <c r="D227">
        <v>1854</v>
      </c>
      <c r="E227" s="1">
        <f t="shared" si="18"/>
        <v>1997</v>
      </c>
      <c r="F227" s="3" t="str">
        <f t="shared" si="19"/>
        <v>03</v>
      </c>
      <c r="G227" s="3" t="str">
        <f t="shared" si="20"/>
        <v>27</v>
      </c>
      <c r="H227" t="str">
        <f t="shared" si="21"/>
        <v>27.03.1997</v>
      </c>
      <c r="I227" s="5">
        <v>41865</v>
      </c>
      <c r="J227" s="5">
        <f t="shared" si="22"/>
        <v>6349</v>
      </c>
      <c r="K227" s="6">
        <f t="shared" si="23"/>
        <v>17</v>
      </c>
    </row>
    <row r="228" spans="1:11" x14ac:dyDescent="0.25">
      <c r="A228" s="1" t="s">
        <v>455</v>
      </c>
      <c r="B228" s="1" t="s">
        <v>456</v>
      </c>
      <c r="C228">
        <v>6</v>
      </c>
      <c r="D228">
        <v>3681</v>
      </c>
      <c r="E228" s="1">
        <f t="shared" si="18"/>
        <v>1995</v>
      </c>
      <c r="F228" s="3" t="str">
        <f t="shared" si="19"/>
        <v>10</v>
      </c>
      <c r="G228" s="3" t="str">
        <f t="shared" si="20"/>
        <v>03</v>
      </c>
      <c r="H228" t="str">
        <f t="shared" si="21"/>
        <v>03.10.1995</v>
      </c>
      <c r="I228" s="5">
        <v>41866</v>
      </c>
      <c r="J228" s="5">
        <f t="shared" si="22"/>
        <v>6891</v>
      </c>
      <c r="K228" s="6">
        <f t="shared" si="23"/>
        <v>18</v>
      </c>
    </row>
    <row r="229" spans="1:11" x14ac:dyDescent="0.25">
      <c r="A229" s="1" t="s">
        <v>457</v>
      </c>
      <c r="B229" s="1" t="s">
        <v>458</v>
      </c>
      <c r="C229">
        <v>6</v>
      </c>
      <c r="D229">
        <v>2643</v>
      </c>
      <c r="E229" s="1">
        <f t="shared" si="18"/>
        <v>1996</v>
      </c>
      <c r="F229" s="3" t="str">
        <f t="shared" si="19"/>
        <v>09</v>
      </c>
      <c r="G229" s="3" t="str">
        <f t="shared" si="20"/>
        <v>20</v>
      </c>
      <c r="H229" t="str">
        <f t="shared" si="21"/>
        <v>20.09.1996</v>
      </c>
      <c r="I229" s="5">
        <v>41867</v>
      </c>
      <c r="J229" s="5">
        <f t="shared" si="22"/>
        <v>6539</v>
      </c>
      <c r="K229" s="6">
        <f t="shared" si="23"/>
        <v>17</v>
      </c>
    </row>
    <row r="230" spans="1:11" x14ac:dyDescent="0.25">
      <c r="A230" s="1" t="s">
        <v>459</v>
      </c>
      <c r="B230" s="1" t="s">
        <v>460</v>
      </c>
      <c r="C230">
        <v>2</v>
      </c>
      <c r="D230">
        <v>3843</v>
      </c>
      <c r="E230" s="1">
        <f t="shared" si="18"/>
        <v>1996</v>
      </c>
      <c r="F230" s="3" t="str">
        <f t="shared" si="19"/>
        <v>05</v>
      </c>
      <c r="G230" s="3" t="str">
        <f t="shared" si="20"/>
        <v>24</v>
      </c>
      <c r="H230" t="str">
        <f t="shared" si="21"/>
        <v>24.05.1996</v>
      </c>
      <c r="I230" s="5">
        <v>41868</v>
      </c>
      <c r="J230" s="5">
        <f t="shared" si="22"/>
        <v>6659</v>
      </c>
      <c r="K230" s="6">
        <f t="shared" si="23"/>
        <v>18</v>
      </c>
    </row>
    <row r="231" spans="1:11" x14ac:dyDescent="0.25">
      <c r="A231" s="1" t="s">
        <v>461</v>
      </c>
      <c r="B231" s="1" t="s">
        <v>462</v>
      </c>
      <c r="C231">
        <v>3</v>
      </c>
      <c r="D231">
        <v>2626</v>
      </c>
      <c r="E231" s="1">
        <f t="shared" si="18"/>
        <v>1996</v>
      </c>
      <c r="F231" s="3" t="str">
        <f t="shared" si="19"/>
        <v>09</v>
      </c>
      <c r="G231" s="3" t="str">
        <f t="shared" si="20"/>
        <v>27</v>
      </c>
      <c r="H231" t="str">
        <f t="shared" si="21"/>
        <v>27.09.1996</v>
      </c>
      <c r="I231" s="5">
        <v>41869</v>
      </c>
      <c r="J231" s="5">
        <f t="shared" si="22"/>
        <v>6534</v>
      </c>
      <c r="K231" s="6">
        <f t="shared" si="23"/>
        <v>17</v>
      </c>
    </row>
    <row r="232" spans="1:11" x14ac:dyDescent="0.25">
      <c r="A232" s="1" t="s">
        <v>463</v>
      </c>
      <c r="B232" s="1" t="s">
        <v>464</v>
      </c>
      <c r="C232">
        <v>5</v>
      </c>
      <c r="D232">
        <v>3900</v>
      </c>
      <c r="E232" s="1">
        <f t="shared" si="18"/>
        <v>1998</v>
      </c>
      <c r="F232" s="3" t="str">
        <f t="shared" si="19"/>
        <v>11</v>
      </c>
      <c r="G232" s="3" t="str">
        <f t="shared" si="20"/>
        <v>27</v>
      </c>
      <c r="H232" t="str">
        <f t="shared" si="21"/>
        <v>27.11.1998</v>
      </c>
      <c r="I232" s="5">
        <v>41870</v>
      </c>
      <c r="J232" s="5">
        <f t="shared" si="22"/>
        <v>5744</v>
      </c>
      <c r="K232" s="6">
        <f t="shared" si="23"/>
        <v>15</v>
      </c>
    </row>
    <row r="233" spans="1:11" x14ac:dyDescent="0.25">
      <c r="A233" s="1" t="s">
        <v>465</v>
      </c>
      <c r="B233" s="1" t="s">
        <v>466</v>
      </c>
      <c r="C233">
        <v>6</v>
      </c>
      <c r="D233">
        <v>907</v>
      </c>
      <c r="E233" s="1">
        <f t="shared" si="18"/>
        <v>1996</v>
      </c>
      <c r="F233" s="3" t="str">
        <f t="shared" si="19"/>
        <v>03</v>
      </c>
      <c r="G233" s="3" t="str">
        <f t="shared" si="20"/>
        <v>25</v>
      </c>
      <c r="H233" t="str">
        <f t="shared" si="21"/>
        <v>25.03.1996</v>
      </c>
      <c r="I233" s="5">
        <v>41871</v>
      </c>
      <c r="J233" s="5">
        <f t="shared" si="22"/>
        <v>6722</v>
      </c>
      <c r="K233" s="6">
        <f t="shared" si="23"/>
        <v>18</v>
      </c>
    </row>
    <row r="234" spans="1:11" x14ac:dyDescent="0.25">
      <c r="A234" s="1" t="s">
        <v>467</v>
      </c>
      <c r="B234" s="1" t="s">
        <v>468</v>
      </c>
      <c r="C234">
        <v>5</v>
      </c>
      <c r="D234">
        <v>3718</v>
      </c>
      <c r="E234" s="1">
        <f t="shared" si="18"/>
        <v>1996</v>
      </c>
      <c r="F234" s="3" t="str">
        <f t="shared" si="19"/>
        <v>10</v>
      </c>
      <c r="G234" s="3" t="str">
        <f t="shared" si="20"/>
        <v>12</v>
      </c>
      <c r="H234" t="str">
        <f t="shared" si="21"/>
        <v>12.10.1996</v>
      </c>
      <c r="I234" s="5">
        <v>41872</v>
      </c>
      <c r="J234" s="5">
        <f t="shared" si="22"/>
        <v>6522</v>
      </c>
      <c r="K234" s="6">
        <f t="shared" si="23"/>
        <v>17</v>
      </c>
    </row>
    <row r="235" spans="1:11" x14ac:dyDescent="0.25">
      <c r="A235" s="1" t="s">
        <v>469</v>
      </c>
      <c r="B235" s="1" t="s">
        <v>470</v>
      </c>
      <c r="C235">
        <v>5</v>
      </c>
      <c r="D235">
        <v>2009</v>
      </c>
      <c r="E235" s="1">
        <f t="shared" si="18"/>
        <v>1997</v>
      </c>
      <c r="F235" s="3" t="str">
        <f t="shared" si="19"/>
        <v>09</v>
      </c>
      <c r="G235" s="3" t="str">
        <f t="shared" si="20"/>
        <v>19</v>
      </c>
      <c r="H235" t="str">
        <f t="shared" si="21"/>
        <v>19.09.1997</v>
      </c>
      <c r="I235" s="5">
        <v>41873</v>
      </c>
      <c r="J235" s="5">
        <f t="shared" si="22"/>
        <v>6181</v>
      </c>
      <c r="K235" s="6">
        <f t="shared" si="23"/>
        <v>16</v>
      </c>
    </row>
    <row r="236" spans="1:11" x14ac:dyDescent="0.25">
      <c r="A236" s="1" t="s">
        <v>471</v>
      </c>
      <c r="B236" s="1" t="s">
        <v>472</v>
      </c>
      <c r="C236">
        <v>4</v>
      </c>
      <c r="D236">
        <v>1719</v>
      </c>
      <c r="E236" s="1">
        <f t="shared" si="18"/>
        <v>1995</v>
      </c>
      <c r="F236" s="3" t="str">
        <f t="shared" si="19"/>
        <v>10</v>
      </c>
      <c r="G236" s="3" t="str">
        <f t="shared" si="20"/>
        <v>28</v>
      </c>
      <c r="H236" t="str">
        <f t="shared" si="21"/>
        <v>28.10.1995</v>
      </c>
      <c r="I236" s="5">
        <v>41874</v>
      </c>
      <c r="J236" s="5">
        <f t="shared" si="22"/>
        <v>6874</v>
      </c>
      <c r="K236" s="6">
        <f t="shared" si="23"/>
        <v>18</v>
      </c>
    </row>
    <row r="237" spans="1:11" x14ac:dyDescent="0.25">
      <c r="A237" s="1" t="s">
        <v>473</v>
      </c>
      <c r="B237" s="1" t="s">
        <v>474</v>
      </c>
      <c r="C237">
        <v>5</v>
      </c>
      <c r="D237">
        <v>647</v>
      </c>
      <c r="E237" s="1">
        <f t="shared" si="18"/>
        <v>1996</v>
      </c>
      <c r="F237" s="3" t="str">
        <f t="shared" si="19"/>
        <v>05</v>
      </c>
      <c r="G237" s="3" t="str">
        <f t="shared" si="20"/>
        <v>29</v>
      </c>
      <c r="H237" t="str">
        <f t="shared" si="21"/>
        <v>29.05.1996</v>
      </c>
      <c r="I237" s="5">
        <v>41875</v>
      </c>
      <c r="J237" s="5">
        <f t="shared" si="22"/>
        <v>6661</v>
      </c>
      <c r="K237" s="6">
        <f t="shared" si="23"/>
        <v>18</v>
      </c>
    </row>
    <row r="238" spans="1:11" x14ac:dyDescent="0.25">
      <c r="A238" s="1" t="s">
        <v>475</v>
      </c>
      <c r="B238" s="1" t="s">
        <v>476</v>
      </c>
      <c r="C238">
        <v>3</v>
      </c>
      <c r="D238">
        <v>2253</v>
      </c>
      <c r="E238" s="1">
        <f t="shared" si="18"/>
        <v>1995</v>
      </c>
      <c r="F238" s="3" t="str">
        <f t="shared" si="19"/>
        <v>10</v>
      </c>
      <c r="G238" s="3" t="str">
        <f t="shared" si="20"/>
        <v>07</v>
      </c>
      <c r="H238" t="str">
        <f t="shared" si="21"/>
        <v>07.10.1995</v>
      </c>
      <c r="I238" s="5">
        <v>41876</v>
      </c>
      <c r="J238" s="5">
        <f t="shared" si="22"/>
        <v>6897</v>
      </c>
      <c r="K238" s="6">
        <f t="shared" si="23"/>
        <v>18</v>
      </c>
    </row>
    <row r="239" spans="1:11" x14ac:dyDescent="0.25">
      <c r="A239" s="1" t="s">
        <v>477</v>
      </c>
      <c r="B239" s="1" t="s">
        <v>478</v>
      </c>
      <c r="C239">
        <v>3</v>
      </c>
      <c r="D239">
        <v>3058</v>
      </c>
      <c r="E239" s="1">
        <f t="shared" si="18"/>
        <v>1997</v>
      </c>
      <c r="F239" s="3" t="str">
        <f t="shared" si="19"/>
        <v>07</v>
      </c>
      <c r="G239" s="3" t="str">
        <f t="shared" si="20"/>
        <v>19</v>
      </c>
      <c r="H239" t="str">
        <f t="shared" si="21"/>
        <v>19.07.1997</v>
      </c>
      <c r="I239" s="5">
        <v>41877</v>
      </c>
      <c r="J239" s="5">
        <f t="shared" si="22"/>
        <v>6247</v>
      </c>
      <c r="K239" s="6">
        <f t="shared" si="23"/>
        <v>17</v>
      </c>
    </row>
    <row r="240" spans="1:11" x14ac:dyDescent="0.25">
      <c r="A240" s="1" t="s">
        <v>479</v>
      </c>
      <c r="B240" s="1" t="s">
        <v>480</v>
      </c>
      <c r="C240">
        <v>5</v>
      </c>
      <c r="D240">
        <v>1111</v>
      </c>
      <c r="E240" s="1">
        <f t="shared" si="18"/>
        <v>1996</v>
      </c>
      <c r="F240" s="3" t="str">
        <f t="shared" si="19"/>
        <v>12</v>
      </c>
      <c r="G240" s="3" t="str">
        <f t="shared" si="20"/>
        <v>13</v>
      </c>
      <c r="H240" t="str">
        <f t="shared" si="21"/>
        <v>13.12.1996</v>
      </c>
      <c r="I240" s="5">
        <v>41878</v>
      </c>
      <c r="J240" s="5">
        <f t="shared" si="22"/>
        <v>6466</v>
      </c>
      <c r="K240" s="6">
        <f t="shared" si="23"/>
        <v>17</v>
      </c>
    </row>
    <row r="241" spans="1:11" x14ac:dyDescent="0.25">
      <c r="A241" s="1" t="s">
        <v>481</v>
      </c>
      <c r="B241" s="1" t="s">
        <v>482</v>
      </c>
      <c r="C241">
        <v>5</v>
      </c>
      <c r="D241">
        <v>3016</v>
      </c>
      <c r="E241" s="1">
        <f t="shared" si="18"/>
        <v>1996</v>
      </c>
      <c r="F241" s="3" t="str">
        <f t="shared" si="19"/>
        <v>08</v>
      </c>
      <c r="G241" s="3" t="str">
        <f t="shared" si="20"/>
        <v>16</v>
      </c>
      <c r="H241" t="str">
        <f t="shared" si="21"/>
        <v>16.08.1996</v>
      </c>
      <c r="I241" s="5">
        <v>41879</v>
      </c>
      <c r="J241" s="5">
        <f t="shared" si="22"/>
        <v>6586</v>
      </c>
      <c r="K241" s="6">
        <f t="shared" si="23"/>
        <v>18</v>
      </c>
    </row>
    <row r="242" spans="1:11" x14ac:dyDescent="0.25">
      <c r="A242" s="1" t="s">
        <v>483</v>
      </c>
      <c r="B242" s="1" t="s">
        <v>484</v>
      </c>
      <c r="C242">
        <v>4</v>
      </c>
      <c r="D242">
        <v>1231</v>
      </c>
      <c r="E242" s="1">
        <f t="shared" si="18"/>
        <v>1998</v>
      </c>
      <c r="F242" s="3" t="str">
        <f t="shared" si="19"/>
        <v>05</v>
      </c>
      <c r="G242" s="3" t="str">
        <f t="shared" si="20"/>
        <v>20</v>
      </c>
      <c r="H242" t="str">
        <f t="shared" si="21"/>
        <v>20.05.1998</v>
      </c>
      <c r="I242" s="5">
        <v>41880</v>
      </c>
      <c r="J242" s="5">
        <f t="shared" si="22"/>
        <v>5945</v>
      </c>
      <c r="K242" s="6">
        <f t="shared" si="23"/>
        <v>16</v>
      </c>
    </row>
    <row r="243" spans="1:11" x14ac:dyDescent="0.25">
      <c r="A243" s="1" t="s">
        <v>485</v>
      </c>
      <c r="B243" s="1" t="s">
        <v>486</v>
      </c>
      <c r="C243">
        <v>6</v>
      </c>
      <c r="D243">
        <v>2550</v>
      </c>
      <c r="E243" s="1">
        <f t="shared" si="18"/>
        <v>1997</v>
      </c>
      <c r="F243" s="3" t="str">
        <f t="shared" si="19"/>
        <v>11</v>
      </c>
      <c r="G243" s="3" t="str">
        <f t="shared" si="20"/>
        <v>07</v>
      </c>
      <c r="H243" t="str">
        <f t="shared" si="21"/>
        <v>07.11.1997</v>
      </c>
      <c r="I243" s="5">
        <v>41881</v>
      </c>
      <c r="J243" s="5">
        <f t="shared" si="22"/>
        <v>6140</v>
      </c>
      <c r="K243" s="6">
        <f t="shared" si="23"/>
        <v>16</v>
      </c>
    </row>
    <row r="244" spans="1:11" x14ac:dyDescent="0.25">
      <c r="A244" s="1" t="s">
        <v>487</v>
      </c>
      <c r="B244" s="1" t="s">
        <v>488</v>
      </c>
      <c r="C244">
        <v>4</v>
      </c>
      <c r="D244">
        <v>2901</v>
      </c>
      <c r="E244" s="1">
        <f t="shared" si="18"/>
        <v>1996</v>
      </c>
      <c r="F244" s="3" t="str">
        <f t="shared" si="19"/>
        <v>10</v>
      </c>
      <c r="G244" s="3" t="str">
        <f t="shared" si="20"/>
        <v>21</v>
      </c>
      <c r="H244" t="str">
        <f t="shared" si="21"/>
        <v>21.10.1996</v>
      </c>
      <c r="I244" s="5">
        <v>41882</v>
      </c>
      <c r="J244" s="5">
        <f t="shared" si="22"/>
        <v>6523</v>
      </c>
      <c r="K244" s="6">
        <f t="shared" si="23"/>
        <v>17</v>
      </c>
    </row>
    <row r="245" spans="1:11" x14ac:dyDescent="0.25">
      <c r="A245" s="1" t="s">
        <v>489</v>
      </c>
      <c r="B245" s="1" t="s">
        <v>490</v>
      </c>
      <c r="C245">
        <v>2</v>
      </c>
      <c r="D245">
        <v>3255</v>
      </c>
      <c r="E245" s="1">
        <f t="shared" si="18"/>
        <v>1995</v>
      </c>
      <c r="F245" s="3" t="str">
        <f t="shared" si="19"/>
        <v>02</v>
      </c>
      <c r="G245" s="3" t="str">
        <f t="shared" si="20"/>
        <v>14</v>
      </c>
      <c r="H245" t="str">
        <f t="shared" si="21"/>
        <v>14.02.1995</v>
      </c>
      <c r="I245" s="5">
        <v>41883</v>
      </c>
      <c r="J245" s="5">
        <f t="shared" si="22"/>
        <v>7139</v>
      </c>
      <c r="K245" s="6">
        <f t="shared" si="23"/>
        <v>19</v>
      </c>
    </row>
    <row r="246" spans="1:11" x14ac:dyDescent="0.25">
      <c r="A246" s="1" t="s">
        <v>491</v>
      </c>
      <c r="B246" s="1" t="s">
        <v>492</v>
      </c>
      <c r="C246">
        <v>5</v>
      </c>
      <c r="D246">
        <v>2579</v>
      </c>
      <c r="E246" s="1">
        <f t="shared" si="18"/>
        <v>1995</v>
      </c>
      <c r="F246" s="3" t="str">
        <f t="shared" si="19"/>
        <v>02</v>
      </c>
      <c r="G246" s="3" t="str">
        <f t="shared" si="20"/>
        <v>25</v>
      </c>
      <c r="H246" t="str">
        <f t="shared" si="21"/>
        <v>25.02.1995</v>
      </c>
      <c r="I246" s="5">
        <v>41884</v>
      </c>
      <c r="J246" s="5">
        <f t="shared" si="22"/>
        <v>7129</v>
      </c>
      <c r="K246" s="6">
        <f t="shared" si="23"/>
        <v>19</v>
      </c>
    </row>
    <row r="247" spans="1:11" x14ac:dyDescent="0.25">
      <c r="A247" s="1" t="s">
        <v>493</v>
      </c>
      <c r="B247" s="1" t="s">
        <v>494</v>
      </c>
      <c r="C247">
        <v>4</v>
      </c>
      <c r="D247">
        <v>1459</v>
      </c>
      <c r="E247" s="1">
        <f t="shared" si="18"/>
        <v>1997</v>
      </c>
      <c r="F247" s="3" t="str">
        <f t="shared" si="19"/>
        <v>10</v>
      </c>
      <c r="G247" s="3" t="str">
        <f t="shared" si="20"/>
        <v>18</v>
      </c>
      <c r="H247" t="str">
        <f t="shared" si="21"/>
        <v>18.10.1997</v>
      </c>
      <c r="I247" s="5">
        <v>41885</v>
      </c>
      <c r="J247" s="5">
        <f t="shared" si="22"/>
        <v>6164</v>
      </c>
      <c r="K247" s="6">
        <f t="shared" si="23"/>
        <v>16</v>
      </c>
    </row>
    <row r="248" spans="1:11" x14ac:dyDescent="0.25">
      <c r="A248" s="1" t="s">
        <v>495</v>
      </c>
      <c r="B248" s="1" t="s">
        <v>496</v>
      </c>
      <c r="C248">
        <v>2</v>
      </c>
      <c r="D248">
        <v>2731</v>
      </c>
      <c r="E248" s="1">
        <f t="shared" si="18"/>
        <v>1996</v>
      </c>
      <c r="F248" s="3" t="str">
        <f t="shared" si="19"/>
        <v>02</v>
      </c>
      <c r="G248" s="3" t="str">
        <f t="shared" si="20"/>
        <v>03</v>
      </c>
      <c r="H248" t="str">
        <f t="shared" si="21"/>
        <v>03.02.1996</v>
      </c>
      <c r="I248" s="5">
        <v>41886</v>
      </c>
      <c r="J248" s="5">
        <f t="shared" si="22"/>
        <v>6788</v>
      </c>
      <c r="K248" s="6">
        <f t="shared" si="23"/>
        <v>18</v>
      </c>
    </row>
    <row r="249" spans="1:11" x14ac:dyDescent="0.25">
      <c r="A249" s="1" t="s">
        <v>497</v>
      </c>
      <c r="B249" s="1" t="s">
        <v>498</v>
      </c>
      <c r="C249">
        <v>5</v>
      </c>
      <c r="D249">
        <v>3614</v>
      </c>
      <c r="E249" s="1">
        <f t="shared" si="18"/>
        <v>1995</v>
      </c>
      <c r="F249" s="3" t="str">
        <f t="shared" si="19"/>
        <v>07</v>
      </c>
      <c r="G249" s="3" t="str">
        <f t="shared" si="20"/>
        <v>24</v>
      </c>
      <c r="H249" t="str">
        <f t="shared" si="21"/>
        <v>24.07.1995</v>
      </c>
      <c r="I249" s="5">
        <v>41887</v>
      </c>
      <c r="J249" s="5">
        <f t="shared" si="22"/>
        <v>6983</v>
      </c>
      <c r="K249" s="6">
        <f t="shared" si="23"/>
        <v>19</v>
      </c>
    </row>
    <row r="250" spans="1:11" x14ac:dyDescent="0.25">
      <c r="A250" s="1" t="s">
        <v>499</v>
      </c>
      <c r="B250" s="1" t="s">
        <v>500</v>
      </c>
      <c r="C250">
        <v>5</v>
      </c>
      <c r="D250">
        <v>2671</v>
      </c>
      <c r="E250" s="1">
        <f t="shared" si="18"/>
        <v>1998</v>
      </c>
      <c r="F250" s="3" t="str">
        <f t="shared" si="19"/>
        <v>09</v>
      </c>
      <c r="G250" s="3" t="str">
        <f t="shared" si="20"/>
        <v>18</v>
      </c>
      <c r="H250" t="str">
        <f t="shared" si="21"/>
        <v>18.09.1998</v>
      </c>
      <c r="I250" s="5">
        <v>41888</v>
      </c>
      <c r="J250" s="5">
        <f t="shared" si="22"/>
        <v>5832</v>
      </c>
      <c r="K250" s="6">
        <f t="shared" si="23"/>
        <v>15</v>
      </c>
    </row>
    <row r="251" spans="1:11" x14ac:dyDescent="0.25">
      <c r="A251" s="1" t="s">
        <v>501</v>
      </c>
      <c r="B251" s="1" t="s">
        <v>502</v>
      </c>
      <c r="C251">
        <v>4</v>
      </c>
      <c r="D251">
        <v>4057</v>
      </c>
      <c r="E251" s="1">
        <f t="shared" si="18"/>
        <v>1997</v>
      </c>
      <c r="F251" s="3" t="str">
        <f t="shared" si="19"/>
        <v>01</v>
      </c>
      <c r="G251" s="3" t="str">
        <f t="shared" si="20"/>
        <v>04</v>
      </c>
      <c r="H251" t="str">
        <f t="shared" si="21"/>
        <v>04.01.1997</v>
      </c>
      <c r="I251" s="5">
        <v>41889</v>
      </c>
      <c r="J251" s="5">
        <f t="shared" si="22"/>
        <v>6455</v>
      </c>
      <c r="K251" s="6">
        <f t="shared" si="23"/>
        <v>17</v>
      </c>
    </row>
    <row r="252" spans="1:11" x14ac:dyDescent="0.25">
      <c r="A252" s="1" t="s">
        <v>503</v>
      </c>
      <c r="B252" s="1" t="s">
        <v>504</v>
      </c>
      <c r="C252">
        <v>4</v>
      </c>
      <c r="D252">
        <v>2926</v>
      </c>
      <c r="E252" s="1">
        <f t="shared" si="18"/>
        <v>1995</v>
      </c>
      <c r="F252" s="3" t="str">
        <f t="shared" si="19"/>
        <v>08</v>
      </c>
      <c r="G252" s="3" t="str">
        <f t="shared" si="20"/>
        <v>21</v>
      </c>
      <c r="H252" t="str">
        <f t="shared" si="21"/>
        <v>21.08.1995</v>
      </c>
      <c r="I252" s="5">
        <v>41890</v>
      </c>
      <c r="J252" s="5">
        <f t="shared" si="22"/>
        <v>6958</v>
      </c>
      <c r="K252" s="6">
        <f t="shared" si="23"/>
        <v>19</v>
      </c>
    </row>
    <row r="253" spans="1:11" x14ac:dyDescent="0.25">
      <c r="A253" s="1" t="s">
        <v>505</v>
      </c>
      <c r="B253" s="1" t="s">
        <v>506</v>
      </c>
      <c r="C253">
        <v>4</v>
      </c>
      <c r="D253">
        <v>1253</v>
      </c>
      <c r="E253" s="1">
        <f t="shared" si="18"/>
        <v>1998</v>
      </c>
      <c r="F253" s="3" t="str">
        <f t="shared" si="19"/>
        <v>07</v>
      </c>
      <c r="G253" s="3" t="str">
        <f t="shared" si="20"/>
        <v>26</v>
      </c>
      <c r="H253" t="str">
        <f t="shared" si="21"/>
        <v>26.07.1998</v>
      </c>
      <c r="I253" s="5">
        <v>41891</v>
      </c>
      <c r="J253" s="5">
        <f t="shared" si="22"/>
        <v>5889</v>
      </c>
      <c r="K253" s="6">
        <f t="shared" si="23"/>
        <v>16</v>
      </c>
    </row>
    <row r="254" spans="1:11" x14ac:dyDescent="0.25">
      <c r="A254" s="1" t="s">
        <v>507</v>
      </c>
      <c r="B254" s="1" t="s">
        <v>508</v>
      </c>
      <c r="C254">
        <v>4</v>
      </c>
      <c r="D254">
        <v>1489</v>
      </c>
      <c r="E254" s="1">
        <f t="shared" si="18"/>
        <v>1995</v>
      </c>
      <c r="F254" s="3" t="str">
        <f t="shared" si="19"/>
        <v>01</v>
      </c>
      <c r="G254" s="3" t="str">
        <f t="shared" si="20"/>
        <v>28</v>
      </c>
      <c r="H254" t="str">
        <f t="shared" si="21"/>
        <v>28.01.1995</v>
      </c>
      <c r="I254" s="5">
        <v>41892</v>
      </c>
      <c r="J254" s="5">
        <f t="shared" si="22"/>
        <v>7165</v>
      </c>
      <c r="K254" s="6">
        <f t="shared" si="23"/>
        <v>19</v>
      </c>
    </row>
    <row r="255" spans="1:11" x14ac:dyDescent="0.25">
      <c r="A255" s="1" t="s">
        <v>509</v>
      </c>
      <c r="B255" s="1" t="s">
        <v>510</v>
      </c>
      <c r="C255">
        <v>3</v>
      </c>
      <c r="D255">
        <v>2137</v>
      </c>
      <c r="E255" s="1">
        <f t="shared" si="18"/>
        <v>1996</v>
      </c>
      <c r="F255" s="3" t="str">
        <f t="shared" si="19"/>
        <v>03</v>
      </c>
      <c r="G255" s="3" t="str">
        <f t="shared" si="20"/>
        <v>15</v>
      </c>
      <c r="H255" t="str">
        <f t="shared" si="21"/>
        <v>15.03.1996</v>
      </c>
      <c r="I255" s="5">
        <v>41893</v>
      </c>
      <c r="J255" s="5">
        <f t="shared" si="22"/>
        <v>6754</v>
      </c>
      <c r="K255" s="6">
        <f t="shared" si="23"/>
        <v>18</v>
      </c>
    </row>
    <row r="256" spans="1:11" x14ac:dyDescent="0.25">
      <c r="A256" s="1" t="s">
        <v>511</v>
      </c>
      <c r="B256" s="1" t="s">
        <v>512</v>
      </c>
      <c r="C256">
        <v>2</v>
      </c>
      <c r="D256">
        <v>4343</v>
      </c>
      <c r="E256" s="1">
        <f t="shared" si="18"/>
        <v>1997</v>
      </c>
      <c r="F256" s="3" t="str">
        <f t="shared" si="19"/>
        <v>03</v>
      </c>
      <c r="G256" s="3" t="str">
        <f t="shared" si="20"/>
        <v>17</v>
      </c>
      <c r="H256" t="str">
        <f t="shared" si="21"/>
        <v>17.03.1997</v>
      </c>
      <c r="I256" s="5">
        <v>41894</v>
      </c>
      <c r="J256" s="5">
        <f t="shared" si="22"/>
        <v>6388</v>
      </c>
      <c r="K256" s="6">
        <f t="shared" si="23"/>
        <v>17</v>
      </c>
    </row>
    <row r="257" spans="1:11" x14ac:dyDescent="0.25">
      <c r="A257" s="1" t="s">
        <v>513</v>
      </c>
      <c r="B257" s="1" t="s">
        <v>514</v>
      </c>
      <c r="C257">
        <v>4</v>
      </c>
      <c r="D257">
        <v>2395</v>
      </c>
      <c r="E257" s="1">
        <f t="shared" si="18"/>
        <v>1997</v>
      </c>
      <c r="F257" s="3" t="str">
        <f t="shared" si="19"/>
        <v>08</v>
      </c>
      <c r="G257" s="3" t="str">
        <f t="shared" si="20"/>
        <v>06</v>
      </c>
      <c r="H257" t="str">
        <f t="shared" si="21"/>
        <v>06.08.1997</v>
      </c>
      <c r="I257" s="5">
        <v>41895</v>
      </c>
      <c r="J257" s="5">
        <f t="shared" si="22"/>
        <v>6247</v>
      </c>
      <c r="K257" s="6">
        <f t="shared" si="23"/>
        <v>17</v>
      </c>
    </row>
    <row r="258" spans="1:11" x14ac:dyDescent="0.25">
      <c r="A258" s="1" t="s">
        <v>515</v>
      </c>
      <c r="B258" s="1" t="s">
        <v>516</v>
      </c>
      <c r="C258">
        <v>3</v>
      </c>
      <c r="D258">
        <v>1392</v>
      </c>
      <c r="E258" s="1">
        <f t="shared" si="18"/>
        <v>1996</v>
      </c>
      <c r="F258" s="3" t="str">
        <f t="shared" si="19"/>
        <v>04</v>
      </c>
      <c r="G258" s="3" t="str">
        <f t="shared" si="20"/>
        <v>04</v>
      </c>
      <c r="H258" t="str">
        <f t="shared" si="21"/>
        <v>04.04.1996</v>
      </c>
      <c r="I258" s="5">
        <v>41896</v>
      </c>
      <c r="J258" s="5">
        <f t="shared" si="22"/>
        <v>6737</v>
      </c>
      <c r="K258" s="6">
        <f t="shared" si="23"/>
        <v>18</v>
      </c>
    </row>
    <row r="259" spans="1:11" x14ac:dyDescent="0.25">
      <c r="A259" s="1" t="s">
        <v>517</v>
      </c>
      <c r="B259" s="1" t="s">
        <v>518</v>
      </c>
      <c r="C259">
        <v>4</v>
      </c>
      <c r="D259">
        <v>1972</v>
      </c>
      <c r="E259" s="1">
        <f t="shared" ref="E259:E322" si="24">1900+1*LEFT(B259,2)</f>
        <v>1996</v>
      </c>
      <c r="F259" s="3" t="str">
        <f t="shared" ref="F259:F322" si="25">MID(B259,3,2)</f>
        <v>06</v>
      </c>
      <c r="G259" s="3" t="str">
        <f t="shared" ref="G259:G322" si="26">MID(B259,5,2)</f>
        <v>20</v>
      </c>
      <c r="H259" t="str">
        <f t="shared" ref="H259:H322" si="27">CONCATENATE(G259,".",F259,".",E259)</f>
        <v>20.06.1996</v>
      </c>
      <c r="I259" s="5">
        <v>41897</v>
      </c>
      <c r="J259" s="5">
        <f t="shared" ref="J259:J322" si="28">I259-H259</f>
        <v>6661</v>
      </c>
      <c r="K259" s="6">
        <f t="shared" ref="K259:K322" si="29">YEAR(J259)-1900</f>
        <v>18</v>
      </c>
    </row>
    <row r="260" spans="1:11" x14ac:dyDescent="0.25">
      <c r="A260" s="1" t="s">
        <v>519</v>
      </c>
      <c r="B260" s="1" t="s">
        <v>520</v>
      </c>
      <c r="C260">
        <v>6</v>
      </c>
      <c r="D260">
        <v>2579</v>
      </c>
      <c r="E260" s="1">
        <f t="shared" si="24"/>
        <v>1995</v>
      </c>
      <c r="F260" s="3" t="str">
        <f t="shared" si="25"/>
        <v>12</v>
      </c>
      <c r="G260" s="3" t="str">
        <f t="shared" si="26"/>
        <v>24</v>
      </c>
      <c r="H260" t="str">
        <f t="shared" si="27"/>
        <v>24.12.1995</v>
      </c>
      <c r="I260" s="5">
        <v>41898</v>
      </c>
      <c r="J260" s="5">
        <f t="shared" si="28"/>
        <v>6841</v>
      </c>
      <c r="K260" s="6">
        <f t="shared" si="29"/>
        <v>18</v>
      </c>
    </row>
    <row r="261" spans="1:11" x14ac:dyDescent="0.25">
      <c r="A261" s="1" t="s">
        <v>521</v>
      </c>
      <c r="B261" s="1" t="s">
        <v>522</v>
      </c>
      <c r="C261">
        <v>6</v>
      </c>
      <c r="D261">
        <v>3970</v>
      </c>
      <c r="E261" s="1">
        <f t="shared" si="24"/>
        <v>1995</v>
      </c>
      <c r="F261" s="3" t="str">
        <f t="shared" si="25"/>
        <v>03</v>
      </c>
      <c r="G261" s="3" t="str">
        <f t="shared" si="26"/>
        <v>29</v>
      </c>
      <c r="H261" t="str">
        <f t="shared" si="27"/>
        <v>29.03.1995</v>
      </c>
      <c r="I261" s="5">
        <v>41899</v>
      </c>
      <c r="J261" s="5">
        <f t="shared" si="28"/>
        <v>7112</v>
      </c>
      <c r="K261" s="6">
        <f t="shared" si="29"/>
        <v>19</v>
      </c>
    </row>
    <row r="262" spans="1:11" x14ac:dyDescent="0.25">
      <c r="A262" s="1" t="s">
        <v>523</v>
      </c>
      <c r="B262" s="1" t="s">
        <v>524</v>
      </c>
      <c r="C262">
        <v>4</v>
      </c>
      <c r="D262">
        <v>2288</v>
      </c>
      <c r="E262" s="1">
        <f t="shared" si="24"/>
        <v>1997</v>
      </c>
      <c r="F262" s="3" t="str">
        <f t="shared" si="25"/>
        <v>08</v>
      </c>
      <c r="G262" s="3" t="str">
        <f t="shared" si="26"/>
        <v>24</v>
      </c>
      <c r="H262" t="str">
        <f t="shared" si="27"/>
        <v>24.08.1997</v>
      </c>
      <c r="I262" s="5">
        <v>41900</v>
      </c>
      <c r="J262" s="5">
        <f t="shared" si="28"/>
        <v>6234</v>
      </c>
      <c r="K262" s="6">
        <f t="shared" si="29"/>
        <v>17</v>
      </c>
    </row>
    <row r="263" spans="1:11" x14ac:dyDescent="0.25">
      <c r="A263" s="1" t="s">
        <v>525</v>
      </c>
      <c r="B263" s="1" t="s">
        <v>526</v>
      </c>
      <c r="C263">
        <v>4</v>
      </c>
      <c r="D263">
        <v>2594</v>
      </c>
      <c r="E263" s="1">
        <f t="shared" si="24"/>
        <v>1997</v>
      </c>
      <c r="F263" s="3" t="str">
        <f t="shared" si="25"/>
        <v>11</v>
      </c>
      <c r="G263" s="3" t="str">
        <f t="shared" si="26"/>
        <v>22</v>
      </c>
      <c r="H263" t="str">
        <f t="shared" si="27"/>
        <v>22.11.1997</v>
      </c>
      <c r="I263" s="5">
        <v>41901</v>
      </c>
      <c r="J263" s="5">
        <f t="shared" si="28"/>
        <v>6145</v>
      </c>
      <c r="K263" s="6">
        <f t="shared" si="29"/>
        <v>16</v>
      </c>
    </row>
    <row r="264" spans="1:11" x14ac:dyDescent="0.25">
      <c r="A264" s="1" t="s">
        <v>527</v>
      </c>
      <c r="B264" s="1" t="s">
        <v>528</v>
      </c>
      <c r="C264">
        <v>3</v>
      </c>
      <c r="D264">
        <v>4180</v>
      </c>
      <c r="E264" s="1">
        <f t="shared" si="24"/>
        <v>1994</v>
      </c>
      <c r="F264" s="3" t="str">
        <f t="shared" si="25"/>
        <v>02</v>
      </c>
      <c r="G264" s="3" t="str">
        <f t="shared" si="26"/>
        <v>13</v>
      </c>
      <c r="H264" t="str">
        <f t="shared" si="27"/>
        <v>13.02.1994</v>
      </c>
      <c r="I264" s="5">
        <v>41902</v>
      </c>
      <c r="J264" s="5">
        <f t="shared" si="28"/>
        <v>7524</v>
      </c>
      <c r="K264" s="6">
        <f t="shared" si="29"/>
        <v>20</v>
      </c>
    </row>
    <row r="265" spans="1:11" x14ac:dyDescent="0.25">
      <c r="A265" s="1" t="s">
        <v>529</v>
      </c>
      <c r="B265" s="1" t="s">
        <v>530</v>
      </c>
      <c r="C265">
        <v>2</v>
      </c>
      <c r="D265">
        <v>2052</v>
      </c>
      <c r="E265" s="1">
        <f t="shared" si="24"/>
        <v>1996</v>
      </c>
      <c r="F265" s="3" t="str">
        <f t="shared" si="25"/>
        <v>05</v>
      </c>
      <c r="G265" s="3" t="str">
        <f t="shared" si="26"/>
        <v>01</v>
      </c>
      <c r="H265" t="str">
        <f t="shared" si="27"/>
        <v>01.05.1996</v>
      </c>
      <c r="I265" s="5">
        <v>41903</v>
      </c>
      <c r="J265" s="5">
        <f t="shared" si="28"/>
        <v>6717</v>
      </c>
      <c r="K265" s="6">
        <f t="shared" si="29"/>
        <v>18</v>
      </c>
    </row>
    <row r="266" spans="1:11" x14ac:dyDescent="0.25">
      <c r="A266" s="1" t="s">
        <v>531</v>
      </c>
      <c r="B266" s="1" t="s">
        <v>532</v>
      </c>
      <c r="C266">
        <v>5</v>
      </c>
      <c r="D266">
        <v>1194</v>
      </c>
      <c r="E266" s="1">
        <f t="shared" si="24"/>
        <v>1995</v>
      </c>
      <c r="F266" s="3" t="str">
        <f t="shared" si="25"/>
        <v>11</v>
      </c>
      <c r="G266" s="3" t="str">
        <f t="shared" si="26"/>
        <v>04</v>
      </c>
      <c r="H266" t="str">
        <f t="shared" si="27"/>
        <v>04.11.1995</v>
      </c>
      <c r="I266" s="5">
        <v>41904</v>
      </c>
      <c r="J266" s="5">
        <f t="shared" si="28"/>
        <v>6897</v>
      </c>
      <c r="K266" s="6">
        <f t="shared" si="29"/>
        <v>18</v>
      </c>
    </row>
    <row r="267" spans="1:11" x14ac:dyDescent="0.25">
      <c r="A267" s="1" t="s">
        <v>533</v>
      </c>
      <c r="B267" s="1" t="s">
        <v>534</v>
      </c>
      <c r="C267">
        <v>6</v>
      </c>
      <c r="D267">
        <v>974</v>
      </c>
      <c r="E267" s="1">
        <f t="shared" si="24"/>
        <v>1998</v>
      </c>
      <c r="F267" s="3" t="str">
        <f t="shared" si="25"/>
        <v>07</v>
      </c>
      <c r="G267" s="3" t="str">
        <f t="shared" si="26"/>
        <v>12</v>
      </c>
      <c r="H267" t="str">
        <f t="shared" si="27"/>
        <v>12.07.1998</v>
      </c>
      <c r="I267" s="5">
        <v>41905</v>
      </c>
      <c r="J267" s="5">
        <f t="shared" si="28"/>
        <v>5917</v>
      </c>
      <c r="K267" s="6">
        <f t="shared" si="29"/>
        <v>16</v>
      </c>
    </row>
    <row r="268" spans="1:11" x14ac:dyDescent="0.25">
      <c r="A268" s="1" t="s">
        <v>535</v>
      </c>
      <c r="B268" s="1" t="s">
        <v>536</v>
      </c>
      <c r="C268">
        <v>6</v>
      </c>
      <c r="D268">
        <v>1390</v>
      </c>
      <c r="E268" s="1">
        <f t="shared" si="24"/>
        <v>1998</v>
      </c>
      <c r="F268" s="3" t="str">
        <f t="shared" si="25"/>
        <v>06</v>
      </c>
      <c r="G268" s="3" t="str">
        <f t="shared" si="26"/>
        <v>26</v>
      </c>
      <c r="H268" t="str">
        <f t="shared" si="27"/>
        <v>26.06.1998</v>
      </c>
      <c r="I268" s="5">
        <v>41906</v>
      </c>
      <c r="J268" s="5">
        <f t="shared" si="28"/>
        <v>5934</v>
      </c>
      <c r="K268" s="6">
        <f t="shared" si="29"/>
        <v>16</v>
      </c>
    </row>
    <row r="269" spans="1:11" x14ac:dyDescent="0.25">
      <c r="A269" s="1" t="s">
        <v>537</v>
      </c>
      <c r="B269" s="1" t="s">
        <v>538</v>
      </c>
      <c r="C269">
        <v>3</v>
      </c>
      <c r="D269">
        <v>871</v>
      </c>
      <c r="E269" s="1">
        <f t="shared" si="24"/>
        <v>1996</v>
      </c>
      <c r="F269" s="3" t="str">
        <f t="shared" si="25"/>
        <v>01</v>
      </c>
      <c r="G269" s="3" t="str">
        <f t="shared" si="26"/>
        <v>16</v>
      </c>
      <c r="H269" t="str">
        <f t="shared" si="27"/>
        <v>16.01.1996</v>
      </c>
      <c r="I269" s="5">
        <v>41907</v>
      </c>
      <c r="J269" s="5">
        <f t="shared" si="28"/>
        <v>6827</v>
      </c>
      <c r="K269" s="6">
        <f t="shared" si="29"/>
        <v>18</v>
      </c>
    </row>
    <row r="270" spans="1:11" x14ac:dyDescent="0.25">
      <c r="A270" s="1" t="s">
        <v>539</v>
      </c>
      <c r="B270" s="1" t="s">
        <v>540</v>
      </c>
      <c r="C270">
        <v>3</v>
      </c>
      <c r="D270">
        <v>4221</v>
      </c>
      <c r="E270" s="1">
        <f t="shared" si="24"/>
        <v>1997</v>
      </c>
      <c r="F270" s="3" t="str">
        <f t="shared" si="25"/>
        <v>06</v>
      </c>
      <c r="G270" s="3" t="str">
        <f t="shared" si="26"/>
        <v>24</v>
      </c>
      <c r="H270" t="str">
        <f t="shared" si="27"/>
        <v>24.06.1997</v>
      </c>
      <c r="I270" s="5">
        <v>41908</v>
      </c>
      <c r="J270" s="5">
        <f t="shared" si="28"/>
        <v>6303</v>
      </c>
      <c r="K270" s="6">
        <f t="shared" si="29"/>
        <v>17</v>
      </c>
    </row>
    <row r="271" spans="1:11" x14ac:dyDescent="0.25">
      <c r="A271" s="1" t="s">
        <v>541</v>
      </c>
      <c r="B271" s="1" t="s">
        <v>542</v>
      </c>
      <c r="C271">
        <v>3</v>
      </c>
      <c r="D271">
        <v>2794</v>
      </c>
      <c r="E271" s="1">
        <f t="shared" si="24"/>
        <v>1994</v>
      </c>
      <c r="F271" s="3" t="str">
        <f t="shared" si="25"/>
        <v>10</v>
      </c>
      <c r="G271" s="3" t="str">
        <f t="shared" si="26"/>
        <v>07</v>
      </c>
      <c r="H271" t="str">
        <f t="shared" si="27"/>
        <v>07.10.1994</v>
      </c>
      <c r="I271" s="5">
        <v>41909</v>
      </c>
      <c r="J271" s="5">
        <f t="shared" si="28"/>
        <v>7295</v>
      </c>
      <c r="K271" s="6">
        <f t="shared" si="29"/>
        <v>19</v>
      </c>
    </row>
    <row r="272" spans="1:11" x14ac:dyDescent="0.25">
      <c r="A272" s="1" t="s">
        <v>543</v>
      </c>
      <c r="B272" s="1" t="s">
        <v>544</v>
      </c>
      <c r="C272">
        <v>4</v>
      </c>
      <c r="D272">
        <v>3250</v>
      </c>
      <c r="E272" s="1">
        <f t="shared" si="24"/>
        <v>1995</v>
      </c>
      <c r="F272" s="3" t="str">
        <f t="shared" si="25"/>
        <v>08</v>
      </c>
      <c r="G272" s="3" t="str">
        <f t="shared" si="26"/>
        <v>26</v>
      </c>
      <c r="H272" t="str">
        <f t="shared" si="27"/>
        <v>26.08.1995</v>
      </c>
      <c r="I272" s="5">
        <v>41910</v>
      </c>
      <c r="J272" s="5">
        <f t="shared" si="28"/>
        <v>6973</v>
      </c>
      <c r="K272" s="6">
        <f t="shared" si="29"/>
        <v>19</v>
      </c>
    </row>
    <row r="273" spans="1:11" x14ac:dyDescent="0.25">
      <c r="A273" s="1" t="s">
        <v>545</v>
      </c>
      <c r="B273" s="1" t="s">
        <v>546</v>
      </c>
      <c r="C273">
        <v>5</v>
      </c>
      <c r="D273">
        <v>2045</v>
      </c>
      <c r="E273" s="1">
        <f t="shared" si="24"/>
        <v>1995</v>
      </c>
      <c r="F273" s="3" t="str">
        <f t="shared" si="25"/>
        <v>12</v>
      </c>
      <c r="G273" s="3" t="str">
        <f t="shared" si="26"/>
        <v>27</v>
      </c>
      <c r="H273" t="str">
        <f t="shared" si="27"/>
        <v>27.12.1995</v>
      </c>
      <c r="I273" s="5">
        <v>41911</v>
      </c>
      <c r="J273" s="5">
        <f t="shared" si="28"/>
        <v>6851</v>
      </c>
      <c r="K273" s="6">
        <f t="shared" si="29"/>
        <v>18</v>
      </c>
    </row>
    <row r="274" spans="1:11" x14ac:dyDescent="0.25">
      <c r="A274" s="1" t="s">
        <v>547</v>
      </c>
      <c r="B274" s="1" t="s">
        <v>548</v>
      </c>
      <c r="C274">
        <v>4</v>
      </c>
      <c r="D274">
        <v>2054</v>
      </c>
      <c r="E274" s="1">
        <f t="shared" si="24"/>
        <v>1997</v>
      </c>
      <c r="F274" s="3" t="str">
        <f t="shared" si="25"/>
        <v>01</v>
      </c>
      <c r="G274" s="3" t="str">
        <f t="shared" si="26"/>
        <v>20</v>
      </c>
      <c r="H274" t="str">
        <f t="shared" si="27"/>
        <v>20.01.1997</v>
      </c>
      <c r="I274" s="5">
        <v>41912</v>
      </c>
      <c r="J274" s="5">
        <f t="shared" si="28"/>
        <v>6462</v>
      </c>
      <c r="K274" s="6">
        <f t="shared" si="29"/>
        <v>17</v>
      </c>
    </row>
    <row r="275" spans="1:11" x14ac:dyDescent="0.25">
      <c r="A275" s="1" t="s">
        <v>549</v>
      </c>
      <c r="B275" s="1" t="s">
        <v>550</v>
      </c>
      <c r="C275">
        <v>2</v>
      </c>
      <c r="D275">
        <v>1893</v>
      </c>
      <c r="E275" s="1">
        <f t="shared" si="24"/>
        <v>1995</v>
      </c>
      <c r="F275" s="3" t="str">
        <f t="shared" si="25"/>
        <v>06</v>
      </c>
      <c r="G275" s="3" t="str">
        <f t="shared" si="26"/>
        <v>24</v>
      </c>
      <c r="H275" t="str">
        <f t="shared" si="27"/>
        <v>24.06.1995</v>
      </c>
      <c r="I275" s="5">
        <v>41913</v>
      </c>
      <c r="J275" s="5">
        <f t="shared" si="28"/>
        <v>7039</v>
      </c>
      <c r="K275" s="6">
        <f t="shared" si="29"/>
        <v>19</v>
      </c>
    </row>
    <row r="276" spans="1:11" x14ac:dyDescent="0.25">
      <c r="A276" s="1" t="s">
        <v>551</v>
      </c>
      <c r="B276" s="1" t="s">
        <v>552</v>
      </c>
      <c r="C276">
        <v>6</v>
      </c>
      <c r="D276">
        <v>2170</v>
      </c>
      <c r="E276" s="1">
        <f t="shared" si="24"/>
        <v>1997</v>
      </c>
      <c r="F276" s="3" t="str">
        <f t="shared" si="25"/>
        <v>08</v>
      </c>
      <c r="G276" s="3" t="str">
        <f t="shared" si="26"/>
        <v>15</v>
      </c>
      <c r="H276" t="str">
        <f t="shared" si="27"/>
        <v>15.08.1997</v>
      </c>
      <c r="I276" s="5">
        <v>41914</v>
      </c>
      <c r="J276" s="5">
        <f t="shared" si="28"/>
        <v>6257</v>
      </c>
      <c r="K276" s="6">
        <f t="shared" si="29"/>
        <v>17</v>
      </c>
    </row>
    <row r="277" spans="1:11" x14ac:dyDescent="0.25">
      <c r="A277" s="1" t="s">
        <v>553</v>
      </c>
      <c r="B277" s="1" t="s">
        <v>554</v>
      </c>
      <c r="C277">
        <v>3</v>
      </c>
      <c r="D277">
        <v>1305</v>
      </c>
      <c r="E277" s="1">
        <f t="shared" si="24"/>
        <v>1996</v>
      </c>
      <c r="F277" s="3" t="str">
        <f t="shared" si="25"/>
        <v>01</v>
      </c>
      <c r="G277" s="3" t="str">
        <f t="shared" si="26"/>
        <v>14</v>
      </c>
      <c r="H277" t="str">
        <f t="shared" si="27"/>
        <v>14.01.1996</v>
      </c>
      <c r="I277" s="5">
        <v>41915</v>
      </c>
      <c r="J277" s="5">
        <f t="shared" si="28"/>
        <v>6837</v>
      </c>
      <c r="K277" s="6">
        <f t="shared" si="29"/>
        <v>18</v>
      </c>
    </row>
    <row r="278" spans="1:11" x14ac:dyDescent="0.25">
      <c r="A278" s="1" t="s">
        <v>555</v>
      </c>
      <c r="B278" s="1" t="s">
        <v>556</v>
      </c>
      <c r="C278">
        <v>4</v>
      </c>
      <c r="D278">
        <v>1492</v>
      </c>
      <c r="E278" s="1">
        <f t="shared" si="24"/>
        <v>1996</v>
      </c>
      <c r="F278" s="3" t="str">
        <f t="shared" si="25"/>
        <v>03</v>
      </c>
      <c r="G278" s="3" t="str">
        <f t="shared" si="26"/>
        <v>25</v>
      </c>
      <c r="H278" t="str">
        <f t="shared" si="27"/>
        <v>25.03.1996</v>
      </c>
      <c r="I278" s="5">
        <v>41916</v>
      </c>
      <c r="J278" s="5">
        <f t="shared" si="28"/>
        <v>6767</v>
      </c>
      <c r="K278" s="6">
        <f t="shared" si="29"/>
        <v>18</v>
      </c>
    </row>
    <row r="279" spans="1:11" x14ac:dyDescent="0.25">
      <c r="A279" s="1" t="s">
        <v>557</v>
      </c>
      <c r="B279" s="1" t="s">
        <v>558</v>
      </c>
      <c r="C279">
        <v>5</v>
      </c>
      <c r="D279">
        <v>2083</v>
      </c>
      <c r="E279" s="1">
        <f t="shared" si="24"/>
        <v>1995</v>
      </c>
      <c r="F279" s="3" t="str">
        <f t="shared" si="25"/>
        <v>04</v>
      </c>
      <c r="G279" s="3" t="str">
        <f t="shared" si="26"/>
        <v>26</v>
      </c>
      <c r="H279" t="str">
        <f t="shared" si="27"/>
        <v>26.04.1995</v>
      </c>
      <c r="I279" s="5">
        <v>41917</v>
      </c>
      <c r="J279" s="5">
        <f t="shared" si="28"/>
        <v>7102</v>
      </c>
      <c r="K279" s="6">
        <f t="shared" si="29"/>
        <v>19</v>
      </c>
    </row>
    <row r="280" spans="1:11" x14ac:dyDescent="0.25">
      <c r="A280" s="1" t="s">
        <v>559</v>
      </c>
      <c r="B280" s="1" t="s">
        <v>560</v>
      </c>
      <c r="C280">
        <v>5</v>
      </c>
      <c r="D280">
        <v>1517</v>
      </c>
      <c r="E280" s="1">
        <f t="shared" si="24"/>
        <v>1996</v>
      </c>
      <c r="F280" s="3" t="str">
        <f t="shared" si="25"/>
        <v>06</v>
      </c>
      <c r="G280" s="3" t="str">
        <f t="shared" si="26"/>
        <v>13</v>
      </c>
      <c r="H280" t="str">
        <f t="shared" si="27"/>
        <v>13.06.1996</v>
      </c>
      <c r="I280" s="5">
        <v>41918</v>
      </c>
      <c r="J280" s="5">
        <f t="shared" si="28"/>
        <v>6689</v>
      </c>
      <c r="K280" s="6">
        <f t="shared" si="29"/>
        <v>18</v>
      </c>
    </row>
    <row r="281" spans="1:11" x14ac:dyDescent="0.25">
      <c r="A281" s="1" t="s">
        <v>561</v>
      </c>
      <c r="B281" s="1" t="s">
        <v>562</v>
      </c>
      <c r="C281">
        <v>2</v>
      </c>
      <c r="D281">
        <v>3369</v>
      </c>
      <c r="E281" s="1">
        <f t="shared" si="24"/>
        <v>1997</v>
      </c>
      <c r="F281" s="3" t="str">
        <f t="shared" si="25"/>
        <v>02</v>
      </c>
      <c r="G281" s="3" t="str">
        <f t="shared" si="26"/>
        <v>09</v>
      </c>
      <c r="H281" t="str">
        <f t="shared" si="27"/>
        <v>09.02.1997</v>
      </c>
      <c r="I281" s="5">
        <v>41919</v>
      </c>
      <c r="J281" s="5">
        <f t="shared" si="28"/>
        <v>6449</v>
      </c>
      <c r="K281" s="6">
        <f t="shared" si="29"/>
        <v>17</v>
      </c>
    </row>
    <row r="282" spans="1:11" x14ac:dyDescent="0.25">
      <c r="A282" s="1" t="s">
        <v>563</v>
      </c>
      <c r="B282" s="1" t="s">
        <v>564</v>
      </c>
      <c r="C282">
        <v>3</v>
      </c>
      <c r="D282">
        <v>3523</v>
      </c>
      <c r="E282" s="1">
        <f t="shared" si="24"/>
        <v>1996</v>
      </c>
      <c r="F282" s="3" t="str">
        <f t="shared" si="25"/>
        <v>06</v>
      </c>
      <c r="G282" s="3" t="str">
        <f t="shared" si="26"/>
        <v>05</v>
      </c>
      <c r="H282" t="str">
        <f t="shared" si="27"/>
        <v>05.06.1996</v>
      </c>
      <c r="I282" s="5">
        <v>41920</v>
      </c>
      <c r="J282" s="5">
        <f t="shared" si="28"/>
        <v>6699</v>
      </c>
      <c r="K282" s="6">
        <f t="shared" si="29"/>
        <v>18</v>
      </c>
    </row>
    <row r="283" spans="1:11" x14ac:dyDescent="0.25">
      <c r="A283" s="1" t="s">
        <v>565</v>
      </c>
      <c r="B283" s="1" t="s">
        <v>566</v>
      </c>
      <c r="C283">
        <v>5</v>
      </c>
      <c r="D283">
        <v>2731</v>
      </c>
      <c r="E283" s="1">
        <f t="shared" si="24"/>
        <v>1996</v>
      </c>
      <c r="F283" s="3" t="str">
        <f t="shared" si="25"/>
        <v>01</v>
      </c>
      <c r="G283" s="3" t="str">
        <f t="shared" si="26"/>
        <v>25</v>
      </c>
      <c r="H283" t="str">
        <f t="shared" si="27"/>
        <v>25.01.1996</v>
      </c>
      <c r="I283" s="5">
        <v>41921</v>
      </c>
      <c r="J283" s="5">
        <f t="shared" si="28"/>
        <v>6832</v>
      </c>
      <c r="K283" s="6">
        <f t="shared" si="29"/>
        <v>18</v>
      </c>
    </row>
    <row r="284" spans="1:11" x14ac:dyDescent="0.25">
      <c r="A284" s="1" t="s">
        <v>567</v>
      </c>
      <c r="B284" s="1" t="s">
        <v>568</v>
      </c>
      <c r="C284">
        <v>6</v>
      </c>
      <c r="D284">
        <v>3656</v>
      </c>
      <c r="E284" s="1">
        <f t="shared" si="24"/>
        <v>1996</v>
      </c>
      <c r="F284" s="3" t="str">
        <f t="shared" si="25"/>
        <v>11</v>
      </c>
      <c r="G284" s="3" t="str">
        <f t="shared" si="26"/>
        <v>25</v>
      </c>
      <c r="H284" t="str">
        <f t="shared" si="27"/>
        <v>25.11.1996</v>
      </c>
      <c r="I284" s="5">
        <v>41922</v>
      </c>
      <c r="J284" s="5">
        <f t="shared" si="28"/>
        <v>6528</v>
      </c>
      <c r="K284" s="6">
        <f t="shared" si="29"/>
        <v>17</v>
      </c>
    </row>
    <row r="285" spans="1:11" x14ac:dyDescent="0.25">
      <c r="A285" s="1" t="s">
        <v>569</v>
      </c>
      <c r="B285" s="1" t="s">
        <v>570</v>
      </c>
      <c r="C285">
        <v>6</v>
      </c>
      <c r="D285">
        <v>4308</v>
      </c>
      <c r="E285" s="1">
        <f t="shared" si="24"/>
        <v>1996</v>
      </c>
      <c r="F285" s="3" t="str">
        <f t="shared" si="25"/>
        <v>01</v>
      </c>
      <c r="G285" s="3" t="str">
        <f t="shared" si="26"/>
        <v>02</v>
      </c>
      <c r="H285" t="str">
        <f t="shared" si="27"/>
        <v>02.01.1996</v>
      </c>
      <c r="I285" s="5">
        <v>41923</v>
      </c>
      <c r="J285" s="5">
        <f t="shared" si="28"/>
        <v>6857</v>
      </c>
      <c r="K285" s="6">
        <f t="shared" si="29"/>
        <v>18</v>
      </c>
    </row>
    <row r="286" spans="1:11" x14ac:dyDescent="0.25">
      <c r="A286" s="1" t="s">
        <v>571</v>
      </c>
      <c r="B286" s="1" t="s">
        <v>572</v>
      </c>
      <c r="C286">
        <v>4</v>
      </c>
      <c r="D286">
        <v>3075</v>
      </c>
      <c r="E286" s="1">
        <f t="shared" si="24"/>
        <v>1998</v>
      </c>
      <c r="F286" s="3" t="str">
        <f t="shared" si="25"/>
        <v>12</v>
      </c>
      <c r="G286" s="3" t="str">
        <f t="shared" si="26"/>
        <v>15</v>
      </c>
      <c r="H286" t="str">
        <f t="shared" si="27"/>
        <v>15.12.1998</v>
      </c>
      <c r="I286" s="5">
        <v>41924</v>
      </c>
      <c r="J286" s="5">
        <f t="shared" si="28"/>
        <v>5780</v>
      </c>
      <c r="K286" s="6">
        <f t="shared" si="29"/>
        <v>15</v>
      </c>
    </row>
    <row r="287" spans="1:11" x14ac:dyDescent="0.25">
      <c r="A287" s="1" t="s">
        <v>573</v>
      </c>
      <c r="B287" s="1" t="s">
        <v>574</v>
      </c>
      <c r="C287">
        <v>3</v>
      </c>
      <c r="D287">
        <v>1833</v>
      </c>
      <c r="E287" s="1">
        <f t="shared" si="24"/>
        <v>1996</v>
      </c>
      <c r="F287" s="3" t="str">
        <f t="shared" si="25"/>
        <v>09</v>
      </c>
      <c r="G287" s="3" t="str">
        <f t="shared" si="26"/>
        <v>03</v>
      </c>
      <c r="H287" t="str">
        <f t="shared" si="27"/>
        <v>03.09.1996</v>
      </c>
      <c r="I287" s="5">
        <v>41925</v>
      </c>
      <c r="J287" s="5">
        <f t="shared" si="28"/>
        <v>6614</v>
      </c>
      <c r="K287" s="6">
        <f t="shared" si="29"/>
        <v>18</v>
      </c>
    </row>
    <row r="288" spans="1:11" x14ac:dyDescent="0.25">
      <c r="A288" s="1" t="s">
        <v>575</v>
      </c>
      <c r="B288" s="1" t="s">
        <v>576</v>
      </c>
      <c r="C288">
        <v>6</v>
      </c>
      <c r="D288">
        <v>2099</v>
      </c>
      <c r="E288" s="1">
        <f t="shared" si="24"/>
        <v>1994</v>
      </c>
      <c r="F288" s="3" t="str">
        <f t="shared" si="25"/>
        <v>08</v>
      </c>
      <c r="G288" s="3" t="str">
        <f t="shared" si="26"/>
        <v>28</v>
      </c>
      <c r="H288" t="str">
        <f t="shared" si="27"/>
        <v>28.08.1994</v>
      </c>
      <c r="I288" s="5">
        <v>41926</v>
      </c>
      <c r="J288" s="5">
        <f t="shared" si="28"/>
        <v>7352</v>
      </c>
      <c r="K288" s="6">
        <f t="shared" si="29"/>
        <v>20</v>
      </c>
    </row>
    <row r="289" spans="1:11" x14ac:dyDescent="0.25">
      <c r="A289" s="1" t="s">
        <v>577</v>
      </c>
      <c r="B289" s="1" t="s">
        <v>578</v>
      </c>
      <c r="C289">
        <v>3</v>
      </c>
      <c r="D289">
        <v>1578</v>
      </c>
      <c r="E289" s="1">
        <f t="shared" si="24"/>
        <v>1996</v>
      </c>
      <c r="F289" s="3" t="str">
        <f t="shared" si="25"/>
        <v>06</v>
      </c>
      <c r="G289" s="3" t="str">
        <f t="shared" si="26"/>
        <v>15</v>
      </c>
      <c r="H289" t="str">
        <f t="shared" si="27"/>
        <v>15.06.1996</v>
      </c>
      <c r="I289" s="5">
        <v>41927</v>
      </c>
      <c r="J289" s="5">
        <f t="shared" si="28"/>
        <v>6696</v>
      </c>
      <c r="K289" s="6">
        <f t="shared" si="29"/>
        <v>18</v>
      </c>
    </row>
    <row r="290" spans="1:11" x14ac:dyDescent="0.25">
      <c r="A290" s="1" t="s">
        <v>579</v>
      </c>
      <c r="B290" s="1" t="s">
        <v>580</v>
      </c>
      <c r="C290">
        <v>4</v>
      </c>
      <c r="D290">
        <v>2014</v>
      </c>
      <c r="E290" s="1">
        <f t="shared" si="24"/>
        <v>1998</v>
      </c>
      <c r="F290" s="3" t="str">
        <f t="shared" si="25"/>
        <v>07</v>
      </c>
      <c r="G290" s="3" t="str">
        <f t="shared" si="26"/>
        <v>11</v>
      </c>
      <c r="H290" t="str">
        <f t="shared" si="27"/>
        <v>11.07.1998</v>
      </c>
      <c r="I290" s="5">
        <v>41928</v>
      </c>
      <c r="J290" s="5">
        <f t="shared" si="28"/>
        <v>5941</v>
      </c>
      <c r="K290" s="6">
        <f t="shared" si="29"/>
        <v>16</v>
      </c>
    </row>
    <row r="291" spans="1:11" x14ac:dyDescent="0.25">
      <c r="A291" s="1" t="s">
        <v>581</v>
      </c>
      <c r="B291" s="1" t="s">
        <v>582</v>
      </c>
      <c r="C291">
        <v>5</v>
      </c>
      <c r="D291">
        <v>2835</v>
      </c>
      <c r="E291" s="1">
        <f t="shared" si="24"/>
        <v>1995</v>
      </c>
      <c r="F291" s="3" t="str">
        <f t="shared" si="25"/>
        <v>06</v>
      </c>
      <c r="G291" s="3" t="str">
        <f t="shared" si="26"/>
        <v>20</v>
      </c>
      <c r="H291" t="str">
        <f t="shared" si="27"/>
        <v>20.06.1995</v>
      </c>
      <c r="I291" s="5">
        <v>41929</v>
      </c>
      <c r="J291" s="5">
        <f t="shared" si="28"/>
        <v>7059</v>
      </c>
      <c r="K291" s="6">
        <f t="shared" si="29"/>
        <v>19</v>
      </c>
    </row>
    <row r="292" spans="1:11" x14ac:dyDescent="0.25">
      <c r="A292" s="1" t="s">
        <v>583</v>
      </c>
      <c r="B292" s="1" t="s">
        <v>584</v>
      </c>
      <c r="C292">
        <v>6</v>
      </c>
      <c r="D292">
        <v>1888</v>
      </c>
      <c r="E292" s="1">
        <f t="shared" si="24"/>
        <v>1996</v>
      </c>
      <c r="F292" s="3" t="str">
        <f t="shared" si="25"/>
        <v>05</v>
      </c>
      <c r="G292" s="3" t="str">
        <f t="shared" si="26"/>
        <v>28</v>
      </c>
      <c r="H292" t="str">
        <f t="shared" si="27"/>
        <v>28.05.1996</v>
      </c>
      <c r="I292" s="5">
        <v>41930</v>
      </c>
      <c r="J292" s="5">
        <f t="shared" si="28"/>
        <v>6717</v>
      </c>
      <c r="K292" s="6">
        <f t="shared" si="29"/>
        <v>18</v>
      </c>
    </row>
    <row r="293" spans="1:11" x14ac:dyDescent="0.25">
      <c r="A293" s="1" t="s">
        <v>585</v>
      </c>
      <c r="B293" s="1" t="s">
        <v>586</v>
      </c>
      <c r="C293">
        <v>5</v>
      </c>
      <c r="D293">
        <v>2946</v>
      </c>
      <c r="E293" s="1">
        <f t="shared" si="24"/>
        <v>1997</v>
      </c>
      <c r="F293" s="3" t="str">
        <f t="shared" si="25"/>
        <v>05</v>
      </c>
      <c r="G293" s="3" t="str">
        <f t="shared" si="26"/>
        <v>17</v>
      </c>
      <c r="H293" t="str">
        <f t="shared" si="27"/>
        <v>17.05.1997</v>
      </c>
      <c r="I293" s="5">
        <v>41931</v>
      </c>
      <c r="J293" s="5">
        <f t="shared" si="28"/>
        <v>6364</v>
      </c>
      <c r="K293" s="6">
        <f t="shared" si="29"/>
        <v>17</v>
      </c>
    </row>
    <row r="294" spans="1:11" x14ac:dyDescent="0.25">
      <c r="A294" s="1" t="s">
        <v>587</v>
      </c>
      <c r="B294" s="1" t="s">
        <v>588</v>
      </c>
      <c r="C294">
        <v>4</v>
      </c>
      <c r="D294">
        <v>1716</v>
      </c>
      <c r="E294" s="1">
        <f t="shared" si="24"/>
        <v>1996</v>
      </c>
      <c r="F294" s="3" t="str">
        <f t="shared" si="25"/>
        <v>10</v>
      </c>
      <c r="G294" s="3" t="str">
        <f t="shared" si="26"/>
        <v>27</v>
      </c>
      <c r="H294" t="str">
        <f t="shared" si="27"/>
        <v>27.10.1996</v>
      </c>
      <c r="I294" s="5">
        <v>41932</v>
      </c>
      <c r="J294" s="5">
        <f t="shared" si="28"/>
        <v>6567</v>
      </c>
      <c r="K294" s="6">
        <f t="shared" si="29"/>
        <v>17</v>
      </c>
    </row>
    <row r="295" spans="1:11" x14ac:dyDescent="0.25">
      <c r="A295" s="1" t="s">
        <v>589</v>
      </c>
      <c r="B295" s="1" t="s">
        <v>590</v>
      </c>
      <c r="C295">
        <v>5</v>
      </c>
      <c r="D295">
        <v>3318</v>
      </c>
      <c r="E295" s="1">
        <f t="shared" si="24"/>
        <v>1995</v>
      </c>
      <c r="F295" s="3" t="str">
        <f t="shared" si="25"/>
        <v>01</v>
      </c>
      <c r="G295" s="3" t="str">
        <f t="shared" si="26"/>
        <v>16</v>
      </c>
      <c r="H295" t="str">
        <f t="shared" si="27"/>
        <v>16.01.1995</v>
      </c>
      <c r="I295" s="5">
        <v>41933</v>
      </c>
      <c r="J295" s="5">
        <f t="shared" si="28"/>
        <v>7218</v>
      </c>
      <c r="K295" s="6">
        <f t="shared" si="29"/>
        <v>19</v>
      </c>
    </row>
    <row r="296" spans="1:11" x14ac:dyDescent="0.25">
      <c r="A296" s="1" t="s">
        <v>591</v>
      </c>
      <c r="B296" s="1" t="s">
        <v>592</v>
      </c>
      <c r="C296">
        <v>4</v>
      </c>
      <c r="D296">
        <v>4362</v>
      </c>
      <c r="E296" s="1">
        <f t="shared" si="24"/>
        <v>1996</v>
      </c>
      <c r="F296" s="3" t="str">
        <f t="shared" si="25"/>
        <v>06</v>
      </c>
      <c r="G296" s="3" t="str">
        <f t="shared" si="26"/>
        <v>12</v>
      </c>
      <c r="H296" t="str">
        <f t="shared" si="27"/>
        <v>12.06.1996</v>
      </c>
      <c r="I296" s="5">
        <v>41934</v>
      </c>
      <c r="J296" s="5">
        <f t="shared" si="28"/>
        <v>6706</v>
      </c>
      <c r="K296" s="6">
        <f t="shared" si="29"/>
        <v>18</v>
      </c>
    </row>
    <row r="297" spans="1:11" x14ac:dyDescent="0.25">
      <c r="A297" s="1" t="s">
        <v>593</v>
      </c>
      <c r="B297" s="1" t="s">
        <v>594</v>
      </c>
      <c r="C297">
        <v>2</v>
      </c>
      <c r="D297">
        <v>1805</v>
      </c>
      <c r="E297" s="1">
        <f t="shared" si="24"/>
        <v>1996</v>
      </c>
      <c r="F297" s="3" t="str">
        <f t="shared" si="25"/>
        <v>02</v>
      </c>
      <c r="G297" s="3" t="str">
        <f t="shared" si="26"/>
        <v>19</v>
      </c>
      <c r="H297" t="str">
        <f t="shared" si="27"/>
        <v>19.02.1996</v>
      </c>
      <c r="I297" s="5">
        <v>41935</v>
      </c>
      <c r="J297" s="5">
        <f t="shared" si="28"/>
        <v>6821</v>
      </c>
      <c r="K297" s="6">
        <f t="shared" si="29"/>
        <v>18</v>
      </c>
    </row>
    <row r="298" spans="1:11" x14ac:dyDescent="0.25">
      <c r="A298" s="1" t="s">
        <v>595</v>
      </c>
      <c r="B298" s="1" t="s">
        <v>596</v>
      </c>
      <c r="C298">
        <v>4</v>
      </c>
      <c r="D298">
        <v>1924</v>
      </c>
      <c r="E298" s="1">
        <f t="shared" si="24"/>
        <v>1994</v>
      </c>
      <c r="F298" s="3" t="str">
        <f t="shared" si="25"/>
        <v>07</v>
      </c>
      <c r="G298" s="3" t="str">
        <f t="shared" si="26"/>
        <v>07</v>
      </c>
      <c r="H298" t="str">
        <f t="shared" si="27"/>
        <v>07.07.1994</v>
      </c>
      <c r="I298" s="5">
        <v>41936</v>
      </c>
      <c r="J298" s="5">
        <f t="shared" si="28"/>
        <v>7414</v>
      </c>
      <c r="K298" s="6">
        <f t="shared" si="29"/>
        <v>20</v>
      </c>
    </row>
    <row r="299" spans="1:11" x14ac:dyDescent="0.25">
      <c r="A299" s="1" t="s">
        <v>597</v>
      </c>
      <c r="B299" s="1" t="s">
        <v>598</v>
      </c>
      <c r="C299">
        <v>5</v>
      </c>
      <c r="D299">
        <v>3572</v>
      </c>
      <c r="E299" s="1">
        <f t="shared" si="24"/>
        <v>1996</v>
      </c>
      <c r="F299" s="3" t="str">
        <f t="shared" si="25"/>
        <v>09</v>
      </c>
      <c r="G299" s="3" t="str">
        <f t="shared" si="26"/>
        <v>05</v>
      </c>
      <c r="H299" t="str">
        <f t="shared" si="27"/>
        <v>05.09.1996</v>
      </c>
      <c r="I299" s="5">
        <v>41937</v>
      </c>
      <c r="J299" s="5">
        <f t="shared" si="28"/>
        <v>6624</v>
      </c>
      <c r="K299" s="6">
        <f t="shared" si="29"/>
        <v>18</v>
      </c>
    </row>
    <row r="300" spans="1:11" x14ac:dyDescent="0.25">
      <c r="A300" s="1" t="s">
        <v>599</v>
      </c>
      <c r="B300" s="1" t="s">
        <v>600</v>
      </c>
      <c r="C300">
        <v>5</v>
      </c>
      <c r="D300">
        <v>3029</v>
      </c>
      <c r="E300" s="1">
        <f t="shared" si="24"/>
        <v>1995</v>
      </c>
      <c r="F300" s="3" t="str">
        <f t="shared" si="25"/>
        <v>01</v>
      </c>
      <c r="G300" s="3" t="str">
        <f t="shared" si="26"/>
        <v>07</v>
      </c>
      <c r="H300" t="str">
        <f t="shared" si="27"/>
        <v>07.01.1995</v>
      </c>
      <c r="I300" s="5">
        <v>41938</v>
      </c>
      <c r="J300" s="5">
        <f t="shared" si="28"/>
        <v>7232</v>
      </c>
      <c r="K300" s="6">
        <f t="shared" si="29"/>
        <v>19</v>
      </c>
    </row>
    <row r="301" spans="1:11" x14ac:dyDescent="0.25">
      <c r="A301" s="1" t="s">
        <v>601</v>
      </c>
      <c r="B301" s="1" t="s">
        <v>602</v>
      </c>
      <c r="C301">
        <v>4</v>
      </c>
      <c r="D301">
        <v>1901</v>
      </c>
      <c r="E301" s="1">
        <f t="shared" si="24"/>
        <v>1997</v>
      </c>
      <c r="F301" s="3" t="str">
        <f t="shared" si="25"/>
        <v>04</v>
      </c>
      <c r="G301" s="3" t="str">
        <f t="shared" si="26"/>
        <v>20</v>
      </c>
      <c r="H301" t="str">
        <f t="shared" si="27"/>
        <v>20.04.1997</v>
      </c>
      <c r="I301" s="5">
        <v>41939</v>
      </c>
      <c r="J301" s="5">
        <f t="shared" si="28"/>
        <v>6399</v>
      </c>
      <c r="K301" s="6">
        <f t="shared" si="29"/>
        <v>17</v>
      </c>
    </row>
    <row r="302" spans="1:11" x14ac:dyDescent="0.25">
      <c r="A302" s="1" t="s">
        <v>603</v>
      </c>
      <c r="B302" s="1" t="s">
        <v>604</v>
      </c>
      <c r="C302">
        <v>4</v>
      </c>
      <c r="D302">
        <v>2519</v>
      </c>
      <c r="E302" s="1">
        <f t="shared" si="24"/>
        <v>1996</v>
      </c>
      <c r="F302" s="3" t="str">
        <f t="shared" si="25"/>
        <v>12</v>
      </c>
      <c r="G302" s="3" t="str">
        <f t="shared" si="26"/>
        <v>16</v>
      </c>
      <c r="H302" t="str">
        <f t="shared" si="27"/>
        <v>16.12.1996</v>
      </c>
      <c r="I302" s="5">
        <v>41940</v>
      </c>
      <c r="J302" s="5">
        <f t="shared" si="28"/>
        <v>6525</v>
      </c>
      <c r="K302" s="6">
        <f t="shared" si="29"/>
        <v>17</v>
      </c>
    </row>
    <row r="303" spans="1:11" x14ac:dyDescent="0.25">
      <c r="A303" s="1" t="s">
        <v>605</v>
      </c>
      <c r="B303" s="1" t="s">
        <v>606</v>
      </c>
      <c r="C303">
        <v>4</v>
      </c>
      <c r="D303">
        <v>3628</v>
      </c>
      <c r="E303" s="1">
        <f t="shared" si="24"/>
        <v>1995</v>
      </c>
      <c r="F303" s="3" t="str">
        <f t="shared" si="25"/>
        <v>05</v>
      </c>
      <c r="G303" s="3" t="str">
        <f t="shared" si="26"/>
        <v>13</v>
      </c>
      <c r="H303" t="str">
        <f t="shared" si="27"/>
        <v>13.05.1995</v>
      </c>
      <c r="I303" s="5">
        <v>41941</v>
      </c>
      <c r="J303" s="5">
        <f t="shared" si="28"/>
        <v>7109</v>
      </c>
      <c r="K303" s="6">
        <f t="shared" si="29"/>
        <v>19</v>
      </c>
    </row>
    <row r="304" spans="1:11" x14ac:dyDescent="0.25">
      <c r="A304" s="1" t="s">
        <v>607</v>
      </c>
      <c r="B304" s="1" t="s">
        <v>608</v>
      </c>
      <c r="C304">
        <v>3</v>
      </c>
      <c r="D304">
        <v>2369</v>
      </c>
      <c r="E304" s="1">
        <f t="shared" si="24"/>
        <v>1998</v>
      </c>
      <c r="F304" s="3" t="str">
        <f t="shared" si="25"/>
        <v>01</v>
      </c>
      <c r="G304" s="3" t="str">
        <f t="shared" si="26"/>
        <v>05</v>
      </c>
      <c r="H304" t="str">
        <f t="shared" si="27"/>
        <v>05.01.1998</v>
      </c>
      <c r="I304" s="5">
        <v>41942</v>
      </c>
      <c r="J304" s="5">
        <f t="shared" si="28"/>
        <v>6142</v>
      </c>
      <c r="K304" s="6">
        <f t="shared" si="29"/>
        <v>16</v>
      </c>
    </row>
    <row r="305" spans="1:11" x14ac:dyDescent="0.25">
      <c r="A305" s="1" t="s">
        <v>609</v>
      </c>
      <c r="B305" s="1" t="s">
        <v>610</v>
      </c>
      <c r="C305">
        <v>5</v>
      </c>
      <c r="D305">
        <v>2111</v>
      </c>
      <c r="E305" s="1">
        <f t="shared" si="24"/>
        <v>1996</v>
      </c>
      <c r="F305" s="3" t="str">
        <f t="shared" si="25"/>
        <v>04</v>
      </c>
      <c r="G305" s="3" t="str">
        <f t="shared" si="26"/>
        <v>26</v>
      </c>
      <c r="H305" t="str">
        <f t="shared" si="27"/>
        <v>26.04.1996</v>
      </c>
      <c r="I305" s="5">
        <v>41943</v>
      </c>
      <c r="J305" s="5">
        <f t="shared" si="28"/>
        <v>6762</v>
      </c>
      <c r="K305" s="6">
        <f t="shared" si="29"/>
        <v>18</v>
      </c>
    </row>
    <row r="306" spans="1:11" x14ac:dyDescent="0.25">
      <c r="A306" s="1" t="s">
        <v>611</v>
      </c>
      <c r="B306" s="1" t="s">
        <v>612</v>
      </c>
      <c r="C306">
        <v>4</v>
      </c>
      <c r="D306">
        <v>828</v>
      </c>
      <c r="E306" s="1">
        <f t="shared" si="24"/>
        <v>1996</v>
      </c>
      <c r="F306" s="3" t="str">
        <f t="shared" si="25"/>
        <v>06</v>
      </c>
      <c r="G306" s="3" t="str">
        <f t="shared" si="26"/>
        <v>03</v>
      </c>
      <c r="H306" t="str">
        <f t="shared" si="27"/>
        <v>03.06.1996</v>
      </c>
      <c r="I306" s="5">
        <v>41944</v>
      </c>
      <c r="J306" s="5">
        <f t="shared" si="28"/>
        <v>6725</v>
      </c>
      <c r="K306" s="6">
        <f t="shared" si="29"/>
        <v>18</v>
      </c>
    </row>
    <row r="307" spans="1:11" x14ac:dyDescent="0.25">
      <c r="A307" s="1" t="s">
        <v>613</v>
      </c>
      <c r="B307" s="1" t="s">
        <v>614</v>
      </c>
      <c r="C307">
        <v>5</v>
      </c>
      <c r="D307">
        <v>2270</v>
      </c>
      <c r="E307" s="1">
        <f t="shared" si="24"/>
        <v>1997</v>
      </c>
      <c r="F307" s="3" t="str">
        <f t="shared" si="25"/>
        <v>04</v>
      </c>
      <c r="G307" s="3" t="str">
        <f t="shared" si="26"/>
        <v>24</v>
      </c>
      <c r="H307" t="str">
        <f t="shared" si="27"/>
        <v>24.04.1997</v>
      </c>
      <c r="I307" s="5">
        <v>41945</v>
      </c>
      <c r="J307" s="5">
        <f t="shared" si="28"/>
        <v>6401</v>
      </c>
      <c r="K307" s="6">
        <f t="shared" si="29"/>
        <v>17</v>
      </c>
    </row>
    <row r="308" spans="1:11" x14ac:dyDescent="0.25">
      <c r="A308" s="1" t="s">
        <v>615</v>
      </c>
      <c r="B308" s="1" t="s">
        <v>616</v>
      </c>
      <c r="C308">
        <v>6</v>
      </c>
      <c r="D308">
        <v>1285</v>
      </c>
      <c r="E308" s="1">
        <f t="shared" si="24"/>
        <v>1996</v>
      </c>
      <c r="F308" s="3" t="str">
        <f t="shared" si="25"/>
        <v>01</v>
      </c>
      <c r="G308" s="3" t="str">
        <f t="shared" si="26"/>
        <v>17</v>
      </c>
      <c r="H308" t="str">
        <f t="shared" si="27"/>
        <v>17.01.1996</v>
      </c>
      <c r="I308" s="5">
        <v>41946</v>
      </c>
      <c r="J308" s="5">
        <f t="shared" si="28"/>
        <v>6865</v>
      </c>
      <c r="K308" s="6">
        <f t="shared" si="29"/>
        <v>18</v>
      </c>
    </row>
    <row r="309" spans="1:11" x14ac:dyDescent="0.25">
      <c r="A309" s="1" t="s">
        <v>617</v>
      </c>
      <c r="B309" s="1" t="s">
        <v>618</v>
      </c>
      <c r="C309">
        <v>4</v>
      </c>
      <c r="D309">
        <v>1021</v>
      </c>
      <c r="E309" s="1">
        <f t="shared" si="24"/>
        <v>1997</v>
      </c>
      <c r="F309" s="3" t="str">
        <f t="shared" si="25"/>
        <v>01</v>
      </c>
      <c r="G309" s="3" t="str">
        <f t="shared" si="26"/>
        <v>08</v>
      </c>
      <c r="H309" t="str">
        <f t="shared" si="27"/>
        <v>08.01.1997</v>
      </c>
      <c r="I309" s="5">
        <v>41947</v>
      </c>
      <c r="J309" s="5">
        <f t="shared" si="28"/>
        <v>6509</v>
      </c>
      <c r="K309" s="6">
        <f t="shared" si="29"/>
        <v>17</v>
      </c>
    </row>
    <row r="310" spans="1:11" x14ac:dyDescent="0.25">
      <c r="A310" s="1" t="s">
        <v>619</v>
      </c>
      <c r="B310" s="1" t="s">
        <v>620</v>
      </c>
      <c r="C310">
        <v>4</v>
      </c>
      <c r="D310">
        <v>995</v>
      </c>
      <c r="E310" s="1">
        <f t="shared" si="24"/>
        <v>1996</v>
      </c>
      <c r="F310" s="3" t="str">
        <f t="shared" si="25"/>
        <v>03</v>
      </c>
      <c r="G310" s="3" t="str">
        <f t="shared" si="26"/>
        <v>17</v>
      </c>
      <c r="H310" t="str">
        <f t="shared" si="27"/>
        <v>17.03.1996</v>
      </c>
      <c r="I310" s="5">
        <v>41948</v>
      </c>
      <c r="J310" s="5">
        <f t="shared" si="28"/>
        <v>6807</v>
      </c>
      <c r="K310" s="6">
        <f t="shared" si="29"/>
        <v>18</v>
      </c>
    </row>
    <row r="311" spans="1:11" x14ac:dyDescent="0.25">
      <c r="A311" s="1" t="s">
        <v>621</v>
      </c>
      <c r="B311" s="1" t="s">
        <v>622</v>
      </c>
      <c r="C311">
        <v>6</v>
      </c>
      <c r="D311">
        <v>4040</v>
      </c>
      <c r="E311" s="1">
        <f t="shared" si="24"/>
        <v>1994</v>
      </c>
      <c r="F311" s="3" t="str">
        <f t="shared" si="25"/>
        <v>10</v>
      </c>
      <c r="G311" s="3" t="str">
        <f t="shared" si="26"/>
        <v>26</v>
      </c>
      <c r="H311" t="str">
        <f t="shared" si="27"/>
        <v>26.10.1994</v>
      </c>
      <c r="I311" s="5">
        <v>41949</v>
      </c>
      <c r="J311" s="5">
        <f t="shared" si="28"/>
        <v>7316</v>
      </c>
      <c r="K311" s="6">
        <f t="shared" si="29"/>
        <v>20</v>
      </c>
    </row>
    <row r="312" spans="1:11" x14ac:dyDescent="0.25">
      <c r="A312" s="1" t="s">
        <v>623</v>
      </c>
      <c r="B312" s="1" t="s">
        <v>624</v>
      </c>
      <c r="C312">
        <v>5</v>
      </c>
      <c r="D312">
        <v>1446</v>
      </c>
      <c r="E312" s="1">
        <f t="shared" si="24"/>
        <v>1995</v>
      </c>
      <c r="F312" s="3" t="str">
        <f t="shared" si="25"/>
        <v>04</v>
      </c>
      <c r="G312" s="3" t="str">
        <f t="shared" si="26"/>
        <v>19</v>
      </c>
      <c r="H312" t="str">
        <f t="shared" si="27"/>
        <v>19.04.1995</v>
      </c>
      <c r="I312" s="5">
        <v>41950</v>
      </c>
      <c r="J312" s="5">
        <f t="shared" si="28"/>
        <v>7142</v>
      </c>
      <c r="K312" s="6">
        <f t="shared" si="29"/>
        <v>19</v>
      </c>
    </row>
    <row r="313" spans="1:11" x14ac:dyDescent="0.25">
      <c r="A313" s="1" t="s">
        <v>625</v>
      </c>
      <c r="B313" s="1" t="s">
        <v>626</v>
      </c>
      <c r="C313">
        <v>2</v>
      </c>
      <c r="D313">
        <v>2354</v>
      </c>
      <c r="E313" s="1">
        <f t="shared" si="24"/>
        <v>1997</v>
      </c>
      <c r="F313" s="3" t="str">
        <f t="shared" si="25"/>
        <v>10</v>
      </c>
      <c r="G313" s="3" t="str">
        <f t="shared" si="26"/>
        <v>24</v>
      </c>
      <c r="H313" t="str">
        <f t="shared" si="27"/>
        <v>24.10.1997</v>
      </c>
      <c r="I313" s="5">
        <v>41951</v>
      </c>
      <c r="J313" s="5">
        <f t="shared" si="28"/>
        <v>6224</v>
      </c>
      <c r="K313" s="6">
        <f t="shared" si="29"/>
        <v>17</v>
      </c>
    </row>
    <row r="314" spans="1:11" x14ac:dyDescent="0.25">
      <c r="A314" s="1" t="s">
        <v>627</v>
      </c>
      <c r="B314" s="1" t="s">
        <v>628</v>
      </c>
      <c r="C314">
        <v>2</v>
      </c>
      <c r="D314">
        <v>3651</v>
      </c>
      <c r="E314" s="1">
        <f t="shared" si="24"/>
        <v>1995</v>
      </c>
      <c r="F314" s="3" t="str">
        <f t="shared" si="25"/>
        <v>01</v>
      </c>
      <c r="G314" s="3" t="str">
        <f t="shared" si="26"/>
        <v>23</v>
      </c>
      <c r="H314" t="str">
        <f t="shared" si="27"/>
        <v>23.01.1995</v>
      </c>
      <c r="I314" s="5">
        <v>41952</v>
      </c>
      <c r="J314" s="5">
        <f t="shared" si="28"/>
        <v>7230</v>
      </c>
      <c r="K314" s="6">
        <f t="shared" si="29"/>
        <v>19</v>
      </c>
    </row>
    <row r="315" spans="1:11" x14ac:dyDescent="0.25">
      <c r="A315" s="1" t="s">
        <v>629</v>
      </c>
      <c r="B315" s="1" t="s">
        <v>630</v>
      </c>
      <c r="C315">
        <v>3</v>
      </c>
      <c r="D315">
        <v>1392</v>
      </c>
      <c r="E315" s="1">
        <f t="shared" si="24"/>
        <v>1996</v>
      </c>
      <c r="F315" s="3" t="str">
        <f t="shared" si="25"/>
        <v>02</v>
      </c>
      <c r="G315" s="3" t="str">
        <f t="shared" si="26"/>
        <v>03</v>
      </c>
      <c r="H315" t="str">
        <f t="shared" si="27"/>
        <v>03.02.1996</v>
      </c>
      <c r="I315" s="5">
        <v>41953</v>
      </c>
      <c r="J315" s="5">
        <f t="shared" si="28"/>
        <v>6855</v>
      </c>
      <c r="K315" s="6">
        <f t="shared" si="29"/>
        <v>18</v>
      </c>
    </row>
    <row r="316" spans="1:11" x14ac:dyDescent="0.25">
      <c r="A316" s="1" t="s">
        <v>631</v>
      </c>
      <c r="B316" s="1" t="s">
        <v>632</v>
      </c>
      <c r="C316">
        <v>5</v>
      </c>
      <c r="D316">
        <v>1688</v>
      </c>
      <c r="E316" s="1">
        <f t="shared" si="24"/>
        <v>1998</v>
      </c>
      <c r="F316" s="3" t="str">
        <f t="shared" si="25"/>
        <v>07</v>
      </c>
      <c r="G316" s="3" t="str">
        <f t="shared" si="26"/>
        <v>30</v>
      </c>
      <c r="H316" t="str">
        <f t="shared" si="27"/>
        <v>30.07.1998</v>
      </c>
      <c r="I316" s="5">
        <v>41954</v>
      </c>
      <c r="J316" s="5">
        <f t="shared" si="28"/>
        <v>5948</v>
      </c>
      <c r="K316" s="6">
        <f t="shared" si="29"/>
        <v>16</v>
      </c>
    </row>
    <row r="317" spans="1:11" x14ac:dyDescent="0.25">
      <c r="A317" s="1" t="s">
        <v>633</v>
      </c>
      <c r="B317" s="1" t="s">
        <v>634</v>
      </c>
      <c r="C317">
        <v>4</v>
      </c>
      <c r="D317">
        <v>2043</v>
      </c>
      <c r="E317" s="1">
        <f t="shared" si="24"/>
        <v>1995</v>
      </c>
      <c r="F317" s="3" t="str">
        <f t="shared" si="25"/>
        <v>08</v>
      </c>
      <c r="G317" s="3" t="str">
        <f t="shared" si="26"/>
        <v>13</v>
      </c>
      <c r="H317" t="str">
        <f t="shared" si="27"/>
        <v>13.08.1995</v>
      </c>
      <c r="I317" s="5">
        <v>41955</v>
      </c>
      <c r="J317" s="5">
        <f t="shared" si="28"/>
        <v>7031</v>
      </c>
      <c r="K317" s="6">
        <f t="shared" si="29"/>
        <v>19</v>
      </c>
    </row>
    <row r="318" spans="1:11" x14ac:dyDescent="0.25">
      <c r="A318" s="1" t="s">
        <v>635</v>
      </c>
      <c r="B318" s="1" t="s">
        <v>636</v>
      </c>
      <c r="C318">
        <v>3</v>
      </c>
      <c r="D318">
        <v>3865</v>
      </c>
      <c r="E318" s="1">
        <f t="shared" si="24"/>
        <v>1996</v>
      </c>
      <c r="F318" s="3" t="str">
        <f t="shared" si="25"/>
        <v>01</v>
      </c>
      <c r="G318" s="3" t="str">
        <f t="shared" si="26"/>
        <v>24</v>
      </c>
      <c r="H318" t="str">
        <f t="shared" si="27"/>
        <v>24.01.1996</v>
      </c>
      <c r="I318" s="5">
        <v>41956</v>
      </c>
      <c r="J318" s="5">
        <f t="shared" si="28"/>
        <v>6868</v>
      </c>
      <c r="K318" s="6">
        <f t="shared" si="29"/>
        <v>18</v>
      </c>
    </row>
    <row r="319" spans="1:11" x14ac:dyDescent="0.25">
      <c r="A319" s="1" t="s">
        <v>637</v>
      </c>
      <c r="B319" s="1" t="s">
        <v>638</v>
      </c>
      <c r="C319">
        <v>2</v>
      </c>
      <c r="D319">
        <v>2066</v>
      </c>
      <c r="E319" s="1">
        <f t="shared" si="24"/>
        <v>1997</v>
      </c>
      <c r="F319" s="3" t="str">
        <f t="shared" si="25"/>
        <v>08</v>
      </c>
      <c r="G319" s="3" t="str">
        <f t="shared" si="26"/>
        <v>24</v>
      </c>
      <c r="H319" t="str">
        <f t="shared" si="27"/>
        <v>24.08.1997</v>
      </c>
      <c r="I319" s="5">
        <v>41957</v>
      </c>
      <c r="J319" s="5">
        <f t="shared" si="28"/>
        <v>6291</v>
      </c>
      <c r="K319" s="6">
        <f t="shared" si="29"/>
        <v>17</v>
      </c>
    </row>
    <row r="320" spans="1:11" x14ac:dyDescent="0.25">
      <c r="A320" s="1" t="s">
        <v>639</v>
      </c>
      <c r="B320" s="1" t="s">
        <v>640</v>
      </c>
      <c r="C320">
        <v>6</v>
      </c>
      <c r="D320">
        <v>3497</v>
      </c>
      <c r="E320" s="1">
        <f t="shared" si="24"/>
        <v>1996</v>
      </c>
      <c r="F320" s="3" t="str">
        <f t="shared" si="25"/>
        <v>07</v>
      </c>
      <c r="G320" s="3" t="str">
        <f t="shared" si="26"/>
        <v>23</v>
      </c>
      <c r="H320" t="str">
        <f t="shared" si="27"/>
        <v>23.07.1996</v>
      </c>
      <c r="I320" s="5">
        <v>41958</v>
      </c>
      <c r="J320" s="5">
        <f t="shared" si="28"/>
        <v>6689</v>
      </c>
      <c r="K320" s="6">
        <f t="shared" si="29"/>
        <v>18</v>
      </c>
    </row>
    <row r="321" spans="1:11" x14ac:dyDescent="0.25">
      <c r="A321" s="1" t="s">
        <v>641</v>
      </c>
      <c r="B321" s="1" t="s">
        <v>642</v>
      </c>
      <c r="C321">
        <v>4</v>
      </c>
      <c r="D321">
        <v>1939</v>
      </c>
      <c r="E321" s="1">
        <f t="shared" si="24"/>
        <v>1995</v>
      </c>
      <c r="F321" s="3" t="str">
        <f t="shared" si="25"/>
        <v>08</v>
      </c>
      <c r="G321" s="3" t="str">
        <f t="shared" si="26"/>
        <v>04</v>
      </c>
      <c r="H321" t="str">
        <f t="shared" si="27"/>
        <v>04.08.1995</v>
      </c>
      <c r="I321" s="5">
        <v>41959</v>
      </c>
      <c r="J321" s="5">
        <f t="shared" si="28"/>
        <v>7044</v>
      </c>
      <c r="K321" s="6">
        <f t="shared" si="29"/>
        <v>19</v>
      </c>
    </row>
    <row r="322" spans="1:11" x14ac:dyDescent="0.25">
      <c r="A322" s="1" t="s">
        <v>643</v>
      </c>
      <c r="B322" s="1" t="s">
        <v>644</v>
      </c>
      <c r="C322">
        <v>6</v>
      </c>
      <c r="D322">
        <v>3811</v>
      </c>
      <c r="E322" s="1">
        <f t="shared" si="24"/>
        <v>1995</v>
      </c>
      <c r="F322" s="3" t="str">
        <f t="shared" si="25"/>
        <v>01</v>
      </c>
      <c r="G322" s="3" t="str">
        <f t="shared" si="26"/>
        <v>28</v>
      </c>
      <c r="H322" t="str">
        <f t="shared" si="27"/>
        <v>28.01.1995</v>
      </c>
      <c r="I322" s="5">
        <v>41960</v>
      </c>
      <c r="J322" s="5">
        <f t="shared" si="28"/>
        <v>7233</v>
      </c>
      <c r="K322" s="6">
        <f t="shared" si="29"/>
        <v>19</v>
      </c>
    </row>
    <row r="323" spans="1:11" x14ac:dyDescent="0.25">
      <c r="A323" s="1" t="s">
        <v>645</v>
      </c>
      <c r="B323" s="1" t="s">
        <v>646</v>
      </c>
      <c r="C323">
        <v>5</v>
      </c>
      <c r="D323">
        <v>1435</v>
      </c>
      <c r="E323" s="1">
        <f t="shared" ref="E323:E386" si="30">1900+1*LEFT(B323,2)</f>
        <v>1996</v>
      </c>
      <c r="F323" s="3" t="str">
        <f t="shared" ref="F323:F386" si="31">MID(B323,3,2)</f>
        <v>02</v>
      </c>
      <c r="G323" s="3" t="str">
        <f t="shared" ref="G323:G386" si="32">MID(B323,5,2)</f>
        <v>06</v>
      </c>
      <c r="H323" t="str">
        <f t="shared" ref="H323:H386" si="33">CONCATENATE(G323,".",F323,".",E323)</f>
        <v>06.02.1996</v>
      </c>
      <c r="I323" s="5">
        <v>41961</v>
      </c>
      <c r="J323" s="5">
        <f t="shared" ref="J323:J386" si="34">I323-H323</f>
        <v>6860</v>
      </c>
      <c r="K323" s="6">
        <f t="shared" ref="K323:K386" si="35">YEAR(J323)-1900</f>
        <v>18</v>
      </c>
    </row>
    <row r="324" spans="1:11" x14ac:dyDescent="0.25">
      <c r="A324" s="1" t="s">
        <v>647</v>
      </c>
      <c r="B324" s="1" t="s">
        <v>648</v>
      </c>
      <c r="C324">
        <v>5</v>
      </c>
      <c r="D324">
        <v>2434</v>
      </c>
      <c r="E324" s="1">
        <f t="shared" si="30"/>
        <v>1996</v>
      </c>
      <c r="F324" s="3" t="str">
        <f t="shared" si="31"/>
        <v>08</v>
      </c>
      <c r="G324" s="3" t="str">
        <f t="shared" si="32"/>
        <v>08</v>
      </c>
      <c r="H324" t="str">
        <f t="shared" si="33"/>
        <v>08.08.1996</v>
      </c>
      <c r="I324" s="5">
        <v>41962</v>
      </c>
      <c r="J324" s="5">
        <f t="shared" si="34"/>
        <v>6677</v>
      </c>
      <c r="K324" s="6">
        <f t="shared" si="35"/>
        <v>18</v>
      </c>
    </row>
    <row r="325" spans="1:11" x14ac:dyDescent="0.25">
      <c r="A325" s="1" t="s">
        <v>649</v>
      </c>
      <c r="B325" s="1" t="s">
        <v>650</v>
      </c>
      <c r="C325">
        <v>4</v>
      </c>
      <c r="D325">
        <v>4149</v>
      </c>
      <c r="E325" s="1">
        <f t="shared" si="30"/>
        <v>1997</v>
      </c>
      <c r="F325" s="3" t="str">
        <f t="shared" si="31"/>
        <v>01</v>
      </c>
      <c r="G325" s="3" t="str">
        <f t="shared" si="32"/>
        <v>05</v>
      </c>
      <c r="H325" t="str">
        <f t="shared" si="33"/>
        <v>05.01.1997</v>
      </c>
      <c r="I325" s="5">
        <v>41963</v>
      </c>
      <c r="J325" s="5">
        <f t="shared" si="34"/>
        <v>6528</v>
      </c>
      <c r="K325" s="6">
        <f t="shared" si="35"/>
        <v>17</v>
      </c>
    </row>
    <row r="326" spans="1:11" x14ac:dyDescent="0.25">
      <c r="A326" s="1" t="s">
        <v>651</v>
      </c>
      <c r="B326" s="1" t="s">
        <v>652</v>
      </c>
      <c r="C326">
        <v>3</v>
      </c>
      <c r="D326">
        <v>3303</v>
      </c>
      <c r="E326" s="1">
        <f t="shared" si="30"/>
        <v>1997</v>
      </c>
      <c r="F326" s="3" t="str">
        <f t="shared" si="31"/>
        <v>09</v>
      </c>
      <c r="G326" s="3" t="str">
        <f t="shared" si="32"/>
        <v>24</v>
      </c>
      <c r="H326" t="str">
        <f t="shared" si="33"/>
        <v>24.09.1997</v>
      </c>
      <c r="I326" s="5">
        <v>41964</v>
      </c>
      <c r="J326" s="5">
        <f t="shared" si="34"/>
        <v>6267</v>
      </c>
      <c r="K326" s="6">
        <f t="shared" si="35"/>
        <v>17</v>
      </c>
    </row>
    <row r="327" spans="1:11" x14ac:dyDescent="0.25">
      <c r="A327" s="1" t="s">
        <v>653</v>
      </c>
      <c r="B327" s="1" t="s">
        <v>654</v>
      </c>
      <c r="C327">
        <v>2</v>
      </c>
      <c r="D327">
        <v>790</v>
      </c>
      <c r="E327" s="1">
        <f t="shared" si="30"/>
        <v>1996</v>
      </c>
      <c r="F327" s="3" t="str">
        <f t="shared" si="31"/>
        <v>07</v>
      </c>
      <c r="G327" s="3" t="str">
        <f t="shared" si="32"/>
        <v>11</v>
      </c>
      <c r="H327" t="str">
        <f t="shared" si="33"/>
        <v>11.07.1996</v>
      </c>
      <c r="I327" s="5">
        <v>41965</v>
      </c>
      <c r="J327" s="5">
        <f t="shared" si="34"/>
        <v>6708</v>
      </c>
      <c r="K327" s="6">
        <f t="shared" si="35"/>
        <v>18</v>
      </c>
    </row>
    <row r="328" spans="1:11" x14ac:dyDescent="0.25">
      <c r="A328" s="1" t="s">
        <v>655</v>
      </c>
      <c r="B328" s="1" t="s">
        <v>656</v>
      </c>
      <c r="C328">
        <v>2</v>
      </c>
      <c r="D328">
        <v>3168</v>
      </c>
      <c r="E328" s="1">
        <f t="shared" si="30"/>
        <v>1996</v>
      </c>
      <c r="F328" s="3" t="str">
        <f t="shared" si="31"/>
        <v>09</v>
      </c>
      <c r="G328" s="3" t="str">
        <f t="shared" si="32"/>
        <v>23</v>
      </c>
      <c r="H328" t="str">
        <f t="shared" si="33"/>
        <v>23.09.1996</v>
      </c>
      <c r="I328" s="5">
        <v>41966</v>
      </c>
      <c r="J328" s="5">
        <f t="shared" si="34"/>
        <v>6635</v>
      </c>
      <c r="K328" s="6">
        <f t="shared" si="35"/>
        <v>18</v>
      </c>
    </row>
    <row r="329" spans="1:11" x14ac:dyDescent="0.25">
      <c r="A329" s="1" t="s">
        <v>657</v>
      </c>
      <c r="B329" s="1" t="s">
        <v>658</v>
      </c>
      <c r="C329">
        <v>5</v>
      </c>
      <c r="D329">
        <v>1235</v>
      </c>
      <c r="E329" s="1">
        <f t="shared" si="30"/>
        <v>1997</v>
      </c>
      <c r="F329" s="3" t="str">
        <f t="shared" si="31"/>
        <v>08</v>
      </c>
      <c r="G329" s="3" t="str">
        <f t="shared" si="32"/>
        <v>04</v>
      </c>
      <c r="H329" t="str">
        <f t="shared" si="33"/>
        <v>04.08.1997</v>
      </c>
      <c r="I329" s="5">
        <v>41967</v>
      </c>
      <c r="J329" s="5">
        <f t="shared" si="34"/>
        <v>6321</v>
      </c>
      <c r="K329" s="6">
        <f t="shared" si="35"/>
        <v>17</v>
      </c>
    </row>
    <row r="330" spans="1:11" x14ac:dyDescent="0.25">
      <c r="A330" s="1" t="s">
        <v>659</v>
      </c>
      <c r="B330" s="1" t="s">
        <v>660</v>
      </c>
      <c r="C330">
        <v>5</v>
      </c>
      <c r="D330">
        <v>763</v>
      </c>
      <c r="E330" s="1">
        <f t="shared" si="30"/>
        <v>1995</v>
      </c>
      <c r="F330" s="3" t="str">
        <f t="shared" si="31"/>
        <v>03</v>
      </c>
      <c r="G330" s="3" t="str">
        <f t="shared" si="32"/>
        <v>09</v>
      </c>
      <c r="H330" t="str">
        <f t="shared" si="33"/>
        <v>09.03.1995</v>
      </c>
      <c r="I330" s="5">
        <v>41968</v>
      </c>
      <c r="J330" s="5">
        <f t="shared" si="34"/>
        <v>7201</v>
      </c>
      <c r="K330" s="6">
        <f t="shared" si="35"/>
        <v>19</v>
      </c>
    </row>
    <row r="331" spans="1:11" x14ac:dyDescent="0.25">
      <c r="A331" s="1" t="s">
        <v>661</v>
      </c>
      <c r="B331" s="1" t="s">
        <v>662</v>
      </c>
      <c r="C331">
        <v>4</v>
      </c>
      <c r="D331">
        <v>3317</v>
      </c>
      <c r="E331" s="1">
        <f t="shared" si="30"/>
        <v>1996</v>
      </c>
      <c r="F331" s="3" t="str">
        <f t="shared" si="31"/>
        <v>04</v>
      </c>
      <c r="G331" s="3" t="str">
        <f t="shared" si="32"/>
        <v>14</v>
      </c>
      <c r="H331" t="str">
        <f t="shared" si="33"/>
        <v>14.04.1996</v>
      </c>
      <c r="I331" s="5">
        <v>41969</v>
      </c>
      <c r="J331" s="5">
        <f t="shared" si="34"/>
        <v>6800</v>
      </c>
      <c r="K331" s="6">
        <f t="shared" si="35"/>
        <v>18</v>
      </c>
    </row>
    <row r="332" spans="1:11" x14ac:dyDescent="0.25">
      <c r="A332" s="1" t="s">
        <v>663</v>
      </c>
      <c r="B332" s="1" t="s">
        <v>664</v>
      </c>
      <c r="C332">
        <v>6</v>
      </c>
      <c r="D332">
        <v>2055</v>
      </c>
      <c r="E332" s="1">
        <f t="shared" si="30"/>
        <v>1997</v>
      </c>
      <c r="F332" s="3" t="str">
        <f t="shared" si="31"/>
        <v>12</v>
      </c>
      <c r="G332" s="3" t="str">
        <f t="shared" si="32"/>
        <v>28</v>
      </c>
      <c r="H332" t="str">
        <f t="shared" si="33"/>
        <v>28.12.1997</v>
      </c>
      <c r="I332" s="5">
        <v>41970</v>
      </c>
      <c r="J332" s="5">
        <f t="shared" si="34"/>
        <v>6178</v>
      </c>
      <c r="K332" s="6">
        <f t="shared" si="35"/>
        <v>16</v>
      </c>
    </row>
    <row r="333" spans="1:11" x14ac:dyDescent="0.25">
      <c r="A333" s="1" t="s">
        <v>665</v>
      </c>
      <c r="B333" s="1" t="s">
        <v>666</v>
      </c>
      <c r="C333">
        <v>5</v>
      </c>
      <c r="D333">
        <v>3350</v>
      </c>
      <c r="E333" s="1">
        <f t="shared" si="30"/>
        <v>1996</v>
      </c>
      <c r="F333" s="3" t="str">
        <f t="shared" si="31"/>
        <v>05</v>
      </c>
      <c r="G333" s="3" t="str">
        <f t="shared" si="32"/>
        <v>21</v>
      </c>
      <c r="H333" t="str">
        <f t="shared" si="33"/>
        <v>21.05.1996</v>
      </c>
      <c r="I333" s="5">
        <v>41971</v>
      </c>
      <c r="J333" s="5">
        <f t="shared" si="34"/>
        <v>6765</v>
      </c>
      <c r="K333" s="6">
        <f t="shared" si="35"/>
        <v>18</v>
      </c>
    </row>
    <row r="334" spans="1:11" x14ac:dyDescent="0.25">
      <c r="A334" s="1" t="s">
        <v>667</v>
      </c>
      <c r="B334" s="1" t="s">
        <v>668</v>
      </c>
      <c r="C334">
        <v>6</v>
      </c>
      <c r="D334">
        <v>968</v>
      </c>
      <c r="E334" s="1">
        <f t="shared" si="30"/>
        <v>1996</v>
      </c>
      <c r="F334" s="3" t="str">
        <f t="shared" si="31"/>
        <v>07</v>
      </c>
      <c r="G334" s="3" t="str">
        <f t="shared" si="32"/>
        <v>19</v>
      </c>
      <c r="H334" t="str">
        <f t="shared" si="33"/>
        <v>19.07.1996</v>
      </c>
      <c r="I334" s="5">
        <v>41972</v>
      </c>
      <c r="J334" s="5">
        <f t="shared" si="34"/>
        <v>6707</v>
      </c>
      <c r="K334" s="6">
        <f t="shared" si="35"/>
        <v>18</v>
      </c>
    </row>
    <row r="335" spans="1:11" x14ac:dyDescent="0.25">
      <c r="A335" s="1" t="s">
        <v>669</v>
      </c>
      <c r="B335" s="1" t="s">
        <v>670</v>
      </c>
      <c r="C335">
        <v>5</v>
      </c>
      <c r="D335">
        <v>3920</v>
      </c>
      <c r="E335" s="1">
        <f t="shared" si="30"/>
        <v>1996</v>
      </c>
      <c r="F335" s="3" t="str">
        <f t="shared" si="31"/>
        <v>07</v>
      </c>
      <c r="G335" s="3" t="str">
        <f t="shared" si="32"/>
        <v>18</v>
      </c>
      <c r="H335" t="str">
        <f t="shared" si="33"/>
        <v>18.07.1996</v>
      </c>
      <c r="I335" s="5">
        <v>41973</v>
      </c>
      <c r="J335" s="5">
        <f t="shared" si="34"/>
        <v>6709</v>
      </c>
      <c r="K335" s="6">
        <f t="shared" si="35"/>
        <v>18</v>
      </c>
    </row>
    <row r="336" spans="1:11" x14ac:dyDescent="0.25">
      <c r="A336" s="1" t="s">
        <v>671</v>
      </c>
      <c r="B336" s="1" t="s">
        <v>672</v>
      </c>
      <c r="C336">
        <v>2</v>
      </c>
      <c r="D336">
        <v>2936</v>
      </c>
      <c r="E336" s="1">
        <f t="shared" si="30"/>
        <v>1998</v>
      </c>
      <c r="F336" s="3" t="str">
        <f t="shared" si="31"/>
        <v>03</v>
      </c>
      <c r="G336" s="3" t="str">
        <f t="shared" si="32"/>
        <v>18</v>
      </c>
      <c r="H336" t="str">
        <f t="shared" si="33"/>
        <v>18.03.1998</v>
      </c>
      <c r="I336" s="5">
        <v>41974</v>
      </c>
      <c r="J336" s="5">
        <f t="shared" si="34"/>
        <v>6102</v>
      </c>
      <c r="K336" s="6">
        <f t="shared" si="35"/>
        <v>16</v>
      </c>
    </row>
    <row r="337" spans="1:11" x14ac:dyDescent="0.25">
      <c r="A337" s="1" t="s">
        <v>673</v>
      </c>
      <c r="B337" s="1" t="s">
        <v>674</v>
      </c>
      <c r="C337">
        <v>2</v>
      </c>
      <c r="D337">
        <v>2262</v>
      </c>
      <c r="E337" s="1">
        <f t="shared" si="30"/>
        <v>1995</v>
      </c>
      <c r="F337" s="3" t="str">
        <f t="shared" si="31"/>
        <v>12</v>
      </c>
      <c r="G337" s="3" t="str">
        <f t="shared" si="32"/>
        <v>20</v>
      </c>
      <c r="H337" t="str">
        <f t="shared" si="33"/>
        <v>20.12.1995</v>
      </c>
      <c r="I337" s="5">
        <v>41975</v>
      </c>
      <c r="J337" s="5">
        <f t="shared" si="34"/>
        <v>6922</v>
      </c>
      <c r="K337" s="6">
        <f t="shared" si="35"/>
        <v>18</v>
      </c>
    </row>
    <row r="338" spans="1:11" x14ac:dyDescent="0.25">
      <c r="A338" s="1" t="s">
        <v>675</v>
      </c>
      <c r="B338" s="1" t="s">
        <v>676</v>
      </c>
      <c r="C338">
        <v>5</v>
      </c>
      <c r="D338">
        <v>3986</v>
      </c>
      <c r="E338" s="1">
        <f t="shared" si="30"/>
        <v>1996</v>
      </c>
      <c r="F338" s="3" t="str">
        <f t="shared" si="31"/>
        <v>09</v>
      </c>
      <c r="G338" s="3" t="str">
        <f t="shared" si="32"/>
        <v>18</v>
      </c>
      <c r="H338" t="str">
        <f t="shared" si="33"/>
        <v>18.09.1996</v>
      </c>
      <c r="I338" s="5">
        <v>41976</v>
      </c>
      <c r="J338" s="5">
        <f t="shared" si="34"/>
        <v>6650</v>
      </c>
      <c r="K338" s="6">
        <f t="shared" si="35"/>
        <v>18</v>
      </c>
    </row>
    <row r="339" spans="1:11" x14ac:dyDescent="0.25">
      <c r="A339" s="1" t="s">
        <v>677</v>
      </c>
      <c r="B339" s="1" t="s">
        <v>678</v>
      </c>
      <c r="C339">
        <v>3</v>
      </c>
      <c r="D339">
        <v>2163</v>
      </c>
      <c r="E339" s="1">
        <f t="shared" si="30"/>
        <v>1996</v>
      </c>
      <c r="F339" s="3" t="str">
        <f t="shared" si="31"/>
        <v>06</v>
      </c>
      <c r="G339" s="3" t="str">
        <f t="shared" si="32"/>
        <v>14</v>
      </c>
      <c r="H339" t="str">
        <f t="shared" si="33"/>
        <v>14.06.1996</v>
      </c>
      <c r="I339" s="5">
        <v>41977</v>
      </c>
      <c r="J339" s="5">
        <f t="shared" si="34"/>
        <v>6747</v>
      </c>
      <c r="K339" s="6">
        <f t="shared" si="35"/>
        <v>18</v>
      </c>
    </row>
    <row r="340" spans="1:11" x14ac:dyDescent="0.25">
      <c r="A340" s="1" t="s">
        <v>679</v>
      </c>
      <c r="B340" s="1" t="s">
        <v>680</v>
      </c>
      <c r="C340">
        <v>3</v>
      </c>
      <c r="D340">
        <v>2501</v>
      </c>
      <c r="E340" s="1">
        <f t="shared" si="30"/>
        <v>1998</v>
      </c>
      <c r="F340" s="3" t="str">
        <f t="shared" si="31"/>
        <v>08</v>
      </c>
      <c r="G340" s="3" t="str">
        <f t="shared" si="32"/>
        <v>30</v>
      </c>
      <c r="H340" t="str">
        <f t="shared" si="33"/>
        <v>30.08.1998</v>
      </c>
      <c r="I340" s="5">
        <v>41978</v>
      </c>
      <c r="J340" s="5">
        <f t="shared" si="34"/>
        <v>5941</v>
      </c>
      <c r="K340" s="6">
        <f t="shared" si="35"/>
        <v>16</v>
      </c>
    </row>
    <row r="341" spans="1:11" x14ac:dyDescent="0.25">
      <c r="A341" s="1" t="s">
        <v>681</v>
      </c>
      <c r="B341" s="1" t="s">
        <v>682</v>
      </c>
      <c r="C341">
        <v>3</v>
      </c>
      <c r="D341">
        <v>1186</v>
      </c>
      <c r="E341" s="1">
        <f t="shared" si="30"/>
        <v>1996</v>
      </c>
      <c r="F341" s="3" t="str">
        <f t="shared" si="31"/>
        <v>01</v>
      </c>
      <c r="G341" s="3" t="str">
        <f t="shared" si="32"/>
        <v>30</v>
      </c>
      <c r="H341" t="str">
        <f t="shared" si="33"/>
        <v>30.01.1996</v>
      </c>
      <c r="I341" s="5">
        <v>41979</v>
      </c>
      <c r="J341" s="5">
        <f t="shared" si="34"/>
        <v>6885</v>
      </c>
      <c r="K341" s="6">
        <f t="shared" si="35"/>
        <v>18</v>
      </c>
    </row>
    <row r="342" spans="1:11" x14ac:dyDescent="0.25">
      <c r="A342" s="1" t="s">
        <v>683</v>
      </c>
      <c r="B342" s="1" t="s">
        <v>684</v>
      </c>
      <c r="C342">
        <v>4</v>
      </c>
      <c r="D342">
        <v>1206</v>
      </c>
      <c r="E342" s="1">
        <f t="shared" si="30"/>
        <v>1995</v>
      </c>
      <c r="F342" s="3" t="str">
        <f t="shared" si="31"/>
        <v>11</v>
      </c>
      <c r="G342" s="3" t="str">
        <f t="shared" si="32"/>
        <v>20</v>
      </c>
      <c r="H342" t="str">
        <f t="shared" si="33"/>
        <v>20.11.1995</v>
      </c>
      <c r="I342" s="5">
        <v>41980</v>
      </c>
      <c r="J342" s="5">
        <f t="shared" si="34"/>
        <v>6957</v>
      </c>
      <c r="K342" s="6">
        <f t="shared" si="35"/>
        <v>19</v>
      </c>
    </row>
    <row r="343" spans="1:11" x14ac:dyDescent="0.25">
      <c r="A343" s="1" t="s">
        <v>685</v>
      </c>
      <c r="B343" s="1" t="s">
        <v>686</v>
      </c>
      <c r="C343">
        <v>5</v>
      </c>
      <c r="D343">
        <v>3613</v>
      </c>
      <c r="E343" s="1">
        <f t="shared" si="30"/>
        <v>1997</v>
      </c>
      <c r="F343" s="3" t="str">
        <f t="shared" si="31"/>
        <v>12</v>
      </c>
      <c r="G343" s="3" t="str">
        <f t="shared" si="32"/>
        <v>07</v>
      </c>
      <c r="H343" t="str">
        <f t="shared" si="33"/>
        <v>07.12.1997</v>
      </c>
      <c r="I343" s="5">
        <v>41981</v>
      </c>
      <c r="J343" s="5">
        <f t="shared" si="34"/>
        <v>6210</v>
      </c>
      <c r="K343" s="6">
        <f t="shared" si="35"/>
        <v>16</v>
      </c>
    </row>
    <row r="344" spans="1:11" x14ac:dyDescent="0.25">
      <c r="A344" s="1" t="s">
        <v>687</v>
      </c>
      <c r="B344" s="1" t="s">
        <v>688</v>
      </c>
      <c r="C344">
        <v>5</v>
      </c>
      <c r="D344">
        <v>3248</v>
      </c>
      <c r="E344" s="1">
        <f t="shared" si="30"/>
        <v>1994</v>
      </c>
      <c r="F344" s="3" t="str">
        <f t="shared" si="31"/>
        <v>07</v>
      </c>
      <c r="G344" s="3" t="str">
        <f t="shared" si="32"/>
        <v>17</v>
      </c>
      <c r="H344" t="str">
        <f t="shared" si="33"/>
        <v>17.07.1994</v>
      </c>
      <c r="I344" s="5">
        <v>41982</v>
      </c>
      <c r="J344" s="5">
        <f t="shared" si="34"/>
        <v>7450</v>
      </c>
      <c r="K344" s="6">
        <f t="shared" si="35"/>
        <v>20</v>
      </c>
    </row>
    <row r="345" spans="1:11" x14ac:dyDescent="0.25">
      <c r="A345" s="1" t="s">
        <v>689</v>
      </c>
      <c r="B345" s="1" t="s">
        <v>690</v>
      </c>
      <c r="C345">
        <v>4</v>
      </c>
      <c r="D345">
        <v>3613</v>
      </c>
      <c r="E345" s="1">
        <f t="shared" si="30"/>
        <v>1996</v>
      </c>
      <c r="F345" s="3" t="str">
        <f t="shared" si="31"/>
        <v>09</v>
      </c>
      <c r="G345" s="3" t="str">
        <f t="shared" si="32"/>
        <v>26</v>
      </c>
      <c r="H345" t="str">
        <f t="shared" si="33"/>
        <v>26.09.1996</v>
      </c>
      <c r="I345" s="5">
        <v>41983</v>
      </c>
      <c r="J345" s="5">
        <f t="shared" si="34"/>
        <v>6649</v>
      </c>
      <c r="K345" s="6">
        <f t="shared" si="35"/>
        <v>18</v>
      </c>
    </row>
    <row r="346" spans="1:11" x14ac:dyDescent="0.25">
      <c r="A346" s="1" t="s">
        <v>691</v>
      </c>
      <c r="B346" s="1" t="s">
        <v>692</v>
      </c>
      <c r="C346">
        <v>3</v>
      </c>
      <c r="D346">
        <v>2202</v>
      </c>
      <c r="E346" s="1">
        <f t="shared" si="30"/>
        <v>1996</v>
      </c>
      <c r="F346" s="3" t="str">
        <f t="shared" si="31"/>
        <v>06</v>
      </c>
      <c r="G346" s="3" t="str">
        <f t="shared" si="32"/>
        <v>22</v>
      </c>
      <c r="H346" t="str">
        <f t="shared" si="33"/>
        <v>22.06.1996</v>
      </c>
      <c r="I346" s="5">
        <v>41984</v>
      </c>
      <c r="J346" s="5">
        <f t="shared" si="34"/>
        <v>6746</v>
      </c>
      <c r="K346" s="6">
        <f t="shared" si="35"/>
        <v>18</v>
      </c>
    </row>
    <row r="347" spans="1:11" x14ac:dyDescent="0.25">
      <c r="A347" s="1" t="s">
        <v>693</v>
      </c>
      <c r="B347" s="1" t="s">
        <v>694</v>
      </c>
      <c r="C347">
        <v>4</v>
      </c>
      <c r="D347">
        <v>1012</v>
      </c>
      <c r="E347" s="1">
        <f t="shared" si="30"/>
        <v>1995</v>
      </c>
      <c r="F347" s="3" t="str">
        <f t="shared" si="31"/>
        <v>03</v>
      </c>
      <c r="G347" s="3" t="str">
        <f t="shared" si="32"/>
        <v>22</v>
      </c>
      <c r="H347" t="str">
        <f t="shared" si="33"/>
        <v>22.03.1995</v>
      </c>
      <c r="I347" s="5">
        <v>41985</v>
      </c>
      <c r="J347" s="5">
        <f t="shared" si="34"/>
        <v>7205</v>
      </c>
      <c r="K347" s="6">
        <f t="shared" si="35"/>
        <v>19</v>
      </c>
    </row>
    <row r="348" spans="1:11" x14ac:dyDescent="0.25">
      <c r="A348" s="1" t="s">
        <v>695</v>
      </c>
      <c r="B348" s="1" t="s">
        <v>696</v>
      </c>
      <c r="C348">
        <v>3</v>
      </c>
      <c r="D348">
        <v>4087</v>
      </c>
      <c r="E348" s="1">
        <f t="shared" si="30"/>
        <v>1996</v>
      </c>
      <c r="F348" s="3" t="str">
        <f t="shared" si="31"/>
        <v>10</v>
      </c>
      <c r="G348" s="3" t="str">
        <f t="shared" si="32"/>
        <v>28</v>
      </c>
      <c r="H348" t="str">
        <f t="shared" si="33"/>
        <v>28.10.1996</v>
      </c>
      <c r="I348" s="5">
        <v>41986</v>
      </c>
      <c r="J348" s="5">
        <f t="shared" si="34"/>
        <v>6620</v>
      </c>
      <c r="K348" s="6">
        <f t="shared" si="35"/>
        <v>18</v>
      </c>
    </row>
    <row r="349" spans="1:11" x14ac:dyDescent="0.25">
      <c r="A349" s="1" t="s">
        <v>697</v>
      </c>
      <c r="B349" s="1" t="s">
        <v>698</v>
      </c>
      <c r="C349">
        <v>4</v>
      </c>
      <c r="D349">
        <v>1892</v>
      </c>
      <c r="E349" s="1">
        <f t="shared" si="30"/>
        <v>1994</v>
      </c>
      <c r="F349" s="3" t="str">
        <f t="shared" si="31"/>
        <v>01</v>
      </c>
      <c r="G349" s="3" t="str">
        <f t="shared" si="32"/>
        <v>15</v>
      </c>
      <c r="H349" t="str">
        <f t="shared" si="33"/>
        <v>15.01.1994</v>
      </c>
      <c r="I349" s="5">
        <v>41987</v>
      </c>
      <c r="J349" s="5">
        <f t="shared" si="34"/>
        <v>7638</v>
      </c>
      <c r="K349" s="6">
        <f t="shared" si="35"/>
        <v>20</v>
      </c>
    </row>
    <row r="350" spans="1:11" x14ac:dyDescent="0.25">
      <c r="A350" s="1" t="s">
        <v>699</v>
      </c>
      <c r="B350" s="1" t="s">
        <v>700</v>
      </c>
      <c r="C350">
        <v>2</v>
      </c>
      <c r="D350">
        <v>3119</v>
      </c>
      <c r="E350" s="1">
        <f t="shared" si="30"/>
        <v>1996</v>
      </c>
      <c r="F350" s="3" t="str">
        <f t="shared" si="31"/>
        <v>12</v>
      </c>
      <c r="G350" s="3" t="str">
        <f t="shared" si="32"/>
        <v>04</v>
      </c>
      <c r="H350" t="str">
        <f t="shared" si="33"/>
        <v>04.12.1996</v>
      </c>
      <c r="I350" s="5">
        <v>41988</v>
      </c>
      <c r="J350" s="5">
        <f t="shared" si="34"/>
        <v>6585</v>
      </c>
      <c r="K350" s="6">
        <f t="shared" si="35"/>
        <v>18</v>
      </c>
    </row>
    <row r="351" spans="1:11" x14ac:dyDescent="0.25">
      <c r="A351" s="1" t="s">
        <v>701</v>
      </c>
      <c r="B351" s="1" t="s">
        <v>702</v>
      </c>
      <c r="C351">
        <v>3</v>
      </c>
      <c r="D351">
        <v>809</v>
      </c>
      <c r="E351" s="1">
        <f t="shared" si="30"/>
        <v>1997</v>
      </c>
      <c r="F351" s="3" t="str">
        <f t="shared" si="31"/>
        <v>01</v>
      </c>
      <c r="G351" s="3" t="str">
        <f t="shared" si="32"/>
        <v>13</v>
      </c>
      <c r="H351" t="str">
        <f t="shared" si="33"/>
        <v>13.01.1997</v>
      </c>
      <c r="I351" s="5">
        <v>41989</v>
      </c>
      <c r="J351" s="5">
        <f t="shared" si="34"/>
        <v>6546</v>
      </c>
      <c r="K351" s="6">
        <f t="shared" si="35"/>
        <v>17</v>
      </c>
    </row>
    <row r="352" spans="1:11" x14ac:dyDescent="0.25">
      <c r="A352" s="1" t="s">
        <v>703</v>
      </c>
      <c r="B352" s="1" t="s">
        <v>704</v>
      </c>
      <c r="C352">
        <v>3</v>
      </c>
      <c r="D352">
        <v>1762</v>
      </c>
      <c r="E352" s="1">
        <f t="shared" si="30"/>
        <v>1996</v>
      </c>
      <c r="F352" s="3" t="str">
        <f t="shared" si="31"/>
        <v>11</v>
      </c>
      <c r="G352" s="3" t="str">
        <f t="shared" si="32"/>
        <v>22</v>
      </c>
      <c r="H352" t="str">
        <f t="shared" si="33"/>
        <v>22.11.1996</v>
      </c>
      <c r="I352" s="5">
        <v>41990</v>
      </c>
      <c r="J352" s="5">
        <f t="shared" si="34"/>
        <v>6599</v>
      </c>
      <c r="K352" s="6">
        <f t="shared" si="35"/>
        <v>18</v>
      </c>
    </row>
    <row r="353" spans="1:11" x14ac:dyDescent="0.25">
      <c r="A353" s="1" t="s">
        <v>705</v>
      </c>
      <c r="B353" s="1" t="s">
        <v>706</v>
      </c>
      <c r="C353">
        <v>3</v>
      </c>
      <c r="D353">
        <v>4079</v>
      </c>
      <c r="E353" s="1">
        <f t="shared" si="30"/>
        <v>1997</v>
      </c>
      <c r="F353" s="3" t="str">
        <f t="shared" si="31"/>
        <v>07</v>
      </c>
      <c r="G353" s="3" t="str">
        <f t="shared" si="32"/>
        <v>26</v>
      </c>
      <c r="H353" t="str">
        <f t="shared" si="33"/>
        <v>26.07.1997</v>
      </c>
      <c r="I353" s="5">
        <v>41991</v>
      </c>
      <c r="J353" s="5">
        <f t="shared" si="34"/>
        <v>6354</v>
      </c>
      <c r="K353" s="6">
        <f t="shared" si="35"/>
        <v>17</v>
      </c>
    </row>
    <row r="354" spans="1:11" x14ac:dyDescent="0.25">
      <c r="A354" s="1" t="s">
        <v>707</v>
      </c>
      <c r="B354" s="1" t="s">
        <v>708</v>
      </c>
      <c r="C354">
        <v>5</v>
      </c>
      <c r="D354">
        <v>2139</v>
      </c>
      <c r="E354" s="1">
        <f t="shared" si="30"/>
        <v>1996</v>
      </c>
      <c r="F354" s="3" t="str">
        <f t="shared" si="31"/>
        <v>03</v>
      </c>
      <c r="G354" s="3" t="str">
        <f t="shared" si="32"/>
        <v>26</v>
      </c>
      <c r="H354" t="str">
        <f t="shared" si="33"/>
        <v>26.03.1996</v>
      </c>
      <c r="I354" s="5">
        <v>41992</v>
      </c>
      <c r="J354" s="5">
        <f t="shared" si="34"/>
        <v>6842</v>
      </c>
      <c r="K354" s="6">
        <f t="shared" si="35"/>
        <v>18</v>
      </c>
    </row>
    <row r="355" spans="1:11" x14ac:dyDescent="0.25">
      <c r="A355" s="1" t="s">
        <v>709</v>
      </c>
      <c r="B355" s="1" t="s">
        <v>710</v>
      </c>
      <c r="C355">
        <v>5</v>
      </c>
      <c r="D355">
        <v>985</v>
      </c>
      <c r="E355" s="1">
        <f t="shared" si="30"/>
        <v>1995</v>
      </c>
      <c r="F355" s="3" t="str">
        <f t="shared" si="31"/>
        <v>06</v>
      </c>
      <c r="G355" s="3" t="str">
        <f t="shared" si="32"/>
        <v>08</v>
      </c>
      <c r="H355" t="str">
        <f t="shared" si="33"/>
        <v>08.06.1995</v>
      </c>
      <c r="I355" s="5">
        <v>41993</v>
      </c>
      <c r="J355" s="5">
        <f t="shared" si="34"/>
        <v>7135</v>
      </c>
      <c r="K355" s="6">
        <f t="shared" si="35"/>
        <v>19</v>
      </c>
    </row>
    <row r="356" spans="1:11" x14ac:dyDescent="0.25">
      <c r="A356" s="1" t="s">
        <v>711</v>
      </c>
      <c r="B356" s="1" t="s">
        <v>712</v>
      </c>
      <c r="C356">
        <v>4</v>
      </c>
      <c r="D356">
        <v>1837</v>
      </c>
      <c r="E356" s="1">
        <f t="shared" si="30"/>
        <v>1996</v>
      </c>
      <c r="F356" s="3" t="str">
        <f t="shared" si="31"/>
        <v>05</v>
      </c>
      <c r="G356" s="3" t="str">
        <f t="shared" si="32"/>
        <v>09</v>
      </c>
      <c r="H356" t="str">
        <f t="shared" si="33"/>
        <v>09.05.1996</v>
      </c>
      <c r="I356" s="5">
        <v>41994</v>
      </c>
      <c r="J356" s="5">
        <f t="shared" si="34"/>
        <v>6800</v>
      </c>
      <c r="K356" s="6">
        <f t="shared" si="35"/>
        <v>18</v>
      </c>
    </row>
    <row r="357" spans="1:11" x14ac:dyDescent="0.25">
      <c r="A357" s="1" t="s">
        <v>713</v>
      </c>
      <c r="B357" s="1" t="s">
        <v>714</v>
      </c>
      <c r="C357">
        <v>6</v>
      </c>
      <c r="D357">
        <v>3544</v>
      </c>
      <c r="E357" s="1">
        <f t="shared" si="30"/>
        <v>1994</v>
      </c>
      <c r="F357" s="3" t="str">
        <f t="shared" si="31"/>
        <v>05</v>
      </c>
      <c r="G357" s="3" t="str">
        <f t="shared" si="32"/>
        <v>19</v>
      </c>
      <c r="H357" t="str">
        <f t="shared" si="33"/>
        <v>19.05.1994</v>
      </c>
      <c r="I357" s="5">
        <v>41995</v>
      </c>
      <c r="J357" s="5">
        <f t="shared" si="34"/>
        <v>7522</v>
      </c>
      <c r="K357" s="6">
        <f t="shared" si="35"/>
        <v>20</v>
      </c>
    </row>
    <row r="358" spans="1:11" x14ac:dyDescent="0.25">
      <c r="A358" s="1" t="s">
        <v>715</v>
      </c>
      <c r="B358" s="1" t="s">
        <v>716</v>
      </c>
      <c r="C358">
        <v>5</v>
      </c>
      <c r="D358">
        <v>3404</v>
      </c>
      <c r="E358" s="1">
        <f t="shared" si="30"/>
        <v>1995</v>
      </c>
      <c r="F358" s="3" t="str">
        <f t="shared" si="31"/>
        <v>05</v>
      </c>
      <c r="G358" s="3" t="str">
        <f t="shared" si="32"/>
        <v>23</v>
      </c>
      <c r="H358" t="str">
        <f t="shared" si="33"/>
        <v>23.05.1995</v>
      </c>
      <c r="I358" s="5">
        <v>41996</v>
      </c>
      <c r="J358" s="5">
        <f t="shared" si="34"/>
        <v>7154</v>
      </c>
      <c r="K358" s="6">
        <f t="shared" si="35"/>
        <v>19</v>
      </c>
    </row>
    <row r="359" spans="1:11" x14ac:dyDescent="0.25">
      <c r="A359" s="1" t="s">
        <v>717</v>
      </c>
      <c r="B359" s="1" t="s">
        <v>718</v>
      </c>
      <c r="C359">
        <v>4</v>
      </c>
      <c r="D359">
        <v>780</v>
      </c>
      <c r="E359" s="1">
        <f t="shared" si="30"/>
        <v>1996</v>
      </c>
      <c r="F359" s="3" t="str">
        <f t="shared" si="31"/>
        <v>07</v>
      </c>
      <c r="G359" s="3" t="str">
        <f t="shared" si="32"/>
        <v>10</v>
      </c>
      <c r="H359" t="str">
        <f t="shared" si="33"/>
        <v>10.07.1996</v>
      </c>
      <c r="I359" s="5">
        <v>41997</v>
      </c>
      <c r="J359" s="5">
        <f t="shared" si="34"/>
        <v>6741</v>
      </c>
      <c r="K359" s="6">
        <f t="shared" si="35"/>
        <v>18</v>
      </c>
    </row>
    <row r="360" spans="1:11" x14ac:dyDescent="0.25">
      <c r="A360" s="1" t="s">
        <v>719</v>
      </c>
      <c r="B360" s="1" t="s">
        <v>720</v>
      </c>
      <c r="C360">
        <v>4</v>
      </c>
      <c r="D360">
        <v>3621</v>
      </c>
      <c r="E360" s="1">
        <f t="shared" si="30"/>
        <v>1998</v>
      </c>
      <c r="F360" s="3" t="str">
        <f t="shared" si="31"/>
        <v>07</v>
      </c>
      <c r="G360" s="3" t="str">
        <f t="shared" si="32"/>
        <v>31</v>
      </c>
      <c r="H360" t="str">
        <f t="shared" si="33"/>
        <v>31.07.1998</v>
      </c>
      <c r="I360" s="5">
        <v>41998</v>
      </c>
      <c r="J360" s="5">
        <f t="shared" si="34"/>
        <v>5991</v>
      </c>
      <c r="K360" s="6">
        <f t="shared" si="35"/>
        <v>16</v>
      </c>
    </row>
    <row r="361" spans="1:11" x14ac:dyDescent="0.25">
      <c r="A361" s="1" t="s">
        <v>721</v>
      </c>
      <c r="B361" s="1" t="s">
        <v>722</v>
      </c>
      <c r="C361">
        <v>3</v>
      </c>
      <c r="D361">
        <v>1363</v>
      </c>
      <c r="E361" s="1">
        <f t="shared" si="30"/>
        <v>1997</v>
      </c>
      <c r="F361" s="3" t="str">
        <f t="shared" si="31"/>
        <v>05</v>
      </c>
      <c r="G361" s="3" t="str">
        <f t="shared" si="32"/>
        <v>13</v>
      </c>
      <c r="H361" t="str">
        <f t="shared" si="33"/>
        <v>13.05.1997</v>
      </c>
      <c r="I361" s="5">
        <v>41999</v>
      </c>
      <c r="J361" s="5">
        <f t="shared" si="34"/>
        <v>6436</v>
      </c>
      <c r="K361" s="6">
        <f t="shared" si="35"/>
        <v>17</v>
      </c>
    </row>
    <row r="362" spans="1:11" x14ac:dyDescent="0.25">
      <c r="A362" s="1" t="s">
        <v>723</v>
      </c>
      <c r="B362" s="1" t="s">
        <v>724</v>
      </c>
      <c r="C362">
        <v>5</v>
      </c>
      <c r="D362">
        <v>865</v>
      </c>
      <c r="E362" s="1">
        <f t="shared" si="30"/>
        <v>1998</v>
      </c>
      <c r="F362" s="3" t="str">
        <f t="shared" si="31"/>
        <v>04</v>
      </c>
      <c r="G362" s="3" t="str">
        <f t="shared" si="32"/>
        <v>12</v>
      </c>
      <c r="H362" t="str">
        <f t="shared" si="33"/>
        <v>12.04.1998</v>
      </c>
      <c r="I362" s="5">
        <v>42000</v>
      </c>
      <c r="J362" s="5">
        <f t="shared" si="34"/>
        <v>6103</v>
      </c>
      <c r="K362" s="6">
        <f t="shared" si="35"/>
        <v>16</v>
      </c>
    </row>
    <row r="363" spans="1:11" x14ac:dyDescent="0.25">
      <c r="A363" s="1" t="s">
        <v>725</v>
      </c>
      <c r="B363" s="1" t="s">
        <v>726</v>
      </c>
      <c r="C363">
        <v>3</v>
      </c>
      <c r="D363">
        <v>2102</v>
      </c>
      <c r="E363" s="1">
        <f t="shared" si="30"/>
        <v>1995</v>
      </c>
      <c r="F363" s="3" t="str">
        <f t="shared" si="31"/>
        <v>08</v>
      </c>
      <c r="G363" s="3" t="str">
        <f t="shared" si="32"/>
        <v>02</v>
      </c>
      <c r="H363" t="str">
        <f t="shared" si="33"/>
        <v>02.08.1995</v>
      </c>
      <c r="I363" s="5">
        <v>42001</v>
      </c>
      <c r="J363" s="5">
        <f t="shared" si="34"/>
        <v>7088</v>
      </c>
      <c r="K363" s="6">
        <f t="shared" si="35"/>
        <v>19</v>
      </c>
    </row>
    <row r="364" spans="1:11" x14ac:dyDescent="0.25">
      <c r="A364" s="1" t="s">
        <v>727</v>
      </c>
      <c r="B364" s="1" t="s">
        <v>728</v>
      </c>
      <c r="C364">
        <v>5</v>
      </c>
      <c r="D364">
        <v>2314</v>
      </c>
      <c r="E364" s="1">
        <f t="shared" si="30"/>
        <v>1995</v>
      </c>
      <c r="F364" s="3" t="str">
        <f t="shared" si="31"/>
        <v>03</v>
      </c>
      <c r="G364" s="3" t="str">
        <f t="shared" si="32"/>
        <v>14</v>
      </c>
      <c r="H364" t="str">
        <f t="shared" si="33"/>
        <v>14.03.1995</v>
      </c>
      <c r="I364" s="5">
        <v>42002</v>
      </c>
      <c r="J364" s="5">
        <f t="shared" si="34"/>
        <v>7230</v>
      </c>
      <c r="K364" s="6">
        <f t="shared" si="35"/>
        <v>19</v>
      </c>
    </row>
    <row r="365" spans="1:11" x14ac:dyDescent="0.25">
      <c r="A365" s="1" t="s">
        <v>729</v>
      </c>
      <c r="B365" s="1" t="s">
        <v>730</v>
      </c>
      <c r="C365">
        <v>6</v>
      </c>
      <c r="D365">
        <v>2577</v>
      </c>
      <c r="E365" s="1">
        <f t="shared" si="30"/>
        <v>1996</v>
      </c>
      <c r="F365" s="3" t="str">
        <f t="shared" si="31"/>
        <v>10</v>
      </c>
      <c r="G365" s="3" t="str">
        <f t="shared" si="32"/>
        <v>16</v>
      </c>
      <c r="H365" t="str">
        <f t="shared" si="33"/>
        <v>16.10.1996</v>
      </c>
      <c r="I365" s="5">
        <v>42003</v>
      </c>
      <c r="J365" s="5">
        <f t="shared" si="34"/>
        <v>6649</v>
      </c>
      <c r="K365" s="6">
        <f t="shared" si="35"/>
        <v>18</v>
      </c>
    </row>
    <row r="366" spans="1:11" x14ac:dyDescent="0.25">
      <c r="A366" s="1" t="s">
        <v>731</v>
      </c>
      <c r="B366" s="1" t="s">
        <v>732</v>
      </c>
      <c r="C366">
        <v>2</v>
      </c>
      <c r="D366">
        <v>2955</v>
      </c>
      <c r="E366" s="1">
        <f t="shared" si="30"/>
        <v>1995</v>
      </c>
      <c r="F366" s="3" t="str">
        <f t="shared" si="31"/>
        <v>02</v>
      </c>
      <c r="G366" s="3" t="str">
        <f t="shared" si="32"/>
        <v>11</v>
      </c>
      <c r="H366" t="str">
        <f t="shared" si="33"/>
        <v>11.02.1995</v>
      </c>
      <c r="I366" s="5">
        <v>42004</v>
      </c>
      <c r="J366" s="5">
        <f t="shared" si="34"/>
        <v>7263</v>
      </c>
      <c r="K366" s="6">
        <f t="shared" si="35"/>
        <v>19</v>
      </c>
    </row>
    <row r="367" spans="1:11" x14ac:dyDescent="0.25">
      <c r="A367" s="1" t="s">
        <v>733</v>
      </c>
      <c r="B367" s="1" t="s">
        <v>734</v>
      </c>
      <c r="C367">
        <v>2</v>
      </c>
      <c r="D367">
        <v>696</v>
      </c>
      <c r="E367" s="1">
        <f t="shared" si="30"/>
        <v>1996</v>
      </c>
      <c r="F367" s="3" t="str">
        <f t="shared" si="31"/>
        <v>08</v>
      </c>
      <c r="G367" s="3" t="str">
        <f t="shared" si="32"/>
        <v>31</v>
      </c>
      <c r="H367" t="str">
        <f t="shared" si="33"/>
        <v>31.08.1996</v>
      </c>
      <c r="I367" s="5">
        <v>42005</v>
      </c>
      <c r="J367" s="5">
        <f t="shared" si="34"/>
        <v>6697</v>
      </c>
      <c r="K367" s="6">
        <f t="shared" si="35"/>
        <v>18</v>
      </c>
    </row>
    <row r="368" spans="1:11" x14ac:dyDescent="0.25">
      <c r="A368" s="1" t="s">
        <v>735</v>
      </c>
      <c r="B368" s="1" t="s">
        <v>736</v>
      </c>
      <c r="C368">
        <v>4</v>
      </c>
      <c r="D368">
        <v>1038</v>
      </c>
      <c r="E368" s="1">
        <f t="shared" si="30"/>
        <v>1995</v>
      </c>
      <c r="F368" s="3" t="str">
        <f t="shared" si="31"/>
        <v>09</v>
      </c>
      <c r="G368" s="3" t="str">
        <f t="shared" si="32"/>
        <v>06</v>
      </c>
      <c r="H368" t="str">
        <f t="shared" si="33"/>
        <v>06.09.1995</v>
      </c>
      <c r="I368" s="5">
        <v>42006</v>
      </c>
      <c r="J368" s="5">
        <f t="shared" si="34"/>
        <v>7058</v>
      </c>
      <c r="K368" s="6">
        <f t="shared" si="35"/>
        <v>19</v>
      </c>
    </row>
    <row r="369" spans="1:11" x14ac:dyDescent="0.25">
      <c r="A369" s="1" t="s">
        <v>737</v>
      </c>
      <c r="B369" s="1" t="s">
        <v>738</v>
      </c>
      <c r="C369">
        <v>3</v>
      </c>
      <c r="D369">
        <v>2008</v>
      </c>
      <c r="E369" s="1">
        <f t="shared" si="30"/>
        <v>1998</v>
      </c>
      <c r="F369" s="3" t="str">
        <f t="shared" si="31"/>
        <v>06</v>
      </c>
      <c r="G369" s="3" t="str">
        <f t="shared" si="32"/>
        <v>10</v>
      </c>
      <c r="H369" t="str">
        <f t="shared" si="33"/>
        <v>10.06.1998</v>
      </c>
      <c r="I369" s="5">
        <v>42007</v>
      </c>
      <c r="J369" s="5">
        <f t="shared" si="34"/>
        <v>6051</v>
      </c>
      <c r="K369" s="6">
        <f t="shared" si="35"/>
        <v>16</v>
      </c>
    </row>
    <row r="370" spans="1:11" x14ac:dyDescent="0.25">
      <c r="A370" s="1" t="s">
        <v>739</v>
      </c>
      <c r="B370" s="1" t="s">
        <v>740</v>
      </c>
      <c r="C370">
        <v>4</v>
      </c>
      <c r="D370">
        <v>3745</v>
      </c>
      <c r="E370" s="1">
        <f t="shared" si="30"/>
        <v>1994</v>
      </c>
      <c r="F370" s="3" t="str">
        <f t="shared" si="31"/>
        <v>02</v>
      </c>
      <c r="G370" s="3" t="str">
        <f t="shared" si="32"/>
        <v>11</v>
      </c>
      <c r="H370" t="str">
        <f t="shared" si="33"/>
        <v>11.02.1994</v>
      </c>
      <c r="I370" s="5">
        <v>42008</v>
      </c>
      <c r="J370" s="5">
        <f t="shared" si="34"/>
        <v>7632</v>
      </c>
      <c r="K370" s="6">
        <f t="shared" si="35"/>
        <v>20</v>
      </c>
    </row>
    <row r="371" spans="1:11" x14ac:dyDescent="0.25">
      <c r="A371" s="1" t="s">
        <v>741</v>
      </c>
      <c r="B371" s="1" t="s">
        <v>742</v>
      </c>
      <c r="C371">
        <v>3</v>
      </c>
      <c r="D371">
        <v>3868</v>
      </c>
      <c r="E371" s="1">
        <f t="shared" si="30"/>
        <v>1996</v>
      </c>
      <c r="F371" s="3" t="str">
        <f t="shared" si="31"/>
        <v>02</v>
      </c>
      <c r="G371" s="3" t="str">
        <f t="shared" si="32"/>
        <v>21</v>
      </c>
      <c r="H371" t="str">
        <f t="shared" si="33"/>
        <v>21.02.1996</v>
      </c>
      <c r="I371" s="5">
        <v>42009</v>
      </c>
      <c r="J371" s="5">
        <f t="shared" si="34"/>
        <v>6893</v>
      </c>
      <c r="K371" s="6">
        <f t="shared" si="35"/>
        <v>18</v>
      </c>
    </row>
    <row r="372" spans="1:11" x14ac:dyDescent="0.25">
      <c r="A372" s="1" t="s">
        <v>743</v>
      </c>
      <c r="B372" s="1" t="s">
        <v>744</v>
      </c>
      <c r="C372">
        <v>4</v>
      </c>
      <c r="D372">
        <v>2152</v>
      </c>
      <c r="E372" s="1">
        <f t="shared" si="30"/>
        <v>1995</v>
      </c>
      <c r="F372" s="3" t="str">
        <f t="shared" si="31"/>
        <v>08</v>
      </c>
      <c r="G372" s="3" t="str">
        <f t="shared" si="32"/>
        <v>09</v>
      </c>
      <c r="H372" t="str">
        <f t="shared" si="33"/>
        <v>09.08.1995</v>
      </c>
      <c r="I372" s="5">
        <v>42010</v>
      </c>
      <c r="J372" s="5">
        <f t="shared" si="34"/>
        <v>7090</v>
      </c>
      <c r="K372" s="6">
        <f t="shared" si="35"/>
        <v>19</v>
      </c>
    </row>
    <row r="373" spans="1:11" x14ac:dyDescent="0.25">
      <c r="A373" s="1" t="s">
        <v>745</v>
      </c>
      <c r="B373" s="1" t="s">
        <v>746</v>
      </c>
      <c r="C373">
        <v>3</v>
      </c>
      <c r="D373">
        <v>2468</v>
      </c>
      <c r="E373" s="1">
        <f t="shared" si="30"/>
        <v>1997</v>
      </c>
      <c r="F373" s="3" t="str">
        <f t="shared" si="31"/>
        <v>12</v>
      </c>
      <c r="G373" s="3" t="str">
        <f t="shared" si="32"/>
        <v>09</v>
      </c>
      <c r="H373" t="str">
        <f t="shared" si="33"/>
        <v>09.12.1997</v>
      </c>
      <c r="I373" s="5">
        <v>42011</v>
      </c>
      <c r="J373" s="5">
        <f t="shared" si="34"/>
        <v>6238</v>
      </c>
      <c r="K373" s="6">
        <f t="shared" si="35"/>
        <v>17</v>
      </c>
    </row>
    <row r="374" spans="1:11" x14ac:dyDescent="0.25">
      <c r="A374" s="1" t="s">
        <v>747</v>
      </c>
      <c r="B374" s="1" t="s">
        <v>748</v>
      </c>
      <c r="C374">
        <v>3</v>
      </c>
      <c r="D374">
        <v>2983</v>
      </c>
      <c r="E374" s="1">
        <f t="shared" si="30"/>
        <v>1995</v>
      </c>
      <c r="F374" s="3" t="str">
        <f t="shared" si="31"/>
        <v>01</v>
      </c>
      <c r="G374" s="3" t="str">
        <f t="shared" si="32"/>
        <v>02</v>
      </c>
      <c r="H374" t="str">
        <f t="shared" si="33"/>
        <v>02.01.1995</v>
      </c>
      <c r="I374" s="5">
        <v>42012</v>
      </c>
      <c r="J374" s="5">
        <f t="shared" si="34"/>
        <v>7311</v>
      </c>
      <c r="K374" s="6">
        <f t="shared" si="35"/>
        <v>20</v>
      </c>
    </row>
    <row r="375" spans="1:11" x14ac:dyDescent="0.25">
      <c r="A375" s="1" t="s">
        <v>749</v>
      </c>
      <c r="B375" s="1" t="s">
        <v>750</v>
      </c>
      <c r="C375">
        <v>3</v>
      </c>
      <c r="D375">
        <v>4155</v>
      </c>
      <c r="E375" s="1">
        <f t="shared" si="30"/>
        <v>1995</v>
      </c>
      <c r="F375" s="3" t="str">
        <f t="shared" si="31"/>
        <v>06</v>
      </c>
      <c r="G375" s="3" t="str">
        <f t="shared" si="32"/>
        <v>16</v>
      </c>
      <c r="H375" t="str">
        <f t="shared" si="33"/>
        <v>16.06.1995</v>
      </c>
      <c r="I375" s="5">
        <v>42013</v>
      </c>
      <c r="J375" s="5">
        <f t="shared" si="34"/>
        <v>7147</v>
      </c>
      <c r="K375" s="6">
        <f t="shared" si="35"/>
        <v>19</v>
      </c>
    </row>
    <row r="376" spans="1:11" x14ac:dyDescent="0.25">
      <c r="A376" s="1" t="s">
        <v>751</v>
      </c>
      <c r="B376" s="1" t="s">
        <v>752</v>
      </c>
      <c r="C376">
        <v>4</v>
      </c>
      <c r="D376">
        <v>2219</v>
      </c>
      <c r="E376" s="1">
        <f t="shared" si="30"/>
        <v>1995</v>
      </c>
      <c r="F376" s="3" t="str">
        <f t="shared" si="31"/>
        <v>08</v>
      </c>
      <c r="G376" s="3" t="str">
        <f t="shared" si="32"/>
        <v>13</v>
      </c>
      <c r="H376" t="str">
        <f t="shared" si="33"/>
        <v>13.08.1995</v>
      </c>
      <c r="I376" s="5">
        <v>42014</v>
      </c>
      <c r="J376" s="5">
        <f t="shared" si="34"/>
        <v>7090</v>
      </c>
      <c r="K376" s="6">
        <f t="shared" si="35"/>
        <v>19</v>
      </c>
    </row>
    <row r="377" spans="1:11" x14ac:dyDescent="0.25">
      <c r="A377" s="1" t="s">
        <v>753</v>
      </c>
      <c r="B377" s="1" t="s">
        <v>754</v>
      </c>
      <c r="C377">
        <v>3</v>
      </c>
      <c r="D377">
        <v>4479</v>
      </c>
      <c r="E377" s="1">
        <f t="shared" si="30"/>
        <v>1996</v>
      </c>
      <c r="F377" s="3" t="str">
        <f t="shared" si="31"/>
        <v>01</v>
      </c>
      <c r="G377" s="3" t="str">
        <f t="shared" si="32"/>
        <v>11</v>
      </c>
      <c r="H377" t="str">
        <f t="shared" si="33"/>
        <v>11.01.1996</v>
      </c>
      <c r="I377" s="5">
        <v>42015</v>
      </c>
      <c r="J377" s="5">
        <f t="shared" si="34"/>
        <v>6940</v>
      </c>
      <c r="K377" s="6">
        <f t="shared" si="35"/>
        <v>18</v>
      </c>
    </row>
    <row r="378" spans="1:11" x14ac:dyDescent="0.25">
      <c r="A378" s="1" t="s">
        <v>755</v>
      </c>
      <c r="B378" s="1" t="s">
        <v>756</v>
      </c>
      <c r="C378">
        <v>2</v>
      </c>
      <c r="D378">
        <v>1950</v>
      </c>
      <c r="E378" s="1">
        <f t="shared" si="30"/>
        <v>1994</v>
      </c>
      <c r="F378" s="3" t="str">
        <f t="shared" si="31"/>
        <v>04</v>
      </c>
      <c r="G378" s="3" t="str">
        <f t="shared" si="32"/>
        <v>04</v>
      </c>
      <c r="H378" t="str">
        <f t="shared" si="33"/>
        <v>04.04.1994</v>
      </c>
      <c r="I378" s="5">
        <v>42016</v>
      </c>
      <c r="J378" s="5">
        <f t="shared" si="34"/>
        <v>7588</v>
      </c>
      <c r="K378" s="6">
        <f t="shared" si="35"/>
        <v>20</v>
      </c>
    </row>
    <row r="379" spans="1:11" x14ac:dyDescent="0.25">
      <c r="A379" s="1" t="s">
        <v>757</v>
      </c>
      <c r="B379" s="1" t="s">
        <v>758</v>
      </c>
      <c r="C379">
        <v>2</v>
      </c>
      <c r="D379">
        <v>1194</v>
      </c>
      <c r="E379" s="1">
        <f t="shared" si="30"/>
        <v>1995</v>
      </c>
      <c r="F379" s="3" t="str">
        <f t="shared" si="31"/>
        <v>06</v>
      </c>
      <c r="G379" s="3" t="str">
        <f t="shared" si="32"/>
        <v>08</v>
      </c>
      <c r="H379" t="str">
        <f t="shared" si="33"/>
        <v>08.06.1995</v>
      </c>
      <c r="I379" s="5">
        <v>42017</v>
      </c>
      <c r="J379" s="5">
        <f t="shared" si="34"/>
        <v>7159</v>
      </c>
      <c r="K379" s="6">
        <f t="shared" si="35"/>
        <v>19</v>
      </c>
    </row>
    <row r="380" spans="1:11" x14ac:dyDescent="0.25">
      <c r="A380" s="1" t="s">
        <v>759</v>
      </c>
      <c r="B380" s="1" t="s">
        <v>760</v>
      </c>
      <c r="C380">
        <v>4</v>
      </c>
      <c r="D380">
        <v>2957</v>
      </c>
      <c r="E380" s="1">
        <f t="shared" si="30"/>
        <v>1996</v>
      </c>
      <c r="F380" s="3" t="str">
        <f t="shared" si="31"/>
        <v>08</v>
      </c>
      <c r="G380" s="3" t="str">
        <f t="shared" si="32"/>
        <v>25</v>
      </c>
      <c r="H380" t="str">
        <f t="shared" si="33"/>
        <v>25.08.1996</v>
      </c>
      <c r="I380" s="5">
        <v>42018</v>
      </c>
      <c r="J380" s="5">
        <f t="shared" si="34"/>
        <v>6716</v>
      </c>
      <c r="K380" s="6">
        <f t="shared" si="35"/>
        <v>18</v>
      </c>
    </row>
    <row r="381" spans="1:11" x14ac:dyDescent="0.25">
      <c r="A381" s="1" t="s">
        <v>761</v>
      </c>
      <c r="B381" s="1" t="s">
        <v>762</v>
      </c>
      <c r="C381">
        <v>3</v>
      </c>
      <c r="D381">
        <v>2636</v>
      </c>
      <c r="E381" s="1">
        <f t="shared" si="30"/>
        <v>1997</v>
      </c>
      <c r="F381" s="3" t="str">
        <f t="shared" si="31"/>
        <v>05</v>
      </c>
      <c r="G381" s="3" t="str">
        <f t="shared" si="32"/>
        <v>06</v>
      </c>
      <c r="H381" t="str">
        <f t="shared" si="33"/>
        <v>06.05.1997</v>
      </c>
      <c r="I381" s="5">
        <v>42019</v>
      </c>
      <c r="J381" s="5">
        <f t="shared" si="34"/>
        <v>6463</v>
      </c>
      <c r="K381" s="6">
        <f t="shared" si="35"/>
        <v>17</v>
      </c>
    </row>
    <row r="382" spans="1:11" x14ac:dyDescent="0.25">
      <c r="A382" s="1" t="s">
        <v>763</v>
      </c>
      <c r="B382" s="1" t="s">
        <v>764</v>
      </c>
      <c r="C382">
        <v>2</v>
      </c>
      <c r="D382">
        <v>2541</v>
      </c>
      <c r="E382" s="1">
        <f t="shared" si="30"/>
        <v>1998</v>
      </c>
      <c r="F382" s="3" t="str">
        <f t="shared" si="31"/>
        <v>02</v>
      </c>
      <c r="G382" s="3" t="str">
        <f t="shared" si="32"/>
        <v>19</v>
      </c>
      <c r="H382" t="str">
        <f t="shared" si="33"/>
        <v>19.02.1998</v>
      </c>
      <c r="I382" s="5">
        <v>42020</v>
      </c>
      <c r="J382" s="5">
        <f t="shared" si="34"/>
        <v>6175</v>
      </c>
      <c r="K382" s="6">
        <f t="shared" si="35"/>
        <v>16</v>
      </c>
    </row>
    <row r="383" spans="1:11" x14ac:dyDescent="0.25">
      <c r="A383" s="1" t="s">
        <v>765</v>
      </c>
      <c r="B383" s="1" t="s">
        <v>766</v>
      </c>
      <c r="C383">
        <v>3</v>
      </c>
      <c r="D383">
        <v>2087</v>
      </c>
      <c r="E383" s="1">
        <f t="shared" si="30"/>
        <v>1995</v>
      </c>
      <c r="F383" s="3" t="str">
        <f t="shared" si="31"/>
        <v>06</v>
      </c>
      <c r="G383" s="3" t="str">
        <f t="shared" si="32"/>
        <v>13</v>
      </c>
      <c r="H383" t="str">
        <f t="shared" si="33"/>
        <v>13.06.1995</v>
      </c>
      <c r="I383" s="5">
        <v>42021</v>
      </c>
      <c r="J383" s="5">
        <f t="shared" si="34"/>
        <v>7158</v>
      </c>
      <c r="K383" s="6">
        <f t="shared" si="35"/>
        <v>19</v>
      </c>
    </row>
    <row r="384" spans="1:11" x14ac:dyDescent="0.25">
      <c r="A384" s="1" t="s">
        <v>767</v>
      </c>
      <c r="B384" s="1" t="s">
        <v>768</v>
      </c>
      <c r="C384">
        <v>3</v>
      </c>
      <c r="D384">
        <v>2009</v>
      </c>
      <c r="E384" s="1">
        <f t="shared" si="30"/>
        <v>1996</v>
      </c>
      <c r="F384" s="3" t="str">
        <f t="shared" si="31"/>
        <v>03</v>
      </c>
      <c r="G384" s="3" t="str">
        <f t="shared" si="32"/>
        <v>15</v>
      </c>
      <c r="H384" t="str">
        <f t="shared" si="33"/>
        <v>15.03.1996</v>
      </c>
      <c r="I384" s="5">
        <v>42022</v>
      </c>
      <c r="J384" s="5">
        <f t="shared" si="34"/>
        <v>6883</v>
      </c>
      <c r="K384" s="6">
        <f t="shared" si="35"/>
        <v>18</v>
      </c>
    </row>
    <row r="385" spans="1:11" x14ac:dyDescent="0.25">
      <c r="A385" s="1" t="s">
        <v>769</v>
      </c>
      <c r="B385" s="1" t="s">
        <v>770</v>
      </c>
      <c r="C385">
        <v>3</v>
      </c>
      <c r="D385">
        <v>1275</v>
      </c>
      <c r="E385" s="1">
        <f t="shared" si="30"/>
        <v>1997</v>
      </c>
      <c r="F385" s="3" t="str">
        <f t="shared" si="31"/>
        <v>05</v>
      </c>
      <c r="G385" s="3" t="str">
        <f t="shared" si="32"/>
        <v>03</v>
      </c>
      <c r="H385" t="str">
        <f t="shared" si="33"/>
        <v>03.05.1997</v>
      </c>
      <c r="I385" s="5">
        <v>42023</v>
      </c>
      <c r="J385" s="5">
        <f t="shared" si="34"/>
        <v>6470</v>
      </c>
      <c r="K385" s="6">
        <f t="shared" si="35"/>
        <v>17</v>
      </c>
    </row>
    <row r="386" spans="1:11" x14ac:dyDescent="0.25">
      <c r="A386" s="1" t="s">
        <v>771</v>
      </c>
      <c r="B386" s="1" t="s">
        <v>772</v>
      </c>
      <c r="C386">
        <v>6</v>
      </c>
      <c r="D386">
        <v>1578</v>
      </c>
      <c r="E386" s="1">
        <f t="shared" si="30"/>
        <v>1998</v>
      </c>
      <c r="F386" s="3" t="str">
        <f t="shared" si="31"/>
        <v>03</v>
      </c>
      <c r="G386" s="3" t="str">
        <f t="shared" si="32"/>
        <v>02</v>
      </c>
      <c r="H386" t="str">
        <f t="shared" si="33"/>
        <v>02.03.1998</v>
      </c>
      <c r="I386" s="5">
        <v>42024</v>
      </c>
      <c r="J386" s="5">
        <f t="shared" si="34"/>
        <v>6168</v>
      </c>
      <c r="K386" s="6">
        <f t="shared" si="35"/>
        <v>16</v>
      </c>
    </row>
    <row r="387" spans="1:11" x14ac:dyDescent="0.25">
      <c r="A387" s="1" t="s">
        <v>773</v>
      </c>
      <c r="B387" s="1" t="s">
        <v>774</v>
      </c>
      <c r="C387">
        <v>5</v>
      </c>
      <c r="D387">
        <v>2648</v>
      </c>
      <c r="E387" s="1">
        <f t="shared" ref="E387:E450" si="36">1900+1*LEFT(B387,2)</f>
        <v>1998</v>
      </c>
      <c r="F387" s="3" t="str">
        <f t="shared" ref="F387:F450" si="37">MID(B387,3,2)</f>
        <v>03</v>
      </c>
      <c r="G387" s="3" t="str">
        <f t="shared" ref="G387:G450" si="38">MID(B387,5,2)</f>
        <v>04</v>
      </c>
      <c r="H387" t="str">
        <f t="shared" ref="H387:H450" si="39">CONCATENATE(G387,".",F387,".",E387)</f>
        <v>04.03.1998</v>
      </c>
      <c r="I387" s="5">
        <v>42025</v>
      </c>
      <c r="J387" s="5">
        <f t="shared" ref="J387:J450" si="40">I387-H387</f>
        <v>6167</v>
      </c>
      <c r="K387" s="6">
        <f t="shared" ref="K387:K450" si="41">YEAR(J387)-1900</f>
        <v>16</v>
      </c>
    </row>
    <row r="388" spans="1:11" x14ac:dyDescent="0.25">
      <c r="A388" s="1" t="s">
        <v>775</v>
      </c>
      <c r="B388" s="1" t="s">
        <v>776</v>
      </c>
      <c r="C388">
        <v>4</v>
      </c>
      <c r="D388">
        <v>3902</v>
      </c>
      <c r="E388" s="1">
        <f t="shared" si="36"/>
        <v>1997</v>
      </c>
      <c r="F388" s="3" t="str">
        <f t="shared" si="37"/>
        <v>02</v>
      </c>
      <c r="G388" s="3" t="str">
        <f t="shared" si="38"/>
        <v>09</v>
      </c>
      <c r="H388" t="str">
        <f t="shared" si="39"/>
        <v>09.02.1997</v>
      </c>
      <c r="I388" s="5">
        <v>42026</v>
      </c>
      <c r="J388" s="5">
        <f t="shared" si="40"/>
        <v>6556</v>
      </c>
      <c r="K388" s="6">
        <f t="shared" si="41"/>
        <v>17</v>
      </c>
    </row>
    <row r="389" spans="1:11" x14ac:dyDescent="0.25">
      <c r="A389" s="1" t="s">
        <v>777</v>
      </c>
      <c r="B389" s="1" t="s">
        <v>778</v>
      </c>
      <c r="C389">
        <v>3</v>
      </c>
      <c r="D389">
        <v>2588</v>
      </c>
      <c r="E389" s="1">
        <f t="shared" si="36"/>
        <v>1996</v>
      </c>
      <c r="F389" s="3" t="str">
        <f t="shared" si="37"/>
        <v>12</v>
      </c>
      <c r="G389" s="3" t="str">
        <f t="shared" si="38"/>
        <v>23</v>
      </c>
      <c r="H389" t="str">
        <f t="shared" si="39"/>
        <v>23.12.1996</v>
      </c>
      <c r="I389" s="5">
        <v>42027</v>
      </c>
      <c r="J389" s="5">
        <f t="shared" si="40"/>
        <v>6605</v>
      </c>
      <c r="K389" s="6">
        <f t="shared" si="41"/>
        <v>18</v>
      </c>
    </row>
    <row r="390" spans="1:11" x14ac:dyDescent="0.25">
      <c r="A390" s="1" t="s">
        <v>779</v>
      </c>
      <c r="B390" s="1" t="s">
        <v>780</v>
      </c>
      <c r="C390">
        <v>3</v>
      </c>
      <c r="D390">
        <v>2672</v>
      </c>
      <c r="E390" s="1">
        <f t="shared" si="36"/>
        <v>1997</v>
      </c>
      <c r="F390" s="3" t="str">
        <f t="shared" si="37"/>
        <v>12</v>
      </c>
      <c r="G390" s="3" t="str">
        <f t="shared" si="38"/>
        <v>04</v>
      </c>
      <c r="H390" t="str">
        <f t="shared" si="39"/>
        <v>04.12.1997</v>
      </c>
      <c r="I390" s="5">
        <v>42028</v>
      </c>
      <c r="J390" s="5">
        <f t="shared" si="40"/>
        <v>6260</v>
      </c>
      <c r="K390" s="6">
        <f t="shared" si="41"/>
        <v>17</v>
      </c>
    </row>
    <row r="391" spans="1:11" x14ac:dyDescent="0.25">
      <c r="A391" s="1" t="s">
        <v>781</v>
      </c>
      <c r="B391" s="1" t="s">
        <v>782</v>
      </c>
      <c r="C391">
        <v>2</v>
      </c>
      <c r="D391">
        <v>1280</v>
      </c>
      <c r="E391" s="1">
        <f t="shared" si="36"/>
        <v>1996</v>
      </c>
      <c r="F391" s="3" t="str">
        <f t="shared" si="37"/>
        <v>07</v>
      </c>
      <c r="G391" s="3" t="str">
        <f t="shared" si="38"/>
        <v>09</v>
      </c>
      <c r="H391" t="str">
        <f t="shared" si="39"/>
        <v>09.07.1996</v>
      </c>
      <c r="I391" s="5">
        <v>42029</v>
      </c>
      <c r="J391" s="5">
        <f t="shared" si="40"/>
        <v>6774</v>
      </c>
      <c r="K391" s="6">
        <f t="shared" si="41"/>
        <v>18</v>
      </c>
    </row>
    <row r="392" spans="1:11" x14ac:dyDescent="0.25">
      <c r="A392" s="1" t="s">
        <v>783</v>
      </c>
      <c r="B392" s="1" t="s">
        <v>784</v>
      </c>
      <c r="C392">
        <v>6</v>
      </c>
      <c r="D392">
        <v>3792</v>
      </c>
      <c r="E392" s="1">
        <f t="shared" si="36"/>
        <v>1996</v>
      </c>
      <c r="F392" s="3" t="str">
        <f t="shared" si="37"/>
        <v>01</v>
      </c>
      <c r="G392" s="3" t="str">
        <f t="shared" si="38"/>
        <v>28</v>
      </c>
      <c r="H392" t="str">
        <f t="shared" si="39"/>
        <v>28.01.1996</v>
      </c>
      <c r="I392" s="5">
        <v>42030</v>
      </c>
      <c r="J392" s="5">
        <f t="shared" si="40"/>
        <v>6938</v>
      </c>
      <c r="K392" s="6">
        <f t="shared" si="41"/>
        <v>18</v>
      </c>
    </row>
    <row r="393" spans="1:11" x14ac:dyDescent="0.25">
      <c r="A393" s="1" t="s">
        <v>785</v>
      </c>
      <c r="B393" s="1" t="s">
        <v>786</v>
      </c>
      <c r="C393">
        <v>5</v>
      </c>
      <c r="D393">
        <v>4450</v>
      </c>
      <c r="E393" s="1">
        <f t="shared" si="36"/>
        <v>1996</v>
      </c>
      <c r="F393" s="3" t="str">
        <f t="shared" si="37"/>
        <v>07</v>
      </c>
      <c r="G393" s="3" t="str">
        <f t="shared" si="38"/>
        <v>30</v>
      </c>
      <c r="H393" t="str">
        <f t="shared" si="39"/>
        <v>30.07.1996</v>
      </c>
      <c r="I393" s="5">
        <v>42031</v>
      </c>
      <c r="J393" s="5">
        <f t="shared" si="40"/>
        <v>6755</v>
      </c>
      <c r="K393" s="6">
        <f t="shared" si="41"/>
        <v>18</v>
      </c>
    </row>
    <row r="394" spans="1:11" x14ac:dyDescent="0.25">
      <c r="A394" s="1" t="s">
        <v>787</v>
      </c>
      <c r="B394" s="1" t="s">
        <v>788</v>
      </c>
      <c r="C394">
        <v>4</v>
      </c>
      <c r="D394">
        <v>3435</v>
      </c>
      <c r="E394" s="1">
        <f t="shared" si="36"/>
        <v>1995</v>
      </c>
      <c r="F394" s="3" t="str">
        <f t="shared" si="37"/>
        <v>11</v>
      </c>
      <c r="G394" s="3" t="str">
        <f t="shared" si="38"/>
        <v>19</v>
      </c>
      <c r="H394" t="str">
        <f t="shared" si="39"/>
        <v>19.11.1995</v>
      </c>
      <c r="I394" s="5">
        <v>42032</v>
      </c>
      <c r="J394" s="5">
        <f t="shared" si="40"/>
        <v>7010</v>
      </c>
      <c r="K394" s="6">
        <f t="shared" si="41"/>
        <v>19</v>
      </c>
    </row>
    <row r="395" spans="1:11" x14ac:dyDescent="0.25">
      <c r="A395" s="1" t="s">
        <v>789</v>
      </c>
      <c r="B395" s="1" t="s">
        <v>790</v>
      </c>
      <c r="C395">
        <v>4</v>
      </c>
      <c r="D395">
        <v>3460</v>
      </c>
      <c r="E395" s="1">
        <f t="shared" si="36"/>
        <v>1997</v>
      </c>
      <c r="F395" s="3" t="str">
        <f t="shared" si="37"/>
        <v>07</v>
      </c>
      <c r="G395" s="3" t="str">
        <f t="shared" si="38"/>
        <v>30</v>
      </c>
      <c r="H395" t="str">
        <f t="shared" si="39"/>
        <v>30.07.1997</v>
      </c>
      <c r="I395" s="5">
        <v>42033</v>
      </c>
      <c r="J395" s="5">
        <f t="shared" si="40"/>
        <v>6392</v>
      </c>
      <c r="K395" s="6">
        <f t="shared" si="41"/>
        <v>17</v>
      </c>
    </row>
    <row r="396" spans="1:11" x14ac:dyDescent="0.25">
      <c r="A396" s="1" t="s">
        <v>791</v>
      </c>
      <c r="B396" s="1" t="s">
        <v>792</v>
      </c>
      <c r="C396">
        <v>2</v>
      </c>
      <c r="D396">
        <v>1914</v>
      </c>
      <c r="E396" s="1">
        <f t="shared" si="36"/>
        <v>1997</v>
      </c>
      <c r="F396" s="3" t="str">
        <f t="shared" si="37"/>
        <v>10</v>
      </c>
      <c r="G396" s="3" t="str">
        <f t="shared" si="38"/>
        <v>26</v>
      </c>
      <c r="H396" t="str">
        <f t="shared" si="39"/>
        <v>26.10.1997</v>
      </c>
      <c r="I396" s="5">
        <v>42034</v>
      </c>
      <c r="J396" s="5">
        <f t="shared" si="40"/>
        <v>6305</v>
      </c>
      <c r="K396" s="6">
        <f t="shared" si="41"/>
        <v>17</v>
      </c>
    </row>
    <row r="397" spans="1:11" x14ac:dyDescent="0.25">
      <c r="A397" s="1" t="s">
        <v>793</v>
      </c>
      <c r="B397" s="1" t="s">
        <v>794</v>
      </c>
      <c r="C397">
        <v>4</v>
      </c>
      <c r="D397">
        <v>3251</v>
      </c>
      <c r="E397" s="1">
        <f t="shared" si="36"/>
        <v>1995</v>
      </c>
      <c r="F397" s="3" t="str">
        <f t="shared" si="37"/>
        <v>09</v>
      </c>
      <c r="G397" s="3" t="str">
        <f t="shared" si="38"/>
        <v>30</v>
      </c>
      <c r="H397" t="str">
        <f t="shared" si="39"/>
        <v>30.09.1995</v>
      </c>
      <c r="I397" s="5">
        <v>42035</v>
      </c>
      <c r="J397" s="5">
        <f t="shared" si="40"/>
        <v>7063</v>
      </c>
      <c r="K397" s="6">
        <f t="shared" si="41"/>
        <v>19</v>
      </c>
    </row>
    <row r="398" spans="1:11" x14ac:dyDescent="0.25">
      <c r="A398" s="1" t="s">
        <v>795</v>
      </c>
      <c r="B398" s="1" t="s">
        <v>796</v>
      </c>
      <c r="C398">
        <v>5</v>
      </c>
      <c r="D398">
        <v>3006</v>
      </c>
      <c r="E398" s="1">
        <f t="shared" si="36"/>
        <v>1996</v>
      </c>
      <c r="F398" s="3" t="str">
        <f t="shared" si="37"/>
        <v>02</v>
      </c>
      <c r="G398" s="3" t="str">
        <f t="shared" si="38"/>
        <v>08</v>
      </c>
      <c r="H398" t="str">
        <f t="shared" si="39"/>
        <v>08.02.1996</v>
      </c>
      <c r="I398" s="5">
        <v>42036</v>
      </c>
      <c r="J398" s="5">
        <f t="shared" si="40"/>
        <v>6933</v>
      </c>
      <c r="K398" s="6">
        <f t="shared" si="41"/>
        <v>18</v>
      </c>
    </row>
    <row r="399" spans="1:11" x14ac:dyDescent="0.25">
      <c r="A399" s="1" t="s">
        <v>797</v>
      </c>
      <c r="B399" s="1" t="s">
        <v>798</v>
      </c>
      <c r="C399">
        <v>5</v>
      </c>
      <c r="D399">
        <v>1673</v>
      </c>
      <c r="E399" s="1">
        <f t="shared" si="36"/>
        <v>1995</v>
      </c>
      <c r="F399" s="3" t="str">
        <f t="shared" si="37"/>
        <v>06</v>
      </c>
      <c r="G399" s="3" t="str">
        <f t="shared" si="38"/>
        <v>21</v>
      </c>
      <c r="H399" t="str">
        <f t="shared" si="39"/>
        <v>21.06.1995</v>
      </c>
      <c r="I399" s="5">
        <v>42037</v>
      </c>
      <c r="J399" s="5">
        <f t="shared" si="40"/>
        <v>7166</v>
      </c>
      <c r="K399" s="6">
        <f t="shared" si="41"/>
        <v>19</v>
      </c>
    </row>
    <row r="400" spans="1:11" x14ac:dyDescent="0.25">
      <c r="A400" s="1" t="s">
        <v>799</v>
      </c>
      <c r="B400" s="1" t="s">
        <v>800</v>
      </c>
      <c r="C400">
        <v>2</v>
      </c>
      <c r="D400">
        <v>2000</v>
      </c>
      <c r="E400" s="1">
        <f t="shared" si="36"/>
        <v>1996</v>
      </c>
      <c r="F400" s="3" t="str">
        <f t="shared" si="37"/>
        <v>10</v>
      </c>
      <c r="G400" s="3" t="str">
        <f t="shared" si="38"/>
        <v>19</v>
      </c>
      <c r="H400" t="str">
        <f t="shared" si="39"/>
        <v>19.10.1996</v>
      </c>
      <c r="I400" s="5">
        <v>42038</v>
      </c>
      <c r="J400" s="5">
        <f t="shared" si="40"/>
        <v>6681</v>
      </c>
      <c r="K400" s="6">
        <f t="shared" si="41"/>
        <v>18</v>
      </c>
    </row>
    <row r="401" spans="1:11" x14ac:dyDescent="0.25">
      <c r="A401" s="1" t="s">
        <v>801</v>
      </c>
      <c r="B401" s="1" t="s">
        <v>802</v>
      </c>
      <c r="C401">
        <v>6</v>
      </c>
      <c r="D401">
        <v>4036</v>
      </c>
      <c r="E401" s="1">
        <f t="shared" si="36"/>
        <v>1995</v>
      </c>
      <c r="F401" s="3" t="str">
        <f t="shared" si="37"/>
        <v>11</v>
      </c>
      <c r="G401" s="3" t="str">
        <f t="shared" si="38"/>
        <v>06</v>
      </c>
      <c r="H401" t="str">
        <f t="shared" si="39"/>
        <v>06.11.1995</v>
      </c>
      <c r="I401" s="5">
        <v>42039</v>
      </c>
      <c r="J401" s="5">
        <f t="shared" si="40"/>
        <v>7030</v>
      </c>
      <c r="K401" s="6">
        <f t="shared" si="41"/>
        <v>19</v>
      </c>
    </row>
    <row r="402" spans="1:11" x14ac:dyDescent="0.25">
      <c r="A402" s="1" t="s">
        <v>803</v>
      </c>
      <c r="B402" s="1" t="s">
        <v>804</v>
      </c>
      <c r="C402">
        <v>2</v>
      </c>
      <c r="D402">
        <v>1763</v>
      </c>
      <c r="E402" s="1">
        <f t="shared" si="36"/>
        <v>1996</v>
      </c>
      <c r="F402" s="3" t="str">
        <f t="shared" si="37"/>
        <v>11</v>
      </c>
      <c r="G402" s="3" t="str">
        <f t="shared" si="38"/>
        <v>01</v>
      </c>
      <c r="H402" t="str">
        <f t="shared" si="39"/>
        <v>01.11.1996</v>
      </c>
      <c r="I402" s="5">
        <v>42040</v>
      </c>
      <c r="J402" s="5">
        <f t="shared" si="40"/>
        <v>6670</v>
      </c>
      <c r="K402" s="6">
        <f t="shared" si="41"/>
        <v>18</v>
      </c>
    </row>
    <row r="403" spans="1:11" x14ac:dyDescent="0.25">
      <c r="A403" s="1" t="s">
        <v>805</v>
      </c>
      <c r="B403" s="1" t="s">
        <v>806</v>
      </c>
      <c r="C403">
        <v>3</v>
      </c>
      <c r="D403">
        <v>3039</v>
      </c>
      <c r="E403" s="1">
        <f t="shared" si="36"/>
        <v>1996</v>
      </c>
      <c r="F403" s="3" t="str">
        <f t="shared" si="37"/>
        <v>06</v>
      </c>
      <c r="G403" s="3" t="str">
        <f t="shared" si="38"/>
        <v>11</v>
      </c>
      <c r="H403" t="str">
        <f t="shared" si="39"/>
        <v>11.06.1996</v>
      </c>
      <c r="I403" s="5">
        <v>42041</v>
      </c>
      <c r="J403" s="5">
        <f t="shared" si="40"/>
        <v>6814</v>
      </c>
      <c r="K403" s="6">
        <f t="shared" si="41"/>
        <v>18</v>
      </c>
    </row>
    <row r="404" spans="1:11" x14ac:dyDescent="0.25">
      <c r="A404" s="1" t="s">
        <v>807</v>
      </c>
      <c r="B404" s="1" t="s">
        <v>808</v>
      </c>
      <c r="C404">
        <v>6</v>
      </c>
      <c r="D404">
        <v>962</v>
      </c>
      <c r="E404" s="1">
        <f t="shared" si="36"/>
        <v>1996</v>
      </c>
      <c r="F404" s="3" t="str">
        <f t="shared" si="37"/>
        <v>09</v>
      </c>
      <c r="G404" s="3" t="str">
        <f t="shared" si="38"/>
        <v>09</v>
      </c>
      <c r="H404" t="str">
        <f t="shared" si="39"/>
        <v>09.09.1996</v>
      </c>
      <c r="I404" s="5">
        <v>42042</v>
      </c>
      <c r="J404" s="5">
        <f t="shared" si="40"/>
        <v>6725</v>
      </c>
      <c r="K404" s="6">
        <f t="shared" si="41"/>
        <v>18</v>
      </c>
    </row>
    <row r="405" spans="1:11" x14ac:dyDescent="0.25">
      <c r="A405" s="1" t="s">
        <v>809</v>
      </c>
      <c r="B405" s="1" t="s">
        <v>810</v>
      </c>
      <c r="C405">
        <v>4</v>
      </c>
      <c r="D405">
        <v>3432</v>
      </c>
      <c r="E405" s="1">
        <f t="shared" si="36"/>
        <v>1997</v>
      </c>
      <c r="F405" s="3" t="str">
        <f t="shared" si="37"/>
        <v>11</v>
      </c>
      <c r="G405" s="3" t="str">
        <f t="shared" si="38"/>
        <v>23</v>
      </c>
      <c r="H405" t="str">
        <f t="shared" si="39"/>
        <v>23.11.1997</v>
      </c>
      <c r="I405" s="5">
        <v>42043</v>
      </c>
      <c r="J405" s="5">
        <f t="shared" si="40"/>
        <v>6286</v>
      </c>
      <c r="K405" s="6">
        <f t="shared" si="41"/>
        <v>17</v>
      </c>
    </row>
    <row r="406" spans="1:11" x14ac:dyDescent="0.25">
      <c r="A406" s="1" t="s">
        <v>811</v>
      </c>
      <c r="B406" s="1" t="s">
        <v>812</v>
      </c>
      <c r="C406">
        <v>4</v>
      </c>
      <c r="D406">
        <v>2167</v>
      </c>
      <c r="E406" s="1">
        <f t="shared" si="36"/>
        <v>1996</v>
      </c>
      <c r="F406" s="3" t="str">
        <f t="shared" si="37"/>
        <v>04</v>
      </c>
      <c r="G406" s="3" t="str">
        <f t="shared" si="38"/>
        <v>28</v>
      </c>
      <c r="H406" t="str">
        <f t="shared" si="39"/>
        <v>28.04.1996</v>
      </c>
      <c r="I406" s="5">
        <v>42044</v>
      </c>
      <c r="J406" s="5">
        <f t="shared" si="40"/>
        <v>6861</v>
      </c>
      <c r="K406" s="6">
        <f t="shared" si="41"/>
        <v>18</v>
      </c>
    </row>
    <row r="407" spans="1:11" x14ac:dyDescent="0.25">
      <c r="A407" s="1" t="s">
        <v>813</v>
      </c>
      <c r="B407" s="1" t="s">
        <v>814</v>
      </c>
      <c r="C407">
        <v>4</v>
      </c>
      <c r="D407">
        <v>2198</v>
      </c>
      <c r="E407" s="1">
        <f t="shared" si="36"/>
        <v>1996</v>
      </c>
      <c r="F407" s="3" t="str">
        <f t="shared" si="37"/>
        <v>10</v>
      </c>
      <c r="G407" s="3" t="str">
        <f t="shared" si="38"/>
        <v>30</v>
      </c>
      <c r="H407" t="str">
        <f t="shared" si="39"/>
        <v>30.10.1996</v>
      </c>
      <c r="I407" s="5">
        <v>42045</v>
      </c>
      <c r="J407" s="5">
        <f t="shared" si="40"/>
        <v>6677</v>
      </c>
      <c r="K407" s="6">
        <f t="shared" si="41"/>
        <v>18</v>
      </c>
    </row>
    <row r="408" spans="1:11" x14ac:dyDescent="0.25">
      <c r="A408" s="1" t="s">
        <v>815</v>
      </c>
      <c r="B408" s="1" t="s">
        <v>816</v>
      </c>
      <c r="C408">
        <v>6</v>
      </c>
      <c r="D408">
        <v>1597</v>
      </c>
      <c r="E408" s="1">
        <f t="shared" si="36"/>
        <v>1997</v>
      </c>
      <c r="F408" s="3" t="str">
        <f t="shared" si="37"/>
        <v>11</v>
      </c>
      <c r="G408" s="3" t="str">
        <f t="shared" si="38"/>
        <v>21</v>
      </c>
      <c r="H408" t="str">
        <f t="shared" si="39"/>
        <v>21.11.1997</v>
      </c>
      <c r="I408" s="5">
        <v>42046</v>
      </c>
      <c r="J408" s="5">
        <f t="shared" si="40"/>
        <v>6291</v>
      </c>
      <c r="K408" s="6">
        <f t="shared" si="41"/>
        <v>17</v>
      </c>
    </row>
    <row r="409" spans="1:11" x14ac:dyDescent="0.25">
      <c r="A409" s="1" t="s">
        <v>817</v>
      </c>
      <c r="B409" s="1" t="s">
        <v>818</v>
      </c>
      <c r="C409">
        <v>5</v>
      </c>
      <c r="D409">
        <v>2936</v>
      </c>
      <c r="E409" s="1">
        <f t="shared" si="36"/>
        <v>1997</v>
      </c>
      <c r="F409" s="3" t="str">
        <f t="shared" si="37"/>
        <v>12</v>
      </c>
      <c r="G409" s="3" t="str">
        <f t="shared" si="38"/>
        <v>03</v>
      </c>
      <c r="H409" t="str">
        <f t="shared" si="39"/>
        <v>03.12.1997</v>
      </c>
      <c r="I409" s="5">
        <v>42047</v>
      </c>
      <c r="J409" s="5">
        <f t="shared" si="40"/>
        <v>6280</v>
      </c>
      <c r="K409" s="6">
        <f t="shared" si="41"/>
        <v>17</v>
      </c>
    </row>
    <row r="410" spans="1:11" x14ac:dyDescent="0.25">
      <c r="A410" s="1" t="s">
        <v>819</v>
      </c>
      <c r="B410" s="1" t="s">
        <v>820</v>
      </c>
      <c r="C410">
        <v>6</v>
      </c>
      <c r="D410">
        <v>2655</v>
      </c>
      <c r="E410" s="1">
        <f t="shared" si="36"/>
        <v>1995</v>
      </c>
      <c r="F410" s="3" t="str">
        <f t="shared" si="37"/>
        <v>02</v>
      </c>
      <c r="G410" s="3" t="str">
        <f t="shared" si="38"/>
        <v>05</v>
      </c>
      <c r="H410" t="str">
        <f t="shared" si="39"/>
        <v>05.02.1995</v>
      </c>
      <c r="I410" s="5">
        <v>42048</v>
      </c>
      <c r="J410" s="5">
        <f t="shared" si="40"/>
        <v>7313</v>
      </c>
      <c r="K410" s="6">
        <f t="shared" si="41"/>
        <v>20</v>
      </c>
    </row>
    <row r="411" spans="1:11" x14ac:dyDescent="0.25">
      <c r="A411" s="1" t="s">
        <v>821</v>
      </c>
      <c r="B411" s="1" t="s">
        <v>822</v>
      </c>
      <c r="C411">
        <v>5</v>
      </c>
      <c r="D411">
        <v>4327</v>
      </c>
      <c r="E411" s="1">
        <f t="shared" si="36"/>
        <v>1996</v>
      </c>
      <c r="F411" s="3" t="str">
        <f t="shared" si="37"/>
        <v>08</v>
      </c>
      <c r="G411" s="3" t="str">
        <f t="shared" si="38"/>
        <v>08</v>
      </c>
      <c r="H411" t="str">
        <f t="shared" si="39"/>
        <v>08.08.1996</v>
      </c>
      <c r="I411" s="5">
        <v>42049</v>
      </c>
      <c r="J411" s="5">
        <f t="shared" si="40"/>
        <v>6764</v>
      </c>
      <c r="K411" s="6">
        <f t="shared" si="41"/>
        <v>18</v>
      </c>
    </row>
    <row r="412" spans="1:11" x14ac:dyDescent="0.25">
      <c r="A412" s="1" t="s">
        <v>823</v>
      </c>
      <c r="B412" s="1" t="s">
        <v>824</v>
      </c>
      <c r="C412">
        <v>3</v>
      </c>
      <c r="D412">
        <v>1296</v>
      </c>
      <c r="E412" s="1">
        <f t="shared" si="36"/>
        <v>1995</v>
      </c>
      <c r="F412" s="3" t="str">
        <f t="shared" si="37"/>
        <v>06</v>
      </c>
      <c r="G412" s="3" t="str">
        <f t="shared" si="38"/>
        <v>11</v>
      </c>
      <c r="H412" t="str">
        <f t="shared" si="39"/>
        <v>11.06.1995</v>
      </c>
      <c r="I412" s="5">
        <v>42050</v>
      </c>
      <c r="J412" s="5">
        <f t="shared" si="40"/>
        <v>7189</v>
      </c>
      <c r="K412" s="6">
        <f t="shared" si="41"/>
        <v>19</v>
      </c>
    </row>
    <row r="413" spans="1:11" x14ac:dyDescent="0.25">
      <c r="A413" s="1" t="s">
        <v>825</v>
      </c>
      <c r="B413" s="1" t="s">
        <v>826</v>
      </c>
      <c r="C413">
        <v>3</v>
      </c>
      <c r="D413">
        <v>4402</v>
      </c>
      <c r="E413" s="1">
        <f t="shared" si="36"/>
        <v>1997</v>
      </c>
      <c r="F413" s="3" t="str">
        <f t="shared" si="37"/>
        <v>02</v>
      </c>
      <c r="G413" s="3" t="str">
        <f t="shared" si="38"/>
        <v>14</v>
      </c>
      <c r="H413" t="str">
        <f t="shared" si="39"/>
        <v>14.02.1997</v>
      </c>
      <c r="I413" s="5">
        <v>42051</v>
      </c>
      <c r="J413" s="5">
        <f t="shared" si="40"/>
        <v>6576</v>
      </c>
      <c r="K413" s="6">
        <f t="shared" si="41"/>
        <v>18</v>
      </c>
    </row>
    <row r="414" spans="1:11" x14ac:dyDescent="0.25">
      <c r="A414" s="1" t="s">
        <v>827</v>
      </c>
      <c r="B414" s="1" t="s">
        <v>828</v>
      </c>
      <c r="C414">
        <v>3</v>
      </c>
      <c r="D414">
        <v>662</v>
      </c>
      <c r="E414" s="1">
        <f t="shared" si="36"/>
        <v>1996</v>
      </c>
      <c r="F414" s="3" t="str">
        <f t="shared" si="37"/>
        <v>09</v>
      </c>
      <c r="G414" s="3" t="str">
        <f t="shared" si="38"/>
        <v>06</v>
      </c>
      <c r="H414" t="str">
        <f t="shared" si="39"/>
        <v>06.09.1996</v>
      </c>
      <c r="I414" s="5">
        <v>42052</v>
      </c>
      <c r="J414" s="5">
        <f t="shared" si="40"/>
        <v>6738</v>
      </c>
      <c r="K414" s="6">
        <f t="shared" si="41"/>
        <v>18</v>
      </c>
    </row>
    <row r="415" spans="1:11" x14ac:dyDescent="0.25">
      <c r="A415" s="1" t="s">
        <v>829</v>
      </c>
      <c r="B415" s="1" t="s">
        <v>830</v>
      </c>
      <c r="C415">
        <v>4</v>
      </c>
      <c r="D415">
        <v>3709</v>
      </c>
      <c r="E415" s="1">
        <f t="shared" si="36"/>
        <v>1996</v>
      </c>
      <c r="F415" s="3" t="str">
        <f t="shared" si="37"/>
        <v>09</v>
      </c>
      <c r="G415" s="3" t="str">
        <f t="shared" si="38"/>
        <v>19</v>
      </c>
      <c r="H415" t="str">
        <f t="shared" si="39"/>
        <v>19.09.1996</v>
      </c>
      <c r="I415" s="5">
        <v>42053</v>
      </c>
      <c r="J415" s="5">
        <f t="shared" si="40"/>
        <v>6726</v>
      </c>
      <c r="K415" s="6">
        <f t="shared" si="41"/>
        <v>18</v>
      </c>
    </row>
    <row r="416" spans="1:11" x14ac:dyDescent="0.25">
      <c r="A416" s="1" t="s">
        <v>831</v>
      </c>
      <c r="B416" s="1" t="s">
        <v>832</v>
      </c>
      <c r="C416">
        <v>5</v>
      </c>
      <c r="D416">
        <v>4461</v>
      </c>
      <c r="E416" s="1">
        <f t="shared" si="36"/>
        <v>1995</v>
      </c>
      <c r="F416" s="3" t="str">
        <f t="shared" si="37"/>
        <v>08</v>
      </c>
      <c r="G416" s="3" t="str">
        <f t="shared" si="38"/>
        <v>24</v>
      </c>
      <c r="H416" t="str">
        <f t="shared" si="39"/>
        <v>24.08.1995</v>
      </c>
      <c r="I416" s="5">
        <v>42054</v>
      </c>
      <c r="J416" s="5">
        <f t="shared" si="40"/>
        <v>7119</v>
      </c>
      <c r="K416" s="6">
        <f t="shared" si="41"/>
        <v>19</v>
      </c>
    </row>
    <row r="417" spans="1:11" x14ac:dyDescent="0.25">
      <c r="A417" s="1" t="s">
        <v>833</v>
      </c>
      <c r="B417" s="1" t="s">
        <v>834</v>
      </c>
      <c r="C417">
        <v>2</v>
      </c>
      <c r="D417">
        <v>3061</v>
      </c>
      <c r="E417" s="1">
        <f t="shared" si="36"/>
        <v>1997</v>
      </c>
      <c r="F417" s="3" t="str">
        <f t="shared" si="37"/>
        <v>12</v>
      </c>
      <c r="G417" s="3" t="str">
        <f t="shared" si="38"/>
        <v>08</v>
      </c>
      <c r="H417" t="str">
        <f t="shared" si="39"/>
        <v>08.12.1997</v>
      </c>
      <c r="I417" s="5">
        <v>42055</v>
      </c>
      <c r="J417" s="5">
        <f t="shared" si="40"/>
        <v>6283</v>
      </c>
      <c r="K417" s="6">
        <f t="shared" si="41"/>
        <v>17</v>
      </c>
    </row>
    <row r="418" spans="1:11" x14ac:dyDescent="0.25">
      <c r="A418" s="1" t="s">
        <v>835</v>
      </c>
      <c r="B418" s="1" t="s">
        <v>836</v>
      </c>
      <c r="C418">
        <v>6</v>
      </c>
      <c r="D418">
        <v>2537</v>
      </c>
      <c r="E418" s="1">
        <f t="shared" si="36"/>
        <v>1994</v>
      </c>
      <c r="F418" s="3" t="str">
        <f t="shared" si="37"/>
        <v>06</v>
      </c>
      <c r="G418" s="3" t="str">
        <f t="shared" si="38"/>
        <v>16</v>
      </c>
      <c r="H418" t="str">
        <f t="shared" si="39"/>
        <v>16.06.1994</v>
      </c>
      <c r="I418" s="5">
        <v>42056</v>
      </c>
      <c r="J418" s="5">
        <f t="shared" si="40"/>
        <v>7555</v>
      </c>
      <c r="K418" s="6">
        <f t="shared" si="41"/>
        <v>20</v>
      </c>
    </row>
    <row r="419" spans="1:11" x14ac:dyDescent="0.25">
      <c r="A419" s="1" t="s">
        <v>837</v>
      </c>
      <c r="B419" s="1" t="s">
        <v>838</v>
      </c>
      <c r="C419">
        <v>3</v>
      </c>
      <c r="D419">
        <v>4372</v>
      </c>
      <c r="E419" s="1">
        <f t="shared" si="36"/>
        <v>1996</v>
      </c>
      <c r="F419" s="3" t="str">
        <f t="shared" si="37"/>
        <v>05</v>
      </c>
      <c r="G419" s="3" t="str">
        <f t="shared" si="38"/>
        <v>23</v>
      </c>
      <c r="H419" t="str">
        <f t="shared" si="39"/>
        <v>23.05.1996</v>
      </c>
      <c r="I419" s="5">
        <v>42057</v>
      </c>
      <c r="J419" s="5">
        <f t="shared" si="40"/>
        <v>6849</v>
      </c>
      <c r="K419" s="6">
        <f t="shared" si="41"/>
        <v>18</v>
      </c>
    </row>
    <row r="420" spans="1:11" x14ac:dyDescent="0.25">
      <c r="A420" s="1" t="s">
        <v>839</v>
      </c>
      <c r="B420" s="1" t="s">
        <v>840</v>
      </c>
      <c r="C420">
        <v>5</v>
      </c>
      <c r="D420">
        <v>3035</v>
      </c>
      <c r="E420" s="1">
        <f t="shared" si="36"/>
        <v>1995</v>
      </c>
      <c r="F420" s="3" t="str">
        <f t="shared" si="37"/>
        <v>03</v>
      </c>
      <c r="G420" s="3" t="str">
        <f t="shared" si="38"/>
        <v>22</v>
      </c>
      <c r="H420" t="str">
        <f t="shared" si="39"/>
        <v>22.03.1995</v>
      </c>
      <c r="I420" s="5">
        <v>42058</v>
      </c>
      <c r="J420" s="5">
        <f t="shared" si="40"/>
        <v>7278</v>
      </c>
      <c r="K420" s="6">
        <f t="shared" si="41"/>
        <v>19</v>
      </c>
    </row>
    <row r="421" spans="1:11" x14ac:dyDescent="0.25">
      <c r="A421" s="1" t="s">
        <v>841</v>
      </c>
      <c r="B421" s="1" t="s">
        <v>842</v>
      </c>
      <c r="C421">
        <v>3</v>
      </c>
      <c r="D421">
        <v>4262</v>
      </c>
      <c r="E421" s="1">
        <f t="shared" si="36"/>
        <v>1996</v>
      </c>
      <c r="F421" s="3" t="str">
        <f t="shared" si="37"/>
        <v>08</v>
      </c>
      <c r="G421" s="3" t="str">
        <f t="shared" si="38"/>
        <v>07</v>
      </c>
      <c r="H421" t="str">
        <f t="shared" si="39"/>
        <v>07.08.1996</v>
      </c>
      <c r="I421" s="5">
        <v>42059</v>
      </c>
      <c r="J421" s="5">
        <f t="shared" si="40"/>
        <v>6775</v>
      </c>
      <c r="K421" s="6">
        <f t="shared" si="41"/>
        <v>18</v>
      </c>
    </row>
    <row r="422" spans="1:11" x14ac:dyDescent="0.25">
      <c r="A422" s="1" t="s">
        <v>843</v>
      </c>
      <c r="B422" s="1" t="s">
        <v>844</v>
      </c>
      <c r="C422">
        <v>3</v>
      </c>
      <c r="D422">
        <v>2059</v>
      </c>
      <c r="E422" s="1">
        <f t="shared" si="36"/>
        <v>1995</v>
      </c>
      <c r="F422" s="3" t="str">
        <f t="shared" si="37"/>
        <v>02</v>
      </c>
      <c r="G422" s="3" t="str">
        <f t="shared" si="38"/>
        <v>04</v>
      </c>
      <c r="H422" t="str">
        <f t="shared" si="39"/>
        <v>04.02.1995</v>
      </c>
      <c r="I422" s="5">
        <v>42060</v>
      </c>
      <c r="J422" s="5">
        <f t="shared" si="40"/>
        <v>7326</v>
      </c>
      <c r="K422" s="6">
        <f t="shared" si="41"/>
        <v>20</v>
      </c>
    </row>
    <row r="423" spans="1:11" x14ac:dyDescent="0.25">
      <c r="A423" s="1" t="s">
        <v>845</v>
      </c>
      <c r="B423" s="1" t="s">
        <v>846</v>
      </c>
      <c r="C423">
        <v>5</v>
      </c>
      <c r="D423">
        <v>2703</v>
      </c>
      <c r="E423" s="1">
        <f t="shared" si="36"/>
        <v>1995</v>
      </c>
      <c r="F423" s="3" t="str">
        <f t="shared" si="37"/>
        <v>10</v>
      </c>
      <c r="G423" s="3" t="str">
        <f t="shared" si="38"/>
        <v>26</v>
      </c>
      <c r="H423" t="str">
        <f t="shared" si="39"/>
        <v>26.10.1995</v>
      </c>
      <c r="I423" s="5">
        <v>42061</v>
      </c>
      <c r="J423" s="5">
        <f t="shared" si="40"/>
        <v>7063</v>
      </c>
      <c r="K423" s="6">
        <f t="shared" si="41"/>
        <v>19</v>
      </c>
    </row>
    <row r="424" spans="1:11" x14ac:dyDescent="0.25">
      <c r="A424" s="1" t="s">
        <v>847</v>
      </c>
      <c r="B424" s="1" t="s">
        <v>848</v>
      </c>
      <c r="C424">
        <v>5</v>
      </c>
      <c r="D424">
        <v>2010</v>
      </c>
      <c r="E424" s="1">
        <f t="shared" si="36"/>
        <v>1997</v>
      </c>
      <c r="F424" s="3" t="str">
        <f t="shared" si="37"/>
        <v>04</v>
      </c>
      <c r="G424" s="3" t="str">
        <f t="shared" si="38"/>
        <v>11</v>
      </c>
      <c r="H424" t="str">
        <f t="shared" si="39"/>
        <v>11.04.1997</v>
      </c>
      <c r="I424" s="5">
        <v>42062</v>
      </c>
      <c r="J424" s="5">
        <f t="shared" si="40"/>
        <v>6531</v>
      </c>
      <c r="K424" s="6">
        <f t="shared" si="41"/>
        <v>17</v>
      </c>
    </row>
    <row r="425" spans="1:11" x14ac:dyDescent="0.25">
      <c r="A425" s="1" t="s">
        <v>849</v>
      </c>
      <c r="B425" s="1" t="s">
        <v>850</v>
      </c>
      <c r="C425">
        <v>6</v>
      </c>
      <c r="D425">
        <v>1760</v>
      </c>
      <c r="E425" s="1">
        <f t="shared" si="36"/>
        <v>1995</v>
      </c>
      <c r="F425" s="3" t="str">
        <f t="shared" si="37"/>
        <v>04</v>
      </c>
      <c r="G425" s="3" t="str">
        <f t="shared" si="38"/>
        <v>22</v>
      </c>
      <c r="H425" t="str">
        <f t="shared" si="39"/>
        <v>22.04.1995</v>
      </c>
      <c r="I425" s="5">
        <v>42063</v>
      </c>
      <c r="J425" s="5">
        <f t="shared" si="40"/>
        <v>7252</v>
      </c>
      <c r="K425" s="6">
        <f t="shared" si="41"/>
        <v>19</v>
      </c>
    </row>
    <row r="426" spans="1:11" x14ac:dyDescent="0.25">
      <c r="A426" s="1" t="s">
        <v>851</v>
      </c>
      <c r="B426" s="1" t="s">
        <v>852</v>
      </c>
      <c r="C426">
        <v>6</v>
      </c>
      <c r="D426">
        <v>4452</v>
      </c>
      <c r="E426" s="1">
        <f t="shared" si="36"/>
        <v>1996</v>
      </c>
      <c r="F426" s="3" t="str">
        <f t="shared" si="37"/>
        <v>04</v>
      </c>
      <c r="G426" s="3" t="str">
        <f t="shared" si="38"/>
        <v>18</v>
      </c>
      <c r="H426" t="str">
        <f t="shared" si="39"/>
        <v>18.04.1996</v>
      </c>
      <c r="I426" s="5">
        <v>42064</v>
      </c>
      <c r="J426" s="5">
        <f t="shared" si="40"/>
        <v>6891</v>
      </c>
      <c r="K426" s="6">
        <f t="shared" si="41"/>
        <v>18</v>
      </c>
    </row>
    <row r="427" spans="1:11" x14ac:dyDescent="0.25">
      <c r="A427" s="1" t="s">
        <v>853</v>
      </c>
      <c r="B427" s="1" t="s">
        <v>854</v>
      </c>
      <c r="C427">
        <v>6</v>
      </c>
      <c r="D427">
        <v>1681</v>
      </c>
      <c r="E427" s="1">
        <f t="shared" si="36"/>
        <v>1997</v>
      </c>
      <c r="F427" s="3" t="str">
        <f t="shared" si="37"/>
        <v>05</v>
      </c>
      <c r="G427" s="3" t="str">
        <f t="shared" si="38"/>
        <v>31</v>
      </c>
      <c r="H427" t="str">
        <f t="shared" si="39"/>
        <v>31.05.1997</v>
      </c>
      <c r="I427" s="5">
        <v>42065</v>
      </c>
      <c r="J427" s="5">
        <f t="shared" si="40"/>
        <v>6484</v>
      </c>
      <c r="K427" s="6">
        <f t="shared" si="41"/>
        <v>17</v>
      </c>
    </row>
    <row r="428" spans="1:11" x14ac:dyDescent="0.25">
      <c r="A428" s="1" t="s">
        <v>855</v>
      </c>
      <c r="B428" s="1" t="s">
        <v>856</v>
      </c>
      <c r="C428">
        <v>4</v>
      </c>
      <c r="D428">
        <v>1691</v>
      </c>
      <c r="E428" s="1">
        <f t="shared" si="36"/>
        <v>1995</v>
      </c>
      <c r="F428" s="3" t="str">
        <f t="shared" si="37"/>
        <v>02</v>
      </c>
      <c r="G428" s="3" t="str">
        <f t="shared" si="38"/>
        <v>03</v>
      </c>
      <c r="H428" t="str">
        <f t="shared" si="39"/>
        <v>03.02.1995</v>
      </c>
      <c r="I428" s="5">
        <v>42066</v>
      </c>
      <c r="J428" s="5">
        <f t="shared" si="40"/>
        <v>7333</v>
      </c>
      <c r="K428" s="6">
        <f t="shared" si="41"/>
        <v>20</v>
      </c>
    </row>
    <row r="429" spans="1:11" x14ac:dyDescent="0.25">
      <c r="A429" s="1" t="s">
        <v>857</v>
      </c>
      <c r="B429" s="1" t="s">
        <v>858</v>
      </c>
      <c r="C429">
        <v>6</v>
      </c>
      <c r="D429">
        <v>1405</v>
      </c>
      <c r="E429" s="1">
        <f t="shared" si="36"/>
        <v>1994</v>
      </c>
      <c r="F429" s="3" t="str">
        <f t="shared" si="37"/>
        <v>01</v>
      </c>
      <c r="G429" s="3" t="str">
        <f t="shared" si="38"/>
        <v>08</v>
      </c>
      <c r="H429" t="str">
        <f t="shared" si="39"/>
        <v>08.01.1994</v>
      </c>
      <c r="I429" s="5">
        <v>42067</v>
      </c>
      <c r="J429" s="5">
        <f t="shared" si="40"/>
        <v>7725</v>
      </c>
      <c r="K429" s="6">
        <f t="shared" si="41"/>
        <v>21</v>
      </c>
    </row>
    <row r="430" spans="1:11" x14ac:dyDescent="0.25">
      <c r="A430" s="1" t="s">
        <v>859</v>
      </c>
      <c r="B430" s="1" t="s">
        <v>860</v>
      </c>
      <c r="C430">
        <v>4</v>
      </c>
      <c r="D430">
        <v>3059</v>
      </c>
      <c r="E430" s="1">
        <f t="shared" si="36"/>
        <v>1996</v>
      </c>
      <c r="F430" s="3" t="str">
        <f t="shared" si="37"/>
        <v>10</v>
      </c>
      <c r="G430" s="3" t="str">
        <f t="shared" si="38"/>
        <v>29</v>
      </c>
      <c r="H430" t="str">
        <f t="shared" si="39"/>
        <v>29.10.1996</v>
      </c>
      <c r="I430" s="5">
        <v>42068</v>
      </c>
      <c r="J430" s="5">
        <f t="shared" si="40"/>
        <v>6701</v>
      </c>
      <c r="K430" s="6">
        <f t="shared" si="41"/>
        <v>18</v>
      </c>
    </row>
    <row r="431" spans="1:11" x14ac:dyDescent="0.25">
      <c r="A431" s="1" t="s">
        <v>861</v>
      </c>
      <c r="B431" s="1" t="s">
        <v>862</v>
      </c>
      <c r="C431">
        <v>5</v>
      </c>
      <c r="D431">
        <v>2130</v>
      </c>
      <c r="E431" s="1">
        <f t="shared" si="36"/>
        <v>1997</v>
      </c>
      <c r="F431" s="3" t="str">
        <f t="shared" si="37"/>
        <v>08</v>
      </c>
      <c r="G431" s="3" t="str">
        <f t="shared" si="38"/>
        <v>17</v>
      </c>
      <c r="H431" t="str">
        <f t="shared" si="39"/>
        <v>17.08.1997</v>
      </c>
      <c r="I431" s="5">
        <v>42069</v>
      </c>
      <c r="J431" s="5">
        <f t="shared" si="40"/>
        <v>6410</v>
      </c>
      <c r="K431" s="6">
        <f t="shared" si="41"/>
        <v>17</v>
      </c>
    </row>
    <row r="432" spans="1:11" x14ac:dyDescent="0.25">
      <c r="A432" s="1" t="s">
        <v>863</v>
      </c>
      <c r="B432" s="1" t="s">
        <v>864</v>
      </c>
      <c r="C432">
        <v>3</v>
      </c>
      <c r="D432">
        <v>1167</v>
      </c>
      <c r="E432" s="1">
        <f t="shared" si="36"/>
        <v>1994</v>
      </c>
      <c r="F432" s="3" t="str">
        <f t="shared" si="37"/>
        <v>10</v>
      </c>
      <c r="G432" s="3" t="str">
        <f t="shared" si="38"/>
        <v>05</v>
      </c>
      <c r="H432" t="str">
        <f t="shared" si="39"/>
        <v>05.10.1994</v>
      </c>
      <c r="I432" s="5">
        <v>42070</v>
      </c>
      <c r="J432" s="5">
        <f t="shared" si="40"/>
        <v>7458</v>
      </c>
      <c r="K432" s="6">
        <f t="shared" si="41"/>
        <v>20</v>
      </c>
    </row>
    <row r="433" spans="1:11" x14ac:dyDescent="0.25">
      <c r="A433" s="1" t="s">
        <v>865</v>
      </c>
      <c r="B433" s="1" t="s">
        <v>866</v>
      </c>
      <c r="C433">
        <v>4</v>
      </c>
      <c r="D433">
        <v>2866</v>
      </c>
      <c r="E433" s="1">
        <f t="shared" si="36"/>
        <v>1997</v>
      </c>
      <c r="F433" s="3" t="str">
        <f t="shared" si="37"/>
        <v>11</v>
      </c>
      <c r="G433" s="3" t="str">
        <f t="shared" si="38"/>
        <v>05</v>
      </c>
      <c r="H433" t="str">
        <f t="shared" si="39"/>
        <v>05.11.1997</v>
      </c>
      <c r="I433" s="5">
        <v>42071</v>
      </c>
      <c r="J433" s="5">
        <f t="shared" si="40"/>
        <v>6332</v>
      </c>
      <c r="K433" s="6">
        <f t="shared" si="41"/>
        <v>17</v>
      </c>
    </row>
    <row r="434" spans="1:11" x14ac:dyDescent="0.25">
      <c r="A434" s="1" t="s">
        <v>867</v>
      </c>
      <c r="B434" s="1" t="s">
        <v>868</v>
      </c>
      <c r="C434">
        <v>3</v>
      </c>
      <c r="D434">
        <v>4120</v>
      </c>
      <c r="E434" s="1">
        <f t="shared" si="36"/>
        <v>1995</v>
      </c>
      <c r="F434" s="3" t="str">
        <f t="shared" si="37"/>
        <v>12</v>
      </c>
      <c r="G434" s="3" t="str">
        <f t="shared" si="38"/>
        <v>28</v>
      </c>
      <c r="H434" t="str">
        <f t="shared" si="39"/>
        <v>28.12.1995</v>
      </c>
      <c r="I434" s="5">
        <v>42072</v>
      </c>
      <c r="J434" s="5">
        <f t="shared" si="40"/>
        <v>7011</v>
      </c>
      <c r="K434" s="6">
        <f t="shared" si="41"/>
        <v>19</v>
      </c>
    </row>
    <row r="435" spans="1:11" x14ac:dyDescent="0.25">
      <c r="A435" s="1" t="s">
        <v>869</v>
      </c>
      <c r="B435" s="1" t="s">
        <v>870</v>
      </c>
      <c r="C435">
        <v>2</v>
      </c>
      <c r="D435">
        <v>4486</v>
      </c>
      <c r="E435" s="1">
        <f t="shared" si="36"/>
        <v>1998</v>
      </c>
      <c r="F435" s="3" t="str">
        <f t="shared" si="37"/>
        <v>02</v>
      </c>
      <c r="G435" s="3" t="str">
        <f t="shared" si="38"/>
        <v>27</v>
      </c>
      <c r="H435" t="str">
        <f t="shared" si="39"/>
        <v>27.02.1998</v>
      </c>
      <c r="I435" s="5">
        <v>42073</v>
      </c>
      <c r="J435" s="5">
        <f t="shared" si="40"/>
        <v>6220</v>
      </c>
      <c r="K435" s="6">
        <f t="shared" si="41"/>
        <v>17</v>
      </c>
    </row>
    <row r="436" spans="1:11" x14ac:dyDescent="0.25">
      <c r="A436" s="1" t="s">
        <v>871</v>
      </c>
      <c r="B436" s="1" t="s">
        <v>872</v>
      </c>
      <c r="C436">
        <v>6</v>
      </c>
      <c r="D436">
        <v>1461</v>
      </c>
      <c r="E436" s="1">
        <f t="shared" si="36"/>
        <v>1995</v>
      </c>
      <c r="F436" s="3" t="str">
        <f t="shared" si="37"/>
        <v>12</v>
      </c>
      <c r="G436" s="3" t="str">
        <f t="shared" si="38"/>
        <v>27</v>
      </c>
      <c r="H436" t="str">
        <f t="shared" si="39"/>
        <v>27.12.1995</v>
      </c>
      <c r="I436" s="5">
        <v>42074</v>
      </c>
      <c r="J436" s="5">
        <f t="shared" si="40"/>
        <v>7014</v>
      </c>
      <c r="K436" s="6">
        <f t="shared" si="41"/>
        <v>19</v>
      </c>
    </row>
    <row r="437" spans="1:11" x14ac:dyDescent="0.25">
      <c r="A437" s="1" t="s">
        <v>873</v>
      </c>
      <c r="B437" s="1" t="s">
        <v>874</v>
      </c>
      <c r="C437">
        <v>2</v>
      </c>
      <c r="D437">
        <v>4002</v>
      </c>
      <c r="E437" s="1">
        <f t="shared" si="36"/>
        <v>1997</v>
      </c>
      <c r="F437" s="3" t="str">
        <f t="shared" si="37"/>
        <v>04</v>
      </c>
      <c r="G437" s="3" t="str">
        <f t="shared" si="38"/>
        <v>14</v>
      </c>
      <c r="H437" t="str">
        <f t="shared" si="39"/>
        <v>14.04.1997</v>
      </c>
      <c r="I437" s="5">
        <v>42075</v>
      </c>
      <c r="J437" s="5">
        <f t="shared" si="40"/>
        <v>6541</v>
      </c>
      <c r="K437" s="6">
        <f t="shared" si="41"/>
        <v>17</v>
      </c>
    </row>
    <row r="438" spans="1:11" x14ac:dyDescent="0.25">
      <c r="A438" s="1" t="s">
        <v>875</v>
      </c>
      <c r="B438" s="1" t="s">
        <v>876</v>
      </c>
      <c r="C438">
        <v>3</v>
      </c>
      <c r="D438">
        <v>1912</v>
      </c>
      <c r="E438" s="1">
        <f t="shared" si="36"/>
        <v>1995</v>
      </c>
      <c r="F438" s="3" t="str">
        <f t="shared" si="37"/>
        <v>06</v>
      </c>
      <c r="G438" s="3" t="str">
        <f t="shared" si="38"/>
        <v>29</v>
      </c>
      <c r="H438" t="str">
        <f t="shared" si="39"/>
        <v>29.06.1995</v>
      </c>
      <c r="I438" s="5">
        <v>42076</v>
      </c>
      <c r="J438" s="5">
        <f t="shared" si="40"/>
        <v>7197</v>
      </c>
      <c r="K438" s="6">
        <f t="shared" si="41"/>
        <v>19</v>
      </c>
    </row>
    <row r="439" spans="1:11" x14ac:dyDescent="0.25">
      <c r="A439" s="1" t="s">
        <v>877</v>
      </c>
      <c r="B439" s="1" t="s">
        <v>878</v>
      </c>
      <c r="C439">
        <v>5</v>
      </c>
      <c r="D439">
        <v>2703</v>
      </c>
      <c r="E439" s="1">
        <f t="shared" si="36"/>
        <v>1996</v>
      </c>
      <c r="F439" s="3" t="str">
        <f t="shared" si="37"/>
        <v>01</v>
      </c>
      <c r="G439" s="3" t="str">
        <f t="shared" si="38"/>
        <v>10</v>
      </c>
      <c r="H439" t="str">
        <f t="shared" si="39"/>
        <v>10.01.1996</v>
      </c>
      <c r="I439" s="5">
        <v>42077</v>
      </c>
      <c r="J439" s="5">
        <f t="shared" si="40"/>
        <v>7003</v>
      </c>
      <c r="K439" s="6">
        <f t="shared" si="41"/>
        <v>19</v>
      </c>
    </row>
    <row r="440" spans="1:11" x14ac:dyDescent="0.25">
      <c r="A440" s="1" t="s">
        <v>879</v>
      </c>
      <c r="B440" s="1" t="s">
        <v>880</v>
      </c>
      <c r="C440">
        <v>2</v>
      </c>
      <c r="D440">
        <v>749</v>
      </c>
      <c r="E440" s="1">
        <f t="shared" si="36"/>
        <v>1994</v>
      </c>
      <c r="F440" s="3" t="str">
        <f t="shared" si="37"/>
        <v>07</v>
      </c>
      <c r="G440" s="3" t="str">
        <f t="shared" si="38"/>
        <v>16</v>
      </c>
      <c r="H440" t="str">
        <f t="shared" si="39"/>
        <v>16.07.1994</v>
      </c>
      <c r="I440" s="5">
        <v>42078</v>
      </c>
      <c r="J440" s="5">
        <f t="shared" si="40"/>
        <v>7547</v>
      </c>
      <c r="K440" s="6">
        <f t="shared" si="41"/>
        <v>20</v>
      </c>
    </row>
    <row r="441" spans="1:11" x14ac:dyDescent="0.25">
      <c r="A441" s="1" t="s">
        <v>881</v>
      </c>
      <c r="B441" s="1" t="s">
        <v>882</v>
      </c>
      <c r="C441">
        <v>6</v>
      </c>
      <c r="D441">
        <v>2794</v>
      </c>
      <c r="E441" s="1">
        <f t="shared" si="36"/>
        <v>1996</v>
      </c>
      <c r="F441" s="3" t="str">
        <f t="shared" si="37"/>
        <v>11</v>
      </c>
      <c r="G441" s="3" t="str">
        <f t="shared" si="38"/>
        <v>05</v>
      </c>
      <c r="H441" t="str">
        <f t="shared" si="39"/>
        <v>05.11.1996</v>
      </c>
      <c r="I441" s="5">
        <v>42079</v>
      </c>
      <c r="J441" s="5">
        <f t="shared" si="40"/>
        <v>6705</v>
      </c>
      <c r="K441" s="6">
        <f t="shared" si="41"/>
        <v>18</v>
      </c>
    </row>
    <row r="442" spans="1:11" x14ac:dyDescent="0.25">
      <c r="A442" s="1" t="s">
        <v>883</v>
      </c>
      <c r="B442" s="1" t="s">
        <v>884</v>
      </c>
      <c r="C442">
        <v>6</v>
      </c>
      <c r="D442">
        <v>2782</v>
      </c>
      <c r="E442" s="1">
        <f t="shared" si="36"/>
        <v>1995</v>
      </c>
      <c r="F442" s="3" t="str">
        <f t="shared" si="37"/>
        <v>09</v>
      </c>
      <c r="G442" s="3" t="str">
        <f t="shared" si="38"/>
        <v>26</v>
      </c>
      <c r="H442" t="str">
        <f t="shared" si="39"/>
        <v>26.09.1995</v>
      </c>
      <c r="I442" s="5">
        <v>42080</v>
      </c>
      <c r="J442" s="5">
        <f t="shared" si="40"/>
        <v>7112</v>
      </c>
      <c r="K442" s="6">
        <f t="shared" si="41"/>
        <v>19</v>
      </c>
    </row>
    <row r="443" spans="1:11" x14ac:dyDescent="0.25">
      <c r="A443" s="1" t="s">
        <v>885</v>
      </c>
      <c r="B443" s="1" t="s">
        <v>886</v>
      </c>
      <c r="C443">
        <v>3</v>
      </c>
      <c r="D443">
        <v>2077</v>
      </c>
      <c r="E443" s="1">
        <f t="shared" si="36"/>
        <v>1997</v>
      </c>
      <c r="F443" s="3" t="str">
        <f t="shared" si="37"/>
        <v>05</v>
      </c>
      <c r="G443" s="3" t="str">
        <f t="shared" si="38"/>
        <v>16</v>
      </c>
      <c r="H443" t="str">
        <f t="shared" si="39"/>
        <v>16.05.1997</v>
      </c>
      <c r="I443" s="5">
        <v>42081</v>
      </c>
      <c r="J443" s="5">
        <f t="shared" si="40"/>
        <v>6515</v>
      </c>
      <c r="K443" s="6">
        <f t="shared" si="41"/>
        <v>17</v>
      </c>
    </row>
    <row r="444" spans="1:11" x14ac:dyDescent="0.25">
      <c r="A444" s="1" t="s">
        <v>887</v>
      </c>
      <c r="B444" s="1" t="s">
        <v>888</v>
      </c>
      <c r="C444">
        <v>4</v>
      </c>
      <c r="D444">
        <v>3117</v>
      </c>
      <c r="E444" s="1">
        <f t="shared" si="36"/>
        <v>1995</v>
      </c>
      <c r="F444" s="3" t="str">
        <f t="shared" si="37"/>
        <v>12</v>
      </c>
      <c r="G444" s="3" t="str">
        <f t="shared" si="38"/>
        <v>12</v>
      </c>
      <c r="H444" t="str">
        <f t="shared" si="39"/>
        <v>12.12.1995</v>
      </c>
      <c r="I444" s="5">
        <v>42082</v>
      </c>
      <c r="J444" s="5">
        <f t="shared" si="40"/>
        <v>7037</v>
      </c>
      <c r="K444" s="6">
        <f t="shared" si="41"/>
        <v>19</v>
      </c>
    </row>
    <row r="445" spans="1:11" x14ac:dyDescent="0.25">
      <c r="A445" s="1" t="s">
        <v>889</v>
      </c>
      <c r="B445" s="1" t="s">
        <v>890</v>
      </c>
      <c r="C445">
        <v>2</v>
      </c>
      <c r="D445">
        <v>2547</v>
      </c>
      <c r="E445" s="1">
        <f t="shared" si="36"/>
        <v>1994</v>
      </c>
      <c r="F445" s="3" t="str">
        <f t="shared" si="37"/>
        <v>05</v>
      </c>
      <c r="G445" s="3" t="str">
        <f t="shared" si="38"/>
        <v>16</v>
      </c>
      <c r="H445" t="str">
        <f t="shared" si="39"/>
        <v>16.05.1994</v>
      </c>
      <c r="I445" s="5">
        <v>42083</v>
      </c>
      <c r="J445" s="5">
        <f t="shared" si="40"/>
        <v>7613</v>
      </c>
      <c r="K445" s="6">
        <f t="shared" si="41"/>
        <v>20</v>
      </c>
    </row>
    <row r="446" spans="1:11" x14ac:dyDescent="0.25">
      <c r="A446" s="1" t="s">
        <v>891</v>
      </c>
      <c r="B446" s="1" t="s">
        <v>892</v>
      </c>
      <c r="C446">
        <v>4</v>
      </c>
      <c r="D446">
        <v>3803</v>
      </c>
      <c r="E446" s="1">
        <f t="shared" si="36"/>
        <v>1996</v>
      </c>
      <c r="F446" s="3" t="str">
        <f t="shared" si="37"/>
        <v>07</v>
      </c>
      <c r="G446" s="3" t="str">
        <f t="shared" si="38"/>
        <v>18</v>
      </c>
      <c r="H446" t="str">
        <f t="shared" si="39"/>
        <v>18.07.1996</v>
      </c>
      <c r="I446" s="5">
        <v>42084</v>
      </c>
      <c r="J446" s="5">
        <f t="shared" si="40"/>
        <v>6820</v>
      </c>
      <c r="K446" s="6">
        <f t="shared" si="41"/>
        <v>18</v>
      </c>
    </row>
    <row r="447" spans="1:11" x14ac:dyDescent="0.25">
      <c r="A447" s="1" t="s">
        <v>893</v>
      </c>
      <c r="B447" s="1" t="s">
        <v>894</v>
      </c>
      <c r="C447">
        <v>4</v>
      </c>
      <c r="D447">
        <v>3213</v>
      </c>
      <c r="E447" s="1">
        <f t="shared" si="36"/>
        <v>1998</v>
      </c>
      <c r="F447" s="3" t="str">
        <f t="shared" si="37"/>
        <v>10</v>
      </c>
      <c r="G447" s="3" t="str">
        <f t="shared" si="38"/>
        <v>24</v>
      </c>
      <c r="H447" t="str">
        <f t="shared" si="39"/>
        <v>24.10.1998</v>
      </c>
      <c r="I447" s="5">
        <v>42085</v>
      </c>
      <c r="J447" s="5">
        <f t="shared" si="40"/>
        <v>5993</v>
      </c>
      <c r="K447" s="6">
        <f t="shared" si="41"/>
        <v>16</v>
      </c>
    </row>
    <row r="448" spans="1:11" x14ac:dyDescent="0.25">
      <c r="A448" s="1" t="s">
        <v>895</v>
      </c>
      <c r="B448" s="1" t="s">
        <v>896</v>
      </c>
      <c r="C448">
        <v>6</v>
      </c>
      <c r="D448">
        <v>2659</v>
      </c>
      <c r="E448" s="1">
        <f t="shared" si="36"/>
        <v>1995</v>
      </c>
      <c r="F448" s="3" t="str">
        <f t="shared" si="37"/>
        <v>10</v>
      </c>
      <c r="G448" s="3" t="str">
        <f t="shared" si="38"/>
        <v>20</v>
      </c>
      <c r="H448" t="str">
        <f t="shared" si="39"/>
        <v>20.10.1995</v>
      </c>
      <c r="I448" s="5">
        <v>42086</v>
      </c>
      <c r="J448" s="5">
        <f t="shared" si="40"/>
        <v>7094</v>
      </c>
      <c r="K448" s="6">
        <f t="shared" si="41"/>
        <v>19</v>
      </c>
    </row>
    <row r="449" spans="1:11" x14ac:dyDescent="0.25">
      <c r="A449" s="1" t="s">
        <v>897</v>
      </c>
      <c r="B449" s="1" t="s">
        <v>898</v>
      </c>
      <c r="C449">
        <v>5</v>
      </c>
      <c r="D449">
        <v>2975</v>
      </c>
      <c r="E449" s="1">
        <f t="shared" si="36"/>
        <v>1996</v>
      </c>
      <c r="F449" s="3" t="str">
        <f t="shared" si="37"/>
        <v>08</v>
      </c>
      <c r="G449" s="3" t="str">
        <f t="shared" si="38"/>
        <v>23</v>
      </c>
      <c r="H449" t="str">
        <f t="shared" si="39"/>
        <v>23.08.1996</v>
      </c>
      <c r="I449" s="5">
        <v>42087</v>
      </c>
      <c r="J449" s="5">
        <f t="shared" si="40"/>
        <v>6787</v>
      </c>
      <c r="K449" s="6">
        <f t="shared" si="41"/>
        <v>18</v>
      </c>
    </row>
    <row r="450" spans="1:11" x14ac:dyDescent="0.25">
      <c r="A450" s="1" t="s">
        <v>899</v>
      </c>
      <c r="B450" s="1" t="s">
        <v>900</v>
      </c>
      <c r="C450">
        <v>2</v>
      </c>
      <c r="D450">
        <v>1249</v>
      </c>
      <c r="E450" s="1">
        <f t="shared" si="36"/>
        <v>1997</v>
      </c>
      <c r="F450" s="3" t="str">
        <f t="shared" si="37"/>
        <v>11</v>
      </c>
      <c r="G450" s="3" t="str">
        <f t="shared" si="38"/>
        <v>15</v>
      </c>
      <c r="H450" t="str">
        <f t="shared" si="39"/>
        <v>15.11.1997</v>
      </c>
      <c r="I450" s="5">
        <v>42088</v>
      </c>
      <c r="J450" s="5">
        <f t="shared" si="40"/>
        <v>6339</v>
      </c>
      <c r="K450" s="6">
        <f t="shared" si="41"/>
        <v>17</v>
      </c>
    </row>
    <row r="451" spans="1:11" x14ac:dyDescent="0.25">
      <c r="A451" s="1" t="s">
        <v>901</v>
      </c>
      <c r="B451" s="1" t="s">
        <v>902</v>
      </c>
      <c r="C451">
        <v>2</v>
      </c>
      <c r="D451">
        <v>706</v>
      </c>
      <c r="E451" s="1">
        <f t="shared" ref="E451:E501" si="42">1900+1*LEFT(B451,2)</f>
        <v>1995</v>
      </c>
      <c r="F451" s="3" t="str">
        <f t="shared" ref="F451:F501" si="43">MID(B451,3,2)</f>
        <v>04</v>
      </c>
      <c r="G451" s="3" t="str">
        <f t="shared" ref="G451:G501" si="44">MID(B451,5,2)</f>
        <v>03</v>
      </c>
      <c r="H451" t="str">
        <f t="shared" ref="H451:H501" si="45">CONCATENATE(G451,".",F451,".",E451)</f>
        <v>03.04.1995</v>
      </c>
      <c r="I451" s="5">
        <v>42089</v>
      </c>
      <c r="J451" s="5">
        <f t="shared" ref="J451:J501" si="46">I451-H451</f>
        <v>7297</v>
      </c>
      <c r="K451" s="6">
        <f t="shared" ref="K451:K501" si="47">YEAR(J451)-1900</f>
        <v>19</v>
      </c>
    </row>
    <row r="452" spans="1:11" x14ac:dyDescent="0.25">
      <c r="A452" s="1" t="s">
        <v>903</v>
      </c>
      <c r="B452" s="1" t="s">
        <v>904</v>
      </c>
      <c r="C452">
        <v>4</v>
      </c>
      <c r="D452">
        <v>2619</v>
      </c>
      <c r="E452" s="1">
        <f t="shared" si="42"/>
        <v>1996</v>
      </c>
      <c r="F452" s="3" t="str">
        <f t="shared" si="43"/>
        <v>11</v>
      </c>
      <c r="G452" s="3" t="str">
        <f t="shared" si="44"/>
        <v>18</v>
      </c>
      <c r="H452" t="str">
        <f t="shared" si="45"/>
        <v>18.11.1996</v>
      </c>
      <c r="I452" s="5">
        <v>42090</v>
      </c>
      <c r="J452" s="5">
        <f t="shared" si="46"/>
        <v>6703</v>
      </c>
      <c r="K452" s="6">
        <f t="shared" si="47"/>
        <v>18</v>
      </c>
    </row>
    <row r="453" spans="1:11" x14ac:dyDescent="0.25">
      <c r="A453" s="1" t="s">
        <v>905</v>
      </c>
      <c r="B453" s="1" t="s">
        <v>906</v>
      </c>
      <c r="C453">
        <v>4</v>
      </c>
      <c r="D453">
        <v>1695</v>
      </c>
      <c r="E453" s="1">
        <f t="shared" si="42"/>
        <v>1996</v>
      </c>
      <c r="F453" s="3" t="str">
        <f t="shared" si="43"/>
        <v>03</v>
      </c>
      <c r="G453" s="3" t="str">
        <f t="shared" si="44"/>
        <v>30</v>
      </c>
      <c r="H453" t="str">
        <f t="shared" si="45"/>
        <v>30.03.1996</v>
      </c>
      <c r="I453" s="5">
        <v>42091</v>
      </c>
      <c r="J453" s="5">
        <f t="shared" si="46"/>
        <v>6937</v>
      </c>
      <c r="K453" s="6">
        <f t="shared" si="47"/>
        <v>18</v>
      </c>
    </row>
    <row r="454" spans="1:11" x14ac:dyDescent="0.25">
      <c r="A454" s="1" t="s">
        <v>907</v>
      </c>
      <c r="B454" s="1" t="s">
        <v>908</v>
      </c>
      <c r="C454">
        <v>5</v>
      </c>
      <c r="D454">
        <v>1937</v>
      </c>
      <c r="E454" s="1">
        <f t="shared" si="42"/>
        <v>1996</v>
      </c>
      <c r="F454" s="3" t="str">
        <f t="shared" si="43"/>
        <v>02</v>
      </c>
      <c r="G454" s="3" t="str">
        <f t="shared" si="44"/>
        <v>03</v>
      </c>
      <c r="H454" t="str">
        <f t="shared" si="45"/>
        <v>03.02.1996</v>
      </c>
      <c r="I454" s="5">
        <v>42092</v>
      </c>
      <c r="J454" s="5">
        <f t="shared" si="46"/>
        <v>6994</v>
      </c>
      <c r="K454" s="6">
        <f t="shared" si="47"/>
        <v>19</v>
      </c>
    </row>
    <row r="455" spans="1:11" x14ac:dyDescent="0.25">
      <c r="A455" s="1" t="s">
        <v>909</v>
      </c>
      <c r="B455" s="1" t="s">
        <v>910</v>
      </c>
      <c r="C455">
        <v>2</v>
      </c>
      <c r="D455">
        <v>1313</v>
      </c>
      <c r="E455" s="1">
        <f t="shared" si="42"/>
        <v>1996</v>
      </c>
      <c r="F455" s="3" t="str">
        <f t="shared" si="43"/>
        <v>02</v>
      </c>
      <c r="G455" s="3" t="str">
        <f t="shared" si="44"/>
        <v>06</v>
      </c>
      <c r="H455" t="str">
        <f t="shared" si="45"/>
        <v>06.02.1996</v>
      </c>
      <c r="I455" s="5">
        <v>42093</v>
      </c>
      <c r="J455" s="5">
        <f t="shared" si="46"/>
        <v>6992</v>
      </c>
      <c r="K455" s="6">
        <f t="shared" si="47"/>
        <v>19</v>
      </c>
    </row>
    <row r="456" spans="1:11" x14ac:dyDescent="0.25">
      <c r="A456" s="1" t="s">
        <v>911</v>
      </c>
      <c r="B456" s="1" t="s">
        <v>912</v>
      </c>
      <c r="C456">
        <v>4</v>
      </c>
      <c r="D456">
        <v>1004</v>
      </c>
      <c r="E456" s="1">
        <f t="shared" si="42"/>
        <v>1995</v>
      </c>
      <c r="F456" s="3" t="str">
        <f t="shared" si="43"/>
        <v>08</v>
      </c>
      <c r="G456" s="3" t="str">
        <f t="shared" si="44"/>
        <v>10</v>
      </c>
      <c r="H456" t="str">
        <f t="shared" si="45"/>
        <v>10.08.1995</v>
      </c>
      <c r="I456" s="5">
        <v>42094</v>
      </c>
      <c r="J456" s="5">
        <f t="shared" si="46"/>
        <v>7173</v>
      </c>
      <c r="K456" s="6">
        <f t="shared" si="47"/>
        <v>19</v>
      </c>
    </row>
    <row r="457" spans="1:11" x14ac:dyDescent="0.25">
      <c r="A457" s="1" t="s">
        <v>913</v>
      </c>
      <c r="B457" s="1" t="s">
        <v>914</v>
      </c>
      <c r="C457">
        <v>2</v>
      </c>
      <c r="D457">
        <v>861</v>
      </c>
      <c r="E457" s="1">
        <f t="shared" si="42"/>
        <v>1996</v>
      </c>
      <c r="F457" s="3" t="str">
        <f t="shared" si="43"/>
        <v>12</v>
      </c>
      <c r="G457" s="3" t="str">
        <f t="shared" si="44"/>
        <v>17</v>
      </c>
      <c r="H457" t="str">
        <f t="shared" si="45"/>
        <v>17.12.1996</v>
      </c>
      <c r="I457" s="5">
        <v>42095</v>
      </c>
      <c r="J457" s="5">
        <f t="shared" si="46"/>
        <v>6679</v>
      </c>
      <c r="K457" s="6">
        <f t="shared" si="47"/>
        <v>18</v>
      </c>
    </row>
    <row r="458" spans="1:11" x14ac:dyDescent="0.25">
      <c r="A458" s="1" t="s">
        <v>915</v>
      </c>
      <c r="B458" s="1" t="s">
        <v>916</v>
      </c>
      <c r="C458">
        <v>3</v>
      </c>
      <c r="D458">
        <v>3074</v>
      </c>
      <c r="E458" s="1">
        <f t="shared" si="42"/>
        <v>1996</v>
      </c>
      <c r="F458" s="3" t="str">
        <f t="shared" si="43"/>
        <v>07</v>
      </c>
      <c r="G458" s="3" t="str">
        <f t="shared" si="44"/>
        <v>23</v>
      </c>
      <c r="H458" t="str">
        <f t="shared" si="45"/>
        <v>23.07.1996</v>
      </c>
      <c r="I458" s="5">
        <v>42096</v>
      </c>
      <c r="J458" s="5">
        <f t="shared" si="46"/>
        <v>6827</v>
      </c>
      <c r="K458" s="6">
        <f t="shared" si="47"/>
        <v>18</v>
      </c>
    </row>
    <row r="459" spans="1:11" x14ac:dyDescent="0.25">
      <c r="A459" s="1" t="s">
        <v>917</v>
      </c>
      <c r="B459" s="1" t="s">
        <v>918</v>
      </c>
      <c r="C459">
        <v>5</v>
      </c>
      <c r="D459">
        <v>781</v>
      </c>
      <c r="E459" s="1">
        <f t="shared" si="42"/>
        <v>1997</v>
      </c>
      <c r="F459" s="3" t="str">
        <f t="shared" si="43"/>
        <v>06</v>
      </c>
      <c r="G459" s="3" t="str">
        <f t="shared" si="44"/>
        <v>06</v>
      </c>
      <c r="H459" t="str">
        <f t="shared" si="45"/>
        <v>06.06.1997</v>
      </c>
      <c r="I459" s="5">
        <v>42097</v>
      </c>
      <c r="J459" s="5">
        <f t="shared" si="46"/>
        <v>6510</v>
      </c>
      <c r="K459" s="6">
        <f t="shared" si="47"/>
        <v>17</v>
      </c>
    </row>
    <row r="460" spans="1:11" x14ac:dyDescent="0.25">
      <c r="A460" s="1" t="s">
        <v>919</v>
      </c>
      <c r="B460" s="1" t="s">
        <v>920</v>
      </c>
      <c r="C460">
        <v>5</v>
      </c>
      <c r="D460">
        <v>2720</v>
      </c>
      <c r="E460" s="1">
        <f t="shared" si="42"/>
        <v>1998</v>
      </c>
      <c r="F460" s="3" t="str">
        <f t="shared" si="43"/>
        <v>07</v>
      </c>
      <c r="G460" s="3" t="str">
        <f t="shared" si="44"/>
        <v>21</v>
      </c>
      <c r="H460" t="str">
        <f t="shared" si="45"/>
        <v>21.07.1998</v>
      </c>
      <c r="I460" s="5">
        <v>42098</v>
      </c>
      <c r="J460" s="5">
        <f t="shared" si="46"/>
        <v>6101</v>
      </c>
      <c r="K460" s="6">
        <f t="shared" si="47"/>
        <v>16</v>
      </c>
    </row>
    <row r="461" spans="1:11" x14ac:dyDescent="0.25">
      <c r="A461" s="1" t="s">
        <v>921</v>
      </c>
      <c r="B461" s="1" t="s">
        <v>922</v>
      </c>
      <c r="C461">
        <v>3</v>
      </c>
      <c r="D461">
        <v>1512</v>
      </c>
      <c r="E461" s="1">
        <f t="shared" si="42"/>
        <v>1996</v>
      </c>
      <c r="F461" s="3" t="str">
        <f t="shared" si="43"/>
        <v>12</v>
      </c>
      <c r="G461" s="3" t="str">
        <f t="shared" si="44"/>
        <v>18</v>
      </c>
      <c r="H461" t="str">
        <f t="shared" si="45"/>
        <v>18.12.1996</v>
      </c>
      <c r="I461" s="5">
        <v>42099</v>
      </c>
      <c r="J461" s="5">
        <f t="shared" si="46"/>
        <v>6682</v>
      </c>
      <c r="K461" s="6">
        <f t="shared" si="47"/>
        <v>18</v>
      </c>
    </row>
    <row r="462" spans="1:11" x14ac:dyDescent="0.25">
      <c r="A462" s="1" t="s">
        <v>923</v>
      </c>
      <c r="B462" s="1" t="s">
        <v>924</v>
      </c>
      <c r="C462">
        <v>2</v>
      </c>
      <c r="D462">
        <v>1109</v>
      </c>
      <c r="E462" s="1">
        <f t="shared" si="42"/>
        <v>1996</v>
      </c>
      <c r="F462" s="3" t="str">
        <f t="shared" si="43"/>
        <v>10</v>
      </c>
      <c r="G462" s="3" t="str">
        <f t="shared" si="44"/>
        <v>10</v>
      </c>
      <c r="H462" t="str">
        <f t="shared" si="45"/>
        <v>10.10.1996</v>
      </c>
      <c r="I462" s="5">
        <v>42100</v>
      </c>
      <c r="J462" s="5">
        <f t="shared" si="46"/>
        <v>6752</v>
      </c>
      <c r="K462" s="6">
        <f t="shared" si="47"/>
        <v>18</v>
      </c>
    </row>
    <row r="463" spans="1:11" x14ac:dyDescent="0.25">
      <c r="A463" s="1" t="s">
        <v>925</v>
      </c>
      <c r="B463" s="1" t="s">
        <v>926</v>
      </c>
      <c r="C463">
        <v>3</v>
      </c>
      <c r="D463">
        <v>1387</v>
      </c>
      <c r="E463" s="1">
        <f t="shared" si="42"/>
        <v>1995</v>
      </c>
      <c r="F463" s="3" t="str">
        <f t="shared" si="43"/>
        <v>05</v>
      </c>
      <c r="G463" s="3" t="str">
        <f t="shared" si="44"/>
        <v>20</v>
      </c>
      <c r="H463" t="str">
        <f t="shared" si="45"/>
        <v>20.05.1995</v>
      </c>
      <c r="I463" s="5">
        <v>42101</v>
      </c>
      <c r="J463" s="5">
        <f t="shared" si="46"/>
        <v>7262</v>
      </c>
      <c r="K463" s="6">
        <f t="shared" si="47"/>
        <v>19</v>
      </c>
    </row>
    <row r="464" spans="1:11" x14ac:dyDescent="0.25">
      <c r="A464" s="1" t="s">
        <v>927</v>
      </c>
      <c r="B464" s="1" t="s">
        <v>928</v>
      </c>
      <c r="C464">
        <v>4</v>
      </c>
      <c r="D464">
        <v>3249</v>
      </c>
      <c r="E464" s="1">
        <f t="shared" si="42"/>
        <v>1996</v>
      </c>
      <c r="F464" s="3" t="str">
        <f t="shared" si="43"/>
        <v>03</v>
      </c>
      <c r="G464" s="3" t="str">
        <f t="shared" si="44"/>
        <v>26</v>
      </c>
      <c r="H464" t="str">
        <f t="shared" si="45"/>
        <v>26.03.1996</v>
      </c>
      <c r="I464" s="5">
        <v>42102</v>
      </c>
      <c r="J464" s="5">
        <f t="shared" si="46"/>
        <v>6952</v>
      </c>
      <c r="K464" s="6">
        <f t="shared" si="47"/>
        <v>19</v>
      </c>
    </row>
    <row r="465" spans="1:11" x14ac:dyDescent="0.25">
      <c r="A465" s="1" t="s">
        <v>929</v>
      </c>
      <c r="B465" s="1" t="s">
        <v>930</v>
      </c>
      <c r="C465">
        <v>3</v>
      </c>
      <c r="D465">
        <v>3813</v>
      </c>
      <c r="E465" s="1">
        <f t="shared" si="42"/>
        <v>1998</v>
      </c>
      <c r="F465" s="3" t="str">
        <f t="shared" si="43"/>
        <v>02</v>
      </c>
      <c r="G465" s="3" t="str">
        <f t="shared" si="44"/>
        <v>27</v>
      </c>
      <c r="H465" t="str">
        <f t="shared" si="45"/>
        <v>27.02.1998</v>
      </c>
      <c r="I465" s="5">
        <v>42103</v>
      </c>
      <c r="J465" s="5">
        <f t="shared" si="46"/>
        <v>6250</v>
      </c>
      <c r="K465" s="6">
        <f t="shared" si="47"/>
        <v>17</v>
      </c>
    </row>
    <row r="466" spans="1:11" x14ac:dyDescent="0.25">
      <c r="A466" s="1" t="s">
        <v>931</v>
      </c>
      <c r="B466" s="1" t="s">
        <v>932</v>
      </c>
      <c r="C466">
        <v>5</v>
      </c>
      <c r="D466">
        <v>4019</v>
      </c>
      <c r="E466" s="1">
        <f t="shared" si="42"/>
        <v>1995</v>
      </c>
      <c r="F466" s="3" t="str">
        <f t="shared" si="43"/>
        <v>11</v>
      </c>
      <c r="G466" s="3" t="str">
        <f t="shared" si="44"/>
        <v>08</v>
      </c>
      <c r="H466" t="str">
        <f t="shared" si="45"/>
        <v>08.11.1995</v>
      </c>
      <c r="I466" s="5">
        <v>42104</v>
      </c>
      <c r="J466" s="5">
        <f t="shared" si="46"/>
        <v>7093</v>
      </c>
      <c r="K466" s="6">
        <f t="shared" si="47"/>
        <v>19</v>
      </c>
    </row>
    <row r="467" spans="1:11" x14ac:dyDescent="0.25">
      <c r="A467" s="1" t="s">
        <v>933</v>
      </c>
      <c r="B467" s="1" t="s">
        <v>934</v>
      </c>
      <c r="C467">
        <v>5</v>
      </c>
      <c r="D467">
        <v>2705</v>
      </c>
      <c r="E467" s="1">
        <f t="shared" si="42"/>
        <v>1996</v>
      </c>
      <c r="F467" s="3" t="str">
        <f t="shared" si="43"/>
        <v>12</v>
      </c>
      <c r="G467" s="3" t="str">
        <f t="shared" si="44"/>
        <v>03</v>
      </c>
      <c r="H467" t="str">
        <f t="shared" si="45"/>
        <v>03.12.1996</v>
      </c>
      <c r="I467" s="5">
        <v>42105</v>
      </c>
      <c r="J467" s="5">
        <f t="shared" si="46"/>
        <v>6703</v>
      </c>
      <c r="K467" s="6">
        <f t="shared" si="47"/>
        <v>18</v>
      </c>
    </row>
    <row r="468" spans="1:11" x14ac:dyDescent="0.25">
      <c r="A468" s="1" t="s">
        <v>935</v>
      </c>
      <c r="B468" s="1" t="s">
        <v>936</v>
      </c>
      <c r="C468">
        <v>6</v>
      </c>
      <c r="D468">
        <v>4112</v>
      </c>
      <c r="E468" s="1">
        <f t="shared" si="42"/>
        <v>1994</v>
      </c>
      <c r="F468" s="3" t="str">
        <f t="shared" si="43"/>
        <v>10</v>
      </c>
      <c r="G468" s="3" t="str">
        <f t="shared" si="44"/>
        <v>21</v>
      </c>
      <c r="H468" t="str">
        <f t="shared" si="45"/>
        <v>21.10.1994</v>
      </c>
      <c r="I468" s="5">
        <v>42106</v>
      </c>
      <c r="J468" s="5">
        <f t="shared" si="46"/>
        <v>7478</v>
      </c>
      <c r="K468" s="6">
        <f t="shared" si="47"/>
        <v>20</v>
      </c>
    </row>
    <row r="469" spans="1:11" x14ac:dyDescent="0.25">
      <c r="A469" s="1" t="s">
        <v>937</v>
      </c>
      <c r="B469" s="1" t="s">
        <v>938</v>
      </c>
      <c r="C469">
        <v>4</v>
      </c>
      <c r="D469">
        <v>4251</v>
      </c>
      <c r="E469" s="1">
        <f t="shared" si="42"/>
        <v>1995</v>
      </c>
      <c r="F469" s="3" t="str">
        <f t="shared" si="43"/>
        <v>08</v>
      </c>
      <c r="G469" s="3" t="str">
        <f t="shared" si="44"/>
        <v>17</v>
      </c>
      <c r="H469" t="str">
        <f t="shared" si="45"/>
        <v>17.08.1995</v>
      </c>
      <c r="I469" s="5">
        <v>42107</v>
      </c>
      <c r="J469" s="5">
        <f t="shared" si="46"/>
        <v>7179</v>
      </c>
      <c r="K469" s="6">
        <f t="shared" si="47"/>
        <v>19</v>
      </c>
    </row>
    <row r="470" spans="1:11" x14ac:dyDescent="0.25">
      <c r="A470" s="1" t="s">
        <v>939</v>
      </c>
      <c r="B470" s="1" t="s">
        <v>940</v>
      </c>
      <c r="C470">
        <v>5</v>
      </c>
      <c r="D470">
        <v>994</v>
      </c>
      <c r="E470" s="1">
        <f t="shared" si="42"/>
        <v>1995</v>
      </c>
      <c r="F470" s="3" t="str">
        <f t="shared" si="43"/>
        <v>09</v>
      </c>
      <c r="G470" s="3" t="str">
        <f t="shared" si="44"/>
        <v>17</v>
      </c>
      <c r="H470" t="str">
        <f t="shared" si="45"/>
        <v>17.09.1995</v>
      </c>
      <c r="I470" s="5">
        <v>42108</v>
      </c>
      <c r="J470" s="5">
        <f t="shared" si="46"/>
        <v>7149</v>
      </c>
      <c r="K470" s="6">
        <f t="shared" si="47"/>
        <v>19</v>
      </c>
    </row>
    <row r="471" spans="1:11" x14ac:dyDescent="0.25">
      <c r="A471" s="1" t="s">
        <v>941</v>
      </c>
      <c r="B471" s="1" t="s">
        <v>942</v>
      </c>
      <c r="C471">
        <v>2</v>
      </c>
      <c r="D471">
        <v>2386</v>
      </c>
      <c r="E471" s="1">
        <f t="shared" si="42"/>
        <v>1995</v>
      </c>
      <c r="F471" s="3" t="str">
        <f t="shared" si="43"/>
        <v>03</v>
      </c>
      <c r="G471" s="3" t="str">
        <f t="shared" si="44"/>
        <v>24</v>
      </c>
      <c r="H471" t="str">
        <f t="shared" si="45"/>
        <v>24.03.1995</v>
      </c>
      <c r="I471" s="5">
        <v>42109</v>
      </c>
      <c r="J471" s="5">
        <f t="shared" si="46"/>
        <v>7327</v>
      </c>
      <c r="K471" s="6">
        <f t="shared" si="47"/>
        <v>20</v>
      </c>
    </row>
    <row r="472" spans="1:11" x14ac:dyDescent="0.25">
      <c r="A472" s="1" t="s">
        <v>943</v>
      </c>
      <c r="B472" s="1" t="s">
        <v>944</v>
      </c>
      <c r="C472">
        <v>3</v>
      </c>
      <c r="D472">
        <v>2489</v>
      </c>
      <c r="E472" s="1">
        <f t="shared" si="42"/>
        <v>1997</v>
      </c>
      <c r="F472" s="3" t="str">
        <f t="shared" si="43"/>
        <v>08</v>
      </c>
      <c r="G472" s="3" t="str">
        <f t="shared" si="44"/>
        <v>16</v>
      </c>
      <c r="H472" t="str">
        <f t="shared" si="45"/>
        <v>16.08.1997</v>
      </c>
      <c r="I472" s="5">
        <v>42110</v>
      </c>
      <c r="J472" s="5">
        <f t="shared" si="46"/>
        <v>6452</v>
      </c>
      <c r="K472" s="6">
        <f t="shared" si="47"/>
        <v>17</v>
      </c>
    </row>
    <row r="473" spans="1:11" x14ac:dyDescent="0.25">
      <c r="A473" s="1" t="s">
        <v>945</v>
      </c>
      <c r="B473" s="1" t="s">
        <v>946</v>
      </c>
      <c r="C473">
        <v>3</v>
      </c>
      <c r="D473">
        <v>804</v>
      </c>
      <c r="E473" s="1">
        <f t="shared" si="42"/>
        <v>1994</v>
      </c>
      <c r="F473" s="3" t="str">
        <f t="shared" si="43"/>
        <v>08</v>
      </c>
      <c r="G473" s="3" t="str">
        <f t="shared" si="44"/>
        <v>30</v>
      </c>
      <c r="H473" t="str">
        <f t="shared" si="45"/>
        <v>30.08.1994</v>
      </c>
      <c r="I473" s="5">
        <v>42111</v>
      </c>
      <c r="J473" s="5">
        <f t="shared" si="46"/>
        <v>7535</v>
      </c>
      <c r="K473" s="6">
        <f t="shared" si="47"/>
        <v>20</v>
      </c>
    </row>
    <row r="474" spans="1:11" x14ac:dyDescent="0.25">
      <c r="A474" s="1" t="s">
        <v>947</v>
      </c>
      <c r="B474" s="1" t="s">
        <v>948</v>
      </c>
      <c r="C474">
        <v>3</v>
      </c>
      <c r="D474">
        <v>4407</v>
      </c>
      <c r="E474" s="1">
        <f t="shared" si="42"/>
        <v>1997</v>
      </c>
      <c r="F474" s="3" t="str">
        <f t="shared" si="43"/>
        <v>04</v>
      </c>
      <c r="G474" s="3" t="str">
        <f t="shared" si="44"/>
        <v>09</v>
      </c>
      <c r="H474" t="str">
        <f t="shared" si="45"/>
        <v>09.04.1997</v>
      </c>
      <c r="I474" s="5">
        <v>42112</v>
      </c>
      <c r="J474" s="5">
        <f t="shared" si="46"/>
        <v>6583</v>
      </c>
      <c r="K474" s="6">
        <f t="shared" si="47"/>
        <v>18</v>
      </c>
    </row>
    <row r="475" spans="1:11" x14ac:dyDescent="0.25">
      <c r="A475" s="1" t="s">
        <v>949</v>
      </c>
      <c r="B475" s="1" t="s">
        <v>950</v>
      </c>
      <c r="C475">
        <v>4</v>
      </c>
      <c r="D475">
        <v>3783</v>
      </c>
      <c r="E475" s="1">
        <f t="shared" si="42"/>
        <v>1995</v>
      </c>
      <c r="F475" s="3" t="str">
        <f t="shared" si="43"/>
        <v>08</v>
      </c>
      <c r="G475" s="3" t="str">
        <f t="shared" si="44"/>
        <v>17</v>
      </c>
      <c r="H475" t="str">
        <f t="shared" si="45"/>
        <v>17.08.1995</v>
      </c>
      <c r="I475" s="5">
        <v>42113</v>
      </c>
      <c r="J475" s="5">
        <f t="shared" si="46"/>
        <v>7185</v>
      </c>
      <c r="K475" s="6">
        <f t="shared" si="47"/>
        <v>19</v>
      </c>
    </row>
    <row r="476" spans="1:11" x14ac:dyDescent="0.25">
      <c r="A476" s="1" t="s">
        <v>951</v>
      </c>
      <c r="B476" s="1" t="s">
        <v>952</v>
      </c>
      <c r="C476">
        <v>5</v>
      </c>
      <c r="D476">
        <v>1011</v>
      </c>
      <c r="E476" s="1">
        <f t="shared" si="42"/>
        <v>1997</v>
      </c>
      <c r="F476" s="3" t="str">
        <f t="shared" si="43"/>
        <v>08</v>
      </c>
      <c r="G476" s="3" t="str">
        <f t="shared" si="44"/>
        <v>28</v>
      </c>
      <c r="H476" t="str">
        <f t="shared" si="45"/>
        <v>28.08.1997</v>
      </c>
      <c r="I476" s="5">
        <v>42114</v>
      </c>
      <c r="J476" s="5">
        <f t="shared" si="46"/>
        <v>6444</v>
      </c>
      <c r="K476" s="6">
        <f t="shared" si="47"/>
        <v>17</v>
      </c>
    </row>
    <row r="477" spans="1:11" x14ac:dyDescent="0.25">
      <c r="A477" s="1" t="s">
        <v>953</v>
      </c>
      <c r="B477" s="1" t="s">
        <v>954</v>
      </c>
      <c r="C477">
        <v>2</v>
      </c>
      <c r="D477">
        <v>4267</v>
      </c>
      <c r="E477" s="1">
        <f t="shared" si="42"/>
        <v>1996</v>
      </c>
      <c r="F477" s="3" t="str">
        <f t="shared" si="43"/>
        <v>08</v>
      </c>
      <c r="G477" s="3" t="str">
        <f t="shared" si="44"/>
        <v>26</v>
      </c>
      <c r="H477" t="str">
        <f t="shared" si="45"/>
        <v>26.08.1996</v>
      </c>
      <c r="I477" s="5">
        <v>42115</v>
      </c>
      <c r="J477" s="5">
        <f t="shared" si="46"/>
        <v>6812</v>
      </c>
      <c r="K477" s="6">
        <f t="shared" si="47"/>
        <v>18</v>
      </c>
    </row>
    <row r="478" spans="1:11" x14ac:dyDescent="0.25">
      <c r="A478" s="1" t="s">
        <v>955</v>
      </c>
      <c r="B478" s="1" t="s">
        <v>956</v>
      </c>
      <c r="C478">
        <v>5</v>
      </c>
      <c r="D478">
        <v>824</v>
      </c>
      <c r="E478" s="1">
        <f t="shared" si="42"/>
        <v>1997</v>
      </c>
      <c r="F478" s="3" t="str">
        <f t="shared" si="43"/>
        <v>04</v>
      </c>
      <c r="G478" s="3" t="str">
        <f t="shared" si="44"/>
        <v>02</v>
      </c>
      <c r="H478" t="str">
        <f t="shared" si="45"/>
        <v>02.04.1997</v>
      </c>
      <c r="I478" s="5">
        <v>42116</v>
      </c>
      <c r="J478" s="5">
        <f t="shared" si="46"/>
        <v>6594</v>
      </c>
      <c r="K478" s="6">
        <f t="shared" si="47"/>
        <v>18</v>
      </c>
    </row>
    <row r="479" spans="1:11" x14ac:dyDescent="0.25">
      <c r="A479" s="1" t="s">
        <v>957</v>
      </c>
      <c r="B479" s="1" t="s">
        <v>958</v>
      </c>
      <c r="C479">
        <v>2</v>
      </c>
      <c r="D479">
        <v>2296</v>
      </c>
      <c r="E479" s="1">
        <f t="shared" si="42"/>
        <v>1995</v>
      </c>
      <c r="F479" s="3" t="str">
        <f t="shared" si="43"/>
        <v>02</v>
      </c>
      <c r="G479" s="3" t="str">
        <f t="shared" si="44"/>
        <v>09</v>
      </c>
      <c r="H479" t="str">
        <f t="shared" si="45"/>
        <v>09.02.1995</v>
      </c>
      <c r="I479" s="5">
        <v>42117</v>
      </c>
      <c r="J479" s="5">
        <f t="shared" si="46"/>
        <v>7378</v>
      </c>
      <c r="K479" s="6">
        <f t="shared" si="47"/>
        <v>20</v>
      </c>
    </row>
    <row r="480" spans="1:11" x14ac:dyDescent="0.25">
      <c r="A480" s="1" t="s">
        <v>959</v>
      </c>
      <c r="B480" s="1" t="s">
        <v>960</v>
      </c>
      <c r="C480">
        <v>5</v>
      </c>
      <c r="D480">
        <v>1156</v>
      </c>
      <c r="E480" s="1">
        <f t="shared" si="42"/>
        <v>1997</v>
      </c>
      <c r="F480" s="3" t="str">
        <f t="shared" si="43"/>
        <v>05</v>
      </c>
      <c r="G480" s="3" t="str">
        <f t="shared" si="44"/>
        <v>18</v>
      </c>
      <c r="H480" t="str">
        <f t="shared" si="45"/>
        <v>18.05.1997</v>
      </c>
      <c r="I480" s="5">
        <v>42118</v>
      </c>
      <c r="J480" s="5">
        <f t="shared" si="46"/>
        <v>6550</v>
      </c>
      <c r="K480" s="6">
        <f t="shared" si="47"/>
        <v>17</v>
      </c>
    </row>
    <row r="481" spans="1:11" x14ac:dyDescent="0.25">
      <c r="A481" s="1" t="s">
        <v>961</v>
      </c>
      <c r="B481" s="1" t="s">
        <v>962</v>
      </c>
      <c r="C481">
        <v>3</v>
      </c>
      <c r="D481">
        <v>3100</v>
      </c>
      <c r="E481" s="1">
        <f t="shared" si="42"/>
        <v>1996</v>
      </c>
      <c r="F481" s="3" t="str">
        <f t="shared" si="43"/>
        <v>05</v>
      </c>
      <c r="G481" s="3" t="str">
        <f t="shared" si="44"/>
        <v>31</v>
      </c>
      <c r="H481" t="str">
        <f t="shared" si="45"/>
        <v>31.05.1996</v>
      </c>
      <c r="I481" s="5">
        <v>42119</v>
      </c>
      <c r="J481" s="5">
        <f t="shared" si="46"/>
        <v>6903</v>
      </c>
      <c r="K481" s="6">
        <f t="shared" si="47"/>
        <v>18</v>
      </c>
    </row>
    <row r="482" spans="1:11" x14ac:dyDescent="0.25">
      <c r="A482" s="1" t="s">
        <v>963</v>
      </c>
      <c r="B482" s="1" t="s">
        <v>964</v>
      </c>
      <c r="C482">
        <v>3</v>
      </c>
      <c r="D482">
        <v>2816</v>
      </c>
      <c r="E482" s="1">
        <f t="shared" si="42"/>
        <v>1996</v>
      </c>
      <c r="F482" s="3" t="str">
        <f t="shared" si="43"/>
        <v>07</v>
      </c>
      <c r="G482" s="3" t="str">
        <f t="shared" si="44"/>
        <v>31</v>
      </c>
      <c r="H482" t="str">
        <f t="shared" si="45"/>
        <v>31.07.1996</v>
      </c>
      <c r="I482" s="5">
        <v>42120</v>
      </c>
      <c r="J482" s="5">
        <f t="shared" si="46"/>
        <v>6843</v>
      </c>
      <c r="K482" s="6">
        <f t="shared" si="47"/>
        <v>18</v>
      </c>
    </row>
    <row r="483" spans="1:11" x14ac:dyDescent="0.25">
      <c r="A483" s="1" t="s">
        <v>965</v>
      </c>
      <c r="B483" s="1" t="s">
        <v>966</v>
      </c>
      <c r="C483">
        <v>3</v>
      </c>
      <c r="D483">
        <v>2251</v>
      </c>
      <c r="E483" s="1">
        <f t="shared" si="42"/>
        <v>1995</v>
      </c>
      <c r="F483" s="3" t="str">
        <f t="shared" si="43"/>
        <v>10</v>
      </c>
      <c r="G483" s="3" t="str">
        <f t="shared" si="44"/>
        <v>09</v>
      </c>
      <c r="H483" t="str">
        <f t="shared" si="45"/>
        <v>09.10.1995</v>
      </c>
      <c r="I483" s="5">
        <v>42121</v>
      </c>
      <c r="J483" s="5">
        <f t="shared" si="46"/>
        <v>7140</v>
      </c>
      <c r="K483" s="6">
        <f t="shared" si="47"/>
        <v>19</v>
      </c>
    </row>
    <row r="484" spans="1:11" x14ac:dyDescent="0.25">
      <c r="A484" s="1" t="s">
        <v>967</v>
      </c>
      <c r="B484" s="1" t="s">
        <v>968</v>
      </c>
      <c r="C484">
        <v>3</v>
      </c>
      <c r="D484">
        <v>2120</v>
      </c>
      <c r="E484" s="1">
        <f t="shared" si="42"/>
        <v>1994</v>
      </c>
      <c r="F484" s="3" t="str">
        <f t="shared" si="43"/>
        <v>12</v>
      </c>
      <c r="G484" s="3" t="str">
        <f t="shared" si="44"/>
        <v>25</v>
      </c>
      <c r="H484" t="str">
        <f t="shared" si="45"/>
        <v>25.12.1994</v>
      </c>
      <c r="I484" s="5">
        <v>42122</v>
      </c>
      <c r="J484" s="5">
        <f t="shared" si="46"/>
        <v>7429</v>
      </c>
      <c r="K484" s="6">
        <f t="shared" si="47"/>
        <v>20</v>
      </c>
    </row>
    <row r="485" spans="1:11" x14ac:dyDescent="0.25">
      <c r="A485" s="1" t="s">
        <v>969</v>
      </c>
      <c r="B485" s="1" t="s">
        <v>970</v>
      </c>
      <c r="C485">
        <v>2</v>
      </c>
      <c r="D485">
        <v>1999</v>
      </c>
      <c r="E485" s="1">
        <f t="shared" si="42"/>
        <v>1996</v>
      </c>
      <c r="F485" s="3" t="str">
        <f t="shared" si="43"/>
        <v>05</v>
      </c>
      <c r="G485" s="3" t="str">
        <f t="shared" si="44"/>
        <v>22</v>
      </c>
      <c r="H485" t="str">
        <f t="shared" si="45"/>
        <v>22.05.1996</v>
      </c>
      <c r="I485" s="5">
        <v>42123</v>
      </c>
      <c r="J485" s="5">
        <f t="shared" si="46"/>
        <v>6916</v>
      </c>
      <c r="K485" s="6">
        <f t="shared" si="47"/>
        <v>18</v>
      </c>
    </row>
    <row r="486" spans="1:11" x14ac:dyDescent="0.25">
      <c r="A486" s="1" t="s">
        <v>971</v>
      </c>
      <c r="B486" s="1" t="s">
        <v>972</v>
      </c>
      <c r="C486">
        <v>3</v>
      </c>
      <c r="D486">
        <v>4250</v>
      </c>
      <c r="E486" s="1">
        <f t="shared" si="42"/>
        <v>1995</v>
      </c>
      <c r="F486" s="3" t="str">
        <f t="shared" si="43"/>
        <v>12</v>
      </c>
      <c r="G486" s="3" t="str">
        <f t="shared" si="44"/>
        <v>22</v>
      </c>
      <c r="H486" t="str">
        <f t="shared" si="45"/>
        <v>22.12.1995</v>
      </c>
      <c r="I486" s="5">
        <v>42124</v>
      </c>
      <c r="J486" s="5">
        <f t="shared" si="46"/>
        <v>7069</v>
      </c>
      <c r="K486" s="6">
        <f t="shared" si="47"/>
        <v>19</v>
      </c>
    </row>
    <row r="487" spans="1:11" x14ac:dyDescent="0.25">
      <c r="A487" s="1" t="s">
        <v>973</v>
      </c>
      <c r="B487" s="1" t="s">
        <v>974</v>
      </c>
      <c r="C487">
        <v>4</v>
      </c>
      <c r="D487">
        <v>2332</v>
      </c>
      <c r="E487" s="1">
        <f t="shared" si="42"/>
        <v>1994</v>
      </c>
      <c r="F487" s="3" t="str">
        <f t="shared" si="43"/>
        <v>04</v>
      </c>
      <c r="G487" s="3" t="str">
        <f t="shared" si="44"/>
        <v>28</v>
      </c>
      <c r="H487" t="str">
        <f t="shared" si="45"/>
        <v>28.04.1994</v>
      </c>
      <c r="I487" s="5">
        <v>42125</v>
      </c>
      <c r="J487" s="5">
        <f t="shared" si="46"/>
        <v>7673</v>
      </c>
      <c r="K487" s="6">
        <f t="shared" si="47"/>
        <v>21</v>
      </c>
    </row>
    <row r="488" spans="1:11" x14ac:dyDescent="0.25">
      <c r="A488" s="1" t="s">
        <v>975</v>
      </c>
      <c r="B488" s="1" t="s">
        <v>976</v>
      </c>
      <c r="C488">
        <v>5</v>
      </c>
      <c r="D488">
        <v>2778</v>
      </c>
      <c r="E488" s="1">
        <f t="shared" si="42"/>
        <v>1996</v>
      </c>
      <c r="F488" s="3" t="str">
        <f t="shared" si="43"/>
        <v>02</v>
      </c>
      <c r="G488" s="3" t="str">
        <f t="shared" si="44"/>
        <v>24</v>
      </c>
      <c r="H488" t="str">
        <f t="shared" si="45"/>
        <v>24.02.1996</v>
      </c>
      <c r="I488" s="5">
        <v>42126</v>
      </c>
      <c r="J488" s="5">
        <f t="shared" si="46"/>
        <v>7007</v>
      </c>
      <c r="K488" s="6">
        <f t="shared" si="47"/>
        <v>19</v>
      </c>
    </row>
    <row r="489" spans="1:11" x14ac:dyDescent="0.25">
      <c r="A489" s="1" t="s">
        <v>977</v>
      </c>
      <c r="B489" s="1" t="s">
        <v>978</v>
      </c>
      <c r="C489">
        <v>3</v>
      </c>
      <c r="D489">
        <v>954</v>
      </c>
      <c r="E489" s="1">
        <f t="shared" si="42"/>
        <v>1997</v>
      </c>
      <c r="F489" s="3" t="str">
        <f t="shared" si="43"/>
        <v>02</v>
      </c>
      <c r="G489" s="3" t="str">
        <f t="shared" si="44"/>
        <v>18</v>
      </c>
      <c r="H489" t="str">
        <f t="shared" si="45"/>
        <v>18.02.1997</v>
      </c>
      <c r="I489" s="5">
        <v>42127</v>
      </c>
      <c r="J489" s="5">
        <f t="shared" si="46"/>
        <v>6648</v>
      </c>
      <c r="K489" s="6">
        <f t="shared" si="47"/>
        <v>18</v>
      </c>
    </row>
    <row r="490" spans="1:11" x14ac:dyDescent="0.25">
      <c r="A490" s="1" t="s">
        <v>979</v>
      </c>
      <c r="B490" s="1" t="s">
        <v>980</v>
      </c>
      <c r="C490">
        <v>4</v>
      </c>
      <c r="D490">
        <v>3252</v>
      </c>
      <c r="E490" s="1">
        <f t="shared" si="42"/>
        <v>1998</v>
      </c>
      <c r="F490" s="3" t="str">
        <f t="shared" si="43"/>
        <v>01</v>
      </c>
      <c r="G490" s="3" t="str">
        <f t="shared" si="44"/>
        <v>03</v>
      </c>
      <c r="H490" t="str">
        <f t="shared" si="45"/>
        <v>03.01.1998</v>
      </c>
      <c r="I490" s="5">
        <v>42128</v>
      </c>
      <c r="J490" s="5">
        <f t="shared" si="46"/>
        <v>6330</v>
      </c>
      <c r="K490" s="6">
        <f t="shared" si="47"/>
        <v>17</v>
      </c>
    </row>
    <row r="491" spans="1:11" x14ac:dyDescent="0.25">
      <c r="A491" s="1" t="s">
        <v>981</v>
      </c>
      <c r="B491" s="1" t="s">
        <v>982</v>
      </c>
      <c r="C491">
        <v>5</v>
      </c>
      <c r="D491">
        <v>3301</v>
      </c>
      <c r="E491" s="1">
        <f t="shared" si="42"/>
        <v>1996</v>
      </c>
      <c r="F491" s="3" t="str">
        <f t="shared" si="43"/>
        <v>09</v>
      </c>
      <c r="G491" s="3" t="str">
        <f t="shared" si="44"/>
        <v>04</v>
      </c>
      <c r="H491" t="str">
        <f t="shared" si="45"/>
        <v>04.09.1996</v>
      </c>
      <c r="I491" s="5">
        <v>42129</v>
      </c>
      <c r="J491" s="5">
        <f t="shared" si="46"/>
        <v>6817</v>
      </c>
      <c r="K491" s="6">
        <f t="shared" si="47"/>
        <v>18</v>
      </c>
    </row>
    <row r="492" spans="1:11" x14ac:dyDescent="0.25">
      <c r="A492" s="1" t="s">
        <v>983</v>
      </c>
      <c r="B492" s="1" t="s">
        <v>984</v>
      </c>
      <c r="C492">
        <v>5</v>
      </c>
      <c r="D492">
        <v>3270</v>
      </c>
      <c r="E492" s="1">
        <f t="shared" si="42"/>
        <v>1997</v>
      </c>
      <c r="F492" s="3" t="str">
        <f t="shared" si="43"/>
        <v>02</v>
      </c>
      <c r="G492" s="3" t="str">
        <f t="shared" si="44"/>
        <v>15</v>
      </c>
      <c r="H492" t="str">
        <f t="shared" si="45"/>
        <v>15.02.1997</v>
      </c>
      <c r="I492" s="5">
        <v>42130</v>
      </c>
      <c r="J492" s="5">
        <f t="shared" si="46"/>
        <v>6654</v>
      </c>
      <c r="K492" s="6">
        <f t="shared" si="47"/>
        <v>18</v>
      </c>
    </row>
    <row r="493" spans="1:11" x14ac:dyDescent="0.25">
      <c r="A493" s="1" t="s">
        <v>985</v>
      </c>
      <c r="B493" s="1" t="s">
        <v>986</v>
      </c>
      <c r="C493">
        <v>3</v>
      </c>
      <c r="D493">
        <v>2384</v>
      </c>
      <c r="E493" s="1">
        <f t="shared" si="42"/>
        <v>1996</v>
      </c>
      <c r="F493" s="3" t="str">
        <f t="shared" si="43"/>
        <v>08</v>
      </c>
      <c r="G493" s="3" t="str">
        <f t="shared" si="44"/>
        <v>02</v>
      </c>
      <c r="H493" t="str">
        <f t="shared" si="45"/>
        <v>02.08.1996</v>
      </c>
      <c r="I493" s="5">
        <v>42131</v>
      </c>
      <c r="J493" s="5">
        <f t="shared" si="46"/>
        <v>6852</v>
      </c>
      <c r="K493" s="6">
        <f t="shared" si="47"/>
        <v>18</v>
      </c>
    </row>
    <row r="494" spans="1:11" x14ac:dyDescent="0.25">
      <c r="A494" s="1" t="s">
        <v>987</v>
      </c>
      <c r="B494" s="1" t="s">
        <v>988</v>
      </c>
      <c r="C494">
        <v>3</v>
      </c>
      <c r="D494">
        <v>3758</v>
      </c>
      <c r="E494" s="1">
        <f t="shared" si="42"/>
        <v>1995</v>
      </c>
      <c r="F494" s="3" t="str">
        <f t="shared" si="43"/>
        <v>08</v>
      </c>
      <c r="G494" s="3" t="str">
        <f t="shared" si="44"/>
        <v>12</v>
      </c>
      <c r="H494" t="str">
        <f t="shared" si="45"/>
        <v>12.08.1995</v>
      </c>
      <c r="I494" s="5">
        <v>42132</v>
      </c>
      <c r="J494" s="5">
        <f t="shared" si="46"/>
        <v>7209</v>
      </c>
      <c r="K494" s="6">
        <f t="shared" si="47"/>
        <v>19</v>
      </c>
    </row>
    <row r="495" spans="1:11" x14ac:dyDescent="0.25">
      <c r="A495" s="1" t="s">
        <v>989</v>
      </c>
      <c r="B495" s="1" t="s">
        <v>990</v>
      </c>
      <c r="C495">
        <v>3</v>
      </c>
      <c r="D495">
        <v>3713</v>
      </c>
      <c r="E495" s="1">
        <f t="shared" si="42"/>
        <v>1995</v>
      </c>
      <c r="F495" s="3" t="str">
        <f t="shared" si="43"/>
        <v>09</v>
      </c>
      <c r="G495" s="3" t="str">
        <f t="shared" si="44"/>
        <v>19</v>
      </c>
      <c r="H495" t="str">
        <f t="shared" si="45"/>
        <v>19.09.1995</v>
      </c>
      <c r="I495" s="5">
        <v>42133</v>
      </c>
      <c r="J495" s="5">
        <f t="shared" si="46"/>
        <v>7172</v>
      </c>
      <c r="K495" s="6">
        <f t="shared" si="47"/>
        <v>19</v>
      </c>
    </row>
    <row r="496" spans="1:11" x14ac:dyDescent="0.25">
      <c r="A496" s="1" t="s">
        <v>991</v>
      </c>
      <c r="B496" s="1" t="s">
        <v>992</v>
      </c>
      <c r="C496">
        <v>3</v>
      </c>
      <c r="D496">
        <v>3851</v>
      </c>
      <c r="E496" s="1">
        <f t="shared" si="42"/>
        <v>1995</v>
      </c>
      <c r="F496" s="3" t="str">
        <f t="shared" si="43"/>
        <v>02</v>
      </c>
      <c r="G496" s="3" t="str">
        <f t="shared" si="44"/>
        <v>08</v>
      </c>
      <c r="H496" t="str">
        <f t="shared" si="45"/>
        <v>08.02.1995</v>
      </c>
      <c r="I496" s="5">
        <v>42134</v>
      </c>
      <c r="J496" s="5">
        <f t="shared" si="46"/>
        <v>7396</v>
      </c>
      <c r="K496" s="6">
        <f t="shared" si="47"/>
        <v>20</v>
      </c>
    </row>
    <row r="497" spans="1:11" x14ac:dyDescent="0.25">
      <c r="A497" s="1" t="s">
        <v>993</v>
      </c>
      <c r="B497" s="1" t="s">
        <v>994</v>
      </c>
      <c r="C497">
        <v>4</v>
      </c>
      <c r="D497">
        <v>3355</v>
      </c>
      <c r="E497" s="1">
        <f t="shared" si="42"/>
        <v>1994</v>
      </c>
      <c r="F497" s="3" t="str">
        <f t="shared" si="43"/>
        <v>04</v>
      </c>
      <c r="G497" s="3" t="str">
        <f t="shared" si="44"/>
        <v>07</v>
      </c>
      <c r="H497" t="str">
        <f t="shared" si="45"/>
        <v>07.04.1994</v>
      </c>
      <c r="I497" s="5">
        <v>42135</v>
      </c>
      <c r="J497" s="5">
        <f t="shared" si="46"/>
        <v>7704</v>
      </c>
      <c r="K497" s="6">
        <f t="shared" si="47"/>
        <v>21</v>
      </c>
    </row>
    <row r="498" spans="1:11" x14ac:dyDescent="0.25">
      <c r="A498" s="1" t="s">
        <v>995</v>
      </c>
      <c r="B498" s="1" t="s">
        <v>996</v>
      </c>
      <c r="C498">
        <v>3</v>
      </c>
      <c r="D498">
        <v>4212</v>
      </c>
      <c r="E498" s="1">
        <f t="shared" si="42"/>
        <v>1997</v>
      </c>
      <c r="F498" s="3" t="str">
        <f t="shared" si="43"/>
        <v>10</v>
      </c>
      <c r="G498" s="3" t="str">
        <f t="shared" si="44"/>
        <v>30</v>
      </c>
      <c r="H498" t="str">
        <f t="shared" si="45"/>
        <v>30.10.1997</v>
      </c>
      <c r="I498" s="5">
        <v>42136</v>
      </c>
      <c r="J498" s="5">
        <f t="shared" si="46"/>
        <v>6403</v>
      </c>
      <c r="K498" s="6">
        <f t="shared" si="47"/>
        <v>17</v>
      </c>
    </row>
    <row r="499" spans="1:11" x14ac:dyDescent="0.25">
      <c r="A499" s="1" t="s">
        <v>997</v>
      </c>
      <c r="B499" s="1" t="s">
        <v>998</v>
      </c>
      <c r="C499">
        <v>5</v>
      </c>
      <c r="D499">
        <v>2509</v>
      </c>
      <c r="E499" s="1">
        <f t="shared" si="42"/>
        <v>1996</v>
      </c>
      <c r="F499" s="3" t="str">
        <f t="shared" si="43"/>
        <v>09</v>
      </c>
      <c r="G499" s="3" t="str">
        <f t="shared" si="44"/>
        <v>29</v>
      </c>
      <c r="H499" t="str">
        <f t="shared" si="45"/>
        <v>29.09.1996</v>
      </c>
      <c r="I499" s="5">
        <v>42137</v>
      </c>
      <c r="J499" s="5">
        <f t="shared" si="46"/>
        <v>6800</v>
      </c>
      <c r="K499" s="6">
        <f t="shared" si="47"/>
        <v>18</v>
      </c>
    </row>
    <row r="500" spans="1:11" x14ac:dyDescent="0.25">
      <c r="A500" s="1" t="s">
        <v>999</v>
      </c>
      <c r="B500" s="1" t="s">
        <v>1000</v>
      </c>
      <c r="C500">
        <v>5</v>
      </c>
      <c r="D500">
        <v>3790</v>
      </c>
      <c r="E500" s="1">
        <f t="shared" si="42"/>
        <v>1997</v>
      </c>
      <c r="F500" s="3" t="str">
        <f t="shared" si="43"/>
        <v>10</v>
      </c>
      <c r="G500" s="3" t="str">
        <f t="shared" si="44"/>
        <v>08</v>
      </c>
      <c r="H500" t="str">
        <f t="shared" si="45"/>
        <v>08.10.1997</v>
      </c>
      <c r="I500" s="5">
        <v>42138</v>
      </c>
      <c r="J500" s="5">
        <f t="shared" si="46"/>
        <v>6427</v>
      </c>
      <c r="K500" s="6">
        <f t="shared" si="47"/>
        <v>17</v>
      </c>
    </row>
    <row r="501" spans="1:11" x14ac:dyDescent="0.25">
      <c r="A501" s="1" t="s">
        <v>1001</v>
      </c>
      <c r="B501" s="1" t="s">
        <v>1002</v>
      </c>
      <c r="C501">
        <v>4</v>
      </c>
      <c r="D501">
        <v>3083</v>
      </c>
      <c r="E501" s="1">
        <f t="shared" si="42"/>
        <v>1996</v>
      </c>
      <c r="F501" s="3" t="str">
        <f t="shared" si="43"/>
        <v>01</v>
      </c>
      <c r="G501" s="3" t="str">
        <f t="shared" si="44"/>
        <v>13</v>
      </c>
      <c r="H501" t="str">
        <f t="shared" si="45"/>
        <v>13.01.1996</v>
      </c>
      <c r="I501" s="5">
        <v>42139</v>
      </c>
      <c r="J501" s="5">
        <f t="shared" si="46"/>
        <v>7062</v>
      </c>
      <c r="K501" s="6">
        <f t="shared" si="47"/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selection activeCell="G2" sqref="G2"/>
    </sheetView>
  </sheetViews>
  <sheetFormatPr defaultRowHeight="15" x14ac:dyDescent="0.25"/>
  <cols>
    <col min="1" max="1" width="23.28515625" bestFit="1" customWidth="1"/>
    <col min="2" max="2" width="12" bestFit="1" customWidth="1"/>
    <col min="3" max="3" width="23" bestFit="1" customWidth="1"/>
    <col min="4" max="4" width="7.5703125" bestFit="1" customWidth="1"/>
    <col min="7" max="7" width="13.140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t="s">
        <v>2</v>
      </c>
      <c r="D1" t="s">
        <v>3</v>
      </c>
      <c r="E1" t="s">
        <v>1010</v>
      </c>
    </row>
    <row r="2" spans="1:8" x14ac:dyDescent="0.25">
      <c r="A2" s="1" t="s">
        <v>4</v>
      </c>
      <c r="B2" s="1" t="s">
        <v>5</v>
      </c>
      <c r="C2">
        <v>2</v>
      </c>
      <c r="D2">
        <v>3603</v>
      </c>
      <c r="E2">
        <f>D2/C2</f>
        <v>1801.5</v>
      </c>
      <c r="G2" t="s">
        <v>1011</v>
      </c>
      <c r="H2" t="s">
        <v>1012</v>
      </c>
    </row>
    <row r="3" spans="1:8" x14ac:dyDescent="0.25">
      <c r="A3" s="1" t="s">
        <v>6</v>
      </c>
      <c r="B3" s="1" t="s">
        <v>7</v>
      </c>
      <c r="C3">
        <v>5</v>
      </c>
      <c r="D3">
        <v>3969</v>
      </c>
      <c r="E3">
        <f t="shared" ref="E3:E66" si="0">D3/C3</f>
        <v>793.8</v>
      </c>
      <c r="G3">
        <f>MAX(E2:E501)</f>
        <v>2243</v>
      </c>
      <c r="H3">
        <f>MIN(E2:E501)</f>
        <v>112.66666666666667</v>
      </c>
    </row>
    <row r="4" spans="1:8" x14ac:dyDescent="0.25">
      <c r="A4" s="1" t="s">
        <v>8</v>
      </c>
      <c r="B4" s="1" t="s">
        <v>9</v>
      </c>
      <c r="C4">
        <v>4</v>
      </c>
      <c r="D4">
        <v>2213</v>
      </c>
      <c r="E4">
        <f t="shared" si="0"/>
        <v>553.25</v>
      </c>
    </row>
    <row r="5" spans="1:8" x14ac:dyDescent="0.25">
      <c r="A5" s="1" t="s">
        <v>10</v>
      </c>
      <c r="B5" s="1" t="s">
        <v>11</v>
      </c>
      <c r="C5">
        <v>3</v>
      </c>
      <c r="D5">
        <v>3104</v>
      </c>
      <c r="E5">
        <f t="shared" si="0"/>
        <v>1034.6666666666667</v>
      </c>
    </row>
    <row r="6" spans="1:8" x14ac:dyDescent="0.25">
      <c r="A6" s="1" t="s">
        <v>12</v>
      </c>
      <c r="B6" s="1" t="s">
        <v>13</v>
      </c>
      <c r="C6">
        <v>3</v>
      </c>
      <c r="D6">
        <v>1007</v>
      </c>
      <c r="E6">
        <f t="shared" si="0"/>
        <v>335.66666666666669</v>
      </c>
    </row>
    <row r="7" spans="1:8" x14ac:dyDescent="0.25">
      <c r="A7" s="1" t="s">
        <v>14</v>
      </c>
      <c r="B7" s="1" t="s">
        <v>15</v>
      </c>
      <c r="C7">
        <v>5</v>
      </c>
      <c r="D7">
        <v>1281</v>
      </c>
      <c r="E7">
        <f t="shared" si="0"/>
        <v>256.2</v>
      </c>
    </row>
    <row r="8" spans="1:8" x14ac:dyDescent="0.25">
      <c r="A8" s="1" t="s">
        <v>16</v>
      </c>
      <c r="B8" s="1" t="s">
        <v>17</v>
      </c>
      <c r="C8">
        <v>2</v>
      </c>
      <c r="D8">
        <v>667</v>
      </c>
      <c r="E8">
        <f t="shared" si="0"/>
        <v>333.5</v>
      </c>
    </row>
    <row r="9" spans="1:8" x14ac:dyDescent="0.25">
      <c r="A9" s="1" t="s">
        <v>18</v>
      </c>
      <c r="B9" s="1" t="s">
        <v>19</v>
      </c>
      <c r="C9">
        <v>3</v>
      </c>
      <c r="D9">
        <v>1148</v>
      </c>
      <c r="E9">
        <f t="shared" si="0"/>
        <v>382.66666666666669</v>
      </c>
    </row>
    <row r="10" spans="1:8" x14ac:dyDescent="0.25">
      <c r="A10" s="1" t="s">
        <v>20</v>
      </c>
      <c r="B10" s="1" t="s">
        <v>21</v>
      </c>
      <c r="C10">
        <v>5</v>
      </c>
      <c r="D10">
        <v>2605</v>
      </c>
      <c r="E10">
        <f t="shared" si="0"/>
        <v>521</v>
      </c>
    </row>
    <row r="11" spans="1:8" x14ac:dyDescent="0.25">
      <c r="A11" s="1" t="s">
        <v>22</v>
      </c>
      <c r="B11" s="1" t="s">
        <v>23</v>
      </c>
      <c r="C11">
        <v>3</v>
      </c>
      <c r="D11">
        <v>1813</v>
      </c>
      <c r="E11">
        <f t="shared" si="0"/>
        <v>604.33333333333337</v>
      </c>
    </row>
    <row r="12" spans="1:8" x14ac:dyDescent="0.25">
      <c r="A12" s="1" t="s">
        <v>22</v>
      </c>
      <c r="B12" s="1" t="s">
        <v>24</v>
      </c>
      <c r="C12">
        <v>2</v>
      </c>
      <c r="D12">
        <v>841</v>
      </c>
      <c r="E12">
        <f t="shared" si="0"/>
        <v>420.5</v>
      </c>
    </row>
    <row r="13" spans="1:8" x14ac:dyDescent="0.25">
      <c r="A13" s="1" t="s">
        <v>25</v>
      </c>
      <c r="B13" s="1" t="s">
        <v>26</v>
      </c>
      <c r="C13">
        <v>4</v>
      </c>
      <c r="D13">
        <v>2605</v>
      </c>
      <c r="E13">
        <f t="shared" si="0"/>
        <v>651.25</v>
      </c>
    </row>
    <row r="14" spans="1:8" x14ac:dyDescent="0.25">
      <c r="A14" s="1" t="s">
        <v>27</v>
      </c>
      <c r="B14" s="1" t="s">
        <v>28</v>
      </c>
      <c r="C14">
        <v>4</v>
      </c>
      <c r="D14">
        <v>4129</v>
      </c>
      <c r="E14">
        <f t="shared" si="0"/>
        <v>1032.25</v>
      </c>
    </row>
    <row r="15" spans="1:8" x14ac:dyDescent="0.25">
      <c r="A15" s="1" t="s">
        <v>29</v>
      </c>
      <c r="B15" s="1" t="s">
        <v>30</v>
      </c>
      <c r="C15">
        <v>5</v>
      </c>
      <c r="D15">
        <v>791</v>
      </c>
      <c r="E15">
        <f t="shared" si="0"/>
        <v>158.19999999999999</v>
      </c>
    </row>
    <row r="16" spans="1:8" x14ac:dyDescent="0.25">
      <c r="A16" s="1" t="s">
        <v>31</v>
      </c>
      <c r="B16" s="1" t="s">
        <v>32</v>
      </c>
      <c r="C16">
        <v>2</v>
      </c>
      <c r="D16">
        <v>4308</v>
      </c>
      <c r="E16">
        <f t="shared" si="0"/>
        <v>2154</v>
      </c>
    </row>
    <row r="17" spans="1:5" x14ac:dyDescent="0.25">
      <c r="A17" s="1" t="s">
        <v>33</v>
      </c>
      <c r="B17" s="1" t="s">
        <v>34</v>
      </c>
      <c r="C17">
        <v>4</v>
      </c>
      <c r="D17">
        <v>4294</v>
      </c>
      <c r="E17">
        <f t="shared" si="0"/>
        <v>1073.5</v>
      </c>
    </row>
    <row r="18" spans="1:5" x14ac:dyDescent="0.25">
      <c r="A18" s="1" t="s">
        <v>35</v>
      </c>
      <c r="B18" s="1" t="s">
        <v>36</v>
      </c>
      <c r="C18">
        <v>2</v>
      </c>
      <c r="D18">
        <v>3707</v>
      </c>
      <c r="E18">
        <f t="shared" si="0"/>
        <v>1853.5</v>
      </c>
    </row>
    <row r="19" spans="1:5" x14ac:dyDescent="0.25">
      <c r="A19" s="1" t="s">
        <v>37</v>
      </c>
      <c r="B19" s="1" t="s">
        <v>38</v>
      </c>
      <c r="C19">
        <v>3</v>
      </c>
      <c r="D19">
        <v>2018</v>
      </c>
      <c r="E19">
        <f t="shared" si="0"/>
        <v>672.66666666666663</v>
      </c>
    </row>
    <row r="20" spans="1:5" x14ac:dyDescent="0.25">
      <c r="A20" s="1" t="s">
        <v>39</v>
      </c>
      <c r="B20" s="1" t="s">
        <v>40</v>
      </c>
      <c r="C20">
        <v>4</v>
      </c>
      <c r="D20">
        <v>3879</v>
      </c>
      <c r="E20">
        <f t="shared" si="0"/>
        <v>969.75</v>
      </c>
    </row>
    <row r="21" spans="1:5" x14ac:dyDescent="0.25">
      <c r="A21" s="1" t="s">
        <v>41</v>
      </c>
      <c r="B21" s="1" t="s">
        <v>42</v>
      </c>
      <c r="C21">
        <v>5</v>
      </c>
      <c r="D21">
        <v>2588</v>
      </c>
      <c r="E21">
        <f t="shared" si="0"/>
        <v>517.6</v>
      </c>
    </row>
    <row r="22" spans="1:5" x14ac:dyDescent="0.25">
      <c r="A22" s="1" t="s">
        <v>43</v>
      </c>
      <c r="B22" s="1" t="s">
        <v>44</v>
      </c>
      <c r="C22">
        <v>5</v>
      </c>
      <c r="D22">
        <v>3077</v>
      </c>
      <c r="E22">
        <f t="shared" si="0"/>
        <v>615.4</v>
      </c>
    </row>
    <row r="23" spans="1:5" x14ac:dyDescent="0.25">
      <c r="A23" s="1" t="s">
        <v>45</v>
      </c>
      <c r="B23" s="1" t="s">
        <v>46</v>
      </c>
      <c r="C23">
        <v>4</v>
      </c>
      <c r="D23">
        <v>1951</v>
      </c>
      <c r="E23">
        <f t="shared" si="0"/>
        <v>487.75</v>
      </c>
    </row>
    <row r="24" spans="1:5" x14ac:dyDescent="0.25">
      <c r="A24" s="1" t="s">
        <v>47</v>
      </c>
      <c r="B24" s="1" t="s">
        <v>48</v>
      </c>
      <c r="C24">
        <v>5</v>
      </c>
      <c r="D24">
        <v>1329</v>
      </c>
      <c r="E24">
        <f t="shared" si="0"/>
        <v>265.8</v>
      </c>
    </row>
    <row r="25" spans="1:5" x14ac:dyDescent="0.25">
      <c r="A25" s="1" t="s">
        <v>49</v>
      </c>
      <c r="B25" s="1" t="s">
        <v>50</v>
      </c>
      <c r="C25">
        <v>3</v>
      </c>
      <c r="D25">
        <v>3353</v>
      </c>
      <c r="E25">
        <f t="shared" si="0"/>
        <v>1117.6666666666667</v>
      </c>
    </row>
    <row r="26" spans="1:5" x14ac:dyDescent="0.25">
      <c r="A26" s="1" t="s">
        <v>51</v>
      </c>
      <c r="B26" s="1" t="s">
        <v>52</v>
      </c>
      <c r="C26">
        <v>5</v>
      </c>
      <c r="D26">
        <v>1634</v>
      </c>
      <c r="E26">
        <f t="shared" si="0"/>
        <v>326.8</v>
      </c>
    </row>
    <row r="27" spans="1:5" x14ac:dyDescent="0.25">
      <c r="A27" s="1" t="s">
        <v>53</v>
      </c>
      <c r="B27" s="1" t="s">
        <v>54</v>
      </c>
      <c r="C27">
        <v>6</v>
      </c>
      <c r="D27">
        <v>942</v>
      </c>
      <c r="E27">
        <f t="shared" si="0"/>
        <v>157</v>
      </c>
    </row>
    <row r="28" spans="1:5" x14ac:dyDescent="0.25">
      <c r="A28" s="1" t="s">
        <v>55</v>
      </c>
      <c r="B28" s="1" t="s">
        <v>56</v>
      </c>
      <c r="C28">
        <v>2</v>
      </c>
      <c r="D28">
        <v>1182</v>
      </c>
      <c r="E28">
        <f t="shared" si="0"/>
        <v>591</v>
      </c>
    </row>
    <row r="29" spans="1:5" x14ac:dyDescent="0.25">
      <c r="A29" s="1" t="s">
        <v>57</v>
      </c>
      <c r="B29" s="1" t="s">
        <v>58</v>
      </c>
      <c r="C29">
        <v>6</v>
      </c>
      <c r="D29">
        <v>3626</v>
      </c>
      <c r="E29">
        <f t="shared" si="0"/>
        <v>604.33333333333337</v>
      </c>
    </row>
    <row r="30" spans="1:5" x14ac:dyDescent="0.25">
      <c r="A30" s="1" t="s">
        <v>59</v>
      </c>
      <c r="B30" s="1" t="s">
        <v>60</v>
      </c>
      <c r="C30">
        <v>5</v>
      </c>
      <c r="D30">
        <v>3001</v>
      </c>
      <c r="E30">
        <f t="shared" si="0"/>
        <v>600.20000000000005</v>
      </c>
    </row>
    <row r="31" spans="1:5" x14ac:dyDescent="0.25">
      <c r="A31" s="1" t="s">
        <v>61</v>
      </c>
      <c r="B31" s="1" t="s">
        <v>62</v>
      </c>
      <c r="C31">
        <v>4</v>
      </c>
      <c r="D31">
        <v>1293</v>
      </c>
      <c r="E31">
        <f t="shared" si="0"/>
        <v>323.25</v>
      </c>
    </row>
    <row r="32" spans="1:5" x14ac:dyDescent="0.25">
      <c r="A32" s="1" t="s">
        <v>63</v>
      </c>
      <c r="B32" s="1" t="s">
        <v>64</v>
      </c>
      <c r="C32">
        <v>2</v>
      </c>
      <c r="D32">
        <v>1752</v>
      </c>
      <c r="E32">
        <f t="shared" si="0"/>
        <v>876</v>
      </c>
    </row>
    <row r="33" spans="1:5" x14ac:dyDescent="0.25">
      <c r="A33" s="1" t="s">
        <v>65</v>
      </c>
      <c r="B33" s="1" t="s">
        <v>66</v>
      </c>
      <c r="C33">
        <v>5</v>
      </c>
      <c r="D33">
        <v>2726</v>
      </c>
      <c r="E33">
        <f t="shared" si="0"/>
        <v>545.20000000000005</v>
      </c>
    </row>
    <row r="34" spans="1:5" x14ac:dyDescent="0.25">
      <c r="A34" s="1" t="s">
        <v>67</v>
      </c>
      <c r="B34" s="1" t="s">
        <v>68</v>
      </c>
      <c r="C34">
        <v>5</v>
      </c>
      <c r="D34">
        <v>2159</v>
      </c>
      <c r="E34">
        <f t="shared" si="0"/>
        <v>431.8</v>
      </c>
    </row>
    <row r="35" spans="1:5" x14ac:dyDescent="0.25">
      <c r="A35" s="1" t="s">
        <v>69</v>
      </c>
      <c r="B35" s="1" t="s">
        <v>70</v>
      </c>
      <c r="C35">
        <v>5</v>
      </c>
      <c r="D35">
        <v>3389</v>
      </c>
      <c r="E35">
        <f t="shared" si="0"/>
        <v>677.8</v>
      </c>
    </row>
    <row r="36" spans="1:5" x14ac:dyDescent="0.25">
      <c r="A36" s="1" t="s">
        <v>71</v>
      </c>
      <c r="B36" s="1" t="s">
        <v>72</v>
      </c>
      <c r="C36">
        <v>4</v>
      </c>
      <c r="D36">
        <v>4328</v>
      </c>
      <c r="E36">
        <f t="shared" si="0"/>
        <v>1082</v>
      </c>
    </row>
    <row r="37" spans="1:5" x14ac:dyDescent="0.25">
      <c r="A37" s="1" t="s">
        <v>73</v>
      </c>
      <c r="B37" s="1" t="s">
        <v>74</v>
      </c>
      <c r="C37">
        <v>4</v>
      </c>
      <c r="D37">
        <v>2369</v>
      </c>
      <c r="E37">
        <f t="shared" si="0"/>
        <v>592.25</v>
      </c>
    </row>
    <row r="38" spans="1:5" x14ac:dyDescent="0.25">
      <c r="A38" s="1" t="s">
        <v>75</v>
      </c>
      <c r="B38" s="1" t="s">
        <v>76</v>
      </c>
      <c r="C38">
        <v>6</v>
      </c>
      <c r="D38">
        <v>1788</v>
      </c>
      <c r="E38">
        <f t="shared" si="0"/>
        <v>298</v>
      </c>
    </row>
    <row r="39" spans="1:5" x14ac:dyDescent="0.25">
      <c r="A39" s="1" t="s">
        <v>77</v>
      </c>
      <c r="B39" s="1" t="s">
        <v>78</v>
      </c>
      <c r="C39">
        <v>4</v>
      </c>
      <c r="D39">
        <v>2086</v>
      </c>
      <c r="E39">
        <f t="shared" si="0"/>
        <v>521.5</v>
      </c>
    </row>
    <row r="40" spans="1:5" x14ac:dyDescent="0.25">
      <c r="A40" s="1" t="s">
        <v>79</v>
      </c>
      <c r="B40" s="1" t="s">
        <v>80</v>
      </c>
      <c r="C40">
        <v>3</v>
      </c>
      <c r="D40">
        <v>3741</v>
      </c>
      <c r="E40">
        <f t="shared" si="0"/>
        <v>1247</v>
      </c>
    </row>
    <row r="41" spans="1:5" x14ac:dyDescent="0.25">
      <c r="A41" s="1" t="s">
        <v>81</v>
      </c>
      <c r="B41" s="1" t="s">
        <v>82</v>
      </c>
      <c r="C41">
        <v>2</v>
      </c>
      <c r="D41">
        <v>654</v>
      </c>
      <c r="E41">
        <f t="shared" si="0"/>
        <v>327</v>
      </c>
    </row>
    <row r="42" spans="1:5" x14ac:dyDescent="0.25">
      <c r="A42" s="1" t="s">
        <v>83</v>
      </c>
      <c r="B42" s="1" t="s">
        <v>84</v>
      </c>
      <c r="C42">
        <v>4</v>
      </c>
      <c r="D42">
        <v>3739</v>
      </c>
      <c r="E42">
        <f t="shared" si="0"/>
        <v>934.75</v>
      </c>
    </row>
    <row r="43" spans="1:5" x14ac:dyDescent="0.25">
      <c r="A43" s="1" t="s">
        <v>85</v>
      </c>
      <c r="B43" s="1" t="s">
        <v>86</v>
      </c>
      <c r="C43">
        <v>3</v>
      </c>
      <c r="D43">
        <v>3607</v>
      </c>
      <c r="E43">
        <f t="shared" si="0"/>
        <v>1202.3333333333333</v>
      </c>
    </row>
    <row r="44" spans="1:5" x14ac:dyDescent="0.25">
      <c r="A44" s="1" t="s">
        <v>87</v>
      </c>
      <c r="B44" s="1" t="s">
        <v>88</v>
      </c>
      <c r="C44">
        <v>5</v>
      </c>
      <c r="D44">
        <v>3607</v>
      </c>
      <c r="E44">
        <f t="shared" si="0"/>
        <v>721.4</v>
      </c>
    </row>
    <row r="45" spans="1:5" x14ac:dyDescent="0.25">
      <c r="A45" s="1" t="s">
        <v>89</v>
      </c>
      <c r="B45" s="1" t="s">
        <v>90</v>
      </c>
      <c r="C45">
        <v>4</v>
      </c>
      <c r="D45">
        <v>1621</v>
      </c>
      <c r="E45">
        <f t="shared" si="0"/>
        <v>405.25</v>
      </c>
    </row>
    <row r="46" spans="1:5" x14ac:dyDescent="0.25">
      <c r="A46" s="1" t="s">
        <v>91</v>
      </c>
      <c r="B46" s="1" t="s">
        <v>92</v>
      </c>
      <c r="C46">
        <v>4</v>
      </c>
      <c r="D46">
        <v>3527</v>
      </c>
      <c r="E46">
        <f t="shared" si="0"/>
        <v>881.75</v>
      </c>
    </row>
    <row r="47" spans="1:5" x14ac:dyDescent="0.25">
      <c r="A47" s="1" t="s">
        <v>93</v>
      </c>
      <c r="B47" s="1" t="s">
        <v>94</v>
      </c>
      <c r="C47">
        <v>6</v>
      </c>
      <c r="D47">
        <v>833</v>
      </c>
      <c r="E47">
        <f t="shared" si="0"/>
        <v>138.83333333333334</v>
      </c>
    </row>
    <row r="48" spans="1:5" x14ac:dyDescent="0.25">
      <c r="A48" s="1" t="s">
        <v>95</v>
      </c>
      <c r="B48" s="1" t="s">
        <v>96</v>
      </c>
      <c r="C48">
        <v>6</v>
      </c>
      <c r="D48">
        <v>1705</v>
      </c>
      <c r="E48">
        <f t="shared" si="0"/>
        <v>284.16666666666669</v>
      </c>
    </row>
    <row r="49" spans="1:5" x14ac:dyDescent="0.25">
      <c r="A49" s="1" t="s">
        <v>97</v>
      </c>
      <c r="B49" s="1" t="s">
        <v>98</v>
      </c>
      <c r="C49">
        <v>3</v>
      </c>
      <c r="D49">
        <v>2772</v>
      </c>
      <c r="E49">
        <f t="shared" si="0"/>
        <v>924</v>
      </c>
    </row>
    <row r="50" spans="1:5" x14ac:dyDescent="0.25">
      <c r="A50" s="1" t="s">
        <v>99</v>
      </c>
      <c r="B50" s="1" t="s">
        <v>100</v>
      </c>
      <c r="C50">
        <v>3</v>
      </c>
      <c r="D50">
        <v>1710</v>
      </c>
      <c r="E50">
        <f t="shared" si="0"/>
        <v>570</v>
      </c>
    </row>
    <row r="51" spans="1:5" x14ac:dyDescent="0.25">
      <c r="A51" s="1" t="s">
        <v>101</v>
      </c>
      <c r="B51" s="1" t="s">
        <v>102</v>
      </c>
      <c r="C51">
        <v>5</v>
      </c>
      <c r="D51">
        <v>1371</v>
      </c>
      <c r="E51">
        <f t="shared" si="0"/>
        <v>274.2</v>
      </c>
    </row>
    <row r="52" spans="1:5" x14ac:dyDescent="0.25">
      <c r="A52" s="1" t="s">
        <v>103</v>
      </c>
      <c r="B52" s="1" t="s">
        <v>104</v>
      </c>
      <c r="C52">
        <v>2</v>
      </c>
      <c r="D52">
        <v>1349</v>
      </c>
      <c r="E52">
        <f t="shared" si="0"/>
        <v>674.5</v>
      </c>
    </row>
    <row r="53" spans="1:5" x14ac:dyDescent="0.25">
      <c r="A53" s="1" t="s">
        <v>105</v>
      </c>
      <c r="B53" s="1" t="s">
        <v>106</v>
      </c>
      <c r="C53">
        <v>6</v>
      </c>
      <c r="D53">
        <v>3155</v>
      </c>
      <c r="E53">
        <f t="shared" si="0"/>
        <v>525.83333333333337</v>
      </c>
    </row>
    <row r="54" spans="1:5" x14ac:dyDescent="0.25">
      <c r="A54" s="1" t="s">
        <v>107</v>
      </c>
      <c r="B54" s="1" t="s">
        <v>108</v>
      </c>
      <c r="C54">
        <v>3</v>
      </c>
      <c r="D54">
        <v>1674</v>
      </c>
      <c r="E54">
        <f t="shared" si="0"/>
        <v>558</v>
      </c>
    </row>
    <row r="55" spans="1:5" x14ac:dyDescent="0.25">
      <c r="A55" s="1" t="s">
        <v>109</v>
      </c>
      <c r="B55" s="1" t="s">
        <v>110</v>
      </c>
      <c r="C55">
        <v>4</v>
      </c>
      <c r="D55">
        <v>3416</v>
      </c>
      <c r="E55">
        <f t="shared" si="0"/>
        <v>854</v>
      </c>
    </row>
    <row r="56" spans="1:5" x14ac:dyDescent="0.25">
      <c r="A56" s="1" t="s">
        <v>111</v>
      </c>
      <c r="B56" s="1" t="s">
        <v>112</v>
      </c>
      <c r="C56">
        <v>6</v>
      </c>
      <c r="D56">
        <v>3615</v>
      </c>
      <c r="E56">
        <f t="shared" si="0"/>
        <v>602.5</v>
      </c>
    </row>
    <row r="57" spans="1:5" x14ac:dyDescent="0.25">
      <c r="A57" s="1" t="s">
        <v>113</v>
      </c>
      <c r="B57" s="1" t="s">
        <v>114</v>
      </c>
      <c r="C57">
        <v>3</v>
      </c>
      <c r="D57">
        <v>1035</v>
      </c>
      <c r="E57">
        <f t="shared" si="0"/>
        <v>345</v>
      </c>
    </row>
    <row r="58" spans="1:5" x14ac:dyDescent="0.25">
      <c r="A58" s="1" t="s">
        <v>115</v>
      </c>
      <c r="B58" s="1" t="s">
        <v>116</v>
      </c>
      <c r="C58">
        <v>5</v>
      </c>
      <c r="D58">
        <v>2704</v>
      </c>
      <c r="E58">
        <f t="shared" si="0"/>
        <v>540.79999999999995</v>
      </c>
    </row>
    <row r="59" spans="1:5" x14ac:dyDescent="0.25">
      <c r="A59" s="1" t="s">
        <v>117</v>
      </c>
      <c r="B59" s="1" t="s">
        <v>118</v>
      </c>
      <c r="C59">
        <v>5</v>
      </c>
      <c r="D59">
        <v>2884</v>
      </c>
      <c r="E59">
        <f t="shared" si="0"/>
        <v>576.79999999999995</v>
      </c>
    </row>
    <row r="60" spans="1:5" x14ac:dyDescent="0.25">
      <c r="A60" s="1" t="s">
        <v>119</v>
      </c>
      <c r="B60" s="1" t="s">
        <v>120</v>
      </c>
      <c r="C60">
        <v>2</v>
      </c>
      <c r="D60">
        <v>2613</v>
      </c>
      <c r="E60">
        <f t="shared" si="0"/>
        <v>1306.5</v>
      </c>
    </row>
    <row r="61" spans="1:5" x14ac:dyDescent="0.25">
      <c r="A61" s="1" t="s">
        <v>121</v>
      </c>
      <c r="B61" s="1" t="s">
        <v>122</v>
      </c>
      <c r="C61">
        <v>5</v>
      </c>
      <c r="D61">
        <v>2642</v>
      </c>
      <c r="E61">
        <f t="shared" si="0"/>
        <v>528.4</v>
      </c>
    </row>
    <row r="62" spans="1:5" x14ac:dyDescent="0.25">
      <c r="A62" s="1" t="s">
        <v>123</v>
      </c>
      <c r="B62" s="1" t="s">
        <v>124</v>
      </c>
      <c r="C62">
        <v>5</v>
      </c>
      <c r="D62">
        <v>3560</v>
      </c>
      <c r="E62">
        <f t="shared" si="0"/>
        <v>712</v>
      </c>
    </row>
    <row r="63" spans="1:5" x14ac:dyDescent="0.25">
      <c r="A63" s="1" t="s">
        <v>125</v>
      </c>
      <c r="B63" s="1" t="s">
        <v>126</v>
      </c>
      <c r="C63">
        <v>6</v>
      </c>
      <c r="D63">
        <v>2420</v>
      </c>
      <c r="E63">
        <f t="shared" si="0"/>
        <v>403.33333333333331</v>
      </c>
    </row>
    <row r="64" spans="1:5" x14ac:dyDescent="0.25">
      <c r="A64" s="1" t="s">
        <v>127</v>
      </c>
      <c r="B64" s="1" t="s">
        <v>128</v>
      </c>
      <c r="C64">
        <v>4</v>
      </c>
      <c r="D64">
        <v>3911</v>
      </c>
      <c r="E64">
        <f t="shared" si="0"/>
        <v>977.75</v>
      </c>
    </row>
    <row r="65" spans="1:5" x14ac:dyDescent="0.25">
      <c r="A65" s="1" t="s">
        <v>129</v>
      </c>
      <c r="B65" s="1" t="s">
        <v>130</v>
      </c>
      <c r="C65">
        <v>4</v>
      </c>
      <c r="D65">
        <v>2506</v>
      </c>
      <c r="E65">
        <f t="shared" si="0"/>
        <v>626.5</v>
      </c>
    </row>
    <row r="66" spans="1:5" x14ac:dyDescent="0.25">
      <c r="A66" s="1" t="s">
        <v>131</v>
      </c>
      <c r="B66" s="1" t="s">
        <v>132</v>
      </c>
      <c r="C66">
        <v>3</v>
      </c>
      <c r="D66">
        <v>1123</v>
      </c>
      <c r="E66">
        <f t="shared" si="0"/>
        <v>374.33333333333331</v>
      </c>
    </row>
    <row r="67" spans="1:5" x14ac:dyDescent="0.25">
      <c r="A67" s="1" t="s">
        <v>133</v>
      </c>
      <c r="B67" s="1" t="s">
        <v>134</v>
      </c>
      <c r="C67">
        <v>3</v>
      </c>
      <c r="D67">
        <v>3415</v>
      </c>
      <c r="E67">
        <f t="shared" ref="E67:E130" si="1">D67/C67</f>
        <v>1138.3333333333333</v>
      </c>
    </row>
    <row r="68" spans="1:5" x14ac:dyDescent="0.25">
      <c r="A68" s="1" t="s">
        <v>135</v>
      </c>
      <c r="B68" s="1" t="s">
        <v>136</v>
      </c>
      <c r="C68">
        <v>3</v>
      </c>
      <c r="D68">
        <v>716</v>
      </c>
      <c r="E68">
        <f t="shared" si="1"/>
        <v>238.66666666666666</v>
      </c>
    </row>
    <row r="69" spans="1:5" x14ac:dyDescent="0.25">
      <c r="A69" s="1" t="s">
        <v>137</v>
      </c>
      <c r="B69" s="1" t="s">
        <v>138</v>
      </c>
      <c r="C69">
        <v>5</v>
      </c>
      <c r="D69">
        <v>892</v>
      </c>
      <c r="E69">
        <f t="shared" si="1"/>
        <v>178.4</v>
      </c>
    </row>
    <row r="70" spans="1:5" x14ac:dyDescent="0.25">
      <c r="A70" s="1" t="s">
        <v>139</v>
      </c>
      <c r="B70" s="1" t="s">
        <v>140</v>
      </c>
      <c r="C70">
        <v>5</v>
      </c>
      <c r="D70">
        <v>2026</v>
      </c>
      <c r="E70">
        <f t="shared" si="1"/>
        <v>405.2</v>
      </c>
    </row>
    <row r="71" spans="1:5" x14ac:dyDescent="0.25">
      <c r="A71" s="1" t="s">
        <v>141</v>
      </c>
      <c r="B71" s="1" t="s">
        <v>142</v>
      </c>
      <c r="C71">
        <v>6</v>
      </c>
      <c r="D71">
        <v>1114</v>
      </c>
      <c r="E71">
        <f t="shared" si="1"/>
        <v>185.66666666666666</v>
      </c>
    </row>
    <row r="72" spans="1:5" x14ac:dyDescent="0.25">
      <c r="A72" s="1" t="s">
        <v>143</v>
      </c>
      <c r="B72" s="1" t="s">
        <v>144</v>
      </c>
      <c r="C72">
        <v>6</v>
      </c>
      <c r="D72">
        <v>1351</v>
      </c>
      <c r="E72">
        <f t="shared" si="1"/>
        <v>225.16666666666666</v>
      </c>
    </row>
    <row r="73" spans="1:5" x14ac:dyDescent="0.25">
      <c r="A73" s="1" t="s">
        <v>145</v>
      </c>
      <c r="B73" s="1" t="s">
        <v>146</v>
      </c>
      <c r="C73">
        <v>4</v>
      </c>
      <c r="D73">
        <v>4128</v>
      </c>
      <c r="E73">
        <f t="shared" si="1"/>
        <v>1032</v>
      </c>
    </row>
    <row r="74" spans="1:5" x14ac:dyDescent="0.25">
      <c r="A74" s="1" t="s">
        <v>147</v>
      </c>
      <c r="B74" s="1" t="s">
        <v>148</v>
      </c>
      <c r="C74">
        <v>4</v>
      </c>
      <c r="D74">
        <v>2992</v>
      </c>
      <c r="E74">
        <f t="shared" si="1"/>
        <v>748</v>
      </c>
    </row>
    <row r="75" spans="1:5" x14ac:dyDescent="0.25">
      <c r="A75" s="1" t="s">
        <v>149</v>
      </c>
      <c r="B75" s="1" t="s">
        <v>150</v>
      </c>
      <c r="C75">
        <v>6</v>
      </c>
      <c r="D75">
        <v>1113</v>
      </c>
      <c r="E75">
        <f t="shared" si="1"/>
        <v>185.5</v>
      </c>
    </row>
    <row r="76" spans="1:5" x14ac:dyDescent="0.25">
      <c r="A76" s="1" t="s">
        <v>151</v>
      </c>
      <c r="B76" s="1" t="s">
        <v>152</v>
      </c>
      <c r="C76">
        <v>3</v>
      </c>
      <c r="D76">
        <v>2267</v>
      </c>
      <c r="E76">
        <f t="shared" si="1"/>
        <v>755.66666666666663</v>
      </c>
    </row>
    <row r="77" spans="1:5" x14ac:dyDescent="0.25">
      <c r="A77" s="1" t="s">
        <v>153</v>
      </c>
      <c r="B77" s="1" t="s">
        <v>154</v>
      </c>
      <c r="C77">
        <v>5</v>
      </c>
      <c r="D77">
        <v>1429</v>
      </c>
      <c r="E77">
        <f t="shared" si="1"/>
        <v>285.8</v>
      </c>
    </row>
    <row r="78" spans="1:5" x14ac:dyDescent="0.25">
      <c r="A78" s="1" t="s">
        <v>155</v>
      </c>
      <c r="B78" s="1" t="s">
        <v>156</v>
      </c>
      <c r="C78">
        <v>2</v>
      </c>
      <c r="D78">
        <v>2554</v>
      </c>
      <c r="E78">
        <f t="shared" si="1"/>
        <v>1277</v>
      </c>
    </row>
    <row r="79" spans="1:5" x14ac:dyDescent="0.25">
      <c r="A79" s="1" t="s">
        <v>157</v>
      </c>
      <c r="B79" s="1" t="s">
        <v>158</v>
      </c>
      <c r="C79">
        <v>3</v>
      </c>
      <c r="D79">
        <v>2892</v>
      </c>
      <c r="E79">
        <f t="shared" si="1"/>
        <v>964</v>
      </c>
    </row>
    <row r="80" spans="1:5" x14ac:dyDescent="0.25">
      <c r="A80" s="1" t="s">
        <v>159</v>
      </c>
      <c r="B80" s="1" t="s">
        <v>160</v>
      </c>
      <c r="C80">
        <v>4</v>
      </c>
      <c r="D80">
        <v>3322</v>
      </c>
      <c r="E80">
        <f t="shared" si="1"/>
        <v>830.5</v>
      </c>
    </row>
    <row r="81" spans="1:5" x14ac:dyDescent="0.25">
      <c r="A81" s="1" t="s">
        <v>161</v>
      </c>
      <c r="B81" s="1" t="s">
        <v>162</v>
      </c>
      <c r="C81">
        <v>4</v>
      </c>
      <c r="D81">
        <v>1594</v>
      </c>
      <c r="E81">
        <f t="shared" si="1"/>
        <v>398.5</v>
      </c>
    </row>
    <row r="82" spans="1:5" x14ac:dyDescent="0.25">
      <c r="A82" s="1" t="s">
        <v>163</v>
      </c>
      <c r="B82" s="1" t="s">
        <v>164</v>
      </c>
      <c r="C82">
        <v>3</v>
      </c>
      <c r="D82">
        <v>4342</v>
      </c>
      <c r="E82">
        <f t="shared" si="1"/>
        <v>1447.3333333333333</v>
      </c>
    </row>
    <row r="83" spans="1:5" x14ac:dyDescent="0.25">
      <c r="A83" s="1" t="s">
        <v>165</v>
      </c>
      <c r="B83" s="1" t="s">
        <v>166</v>
      </c>
      <c r="C83">
        <v>5</v>
      </c>
      <c r="D83">
        <v>1718</v>
      </c>
      <c r="E83">
        <f t="shared" si="1"/>
        <v>343.6</v>
      </c>
    </row>
    <row r="84" spans="1:5" x14ac:dyDescent="0.25">
      <c r="A84" s="1" t="s">
        <v>167</v>
      </c>
      <c r="B84" s="1" t="s">
        <v>168</v>
      </c>
      <c r="C84">
        <v>2</v>
      </c>
      <c r="D84">
        <v>4314</v>
      </c>
      <c r="E84">
        <f t="shared" si="1"/>
        <v>2157</v>
      </c>
    </row>
    <row r="85" spans="1:5" x14ac:dyDescent="0.25">
      <c r="A85" s="1" t="s">
        <v>169</v>
      </c>
      <c r="B85" s="1" t="s">
        <v>170</v>
      </c>
      <c r="C85">
        <v>5</v>
      </c>
      <c r="D85">
        <v>3865</v>
      </c>
      <c r="E85">
        <f t="shared" si="1"/>
        <v>773</v>
      </c>
    </row>
    <row r="86" spans="1:5" x14ac:dyDescent="0.25">
      <c r="A86" s="1" t="s">
        <v>171</v>
      </c>
      <c r="B86" s="1" t="s">
        <v>172</v>
      </c>
      <c r="C86">
        <v>3</v>
      </c>
      <c r="D86">
        <v>2628</v>
      </c>
      <c r="E86">
        <f t="shared" si="1"/>
        <v>876</v>
      </c>
    </row>
    <row r="87" spans="1:5" x14ac:dyDescent="0.25">
      <c r="A87" s="1" t="s">
        <v>173</v>
      </c>
      <c r="B87" s="1" t="s">
        <v>174</v>
      </c>
      <c r="C87">
        <v>4</v>
      </c>
      <c r="D87">
        <v>4063</v>
      </c>
      <c r="E87">
        <f t="shared" si="1"/>
        <v>1015.75</v>
      </c>
    </row>
    <row r="88" spans="1:5" x14ac:dyDescent="0.25">
      <c r="A88" s="1" t="s">
        <v>175</v>
      </c>
      <c r="B88" s="1" t="s">
        <v>176</v>
      </c>
      <c r="C88">
        <v>5</v>
      </c>
      <c r="D88">
        <v>2483</v>
      </c>
      <c r="E88">
        <f t="shared" si="1"/>
        <v>496.6</v>
      </c>
    </row>
    <row r="89" spans="1:5" x14ac:dyDescent="0.25">
      <c r="A89" s="1" t="s">
        <v>177</v>
      </c>
      <c r="B89" s="1" t="s">
        <v>178</v>
      </c>
      <c r="C89">
        <v>5</v>
      </c>
      <c r="D89">
        <v>1818</v>
      </c>
      <c r="E89">
        <f t="shared" si="1"/>
        <v>363.6</v>
      </c>
    </row>
    <row r="90" spans="1:5" x14ac:dyDescent="0.25">
      <c r="A90" s="1" t="s">
        <v>179</v>
      </c>
      <c r="B90" s="1" t="s">
        <v>180</v>
      </c>
      <c r="C90">
        <v>5</v>
      </c>
      <c r="D90">
        <v>3607</v>
      </c>
      <c r="E90">
        <f t="shared" si="1"/>
        <v>721.4</v>
      </c>
    </row>
    <row r="91" spans="1:5" x14ac:dyDescent="0.25">
      <c r="A91" s="1" t="s">
        <v>181</v>
      </c>
      <c r="B91" s="1" t="s">
        <v>182</v>
      </c>
      <c r="C91">
        <v>6</v>
      </c>
      <c r="D91">
        <v>4101</v>
      </c>
      <c r="E91">
        <f t="shared" si="1"/>
        <v>683.5</v>
      </c>
    </row>
    <row r="92" spans="1:5" x14ac:dyDescent="0.25">
      <c r="A92" s="1" t="s">
        <v>183</v>
      </c>
      <c r="B92" s="1" t="s">
        <v>184</v>
      </c>
      <c r="C92">
        <v>5</v>
      </c>
      <c r="D92">
        <v>2038</v>
      </c>
      <c r="E92">
        <f t="shared" si="1"/>
        <v>407.6</v>
      </c>
    </row>
    <row r="93" spans="1:5" x14ac:dyDescent="0.25">
      <c r="A93" s="1" t="s">
        <v>185</v>
      </c>
      <c r="B93" s="1" t="s">
        <v>186</v>
      </c>
      <c r="C93">
        <v>3</v>
      </c>
      <c r="D93">
        <v>2793</v>
      </c>
      <c r="E93">
        <f t="shared" si="1"/>
        <v>931</v>
      </c>
    </row>
    <row r="94" spans="1:5" x14ac:dyDescent="0.25">
      <c r="A94" s="1" t="s">
        <v>187</v>
      </c>
      <c r="B94" s="1" t="s">
        <v>188</v>
      </c>
      <c r="C94">
        <v>4</v>
      </c>
      <c r="D94">
        <v>3127</v>
      </c>
      <c r="E94">
        <f t="shared" si="1"/>
        <v>781.75</v>
      </c>
    </row>
    <row r="95" spans="1:5" x14ac:dyDescent="0.25">
      <c r="A95" s="1" t="s">
        <v>189</v>
      </c>
      <c r="B95" s="1" t="s">
        <v>190</v>
      </c>
      <c r="C95">
        <v>4</v>
      </c>
      <c r="D95">
        <v>2286</v>
      </c>
      <c r="E95">
        <f t="shared" si="1"/>
        <v>571.5</v>
      </c>
    </row>
    <row r="96" spans="1:5" x14ac:dyDescent="0.25">
      <c r="A96" s="1" t="s">
        <v>191</v>
      </c>
      <c r="B96" s="1" t="s">
        <v>192</v>
      </c>
      <c r="C96">
        <v>4</v>
      </c>
      <c r="D96">
        <v>1831</v>
      </c>
      <c r="E96">
        <f t="shared" si="1"/>
        <v>457.75</v>
      </c>
    </row>
    <row r="97" spans="1:5" x14ac:dyDescent="0.25">
      <c r="A97" s="1" t="s">
        <v>193</v>
      </c>
      <c r="B97" s="1" t="s">
        <v>194</v>
      </c>
      <c r="C97">
        <v>5</v>
      </c>
      <c r="D97">
        <v>4052</v>
      </c>
      <c r="E97">
        <f t="shared" si="1"/>
        <v>810.4</v>
      </c>
    </row>
    <row r="98" spans="1:5" x14ac:dyDescent="0.25">
      <c r="A98" s="1" t="s">
        <v>195</v>
      </c>
      <c r="B98" s="1" t="s">
        <v>196</v>
      </c>
      <c r="C98">
        <v>4</v>
      </c>
      <c r="D98">
        <v>3872</v>
      </c>
      <c r="E98">
        <f t="shared" si="1"/>
        <v>968</v>
      </c>
    </row>
    <row r="99" spans="1:5" x14ac:dyDescent="0.25">
      <c r="A99" s="1" t="s">
        <v>197</v>
      </c>
      <c r="B99" s="1" t="s">
        <v>198</v>
      </c>
      <c r="C99">
        <v>3</v>
      </c>
      <c r="D99">
        <v>647</v>
      </c>
      <c r="E99">
        <f t="shared" si="1"/>
        <v>215.66666666666666</v>
      </c>
    </row>
    <row r="100" spans="1:5" x14ac:dyDescent="0.25">
      <c r="A100" s="1" t="s">
        <v>199</v>
      </c>
      <c r="B100" s="1" t="s">
        <v>200</v>
      </c>
      <c r="C100">
        <v>3</v>
      </c>
      <c r="D100">
        <v>3747</v>
      </c>
      <c r="E100">
        <f t="shared" si="1"/>
        <v>1249</v>
      </c>
    </row>
    <row r="101" spans="1:5" x14ac:dyDescent="0.25">
      <c r="A101" s="1" t="s">
        <v>201</v>
      </c>
      <c r="B101" s="1" t="s">
        <v>202</v>
      </c>
      <c r="C101">
        <v>5</v>
      </c>
      <c r="D101">
        <v>3408</v>
      </c>
      <c r="E101">
        <f t="shared" si="1"/>
        <v>681.6</v>
      </c>
    </row>
    <row r="102" spans="1:5" x14ac:dyDescent="0.25">
      <c r="A102" s="1" t="s">
        <v>203</v>
      </c>
      <c r="B102" s="1" t="s">
        <v>204</v>
      </c>
      <c r="C102">
        <v>5</v>
      </c>
      <c r="D102">
        <v>708</v>
      </c>
      <c r="E102">
        <f t="shared" si="1"/>
        <v>141.6</v>
      </c>
    </row>
    <row r="103" spans="1:5" x14ac:dyDescent="0.25">
      <c r="A103" s="1" t="s">
        <v>205</v>
      </c>
      <c r="B103" s="1" t="s">
        <v>206</v>
      </c>
      <c r="C103">
        <v>4</v>
      </c>
      <c r="D103">
        <v>994</v>
      </c>
      <c r="E103">
        <f t="shared" si="1"/>
        <v>248.5</v>
      </c>
    </row>
    <row r="104" spans="1:5" x14ac:dyDescent="0.25">
      <c r="A104" s="1" t="s">
        <v>207</v>
      </c>
      <c r="B104" s="1" t="s">
        <v>208</v>
      </c>
      <c r="C104">
        <v>2</v>
      </c>
      <c r="D104">
        <v>1626</v>
      </c>
      <c r="E104">
        <f t="shared" si="1"/>
        <v>813</v>
      </c>
    </row>
    <row r="105" spans="1:5" x14ac:dyDescent="0.25">
      <c r="A105" s="1" t="s">
        <v>209</v>
      </c>
      <c r="B105" s="1" t="s">
        <v>210</v>
      </c>
      <c r="C105">
        <v>6</v>
      </c>
      <c r="D105">
        <v>1808</v>
      </c>
      <c r="E105">
        <f t="shared" si="1"/>
        <v>301.33333333333331</v>
      </c>
    </row>
    <row r="106" spans="1:5" x14ac:dyDescent="0.25">
      <c r="A106" s="1" t="s">
        <v>211</v>
      </c>
      <c r="B106" s="1" t="s">
        <v>212</v>
      </c>
      <c r="C106">
        <v>5</v>
      </c>
      <c r="D106">
        <v>2295</v>
      </c>
      <c r="E106">
        <f t="shared" si="1"/>
        <v>459</v>
      </c>
    </row>
    <row r="107" spans="1:5" x14ac:dyDescent="0.25">
      <c r="A107" s="1" t="s">
        <v>213</v>
      </c>
      <c r="B107" s="1" t="s">
        <v>214</v>
      </c>
      <c r="C107">
        <v>2</v>
      </c>
      <c r="D107">
        <v>3883</v>
      </c>
      <c r="E107">
        <f t="shared" si="1"/>
        <v>1941.5</v>
      </c>
    </row>
    <row r="108" spans="1:5" x14ac:dyDescent="0.25">
      <c r="A108" s="1" t="s">
        <v>215</v>
      </c>
      <c r="B108" s="1" t="s">
        <v>216</v>
      </c>
      <c r="C108">
        <v>5</v>
      </c>
      <c r="D108">
        <v>1133</v>
      </c>
      <c r="E108">
        <f t="shared" si="1"/>
        <v>226.6</v>
      </c>
    </row>
    <row r="109" spans="1:5" x14ac:dyDescent="0.25">
      <c r="A109" s="1" t="s">
        <v>217</v>
      </c>
      <c r="B109" s="1" t="s">
        <v>218</v>
      </c>
      <c r="C109">
        <v>3</v>
      </c>
      <c r="D109">
        <v>1553</v>
      </c>
      <c r="E109">
        <f t="shared" si="1"/>
        <v>517.66666666666663</v>
      </c>
    </row>
    <row r="110" spans="1:5" x14ac:dyDescent="0.25">
      <c r="A110" s="1" t="s">
        <v>219</v>
      </c>
      <c r="B110" s="1" t="s">
        <v>220</v>
      </c>
      <c r="C110">
        <v>5</v>
      </c>
      <c r="D110">
        <v>923</v>
      </c>
      <c r="E110">
        <f t="shared" si="1"/>
        <v>184.6</v>
      </c>
    </row>
    <row r="111" spans="1:5" x14ac:dyDescent="0.25">
      <c r="A111" s="1" t="s">
        <v>221</v>
      </c>
      <c r="B111" s="1" t="s">
        <v>222</v>
      </c>
      <c r="C111">
        <v>2</v>
      </c>
      <c r="D111">
        <v>1857</v>
      </c>
      <c r="E111">
        <f t="shared" si="1"/>
        <v>928.5</v>
      </c>
    </row>
    <row r="112" spans="1:5" x14ac:dyDescent="0.25">
      <c r="A112" s="1" t="s">
        <v>223</v>
      </c>
      <c r="B112" s="1" t="s">
        <v>224</v>
      </c>
      <c r="C112">
        <v>2</v>
      </c>
      <c r="D112">
        <v>1200</v>
      </c>
      <c r="E112">
        <f t="shared" si="1"/>
        <v>600</v>
      </c>
    </row>
    <row r="113" spans="1:5" x14ac:dyDescent="0.25">
      <c r="A113" s="1" t="s">
        <v>225</v>
      </c>
      <c r="B113" s="1" t="s">
        <v>226</v>
      </c>
      <c r="C113">
        <v>4</v>
      </c>
      <c r="D113">
        <v>3259</v>
      </c>
      <c r="E113">
        <f t="shared" si="1"/>
        <v>814.75</v>
      </c>
    </row>
    <row r="114" spans="1:5" x14ac:dyDescent="0.25">
      <c r="A114" s="1" t="s">
        <v>227</v>
      </c>
      <c r="B114" s="1" t="s">
        <v>228</v>
      </c>
      <c r="C114">
        <v>5</v>
      </c>
      <c r="D114">
        <v>996</v>
      </c>
      <c r="E114">
        <f t="shared" si="1"/>
        <v>199.2</v>
      </c>
    </row>
    <row r="115" spans="1:5" x14ac:dyDescent="0.25">
      <c r="A115" s="1" t="s">
        <v>229</v>
      </c>
      <c r="B115" s="1" t="s">
        <v>230</v>
      </c>
      <c r="C115">
        <v>2</v>
      </c>
      <c r="D115">
        <v>2978</v>
      </c>
      <c r="E115">
        <f t="shared" si="1"/>
        <v>1489</v>
      </c>
    </row>
    <row r="116" spans="1:5" x14ac:dyDescent="0.25">
      <c r="A116" s="1" t="s">
        <v>231</v>
      </c>
      <c r="B116" s="1" t="s">
        <v>232</v>
      </c>
      <c r="C116">
        <v>6</v>
      </c>
      <c r="D116">
        <v>2980</v>
      </c>
      <c r="E116">
        <f t="shared" si="1"/>
        <v>496.66666666666669</v>
      </c>
    </row>
    <row r="117" spans="1:5" x14ac:dyDescent="0.25">
      <c r="A117" s="1" t="s">
        <v>233</v>
      </c>
      <c r="B117" s="1" t="s">
        <v>234</v>
      </c>
      <c r="C117">
        <v>5</v>
      </c>
      <c r="D117">
        <v>1166</v>
      </c>
      <c r="E117">
        <f t="shared" si="1"/>
        <v>233.2</v>
      </c>
    </row>
    <row r="118" spans="1:5" x14ac:dyDescent="0.25">
      <c r="A118" s="1" t="s">
        <v>235</v>
      </c>
      <c r="B118" s="1" t="s">
        <v>236</v>
      </c>
      <c r="C118">
        <v>2</v>
      </c>
      <c r="D118">
        <v>2901</v>
      </c>
      <c r="E118">
        <f t="shared" si="1"/>
        <v>1450.5</v>
      </c>
    </row>
    <row r="119" spans="1:5" x14ac:dyDescent="0.25">
      <c r="A119" s="1" t="s">
        <v>237</v>
      </c>
      <c r="B119" s="1" t="s">
        <v>238</v>
      </c>
      <c r="C119">
        <v>3</v>
      </c>
      <c r="D119">
        <v>900</v>
      </c>
      <c r="E119">
        <f t="shared" si="1"/>
        <v>300</v>
      </c>
    </row>
    <row r="120" spans="1:5" x14ac:dyDescent="0.25">
      <c r="A120" s="1" t="s">
        <v>239</v>
      </c>
      <c r="B120" s="1" t="s">
        <v>240</v>
      </c>
      <c r="C120">
        <v>6</v>
      </c>
      <c r="D120">
        <v>2003</v>
      </c>
      <c r="E120">
        <f t="shared" si="1"/>
        <v>333.83333333333331</v>
      </c>
    </row>
    <row r="121" spans="1:5" x14ac:dyDescent="0.25">
      <c r="A121" s="1" t="s">
        <v>241</v>
      </c>
      <c r="B121" s="1" t="s">
        <v>242</v>
      </c>
      <c r="C121">
        <v>4</v>
      </c>
      <c r="D121">
        <v>2120</v>
      </c>
      <c r="E121">
        <f t="shared" si="1"/>
        <v>530</v>
      </c>
    </row>
    <row r="122" spans="1:5" x14ac:dyDescent="0.25">
      <c r="A122" s="1" t="s">
        <v>243</v>
      </c>
      <c r="B122" s="1" t="s">
        <v>244</v>
      </c>
      <c r="C122">
        <v>5</v>
      </c>
      <c r="D122">
        <v>1114</v>
      </c>
      <c r="E122">
        <f t="shared" si="1"/>
        <v>222.8</v>
      </c>
    </row>
    <row r="123" spans="1:5" x14ac:dyDescent="0.25">
      <c r="A123" s="1" t="s">
        <v>245</v>
      </c>
      <c r="B123" s="1" t="s">
        <v>246</v>
      </c>
      <c r="C123">
        <v>6</v>
      </c>
      <c r="D123">
        <v>1902</v>
      </c>
      <c r="E123">
        <f t="shared" si="1"/>
        <v>317</v>
      </c>
    </row>
    <row r="124" spans="1:5" x14ac:dyDescent="0.25">
      <c r="A124" s="1" t="s">
        <v>247</v>
      </c>
      <c r="B124" s="1" t="s">
        <v>248</v>
      </c>
      <c r="C124">
        <v>2</v>
      </c>
      <c r="D124">
        <v>2795</v>
      </c>
      <c r="E124">
        <f t="shared" si="1"/>
        <v>1397.5</v>
      </c>
    </row>
    <row r="125" spans="1:5" x14ac:dyDescent="0.25">
      <c r="A125" s="1" t="s">
        <v>249</v>
      </c>
      <c r="B125" s="1" t="s">
        <v>250</v>
      </c>
      <c r="C125">
        <v>5</v>
      </c>
      <c r="D125">
        <v>3998</v>
      </c>
      <c r="E125">
        <f t="shared" si="1"/>
        <v>799.6</v>
      </c>
    </row>
    <row r="126" spans="1:5" x14ac:dyDescent="0.25">
      <c r="A126" s="1" t="s">
        <v>251</v>
      </c>
      <c r="B126" s="1" t="s">
        <v>252</v>
      </c>
      <c r="C126">
        <v>5</v>
      </c>
      <c r="D126">
        <v>2875</v>
      </c>
      <c r="E126">
        <f t="shared" si="1"/>
        <v>575</v>
      </c>
    </row>
    <row r="127" spans="1:5" x14ac:dyDescent="0.25">
      <c r="A127" s="1" t="s">
        <v>253</v>
      </c>
      <c r="B127" s="1" t="s">
        <v>254</v>
      </c>
      <c r="C127">
        <v>3</v>
      </c>
      <c r="D127">
        <v>1173</v>
      </c>
      <c r="E127">
        <f t="shared" si="1"/>
        <v>391</v>
      </c>
    </row>
    <row r="128" spans="1:5" x14ac:dyDescent="0.25">
      <c r="A128" s="1" t="s">
        <v>255</v>
      </c>
      <c r="B128" s="1" t="s">
        <v>256</v>
      </c>
      <c r="C128">
        <v>5</v>
      </c>
      <c r="D128">
        <v>988</v>
      </c>
      <c r="E128">
        <f t="shared" si="1"/>
        <v>197.6</v>
      </c>
    </row>
    <row r="129" spans="1:5" x14ac:dyDescent="0.25">
      <c r="A129" s="1" t="s">
        <v>257</v>
      </c>
      <c r="B129" s="1" t="s">
        <v>258</v>
      </c>
      <c r="C129">
        <v>2</v>
      </c>
      <c r="D129">
        <v>2317</v>
      </c>
      <c r="E129">
        <f t="shared" si="1"/>
        <v>1158.5</v>
      </c>
    </row>
    <row r="130" spans="1:5" x14ac:dyDescent="0.25">
      <c r="A130" s="1" t="s">
        <v>259</v>
      </c>
      <c r="B130" s="1" t="s">
        <v>260</v>
      </c>
      <c r="C130">
        <v>5</v>
      </c>
      <c r="D130">
        <v>1996</v>
      </c>
      <c r="E130">
        <f t="shared" si="1"/>
        <v>399.2</v>
      </c>
    </row>
    <row r="131" spans="1:5" x14ac:dyDescent="0.25">
      <c r="A131" s="1" t="s">
        <v>261</v>
      </c>
      <c r="B131" s="1" t="s">
        <v>262</v>
      </c>
      <c r="C131">
        <v>2</v>
      </c>
      <c r="D131">
        <v>1653</v>
      </c>
      <c r="E131">
        <f t="shared" ref="E131:E194" si="2">D131/C131</f>
        <v>826.5</v>
      </c>
    </row>
    <row r="132" spans="1:5" x14ac:dyDescent="0.25">
      <c r="A132" s="1" t="s">
        <v>263</v>
      </c>
      <c r="B132" s="1" t="s">
        <v>264</v>
      </c>
      <c r="C132">
        <v>3</v>
      </c>
      <c r="D132">
        <v>944</v>
      </c>
      <c r="E132">
        <f t="shared" si="2"/>
        <v>314.66666666666669</v>
      </c>
    </row>
    <row r="133" spans="1:5" x14ac:dyDescent="0.25">
      <c r="A133" s="1" t="s">
        <v>265</v>
      </c>
      <c r="B133" s="1" t="s">
        <v>266</v>
      </c>
      <c r="C133">
        <v>5</v>
      </c>
      <c r="D133">
        <v>1614</v>
      </c>
      <c r="E133">
        <f t="shared" si="2"/>
        <v>322.8</v>
      </c>
    </row>
    <row r="134" spans="1:5" x14ac:dyDescent="0.25">
      <c r="A134" s="1" t="s">
        <v>267</v>
      </c>
      <c r="B134" s="1" t="s">
        <v>268</v>
      </c>
      <c r="C134">
        <v>3</v>
      </c>
      <c r="D134">
        <v>1641</v>
      </c>
      <c r="E134">
        <f t="shared" si="2"/>
        <v>547</v>
      </c>
    </row>
    <row r="135" spans="1:5" x14ac:dyDescent="0.25">
      <c r="A135" s="1" t="s">
        <v>269</v>
      </c>
      <c r="B135" s="1" t="s">
        <v>270</v>
      </c>
      <c r="C135">
        <v>3</v>
      </c>
      <c r="D135">
        <v>3100</v>
      </c>
      <c r="E135">
        <f t="shared" si="2"/>
        <v>1033.3333333333333</v>
      </c>
    </row>
    <row r="136" spans="1:5" x14ac:dyDescent="0.25">
      <c r="A136" s="1" t="s">
        <v>271</v>
      </c>
      <c r="B136" s="1" t="s">
        <v>272</v>
      </c>
      <c r="C136">
        <v>4</v>
      </c>
      <c r="D136">
        <v>2922</v>
      </c>
      <c r="E136">
        <f t="shared" si="2"/>
        <v>730.5</v>
      </c>
    </row>
    <row r="137" spans="1:5" x14ac:dyDescent="0.25">
      <c r="A137" s="1" t="s">
        <v>273</v>
      </c>
      <c r="B137" s="1" t="s">
        <v>274</v>
      </c>
      <c r="C137">
        <v>6</v>
      </c>
      <c r="D137">
        <v>3635</v>
      </c>
      <c r="E137">
        <f t="shared" si="2"/>
        <v>605.83333333333337</v>
      </c>
    </row>
    <row r="138" spans="1:5" x14ac:dyDescent="0.25">
      <c r="A138" s="1" t="s">
        <v>275</v>
      </c>
      <c r="B138" s="1" t="s">
        <v>276</v>
      </c>
      <c r="C138">
        <v>2</v>
      </c>
      <c r="D138">
        <v>3716</v>
      </c>
      <c r="E138">
        <f t="shared" si="2"/>
        <v>1858</v>
      </c>
    </row>
    <row r="139" spans="1:5" x14ac:dyDescent="0.25">
      <c r="A139" s="1" t="s">
        <v>277</v>
      </c>
      <c r="B139" s="1" t="s">
        <v>278</v>
      </c>
      <c r="C139">
        <v>6</v>
      </c>
      <c r="D139">
        <v>2287</v>
      </c>
      <c r="E139">
        <f t="shared" si="2"/>
        <v>381.16666666666669</v>
      </c>
    </row>
    <row r="140" spans="1:5" x14ac:dyDescent="0.25">
      <c r="A140" s="1" t="s">
        <v>279</v>
      </c>
      <c r="B140" s="1" t="s">
        <v>280</v>
      </c>
      <c r="C140">
        <v>3</v>
      </c>
      <c r="D140">
        <v>1201</v>
      </c>
      <c r="E140">
        <f t="shared" si="2"/>
        <v>400.33333333333331</v>
      </c>
    </row>
    <row r="141" spans="1:5" x14ac:dyDescent="0.25">
      <c r="A141" s="1" t="s">
        <v>281</v>
      </c>
      <c r="B141" s="1" t="s">
        <v>282</v>
      </c>
      <c r="C141">
        <v>3</v>
      </c>
      <c r="D141">
        <v>723</v>
      </c>
      <c r="E141">
        <f t="shared" si="2"/>
        <v>241</v>
      </c>
    </row>
    <row r="142" spans="1:5" x14ac:dyDescent="0.25">
      <c r="A142" s="1" t="s">
        <v>283</v>
      </c>
      <c r="B142" s="1" t="s">
        <v>284</v>
      </c>
      <c r="C142">
        <v>2</v>
      </c>
      <c r="D142">
        <v>795</v>
      </c>
      <c r="E142">
        <f t="shared" si="2"/>
        <v>397.5</v>
      </c>
    </row>
    <row r="143" spans="1:5" x14ac:dyDescent="0.25">
      <c r="A143" s="1" t="s">
        <v>285</v>
      </c>
      <c r="B143" s="1" t="s">
        <v>286</v>
      </c>
      <c r="C143">
        <v>5</v>
      </c>
      <c r="D143">
        <v>3673</v>
      </c>
      <c r="E143">
        <f t="shared" si="2"/>
        <v>734.6</v>
      </c>
    </row>
    <row r="144" spans="1:5" x14ac:dyDescent="0.25">
      <c r="A144" s="1" t="s">
        <v>287</v>
      </c>
      <c r="B144" s="1" t="s">
        <v>288</v>
      </c>
      <c r="C144">
        <v>2</v>
      </c>
      <c r="D144">
        <v>4320</v>
      </c>
      <c r="E144">
        <f t="shared" si="2"/>
        <v>2160</v>
      </c>
    </row>
    <row r="145" spans="1:5" x14ac:dyDescent="0.25">
      <c r="A145" s="1" t="s">
        <v>289</v>
      </c>
      <c r="B145" s="1" t="s">
        <v>290</v>
      </c>
      <c r="C145">
        <v>3</v>
      </c>
      <c r="D145">
        <v>2575</v>
      </c>
      <c r="E145">
        <f t="shared" si="2"/>
        <v>858.33333333333337</v>
      </c>
    </row>
    <row r="146" spans="1:5" x14ac:dyDescent="0.25">
      <c r="A146" s="1" t="s">
        <v>291</v>
      </c>
      <c r="B146" s="1" t="s">
        <v>292</v>
      </c>
      <c r="C146">
        <v>6</v>
      </c>
      <c r="D146">
        <v>2079</v>
      </c>
      <c r="E146">
        <f t="shared" si="2"/>
        <v>346.5</v>
      </c>
    </row>
    <row r="147" spans="1:5" x14ac:dyDescent="0.25">
      <c r="A147" s="1" t="s">
        <v>293</v>
      </c>
      <c r="B147" s="1" t="s">
        <v>294</v>
      </c>
      <c r="C147">
        <v>6</v>
      </c>
      <c r="D147">
        <v>1120</v>
      </c>
      <c r="E147">
        <f t="shared" si="2"/>
        <v>186.66666666666666</v>
      </c>
    </row>
    <row r="148" spans="1:5" x14ac:dyDescent="0.25">
      <c r="A148" s="1" t="s">
        <v>295</v>
      </c>
      <c r="B148" s="1" t="s">
        <v>296</v>
      </c>
      <c r="C148">
        <v>5</v>
      </c>
      <c r="D148">
        <v>3463</v>
      </c>
      <c r="E148">
        <f t="shared" si="2"/>
        <v>692.6</v>
      </c>
    </row>
    <row r="149" spans="1:5" x14ac:dyDescent="0.25">
      <c r="A149" s="1" t="s">
        <v>297</v>
      </c>
      <c r="B149" s="1" t="s">
        <v>298</v>
      </c>
      <c r="C149">
        <v>6</v>
      </c>
      <c r="D149">
        <v>2723</v>
      </c>
      <c r="E149">
        <f t="shared" si="2"/>
        <v>453.83333333333331</v>
      </c>
    </row>
    <row r="150" spans="1:5" x14ac:dyDescent="0.25">
      <c r="A150" s="1" t="s">
        <v>299</v>
      </c>
      <c r="B150" s="1" t="s">
        <v>300</v>
      </c>
      <c r="C150">
        <v>6</v>
      </c>
      <c r="D150">
        <v>1193</v>
      </c>
      <c r="E150">
        <f t="shared" si="2"/>
        <v>198.83333333333334</v>
      </c>
    </row>
    <row r="151" spans="1:5" x14ac:dyDescent="0.25">
      <c r="A151" s="1" t="s">
        <v>301</v>
      </c>
      <c r="B151" s="1" t="s">
        <v>302</v>
      </c>
      <c r="C151">
        <v>3</v>
      </c>
      <c r="D151">
        <v>1192</v>
      </c>
      <c r="E151">
        <f t="shared" si="2"/>
        <v>397.33333333333331</v>
      </c>
    </row>
    <row r="152" spans="1:5" x14ac:dyDescent="0.25">
      <c r="A152" s="1" t="s">
        <v>303</v>
      </c>
      <c r="B152" s="1" t="s">
        <v>304</v>
      </c>
      <c r="C152">
        <v>6</v>
      </c>
      <c r="D152">
        <v>1201</v>
      </c>
      <c r="E152">
        <f t="shared" si="2"/>
        <v>200.16666666666666</v>
      </c>
    </row>
    <row r="153" spans="1:5" x14ac:dyDescent="0.25">
      <c r="A153" s="1" t="s">
        <v>305</v>
      </c>
      <c r="B153" s="1" t="s">
        <v>306</v>
      </c>
      <c r="C153">
        <v>3</v>
      </c>
      <c r="D153">
        <v>2544</v>
      </c>
      <c r="E153">
        <f t="shared" si="2"/>
        <v>848</v>
      </c>
    </row>
    <row r="154" spans="1:5" x14ac:dyDescent="0.25">
      <c r="A154" s="1" t="s">
        <v>307</v>
      </c>
      <c r="B154" s="1" t="s">
        <v>308</v>
      </c>
      <c r="C154">
        <v>3</v>
      </c>
      <c r="D154">
        <v>3374</v>
      </c>
      <c r="E154">
        <f t="shared" si="2"/>
        <v>1124.6666666666667</v>
      </c>
    </row>
    <row r="155" spans="1:5" x14ac:dyDescent="0.25">
      <c r="A155" s="1" t="s">
        <v>309</v>
      </c>
      <c r="B155" s="1" t="s">
        <v>310</v>
      </c>
      <c r="C155">
        <v>5</v>
      </c>
      <c r="D155">
        <v>3382</v>
      </c>
      <c r="E155">
        <f t="shared" si="2"/>
        <v>676.4</v>
      </c>
    </row>
    <row r="156" spans="1:5" x14ac:dyDescent="0.25">
      <c r="A156" s="1" t="s">
        <v>311</v>
      </c>
      <c r="B156" s="1" t="s">
        <v>312</v>
      </c>
      <c r="C156">
        <v>4</v>
      </c>
      <c r="D156">
        <v>1152</v>
      </c>
      <c r="E156">
        <f t="shared" si="2"/>
        <v>288</v>
      </c>
    </row>
    <row r="157" spans="1:5" x14ac:dyDescent="0.25">
      <c r="A157" s="1" t="s">
        <v>313</v>
      </c>
      <c r="B157" s="1" t="s">
        <v>314</v>
      </c>
      <c r="C157">
        <v>5</v>
      </c>
      <c r="D157">
        <v>1903</v>
      </c>
      <c r="E157">
        <f t="shared" si="2"/>
        <v>380.6</v>
      </c>
    </row>
    <row r="158" spans="1:5" x14ac:dyDescent="0.25">
      <c r="A158" s="1" t="s">
        <v>315</v>
      </c>
      <c r="B158" s="1" t="s">
        <v>316</v>
      </c>
      <c r="C158">
        <v>3</v>
      </c>
      <c r="D158">
        <v>3126</v>
      </c>
      <c r="E158">
        <f t="shared" si="2"/>
        <v>1042</v>
      </c>
    </row>
    <row r="159" spans="1:5" x14ac:dyDescent="0.25">
      <c r="A159" s="1" t="s">
        <v>317</v>
      </c>
      <c r="B159" s="1" t="s">
        <v>318</v>
      </c>
      <c r="C159">
        <v>2</v>
      </c>
      <c r="D159">
        <v>3285</v>
      </c>
      <c r="E159">
        <f t="shared" si="2"/>
        <v>1642.5</v>
      </c>
    </row>
    <row r="160" spans="1:5" x14ac:dyDescent="0.25">
      <c r="A160" s="1" t="s">
        <v>319</v>
      </c>
      <c r="B160" s="1" t="s">
        <v>320</v>
      </c>
      <c r="C160">
        <v>3</v>
      </c>
      <c r="D160">
        <v>4003</v>
      </c>
      <c r="E160">
        <f t="shared" si="2"/>
        <v>1334.3333333333333</v>
      </c>
    </row>
    <row r="161" spans="1:5" x14ac:dyDescent="0.25">
      <c r="A161" s="1" t="s">
        <v>321</v>
      </c>
      <c r="B161" s="1" t="s">
        <v>322</v>
      </c>
      <c r="C161">
        <v>5</v>
      </c>
      <c r="D161">
        <v>4214</v>
      </c>
      <c r="E161">
        <f t="shared" si="2"/>
        <v>842.8</v>
      </c>
    </row>
    <row r="162" spans="1:5" x14ac:dyDescent="0.25">
      <c r="A162" s="1" t="s">
        <v>323</v>
      </c>
      <c r="B162" s="1" t="s">
        <v>324</v>
      </c>
      <c r="C162">
        <v>6</v>
      </c>
      <c r="D162">
        <v>3748</v>
      </c>
      <c r="E162">
        <f t="shared" si="2"/>
        <v>624.66666666666663</v>
      </c>
    </row>
    <row r="163" spans="1:5" x14ac:dyDescent="0.25">
      <c r="A163" s="1" t="s">
        <v>325</v>
      </c>
      <c r="B163" s="1" t="s">
        <v>326</v>
      </c>
      <c r="C163">
        <v>2</v>
      </c>
      <c r="D163">
        <v>1397</v>
      </c>
      <c r="E163">
        <f t="shared" si="2"/>
        <v>698.5</v>
      </c>
    </row>
    <row r="164" spans="1:5" x14ac:dyDescent="0.25">
      <c r="A164" s="1" t="s">
        <v>327</v>
      </c>
      <c r="B164" s="1" t="s">
        <v>328</v>
      </c>
      <c r="C164">
        <v>4</v>
      </c>
      <c r="D164">
        <v>3685</v>
      </c>
      <c r="E164">
        <f t="shared" si="2"/>
        <v>921.25</v>
      </c>
    </row>
    <row r="165" spans="1:5" x14ac:dyDescent="0.25">
      <c r="A165" s="1" t="s">
        <v>329</v>
      </c>
      <c r="B165" s="1" t="s">
        <v>330</v>
      </c>
      <c r="C165">
        <v>2</v>
      </c>
      <c r="D165">
        <v>2360</v>
      </c>
      <c r="E165">
        <f t="shared" si="2"/>
        <v>1180</v>
      </c>
    </row>
    <row r="166" spans="1:5" x14ac:dyDescent="0.25">
      <c r="A166" s="1" t="s">
        <v>331</v>
      </c>
      <c r="B166" s="1" t="s">
        <v>332</v>
      </c>
      <c r="C166">
        <v>6</v>
      </c>
      <c r="D166">
        <v>3716</v>
      </c>
      <c r="E166">
        <f t="shared" si="2"/>
        <v>619.33333333333337</v>
      </c>
    </row>
    <row r="167" spans="1:5" x14ac:dyDescent="0.25">
      <c r="A167" s="1" t="s">
        <v>333</v>
      </c>
      <c r="B167" s="1" t="s">
        <v>334</v>
      </c>
      <c r="C167">
        <v>4</v>
      </c>
      <c r="D167">
        <v>3000</v>
      </c>
      <c r="E167">
        <f t="shared" si="2"/>
        <v>750</v>
      </c>
    </row>
    <row r="168" spans="1:5" x14ac:dyDescent="0.25">
      <c r="A168" s="1" t="s">
        <v>335</v>
      </c>
      <c r="B168" s="1" t="s">
        <v>336</v>
      </c>
      <c r="C168">
        <v>3</v>
      </c>
      <c r="D168">
        <v>3914</v>
      </c>
      <c r="E168">
        <f t="shared" si="2"/>
        <v>1304.6666666666667</v>
      </c>
    </row>
    <row r="169" spans="1:5" x14ac:dyDescent="0.25">
      <c r="A169" s="1" t="s">
        <v>337</v>
      </c>
      <c r="B169" s="1" t="s">
        <v>338</v>
      </c>
      <c r="C169">
        <v>4</v>
      </c>
      <c r="D169">
        <v>680</v>
      </c>
      <c r="E169">
        <f t="shared" si="2"/>
        <v>170</v>
      </c>
    </row>
    <row r="170" spans="1:5" x14ac:dyDescent="0.25">
      <c r="A170" s="1" t="s">
        <v>339</v>
      </c>
      <c r="B170" s="1" t="s">
        <v>340</v>
      </c>
      <c r="C170">
        <v>2</v>
      </c>
      <c r="D170">
        <v>1821</v>
      </c>
      <c r="E170">
        <f t="shared" si="2"/>
        <v>910.5</v>
      </c>
    </row>
    <row r="171" spans="1:5" x14ac:dyDescent="0.25">
      <c r="A171" s="1" t="s">
        <v>341</v>
      </c>
      <c r="B171" s="1" t="s">
        <v>342</v>
      </c>
      <c r="C171">
        <v>3</v>
      </c>
      <c r="D171">
        <v>4125</v>
      </c>
      <c r="E171">
        <f t="shared" si="2"/>
        <v>1375</v>
      </c>
    </row>
    <row r="172" spans="1:5" x14ac:dyDescent="0.25">
      <c r="A172" s="1" t="s">
        <v>343</v>
      </c>
      <c r="B172" s="1" t="s">
        <v>344</v>
      </c>
      <c r="C172">
        <v>6</v>
      </c>
      <c r="D172">
        <v>2837</v>
      </c>
      <c r="E172">
        <f t="shared" si="2"/>
        <v>472.83333333333331</v>
      </c>
    </row>
    <row r="173" spans="1:5" x14ac:dyDescent="0.25">
      <c r="A173" s="1" t="s">
        <v>345</v>
      </c>
      <c r="B173" s="1" t="s">
        <v>346</v>
      </c>
      <c r="C173">
        <v>3</v>
      </c>
      <c r="D173">
        <v>4039</v>
      </c>
      <c r="E173">
        <f t="shared" si="2"/>
        <v>1346.3333333333333</v>
      </c>
    </row>
    <row r="174" spans="1:5" x14ac:dyDescent="0.25">
      <c r="A174" s="1" t="s">
        <v>347</v>
      </c>
      <c r="B174" s="1" t="s">
        <v>348</v>
      </c>
      <c r="C174">
        <v>3</v>
      </c>
      <c r="D174">
        <v>1436</v>
      </c>
      <c r="E174">
        <f t="shared" si="2"/>
        <v>478.66666666666669</v>
      </c>
    </row>
    <row r="175" spans="1:5" x14ac:dyDescent="0.25">
      <c r="A175" s="1" t="s">
        <v>349</v>
      </c>
      <c r="B175" s="1" t="s">
        <v>350</v>
      </c>
      <c r="C175">
        <v>6</v>
      </c>
      <c r="D175">
        <v>2821</v>
      </c>
      <c r="E175">
        <f t="shared" si="2"/>
        <v>470.16666666666669</v>
      </c>
    </row>
    <row r="176" spans="1:5" x14ac:dyDescent="0.25">
      <c r="A176" s="1" t="s">
        <v>351</v>
      </c>
      <c r="B176" s="1" t="s">
        <v>352</v>
      </c>
      <c r="C176">
        <v>3</v>
      </c>
      <c r="D176">
        <v>1316</v>
      </c>
      <c r="E176">
        <f t="shared" si="2"/>
        <v>438.66666666666669</v>
      </c>
    </row>
    <row r="177" spans="1:5" x14ac:dyDescent="0.25">
      <c r="A177" s="1" t="s">
        <v>353</v>
      </c>
      <c r="B177" s="1" t="s">
        <v>354</v>
      </c>
      <c r="C177">
        <v>6</v>
      </c>
      <c r="D177">
        <v>4295</v>
      </c>
      <c r="E177">
        <f t="shared" si="2"/>
        <v>715.83333333333337</v>
      </c>
    </row>
    <row r="178" spans="1:5" x14ac:dyDescent="0.25">
      <c r="A178" s="1" t="s">
        <v>355</v>
      </c>
      <c r="B178" s="1" t="s">
        <v>356</v>
      </c>
      <c r="C178">
        <v>4</v>
      </c>
      <c r="D178">
        <v>3744</v>
      </c>
      <c r="E178">
        <f t="shared" si="2"/>
        <v>936</v>
      </c>
    </row>
    <row r="179" spans="1:5" x14ac:dyDescent="0.25">
      <c r="A179" s="1" t="s">
        <v>357</v>
      </c>
      <c r="B179" s="1" t="s">
        <v>358</v>
      </c>
      <c r="C179">
        <v>4</v>
      </c>
      <c r="D179">
        <v>1447</v>
      </c>
      <c r="E179">
        <f t="shared" si="2"/>
        <v>361.75</v>
      </c>
    </row>
    <row r="180" spans="1:5" x14ac:dyDescent="0.25">
      <c r="A180" s="1" t="s">
        <v>359</v>
      </c>
      <c r="B180" s="1" t="s">
        <v>360</v>
      </c>
      <c r="C180">
        <v>4</v>
      </c>
      <c r="D180">
        <v>3234</v>
      </c>
      <c r="E180">
        <f t="shared" si="2"/>
        <v>808.5</v>
      </c>
    </row>
    <row r="181" spans="1:5" x14ac:dyDescent="0.25">
      <c r="A181" s="1" t="s">
        <v>361</v>
      </c>
      <c r="B181" s="1" t="s">
        <v>362</v>
      </c>
      <c r="C181">
        <v>4</v>
      </c>
      <c r="D181">
        <v>1219</v>
      </c>
      <c r="E181">
        <f t="shared" si="2"/>
        <v>304.75</v>
      </c>
    </row>
    <row r="182" spans="1:5" x14ac:dyDescent="0.25">
      <c r="A182" s="1" t="s">
        <v>363</v>
      </c>
      <c r="B182" s="1" t="s">
        <v>364</v>
      </c>
      <c r="C182">
        <v>3</v>
      </c>
      <c r="D182">
        <v>2105</v>
      </c>
      <c r="E182">
        <f t="shared" si="2"/>
        <v>701.66666666666663</v>
      </c>
    </row>
    <row r="183" spans="1:5" x14ac:dyDescent="0.25">
      <c r="A183" s="1" t="s">
        <v>365</v>
      </c>
      <c r="B183" s="1" t="s">
        <v>366</v>
      </c>
      <c r="C183">
        <v>5</v>
      </c>
      <c r="D183">
        <v>1943</v>
      </c>
      <c r="E183">
        <f t="shared" si="2"/>
        <v>388.6</v>
      </c>
    </row>
    <row r="184" spans="1:5" x14ac:dyDescent="0.25">
      <c r="A184" s="1" t="s">
        <v>367</v>
      </c>
      <c r="B184" s="1" t="s">
        <v>368</v>
      </c>
      <c r="C184">
        <v>3</v>
      </c>
      <c r="D184">
        <v>1890</v>
      </c>
      <c r="E184">
        <f t="shared" si="2"/>
        <v>630</v>
      </c>
    </row>
    <row r="185" spans="1:5" x14ac:dyDescent="0.25">
      <c r="A185" s="1" t="s">
        <v>369</v>
      </c>
      <c r="B185" s="1" t="s">
        <v>370</v>
      </c>
      <c r="C185">
        <v>2</v>
      </c>
      <c r="D185">
        <v>689</v>
      </c>
      <c r="E185">
        <f t="shared" si="2"/>
        <v>344.5</v>
      </c>
    </row>
    <row r="186" spans="1:5" x14ac:dyDescent="0.25">
      <c r="A186" s="1" t="s">
        <v>371</v>
      </c>
      <c r="B186" s="1" t="s">
        <v>372</v>
      </c>
      <c r="C186">
        <v>6</v>
      </c>
      <c r="D186">
        <v>676</v>
      </c>
      <c r="E186">
        <f t="shared" si="2"/>
        <v>112.66666666666667</v>
      </c>
    </row>
    <row r="187" spans="1:5" x14ac:dyDescent="0.25">
      <c r="A187" s="1" t="s">
        <v>373</v>
      </c>
      <c r="B187" s="1" t="s">
        <v>374</v>
      </c>
      <c r="C187">
        <v>3</v>
      </c>
      <c r="D187">
        <v>895</v>
      </c>
      <c r="E187">
        <f t="shared" si="2"/>
        <v>298.33333333333331</v>
      </c>
    </row>
    <row r="188" spans="1:5" x14ac:dyDescent="0.25">
      <c r="A188" s="1" t="s">
        <v>375</v>
      </c>
      <c r="B188" s="1" t="s">
        <v>376</v>
      </c>
      <c r="C188">
        <v>5</v>
      </c>
      <c r="D188">
        <v>3993</v>
      </c>
      <c r="E188">
        <f t="shared" si="2"/>
        <v>798.6</v>
      </c>
    </row>
    <row r="189" spans="1:5" x14ac:dyDescent="0.25">
      <c r="A189" s="1" t="s">
        <v>377</v>
      </c>
      <c r="B189" s="1" t="s">
        <v>378</v>
      </c>
      <c r="C189">
        <v>4</v>
      </c>
      <c r="D189">
        <v>2124</v>
      </c>
      <c r="E189">
        <f t="shared" si="2"/>
        <v>531</v>
      </c>
    </row>
    <row r="190" spans="1:5" x14ac:dyDescent="0.25">
      <c r="A190" s="1" t="s">
        <v>379</v>
      </c>
      <c r="B190" s="1" t="s">
        <v>380</v>
      </c>
      <c r="C190">
        <v>5</v>
      </c>
      <c r="D190">
        <v>1054</v>
      </c>
      <c r="E190">
        <f t="shared" si="2"/>
        <v>210.8</v>
      </c>
    </row>
    <row r="191" spans="1:5" x14ac:dyDescent="0.25">
      <c r="A191" s="1" t="s">
        <v>381</v>
      </c>
      <c r="B191" s="1" t="s">
        <v>382</v>
      </c>
      <c r="C191">
        <v>4</v>
      </c>
      <c r="D191">
        <v>4074</v>
      </c>
      <c r="E191">
        <f t="shared" si="2"/>
        <v>1018.5</v>
      </c>
    </row>
    <row r="192" spans="1:5" x14ac:dyDescent="0.25">
      <c r="A192" s="1" t="s">
        <v>383</v>
      </c>
      <c r="B192" s="1" t="s">
        <v>384</v>
      </c>
      <c r="C192">
        <v>4</v>
      </c>
      <c r="D192">
        <v>4321</v>
      </c>
      <c r="E192">
        <f t="shared" si="2"/>
        <v>1080.25</v>
      </c>
    </row>
    <row r="193" spans="1:5" x14ac:dyDescent="0.25">
      <c r="A193" s="1" t="s">
        <v>385</v>
      </c>
      <c r="B193" s="1" t="s">
        <v>386</v>
      </c>
      <c r="C193">
        <v>5</v>
      </c>
      <c r="D193">
        <v>4152</v>
      </c>
      <c r="E193">
        <f t="shared" si="2"/>
        <v>830.4</v>
      </c>
    </row>
    <row r="194" spans="1:5" x14ac:dyDescent="0.25">
      <c r="A194" s="1" t="s">
        <v>387</v>
      </c>
      <c r="B194" s="1" t="s">
        <v>388</v>
      </c>
      <c r="C194">
        <v>3</v>
      </c>
      <c r="D194">
        <v>4051</v>
      </c>
      <c r="E194">
        <f t="shared" si="2"/>
        <v>1350.3333333333333</v>
      </c>
    </row>
    <row r="195" spans="1:5" x14ac:dyDescent="0.25">
      <c r="A195" s="1" t="s">
        <v>389</v>
      </c>
      <c r="B195" s="1" t="s">
        <v>390</v>
      </c>
      <c r="C195">
        <v>2</v>
      </c>
      <c r="D195">
        <v>4418</v>
      </c>
      <c r="E195">
        <f t="shared" ref="E195:E258" si="3">D195/C195</f>
        <v>2209</v>
      </c>
    </row>
    <row r="196" spans="1:5" x14ac:dyDescent="0.25">
      <c r="A196" s="1" t="s">
        <v>391</v>
      </c>
      <c r="B196" s="1" t="s">
        <v>392</v>
      </c>
      <c r="C196">
        <v>6</v>
      </c>
      <c r="D196">
        <v>1797</v>
      </c>
      <c r="E196">
        <f t="shared" si="3"/>
        <v>299.5</v>
      </c>
    </row>
    <row r="197" spans="1:5" x14ac:dyDescent="0.25">
      <c r="A197" s="1" t="s">
        <v>393</v>
      </c>
      <c r="B197" s="1" t="s">
        <v>394</v>
      </c>
      <c r="C197">
        <v>5</v>
      </c>
      <c r="D197">
        <v>1612</v>
      </c>
      <c r="E197">
        <f t="shared" si="3"/>
        <v>322.39999999999998</v>
      </c>
    </row>
    <row r="198" spans="1:5" x14ac:dyDescent="0.25">
      <c r="A198" s="1" t="s">
        <v>395</v>
      </c>
      <c r="B198" s="1" t="s">
        <v>396</v>
      </c>
      <c r="C198">
        <v>5</v>
      </c>
      <c r="D198">
        <v>1359</v>
      </c>
      <c r="E198">
        <f t="shared" si="3"/>
        <v>271.8</v>
      </c>
    </row>
    <row r="199" spans="1:5" x14ac:dyDescent="0.25">
      <c r="A199" s="1" t="s">
        <v>397</v>
      </c>
      <c r="B199" s="1" t="s">
        <v>398</v>
      </c>
      <c r="C199">
        <v>5</v>
      </c>
      <c r="D199">
        <v>861</v>
      </c>
      <c r="E199">
        <f t="shared" si="3"/>
        <v>172.2</v>
      </c>
    </row>
    <row r="200" spans="1:5" x14ac:dyDescent="0.25">
      <c r="A200" s="1" t="s">
        <v>399</v>
      </c>
      <c r="B200" s="1" t="s">
        <v>400</v>
      </c>
      <c r="C200">
        <v>5</v>
      </c>
      <c r="D200">
        <v>2636</v>
      </c>
      <c r="E200">
        <f t="shared" si="3"/>
        <v>527.20000000000005</v>
      </c>
    </row>
    <row r="201" spans="1:5" x14ac:dyDescent="0.25">
      <c r="A201" s="1" t="s">
        <v>401</v>
      </c>
      <c r="B201" s="1" t="s">
        <v>402</v>
      </c>
      <c r="C201">
        <v>4</v>
      </c>
      <c r="D201">
        <v>4153</v>
      </c>
      <c r="E201">
        <f t="shared" si="3"/>
        <v>1038.25</v>
      </c>
    </row>
    <row r="202" spans="1:5" x14ac:dyDescent="0.25">
      <c r="A202" s="1" t="s">
        <v>403</v>
      </c>
      <c r="B202" s="1" t="s">
        <v>404</v>
      </c>
      <c r="C202">
        <v>3</v>
      </c>
      <c r="D202">
        <v>3799</v>
      </c>
      <c r="E202">
        <f t="shared" si="3"/>
        <v>1266.3333333333333</v>
      </c>
    </row>
    <row r="203" spans="1:5" x14ac:dyDescent="0.25">
      <c r="A203" s="1" t="s">
        <v>405</v>
      </c>
      <c r="B203" s="1" t="s">
        <v>406</v>
      </c>
      <c r="C203">
        <v>4</v>
      </c>
      <c r="D203">
        <v>3491</v>
      </c>
      <c r="E203">
        <f t="shared" si="3"/>
        <v>872.75</v>
      </c>
    </row>
    <row r="204" spans="1:5" x14ac:dyDescent="0.25">
      <c r="A204" s="1" t="s">
        <v>407</v>
      </c>
      <c r="B204" s="1" t="s">
        <v>408</v>
      </c>
      <c r="C204">
        <v>2</v>
      </c>
      <c r="D204">
        <v>3441</v>
      </c>
      <c r="E204">
        <f t="shared" si="3"/>
        <v>1720.5</v>
      </c>
    </row>
    <row r="205" spans="1:5" x14ac:dyDescent="0.25">
      <c r="A205" s="1" t="s">
        <v>409</v>
      </c>
      <c r="B205" s="1" t="s">
        <v>410</v>
      </c>
      <c r="C205">
        <v>3</v>
      </c>
      <c r="D205">
        <v>1263</v>
      </c>
      <c r="E205">
        <f t="shared" si="3"/>
        <v>421</v>
      </c>
    </row>
    <row r="206" spans="1:5" x14ac:dyDescent="0.25">
      <c r="A206" s="1" t="s">
        <v>411</v>
      </c>
      <c r="B206" s="1" t="s">
        <v>412</v>
      </c>
      <c r="C206">
        <v>3</v>
      </c>
      <c r="D206">
        <v>767</v>
      </c>
      <c r="E206">
        <f t="shared" si="3"/>
        <v>255.66666666666666</v>
      </c>
    </row>
    <row r="207" spans="1:5" x14ac:dyDescent="0.25">
      <c r="A207" s="1" t="s">
        <v>413</v>
      </c>
      <c r="B207" s="1" t="s">
        <v>414</v>
      </c>
      <c r="C207">
        <v>3</v>
      </c>
      <c r="D207">
        <v>1583</v>
      </c>
      <c r="E207">
        <f t="shared" si="3"/>
        <v>527.66666666666663</v>
      </c>
    </row>
    <row r="208" spans="1:5" x14ac:dyDescent="0.25">
      <c r="A208" s="1" t="s">
        <v>415</v>
      </c>
      <c r="B208" s="1" t="s">
        <v>416</v>
      </c>
      <c r="C208">
        <v>4</v>
      </c>
      <c r="D208">
        <v>3211</v>
      </c>
      <c r="E208">
        <f t="shared" si="3"/>
        <v>802.75</v>
      </c>
    </row>
    <row r="209" spans="1:5" x14ac:dyDescent="0.25">
      <c r="A209" s="1" t="s">
        <v>417</v>
      </c>
      <c r="B209" s="1" t="s">
        <v>418</v>
      </c>
      <c r="C209">
        <v>4</v>
      </c>
      <c r="D209">
        <v>2432</v>
      </c>
      <c r="E209">
        <f t="shared" si="3"/>
        <v>608</v>
      </c>
    </row>
    <row r="210" spans="1:5" x14ac:dyDescent="0.25">
      <c r="A210" s="1" t="s">
        <v>419</v>
      </c>
      <c r="B210" s="1" t="s">
        <v>420</v>
      </c>
      <c r="C210">
        <v>5</v>
      </c>
      <c r="D210">
        <v>4185</v>
      </c>
      <c r="E210">
        <f t="shared" si="3"/>
        <v>837</v>
      </c>
    </row>
    <row r="211" spans="1:5" x14ac:dyDescent="0.25">
      <c r="A211" s="1" t="s">
        <v>421</v>
      </c>
      <c r="B211" s="1" t="s">
        <v>422</v>
      </c>
      <c r="C211">
        <v>4</v>
      </c>
      <c r="D211">
        <v>2595</v>
      </c>
      <c r="E211">
        <f t="shared" si="3"/>
        <v>648.75</v>
      </c>
    </row>
    <row r="212" spans="1:5" x14ac:dyDescent="0.25">
      <c r="A212" s="1" t="s">
        <v>423</v>
      </c>
      <c r="B212" s="1" t="s">
        <v>424</v>
      </c>
      <c r="C212">
        <v>3</v>
      </c>
      <c r="D212">
        <v>1219</v>
      </c>
      <c r="E212">
        <f t="shared" si="3"/>
        <v>406.33333333333331</v>
      </c>
    </row>
    <row r="213" spans="1:5" x14ac:dyDescent="0.25">
      <c r="A213" s="1" t="s">
        <v>425</v>
      </c>
      <c r="B213" s="1" t="s">
        <v>426</v>
      </c>
      <c r="C213">
        <v>4</v>
      </c>
      <c r="D213">
        <v>3670</v>
      </c>
      <c r="E213">
        <f t="shared" si="3"/>
        <v>917.5</v>
      </c>
    </row>
    <row r="214" spans="1:5" x14ac:dyDescent="0.25">
      <c r="A214" s="1" t="s">
        <v>427</v>
      </c>
      <c r="B214" s="1" t="s">
        <v>428</v>
      </c>
      <c r="C214">
        <v>6</v>
      </c>
      <c r="D214">
        <v>1563</v>
      </c>
      <c r="E214">
        <f t="shared" si="3"/>
        <v>260.5</v>
      </c>
    </row>
    <row r="215" spans="1:5" x14ac:dyDescent="0.25">
      <c r="A215" s="1" t="s">
        <v>429</v>
      </c>
      <c r="B215" s="1" t="s">
        <v>430</v>
      </c>
      <c r="C215">
        <v>2</v>
      </c>
      <c r="D215">
        <v>4222</v>
      </c>
      <c r="E215">
        <f t="shared" si="3"/>
        <v>2111</v>
      </c>
    </row>
    <row r="216" spans="1:5" x14ac:dyDescent="0.25">
      <c r="A216" s="1" t="s">
        <v>431</v>
      </c>
      <c r="B216" s="1" t="s">
        <v>432</v>
      </c>
      <c r="C216">
        <v>5</v>
      </c>
      <c r="D216">
        <v>2627</v>
      </c>
      <c r="E216">
        <f t="shared" si="3"/>
        <v>525.4</v>
      </c>
    </row>
    <row r="217" spans="1:5" x14ac:dyDescent="0.25">
      <c r="A217" s="1" t="s">
        <v>433</v>
      </c>
      <c r="B217" s="1" t="s">
        <v>434</v>
      </c>
      <c r="C217">
        <v>2</v>
      </c>
      <c r="D217">
        <v>2103</v>
      </c>
      <c r="E217">
        <f t="shared" si="3"/>
        <v>1051.5</v>
      </c>
    </row>
    <row r="218" spans="1:5" x14ac:dyDescent="0.25">
      <c r="A218" s="1" t="s">
        <v>435</v>
      </c>
      <c r="B218" s="1" t="s">
        <v>436</v>
      </c>
      <c r="C218">
        <v>3</v>
      </c>
      <c r="D218">
        <v>4380</v>
      </c>
      <c r="E218">
        <f t="shared" si="3"/>
        <v>1460</v>
      </c>
    </row>
    <row r="219" spans="1:5" x14ac:dyDescent="0.25">
      <c r="A219" s="1" t="s">
        <v>437</v>
      </c>
      <c r="B219" s="1" t="s">
        <v>438</v>
      </c>
      <c r="C219">
        <v>6</v>
      </c>
      <c r="D219">
        <v>689</v>
      </c>
      <c r="E219">
        <f t="shared" si="3"/>
        <v>114.83333333333333</v>
      </c>
    </row>
    <row r="220" spans="1:5" x14ac:dyDescent="0.25">
      <c r="A220" s="1" t="s">
        <v>439</v>
      </c>
      <c r="B220" s="1" t="s">
        <v>440</v>
      </c>
      <c r="C220">
        <v>6</v>
      </c>
      <c r="D220">
        <v>3877</v>
      </c>
      <c r="E220">
        <f t="shared" si="3"/>
        <v>646.16666666666663</v>
      </c>
    </row>
    <row r="221" spans="1:5" x14ac:dyDescent="0.25">
      <c r="A221" s="1" t="s">
        <v>441</v>
      </c>
      <c r="B221" s="1" t="s">
        <v>442</v>
      </c>
      <c r="C221">
        <v>4</v>
      </c>
      <c r="D221">
        <v>2551</v>
      </c>
      <c r="E221">
        <f t="shared" si="3"/>
        <v>637.75</v>
      </c>
    </row>
    <row r="222" spans="1:5" x14ac:dyDescent="0.25">
      <c r="A222" s="1" t="s">
        <v>443</v>
      </c>
      <c r="B222" s="1" t="s">
        <v>444</v>
      </c>
      <c r="C222">
        <v>3</v>
      </c>
      <c r="D222">
        <v>1499</v>
      </c>
      <c r="E222">
        <f t="shared" si="3"/>
        <v>499.66666666666669</v>
      </c>
    </row>
    <row r="223" spans="1:5" x14ac:dyDescent="0.25">
      <c r="A223" s="1" t="s">
        <v>445</v>
      </c>
      <c r="B223" s="1" t="s">
        <v>446</v>
      </c>
      <c r="C223">
        <v>3</v>
      </c>
      <c r="D223">
        <v>2743</v>
      </c>
      <c r="E223">
        <f t="shared" si="3"/>
        <v>914.33333333333337</v>
      </c>
    </row>
    <row r="224" spans="1:5" x14ac:dyDescent="0.25">
      <c r="A224" s="1" t="s">
        <v>447</v>
      </c>
      <c r="B224" s="1" t="s">
        <v>448</v>
      </c>
      <c r="C224">
        <v>4</v>
      </c>
      <c r="D224">
        <v>2331</v>
      </c>
      <c r="E224">
        <f t="shared" si="3"/>
        <v>582.75</v>
      </c>
    </row>
    <row r="225" spans="1:5" x14ac:dyDescent="0.25">
      <c r="A225" s="1" t="s">
        <v>449</v>
      </c>
      <c r="B225" s="1" t="s">
        <v>450</v>
      </c>
      <c r="C225">
        <v>2</v>
      </c>
      <c r="D225">
        <v>3999</v>
      </c>
      <c r="E225">
        <f t="shared" si="3"/>
        <v>1999.5</v>
      </c>
    </row>
    <row r="226" spans="1:5" x14ac:dyDescent="0.25">
      <c r="A226" s="1" t="s">
        <v>451</v>
      </c>
      <c r="B226" s="1" t="s">
        <v>452</v>
      </c>
      <c r="C226">
        <v>6</v>
      </c>
      <c r="D226">
        <v>2212</v>
      </c>
      <c r="E226">
        <f t="shared" si="3"/>
        <v>368.66666666666669</v>
      </c>
    </row>
    <row r="227" spans="1:5" x14ac:dyDescent="0.25">
      <c r="A227" s="1" t="s">
        <v>453</v>
      </c>
      <c r="B227" s="1" t="s">
        <v>454</v>
      </c>
      <c r="C227">
        <v>5</v>
      </c>
      <c r="D227">
        <v>1854</v>
      </c>
      <c r="E227">
        <f t="shared" si="3"/>
        <v>370.8</v>
      </c>
    </row>
    <row r="228" spans="1:5" x14ac:dyDescent="0.25">
      <c r="A228" s="1" t="s">
        <v>455</v>
      </c>
      <c r="B228" s="1" t="s">
        <v>456</v>
      </c>
      <c r="C228">
        <v>6</v>
      </c>
      <c r="D228">
        <v>3681</v>
      </c>
      <c r="E228">
        <f t="shared" si="3"/>
        <v>613.5</v>
      </c>
    </row>
    <row r="229" spans="1:5" x14ac:dyDescent="0.25">
      <c r="A229" s="1" t="s">
        <v>457</v>
      </c>
      <c r="B229" s="1" t="s">
        <v>458</v>
      </c>
      <c r="C229">
        <v>6</v>
      </c>
      <c r="D229">
        <v>2643</v>
      </c>
      <c r="E229">
        <f t="shared" si="3"/>
        <v>440.5</v>
      </c>
    </row>
    <row r="230" spans="1:5" x14ac:dyDescent="0.25">
      <c r="A230" s="1" t="s">
        <v>459</v>
      </c>
      <c r="B230" s="1" t="s">
        <v>460</v>
      </c>
      <c r="C230">
        <v>2</v>
      </c>
      <c r="D230">
        <v>3843</v>
      </c>
      <c r="E230">
        <f t="shared" si="3"/>
        <v>1921.5</v>
      </c>
    </row>
    <row r="231" spans="1:5" x14ac:dyDescent="0.25">
      <c r="A231" s="1" t="s">
        <v>461</v>
      </c>
      <c r="B231" s="1" t="s">
        <v>462</v>
      </c>
      <c r="C231">
        <v>3</v>
      </c>
      <c r="D231">
        <v>2626</v>
      </c>
      <c r="E231">
        <f t="shared" si="3"/>
        <v>875.33333333333337</v>
      </c>
    </row>
    <row r="232" spans="1:5" x14ac:dyDescent="0.25">
      <c r="A232" s="1" t="s">
        <v>463</v>
      </c>
      <c r="B232" s="1" t="s">
        <v>464</v>
      </c>
      <c r="C232">
        <v>5</v>
      </c>
      <c r="D232">
        <v>3900</v>
      </c>
      <c r="E232">
        <f t="shared" si="3"/>
        <v>780</v>
      </c>
    </row>
    <row r="233" spans="1:5" x14ac:dyDescent="0.25">
      <c r="A233" s="1" t="s">
        <v>465</v>
      </c>
      <c r="B233" s="1" t="s">
        <v>466</v>
      </c>
      <c r="C233">
        <v>6</v>
      </c>
      <c r="D233">
        <v>907</v>
      </c>
      <c r="E233">
        <f t="shared" si="3"/>
        <v>151.16666666666666</v>
      </c>
    </row>
    <row r="234" spans="1:5" x14ac:dyDescent="0.25">
      <c r="A234" s="1" t="s">
        <v>467</v>
      </c>
      <c r="B234" s="1" t="s">
        <v>468</v>
      </c>
      <c r="C234">
        <v>5</v>
      </c>
      <c r="D234">
        <v>3718</v>
      </c>
      <c r="E234">
        <f t="shared" si="3"/>
        <v>743.6</v>
      </c>
    </row>
    <row r="235" spans="1:5" x14ac:dyDescent="0.25">
      <c r="A235" s="1" t="s">
        <v>469</v>
      </c>
      <c r="B235" s="1" t="s">
        <v>470</v>
      </c>
      <c r="C235">
        <v>5</v>
      </c>
      <c r="D235">
        <v>2009</v>
      </c>
      <c r="E235">
        <f t="shared" si="3"/>
        <v>401.8</v>
      </c>
    </row>
    <row r="236" spans="1:5" x14ac:dyDescent="0.25">
      <c r="A236" s="1" t="s">
        <v>471</v>
      </c>
      <c r="B236" s="1" t="s">
        <v>472</v>
      </c>
      <c r="C236">
        <v>4</v>
      </c>
      <c r="D236">
        <v>1719</v>
      </c>
      <c r="E236">
        <f t="shared" si="3"/>
        <v>429.75</v>
      </c>
    </row>
    <row r="237" spans="1:5" x14ac:dyDescent="0.25">
      <c r="A237" s="1" t="s">
        <v>473</v>
      </c>
      <c r="B237" s="1" t="s">
        <v>474</v>
      </c>
      <c r="C237">
        <v>5</v>
      </c>
      <c r="D237">
        <v>647</v>
      </c>
      <c r="E237">
        <f t="shared" si="3"/>
        <v>129.4</v>
      </c>
    </row>
    <row r="238" spans="1:5" x14ac:dyDescent="0.25">
      <c r="A238" s="1" t="s">
        <v>475</v>
      </c>
      <c r="B238" s="1" t="s">
        <v>476</v>
      </c>
      <c r="C238">
        <v>3</v>
      </c>
      <c r="D238">
        <v>2253</v>
      </c>
      <c r="E238">
        <f t="shared" si="3"/>
        <v>751</v>
      </c>
    </row>
    <row r="239" spans="1:5" x14ac:dyDescent="0.25">
      <c r="A239" s="1" t="s">
        <v>477</v>
      </c>
      <c r="B239" s="1" t="s">
        <v>478</v>
      </c>
      <c r="C239">
        <v>3</v>
      </c>
      <c r="D239">
        <v>3058</v>
      </c>
      <c r="E239">
        <f t="shared" si="3"/>
        <v>1019.3333333333334</v>
      </c>
    </row>
    <row r="240" spans="1:5" x14ac:dyDescent="0.25">
      <c r="A240" s="1" t="s">
        <v>479</v>
      </c>
      <c r="B240" s="1" t="s">
        <v>480</v>
      </c>
      <c r="C240">
        <v>5</v>
      </c>
      <c r="D240">
        <v>1111</v>
      </c>
      <c r="E240">
        <f t="shared" si="3"/>
        <v>222.2</v>
      </c>
    </row>
    <row r="241" spans="1:5" x14ac:dyDescent="0.25">
      <c r="A241" s="1" t="s">
        <v>481</v>
      </c>
      <c r="B241" s="1" t="s">
        <v>482</v>
      </c>
      <c r="C241">
        <v>5</v>
      </c>
      <c r="D241">
        <v>3016</v>
      </c>
      <c r="E241">
        <f t="shared" si="3"/>
        <v>603.20000000000005</v>
      </c>
    </row>
    <row r="242" spans="1:5" x14ac:dyDescent="0.25">
      <c r="A242" s="1" t="s">
        <v>483</v>
      </c>
      <c r="B242" s="1" t="s">
        <v>484</v>
      </c>
      <c r="C242">
        <v>4</v>
      </c>
      <c r="D242">
        <v>1231</v>
      </c>
      <c r="E242">
        <f t="shared" si="3"/>
        <v>307.75</v>
      </c>
    </row>
    <row r="243" spans="1:5" x14ac:dyDescent="0.25">
      <c r="A243" s="1" t="s">
        <v>485</v>
      </c>
      <c r="B243" s="1" t="s">
        <v>486</v>
      </c>
      <c r="C243">
        <v>6</v>
      </c>
      <c r="D243">
        <v>2550</v>
      </c>
      <c r="E243">
        <f t="shared" si="3"/>
        <v>425</v>
      </c>
    </row>
    <row r="244" spans="1:5" x14ac:dyDescent="0.25">
      <c r="A244" s="1" t="s">
        <v>487</v>
      </c>
      <c r="B244" s="1" t="s">
        <v>488</v>
      </c>
      <c r="C244">
        <v>4</v>
      </c>
      <c r="D244">
        <v>2901</v>
      </c>
      <c r="E244">
        <f t="shared" si="3"/>
        <v>725.25</v>
      </c>
    </row>
    <row r="245" spans="1:5" x14ac:dyDescent="0.25">
      <c r="A245" s="1" t="s">
        <v>489</v>
      </c>
      <c r="B245" s="1" t="s">
        <v>490</v>
      </c>
      <c r="C245">
        <v>2</v>
      </c>
      <c r="D245">
        <v>3255</v>
      </c>
      <c r="E245">
        <f t="shared" si="3"/>
        <v>1627.5</v>
      </c>
    </row>
    <row r="246" spans="1:5" x14ac:dyDescent="0.25">
      <c r="A246" s="1" t="s">
        <v>491</v>
      </c>
      <c r="B246" s="1" t="s">
        <v>492</v>
      </c>
      <c r="C246">
        <v>5</v>
      </c>
      <c r="D246">
        <v>2579</v>
      </c>
      <c r="E246">
        <f t="shared" si="3"/>
        <v>515.79999999999995</v>
      </c>
    </row>
    <row r="247" spans="1:5" x14ac:dyDescent="0.25">
      <c r="A247" s="1" t="s">
        <v>493</v>
      </c>
      <c r="B247" s="1" t="s">
        <v>494</v>
      </c>
      <c r="C247">
        <v>4</v>
      </c>
      <c r="D247">
        <v>1459</v>
      </c>
      <c r="E247">
        <f t="shared" si="3"/>
        <v>364.75</v>
      </c>
    </row>
    <row r="248" spans="1:5" x14ac:dyDescent="0.25">
      <c r="A248" s="1" t="s">
        <v>495</v>
      </c>
      <c r="B248" s="1" t="s">
        <v>496</v>
      </c>
      <c r="C248">
        <v>2</v>
      </c>
      <c r="D248">
        <v>2731</v>
      </c>
      <c r="E248">
        <f t="shared" si="3"/>
        <v>1365.5</v>
      </c>
    </row>
    <row r="249" spans="1:5" x14ac:dyDescent="0.25">
      <c r="A249" s="1" t="s">
        <v>497</v>
      </c>
      <c r="B249" s="1" t="s">
        <v>498</v>
      </c>
      <c r="C249">
        <v>5</v>
      </c>
      <c r="D249">
        <v>3614</v>
      </c>
      <c r="E249">
        <f t="shared" si="3"/>
        <v>722.8</v>
      </c>
    </row>
    <row r="250" spans="1:5" x14ac:dyDescent="0.25">
      <c r="A250" s="1" t="s">
        <v>499</v>
      </c>
      <c r="B250" s="1" t="s">
        <v>500</v>
      </c>
      <c r="C250">
        <v>5</v>
      </c>
      <c r="D250">
        <v>2671</v>
      </c>
      <c r="E250">
        <f t="shared" si="3"/>
        <v>534.20000000000005</v>
      </c>
    </row>
    <row r="251" spans="1:5" x14ac:dyDescent="0.25">
      <c r="A251" s="1" t="s">
        <v>501</v>
      </c>
      <c r="B251" s="1" t="s">
        <v>502</v>
      </c>
      <c r="C251">
        <v>4</v>
      </c>
      <c r="D251">
        <v>4057</v>
      </c>
      <c r="E251">
        <f t="shared" si="3"/>
        <v>1014.25</v>
      </c>
    </row>
    <row r="252" spans="1:5" x14ac:dyDescent="0.25">
      <c r="A252" s="1" t="s">
        <v>503</v>
      </c>
      <c r="B252" s="1" t="s">
        <v>504</v>
      </c>
      <c r="C252">
        <v>4</v>
      </c>
      <c r="D252">
        <v>2926</v>
      </c>
      <c r="E252">
        <f t="shared" si="3"/>
        <v>731.5</v>
      </c>
    </row>
    <row r="253" spans="1:5" x14ac:dyDescent="0.25">
      <c r="A253" s="1" t="s">
        <v>505</v>
      </c>
      <c r="B253" s="1" t="s">
        <v>506</v>
      </c>
      <c r="C253">
        <v>4</v>
      </c>
      <c r="D253">
        <v>1253</v>
      </c>
      <c r="E253">
        <f t="shared" si="3"/>
        <v>313.25</v>
      </c>
    </row>
    <row r="254" spans="1:5" x14ac:dyDescent="0.25">
      <c r="A254" s="1" t="s">
        <v>507</v>
      </c>
      <c r="B254" s="1" t="s">
        <v>508</v>
      </c>
      <c r="C254">
        <v>4</v>
      </c>
      <c r="D254">
        <v>1489</v>
      </c>
      <c r="E254">
        <f t="shared" si="3"/>
        <v>372.25</v>
      </c>
    </row>
    <row r="255" spans="1:5" x14ac:dyDescent="0.25">
      <c r="A255" s="1" t="s">
        <v>509</v>
      </c>
      <c r="B255" s="1" t="s">
        <v>510</v>
      </c>
      <c r="C255">
        <v>3</v>
      </c>
      <c r="D255">
        <v>2137</v>
      </c>
      <c r="E255">
        <f t="shared" si="3"/>
        <v>712.33333333333337</v>
      </c>
    </row>
    <row r="256" spans="1:5" x14ac:dyDescent="0.25">
      <c r="A256" s="1" t="s">
        <v>511</v>
      </c>
      <c r="B256" s="1" t="s">
        <v>512</v>
      </c>
      <c r="C256">
        <v>2</v>
      </c>
      <c r="D256">
        <v>4343</v>
      </c>
      <c r="E256">
        <f t="shared" si="3"/>
        <v>2171.5</v>
      </c>
    </row>
    <row r="257" spans="1:5" x14ac:dyDescent="0.25">
      <c r="A257" s="1" t="s">
        <v>513</v>
      </c>
      <c r="B257" s="1" t="s">
        <v>514</v>
      </c>
      <c r="C257">
        <v>4</v>
      </c>
      <c r="D257">
        <v>2395</v>
      </c>
      <c r="E257">
        <f t="shared" si="3"/>
        <v>598.75</v>
      </c>
    </row>
    <row r="258" spans="1:5" x14ac:dyDescent="0.25">
      <c r="A258" s="1" t="s">
        <v>515</v>
      </c>
      <c r="B258" s="1" t="s">
        <v>516</v>
      </c>
      <c r="C258">
        <v>3</v>
      </c>
      <c r="D258">
        <v>1392</v>
      </c>
      <c r="E258">
        <f t="shared" si="3"/>
        <v>464</v>
      </c>
    </row>
    <row r="259" spans="1:5" x14ac:dyDescent="0.25">
      <c r="A259" s="1" t="s">
        <v>517</v>
      </c>
      <c r="B259" s="1" t="s">
        <v>518</v>
      </c>
      <c r="C259">
        <v>4</v>
      </c>
      <c r="D259">
        <v>1972</v>
      </c>
      <c r="E259">
        <f t="shared" ref="E259:E322" si="4">D259/C259</f>
        <v>493</v>
      </c>
    </row>
    <row r="260" spans="1:5" x14ac:dyDescent="0.25">
      <c r="A260" s="1" t="s">
        <v>519</v>
      </c>
      <c r="B260" s="1" t="s">
        <v>520</v>
      </c>
      <c r="C260">
        <v>6</v>
      </c>
      <c r="D260">
        <v>2579</v>
      </c>
      <c r="E260">
        <f t="shared" si="4"/>
        <v>429.83333333333331</v>
      </c>
    </row>
    <row r="261" spans="1:5" x14ac:dyDescent="0.25">
      <c r="A261" s="1" t="s">
        <v>521</v>
      </c>
      <c r="B261" s="1" t="s">
        <v>522</v>
      </c>
      <c r="C261">
        <v>6</v>
      </c>
      <c r="D261">
        <v>3970</v>
      </c>
      <c r="E261">
        <f t="shared" si="4"/>
        <v>661.66666666666663</v>
      </c>
    </row>
    <row r="262" spans="1:5" x14ac:dyDescent="0.25">
      <c r="A262" s="1" t="s">
        <v>523</v>
      </c>
      <c r="B262" s="1" t="s">
        <v>524</v>
      </c>
      <c r="C262">
        <v>4</v>
      </c>
      <c r="D262">
        <v>2288</v>
      </c>
      <c r="E262">
        <f t="shared" si="4"/>
        <v>572</v>
      </c>
    </row>
    <row r="263" spans="1:5" x14ac:dyDescent="0.25">
      <c r="A263" s="1" t="s">
        <v>525</v>
      </c>
      <c r="B263" s="1" t="s">
        <v>526</v>
      </c>
      <c r="C263">
        <v>4</v>
      </c>
      <c r="D263">
        <v>2594</v>
      </c>
      <c r="E263">
        <f t="shared" si="4"/>
        <v>648.5</v>
      </c>
    </row>
    <row r="264" spans="1:5" x14ac:dyDescent="0.25">
      <c r="A264" s="1" t="s">
        <v>527</v>
      </c>
      <c r="B264" s="1" t="s">
        <v>528</v>
      </c>
      <c r="C264">
        <v>3</v>
      </c>
      <c r="D264">
        <v>4180</v>
      </c>
      <c r="E264">
        <f t="shared" si="4"/>
        <v>1393.3333333333333</v>
      </c>
    </row>
    <row r="265" spans="1:5" x14ac:dyDescent="0.25">
      <c r="A265" s="1" t="s">
        <v>529</v>
      </c>
      <c r="B265" s="1" t="s">
        <v>530</v>
      </c>
      <c r="C265">
        <v>2</v>
      </c>
      <c r="D265">
        <v>2052</v>
      </c>
      <c r="E265">
        <f t="shared" si="4"/>
        <v>1026</v>
      </c>
    </row>
    <row r="266" spans="1:5" x14ac:dyDescent="0.25">
      <c r="A266" s="1" t="s">
        <v>531</v>
      </c>
      <c r="B266" s="1" t="s">
        <v>532</v>
      </c>
      <c r="C266">
        <v>5</v>
      </c>
      <c r="D266">
        <v>1194</v>
      </c>
      <c r="E266">
        <f t="shared" si="4"/>
        <v>238.8</v>
      </c>
    </row>
    <row r="267" spans="1:5" x14ac:dyDescent="0.25">
      <c r="A267" s="1" t="s">
        <v>533</v>
      </c>
      <c r="B267" s="1" t="s">
        <v>534</v>
      </c>
      <c r="C267">
        <v>6</v>
      </c>
      <c r="D267">
        <v>974</v>
      </c>
      <c r="E267">
        <f t="shared" si="4"/>
        <v>162.33333333333334</v>
      </c>
    </row>
    <row r="268" spans="1:5" x14ac:dyDescent="0.25">
      <c r="A268" s="1" t="s">
        <v>535</v>
      </c>
      <c r="B268" s="1" t="s">
        <v>536</v>
      </c>
      <c r="C268">
        <v>6</v>
      </c>
      <c r="D268">
        <v>1390</v>
      </c>
      <c r="E268">
        <f t="shared" si="4"/>
        <v>231.66666666666666</v>
      </c>
    </row>
    <row r="269" spans="1:5" x14ac:dyDescent="0.25">
      <c r="A269" s="1" t="s">
        <v>537</v>
      </c>
      <c r="B269" s="1" t="s">
        <v>538</v>
      </c>
      <c r="C269">
        <v>3</v>
      </c>
      <c r="D269">
        <v>871</v>
      </c>
      <c r="E269">
        <f t="shared" si="4"/>
        <v>290.33333333333331</v>
      </c>
    </row>
    <row r="270" spans="1:5" x14ac:dyDescent="0.25">
      <c r="A270" s="1" t="s">
        <v>539</v>
      </c>
      <c r="B270" s="1" t="s">
        <v>540</v>
      </c>
      <c r="C270">
        <v>3</v>
      </c>
      <c r="D270">
        <v>4221</v>
      </c>
      <c r="E270">
        <f t="shared" si="4"/>
        <v>1407</v>
      </c>
    </row>
    <row r="271" spans="1:5" x14ac:dyDescent="0.25">
      <c r="A271" s="1" t="s">
        <v>541</v>
      </c>
      <c r="B271" s="1" t="s">
        <v>542</v>
      </c>
      <c r="C271">
        <v>3</v>
      </c>
      <c r="D271">
        <v>2794</v>
      </c>
      <c r="E271">
        <f t="shared" si="4"/>
        <v>931.33333333333337</v>
      </c>
    </row>
    <row r="272" spans="1:5" x14ac:dyDescent="0.25">
      <c r="A272" s="1" t="s">
        <v>543</v>
      </c>
      <c r="B272" s="1" t="s">
        <v>544</v>
      </c>
      <c r="C272">
        <v>4</v>
      </c>
      <c r="D272">
        <v>3250</v>
      </c>
      <c r="E272">
        <f t="shared" si="4"/>
        <v>812.5</v>
      </c>
    </row>
    <row r="273" spans="1:5" x14ac:dyDescent="0.25">
      <c r="A273" s="1" t="s">
        <v>545</v>
      </c>
      <c r="B273" s="1" t="s">
        <v>546</v>
      </c>
      <c r="C273">
        <v>5</v>
      </c>
      <c r="D273">
        <v>2045</v>
      </c>
      <c r="E273">
        <f t="shared" si="4"/>
        <v>409</v>
      </c>
    </row>
    <row r="274" spans="1:5" x14ac:dyDescent="0.25">
      <c r="A274" s="1" t="s">
        <v>547</v>
      </c>
      <c r="B274" s="1" t="s">
        <v>548</v>
      </c>
      <c r="C274">
        <v>4</v>
      </c>
      <c r="D274">
        <v>2054</v>
      </c>
      <c r="E274">
        <f t="shared" si="4"/>
        <v>513.5</v>
      </c>
    </row>
    <row r="275" spans="1:5" x14ac:dyDescent="0.25">
      <c r="A275" s="1" t="s">
        <v>549</v>
      </c>
      <c r="B275" s="1" t="s">
        <v>550</v>
      </c>
      <c r="C275">
        <v>2</v>
      </c>
      <c r="D275">
        <v>1893</v>
      </c>
      <c r="E275">
        <f t="shared" si="4"/>
        <v>946.5</v>
      </c>
    </row>
    <row r="276" spans="1:5" x14ac:dyDescent="0.25">
      <c r="A276" s="1" t="s">
        <v>551</v>
      </c>
      <c r="B276" s="1" t="s">
        <v>552</v>
      </c>
      <c r="C276">
        <v>6</v>
      </c>
      <c r="D276">
        <v>2170</v>
      </c>
      <c r="E276">
        <f t="shared" si="4"/>
        <v>361.66666666666669</v>
      </c>
    </row>
    <row r="277" spans="1:5" x14ac:dyDescent="0.25">
      <c r="A277" s="1" t="s">
        <v>553</v>
      </c>
      <c r="B277" s="1" t="s">
        <v>554</v>
      </c>
      <c r="C277">
        <v>3</v>
      </c>
      <c r="D277">
        <v>1305</v>
      </c>
      <c r="E277">
        <f t="shared" si="4"/>
        <v>435</v>
      </c>
    </row>
    <row r="278" spans="1:5" x14ac:dyDescent="0.25">
      <c r="A278" s="1" t="s">
        <v>555</v>
      </c>
      <c r="B278" s="1" t="s">
        <v>556</v>
      </c>
      <c r="C278">
        <v>4</v>
      </c>
      <c r="D278">
        <v>1492</v>
      </c>
      <c r="E278">
        <f t="shared" si="4"/>
        <v>373</v>
      </c>
    </row>
    <row r="279" spans="1:5" x14ac:dyDescent="0.25">
      <c r="A279" s="1" t="s">
        <v>557</v>
      </c>
      <c r="B279" s="1" t="s">
        <v>558</v>
      </c>
      <c r="C279">
        <v>5</v>
      </c>
      <c r="D279">
        <v>2083</v>
      </c>
      <c r="E279">
        <f t="shared" si="4"/>
        <v>416.6</v>
      </c>
    </row>
    <row r="280" spans="1:5" x14ac:dyDescent="0.25">
      <c r="A280" s="1" t="s">
        <v>559</v>
      </c>
      <c r="B280" s="1" t="s">
        <v>560</v>
      </c>
      <c r="C280">
        <v>5</v>
      </c>
      <c r="D280">
        <v>1517</v>
      </c>
      <c r="E280">
        <f t="shared" si="4"/>
        <v>303.39999999999998</v>
      </c>
    </row>
    <row r="281" spans="1:5" x14ac:dyDescent="0.25">
      <c r="A281" s="1" t="s">
        <v>561</v>
      </c>
      <c r="B281" s="1" t="s">
        <v>562</v>
      </c>
      <c r="C281">
        <v>2</v>
      </c>
      <c r="D281">
        <v>3369</v>
      </c>
      <c r="E281">
        <f t="shared" si="4"/>
        <v>1684.5</v>
      </c>
    </row>
    <row r="282" spans="1:5" x14ac:dyDescent="0.25">
      <c r="A282" s="1" t="s">
        <v>563</v>
      </c>
      <c r="B282" s="1" t="s">
        <v>564</v>
      </c>
      <c r="C282">
        <v>3</v>
      </c>
      <c r="D282">
        <v>3523</v>
      </c>
      <c r="E282">
        <f t="shared" si="4"/>
        <v>1174.3333333333333</v>
      </c>
    </row>
    <row r="283" spans="1:5" x14ac:dyDescent="0.25">
      <c r="A283" s="1" t="s">
        <v>565</v>
      </c>
      <c r="B283" s="1" t="s">
        <v>566</v>
      </c>
      <c r="C283">
        <v>5</v>
      </c>
      <c r="D283">
        <v>2731</v>
      </c>
      <c r="E283">
        <f t="shared" si="4"/>
        <v>546.20000000000005</v>
      </c>
    </row>
    <row r="284" spans="1:5" x14ac:dyDescent="0.25">
      <c r="A284" s="1" t="s">
        <v>567</v>
      </c>
      <c r="B284" s="1" t="s">
        <v>568</v>
      </c>
      <c r="C284">
        <v>6</v>
      </c>
      <c r="D284">
        <v>3656</v>
      </c>
      <c r="E284">
        <f t="shared" si="4"/>
        <v>609.33333333333337</v>
      </c>
    </row>
    <row r="285" spans="1:5" x14ac:dyDescent="0.25">
      <c r="A285" s="1" t="s">
        <v>569</v>
      </c>
      <c r="B285" s="1" t="s">
        <v>570</v>
      </c>
      <c r="C285">
        <v>6</v>
      </c>
      <c r="D285">
        <v>4308</v>
      </c>
      <c r="E285">
        <f t="shared" si="4"/>
        <v>718</v>
      </c>
    </row>
    <row r="286" spans="1:5" x14ac:dyDescent="0.25">
      <c r="A286" s="1" t="s">
        <v>571</v>
      </c>
      <c r="B286" s="1" t="s">
        <v>572</v>
      </c>
      <c r="C286">
        <v>4</v>
      </c>
      <c r="D286">
        <v>3075</v>
      </c>
      <c r="E286">
        <f t="shared" si="4"/>
        <v>768.75</v>
      </c>
    </row>
    <row r="287" spans="1:5" x14ac:dyDescent="0.25">
      <c r="A287" s="1" t="s">
        <v>573</v>
      </c>
      <c r="B287" s="1" t="s">
        <v>574</v>
      </c>
      <c r="C287">
        <v>3</v>
      </c>
      <c r="D287">
        <v>1833</v>
      </c>
      <c r="E287">
        <f t="shared" si="4"/>
        <v>611</v>
      </c>
    </row>
    <row r="288" spans="1:5" x14ac:dyDescent="0.25">
      <c r="A288" s="1" t="s">
        <v>575</v>
      </c>
      <c r="B288" s="1" t="s">
        <v>576</v>
      </c>
      <c r="C288">
        <v>6</v>
      </c>
      <c r="D288">
        <v>2099</v>
      </c>
      <c r="E288">
        <f t="shared" si="4"/>
        <v>349.83333333333331</v>
      </c>
    </row>
    <row r="289" spans="1:5" x14ac:dyDescent="0.25">
      <c r="A289" s="1" t="s">
        <v>577</v>
      </c>
      <c r="B289" s="1" t="s">
        <v>578</v>
      </c>
      <c r="C289">
        <v>3</v>
      </c>
      <c r="D289">
        <v>1578</v>
      </c>
      <c r="E289">
        <f t="shared" si="4"/>
        <v>526</v>
      </c>
    </row>
    <row r="290" spans="1:5" x14ac:dyDescent="0.25">
      <c r="A290" s="1" t="s">
        <v>579</v>
      </c>
      <c r="B290" s="1" t="s">
        <v>580</v>
      </c>
      <c r="C290">
        <v>4</v>
      </c>
      <c r="D290">
        <v>2014</v>
      </c>
      <c r="E290">
        <f t="shared" si="4"/>
        <v>503.5</v>
      </c>
    </row>
    <row r="291" spans="1:5" x14ac:dyDescent="0.25">
      <c r="A291" s="1" t="s">
        <v>581</v>
      </c>
      <c r="B291" s="1" t="s">
        <v>582</v>
      </c>
      <c r="C291">
        <v>5</v>
      </c>
      <c r="D291">
        <v>2835</v>
      </c>
      <c r="E291">
        <f t="shared" si="4"/>
        <v>567</v>
      </c>
    </row>
    <row r="292" spans="1:5" x14ac:dyDescent="0.25">
      <c r="A292" s="1" t="s">
        <v>583</v>
      </c>
      <c r="B292" s="1" t="s">
        <v>584</v>
      </c>
      <c r="C292">
        <v>6</v>
      </c>
      <c r="D292">
        <v>1888</v>
      </c>
      <c r="E292">
        <f t="shared" si="4"/>
        <v>314.66666666666669</v>
      </c>
    </row>
    <row r="293" spans="1:5" x14ac:dyDescent="0.25">
      <c r="A293" s="1" t="s">
        <v>585</v>
      </c>
      <c r="B293" s="1" t="s">
        <v>586</v>
      </c>
      <c r="C293">
        <v>5</v>
      </c>
      <c r="D293">
        <v>2946</v>
      </c>
      <c r="E293">
        <f t="shared" si="4"/>
        <v>589.20000000000005</v>
      </c>
    </row>
    <row r="294" spans="1:5" x14ac:dyDescent="0.25">
      <c r="A294" s="1" t="s">
        <v>587</v>
      </c>
      <c r="B294" s="1" t="s">
        <v>588</v>
      </c>
      <c r="C294">
        <v>4</v>
      </c>
      <c r="D294">
        <v>1716</v>
      </c>
      <c r="E294">
        <f t="shared" si="4"/>
        <v>429</v>
      </c>
    </row>
    <row r="295" spans="1:5" x14ac:dyDescent="0.25">
      <c r="A295" s="1" t="s">
        <v>589</v>
      </c>
      <c r="B295" s="1" t="s">
        <v>590</v>
      </c>
      <c r="C295">
        <v>5</v>
      </c>
      <c r="D295">
        <v>3318</v>
      </c>
      <c r="E295">
        <f t="shared" si="4"/>
        <v>663.6</v>
      </c>
    </row>
    <row r="296" spans="1:5" x14ac:dyDescent="0.25">
      <c r="A296" s="1" t="s">
        <v>591</v>
      </c>
      <c r="B296" s="1" t="s">
        <v>592</v>
      </c>
      <c r="C296">
        <v>4</v>
      </c>
      <c r="D296">
        <v>4362</v>
      </c>
      <c r="E296">
        <f t="shared" si="4"/>
        <v>1090.5</v>
      </c>
    </row>
    <row r="297" spans="1:5" x14ac:dyDescent="0.25">
      <c r="A297" s="1" t="s">
        <v>593</v>
      </c>
      <c r="B297" s="1" t="s">
        <v>594</v>
      </c>
      <c r="C297">
        <v>2</v>
      </c>
      <c r="D297">
        <v>1805</v>
      </c>
      <c r="E297">
        <f t="shared" si="4"/>
        <v>902.5</v>
      </c>
    </row>
    <row r="298" spans="1:5" x14ac:dyDescent="0.25">
      <c r="A298" s="1" t="s">
        <v>595</v>
      </c>
      <c r="B298" s="1" t="s">
        <v>596</v>
      </c>
      <c r="C298">
        <v>4</v>
      </c>
      <c r="D298">
        <v>1924</v>
      </c>
      <c r="E298">
        <f t="shared" si="4"/>
        <v>481</v>
      </c>
    </row>
    <row r="299" spans="1:5" x14ac:dyDescent="0.25">
      <c r="A299" s="1" t="s">
        <v>597</v>
      </c>
      <c r="B299" s="1" t="s">
        <v>598</v>
      </c>
      <c r="C299">
        <v>5</v>
      </c>
      <c r="D299">
        <v>3572</v>
      </c>
      <c r="E299">
        <f t="shared" si="4"/>
        <v>714.4</v>
      </c>
    </row>
    <row r="300" spans="1:5" x14ac:dyDescent="0.25">
      <c r="A300" s="1" t="s">
        <v>599</v>
      </c>
      <c r="B300" s="1" t="s">
        <v>600</v>
      </c>
      <c r="C300">
        <v>5</v>
      </c>
      <c r="D300">
        <v>3029</v>
      </c>
      <c r="E300">
        <f t="shared" si="4"/>
        <v>605.79999999999995</v>
      </c>
    </row>
    <row r="301" spans="1:5" x14ac:dyDescent="0.25">
      <c r="A301" s="1" t="s">
        <v>601</v>
      </c>
      <c r="B301" s="1" t="s">
        <v>602</v>
      </c>
      <c r="C301">
        <v>4</v>
      </c>
      <c r="D301">
        <v>1901</v>
      </c>
      <c r="E301">
        <f t="shared" si="4"/>
        <v>475.25</v>
      </c>
    </row>
    <row r="302" spans="1:5" x14ac:dyDescent="0.25">
      <c r="A302" s="1" t="s">
        <v>603</v>
      </c>
      <c r="B302" s="1" t="s">
        <v>604</v>
      </c>
      <c r="C302">
        <v>4</v>
      </c>
      <c r="D302">
        <v>2519</v>
      </c>
      <c r="E302">
        <f t="shared" si="4"/>
        <v>629.75</v>
      </c>
    </row>
    <row r="303" spans="1:5" x14ac:dyDescent="0.25">
      <c r="A303" s="1" t="s">
        <v>605</v>
      </c>
      <c r="B303" s="1" t="s">
        <v>606</v>
      </c>
      <c r="C303">
        <v>4</v>
      </c>
      <c r="D303">
        <v>3628</v>
      </c>
      <c r="E303">
        <f t="shared" si="4"/>
        <v>907</v>
      </c>
    </row>
    <row r="304" spans="1:5" x14ac:dyDescent="0.25">
      <c r="A304" s="1" t="s">
        <v>607</v>
      </c>
      <c r="B304" s="1" t="s">
        <v>608</v>
      </c>
      <c r="C304">
        <v>3</v>
      </c>
      <c r="D304">
        <v>2369</v>
      </c>
      <c r="E304">
        <f t="shared" si="4"/>
        <v>789.66666666666663</v>
      </c>
    </row>
    <row r="305" spans="1:5" x14ac:dyDescent="0.25">
      <c r="A305" s="1" t="s">
        <v>609</v>
      </c>
      <c r="B305" s="1" t="s">
        <v>610</v>
      </c>
      <c r="C305">
        <v>5</v>
      </c>
      <c r="D305">
        <v>2111</v>
      </c>
      <c r="E305">
        <f t="shared" si="4"/>
        <v>422.2</v>
      </c>
    </row>
    <row r="306" spans="1:5" x14ac:dyDescent="0.25">
      <c r="A306" s="1" t="s">
        <v>611</v>
      </c>
      <c r="B306" s="1" t="s">
        <v>612</v>
      </c>
      <c r="C306">
        <v>4</v>
      </c>
      <c r="D306">
        <v>828</v>
      </c>
      <c r="E306">
        <f t="shared" si="4"/>
        <v>207</v>
      </c>
    </row>
    <row r="307" spans="1:5" x14ac:dyDescent="0.25">
      <c r="A307" s="1" t="s">
        <v>613</v>
      </c>
      <c r="B307" s="1" t="s">
        <v>614</v>
      </c>
      <c r="C307">
        <v>5</v>
      </c>
      <c r="D307">
        <v>2270</v>
      </c>
      <c r="E307">
        <f t="shared" si="4"/>
        <v>454</v>
      </c>
    </row>
    <row r="308" spans="1:5" x14ac:dyDescent="0.25">
      <c r="A308" s="1" t="s">
        <v>615</v>
      </c>
      <c r="B308" s="1" t="s">
        <v>616</v>
      </c>
      <c r="C308">
        <v>6</v>
      </c>
      <c r="D308">
        <v>1285</v>
      </c>
      <c r="E308">
        <f t="shared" si="4"/>
        <v>214.16666666666666</v>
      </c>
    </row>
    <row r="309" spans="1:5" x14ac:dyDescent="0.25">
      <c r="A309" s="1" t="s">
        <v>617</v>
      </c>
      <c r="B309" s="1" t="s">
        <v>618</v>
      </c>
      <c r="C309">
        <v>4</v>
      </c>
      <c r="D309">
        <v>1021</v>
      </c>
      <c r="E309">
        <f t="shared" si="4"/>
        <v>255.25</v>
      </c>
    </row>
    <row r="310" spans="1:5" x14ac:dyDescent="0.25">
      <c r="A310" s="1" t="s">
        <v>619</v>
      </c>
      <c r="B310" s="1" t="s">
        <v>620</v>
      </c>
      <c r="C310">
        <v>4</v>
      </c>
      <c r="D310">
        <v>995</v>
      </c>
      <c r="E310">
        <f t="shared" si="4"/>
        <v>248.75</v>
      </c>
    </row>
    <row r="311" spans="1:5" x14ac:dyDescent="0.25">
      <c r="A311" s="1" t="s">
        <v>621</v>
      </c>
      <c r="B311" s="1" t="s">
        <v>622</v>
      </c>
      <c r="C311">
        <v>6</v>
      </c>
      <c r="D311">
        <v>4040</v>
      </c>
      <c r="E311">
        <f t="shared" si="4"/>
        <v>673.33333333333337</v>
      </c>
    </row>
    <row r="312" spans="1:5" x14ac:dyDescent="0.25">
      <c r="A312" s="1" t="s">
        <v>623</v>
      </c>
      <c r="B312" s="1" t="s">
        <v>624</v>
      </c>
      <c r="C312">
        <v>5</v>
      </c>
      <c r="D312">
        <v>1446</v>
      </c>
      <c r="E312">
        <f t="shared" si="4"/>
        <v>289.2</v>
      </c>
    </row>
    <row r="313" spans="1:5" x14ac:dyDescent="0.25">
      <c r="A313" s="1" t="s">
        <v>625</v>
      </c>
      <c r="B313" s="1" t="s">
        <v>626</v>
      </c>
      <c r="C313">
        <v>2</v>
      </c>
      <c r="D313">
        <v>2354</v>
      </c>
      <c r="E313">
        <f t="shared" si="4"/>
        <v>1177</v>
      </c>
    </row>
    <row r="314" spans="1:5" x14ac:dyDescent="0.25">
      <c r="A314" s="1" t="s">
        <v>627</v>
      </c>
      <c r="B314" s="1" t="s">
        <v>628</v>
      </c>
      <c r="C314">
        <v>2</v>
      </c>
      <c r="D314">
        <v>3651</v>
      </c>
      <c r="E314">
        <f t="shared" si="4"/>
        <v>1825.5</v>
      </c>
    </row>
    <row r="315" spans="1:5" x14ac:dyDescent="0.25">
      <c r="A315" s="1" t="s">
        <v>629</v>
      </c>
      <c r="B315" s="1" t="s">
        <v>630</v>
      </c>
      <c r="C315">
        <v>3</v>
      </c>
      <c r="D315">
        <v>1392</v>
      </c>
      <c r="E315">
        <f t="shared" si="4"/>
        <v>464</v>
      </c>
    </row>
    <row r="316" spans="1:5" x14ac:dyDescent="0.25">
      <c r="A316" s="1" t="s">
        <v>631</v>
      </c>
      <c r="B316" s="1" t="s">
        <v>632</v>
      </c>
      <c r="C316">
        <v>5</v>
      </c>
      <c r="D316">
        <v>1688</v>
      </c>
      <c r="E316">
        <f t="shared" si="4"/>
        <v>337.6</v>
      </c>
    </row>
    <row r="317" spans="1:5" x14ac:dyDescent="0.25">
      <c r="A317" s="1" t="s">
        <v>633</v>
      </c>
      <c r="B317" s="1" t="s">
        <v>634</v>
      </c>
      <c r="C317">
        <v>4</v>
      </c>
      <c r="D317">
        <v>2043</v>
      </c>
      <c r="E317">
        <f t="shared" si="4"/>
        <v>510.75</v>
      </c>
    </row>
    <row r="318" spans="1:5" x14ac:dyDescent="0.25">
      <c r="A318" s="1" t="s">
        <v>635</v>
      </c>
      <c r="B318" s="1" t="s">
        <v>636</v>
      </c>
      <c r="C318">
        <v>3</v>
      </c>
      <c r="D318">
        <v>3865</v>
      </c>
      <c r="E318">
        <f t="shared" si="4"/>
        <v>1288.3333333333333</v>
      </c>
    </row>
    <row r="319" spans="1:5" x14ac:dyDescent="0.25">
      <c r="A319" s="1" t="s">
        <v>637</v>
      </c>
      <c r="B319" s="1" t="s">
        <v>638</v>
      </c>
      <c r="C319">
        <v>2</v>
      </c>
      <c r="D319">
        <v>2066</v>
      </c>
      <c r="E319">
        <f t="shared" si="4"/>
        <v>1033</v>
      </c>
    </row>
    <row r="320" spans="1:5" x14ac:dyDescent="0.25">
      <c r="A320" s="1" t="s">
        <v>639</v>
      </c>
      <c r="B320" s="1" t="s">
        <v>640</v>
      </c>
      <c r="C320">
        <v>6</v>
      </c>
      <c r="D320">
        <v>3497</v>
      </c>
      <c r="E320">
        <f t="shared" si="4"/>
        <v>582.83333333333337</v>
      </c>
    </row>
    <row r="321" spans="1:5" x14ac:dyDescent="0.25">
      <c r="A321" s="1" t="s">
        <v>641</v>
      </c>
      <c r="B321" s="1" t="s">
        <v>642</v>
      </c>
      <c r="C321">
        <v>4</v>
      </c>
      <c r="D321">
        <v>1939</v>
      </c>
      <c r="E321">
        <f t="shared" si="4"/>
        <v>484.75</v>
      </c>
    </row>
    <row r="322" spans="1:5" x14ac:dyDescent="0.25">
      <c r="A322" s="1" t="s">
        <v>643</v>
      </c>
      <c r="B322" s="1" t="s">
        <v>644</v>
      </c>
      <c r="C322">
        <v>6</v>
      </c>
      <c r="D322">
        <v>3811</v>
      </c>
      <c r="E322">
        <f t="shared" si="4"/>
        <v>635.16666666666663</v>
      </c>
    </row>
    <row r="323" spans="1:5" x14ac:dyDescent="0.25">
      <c r="A323" s="1" t="s">
        <v>645</v>
      </c>
      <c r="B323" s="1" t="s">
        <v>646</v>
      </c>
      <c r="C323">
        <v>5</v>
      </c>
      <c r="D323">
        <v>1435</v>
      </c>
      <c r="E323">
        <f t="shared" ref="E323:E386" si="5">D323/C323</f>
        <v>287</v>
      </c>
    </row>
    <row r="324" spans="1:5" x14ac:dyDescent="0.25">
      <c r="A324" s="1" t="s">
        <v>647</v>
      </c>
      <c r="B324" s="1" t="s">
        <v>648</v>
      </c>
      <c r="C324">
        <v>5</v>
      </c>
      <c r="D324">
        <v>2434</v>
      </c>
      <c r="E324">
        <f t="shared" si="5"/>
        <v>486.8</v>
      </c>
    </row>
    <row r="325" spans="1:5" x14ac:dyDescent="0.25">
      <c r="A325" s="1" t="s">
        <v>649</v>
      </c>
      <c r="B325" s="1" t="s">
        <v>650</v>
      </c>
      <c r="C325">
        <v>4</v>
      </c>
      <c r="D325">
        <v>4149</v>
      </c>
      <c r="E325">
        <f t="shared" si="5"/>
        <v>1037.25</v>
      </c>
    </row>
    <row r="326" spans="1:5" x14ac:dyDescent="0.25">
      <c r="A326" s="1" t="s">
        <v>651</v>
      </c>
      <c r="B326" s="1" t="s">
        <v>652</v>
      </c>
      <c r="C326">
        <v>3</v>
      </c>
      <c r="D326">
        <v>3303</v>
      </c>
      <c r="E326">
        <f t="shared" si="5"/>
        <v>1101</v>
      </c>
    </row>
    <row r="327" spans="1:5" x14ac:dyDescent="0.25">
      <c r="A327" s="1" t="s">
        <v>653</v>
      </c>
      <c r="B327" s="1" t="s">
        <v>654</v>
      </c>
      <c r="C327">
        <v>2</v>
      </c>
      <c r="D327">
        <v>790</v>
      </c>
      <c r="E327">
        <f t="shared" si="5"/>
        <v>395</v>
      </c>
    </row>
    <row r="328" spans="1:5" x14ac:dyDescent="0.25">
      <c r="A328" s="1" t="s">
        <v>655</v>
      </c>
      <c r="B328" s="1" t="s">
        <v>656</v>
      </c>
      <c r="C328">
        <v>2</v>
      </c>
      <c r="D328">
        <v>3168</v>
      </c>
      <c r="E328">
        <f t="shared" si="5"/>
        <v>1584</v>
      </c>
    </row>
    <row r="329" spans="1:5" x14ac:dyDescent="0.25">
      <c r="A329" s="1" t="s">
        <v>657</v>
      </c>
      <c r="B329" s="1" t="s">
        <v>658</v>
      </c>
      <c r="C329">
        <v>5</v>
      </c>
      <c r="D329">
        <v>1235</v>
      </c>
      <c r="E329">
        <f t="shared" si="5"/>
        <v>247</v>
      </c>
    </row>
    <row r="330" spans="1:5" x14ac:dyDescent="0.25">
      <c r="A330" s="1" t="s">
        <v>659</v>
      </c>
      <c r="B330" s="1" t="s">
        <v>660</v>
      </c>
      <c r="C330">
        <v>5</v>
      </c>
      <c r="D330">
        <v>763</v>
      </c>
      <c r="E330">
        <f t="shared" si="5"/>
        <v>152.6</v>
      </c>
    </row>
    <row r="331" spans="1:5" x14ac:dyDescent="0.25">
      <c r="A331" s="1" t="s">
        <v>661</v>
      </c>
      <c r="B331" s="1" t="s">
        <v>662</v>
      </c>
      <c r="C331">
        <v>4</v>
      </c>
      <c r="D331">
        <v>3317</v>
      </c>
      <c r="E331">
        <f t="shared" si="5"/>
        <v>829.25</v>
      </c>
    </row>
    <row r="332" spans="1:5" x14ac:dyDescent="0.25">
      <c r="A332" s="1" t="s">
        <v>663</v>
      </c>
      <c r="B332" s="1" t="s">
        <v>664</v>
      </c>
      <c r="C332">
        <v>6</v>
      </c>
      <c r="D332">
        <v>2055</v>
      </c>
      <c r="E332">
        <f t="shared" si="5"/>
        <v>342.5</v>
      </c>
    </row>
    <row r="333" spans="1:5" x14ac:dyDescent="0.25">
      <c r="A333" s="1" t="s">
        <v>665</v>
      </c>
      <c r="B333" s="1" t="s">
        <v>666</v>
      </c>
      <c r="C333">
        <v>5</v>
      </c>
      <c r="D333">
        <v>3350</v>
      </c>
      <c r="E333">
        <f t="shared" si="5"/>
        <v>670</v>
      </c>
    </row>
    <row r="334" spans="1:5" x14ac:dyDescent="0.25">
      <c r="A334" s="1" t="s">
        <v>667</v>
      </c>
      <c r="B334" s="1" t="s">
        <v>668</v>
      </c>
      <c r="C334">
        <v>6</v>
      </c>
      <c r="D334">
        <v>968</v>
      </c>
      <c r="E334">
        <f t="shared" si="5"/>
        <v>161.33333333333334</v>
      </c>
    </row>
    <row r="335" spans="1:5" x14ac:dyDescent="0.25">
      <c r="A335" s="1" t="s">
        <v>669</v>
      </c>
      <c r="B335" s="1" t="s">
        <v>670</v>
      </c>
      <c r="C335">
        <v>5</v>
      </c>
      <c r="D335">
        <v>3920</v>
      </c>
      <c r="E335">
        <f t="shared" si="5"/>
        <v>784</v>
      </c>
    </row>
    <row r="336" spans="1:5" x14ac:dyDescent="0.25">
      <c r="A336" s="1" t="s">
        <v>671</v>
      </c>
      <c r="B336" s="1" t="s">
        <v>672</v>
      </c>
      <c r="C336">
        <v>2</v>
      </c>
      <c r="D336">
        <v>2936</v>
      </c>
      <c r="E336">
        <f t="shared" si="5"/>
        <v>1468</v>
      </c>
    </row>
    <row r="337" spans="1:5" x14ac:dyDescent="0.25">
      <c r="A337" s="1" t="s">
        <v>673</v>
      </c>
      <c r="B337" s="1" t="s">
        <v>674</v>
      </c>
      <c r="C337">
        <v>2</v>
      </c>
      <c r="D337">
        <v>2262</v>
      </c>
      <c r="E337">
        <f t="shared" si="5"/>
        <v>1131</v>
      </c>
    </row>
    <row r="338" spans="1:5" x14ac:dyDescent="0.25">
      <c r="A338" s="1" t="s">
        <v>675</v>
      </c>
      <c r="B338" s="1" t="s">
        <v>676</v>
      </c>
      <c r="C338">
        <v>5</v>
      </c>
      <c r="D338">
        <v>3986</v>
      </c>
      <c r="E338">
        <f t="shared" si="5"/>
        <v>797.2</v>
      </c>
    </row>
    <row r="339" spans="1:5" x14ac:dyDescent="0.25">
      <c r="A339" s="1" t="s">
        <v>677</v>
      </c>
      <c r="B339" s="1" t="s">
        <v>678</v>
      </c>
      <c r="C339">
        <v>3</v>
      </c>
      <c r="D339">
        <v>2163</v>
      </c>
      <c r="E339">
        <f t="shared" si="5"/>
        <v>721</v>
      </c>
    </row>
    <row r="340" spans="1:5" x14ac:dyDescent="0.25">
      <c r="A340" s="1" t="s">
        <v>679</v>
      </c>
      <c r="B340" s="1" t="s">
        <v>680</v>
      </c>
      <c r="C340">
        <v>3</v>
      </c>
      <c r="D340">
        <v>2501</v>
      </c>
      <c r="E340">
        <f t="shared" si="5"/>
        <v>833.66666666666663</v>
      </c>
    </row>
    <row r="341" spans="1:5" x14ac:dyDescent="0.25">
      <c r="A341" s="1" t="s">
        <v>681</v>
      </c>
      <c r="B341" s="1" t="s">
        <v>682</v>
      </c>
      <c r="C341">
        <v>3</v>
      </c>
      <c r="D341">
        <v>1186</v>
      </c>
      <c r="E341">
        <f t="shared" si="5"/>
        <v>395.33333333333331</v>
      </c>
    </row>
    <row r="342" spans="1:5" x14ac:dyDescent="0.25">
      <c r="A342" s="1" t="s">
        <v>683</v>
      </c>
      <c r="B342" s="1" t="s">
        <v>684</v>
      </c>
      <c r="C342">
        <v>4</v>
      </c>
      <c r="D342">
        <v>1206</v>
      </c>
      <c r="E342">
        <f t="shared" si="5"/>
        <v>301.5</v>
      </c>
    </row>
    <row r="343" spans="1:5" x14ac:dyDescent="0.25">
      <c r="A343" s="1" t="s">
        <v>685</v>
      </c>
      <c r="B343" s="1" t="s">
        <v>686</v>
      </c>
      <c r="C343">
        <v>5</v>
      </c>
      <c r="D343">
        <v>3613</v>
      </c>
      <c r="E343">
        <f t="shared" si="5"/>
        <v>722.6</v>
      </c>
    </row>
    <row r="344" spans="1:5" x14ac:dyDescent="0.25">
      <c r="A344" s="1" t="s">
        <v>687</v>
      </c>
      <c r="B344" s="1" t="s">
        <v>688</v>
      </c>
      <c r="C344">
        <v>5</v>
      </c>
      <c r="D344">
        <v>3248</v>
      </c>
      <c r="E344">
        <f t="shared" si="5"/>
        <v>649.6</v>
      </c>
    </row>
    <row r="345" spans="1:5" x14ac:dyDescent="0.25">
      <c r="A345" s="1" t="s">
        <v>689</v>
      </c>
      <c r="B345" s="1" t="s">
        <v>690</v>
      </c>
      <c r="C345">
        <v>4</v>
      </c>
      <c r="D345">
        <v>3613</v>
      </c>
      <c r="E345">
        <f t="shared" si="5"/>
        <v>903.25</v>
      </c>
    </row>
    <row r="346" spans="1:5" x14ac:dyDescent="0.25">
      <c r="A346" s="1" t="s">
        <v>691</v>
      </c>
      <c r="B346" s="1" t="s">
        <v>692</v>
      </c>
      <c r="C346">
        <v>3</v>
      </c>
      <c r="D346">
        <v>2202</v>
      </c>
      <c r="E346">
        <f t="shared" si="5"/>
        <v>734</v>
      </c>
    </row>
    <row r="347" spans="1:5" x14ac:dyDescent="0.25">
      <c r="A347" s="1" t="s">
        <v>693</v>
      </c>
      <c r="B347" s="1" t="s">
        <v>694</v>
      </c>
      <c r="C347">
        <v>4</v>
      </c>
      <c r="D347">
        <v>1012</v>
      </c>
      <c r="E347">
        <f t="shared" si="5"/>
        <v>253</v>
      </c>
    </row>
    <row r="348" spans="1:5" x14ac:dyDescent="0.25">
      <c r="A348" s="1" t="s">
        <v>695</v>
      </c>
      <c r="B348" s="1" t="s">
        <v>696</v>
      </c>
      <c r="C348">
        <v>3</v>
      </c>
      <c r="D348">
        <v>4087</v>
      </c>
      <c r="E348">
        <f t="shared" si="5"/>
        <v>1362.3333333333333</v>
      </c>
    </row>
    <row r="349" spans="1:5" x14ac:dyDescent="0.25">
      <c r="A349" s="1" t="s">
        <v>697</v>
      </c>
      <c r="B349" s="1" t="s">
        <v>698</v>
      </c>
      <c r="C349">
        <v>4</v>
      </c>
      <c r="D349">
        <v>1892</v>
      </c>
      <c r="E349">
        <f t="shared" si="5"/>
        <v>473</v>
      </c>
    </row>
    <row r="350" spans="1:5" x14ac:dyDescent="0.25">
      <c r="A350" s="1" t="s">
        <v>699</v>
      </c>
      <c r="B350" s="1" t="s">
        <v>700</v>
      </c>
      <c r="C350">
        <v>2</v>
      </c>
      <c r="D350">
        <v>3119</v>
      </c>
      <c r="E350">
        <f t="shared" si="5"/>
        <v>1559.5</v>
      </c>
    </row>
    <row r="351" spans="1:5" x14ac:dyDescent="0.25">
      <c r="A351" s="1" t="s">
        <v>701</v>
      </c>
      <c r="B351" s="1" t="s">
        <v>702</v>
      </c>
      <c r="C351">
        <v>3</v>
      </c>
      <c r="D351">
        <v>809</v>
      </c>
      <c r="E351">
        <f t="shared" si="5"/>
        <v>269.66666666666669</v>
      </c>
    </row>
    <row r="352" spans="1:5" x14ac:dyDescent="0.25">
      <c r="A352" s="1" t="s">
        <v>703</v>
      </c>
      <c r="B352" s="1" t="s">
        <v>704</v>
      </c>
      <c r="C352">
        <v>3</v>
      </c>
      <c r="D352">
        <v>1762</v>
      </c>
      <c r="E352">
        <f t="shared" si="5"/>
        <v>587.33333333333337</v>
      </c>
    </row>
    <row r="353" spans="1:5" x14ac:dyDescent="0.25">
      <c r="A353" s="1" t="s">
        <v>705</v>
      </c>
      <c r="B353" s="1" t="s">
        <v>706</v>
      </c>
      <c r="C353">
        <v>3</v>
      </c>
      <c r="D353">
        <v>4079</v>
      </c>
      <c r="E353">
        <f t="shared" si="5"/>
        <v>1359.6666666666667</v>
      </c>
    </row>
    <row r="354" spans="1:5" x14ac:dyDescent="0.25">
      <c r="A354" s="1" t="s">
        <v>707</v>
      </c>
      <c r="B354" s="1" t="s">
        <v>708</v>
      </c>
      <c r="C354">
        <v>5</v>
      </c>
      <c r="D354">
        <v>2139</v>
      </c>
      <c r="E354">
        <f t="shared" si="5"/>
        <v>427.8</v>
      </c>
    </row>
    <row r="355" spans="1:5" x14ac:dyDescent="0.25">
      <c r="A355" s="1" t="s">
        <v>709</v>
      </c>
      <c r="B355" s="1" t="s">
        <v>710</v>
      </c>
      <c r="C355">
        <v>5</v>
      </c>
      <c r="D355">
        <v>985</v>
      </c>
      <c r="E355">
        <f t="shared" si="5"/>
        <v>197</v>
      </c>
    </row>
    <row r="356" spans="1:5" x14ac:dyDescent="0.25">
      <c r="A356" s="1" t="s">
        <v>711</v>
      </c>
      <c r="B356" s="1" t="s">
        <v>712</v>
      </c>
      <c r="C356">
        <v>4</v>
      </c>
      <c r="D356">
        <v>1837</v>
      </c>
      <c r="E356">
        <f t="shared" si="5"/>
        <v>459.25</v>
      </c>
    </row>
    <row r="357" spans="1:5" x14ac:dyDescent="0.25">
      <c r="A357" s="1" t="s">
        <v>713</v>
      </c>
      <c r="B357" s="1" t="s">
        <v>714</v>
      </c>
      <c r="C357">
        <v>6</v>
      </c>
      <c r="D357">
        <v>3544</v>
      </c>
      <c r="E357">
        <f t="shared" si="5"/>
        <v>590.66666666666663</v>
      </c>
    </row>
    <row r="358" spans="1:5" x14ac:dyDescent="0.25">
      <c r="A358" s="1" t="s">
        <v>715</v>
      </c>
      <c r="B358" s="1" t="s">
        <v>716</v>
      </c>
      <c r="C358">
        <v>5</v>
      </c>
      <c r="D358">
        <v>3404</v>
      </c>
      <c r="E358">
        <f t="shared" si="5"/>
        <v>680.8</v>
      </c>
    </row>
    <row r="359" spans="1:5" x14ac:dyDescent="0.25">
      <c r="A359" s="1" t="s">
        <v>717</v>
      </c>
      <c r="B359" s="1" t="s">
        <v>718</v>
      </c>
      <c r="C359">
        <v>4</v>
      </c>
      <c r="D359">
        <v>780</v>
      </c>
      <c r="E359">
        <f t="shared" si="5"/>
        <v>195</v>
      </c>
    </row>
    <row r="360" spans="1:5" x14ac:dyDescent="0.25">
      <c r="A360" s="1" t="s">
        <v>719</v>
      </c>
      <c r="B360" s="1" t="s">
        <v>720</v>
      </c>
      <c r="C360">
        <v>4</v>
      </c>
      <c r="D360">
        <v>3621</v>
      </c>
      <c r="E360">
        <f t="shared" si="5"/>
        <v>905.25</v>
      </c>
    </row>
    <row r="361" spans="1:5" x14ac:dyDescent="0.25">
      <c r="A361" s="1" t="s">
        <v>721</v>
      </c>
      <c r="B361" s="1" t="s">
        <v>722</v>
      </c>
      <c r="C361">
        <v>3</v>
      </c>
      <c r="D361">
        <v>1363</v>
      </c>
      <c r="E361">
        <f t="shared" si="5"/>
        <v>454.33333333333331</v>
      </c>
    </row>
    <row r="362" spans="1:5" x14ac:dyDescent="0.25">
      <c r="A362" s="1" t="s">
        <v>723</v>
      </c>
      <c r="B362" s="1" t="s">
        <v>724</v>
      </c>
      <c r="C362">
        <v>5</v>
      </c>
      <c r="D362">
        <v>865</v>
      </c>
      <c r="E362">
        <f t="shared" si="5"/>
        <v>173</v>
      </c>
    </row>
    <row r="363" spans="1:5" x14ac:dyDescent="0.25">
      <c r="A363" s="1" t="s">
        <v>725</v>
      </c>
      <c r="B363" s="1" t="s">
        <v>726</v>
      </c>
      <c r="C363">
        <v>3</v>
      </c>
      <c r="D363">
        <v>2102</v>
      </c>
      <c r="E363">
        <f t="shared" si="5"/>
        <v>700.66666666666663</v>
      </c>
    </row>
    <row r="364" spans="1:5" x14ac:dyDescent="0.25">
      <c r="A364" s="1" t="s">
        <v>727</v>
      </c>
      <c r="B364" s="1" t="s">
        <v>728</v>
      </c>
      <c r="C364">
        <v>5</v>
      </c>
      <c r="D364">
        <v>2314</v>
      </c>
      <c r="E364">
        <f t="shared" si="5"/>
        <v>462.8</v>
      </c>
    </row>
    <row r="365" spans="1:5" x14ac:dyDescent="0.25">
      <c r="A365" s="1" t="s">
        <v>729</v>
      </c>
      <c r="B365" s="1" t="s">
        <v>730</v>
      </c>
      <c r="C365">
        <v>6</v>
      </c>
      <c r="D365">
        <v>2577</v>
      </c>
      <c r="E365">
        <f t="shared" si="5"/>
        <v>429.5</v>
      </c>
    </row>
    <row r="366" spans="1:5" x14ac:dyDescent="0.25">
      <c r="A366" s="1" t="s">
        <v>731</v>
      </c>
      <c r="B366" s="1" t="s">
        <v>732</v>
      </c>
      <c r="C366">
        <v>2</v>
      </c>
      <c r="D366">
        <v>2955</v>
      </c>
      <c r="E366">
        <f t="shared" si="5"/>
        <v>1477.5</v>
      </c>
    </row>
    <row r="367" spans="1:5" x14ac:dyDescent="0.25">
      <c r="A367" s="1" t="s">
        <v>733</v>
      </c>
      <c r="B367" s="1" t="s">
        <v>734</v>
      </c>
      <c r="C367">
        <v>2</v>
      </c>
      <c r="D367">
        <v>696</v>
      </c>
      <c r="E367">
        <f t="shared" si="5"/>
        <v>348</v>
      </c>
    </row>
    <row r="368" spans="1:5" x14ac:dyDescent="0.25">
      <c r="A368" s="1" t="s">
        <v>735</v>
      </c>
      <c r="B368" s="1" t="s">
        <v>736</v>
      </c>
      <c r="C368">
        <v>4</v>
      </c>
      <c r="D368">
        <v>1038</v>
      </c>
      <c r="E368">
        <f t="shared" si="5"/>
        <v>259.5</v>
      </c>
    </row>
    <row r="369" spans="1:5" x14ac:dyDescent="0.25">
      <c r="A369" s="1" t="s">
        <v>737</v>
      </c>
      <c r="B369" s="1" t="s">
        <v>738</v>
      </c>
      <c r="C369">
        <v>3</v>
      </c>
      <c r="D369">
        <v>2008</v>
      </c>
      <c r="E369">
        <f t="shared" si="5"/>
        <v>669.33333333333337</v>
      </c>
    </row>
    <row r="370" spans="1:5" x14ac:dyDescent="0.25">
      <c r="A370" s="1" t="s">
        <v>739</v>
      </c>
      <c r="B370" s="1" t="s">
        <v>740</v>
      </c>
      <c r="C370">
        <v>4</v>
      </c>
      <c r="D370">
        <v>3745</v>
      </c>
      <c r="E370">
        <f t="shared" si="5"/>
        <v>936.25</v>
      </c>
    </row>
    <row r="371" spans="1:5" x14ac:dyDescent="0.25">
      <c r="A371" s="1" t="s">
        <v>741</v>
      </c>
      <c r="B371" s="1" t="s">
        <v>742</v>
      </c>
      <c r="C371">
        <v>3</v>
      </c>
      <c r="D371">
        <v>3868</v>
      </c>
      <c r="E371">
        <f t="shared" si="5"/>
        <v>1289.3333333333333</v>
      </c>
    </row>
    <row r="372" spans="1:5" x14ac:dyDescent="0.25">
      <c r="A372" s="1" t="s">
        <v>743</v>
      </c>
      <c r="B372" s="1" t="s">
        <v>744</v>
      </c>
      <c r="C372">
        <v>4</v>
      </c>
      <c r="D372">
        <v>2152</v>
      </c>
      <c r="E372">
        <f t="shared" si="5"/>
        <v>538</v>
      </c>
    </row>
    <row r="373" spans="1:5" x14ac:dyDescent="0.25">
      <c r="A373" s="1" t="s">
        <v>745</v>
      </c>
      <c r="B373" s="1" t="s">
        <v>746</v>
      </c>
      <c r="C373">
        <v>3</v>
      </c>
      <c r="D373">
        <v>2468</v>
      </c>
      <c r="E373">
        <f t="shared" si="5"/>
        <v>822.66666666666663</v>
      </c>
    </row>
    <row r="374" spans="1:5" x14ac:dyDescent="0.25">
      <c r="A374" s="1" t="s">
        <v>747</v>
      </c>
      <c r="B374" s="1" t="s">
        <v>748</v>
      </c>
      <c r="C374">
        <v>3</v>
      </c>
      <c r="D374">
        <v>2983</v>
      </c>
      <c r="E374">
        <f t="shared" si="5"/>
        <v>994.33333333333337</v>
      </c>
    </row>
    <row r="375" spans="1:5" x14ac:dyDescent="0.25">
      <c r="A375" s="1" t="s">
        <v>749</v>
      </c>
      <c r="B375" s="1" t="s">
        <v>750</v>
      </c>
      <c r="C375">
        <v>3</v>
      </c>
      <c r="D375">
        <v>4155</v>
      </c>
      <c r="E375">
        <f t="shared" si="5"/>
        <v>1385</v>
      </c>
    </row>
    <row r="376" spans="1:5" x14ac:dyDescent="0.25">
      <c r="A376" s="1" t="s">
        <v>751</v>
      </c>
      <c r="B376" s="1" t="s">
        <v>752</v>
      </c>
      <c r="C376">
        <v>4</v>
      </c>
      <c r="D376">
        <v>2219</v>
      </c>
      <c r="E376">
        <f t="shared" si="5"/>
        <v>554.75</v>
      </c>
    </row>
    <row r="377" spans="1:5" x14ac:dyDescent="0.25">
      <c r="A377" s="1" t="s">
        <v>753</v>
      </c>
      <c r="B377" s="1" t="s">
        <v>754</v>
      </c>
      <c r="C377">
        <v>3</v>
      </c>
      <c r="D377">
        <v>4479</v>
      </c>
      <c r="E377">
        <f t="shared" si="5"/>
        <v>1493</v>
      </c>
    </row>
    <row r="378" spans="1:5" x14ac:dyDescent="0.25">
      <c r="A378" s="1" t="s">
        <v>755</v>
      </c>
      <c r="B378" s="1" t="s">
        <v>756</v>
      </c>
      <c r="C378">
        <v>2</v>
      </c>
      <c r="D378">
        <v>1950</v>
      </c>
      <c r="E378">
        <f t="shared" si="5"/>
        <v>975</v>
      </c>
    </row>
    <row r="379" spans="1:5" x14ac:dyDescent="0.25">
      <c r="A379" s="1" t="s">
        <v>757</v>
      </c>
      <c r="B379" s="1" t="s">
        <v>758</v>
      </c>
      <c r="C379">
        <v>2</v>
      </c>
      <c r="D379">
        <v>1194</v>
      </c>
      <c r="E379">
        <f t="shared" si="5"/>
        <v>597</v>
      </c>
    </row>
    <row r="380" spans="1:5" x14ac:dyDescent="0.25">
      <c r="A380" s="1" t="s">
        <v>759</v>
      </c>
      <c r="B380" s="1" t="s">
        <v>760</v>
      </c>
      <c r="C380">
        <v>4</v>
      </c>
      <c r="D380">
        <v>2957</v>
      </c>
      <c r="E380">
        <f t="shared" si="5"/>
        <v>739.25</v>
      </c>
    </row>
    <row r="381" spans="1:5" x14ac:dyDescent="0.25">
      <c r="A381" s="1" t="s">
        <v>761</v>
      </c>
      <c r="B381" s="1" t="s">
        <v>762</v>
      </c>
      <c r="C381">
        <v>3</v>
      </c>
      <c r="D381">
        <v>2636</v>
      </c>
      <c r="E381">
        <f t="shared" si="5"/>
        <v>878.66666666666663</v>
      </c>
    </row>
    <row r="382" spans="1:5" x14ac:dyDescent="0.25">
      <c r="A382" s="1" t="s">
        <v>763</v>
      </c>
      <c r="B382" s="1" t="s">
        <v>764</v>
      </c>
      <c r="C382">
        <v>2</v>
      </c>
      <c r="D382">
        <v>2541</v>
      </c>
      <c r="E382">
        <f t="shared" si="5"/>
        <v>1270.5</v>
      </c>
    </row>
    <row r="383" spans="1:5" x14ac:dyDescent="0.25">
      <c r="A383" s="1" t="s">
        <v>765</v>
      </c>
      <c r="B383" s="1" t="s">
        <v>766</v>
      </c>
      <c r="C383">
        <v>3</v>
      </c>
      <c r="D383">
        <v>2087</v>
      </c>
      <c r="E383">
        <f t="shared" si="5"/>
        <v>695.66666666666663</v>
      </c>
    </row>
    <row r="384" spans="1:5" x14ac:dyDescent="0.25">
      <c r="A384" s="1" t="s">
        <v>767</v>
      </c>
      <c r="B384" s="1" t="s">
        <v>768</v>
      </c>
      <c r="C384">
        <v>3</v>
      </c>
      <c r="D384">
        <v>2009</v>
      </c>
      <c r="E384">
        <f t="shared" si="5"/>
        <v>669.66666666666663</v>
      </c>
    </row>
    <row r="385" spans="1:5" x14ac:dyDescent="0.25">
      <c r="A385" s="1" t="s">
        <v>769</v>
      </c>
      <c r="B385" s="1" t="s">
        <v>770</v>
      </c>
      <c r="C385">
        <v>3</v>
      </c>
      <c r="D385">
        <v>1275</v>
      </c>
      <c r="E385">
        <f t="shared" si="5"/>
        <v>425</v>
      </c>
    </row>
    <row r="386" spans="1:5" x14ac:dyDescent="0.25">
      <c r="A386" s="1" t="s">
        <v>771</v>
      </c>
      <c r="B386" s="1" t="s">
        <v>772</v>
      </c>
      <c r="C386">
        <v>6</v>
      </c>
      <c r="D386">
        <v>1578</v>
      </c>
      <c r="E386">
        <f t="shared" si="5"/>
        <v>263</v>
      </c>
    </row>
    <row r="387" spans="1:5" x14ac:dyDescent="0.25">
      <c r="A387" s="1" t="s">
        <v>773</v>
      </c>
      <c r="B387" s="1" t="s">
        <v>774</v>
      </c>
      <c r="C387">
        <v>5</v>
      </c>
      <c r="D387">
        <v>2648</v>
      </c>
      <c r="E387">
        <f t="shared" ref="E387:E450" si="6">D387/C387</f>
        <v>529.6</v>
      </c>
    </row>
    <row r="388" spans="1:5" x14ac:dyDescent="0.25">
      <c r="A388" s="1" t="s">
        <v>775</v>
      </c>
      <c r="B388" s="1" t="s">
        <v>776</v>
      </c>
      <c r="C388">
        <v>4</v>
      </c>
      <c r="D388">
        <v>3902</v>
      </c>
      <c r="E388">
        <f t="shared" si="6"/>
        <v>975.5</v>
      </c>
    </row>
    <row r="389" spans="1:5" x14ac:dyDescent="0.25">
      <c r="A389" s="1" t="s">
        <v>777</v>
      </c>
      <c r="B389" s="1" t="s">
        <v>778</v>
      </c>
      <c r="C389">
        <v>3</v>
      </c>
      <c r="D389">
        <v>2588</v>
      </c>
      <c r="E389">
        <f t="shared" si="6"/>
        <v>862.66666666666663</v>
      </c>
    </row>
    <row r="390" spans="1:5" x14ac:dyDescent="0.25">
      <c r="A390" s="1" t="s">
        <v>779</v>
      </c>
      <c r="B390" s="1" t="s">
        <v>780</v>
      </c>
      <c r="C390">
        <v>3</v>
      </c>
      <c r="D390">
        <v>2672</v>
      </c>
      <c r="E390">
        <f t="shared" si="6"/>
        <v>890.66666666666663</v>
      </c>
    </row>
    <row r="391" spans="1:5" x14ac:dyDescent="0.25">
      <c r="A391" s="1" t="s">
        <v>781</v>
      </c>
      <c r="B391" s="1" t="s">
        <v>782</v>
      </c>
      <c r="C391">
        <v>2</v>
      </c>
      <c r="D391">
        <v>1280</v>
      </c>
      <c r="E391">
        <f t="shared" si="6"/>
        <v>640</v>
      </c>
    </row>
    <row r="392" spans="1:5" x14ac:dyDescent="0.25">
      <c r="A392" s="1" t="s">
        <v>783</v>
      </c>
      <c r="B392" s="1" t="s">
        <v>784</v>
      </c>
      <c r="C392">
        <v>6</v>
      </c>
      <c r="D392">
        <v>3792</v>
      </c>
      <c r="E392">
        <f t="shared" si="6"/>
        <v>632</v>
      </c>
    </row>
    <row r="393" spans="1:5" x14ac:dyDescent="0.25">
      <c r="A393" s="1" t="s">
        <v>785</v>
      </c>
      <c r="B393" s="1" t="s">
        <v>786</v>
      </c>
      <c r="C393">
        <v>5</v>
      </c>
      <c r="D393">
        <v>4450</v>
      </c>
      <c r="E393">
        <f t="shared" si="6"/>
        <v>890</v>
      </c>
    </row>
    <row r="394" spans="1:5" x14ac:dyDescent="0.25">
      <c r="A394" s="1" t="s">
        <v>787</v>
      </c>
      <c r="B394" s="1" t="s">
        <v>788</v>
      </c>
      <c r="C394">
        <v>4</v>
      </c>
      <c r="D394">
        <v>3435</v>
      </c>
      <c r="E394">
        <f t="shared" si="6"/>
        <v>858.75</v>
      </c>
    </row>
    <row r="395" spans="1:5" x14ac:dyDescent="0.25">
      <c r="A395" s="1" t="s">
        <v>789</v>
      </c>
      <c r="B395" s="1" t="s">
        <v>790</v>
      </c>
      <c r="C395">
        <v>4</v>
      </c>
      <c r="D395">
        <v>3460</v>
      </c>
      <c r="E395">
        <f t="shared" si="6"/>
        <v>865</v>
      </c>
    </row>
    <row r="396" spans="1:5" x14ac:dyDescent="0.25">
      <c r="A396" s="1" t="s">
        <v>791</v>
      </c>
      <c r="B396" s="1" t="s">
        <v>792</v>
      </c>
      <c r="C396">
        <v>2</v>
      </c>
      <c r="D396">
        <v>1914</v>
      </c>
      <c r="E396">
        <f t="shared" si="6"/>
        <v>957</v>
      </c>
    </row>
    <row r="397" spans="1:5" x14ac:dyDescent="0.25">
      <c r="A397" s="1" t="s">
        <v>793</v>
      </c>
      <c r="B397" s="1" t="s">
        <v>794</v>
      </c>
      <c r="C397">
        <v>4</v>
      </c>
      <c r="D397">
        <v>3251</v>
      </c>
      <c r="E397">
        <f t="shared" si="6"/>
        <v>812.75</v>
      </c>
    </row>
    <row r="398" spans="1:5" x14ac:dyDescent="0.25">
      <c r="A398" s="1" t="s">
        <v>795</v>
      </c>
      <c r="B398" s="1" t="s">
        <v>796</v>
      </c>
      <c r="C398">
        <v>5</v>
      </c>
      <c r="D398">
        <v>3006</v>
      </c>
      <c r="E398">
        <f t="shared" si="6"/>
        <v>601.20000000000005</v>
      </c>
    </row>
    <row r="399" spans="1:5" x14ac:dyDescent="0.25">
      <c r="A399" s="1" t="s">
        <v>797</v>
      </c>
      <c r="B399" s="1" t="s">
        <v>798</v>
      </c>
      <c r="C399">
        <v>5</v>
      </c>
      <c r="D399">
        <v>1673</v>
      </c>
      <c r="E399">
        <f t="shared" si="6"/>
        <v>334.6</v>
      </c>
    </row>
    <row r="400" spans="1:5" x14ac:dyDescent="0.25">
      <c r="A400" s="1" t="s">
        <v>799</v>
      </c>
      <c r="B400" s="1" t="s">
        <v>800</v>
      </c>
      <c r="C400">
        <v>2</v>
      </c>
      <c r="D400">
        <v>2000</v>
      </c>
      <c r="E400">
        <f t="shared" si="6"/>
        <v>1000</v>
      </c>
    </row>
    <row r="401" spans="1:5" x14ac:dyDescent="0.25">
      <c r="A401" s="1" t="s">
        <v>801</v>
      </c>
      <c r="B401" s="1" t="s">
        <v>802</v>
      </c>
      <c r="C401">
        <v>6</v>
      </c>
      <c r="D401">
        <v>4036</v>
      </c>
      <c r="E401">
        <f t="shared" si="6"/>
        <v>672.66666666666663</v>
      </c>
    </row>
    <row r="402" spans="1:5" x14ac:dyDescent="0.25">
      <c r="A402" s="1" t="s">
        <v>803</v>
      </c>
      <c r="B402" s="1" t="s">
        <v>804</v>
      </c>
      <c r="C402">
        <v>2</v>
      </c>
      <c r="D402">
        <v>1763</v>
      </c>
      <c r="E402">
        <f t="shared" si="6"/>
        <v>881.5</v>
      </c>
    </row>
    <row r="403" spans="1:5" x14ac:dyDescent="0.25">
      <c r="A403" s="1" t="s">
        <v>805</v>
      </c>
      <c r="B403" s="1" t="s">
        <v>806</v>
      </c>
      <c r="C403">
        <v>3</v>
      </c>
      <c r="D403">
        <v>3039</v>
      </c>
      <c r="E403">
        <f t="shared" si="6"/>
        <v>1013</v>
      </c>
    </row>
    <row r="404" spans="1:5" x14ac:dyDescent="0.25">
      <c r="A404" s="1" t="s">
        <v>807</v>
      </c>
      <c r="B404" s="1" t="s">
        <v>808</v>
      </c>
      <c r="C404">
        <v>6</v>
      </c>
      <c r="D404">
        <v>962</v>
      </c>
      <c r="E404">
        <f t="shared" si="6"/>
        <v>160.33333333333334</v>
      </c>
    </row>
    <row r="405" spans="1:5" x14ac:dyDescent="0.25">
      <c r="A405" s="1" t="s">
        <v>809</v>
      </c>
      <c r="B405" s="1" t="s">
        <v>810</v>
      </c>
      <c r="C405">
        <v>4</v>
      </c>
      <c r="D405">
        <v>3432</v>
      </c>
      <c r="E405">
        <f t="shared" si="6"/>
        <v>858</v>
      </c>
    </row>
    <row r="406" spans="1:5" x14ac:dyDescent="0.25">
      <c r="A406" s="1" t="s">
        <v>811</v>
      </c>
      <c r="B406" s="1" t="s">
        <v>812</v>
      </c>
      <c r="C406">
        <v>4</v>
      </c>
      <c r="D406">
        <v>2167</v>
      </c>
      <c r="E406">
        <f t="shared" si="6"/>
        <v>541.75</v>
      </c>
    </row>
    <row r="407" spans="1:5" x14ac:dyDescent="0.25">
      <c r="A407" s="1" t="s">
        <v>813</v>
      </c>
      <c r="B407" s="1" t="s">
        <v>814</v>
      </c>
      <c r="C407">
        <v>4</v>
      </c>
      <c r="D407">
        <v>2198</v>
      </c>
      <c r="E407">
        <f t="shared" si="6"/>
        <v>549.5</v>
      </c>
    </row>
    <row r="408" spans="1:5" x14ac:dyDescent="0.25">
      <c r="A408" s="1" t="s">
        <v>815</v>
      </c>
      <c r="B408" s="1" t="s">
        <v>816</v>
      </c>
      <c r="C408">
        <v>6</v>
      </c>
      <c r="D408">
        <v>1597</v>
      </c>
      <c r="E408">
        <f t="shared" si="6"/>
        <v>266.16666666666669</v>
      </c>
    </row>
    <row r="409" spans="1:5" x14ac:dyDescent="0.25">
      <c r="A409" s="1" t="s">
        <v>817</v>
      </c>
      <c r="B409" s="1" t="s">
        <v>818</v>
      </c>
      <c r="C409">
        <v>5</v>
      </c>
      <c r="D409">
        <v>2936</v>
      </c>
      <c r="E409">
        <f t="shared" si="6"/>
        <v>587.20000000000005</v>
      </c>
    </row>
    <row r="410" spans="1:5" x14ac:dyDescent="0.25">
      <c r="A410" s="1" t="s">
        <v>819</v>
      </c>
      <c r="B410" s="1" t="s">
        <v>820</v>
      </c>
      <c r="C410">
        <v>6</v>
      </c>
      <c r="D410">
        <v>2655</v>
      </c>
      <c r="E410">
        <f t="shared" si="6"/>
        <v>442.5</v>
      </c>
    </row>
    <row r="411" spans="1:5" x14ac:dyDescent="0.25">
      <c r="A411" s="1" t="s">
        <v>821</v>
      </c>
      <c r="B411" s="1" t="s">
        <v>822</v>
      </c>
      <c r="C411">
        <v>5</v>
      </c>
      <c r="D411">
        <v>4327</v>
      </c>
      <c r="E411">
        <f t="shared" si="6"/>
        <v>865.4</v>
      </c>
    </row>
    <row r="412" spans="1:5" x14ac:dyDescent="0.25">
      <c r="A412" s="1" t="s">
        <v>823</v>
      </c>
      <c r="B412" s="1" t="s">
        <v>824</v>
      </c>
      <c r="C412">
        <v>3</v>
      </c>
      <c r="D412">
        <v>1296</v>
      </c>
      <c r="E412">
        <f t="shared" si="6"/>
        <v>432</v>
      </c>
    </row>
    <row r="413" spans="1:5" x14ac:dyDescent="0.25">
      <c r="A413" s="1" t="s">
        <v>825</v>
      </c>
      <c r="B413" s="1" t="s">
        <v>826</v>
      </c>
      <c r="C413">
        <v>3</v>
      </c>
      <c r="D413">
        <v>4402</v>
      </c>
      <c r="E413">
        <f t="shared" si="6"/>
        <v>1467.3333333333333</v>
      </c>
    </row>
    <row r="414" spans="1:5" x14ac:dyDescent="0.25">
      <c r="A414" s="1" t="s">
        <v>827</v>
      </c>
      <c r="B414" s="1" t="s">
        <v>828</v>
      </c>
      <c r="C414">
        <v>3</v>
      </c>
      <c r="D414">
        <v>662</v>
      </c>
      <c r="E414">
        <f t="shared" si="6"/>
        <v>220.66666666666666</v>
      </c>
    </row>
    <row r="415" spans="1:5" x14ac:dyDescent="0.25">
      <c r="A415" s="1" t="s">
        <v>829</v>
      </c>
      <c r="B415" s="1" t="s">
        <v>830</v>
      </c>
      <c r="C415">
        <v>4</v>
      </c>
      <c r="D415">
        <v>3709</v>
      </c>
      <c r="E415">
        <f t="shared" si="6"/>
        <v>927.25</v>
      </c>
    </row>
    <row r="416" spans="1:5" x14ac:dyDescent="0.25">
      <c r="A416" s="1" t="s">
        <v>831</v>
      </c>
      <c r="B416" s="1" t="s">
        <v>832</v>
      </c>
      <c r="C416">
        <v>5</v>
      </c>
      <c r="D416">
        <v>4461</v>
      </c>
      <c r="E416">
        <f t="shared" si="6"/>
        <v>892.2</v>
      </c>
    </row>
    <row r="417" spans="1:5" x14ac:dyDescent="0.25">
      <c r="A417" s="1" t="s">
        <v>833</v>
      </c>
      <c r="B417" s="1" t="s">
        <v>834</v>
      </c>
      <c r="C417">
        <v>2</v>
      </c>
      <c r="D417">
        <v>3061</v>
      </c>
      <c r="E417">
        <f t="shared" si="6"/>
        <v>1530.5</v>
      </c>
    </row>
    <row r="418" spans="1:5" x14ac:dyDescent="0.25">
      <c r="A418" s="1" t="s">
        <v>835</v>
      </c>
      <c r="B418" s="1" t="s">
        <v>836</v>
      </c>
      <c r="C418">
        <v>6</v>
      </c>
      <c r="D418">
        <v>2537</v>
      </c>
      <c r="E418">
        <f t="shared" si="6"/>
        <v>422.83333333333331</v>
      </c>
    </row>
    <row r="419" spans="1:5" x14ac:dyDescent="0.25">
      <c r="A419" s="1" t="s">
        <v>837</v>
      </c>
      <c r="B419" s="1" t="s">
        <v>838</v>
      </c>
      <c r="C419">
        <v>3</v>
      </c>
      <c r="D419">
        <v>4372</v>
      </c>
      <c r="E419">
        <f t="shared" si="6"/>
        <v>1457.3333333333333</v>
      </c>
    </row>
    <row r="420" spans="1:5" x14ac:dyDescent="0.25">
      <c r="A420" s="1" t="s">
        <v>839</v>
      </c>
      <c r="B420" s="1" t="s">
        <v>840</v>
      </c>
      <c r="C420">
        <v>5</v>
      </c>
      <c r="D420">
        <v>3035</v>
      </c>
      <c r="E420">
        <f t="shared" si="6"/>
        <v>607</v>
      </c>
    </row>
    <row r="421" spans="1:5" x14ac:dyDescent="0.25">
      <c r="A421" s="1" t="s">
        <v>841</v>
      </c>
      <c r="B421" s="1" t="s">
        <v>842</v>
      </c>
      <c r="C421">
        <v>3</v>
      </c>
      <c r="D421">
        <v>4262</v>
      </c>
      <c r="E421">
        <f t="shared" si="6"/>
        <v>1420.6666666666667</v>
      </c>
    </row>
    <row r="422" spans="1:5" x14ac:dyDescent="0.25">
      <c r="A422" s="1" t="s">
        <v>843</v>
      </c>
      <c r="B422" s="1" t="s">
        <v>844</v>
      </c>
      <c r="C422">
        <v>3</v>
      </c>
      <c r="D422">
        <v>2059</v>
      </c>
      <c r="E422">
        <f t="shared" si="6"/>
        <v>686.33333333333337</v>
      </c>
    </row>
    <row r="423" spans="1:5" x14ac:dyDescent="0.25">
      <c r="A423" s="1" t="s">
        <v>845</v>
      </c>
      <c r="B423" s="1" t="s">
        <v>846</v>
      </c>
      <c r="C423">
        <v>5</v>
      </c>
      <c r="D423">
        <v>2703</v>
      </c>
      <c r="E423">
        <f t="shared" si="6"/>
        <v>540.6</v>
      </c>
    </row>
    <row r="424" spans="1:5" x14ac:dyDescent="0.25">
      <c r="A424" s="1" t="s">
        <v>847</v>
      </c>
      <c r="B424" s="1" t="s">
        <v>848</v>
      </c>
      <c r="C424">
        <v>5</v>
      </c>
      <c r="D424">
        <v>2010</v>
      </c>
      <c r="E424">
        <f t="shared" si="6"/>
        <v>402</v>
      </c>
    </row>
    <row r="425" spans="1:5" x14ac:dyDescent="0.25">
      <c r="A425" s="1" t="s">
        <v>849</v>
      </c>
      <c r="B425" s="1" t="s">
        <v>850</v>
      </c>
      <c r="C425">
        <v>6</v>
      </c>
      <c r="D425">
        <v>1760</v>
      </c>
      <c r="E425">
        <f t="shared" si="6"/>
        <v>293.33333333333331</v>
      </c>
    </row>
    <row r="426" spans="1:5" x14ac:dyDescent="0.25">
      <c r="A426" s="1" t="s">
        <v>851</v>
      </c>
      <c r="B426" s="1" t="s">
        <v>852</v>
      </c>
      <c r="C426">
        <v>6</v>
      </c>
      <c r="D426">
        <v>4452</v>
      </c>
      <c r="E426">
        <f t="shared" si="6"/>
        <v>742</v>
      </c>
    </row>
    <row r="427" spans="1:5" x14ac:dyDescent="0.25">
      <c r="A427" s="1" t="s">
        <v>853</v>
      </c>
      <c r="B427" s="1" t="s">
        <v>854</v>
      </c>
      <c r="C427">
        <v>6</v>
      </c>
      <c r="D427">
        <v>1681</v>
      </c>
      <c r="E427">
        <f t="shared" si="6"/>
        <v>280.16666666666669</v>
      </c>
    </row>
    <row r="428" spans="1:5" x14ac:dyDescent="0.25">
      <c r="A428" s="1" t="s">
        <v>855</v>
      </c>
      <c r="B428" s="1" t="s">
        <v>856</v>
      </c>
      <c r="C428">
        <v>4</v>
      </c>
      <c r="D428">
        <v>1691</v>
      </c>
      <c r="E428">
        <f t="shared" si="6"/>
        <v>422.75</v>
      </c>
    </row>
    <row r="429" spans="1:5" x14ac:dyDescent="0.25">
      <c r="A429" s="1" t="s">
        <v>857</v>
      </c>
      <c r="B429" s="1" t="s">
        <v>858</v>
      </c>
      <c r="C429">
        <v>6</v>
      </c>
      <c r="D429">
        <v>1405</v>
      </c>
      <c r="E429">
        <f t="shared" si="6"/>
        <v>234.16666666666666</v>
      </c>
    </row>
    <row r="430" spans="1:5" x14ac:dyDescent="0.25">
      <c r="A430" s="1" t="s">
        <v>859</v>
      </c>
      <c r="B430" s="1" t="s">
        <v>860</v>
      </c>
      <c r="C430">
        <v>4</v>
      </c>
      <c r="D430">
        <v>3059</v>
      </c>
      <c r="E430">
        <f t="shared" si="6"/>
        <v>764.75</v>
      </c>
    </row>
    <row r="431" spans="1:5" x14ac:dyDescent="0.25">
      <c r="A431" s="1" t="s">
        <v>861</v>
      </c>
      <c r="B431" s="1" t="s">
        <v>862</v>
      </c>
      <c r="C431">
        <v>5</v>
      </c>
      <c r="D431">
        <v>2130</v>
      </c>
      <c r="E431">
        <f t="shared" si="6"/>
        <v>426</v>
      </c>
    </row>
    <row r="432" spans="1:5" x14ac:dyDescent="0.25">
      <c r="A432" s="1" t="s">
        <v>863</v>
      </c>
      <c r="B432" s="1" t="s">
        <v>864</v>
      </c>
      <c r="C432">
        <v>3</v>
      </c>
      <c r="D432">
        <v>1167</v>
      </c>
      <c r="E432">
        <f t="shared" si="6"/>
        <v>389</v>
      </c>
    </row>
    <row r="433" spans="1:5" x14ac:dyDescent="0.25">
      <c r="A433" s="1" t="s">
        <v>865</v>
      </c>
      <c r="B433" s="1" t="s">
        <v>866</v>
      </c>
      <c r="C433">
        <v>4</v>
      </c>
      <c r="D433">
        <v>2866</v>
      </c>
      <c r="E433">
        <f t="shared" si="6"/>
        <v>716.5</v>
      </c>
    </row>
    <row r="434" spans="1:5" x14ac:dyDescent="0.25">
      <c r="A434" s="1" t="s">
        <v>867</v>
      </c>
      <c r="B434" s="1" t="s">
        <v>868</v>
      </c>
      <c r="C434">
        <v>3</v>
      </c>
      <c r="D434">
        <v>4120</v>
      </c>
      <c r="E434">
        <f t="shared" si="6"/>
        <v>1373.3333333333333</v>
      </c>
    </row>
    <row r="435" spans="1:5" x14ac:dyDescent="0.25">
      <c r="A435" s="1" t="s">
        <v>869</v>
      </c>
      <c r="B435" s="1" t="s">
        <v>870</v>
      </c>
      <c r="C435">
        <v>2</v>
      </c>
      <c r="D435">
        <v>4486</v>
      </c>
      <c r="E435">
        <f t="shared" si="6"/>
        <v>2243</v>
      </c>
    </row>
    <row r="436" spans="1:5" x14ac:dyDescent="0.25">
      <c r="A436" s="1" t="s">
        <v>871</v>
      </c>
      <c r="B436" s="1" t="s">
        <v>872</v>
      </c>
      <c r="C436">
        <v>6</v>
      </c>
      <c r="D436">
        <v>1461</v>
      </c>
      <c r="E436">
        <f t="shared" si="6"/>
        <v>243.5</v>
      </c>
    </row>
    <row r="437" spans="1:5" x14ac:dyDescent="0.25">
      <c r="A437" s="1" t="s">
        <v>873</v>
      </c>
      <c r="B437" s="1" t="s">
        <v>874</v>
      </c>
      <c r="C437">
        <v>2</v>
      </c>
      <c r="D437">
        <v>4002</v>
      </c>
      <c r="E437">
        <f t="shared" si="6"/>
        <v>2001</v>
      </c>
    </row>
    <row r="438" spans="1:5" x14ac:dyDescent="0.25">
      <c r="A438" s="1" t="s">
        <v>875</v>
      </c>
      <c r="B438" s="1" t="s">
        <v>876</v>
      </c>
      <c r="C438">
        <v>3</v>
      </c>
      <c r="D438">
        <v>1912</v>
      </c>
      <c r="E438">
        <f t="shared" si="6"/>
        <v>637.33333333333337</v>
      </c>
    </row>
    <row r="439" spans="1:5" x14ac:dyDescent="0.25">
      <c r="A439" s="1" t="s">
        <v>877</v>
      </c>
      <c r="B439" s="1" t="s">
        <v>878</v>
      </c>
      <c r="C439">
        <v>5</v>
      </c>
      <c r="D439">
        <v>2703</v>
      </c>
      <c r="E439">
        <f t="shared" si="6"/>
        <v>540.6</v>
      </c>
    </row>
    <row r="440" spans="1:5" x14ac:dyDescent="0.25">
      <c r="A440" s="1" t="s">
        <v>879</v>
      </c>
      <c r="B440" s="1" t="s">
        <v>880</v>
      </c>
      <c r="C440">
        <v>2</v>
      </c>
      <c r="D440">
        <v>749</v>
      </c>
      <c r="E440">
        <f t="shared" si="6"/>
        <v>374.5</v>
      </c>
    </row>
    <row r="441" spans="1:5" x14ac:dyDescent="0.25">
      <c r="A441" s="1" t="s">
        <v>881</v>
      </c>
      <c r="B441" s="1" t="s">
        <v>882</v>
      </c>
      <c r="C441">
        <v>6</v>
      </c>
      <c r="D441">
        <v>2794</v>
      </c>
      <c r="E441">
        <f t="shared" si="6"/>
        <v>465.66666666666669</v>
      </c>
    </row>
    <row r="442" spans="1:5" x14ac:dyDescent="0.25">
      <c r="A442" s="1" t="s">
        <v>883</v>
      </c>
      <c r="B442" s="1" t="s">
        <v>884</v>
      </c>
      <c r="C442">
        <v>6</v>
      </c>
      <c r="D442">
        <v>2782</v>
      </c>
      <c r="E442">
        <f t="shared" si="6"/>
        <v>463.66666666666669</v>
      </c>
    </row>
    <row r="443" spans="1:5" x14ac:dyDescent="0.25">
      <c r="A443" s="1" t="s">
        <v>885</v>
      </c>
      <c r="B443" s="1" t="s">
        <v>886</v>
      </c>
      <c r="C443">
        <v>3</v>
      </c>
      <c r="D443">
        <v>2077</v>
      </c>
      <c r="E443">
        <f t="shared" si="6"/>
        <v>692.33333333333337</v>
      </c>
    </row>
    <row r="444" spans="1:5" x14ac:dyDescent="0.25">
      <c r="A444" s="1" t="s">
        <v>887</v>
      </c>
      <c r="B444" s="1" t="s">
        <v>888</v>
      </c>
      <c r="C444">
        <v>4</v>
      </c>
      <c r="D444">
        <v>3117</v>
      </c>
      <c r="E444">
        <f t="shared" si="6"/>
        <v>779.25</v>
      </c>
    </row>
    <row r="445" spans="1:5" x14ac:dyDescent="0.25">
      <c r="A445" s="1" t="s">
        <v>889</v>
      </c>
      <c r="B445" s="1" t="s">
        <v>890</v>
      </c>
      <c r="C445">
        <v>2</v>
      </c>
      <c r="D445">
        <v>2547</v>
      </c>
      <c r="E445">
        <f t="shared" si="6"/>
        <v>1273.5</v>
      </c>
    </row>
    <row r="446" spans="1:5" x14ac:dyDescent="0.25">
      <c r="A446" s="1" t="s">
        <v>891</v>
      </c>
      <c r="B446" s="1" t="s">
        <v>892</v>
      </c>
      <c r="C446">
        <v>4</v>
      </c>
      <c r="D446">
        <v>3803</v>
      </c>
      <c r="E446">
        <f t="shared" si="6"/>
        <v>950.75</v>
      </c>
    </row>
    <row r="447" spans="1:5" x14ac:dyDescent="0.25">
      <c r="A447" s="1" t="s">
        <v>893</v>
      </c>
      <c r="B447" s="1" t="s">
        <v>894</v>
      </c>
      <c r="C447">
        <v>4</v>
      </c>
      <c r="D447">
        <v>3213</v>
      </c>
      <c r="E447">
        <f t="shared" si="6"/>
        <v>803.25</v>
      </c>
    </row>
    <row r="448" spans="1:5" x14ac:dyDescent="0.25">
      <c r="A448" s="1" t="s">
        <v>895</v>
      </c>
      <c r="B448" s="1" t="s">
        <v>896</v>
      </c>
      <c r="C448">
        <v>6</v>
      </c>
      <c r="D448">
        <v>2659</v>
      </c>
      <c r="E448">
        <f t="shared" si="6"/>
        <v>443.16666666666669</v>
      </c>
    </row>
    <row r="449" spans="1:5" x14ac:dyDescent="0.25">
      <c r="A449" s="1" t="s">
        <v>897</v>
      </c>
      <c r="B449" s="1" t="s">
        <v>898</v>
      </c>
      <c r="C449">
        <v>5</v>
      </c>
      <c r="D449">
        <v>2975</v>
      </c>
      <c r="E449">
        <f t="shared" si="6"/>
        <v>595</v>
      </c>
    </row>
    <row r="450" spans="1:5" x14ac:dyDescent="0.25">
      <c r="A450" s="1" t="s">
        <v>899</v>
      </c>
      <c r="B450" s="1" t="s">
        <v>900</v>
      </c>
      <c r="C450">
        <v>2</v>
      </c>
      <c r="D450">
        <v>1249</v>
      </c>
      <c r="E450">
        <f t="shared" si="6"/>
        <v>624.5</v>
      </c>
    </row>
    <row r="451" spans="1:5" x14ac:dyDescent="0.25">
      <c r="A451" s="1" t="s">
        <v>901</v>
      </c>
      <c r="B451" s="1" t="s">
        <v>902</v>
      </c>
      <c r="C451">
        <v>2</v>
      </c>
      <c r="D451">
        <v>706</v>
      </c>
      <c r="E451">
        <f t="shared" ref="E451:E501" si="7">D451/C451</f>
        <v>353</v>
      </c>
    </row>
    <row r="452" spans="1:5" x14ac:dyDescent="0.25">
      <c r="A452" s="1" t="s">
        <v>903</v>
      </c>
      <c r="B452" s="1" t="s">
        <v>904</v>
      </c>
      <c r="C452">
        <v>4</v>
      </c>
      <c r="D452">
        <v>2619</v>
      </c>
      <c r="E452">
        <f t="shared" si="7"/>
        <v>654.75</v>
      </c>
    </row>
    <row r="453" spans="1:5" x14ac:dyDescent="0.25">
      <c r="A453" s="1" t="s">
        <v>905</v>
      </c>
      <c r="B453" s="1" t="s">
        <v>906</v>
      </c>
      <c r="C453">
        <v>4</v>
      </c>
      <c r="D453">
        <v>1695</v>
      </c>
      <c r="E453">
        <f t="shared" si="7"/>
        <v>423.75</v>
      </c>
    </row>
    <row r="454" spans="1:5" x14ac:dyDescent="0.25">
      <c r="A454" s="1" t="s">
        <v>907</v>
      </c>
      <c r="B454" s="1" t="s">
        <v>908</v>
      </c>
      <c r="C454">
        <v>5</v>
      </c>
      <c r="D454">
        <v>1937</v>
      </c>
      <c r="E454">
        <f t="shared" si="7"/>
        <v>387.4</v>
      </c>
    </row>
    <row r="455" spans="1:5" x14ac:dyDescent="0.25">
      <c r="A455" s="1" t="s">
        <v>909</v>
      </c>
      <c r="B455" s="1" t="s">
        <v>910</v>
      </c>
      <c r="C455">
        <v>2</v>
      </c>
      <c r="D455">
        <v>1313</v>
      </c>
      <c r="E455">
        <f t="shared" si="7"/>
        <v>656.5</v>
      </c>
    </row>
    <row r="456" spans="1:5" x14ac:dyDescent="0.25">
      <c r="A456" s="1" t="s">
        <v>911</v>
      </c>
      <c r="B456" s="1" t="s">
        <v>912</v>
      </c>
      <c r="C456">
        <v>4</v>
      </c>
      <c r="D456">
        <v>1004</v>
      </c>
      <c r="E456">
        <f t="shared" si="7"/>
        <v>251</v>
      </c>
    </row>
    <row r="457" spans="1:5" x14ac:dyDescent="0.25">
      <c r="A457" s="1" t="s">
        <v>913</v>
      </c>
      <c r="B457" s="1" t="s">
        <v>914</v>
      </c>
      <c r="C457">
        <v>2</v>
      </c>
      <c r="D457">
        <v>861</v>
      </c>
      <c r="E457">
        <f t="shared" si="7"/>
        <v>430.5</v>
      </c>
    </row>
    <row r="458" spans="1:5" x14ac:dyDescent="0.25">
      <c r="A458" s="1" t="s">
        <v>915</v>
      </c>
      <c r="B458" s="1" t="s">
        <v>916</v>
      </c>
      <c r="C458">
        <v>3</v>
      </c>
      <c r="D458">
        <v>3074</v>
      </c>
      <c r="E458">
        <f t="shared" si="7"/>
        <v>1024.6666666666667</v>
      </c>
    </row>
    <row r="459" spans="1:5" x14ac:dyDescent="0.25">
      <c r="A459" s="1" t="s">
        <v>917</v>
      </c>
      <c r="B459" s="1" t="s">
        <v>918</v>
      </c>
      <c r="C459">
        <v>5</v>
      </c>
      <c r="D459">
        <v>781</v>
      </c>
      <c r="E459">
        <f t="shared" si="7"/>
        <v>156.19999999999999</v>
      </c>
    </row>
    <row r="460" spans="1:5" x14ac:dyDescent="0.25">
      <c r="A460" s="1" t="s">
        <v>919</v>
      </c>
      <c r="B460" s="1" t="s">
        <v>920</v>
      </c>
      <c r="C460">
        <v>5</v>
      </c>
      <c r="D460">
        <v>2720</v>
      </c>
      <c r="E460">
        <f t="shared" si="7"/>
        <v>544</v>
      </c>
    </row>
    <row r="461" spans="1:5" x14ac:dyDescent="0.25">
      <c r="A461" s="1" t="s">
        <v>921</v>
      </c>
      <c r="B461" s="1" t="s">
        <v>922</v>
      </c>
      <c r="C461">
        <v>3</v>
      </c>
      <c r="D461">
        <v>1512</v>
      </c>
      <c r="E461">
        <f t="shared" si="7"/>
        <v>504</v>
      </c>
    </row>
    <row r="462" spans="1:5" x14ac:dyDescent="0.25">
      <c r="A462" s="1" t="s">
        <v>923</v>
      </c>
      <c r="B462" s="1" t="s">
        <v>924</v>
      </c>
      <c r="C462">
        <v>2</v>
      </c>
      <c r="D462">
        <v>1109</v>
      </c>
      <c r="E462">
        <f t="shared" si="7"/>
        <v>554.5</v>
      </c>
    </row>
    <row r="463" spans="1:5" x14ac:dyDescent="0.25">
      <c r="A463" s="1" t="s">
        <v>925</v>
      </c>
      <c r="B463" s="1" t="s">
        <v>926</v>
      </c>
      <c r="C463">
        <v>3</v>
      </c>
      <c r="D463">
        <v>1387</v>
      </c>
      <c r="E463">
        <f t="shared" si="7"/>
        <v>462.33333333333331</v>
      </c>
    </row>
    <row r="464" spans="1:5" x14ac:dyDescent="0.25">
      <c r="A464" s="1" t="s">
        <v>927</v>
      </c>
      <c r="B464" s="1" t="s">
        <v>928</v>
      </c>
      <c r="C464">
        <v>4</v>
      </c>
      <c r="D464">
        <v>3249</v>
      </c>
      <c r="E464">
        <f t="shared" si="7"/>
        <v>812.25</v>
      </c>
    </row>
    <row r="465" spans="1:5" x14ac:dyDescent="0.25">
      <c r="A465" s="1" t="s">
        <v>929</v>
      </c>
      <c r="B465" s="1" t="s">
        <v>930</v>
      </c>
      <c r="C465">
        <v>3</v>
      </c>
      <c r="D465">
        <v>3813</v>
      </c>
      <c r="E465">
        <f t="shared" si="7"/>
        <v>1271</v>
      </c>
    </row>
    <row r="466" spans="1:5" x14ac:dyDescent="0.25">
      <c r="A466" s="1" t="s">
        <v>931</v>
      </c>
      <c r="B466" s="1" t="s">
        <v>932</v>
      </c>
      <c r="C466">
        <v>5</v>
      </c>
      <c r="D466">
        <v>4019</v>
      </c>
      <c r="E466">
        <f t="shared" si="7"/>
        <v>803.8</v>
      </c>
    </row>
    <row r="467" spans="1:5" x14ac:dyDescent="0.25">
      <c r="A467" s="1" t="s">
        <v>933</v>
      </c>
      <c r="B467" s="1" t="s">
        <v>934</v>
      </c>
      <c r="C467">
        <v>5</v>
      </c>
      <c r="D467">
        <v>2705</v>
      </c>
      <c r="E467">
        <f t="shared" si="7"/>
        <v>541</v>
      </c>
    </row>
    <row r="468" spans="1:5" x14ac:dyDescent="0.25">
      <c r="A468" s="1" t="s">
        <v>935</v>
      </c>
      <c r="B468" s="1" t="s">
        <v>936</v>
      </c>
      <c r="C468">
        <v>6</v>
      </c>
      <c r="D468">
        <v>4112</v>
      </c>
      <c r="E468">
        <f t="shared" si="7"/>
        <v>685.33333333333337</v>
      </c>
    </row>
    <row r="469" spans="1:5" x14ac:dyDescent="0.25">
      <c r="A469" s="1" t="s">
        <v>937</v>
      </c>
      <c r="B469" s="1" t="s">
        <v>938</v>
      </c>
      <c r="C469">
        <v>4</v>
      </c>
      <c r="D469">
        <v>4251</v>
      </c>
      <c r="E469">
        <f t="shared" si="7"/>
        <v>1062.75</v>
      </c>
    </row>
    <row r="470" spans="1:5" x14ac:dyDescent="0.25">
      <c r="A470" s="1" t="s">
        <v>939</v>
      </c>
      <c r="B470" s="1" t="s">
        <v>940</v>
      </c>
      <c r="C470">
        <v>5</v>
      </c>
      <c r="D470">
        <v>994</v>
      </c>
      <c r="E470">
        <f t="shared" si="7"/>
        <v>198.8</v>
      </c>
    </row>
    <row r="471" spans="1:5" x14ac:dyDescent="0.25">
      <c r="A471" s="1" t="s">
        <v>941</v>
      </c>
      <c r="B471" s="1" t="s">
        <v>942</v>
      </c>
      <c r="C471">
        <v>2</v>
      </c>
      <c r="D471">
        <v>2386</v>
      </c>
      <c r="E471">
        <f t="shared" si="7"/>
        <v>1193</v>
      </c>
    </row>
    <row r="472" spans="1:5" x14ac:dyDescent="0.25">
      <c r="A472" s="1" t="s">
        <v>943</v>
      </c>
      <c r="B472" s="1" t="s">
        <v>944</v>
      </c>
      <c r="C472">
        <v>3</v>
      </c>
      <c r="D472">
        <v>2489</v>
      </c>
      <c r="E472">
        <f t="shared" si="7"/>
        <v>829.66666666666663</v>
      </c>
    </row>
    <row r="473" spans="1:5" x14ac:dyDescent="0.25">
      <c r="A473" s="1" t="s">
        <v>945</v>
      </c>
      <c r="B473" s="1" t="s">
        <v>946</v>
      </c>
      <c r="C473">
        <v>3</v>
      </c>
      <c r="D473">
        <v>804</v>
      </c>
      <c r="E473">
        <f t="shared" si="7"/>
        <v>268</v>
      </c>
    </row>
    <row r="474" spans="1:5" x14ac:dyDescent="0.25">
      <c r="A474" s="1" t="s">
        <v>947</v>
      </c>
      <c r="B474" s="1" t="s">
        <v>948</v>
      </c>
      <c r="C474">
        <v>3</v>
      </c>
      <c r="D474">
        <v>4407</v>
      </c>
      <c r="E474">
        <f t="shared" si="7"/>
        <v>1469</v>
      </c>
    </row>
    <row r="475" spans="1:5" x14ac:dyDescent="0.25">
      <c r="A475" s="1" t="s">
        <v>949</v>
      </c>
      <c r="B475" s="1" t="s">
        <v>950</v>
      </c>
      <c r="C475">
        <v>4</v>
      </c>
      <c r="D475">
        <v>3783</v>
      </c>
      <c r="E475">
        <f t="shared" si="7"/>
        <v>945.75</v>
      </c>
    </row>
    <row r="476" spans="1:5" x14ac:dyDescent="0.25">
      <c r="A476" s="1" t="s">
        <v>951</v>
      </c>
      <c r="B476" s="1" t="s">
        <v>952</v>
      </c>
      <c r="C476">
        <v>5</v>
      </c>
      <c r="D476">
        <v>1011</v>
      </c>
      <c r="E476">
        <f t="shared" si="7"/>
        <v>202.2</v>
      </c>
    </row>
    <row r="477" spans="1:5" x14ac:dyDescent="0.25">
      <c r="A477" s="1" t="s">
        <v>953</v>
      </c>
      <c r="B477" s="1" t="s">
        <v>954</v>
      </c>
      <c r="C477">
        <v>2</v>
      </c>
      <c r="D477">
        <v>4267</v>
      </c>
      <c r="E477">
        <f t="shared" si="7"/>
        <v>2133.5</v>
      </c>
    </row>
    <row r="478" spans="1:5" x14ac:dyDescent="0.25">
      <c r="A478" s="1" t="s">
        <v>955</v>
      </c>
      <c r="B478" s="1" t="s">
        <v>956</v>
      </c>
      <c r="C478">
        <v>5</v>
      </c>
      <c r="D478">
        <v>824</v>
      </c>
      <c r="E478">
        <f t="shared" si="7"/>
        <v>164.8</v>
      </c>
    </row>
    <row r="479" spans="1:5" x14ac:dyDescent="0.25">
      <c r="A479" s="1" t="s">
        <v>957</v>
      </c>
      <c r="B479" s="1" t="s">
        <v>958</v>
      </c>
      <c r="C479">
        <v>2</v>
      </c>
      <c r="D479">
        <v>2296</v>
      </c>
      <c r="E479">
        <f t="shared" si="7"/>
        <v>1148</v>
      </c>
    </row>
    <row r="480" spans="1:5" x14ac:dyDescent="0.25">
      <c r="A480" s="1" t="s">
        <v>959</v>
      </c>
      <c r="B480" s="1" t="s">
        <v>960</v>
      </c>
      <c r="C480">
        <v>5</v>
      </c>
      <c r="D480">
        <v>1156</v>
      </c>
      <c r="E480">
        <f t="shared" si="7"/>
        <v>231.2</v>
      </c>
    </row>
    <row r="481" spans="1:5" x14ac:dyDescent="0.25">
      <c r="A481" s="1" t="s">
        <v>961</v>
      </c>
      <c r="B481" s="1" t="s">
        <v>962</v>
      </c>
      <c r="C481">
        <v>3</v>
      </c>
      <c r="D481">
        <v>3100</v>
      </c>
      <c r="E481">
        <f t="shared" si="7"/>
        <v>1033.3333333333333</v>
      </c>
    </row>
    <row r="482" spans="1:5" x14ac:dyDescent="0.25">
      <c r="A482" s="1" t="s">
        <v>963</v>
      </c>
      <c r="B482" s="1" t="s">
        <v>964</v>
      </c>
      <c r="C482">
        <v>3</v>
      </c>
      <c r="D482">
        <v>2816</v>
      </c>
      <c r="E482">
        <f t="shared" si="7"/>
        <v>938.66666666666663</v>
      </c>
    </row>
    <row r="483" spans="1:5" x14ac:dyDescent="0.25">
      <c r="A483" s="1" t="s">
        <v>965</v>
      </c>
      <c r="B483" s="1" t="s">
        <v>966</v>
      </c>
      <c r="C483">
        <v>3</v>
      </c>
      <c r="D483">
        <v>2251</v>
      </c>
      <c r="E483">
        <f t="shared" si="7"/>
        <v>750.33333333333337</v>
      </c>
    </row>
    <row r="484" spans="1:5" x14ac:dyDescent="0.25">
      <c r="A484" s="1" t="s">
        <v>967</v>
      </c>
      <c r="B484" s="1" t="s">
        <v>968</v>
      </c>
      <c r="C484">
        <v>3</v>
      </c>
      <c r="D484">
        <v>2120</v>
      </c>
      <c r="E484">
        <f t="shared" si="7"/>
        <v>706.66666666666663</v>
      </c>
    </row>
    <row r="485" spans="1:5" x14ac:dyDescent="0.25">
      <c r="A485" s="1" t="s">
        <v>969</v>
      </c>
      <c r="B485" s="1" t="s">
        <v>970</v>
      </c>
      <c r="C485">
        <v>2</v>
      </c>
      <c r="D485">
        <v>1999</v>
      </c>
      <c r="E485">
        <f t="shared" si="7"/>
        <v>999.5</v>
      </c>
    </row>
    <row r="486" spans="1:5" x14ac:dyDescent="0.25">
      <c r="A486" s="1" t="s">
        <v>971</v>
      </c>
      <c r="B486" s="1" t="s">
        <v>972</v>
      </c>
      <c r="C486">
        <v>3</v>
      </c>
      <c r="D486">
        <v>4250</v>
      </c>
      <c r="E486">
        <f t="shared" si="7"/>
        <v>1416.6666666666667</v>
      </c>
    </row>
    <row r="487" spans="1:5" x14ac:dyDescent="0.25">
      <c r="A487" s="1" t="s">
        <v>973</v>
      </c>
      <c r="B487" s="1" t="s">
        <v>974</v>
      </c>
      <c r="C487">
        <v>4</v>
      </c>
      <c r="D487">
        <v>2332</v>
      </c>
      <c r="E487">
        <f t="shared" si="7"/>
        <v>583</v>
      </c>
    </row>
    <row r="488" spans="1:5" x14ac:dyDescent="0.25">
      <c r="A488" s="1" t="s">
        <v>975</v>
      </c>
      <c r="B488" s="1" t="s">
        <v>976</v>
      </c>
      <c r="C488">
        <v>5</v>
      </c>
      <c r="D488">
        <v>2778</v>
      </c>
      <c r="E488">
        <f t="shared" si="7"/>
        <v>555.6</v>
      </c>
    </row>
    <row r="489" spans="1:5" x14ac:dyDescent="0.25">
      <c r="A489" s="1" t="s">
        <v>977</v>
      </c>
      <c r="B489" s="1" t="s">
        <v>978</v>
      </c>
      <c r="C489">
        <v>3</v>
      </c>
      <c r="D489">
        <v>954</v>
      </c>
      <c r="E489">
        <f t="shared" si="7"/>
        <v>318</v>
      </c>
    </row>
    <row r="490" spans="1:5" x14ac:dyDescent="0.25">
      <c r="A490" s="1" t="s">
        <v>979</v>
      </c>
      <c r="B490" s="1" t="s">
        <v>980</v>
      </c>
      <c r="C490">
        <v>4</v>
      </c>
      <c r="D490">
        <v>3252</v>
      </c>
      <c r="E490">
        <f t="shared" si="7"/>
        <v>813</v>
      </c>
    </row>
    <row r="491" spans="1:5" x14ac:dyDescent="0.25">
      <c r="A491" s="1" t="s">
        <v>981</v>
      </c>
      <c r="B491" s="1" t="s">
        <v>982</v>
      </c>
      <c r="C491">
        <v>5</v>
      </c>
      <c r="D491">
        <v>3301</v>
      </c>
      <c r="E491">
        <f t="shared" si="7"/>
        <v>660.2</v>
      </c>
    </row>
    <row r="492" spans="1:5" x14ac:dyDescent="0.25">
      <c r="A492" s="1" t="s">
        <v>983</v>
      </c>
      <c r="B492" s="1" t="s">
        <v>984</v>
      </c>
      <c r="C492">
        <v>5</v>
      </c>
      <c r="D492">
        <v>3270</v>
      </c>
      <c r="E492">
        <f t="shared" si="7"/>
        <v>654</v>
      </c>
    </row>
    <row r="493" spans="1:5" x14ac:dyDescent="0.25">
      <c r="A493" s="1" t="s">
        <v>985</v>
      </c>
      <c r="B493" s="1" t="s">
        <v>986</v>
      </c>
      <c r="C493">
        <v>3</v>
      </c>
      <c r="D493">
        <v>2384</v>
      </c>
      <c r="E493">
        <f t="shared" si="7"/>
        <v>794.66666666666663</v>
      </c>
    </row>
    <row r="494" spans="1:5" x14ac:dyDescent="0.25">
      <c r="A494" s="1" t="s">
        <v>987</v>
      </c>
      <c r="B494" s="1" t="s">
        <v>988</v>
      </c>
      <c r="C494">
        <v>3</v>
      </c>
      <c r="D494">
        <v>3758</v>
      </c>
      <c r="E494">
        <f t="shared" si="7"/>
        <v>1252.6666666666667</v>
      </c>
    </row>
    <row r="495" spans="1:5" x14ac:dyDescent="0.25">
      <c r="A495" s="1" t="s">
        <v>989</v>
      </c>
      <c r="B495" s="1" t="s">
        <v>990</v>
      </c>
      <c r="C495">
        <v>3</v>
      </c>
      <c r="D495">
        <v>3713</v>
      </c>
      <c r="E495">
        <f t="shared" si="7"/>
        <v>1237.6666666666667</v>
      </c>
    </row>
    <row r="496" spans="1:5" x14ac:dyDescent="0.25">
      <c r="A496" s="1" t="s">
        <v>991</v>
      </c>
      <c r="B496" s="1" t="s">
        <v>992</v>
      </c>
      <c r="C496">
        <v>3</v>
      </c>
      <c r="D496">
        <v>3851</v>
      </c>
      <c r="E496">
        <f t="shared" si="7"/>
        <v>1283.6666666666667</v>
      </c>
    </row>
    <row r="497" spans="1:5" x14ac:dyDescent="0.25">
      <c r="A497" s="1" t="s">
        <v>993</v>
      </c>
      <c r="B497" s="1" t="s">
        <v>994</v>
      </c>
      <c r="C497">
        <v>4</v>
      </c>
      <c r="D497">
        <v>3355</v>
      </c>
      <c r="E497">
        <f t="shared" si="7"/>
        <v>838.75</v>
      </c>
    </row>
    <row r="498" spans="1:5" x14ac:dyDescent="0.25">
      <c r="A498" s="1" t="s">
        <v>995</v>
      </c>
      <c r="B498" s="1" t="s">
        <v>996</v>
      </c>
      <c r="C498">
        <v>3</v>
      </c>
      <c r="D498">
        <v>4212</v>
      </c>
      <c r="E498">
        <f t="shared" si="7"/>
        <v>1404</v>
      </c>
    </row>
    <row r="499" spans="1:5" x14ac:dyDescent="0.25">
      <c r="A499" s="1" t="s">
        <v>997</v>
      </c>
      <c r="B499" s="1" t="s">
        <v>998</v>
      </c>
      <c r="C499">
        <v>5</v>
      </c>
      <c r="D499">
        <v>2509</v>
      </c>
      <c r="E499">
        <f t="shared" si="7"/>
        <v>501.8</v>
      </c>
    </row>
    <row r="500" spans="1:5" x14ac:dyDescent="0.25">
      <c r="A500" s="1" t="s">
        <v>999</v>
      </c>
      <c r="B500" s="1" t="s">
        <v>1000</v>
      </c>
      <c r="C500">
        <v>5</v>
      </c>
      <c r="D500">
        <v>3790</v>
      </c>
      <c r="E500">
        <f t="shared" si="7"/>
        <v>758</v>
      </c>
    </row>
    <row r="501" spans="1:5" x14ac:dyDescent="0.25">
      <c r="A501" s="1" t="s">
        <v>1001</v>
      </c>
      <c r="B501" s="1" t="s">
        <v>1002</v>
      </c>
      <c r="C501">
        <v>4</v>
      </c>
      <c r="D501">
        <v>3083</v>
      </c>
      <c r="E501">
        <f t="shared" si="7"/>
        <v>770.75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selection activeCell="G4" sqref="G4:I5"/>
    </sheetView>
  </sheetViews>
  <sheetFormatPr defaultRowHeight="15" x14ac:dyDescent="0.25"/>
  <cols>
    <col min="1" max="1" width="23.28515625" bestFit="1" customWidth="1"/>
    <col min="2" max="2" width="12" bestFit="1" customWidth="1"/>
    <col min="3" max="3" width="23" bestFit="1" customWidth="1"/>
    <col min="4" max="4" width="7.5703125" bestFit="1" customWidth="1"/>
    <col min="5" max="5" width="11.5703125" bestFit="1" customWidth="1"/>
  </cols>
  <sheetData>
    <row r="1" spans="1:9" x14ac:dyDescent="0.25">
      <c r="A1" s="1" t="s">
        <v>0</v>
      </c>
      <c r="B1" s="1" t="s">
        <v>1</v>
      </c>
      <c r="C1" t="s">
        <v>2</v>
      </c>
      <c r="D1" t="s">
        <v>3</v>
      </c>
      <c r="E1" t="s">
        <v>1003</v>
      </c>
      <c r="G1" t="s">
        <v>1004</v>
      </c>
      <c r="H1" t="s">
        <v>1005</v>
      </c>
      <c r="I1" t="s">
        <v>1006</v>
      </c>
    </row>
    <row r="2" spans="1:9" x14ac:dyDescent="0.25">
      <c r="A2" s="1" t="s">
        <v>4</v>
      </c>
      <c r="B2" s="1" t="s">
        <v>5</v>
      </c>
      <c r="C2">
        <v>2</v>
      </c>
      <c r="D2">
        <v>3603</v>
      </c>
      <c r="E2">
        <f>IF(D2&lt;600,250,IF(D2&lt;800,200,IF(D2&lt;1000,150,0)))</f>
        <v>0</v>
      </c>
      <c r="G2">
        <f>COUNTIF(E2:E501,150)</f>
        <v>27</v>
      </c>
      <c r="H2">
        <f>COUNTIF(E2:E501,200)</f>
        <v>22</v>
      </c>
      <c r="I2">
        <f>COUNTIF(E2:E501,250)</f>
        <v>0</v>
      </c>
    </row>
    <row r="3" spans="1:9" x14ac:dyDescent="0.25">
      <c r="A3" s="1" t="s">
        <v>6</v>
      </c>
      <c r="B3" s="1" t="s">
        <v>7</v>
      </c>
      <c r="C3">
        <v>5</v>
      </c>
      <c r="D3">
        <v>3969</v>
      </c>
      <c r="E3">
        <f t="shared" ref="E3:E66" si="0">IF(D3&lt;600,250,IF(D3&lt;800,200,IF(D3&lt;1000,150,0)))</f>
        <v>0</v>
      </c>
    </row>
    <row r="4" spans="1:9" x14ac:dyDescent="0.25">
      <c r="A4" s="1" t="s">
        <v>8</v>
      </c>
      <c r="B4" s="1" t="s">
        <v>9</v>
      </c>
      <c r="C4">
        <v>4</v>
      </c>
      <c r="D4">
        <v>2213</v>
      </c>
      <c r="E4">
        <f t="shared" si="0"/>
        <v>0</v>
      </c>
      <c r="G4" t="s">
        <v>1007</v>
      </c>
      <c r="H4" t="s">
        <v>1008</v>
      </c>
      <c r="I4" t="s">
        <v>1009</v>
      </c>
    </row>
    <row r="5" spans="1:9" x14ac:dyDescent="0.25">
      <c r="A5" s="1" t="s">
        <v>10</v>
      </c>
      <c r="B5" s="1" t="s">
        <v>11</v>
      </c>
      <c r="C5">
        <v>3</v>
      </c>
      <c r="D5">
        <v>3104</v>
      </c>
      <c r="E5">
        <f t="shared" si="0"/>
        <v>0</v>
      </c>
      <c r="G5" s="2">
        <f>G2/500</f>
        <v>5.3999999999999999E-2</v>
      </c>
      <c r="H5" s="2">
        <f t="shared" ref="H5:I5" si="1">H2/500</f>
        <v>4.3999999999999997E-2</v>
      </c>
      <c r="I5" s="2">
        <f t="shared" si="1"/>
        <v>0</v>
      </c>
    </row>
    <row r="6" spans="1:9" x14ac:dyDescent="0.25">
      <c r="A6" s="1" t="s">
        <v>12</v>
      </c>
      <c r="B6" s="1" t="s">
        <v>13</v>
      </c>
      <c r="C6">
        <v>3</v>
      </c>
      <c r="D6">
        <v>1007</v>
      </c>
      <c r="E6">
        <f t="shared" si="0"/>
        <v>0</v>
      </c>
    </row>
    <row r="7" spans="1:9" x14ac:dyDescent="0.25">
      <c r="A7" s="1" t="s">
        <v>14</v>
      </c>
      <c r="B7" s="1" t="s">
        <v>15</v>
      </c>
      <c r="C7">
        <v>5</v>
      </c>
      <c r="D7">
        <v>1281</v>
      </c>
      <c r="E7">
        <f t="shared" si="0"/>
        <v>0</v>
      </c>
    </row>
    <row r="8" spans="1:9" x14ac:dyDescent="0.25">
      <c r="A8" s="1" t="s">
        <v>16</v>
      </c>
      <c r="B8" s="1" t="s">
        <v>17</v>
      </c>
      <c r="C8">
        <v>2</v>
      </c>
      <c r="D8">
        <v>667</v>
      </c>
      <c r="E8">
        <f t="shared" si="0"/>
        <v>200</v>
      </c>
    </row>
    <row r="9" spans="1:9" x14ac:dyDescent="0.25">
      <c r="A9" s="1" t="s">
        <v>18</v>
      </c>
      <c r="B9" s="1" t="s">
        <v>19</v>
      </c>
      <c r="C9">
        <v>3</v>
      </c>
      <c r="D9">
        <v>1148</v>
      </c>
      <c r="E9">
        <f t="shared" si="0"/>
        <v>0</v>
      </c>
    </row>
    <row r="10" spans="1:9" x14ac:dyDescent="0.25">
      <c r="A10" s="1" t="s">
        <v>20</v>
      </c>
      <c r="B10" s="1" t="s">
        <v>21</v>
      </c>
      <c r="C10">
        <v>5</v>
      </c>
      <c r="D10">
        <v>2605</v>
      </c>
      <c r="E10">
        <f t="shared" si="0"/>
        <v>0</v>
      </c>
    </row>
    <row r="11" spans="1:9" x14ac:dyDescent="0.25">
      <c r="A11" s="1" t="s">
        <v>22</v>
      </c>
      <c r="B11" s="1" t="s">
        <v>23</v>
      </c>
      <c r="C11">
        <v>3</v>
      </c>
      <c r="D11">
        <v>1813</v>
      </c>
      <c r="E11">
        <f t="shared" si="0"/>
        <v>0</v>
      </c>
    </row>
    <row r="12" spans="1:9" x14ac:dyDescent="0.25">
      <c r="A12" s="1" t="s">
        <v>22</v>
      </c>
      <c r="B12" s="1" t="s">
        <v>24</v>
      </c>
      <c r="C12">
        <v>2</v>
      </c>
      <c r="D12">
        <v>841</v>
      </c>
      <c r="E12">
        <f t="shared" si="0"/>
        <v>150</v>
      </c>
    </row>
    <row r="13" spans="1:9" x14ac:dyDescent="0.25">
      <c r="A13" s="1" t="s">
        <v>25</v>
      </c>
      <c r="B13" s="1" t="s">
        <v>26</v>
      </c>
      <c r="C13">
        <v>4</v>
      </c>
      <c r="D13">
        <v>2605</v>
      </c>
      <c r="E13">
        <f t="shared" si="0"/>
        <v>0</v>
      </c>
    </row>
    <row r="14" spans="1:9" x14ac:dyDescent="0.25">
      <c r="A14" s="1" t="s">
        <v>27</v>
      </c>
      <c r="B14" s="1" t="s">
        <v>28</v>
      </c>
      <c r="C14">
        <v>4</v>
      </c>
      <c r="D14">
        <v>4129</v>
      </c>
      <c r="E14">
        <f t="shared" si="0"/>
        <v>0</v>
      </c>
    </row>
    <row r="15" spans="1:9" x14ac:dyDescent="0.25">
      <c r="A15" s="1" t="s">
        <v>29</v>
      </c>
      <c r="B15" s="1" t="s">
        <v>30</v>
      </c>
      <c r="C15">
        <v>5</v>
      </c>
      <c r="D15">
        <v>791</v>
      </c>
      <c r="E15">
        <f t="shared" si="0"/>
        <v>200</v>
      </c>
    </row>
    <row r="16" spans="1:9" x14ac:dyDescent="0.25">
      <c r="A16" s="1" t="s">
        <v>31</v>
      </c>
      <c r="B16" s="1" t="s">
        <v>32</v>
      </c>
      <c r="C16">
        <v>2</v>
      </c>
      <c r="D16">
        <v>4308</v>
      </c>
      <c r="E16">
        <f t="shared" si="0"/>
        <v>0</v>
      </c>
    </row>
    <row r="17" spans="1:5" x14ac:dyDescent="0.25">
      <c r="A17" s="1" t="s">
        <v>33</v>
      </c>
      <c r="B17" s="1" t="s">
        <v>34</v>
      </c>
      <c r="C17">
        <v>4</v>
      </c>
      <c r="D17">
        <v>4294</v>
      </c>
      <c r="E17">
        <f t="shared" si="0"/>
        <v>0</v>
      </c>
    </row>
    <row r="18" spans="1:5" x14ac:dyDescent="0.25">
      <c r="A18" s="1" t="s">
        <v>35</v>
      </c>
      <c r="B18" s="1" t="s">
        <v>36</v>
      </c>
      <c r="C18">
        <v>2</v>
      </c>
      <c r="D18">
        <v>3707</v>
      </c>
      <c r="E18">
        <f t="shared" si="0"/>
        <v>0</v>
      </c>
    </row>
    <row r="19" spans="1:5" x14ac:dyDescent="0.25">
      <c r="A19" s="1" t="s">
        <v>37</v>
      </c>
      <c r="B19" s="1" t="s">
        <v>38</v>
      </c>
      <c r="C19">
        <v>3</v>
      </c>
      <c r="D19">
        <v>2018</v>
      </c>
      <c r="E19">
        <f t="shared" si="0"/>
        <v>0</v>
      </c>
    </row>
    <row r="20" spans="1:5" x14ac:dyDescent="0.25">
      <c r="A20" s="1" t="s">
        <v>39</v>
      </c>
      <c r="B20" s="1" t="s">
        <v>40</v>
      </c>
      <c r="C20">
        <v>4</v>
      </c>
      <c r="D20">
        <v>3879</v>
      </c>
      <c r="E20">
        <f t="shared" si="0"/>
        <v>0</v>
      </c>
    </row>
    <row r="21" spans="1:5" x14ac:dyDescent="0.25">
      <c r="A21" s="1" t="s">
        <v>41</v>
      </c>
      <c r="B21" s="1" t="s">
        <v>42</v>
      </c>
      <c r="C21">
        <v>5</v>
      </c>
      <c r="D21">
        <v>2588</v>
      </c>
      <c r="E21">
        <f t="shared" si="0"/>
        <v>0</v>
      </c>
    </row>
    <row r="22" spans="1:5" x14ac:dyDescent="0.25">
      <c r="A22" s="1" t="s">
        <v>43</v>
      </c>
      <c r="B22" s="1" t="s">
        <v>44</v>
      </c>
      <c r="C22">
        <v>5</v>
      </c>
      <c r="D22">
        <v>3077</v>
      </c>
      <c r="E22">
        <f t="shared" si="0"/>
        <v>0</v>
      </c>
    </row>
    <row r="23" spans="1:5" x14ac:dyDescent="0.25">
      <c r="A23" s="1" t="s">
        <v>45</v>
      </c>
      <c r="B23" s="1" t="s">
        <v>46</v>
      </c>
      <c r="C23">
        <v>4</v>
      </c>
      <c r="D23">
        <v>1951</v>
      </c>
      <c r="E23">
        <f t="shared" si="0"/>
        <v>0</v>
      </c>
    </row>
    <row r="24" spans="1:5" x14ac:dyDescent="0.25">
      <c r="A24" s="1" t="s">
        <v>47</v>
      </c>
      <c r="B24" s="1" t="s">
        <v>48</v>
      </c>
      <c r="C24">
        <v>5</v>
      </c>
      <c r="D24">
        <v>1329</v>
      </c>
      <c r="E24">
        <f t="shared" si="0"/>
        <v>0</v>
      </c>
    </row>
    <row r="25" spans="1:5" x14ac:dyDescent="0.25">
      <c r="A25" s="1" t="s">
        <v>49</v>
      </c>
      <c r="B25" s="1" t="s">
        <v>50</v>
      </c>
      <c r="C25">
        <v>3</v>
      </c>
      <c r="D25">
        <v>3353</v>
      </c>
      <c r="E25">
        <f t="shared" si="0"/>
        <v>0</v>
      </c>
    </row>
    <row r="26" spans="1:5" x14ac:dyDescent="0.25">
      <c r="A26" s="1" t="s">
        <v>51</v>
      </c>
      <c r="B26" s="1" t="s">
        <v>52</v>
      </c>
      <c r="C26">
        <v>5</v>
      </c>
      <c r="D26">
        <v>1634</v>
      </c>
      <c r="E26">
        <f t="shared" si="0"/>
        <v>0</v>
      </c>
    </row>
    <row r="27" spans="1:5" x14ac:dyDescent="0.25">
      <c r="A27" s="1" t="s">
        <v>53</v>
      </c>
      <c r="B27" s="1" t="s">
        <v>54</v>
      </c>
      <c r="C27">
        <v>6</v>
      </c>
      <c r="D27">
        <v>942</v>
      </c>
      <c r="E27">
        <f t="shared" si="0"/>
        <v>150</v>
      </c>
    </row>
    <row r="28" spans="1:5" x14ac:dyDescent="0.25">
      <c r="A28" s="1" t="s">
        <v>55</v>
      </c>
      <c r="B28" s="1" t="s">
        <v>56</v>
      </c>
      <c r="C28">
        <v>2</v>
      </c>
      <c r="D28">
        <v>1182</v>
      </c>
      <c r="E28">
        <f t="shared" si="0"/>
        <v>0</v>
      </c>
    </row>
    <row r="29" spans="1:5" x14ac:dyDescent="0.25">
      <c r="A29" s="1" t="s">
        <v>57</v>
      </c>
      <c r="B29" s="1" t="s">
        <v>58</v>
      </c>
      <c r="C29">
        <v>6</v>
      </c>
      <c r="D29">
        <v>3626</v>
      </c>
      <c r="E29">
        <f t="shared" si="0"/>
        <v>0</v>
      </c>
    </row>
    <row r="30" spans="1:5" x14ac:dyDescent="0.25">
      <c r="A30" s="1" t="s">
        <v>59</v>
      </c>
      <c r="B30" s="1" t="s">
        <v>60</v>
      </c>
      <c r="C30">
        <v>5</v>
      </c>
      <c r="D30">
        <v>3001</v>
      </c>
      <c r="E30">
        <f t="shared" si="0"/>
        <v>0</v>
      </c>
    </row>
    <row r="31" spans="1:5" x14ac:dyDescent="0.25">
      <c r="A31" s="1" t="s">
        <v>61</v>
      </c>
      <c r="B31" s="1" t="s">
        <v>62</v>
      </c>
      <c r="C31">
        <v>4</v>
      </c>
      <c r="D31">
        <v>1293</v>
      </c>
      <c r="E31">
        <f t="shared" si="0"/>
        <v>0</v>
      </c>
    </row>
    <row r="32" spans="1:5" x14ac:dyDescent="0.25">
      <c r="A32" s="1" t="s">
        <v>63</v>
      </c>
      <c r="B32" s="1" t="s">
        <v>64</v>
      </c>
      <c r="C32">
        <v>2</v>
      </c>
      <c r="D32">
        <v>1752</v>
      </c>
      <c r="E32">
        <f t="shared" si="0"/>
        <v>0</v>
      </c>
    </row>
    <row r="33" spans="1:5" x14ac:dyDescent="0.25">
      <c r="A33" s="1" t="s">
        <v>65</v>
      </c>
      <c r="B33" s="1" t="s">
        <v>66</v>
      </c>
      <c r="C33">
        <v>5</v>
      </c>
      <c r="D33">
        <v>2726</v>
      </c>
      <c r="E33">
        <f t="shared" si="0"/>
        <v>0</v>
      </c>
    </row>
    <row r="34" spans="1:5" x14ac:dyDescent="0.25">
      <c r="A34" s="1" t="s">
        <v>67</v>
      </c>
      <c r="B34" s="1" t="s">
        <v>68</v>
      </c>
      <c r="C34">
        <v>5</v>
      </c>
      <c r="D34">
        <v>2159</v>
      </c>
      <c r="E34">
        <f t="shared" si="0"/>
        <v>0</v>
      </c>
    </row>
    <row r="35" spans="1:5" x14ac:dyDescent="0.25">
      <c r="A35" s="1" t="s">
        <v>69</v>
      </c>
      <c r="B35" s="1" t="s">
        <v>70</v>
      </c>
      <c r="C35">
        <v>5</v>
      </c>
      <c r="D35">
        <v>3389</v>
      </c>
      <c r="E35">
        <f t="shared" si="0"/>
        <v>0</v>
      </c>
    </row>
    <row r="36" spans="1:5" x14ac:dyDescent="0.25">
      <c r="A36" s="1" t="s">
        <v>71</v>
      </c>
      <c r="B36" s="1" t="s">
        <v>72</v>
      </c>
      <c r="C36">
        <v>4</v>
      </c>
      <c r="D36">
        <v>4328</v>
      </c>
      <c r="E36">
        <f t="shared" si="0"/>
        <v>0</v>
      </c>
    </row>
    <row r="37" spans="1:5" x14ac:dyDescent="0.25">
      <c r="A37" s="1" t="s">
        <v>73</v>
      </c>
      <c r="B37" s="1" t="s">
        <v>74</v>
      </c>
      <c r="C37">
        <v>4</v>
      </c>
      <c r="D37">
        <v>2369</v>
      </c>
      <c r="E37">
        <f t="shared" si="0"/>
        <v>0</v>
      </c>
    </row>
    <row r="38" spans="1:5" x14ac:dyDescent="0.25">
      <c r="A38" s="1" t="s">
        <v>75</v>
      </c>
      <c r="B38" s="1" t="s">
        <v>76</v>
      </c>
      <c r="C38">
        <v>6</v>
      </c>
      <c r="D38">
        <v>1788</v>
      </c>
      <c r="E38">
        <f t="shared" si="0"/>
        <v>0</v>
      </c>
    </row>
    <row r="39" spans="1:5" x14ac:dyDescent="0.25">
      <c r="A39" s="1" t="s">
        <v>77</v>
      </c>
      <c r="B39" s="1" t="s">
        <v>78</v>
      </c>
      <c r="C39">
        <v>4</v>
      </c>
      <c r="D39">
        <v>2086</v>
      </c>
      <c r="E39">
        <f t="shared" si="0"/>
        <v>0</v>
      </c>
    </row>
    <row r="40" spans="1:5" x14ac:dyDescent="0.25">
      <c r="A40" s="1" t="s">
        <v>79</v>
      </c>
      <c r="B40" s="1" t="s">
        <v>80</v>
      </c>
      <c r="C40">
        <v>3</v>
      </c>
      <c r="D40">
        <v>3741</v>
      </c>
      <c r="E40">
        <f t="shared" si="0"/>
        <v>0</v>
      </c>
    </row>
    <row r="41" spans="1:5" x14ac:dyDescent="0.25">
      <c r="A41" s="1" t="s">
        <v>81</v>
      </c>
      <c r="B41" s="1" t="s">
        <v>82</v>
      </c>
      <c r="C41">
        <v>2</v>
      </c>
      <c r="D41">
        <v>654</v>
      </c>
      <c r="E41">
        <f t="shared" si="0"/>
        <v>200</v>
      </c>
    </row>
    <row r="42" spans="1:5" x14ac:dyDescent="0.25">
      <c r="A42" s="1" t="s">
        <v>83</v>
      </c>
      <c r="B42" s="1" t="s">
        <v>84</v>
      </c>
      <c r="C42">
        <v>4</v>
      </c>
      <c r="D42">
        <v>3739</v>
      </c>
      <c r="E42">
        <f t="shared" si="0"/>
        <v>0</v>
      </c>
    </row>
    <row r="43" spans="1:5" x14ac:dyDescent="0.25">
      <c r="A43" s="1" t="s">
        <v>85</v>
      </c>
      <c r="B43" s="1" t="s">
        <v>86</v>
      </c>
      <c r="C43">
        <v>3</v>
      </c>
      <c r="D43">
        <v>3607</v>
      </c>
      <c r="E43">
        <f t="shared" si="0"/>
        <v>0</v>
      </c>
    </row>
    <row r="44" spans="1:5" x14ac:dyDescent="0.25">
      <c r="A44" s="1" t="s">
        <v>87</v>
      </c>
      <c r="B44" s="1" t="s">
        <v>88</v>
      </c>
      <c r="C44">
        <v>5</v>
      </c>
      <c r="D44">
        <v>3607</v>
      </c>
      <c r="E44">
        <f t="shared" si="0"/>
        <v>0</v>
      </c>
    </row>
    <row r="45" spans="1:5" x14ac:dyDescent="0.25">
      <c r="A45" s="1" t="s">
        <v>89</v>
      </c>
      <c r="B45" s="1" t="s">
        <v>90</v>
      </c>
      <c r="C45">
        <v>4</v>
      </c>
      <c r="D45">
        <v>1621</v>
      </c>
      <c r="E45">
        <f t="shared" si="0"/>
        <v>0</v>
      </c>
    </row>
    <row r="46" spans="1:5" x14ac:dyDescent="0.25">
      <c r="A46" s="1" t="s">
        <v>91</v>
      </c>
      <c r="B46" s="1" t="s">
        <v>92</v>
      </c>
      <c r="C46">
        <v>4</v>
      </c>
      <c r="D46">
        <v>3527</v>
      </c>
      <c r="E46">
        <f t="shared" si="0"/>
        <v>0</v>
      </c>
    </row>
    <row r="47" spans="1:5" x14ac:dyDescent="0.25">
      <c r="A47" s="1" t="s">
        <v>93</v>
      </c>
      <c r="B47" s="1" t="s">
        <v>94</v>
      </c>
      <c r="C47">
        <v>6</v>
      </c>
      <c r="D47">
        <v>833</v>
      </c>
      <c r="E47">
        <f t="shared" si="0"/>
        <v>150</v>
      </c>
    </row>
    <row r="48" spans="1:5" x14ac:dyDescent="0.25">
      <c r="A48" s="1" t="s">
        <v>95</v>
      </c>
      <c r="B48" s="1" t="s">
        <v>96</v>
      </c>
      <c r="C48">
        <v>6</v>
      </c>
      <c r="D48">
        <v>1705</v>
      </c>
      <c r="E48">
        <f t="shared" si="0"/>
        <v>0</v>
      </c>
    </row>
    <row r="49" spans="1:5" x14ac:dyDescent="0.25">
      <c r="A49" s="1" t="s">
        <v>97</v>
      </c>
      <c r="B49" s="1" t="s">
        <v>98</v>
      </c>
      <c r="C49">
        <v>3</v>
      </c>
      <c r="D49">
        <v>2772</v>
      </c>
      <c r="E49">
        <f t="shared" si="0"/>
        <v>0</v>
      </c>
    </row>
    <row r="50" spans="1:5" x14ac:dyDescent="0.25">
      <c r="A50" s="1" t="s">
        <v>99</v>
      </c>
      <c r="B50" s="1" t="s">
        <v>100</v>
      </c>
      <c r="C50">
        <v>3</v>
      </c>
      <c r="D50">
        <v>1710</v>
      </c>
      <c r="E50">
        <f t="shared" si="0"/>
        <v>0</v>
      </c>
    </row>
    <row r="51" spans="1:5" x14ac:dyDescent="0.25">
      <c r="A51" s="1" t="s">
        <v>101</v>
      </c>
      <c r="B51" s="1" t="s">
        <v>102</v>
      </c>
      <c r="C51">
        <v>5</v>
      </c>
      <c r="D51">
        <v>1371</v>
      </c>
      <c r="E51">
        <f t="shared" si="0"/>
        <v>0</v>
      </c>
    </row>
    <row r="52" spans="1:5" x14ac:dyDescent="0.25">
      <c r="A52" s="1" t="s">
        <v>103</v>
      </c>
      <c r="B52" s="1" t="s">
        <v>104</v>
      </c>
      <c r="C52">
        <v>2</v>
      </c>
      <c r="D52">
        <v>1349</v>
      </c>
      <c r="E52">
        <f t="shared" si="0"/>
        <v>0</v>
      </c>
    </row>
    <row r="53" spans="1:5" x14ac:dyDescent="0.25">
      <c r="A53" s="1" t="s">
        <v>105</v>
      </c>
      <c r="B53" s="1" t="s">
        <v>106</v>
      </c>
      <c r="C53">
        <v>6</v>
      </c>
      <c r="D53">
        <v>3155</v>
      </c>
      <c r="E53">
        <f t="shared" si="0"/>
        <v>0</v>
      </c>
    </row>
    <row r="54" spans="1:5" x14ac:dyDescent="0.25">
      <c r="A54" s="1" t="s">
        <v>107</v>
      </c>
      <c r="B54" s="1" t="s">
        <v>108</v>
      </c>
      <c r="C54">
        <v>3</v>
      </c>
      <c r="D54">
        <v>1674</v>
      </c>
      <c r="E54">
        <f t="shared" si="0"/>
        <v>0</v>
      </c>
    </row>
    <row r="55" spans="1:5" x14ac:dyDescent="0.25">
      <c r="A55" s="1" t="s">
        <v>109</v>
      </c>
      <c r="B55" s="1" t="s">
        <v>110</v>
      </c>
      <c r="C55">
        <v>4</v>
      </c>
      <c r="D55">
        <v>3416</v>
      </c>
      <c r="E55">
        <f t="shared" si="0"/>
        <v>0</v>
      </c>
    </row>
    <row r="56" spans="1:5" x14ac:dyDescent="0.25">
      <c r="A56" s="1" t="s">
        <v>111</v>
      </c>
      <c r="B56" s="1" t="s">
        <v>112</v>
      </c>
      <c r="C56">
        <v>6</v>
      </c>
      <c r="D56">
        <v>3615</v>
      </c>
      <c r="E56">
        <f t="shared" si="0"/>
        <v>0</v>
      </c>
    </row>
    <row r="57" spans="1:5" x14ac:dyDescent="0.25">
      <c r="A57" s="1" t="s">
        <v>113</v>
      </c>
      <c r="B57" s="1" t="s">
        <v>114</v>
      </c>
      <c r="C57">
        <v>3</v>
      </c>
      <c r="D57">
        <v>1035</v>
      </c>
      <c r="E57">
        <f t="shared" si="0"/>
        <v>0</v>
      </c>
    </row>
    <row r="58" spans="1:5" x14ac:dyDescent="0.25">
      <c r="A58" s="1" t="s">
        <v>115</v>
      </c>
      <c r="B58" s="1" t="s">
        <v>116</v>
      </c>
      <c r="C58">
        <v>5</v>
      </c>
      <c r="D58">
        <v>2704</v>
      </c>
      <c r="E58">
        <f t="shared" si="0"/>
        <v>0</v>
      </c>
    </row>
    <row r="59" spans="1:5" x14ac:dyDescent="0.25">
      <c r="A59" s="1" t="s">
        <v>117</v>
      </c>
      <c r="B59" s="1" t="s">
        <v>118</v>
      </c>
      <c r="C59">
        <v>5</v>
      </c>
      <c r="D59">
        <v>2884</v>
      </c>
      <c r="E59">
        <f t="shared" si="0"/>
        <v>0</v>
      </c>
    </row>
    <row r="60" spans="1:5" x14ac:dyDescent="0.25">
      <c r="A60" s="1" t="s">
        <v>119</v>
      </c>
      <c r="B60" s="1" t="s">
        <v>120</v>
      </c>
      <c r="C60">
        <v>2</v>
      </c>
      <c r="D60">
        <v>2613</v>
      </c>
      <c r="E60">
        <f t="shared" si="0"/>
        <v>0</v>
      </c>
    </row>
    <row r="61" spans="1:5" x14ac:dyDescent="0.25">
      <c r="A61" s="1" t="s">
        <v>121</v>
      </c>
      <c r="B61" s="1" t="s">
        <v>122</v>
      </c>
      <c r="C61">
        <v>5</v>
      </c>
      <c r="D61">
        <v>2642</v>
      </c>
      <c r="E61">
        <f t="shared" si="0"/>
        <v>0</v>
      </c>
    </row>
    <row r="62" spans="1:5" x14ac:dyDescent="0.25">
      <c r="A62" s="1" t="s">
        <v>123</v>
      </c>
      <c r="B62" s="1" t="s">
        <v>124</v>
      </c>
      <c r="C62">
        <v>5</v>
      </c>
      <c r="D62">
        <v>3560</v>
      </c>
      <c r="E62">
        <f t="shared" si="0"/>
        <v>0</v>
      </c>
    </row>
    <row r="63" spans="1:5" x14ac:dyDescent="0.25">
      <c r="A63" s="1" t="s">
        <v>125</v>
      </c>
      <c r="B63" s="1" t="s">
        <v>126</v>
      </c>
      <c r="C63">
        <v>6</v>
      </c>
      <c r="D63">
        <v>2420</v>
      </c>
      <c r="E63">
        <f t="shared" si="0"/>
        <v>0</v>
      </c>
    </row>
    <row r="64" spans="1:5" x14ac:dyDescent="0.25">
      <c r="A64" s="1" t="s">
        <v>127</v>
      </c>
      <c r="B64" s="1" t="s">
        <v>128</v>
      </c>
      <c r="C64">
        <v>4</v>
      </c>
      <c r="D64">
        <v>3911</v>
      </c>
      <c r="E64">
        <f t="shared" si="0"/>
        <v>0</v>
      </c>
    </row>
    <row r="65" spans="1:5" x14ac:dyDescent="0.25">
      <c r="A65" s="1" t="s">
        <v>129</v>
      </c>
      <c r="B65" s="1" t="s">
        <v>130</v>
      </c>
      <c r="C65">
        <v>4</v>
      </c>
      <c r="D65">
        <v>2506</v>
      </c>
      <c r="E65">
        <f t="shared" si="0"/>
        <v>0</v>
      </c>
    </row>
    <row r="66" spans="1:5" x14ac:dyDescent="0.25">
      <c r="A66" s="1" t="s">
        <v>131</v>
      </c>
      <c r="B66" s="1" t="s">
        <v>132</v>
      </c>
      <c r="C66">
        <v>3</v>
      </c>
      <c r="D66">
        <v>1123</v>
      </c>
      <c r="E66">
        <f t="shared" si="0"/>
        <v>0</v>
      </c>
    </row>
    <row r="67" spans="1:5" x14ac:dyDescent="0.25">
      <c r="A67" s="1" t="s">
        <v>133</v>
      </c>
      <c r="B67" s="1" t="s">
        <v>134</v>
      </c>
      <c r="C67">
        <v>3</v>
      </c>
      <c r="D67">
        <v>3415</v>
      </c>
      <c r="E67">
        <f t="shared" ref="E67:E130" si="2">IF(D67&lt;600,250,IF(D67&lt;800,200,IF(D67&lt;1000,150,0)))</f>
        <v>0</v>
      </c>
    </row>
    <row r="68" spans="1:5" x14ac:dyDescent="0.25">
      <c r="A68" s="1" t="s">
        <v>135</v>
      </c>
      <c r="B68" s="1" t="s">
        <v>136</v>
      </c>
      <c r="C68">
        <v>3</v>
      </c>
      <c r="D68">
        <v>716</v>
      </c>
      <c r="E68">
        <f t="shared" si="2"/>
        <v>200</v>
      </c>
    </row>
    <row r="69" spans="1:5" x14ac:dyDescent="0.25">
      <c r="A69" s="1" t="s">
        <v>137</v>
      </c>
      <c r="B69" s="1" t="s">
        <v>138</v>
      </c>
      <c r="C69">
        <v>5</v>
      </c>
      <c r="D69">
        <v>892</v>
      </c>
      <c r="E69">
        <f t="shared" si="2"/>
        <v>150</v>
      </c>
    </row>
    <row r="70" spans="1:5" x14ac:dyDescent="0.25">
      <c r="A70" s="1" t="s">
        <v>139</v>
      </c>
      <c r="B70" s="1" t="s">
        <v>140</v>
      </c>
      <c r="C70">
        <v>5</v>
      </c>
      <c r="D70">
        <v>2026</v>
      </c>
      <c r="E70">
        <f t="shared" si="2"/>
        <v>0</v>
      </c>
    </row>
    <row r="71" spans="1:5" x14ac:dyDescent="0.25">
      <c r="A71" s="1" t="s">
        <v>141</v>
      </c>
      <c r="B71" s="1" t="s">
        <v>142</v>
      </c>
      <c r="C71">
        <v>6</v>
      </c>
      <c r="D71">
        <v>1114</v>
      </c>
      <c r="E71">
        <f t="shared" si="2"/>
        <v>0</v>
      </c>
    </row>
    <row r="72" spans="1:5" x14ac:dyDescent="0.25">
      <c r="A72" s="1" t="s">
        <v>143</v>
      </c>
      <c r="B72" s="1" t="s">
        <v>144</v>
      </c>
      <c r="C72">
        <v>6</v>
      </c>
      <c r="D72">
        <v>1351</v>
      </c>
      <c r="E72">
        <f t="shared" si="2"/>
        <v>0</v>
      </c>
    </row>
    <row r="73" spans="1:5" x14ac:dyDescent="0.25">
      <c r="A73" s="1" t="s">
        <v>145</v>
      </c>
      <c r="B73" s="1" t="s">
        <v>146</v>
      </c>
      <c r="C73">
        <v>4</v>
      </c>
      <c r="D73">
        <v>4128</v>
      </c>
      <c r="E73">
        <f t="shared" si="2"/>
        <v>0</v>
      </c>
    </row>
    <row r="74" spans="1:5" x14ac:dyDescent="0.25">
      <c r="A74" s="1" t="s">
        <v>147</v>
      </c>
      <c r="B74" s="1" t="s">
        <v>148</v>
      </c>
      <c r="C74">
        <v>4</v>
      </c>
      <c r="D74">
        <v>2992</v>
      </c>
      <c r="E74">
        <f t="shared" si="2"/>
        <v>0</v>
      </c>
    </row>
    <row r="75" spans="1:5" x14ac:dyDescent="0.25">
      <c r="A75" s="1" t="s">
        <v>149</v>
      </c>
      <c r="B75" s="1" t="s">
        <v>150</v>
      </c>
      <c r="C75">
        <v>6</v>
      </c>
      <c r="D75">
        <v>1113</v>
      </c>
      <c r="E75">
        <f t="shared" si="2"/>
        <v>0</v>
      </c>
    </row>
    <row r="76" spans="1:5" x14ac:dyDescent="0.25">
      <c r="A76" s="1" t="s">
        <v>151</v>
      </c>
      <c r="B76" s="1" t="s">
        <v>152</v>
      </c>
      <c r="C76">
        <v>3</v>
      </c>
      <c r="D76">
        <v>2267</v>
      </c>
      <c r="E76">
        <f t="shared" si="2"/>
        <v>0</v>
      </c>
    </row>
    <row r="77" spans="1:5" x14ac:dyDescent="0.25">
      <c r="A77" s="1" t="s">
        <v>153</v>
      </c>
      <c r="B77" s="1" t="s">
        <v>154</v>
      </c>
      <c r="C77">
        <v>5</v>
      </c>
      <c r="D77">
        <v>1429</v>
      </c>
      <c r="E77">
        <f t="shared" si="2"/>
        <v>0</v>
      </c>
    </row>
    <row r="78" spans="1:5" x14ac:dyDescent="0.25">
      <c r="A78" s="1" t="s">
        <v>155</v>
      </c>
      <c r="B78" s="1" t="s">
        <v>156</v>
      </c>
      <c r="C78">
        <v>2</v>
      </c>
      <c r="D78">
        <v>2554</v>
      </c>
      <c r="E78">
        <f t="shared" si="2"/>
        <v>0</v>
      </c>
    </row>
    <row r="79" spans="1:5" x14ac:dyDescent="0.25">
      <c r="A79" s="1" t="s">
        <v>157</v>
      </c>
      <c r="B79" s="1" t="s">
        <v>158</v>
      </c>
      <c r="C79">
        <v>3</v>
      </c>
      <c r="D79">
        <v>2892</v>
      </c>
      <c r="E79">
        <f t="shared" si="2"/>
        <v>0</v>
      </c>
    </row>
    <row r="80" spans="1:5" x14ac:dyDescent="0.25">
      <c r="A80" s="1" t="s">
        <v>159</v>
      </c>
      <c r="B80" s="1" t="s">
        <v>160</v>
      </c>
      <c r="C80">
        <v>4</v>
      </c>
      <c r="D80">
        <v>3322</v>
      </c>
      <c r="E80">
        <f t="shared" si="2"/>
        <v>0</v>
      </c>
    </row>
    <row r="81" spans="1:5" x14ac:dyDescent="0.25">
      <c r="A81" s="1" t="s">
        <v>161</v>
      </c>
      <c r="B81" s="1" t="s">
        <v>162</v>
      </c>
      <c r="C81">
        <v>4</v>
      </c>
      <c r="D81">
        <v>1594</v>
      </c>
      <c r="E81">
        <f t="shared" si="2"/>
        <v>0</v>
      </c>
    </row>
    <row r="82" spans="1:5" x14ac:dyDescent="0.25">
      <c r="A82" s="1" t="s">
        <v>163</v>
      </c>
      <c r="B82" s="1" t="s">
        <v>164</v>
      </c>
      <c r="C82">
        <v>3</v>
      </c>
      <c r="D82">
        <v>4342</v>
      </c>
      <c r="E82">
        <f t="shared" si="2"/>
        <v>0</v>
      </c>
    </row>
    <row r="83" spans="1:5" x14ac:dyDescent="0.25">
      <c r="A83" s="1" t="s">
        <v>165</v>
      </c>
      <c r="B83" s="1" t="s">
        <v>166</v>
      </c>
      <c r="C83">
        <v>5</v>
      </c>
      <c r="D83">
        <v>1718</v>
      </c>
      <c r="E83">
        <f t="shared" si="2"/>
        <v>0</v>
      </c>
    </row>
    <row r="84" spans="1:5" x14ac:dyDescent="0.25">
      <c r="A84" s="1" t="s">
        <v>167</v>
      </c>
      <c r="B84" s="1" t="s">
        <v>168</v>
      </c>
      <c r="C84">
        <v>2</v>
      </c>
      <c r="D84">
        <v>4314</v>
      </c>
      <c r="E84">
        <f t="shared" si="2"/>
        <v>0</v>
      </c>
    </row>
    <row r="85" spans="1:5" x14ac:dyDescent="0.25">
      <c r="A85" s="1" t="s">
        <v>169</v>
      </c>
      <c r="B85" s="1" t="s">
        <v>170</v>
      </c>
      <c r="C85">
        <v>5</v>
      </c>
      <c r="D85">
        <v>3865</v>
      </c>
      <c r="E85">
        <f t="shared" si="2"/>
        <v>0</v>
      </c>
    </row>
    <row r="86" spans="1:5" x14ac:dyDescent="0.25">
      <c r="A86" s="1" t="s">
        <v>171</v>
      </c>
      <c r="B86" s="1" t="s">
        <v>172</v>
      </c>
      <c r="C86">
        <v>3</v>
      </c>
      <c r="D86">
        <v>2628</v>
      </c>
      <c r="E86">
        <f t="shared" si="2"/>
        <v>0</v>
      </c>
    </row>
    <row r="87" spans="1:5" x14ac:dyDescent="0.25">
      <c r="A87" s="1" t="s">
        <v>173</v>
      </c>
      <c r="B87" s="1" t="s">
        <v>174</v>
      </c>
      <c r="C87">
        <v>4</v>
      </c>
      <c r="D87">
        <v>4063</v>
      </c>
      <c r="E87">
        <f t="shared" si="2"/>
        <v>0</v>
      </c>
    </row>
    <row r="88" spans="1:5" x14ac:dyDescent="0.25">
      <c r="A88" s="1" t="s">
        <v>175</v>
      </c>
      <c r="B88" s="1" t="s">
        <v>176</v>
      </c>
      <c r="C88">
        <v>5</v>
      </c>
      <c r="D88">
        <v>2483</v>
      </c>
      <c r="E88">
        <f t="shared" si="2"/>
        <v>0</v>
      </c>
    </row>
    <row r="89" spans="1:5" x14ac:dyDescent="0.25">
      <c r="A89" s="1" t="s">
        <v>177</v>
      </c>
      <c r="B89" s="1" t="s">
        <v>178</v>
      </c>
      <c r="C89">
        <v>5</v>
      </c>
      <c r="D89">
        <v>1818</v>
      </c>
      <c r="E89">
        <f t="shared" si="2"/>
        <v>0</v>
      </c>
    </row>
    <row r="90" spans="1:5" x14ac:dyDescent="0.25">
      <c r="A90" s="1" t="s">
        <v>179</v>
      </c>
      <c r="B90" s="1" t="s">
        <v>180</v>
      </c>
      <c r="C90">
        <v>5</v>
      </c>
      <c r="D90">
        <v>3607</v>
      </c>
      <c r="E90">
        <f t="shared" si="2"/>
        <v>0</v>
      </c>
    </row>
    <row r="91" spans="1:5" x14ac:dyDescent="0.25">
      <c r="A91" s="1" t="s">
        <v>181</v>
      </c>
      <c r="B91" s="1" t="s">
        <v>182</v>
      </c>
      <c r="C91">
        <v>6</v>
      </c>
      <c r="D91">
        <v>4101</v>
      </c>
      <c r="E91">
        <f t="shared" si="2"/>
        <v>0</v>
      </c>
    </row>
    <row r="92" spans="1:5" x14ac:dyDescent="0.25">
      <c r="A92" s="1" t="s">
        <v>183</v>
      </c>
      <c r="B92" s="1" t="s">
        <v>184</v>
      </c>
      <c r="C92">
        <v>5</v>
      </c>
      <c r="D92">
        <v>2038</v>
      </c>
      <c r="E92">
        <f t="shared" si="2"/>
        <v>0</v>
      </c>
    </row>
    <row r="93" spans="1:5" x14ac:dyDescent="0.25">
      <c r="A93" s="1" t="s">
        <v>185</v>
      </c>
      <c r="B93" s="1" t="s">
        <v>186</v>
      </c>
      <c r="C93">
        <v>3</v>
      </c>
      <c r="D93">
        <v>2793</v>
      </c>
      <c r="E93">
        <f t="shared" si="2"/>
        <v>0</v>
      </c>
    </row>
    <row r="94" spans="1:5" x14ac:dyDescent="0.25">
      <c r="A94" s="1" t="s">
        <v>187</v>
      </c>
      <c r="B94" s="1" t="s">
        <v>188</v>
      </c>
      <c r="C94">
        <v>4</v>
      </c>
      <c r="D94">
        <v>3127</v>
      </c>
      <c r="E94">
        <f t="shared" si="2"/>
        <v>0</v>
      </c>
    </row>
    <row r="95" spans="1:5" x14ac:dyDescent="0.25">
      <c r="A95" s="1" t="s">
        <v>189</v>
      </c>
      <c r="B95" s="1" t="s">
        <v>190</v>
      </c>
      <c r="C95">
        <v>4</v>
      </c>
      <c r="D95">
        <v>2286</v>
      </c>
      <c r="E95">
        <f t="shared" si="2"/>
        <v>0</v>
      </c>
    </row>
    <row r="96" spans="1:5" x14ac:dyDescent="0.25">
      <c r="A96" s="1" t="s">
        <v>191</v>
      </c>
      <c r="B96" s="1" t="s">
        <v>192</v>
      </c>
      <c r="C96">
        <v>4</v>
      </c>
      <c r="D96">
        <v>1831</v>
      </c>
      <c r="E96">
        <f t="shared" si="2"/>
        <v>0</v>
      </c>
    </row>
    <row r="97" spans="1:5" x14ac:dyDescent="0.25">
      <c r="A97" s="1" t="s">
        <v>193</v>
      </c>
      <c r="B97" s="1" t="s">
        <v>194</v>
      </c>
      <c r="C97">
        <v>5</v>
      </c>
      <c r="D97">
        <v>4052</v>
      </c>
      <c r="E97">
        <f t="shared" si="2"/>
        <v>0</v>
      </c>
    </row>
    <row r="98" spans="1:5" x14ac:dyDescent="0.25">
      <c r="A98" s="1" t="s">
        <v>195</v>
      </c>
      <c r="B98" s="1" t="s">
        <v>196</v>
      </c>
      <c r="C98">
        <v>4</v>
      </c>
      <c r="D98">
        <v>3872</v>
      </c>
      <c r="E98">
        <f t="shared" si="2"/>
        <v>0</v>
      </c>
    </row>
    <row r="99" spans="1:5" x14ac:dyDescent="0.25">
      <c r="A99" s="1" t="s">
        <v>197</v>
      </c>
      <c r="B99" s="1" t="s">
        <v>198</v>
      </c>
      <c r="C99">
        <v>3</v>
      </c>
      <c r="D99">
        <v>647</v>
      </c>
      <c r="E99">
        <f t="shared" si="2"/>
        <v>200</v>
      </c>
    </row>
    <row r="100" spans="1:5" x14ac:dyDescent="0.25">
      <c r="A100" s="1" t="s">
        <v>199</v>
      </c>
      <c r="B100" s="1" t="s">
        <v>200</v>
      </c>
      <c r="C100">
        <v>3</v>
      </c>
      <c r="D100">
        <v>3747</v>
      </c>
      <c r="E100">
        <f t="shared" si="2"/>
        <v>0</v>
      </c>
    </row>
    <row r="101" spans="1:5" x14ac:dyDescent="0.25">
      <c r="A101" s="1" t="s">
        <v>201</v>
      </c>
      <c r="B101" s="1" t="s">
        <v>202</v>
      </c>
      <c r="C101">
        <v>5</v>
      </c>
      <c r="D101">
        <v>3408</v>
      </c>
      <c r="E101">
        <f t="shared" si="2"/>
        <v>0</v>
      </c>
    </row>
    <row r="102" spans="1:5" x14ac:dyDescent="0.25">
      <c r="A102" s="1" t="s">
        <v>203</v>
      </c>
      <c r="B102" s="1" t="s">
        <v>204</v>
      </c>
      <c r="C102">
        <v>5</v>
      </c>
      <c r="D102">
        <v>708</v>
      </c>
      <c r="E102">
        <f t="shared" si="2"/>
        <v>200</v>
      </c>
    </row>
    <row r="103" spans="1:5" x14ac:dyDescent="0.25">
      <c r="A103" s="1" t="s">
        <v>205</v>
      </c>
      <c r="B103" s="1" t="s">
        <v>206</v>
      </c>
      <c r="C103">
        <v>4</v>
      </c>
      <c r="D103">
        <v>994</v>
      </c>
      <c r="E103">
        <f t="shared" si="2"/>
        <v>150</v>
      </c>
    </row>
    <row r="104" spans="1:5" x14ac:dyDescent="0.25">
      <c r="A104" s="1" t="s">
        <v>207</v>
      </c>
      <c r="B104" s="1" t="s">
        <v>208</v>
      </c>
      <c r="C104">
        <v>2</v>
      </c>
      <c r="D104">
        <v>1626</v>
      </c>
      <c r="E104">
        <f t="shared" si="2"/>
        <v>0</v>
      </c>
    </row>
    <row r="105" spans="1:5" x14ac:dyDescent="0.25">
      <c r="A105" s="1" t="s">
        <v>209</v>
      </c>
      <c r="B105" s="1" t="s">
        <v>210</v>
      </c>
      <c r="C105">
        <v>6</v>
      </c>
      <c r="D105">
        <v>1808</v>
      </c>
      <c r="E105">
        <f t="shared" si="2"/>
        <v>0</v>
      </c>
    </row>
    <row r="106" spans="1:5" x14ac:dyDescent="0.25">
      <c r="A106" s="1" t="s">
        <v>211</v>
      </c>
      <c r="B106" s="1" t="s">
        <v>212</v>
      </c>
      <c r="C106">
        <v>5</v>
      </c>
      <c r="D106">
        <v>2295</v>
      </c>
      <c r="E106">
        <f t="shared" si="2"/>
        <v>0</v>
      </c>
    </row>
    <row r="107" spans="1:5" x14ac:dyDescent="0.25">
      <c r="A107" s="1" t="s">
        <v>213</v>
      </c>
      <c r="B107" s="1" t="s">
        <v>214</v>
      </c>
      <c r="C107">
        <v>2</v>
      </c>
      <c r="D107">
        <v>3883</v>
      </c>
      <c r="E107">
        <f t="shared" si="2"/>
        <v>0</v>
      </c>
    </row>
    <row r="108" spans="1:5" x14ac:dyDescent="0.25">
      <c r="A108" s="1" t="s">
        <v>215</v>
      </c>
      <c r="B108" s="1" t="s">
        <v>216</v>
      </c>
      <c r="C108">
        <v>5</v>
      </c>
      <c r="D108">
        <v>1133</v>
      </c>
      <c r="E108">
        <f t="shared" si="2"/>
        <v>0</v>
      </c>
    </row>
    <row r="109" spans="1:5" x14ac:dyDescent="0.25">
      <c r="A109" s="1" t="s">
        <v>217</v>
      </c>
      <c r="B109" s="1" t="s">
        <v>218</v>
      </c>
      <c r="C109">
        <v>3</v>
      </c>
      <c r="D109">
        <v>1553</v>
      </c>
      <c r="E109">
        <f t="shared" si="2"/>
        <v>0</v>
      </c>
    </row>
    <row r="110" spans="1:5" x14ac:dyDescent="0.25">
      <c r="A110" s="1" t="s">
        <v>219</v>
      </c>
      <c r="B110" s="1" t="s">
        <v>220</v>
      </c>
      <c r="C110">
        <v>5</v>
      </c>
      <c r="D110">
        <v>923</v>
      </c>
      <c r="E110">
        <f t="shared" si="2"/>
        <v>150</v>
      </c>
    </row>
    <row r="111" spans="1:5" x14ac:dyDescent="0.25">
      <c r="A111" s="1" t="s">
        <v>221</v>
      </c>
      <c r="B111" s="1" t="s">
        <v>222</v>
      </c>
      <c r="C111">
        <v>2</v>
      </c>
      <c r="D111">
        <v>1857</v>
      </c>
      <c r="E111">
        <f t="shared" si="2"/>
        <v>0</v>
      </c>
    </row>
    <row r="112" spans="1:5" x14ac:dyDescent="0.25">
      <c r="A112" s="1" t="s">
        <v>223</v>
      </c>
      <c r="B112" s="1" t="s">
        <v>224</v>
      </c>
      <c r="C112">
        <v>2</v>
      </c>
      <c r="D112">
        <v>1200</v>
      </c>
      <c r="E112">
        <f t="shared" si="2"/>
        <v>0</v>
      </c>
    </row>
    <row r="113" spans="1:5" x14ac:dyDescent="0.25">
      <c r="A113" s="1" t="s">
        <v>225</v>
      </c>
      <c r="B113" s="1" t="s">
        <v>226</v>
      </c>
      <c r="C113">
        <v>4</v>
      </c>
      <c r="D113">
        <v>3259</v>
      </c>
      <c r="E113">
        <f t="shared" si="2"/>
        <v>0</v>
      </c>
    </row>
    <row r="114" spans="1:5" x14ac:dyDescent="0.25">
      <c r="A114" s="1" t="s">
        <v>227</v>
      </c>
      <c r="B114" s="1" t="s">
        <v>228</v>
      </c>
      <c r="C114">
        <v>5</v>
      </c>
      <c r="D114">
        <v>996</v>
      </c>
      <c r="E114">
        <f t="shared" si="2"/>
        <v>150</v>
      </c>
    </row>
    <row r="115" spans="1:5" x14ac:dyDescent="0.25">
      <c r="A115" s="1" t="s">
        <v>229</v>
      </c>
      <c r="B115" s="1" t="s">
        <v>230</v>
      </c>
      <c r="C115">
        <v>2</v>
      </c>
      <c r="D115">
        <v>2978</v>
      </c>
      <c r="E115">
        <f t="shared" si="2"/>
        <v>0</v>
      </c>
    </row>
    <row r="116" spans="1:5" x14ac:dyDescent="0.25">
      <c r="A116" s="1" t="s">
        <v>231</v>
      </c>
      <c r="B116" s="1" t="s">
        <v>232</v>
      </c>
      <c r="C116">
        <v>6</v>
      </c>
      <c r="D116">
        <v>2980</v>
      </c>
      <c r="E116">
        <f t="shared" si="2"/>
        <v>0</v>
      </c>
    </row>
    <row r="117" spans="1:5" x14ac:dyDescent="0.25">
      <c r="A117" s="1" t="s">
        <v>233</v>
      </c>
      <c r="B117" s="1" t="s">
        <v>234</v>
      </c>
      <c r="C117">
        <v>5</v>
      </c>
      <c r="D117">
        <v>1166</v>
      </c>
      <c r="E117">
        <f t="shared" si="2"/>
        <v>0</v>
      </c>
    </row>
    <row r="118" spans="1:5" x14ac:dyDescent="0.25">
      <c r="A118" s="1" t="s">
        <v>235</v>
      </c>
      <c r="B118" s="1" t="s">
        <v>236</v>
      </c>
      <c r="C118">
        <v>2</v>
      </c>
      <c r="D118">
        <v>2901</v>
      </c>
      <c r="E118">
        <f t="shared" si="2"/>
        <v>0</v>
      </c>
    </row>
    <row r="119" spans="1:5" x14ac:dyDescent="0.25">
      <c r="A119" s="1" t="s">
        <v>237</v>
      </c>
      <c r="B119" s="1" t="s">
        <v>238</v>
      </c>
      <c r="C119">
        <v>3</v>
      </c>
      <c r="D119">
        <v>900</v>
      </c>
      <c r="E119">
        <f t="shared" si="2"/>
        <v>150</v>
      </c>
    </row>
    <row r="120" spans="1:5" x14ac:dyDescent="0.25">
      <c r="A120" s="1" t="s">
        <v>239</v>
      </c>
      <c r="B120" s="1" t="s">
        <v>240</v>
      </c>
      <c r="C120">
        <v>6</v>
      </c>
      <c r="D120">
        <v>2003</v>
      </c>
      <c r="E120">
        <f t="shared" si="2"/>
        <v>0</v>
      </c>
    </row>
    <row r="121" spans="1:5" x14ac:dyDescent="0.25">
      <c r="A121" s="1" t="s">
        <v>241</v>
      </c>
      <c r="B121" s="1" t="s">
        <v>242</v>
      </c>
      <c r="C121">
        <v>4</v>
      </c>
      <c r="D121">
        <v>2120</v>
      </c>
      <c r="E121">
        <f t="shared" si="2"/>
        <v>0</v>
      </c>
    </row>
    <row r="122" spans="1:5" x14ac:dyDescent="0.25">
      <c r="A122" s="1" t="s">
        <v>243</v>
      </c>
      <c r="B122" s="1" t="s">
        <v>244</v>
      </c>
      <c r="C122">
        <v>5</v>
      </c>
      <c r="D122">
        <v>1114</v>
      </c>
      <c r="E122">
        <f t="shared" si="2"/>
        <v>0</v>
      </c>
    </row>
    <row r="123" spans="1:5" x14ac:dyDescent="0.25">
      <c r="A123" s="1" t="s">
        <v>245</v>
      </c>
      <c r="B123" s="1" t="s">
        <v>246</v>
      </c>
      <c r="C123">
        <v>6</v>
      </c>
      <c r="D123">
        <v>1902</v>
      </c>
      <c r="E123">
        <f t="shared" si="2"/>
        <v>0</v>
      </c>
    </row>
    <row r="124" spans="1:5" x14ac:dyDescent="0.25">
      <c r="A124" s="1" t="s">
        <v>247</v>
      </c>
      <c r="B124" s="1" t="s">
        <v>248</v>
      </c>
      <c r="C124">
        <v>2</v>
      </c>
      <c r="D124">
        <v>2795</v>
      </c>
      <c r="E124">
        <f t="shared" si="2"/>
        <v>0</v>
      </c>
    </row>
    <row r="125" spans="1:5" x14ac:dyDescent="0.25">
      <c r="A125" s="1" t="s">
        <v>249</v>
      </c>
      <c r="B125" s="1" t="s">
        <v>250</v>
      </c>
      <c r="C125">
        <v>5</v>
      </c>
      <c r="D125">
        <v>3998</v>
      </c>
      <c r="E125">
        <f t="shared" si="2"/>
        <v>0</v>
      </c>
    </row>
    <row r="126" spans="1:5" x14ac:dyDescent="0.25">
      <c r="A126" s="1" t="s">
        <v>251</v>
      </c>
      <c r="B126" s="1" t="s">
        <v>252</v>
      </c>
      <c r="C126">
        <v>5</v>
      </c>
      <c r="D126">
        <v>2875</v>
      </c>
      <c r="E126">
        <f t="shared" si="2"/>
        <v>0</v>
      </c>
    </row>
    <row r="127" spans="1:5" x14ac:dyDescent="0.25">
      <c r="A127" s="1" t="s">
        <v>253</v>
      </c>
      <c r="B127" s="1" t="s">
        <v>254</v>
      </c>
      <c r="C127">
        <v>3</v>
      </c>
      <c r="D127">
        <v>1173</v>
      </c>
      <c r="E127">
        <f t="shared" si="2"/>
        <v>0</v>
      </c>
    </row>
    <row r="128" spans="1:5" x14ac:dyDescent="0.25">
      <c r="A128" s="1" t="s">
        <v>255</v>
      </c>
      <c r="B128" s="1" t="s">
        <v>256</v>
      </c>
      <c r="C128">
        <v>5</v>
      </c>
      <c r="D128">
        <v>988</v>
      </c>
      <c r="E128">
        <f t="shared" si="2"/>
        <v>150</v>
      </c>
    </row>
    <row r="129" spans="1:5" x14ac:dyDescent="0.25">
      <c r="A129" s="1" t="s">
        <v>257</v>
      </c>
      <c r="B129" s="1" t="s">
        <v>258</v>
      </c>
      <c r="C129">
        <v>2</v>
      </c>
      <c r="D129">
        <v>2317</v>
      </c>
      <c r="E129">
        <f t="shared" si="2"/>
        <v>0</v>
      </c>
    </row>
    <row r="130" spans="1:5" x14ac:dyDescent="0.25">
      <c r="A130" s="1" t="s">
        <v>259</v>
      </c>
      <c r="B130" s="1" t="s">
        <v>260</v>
      </c>
      <c r="C130">
        <v>5</v>
      </c>
      <c r="D130">
        <v>1996</v>
      </c>
      <c r="E130">
        <f t="shared" si="2"/>
        <v>0</v>
      </c>
    </row>
    <row r="131" spans="1:5" x14ac:dyDescent="0.25">
      <c r="A131" s="1" t="s">
        <v>261</v>
      </c>
      <c r="B131" s="1" t="s">
        <v>262</v>
      </c>
      <c r="C131">
        <v>2</v>
      </c>
      <c r="D131">
        <v>1653</v>
      </c>
      <c r="E131">
        <f t="shared" ref="E131:E194" si="3">IF(D131&lt;600,250,IF(D131&lt;800,200,IF(D131&lt;1000,150,0)))</f>
        <v>0</v>
      </c>
    </row>
    <row r="132" spans="1:5" x14ac:dyDescent="0.25">
      <c r="A132" s="1" t="s">
        <v>263</v>
      </c>
      <c r="B132" s="1" t="s">
        <v>264</v>
      </c>
      <c r="C132">
        <v>3</v>
      </c>
      <c r="D132">
        <v>944</v>
      </c>
      <c r="E132">
        <f t="shared" si="3"/>
        <v>150</v>
      </c>
    </row>
    <row r="133" spans="1:5" x14ac:dyDescent="0.25">
      <c r="A133" s="1" t="s">
        <v>265</v>
      </c>
      <c r="B133" s="1" t="s">
        <v>266</v>
      </c>
      <c r="C133">
        <v>5</v>
      </c>
      <c r="D133">
        <v>1614</v>
      </c>
      <c r="E133">
        <f t="shared" si="3"/>
        <v>0</v>
      </c>
    </row>
    <row r="134" spans="1:5" x14ac:dyDescent="0.25">
      <c r="A134" s="1" t="s">
        <v>267</v>
      </c>
      <c r="B134" s="1" t="s">
        <v>268</v>
      </c>
      <c r="C134">
        <v>3</v>
      </c>
      <c r="D134">
        <v>1641</v>
      </c>
      <c r="E134">
        <f t="shared" si="3"/>
        <v>0</v>
      </c>
    </row>
    <row r="135" spans="1:5" x14ac:dyDescent="0.25">
      <c r="A135" s="1" t="s">
        <v>269</v>
      </c>
      <c r="B135" s="1" t="s">
        <v>270</v>
      </c>
      <c r="C135">
        <v>3</v>
      </c>
      <c r="D135">
        <v>3100</v>
      </c>
      <c r="E135">
        <f t="shared" si="3"/>
        <v>0</v>
      </c>
    </row>
    <row r="136" spans="1:5" x14ac:dyDescent="0.25">
      <c r="A136" s="1" t="s">
        <v>271</v>
      </c>
      <c r="B136" s="1" t="s">
        <v>272</v>
      </c>
      <c r="C136">
        <v>4</v>
      </c>
      <c r="D136">
        <v>2922</v>
      </c>
      <c r="E136">
        <f t="shared" si="3"/>
        <v>0</v>
      </c>
    </row>
    <row r="137" spans="1:5" x14ac:dyDescent="0.25">
      <c r="A137" s="1" t="s">
        <v>273</v>
      </c>
      <c r="B137" s="1" t="s">
        <v>274</v>
      </c>
      <c r="C137">
        <v>6</v>
      </c>
      <c r="D137">
        <v>3635</v>
      </c>
      <c r="E137">
        <f t="shared" si="3"/>
        <v>0</v>
      </c>
    </row>
    <row r="138" spans="1:5" x14ac:dyDescent="0.25">
      <c r="A138" s="1" t="s">
        <v>275</v>
      </c>
      <c r="B138" s="1" t="s">
        <v>276</v>
      </c>
      <c r="C138">
        <v>2</v>
      </c>
      <c r="D138">
        <v>3716</v>
      </c>
      <c r="E138">
        <f t="shared" si="3"/>
        <v>0</v>
      </c>
    </row>
    <row r="139" spans="1:5" x14ac:dyDescent="0.25">
      <c r="A139" s="1" t="s">
        <v>277</v>
      </c>
      <c r="B139" s="1" t="s">
        <v>278</v>
      </c>
      <c r="C139">
        <v>6</v>
      </c>
      <c r="D139">
        <v>2287</v>
      </c>
      <c r="E139">
        <f t="shared" si="3"/>
        <v>0</v>
      </c>
    </row>
    <row r="140" spans="1:5" x14ac:dyDescent="0.25">
      <c r="A140" s="1" t="s">
        <v>279</v>
      </c>
      <c r="B140" s="1" t="s">
        <v>280</v>
      </c>
      <c r="C140">
        <v>3</v>
      </c>
      <c r="D140">
        <v>1201</v>
      </c>
      <c r="E140">
        <f t="shared" si="3"/>
        <v>0</v>
      </c>
    </row>
    <row r="141" spans="1:5" x14ac:dyDescent="0.25">
      <c r="A141" s="1" t="s">
        <v>281</v>
      </c>
      <c r="B141" s="1" t="s">
        <v>282</v>
      </c>
      <c r="C141">
        <v>3</v>
      </c>
      <c r="D141">
        <v>723</v>
      </c>
      <c r="E141">
        <f t="shared" si="3"/>
        <v>200</v>
      </c>
    </row>
    <row r="142" spans="1:5" x14ac:dyDescent="0.25">
      <c r="A142" s="1" t="s">
        <v>283</v>
      </c>
      <c r="B142" s="1" t="s">
        <v>284</v>
      </c>
      <c r="C142">
        <v>2</v>
      </c>
      <c r="D142">
        <v>795</v>
      </c>
      <c r="E142">
        <f t="shared" si="3"/>
        <v>200</v>
      </c>
    </row>
    <row r="143" spans="1:5" x14ac:dyDescent="0.25">
      <c r="A143" s="1" t="s">
        <v>285</v>
      </c>
      <c r="B143" s="1" t="s">
        <v>286</v>
      </c>
      <c r="C143">
        <v>5</v>
      </c>
      <c r="D143">
        <v>3673</v>
      </c>
      <c r="E143">
        <f t="shared" si="3"/>
        <v>0</v>
      </c>
    </row>
    <row r="144" spans="1:5" x14ac:dyDescent="0.25">
      <c r="A144" s="1" t="s">
        <v>287</v>
      </c>
      <c r="B144" s="1" t="s">
        <v>288</v>
      </c>
      <c r="C144">
        <v>2</v>
      </c>
      <c r="D144">
        <v>4320</v>
      </c>
      <c r="E144">
        <f t="shared" si="3"/>
        <v>0</v>
      </c>
    </row>
    <row r="145" spans="1:5" x14ac:dyDescent="0.25">
      <c r="A145" s="1" t="s">
        <v>289</v>
      </c>
      <c r="B145" s="1" t="s">
        <v>290</v>
      </c>
      <c r="C145">
        <v>3</v>
      </c>
      <c r="D145">
        <v>2575</v>
      </c>
      <c r="E145">
        <f t="shared" si="3"/>
        <v>0</v>
      </c>
    </row>
    <row r="146" spans="1:5" x14ac:dyDescent="0.25">
      <c r="A146" s="1" t="s">
        <v>291</v>
      </c>
      <c r="B146" s="1" t="s">
        <v>292</v>
      </c>
      <c r="C146">
        <v>6</v>
      </c>
      <c r="D146">
        <v>2079</v>
      </c>
      <c r="E146">
        <f t="shared" si="3"/>
        <v>0</v>
      </c>
    </row>
    <row r="147" spans="1:5" x14ac:dyDescent="0.25">
      <c r="A147" s="1" t="s">
        <v>293</v>
      </c>
      <c r="B147" s="1" t="s">
        <v>294</v>
      </c>
      <c r="C147">
        <v>6</v>
      </c>
      <c r="D147">
        <v>1120</v>
      </c>
      <c r="E147">
        <f t="shared" si="3"/>
        <v>0</v>
      </c>
    </row>
    <row r="148" spans="1:5" x14ac:dyDescent="0.25">
      <c r="A148" s="1" t="s">
        <v>295</v>
      </c>
      <c r="B148" s="1" t="s">
        <v>296</v>
      </c>
      <c r="C148">
        <v>5</v>
      </c>
      <c r="D148">
        <v>3463</v>
      </c>
      <c r="E148">
        <f t="shared" si="3"/>
        <v>0</v>
      </c>
    </row>
    <row r="149" spans="1:5" x14ac:dyDescent="0.25">
      <c r="A149" s="1" t="s">
        <v>297</v>
      </c>
      <c r="B149" s="1" t="s">
        <v>298</v>
      </c>
      <c r="C149">
        <v>6</v>
      </c>
      <c r="D149">
        <v>2723</v>
      </c>
      <c r="E149">
        <f t="shared" si="3"/>
        <v>0</v>
      </c>
    </row>
    <row r="150" spans="1:5" x14ac:dyDescent="0.25">
      <c r="A150" s="1" t="s">
        <v>299</v>
      </c>
      <c r="B150" s="1" t="s">
        <v>300</v>
      </c>
      <c r="C150">
        <v>6</v>
      </c>
      <c r="D150">
        <v>1193</v>
      </c>
      <c r="E150">
        <f t="shared" si="3"/>
        <v>0</v>
      </c>
    </row>
    <row r="151" spans="1:5" x14ac:dyDescent="0.25">
      <c r="A151" s="1" t="s">
        <v>301</v>
      </c>
      <c r="B151" s="1" t="s">
        <v>302</v>
      </c>
      <c r="C151">
        <v>3</v>
      </c>
      <c r="D151">
        <v>1192</v>
      </c>
      <c r="E151">
        <f t="shared" si="3"/>
        <v>0</v>
      </c>
    </row>
    <row r="152" spans="1:5" x14ac:dyDescent="0.25">
      <c r="A152" s="1" t="s">
        <v>303</v>
      </c>
      <c r="B152" s="1" t="s">
        <v>304</v>
      </c>
      <c r="C152">
        <v>6</v>
      </c>
      <c r="D152">
        <v>1201</v>
      </c>
      <c r="E152">
        <f t="shared" si="3"/>
        <v>0</v>
      </c>
    </row>
    <row r="153" spans="1:5" x14ac:dyDescent="0.25">
      <c r="A153" s="1" t="s">
        <v>305</v>
      </c>
      <c r="B153" s="1" t="s">
        <v>306</v>
      </c>
      <c r="C153">
        <v>3</v>
      </c>
      <c r="D153">
        <v>2544</v>
      </c>
      <c r="E153">
        <f t="shared" si="3"/>
        <v>0</v>
      </c>
    </row>
    <row r="154" spans="1:5" x14ac:dyDescent="0.25">
      <c r="A154" s="1" t="s">
        <v>307</v>
      </c>
      <c r="B154" s="1" t="s">
        <v>308</v>
      </c>
      <c r="C154">
        <v>3</v>
      </c>
      <c r="D154">
        <v>3374</v>
      </c>
      <c r="E154">
        <f t="shared" si="3"/>
        <v>0</v>
      </c>
    </row>
    <row r="155" spans="1:5" x14ac:dyDescent="0.25">
      <c r="A155" s="1" t="s">
        <v>309</v>
      </c>
      <c r="B155" s="1" t="s">
        <v>310</v>
      </c>
      <c r="C155">
        <v>5</v>
      </c>
      <c r="D155">
        <v>3382</v>
      </c>
      <c r="E155">
        <f t="shared" si="3"/>
        <v>0</v>
      </c>
    </row>
    <row r="156" spans="1:5" x14ac:dyDescent="0.25">
      <c r="A156" s="1" t="s">
        <v>311</v>
      </c>
      <c r="B156" s="1" t="s">
        <v>312</v>
      </c>
      <c r="C156">
        <v>4</v>
      </c>
      <c r="D156">
        <v>1152</v>
      </c>
      <c r="E156">
        <f t="shared" si="3"/>
        <v>0</v>
      </c>
    </row>
    <row r="157" spans="1:5" x14ac:dyDescent="0.25">
      <c r="A157" s="1" t="s">
        <v>313</v>
      </c>
      <c r="B157" s="1" t="s">
        <v>314</v>
      </c>
      <c r="C157">
        <v>5</v>
      </c>
      <c r="D157">
        <v>1903</v>
      </c>
      <c r="E157">
        <f t="shared" si="3"/>
        <v>0</v>
      </c>
    </row>
    <row r="158" spans="1:5" x14ac:dyDescent="0.25">
      <c r="A158" s="1" t="s">
        <v>315</v>
      </c>
      <c r="B158" s="1" t="s">
        <v>316</v>
      </c>
      <c r="C158">
        <v>3</v>
      </c>
      <c r="D158">
        <v>3126</v>
      </c>
      <c r="E158">
        <f t="shared" si="3"/>
        <v>0</v>
      </c>
    </row>
    <row r="159" spans="1:5" x14ac:dyDescent="0.25">
      <c r="A159" s="1" t="s">
        <v>317</v>
      </c>
      <c r="B159" s="1" t="s">
        <v>318</v>
      </c>
      <c r="C159">
        <v>2</v>
      </c>
      <c r="D159">
        <v>3285</v>
      </c>
      <c r="E159">
        <f t="shared" si="3"/>
        <v>0</v>
      </c>
    </row>
    <row r="160" spans="1:5" x14ac:dyDescent="0.25">
      <c r="A160" s="1" t="s">
        <v>319</v>
      </c>
      <c r="B160" s="1" t="s">
        <v>320</v>
      </c>
      <c r="C160">
        <v>3</v>
      </c>
      <c r="D160">
        <v>4003</v>
      </c>
      <c r="E160">
        <f t="shared" si="3"/>
        <v>0</v>
      </c>
    </row>
    <row r="161" spans="1:5" x14ac:dyDescent="0.25">
      <c r="A161" s="1" t="s">
        <v>321</v>
      </c>
      <c r="B161" s="1" t="s">
        <v>322</v>
      </c>
      <c r="C161">
        <v>5</v>
      </c>
      <c r="D161">
        <v>4214</v>
      </c>
      <c r="E161">
        <f t="shared" si="3"/>
        <v>0</v>
      </c>
    </row>
    <row r="162" spans="1:5" x14ac:dyDescent="0.25">
      <c r="A162" s="1" t="s">
        <v>323</v>
      </c>
      <c r="B162" s="1" t="s">
        <v>324</v>
      </c>
      <c r="C162">
        <v>6</v>
      </c>
      <c r="D162">
        <v>3748</v>
      </c>
      <c r="E162">
        <f t="shared" si="3"/>
        <v>0</v>
      </c>
    </row>
    <row r="163" spans="1:5" x14ac:dyDescent="0.25">
      <c r="A163" s="1" t="s">
        <v>325</v>
      </c>
      <c r="B163" s="1" t="s">
        <v>326</v>
      </c>
      <c r="C163">
        <v>2</v>
      </c>
      <c r="D163">
        <v>1397</v>
      </c>
      <c r="E163">
        <f t="shared" si="3"/>
        <v>0</v>
      </c>
    </row>
    <row r="164" spans="1:5" x14ac:dyDescent="0.25">
      <c r="A164" s="1" t="s">
        <v>327</v>
      </c>
      <c r="B164" s="1" t="s">
        <v>328</v>
      </c>
      <c r="C164">
        <v>4</v>
      </c>
      <c r="D164">
        <v>3685</v>
      </c>
      <c r="E164">
        <f t="shared" si="3"/>
        <v>0</v>
      </c>
    </row>
    <row r="165" spans="1:5" x14ac:dyDescent="0.25">
      <c r="A165" s="1" t="s">
        <v>329</v>
      </c>
      <c r="B165" s="1" t="s">
        <v>330</v>
      </c>
      <c r="C165">
        <v>2</v>
      </c>
      <c r="D165">
        <v>2360</v>
      </c>
      <c r="E165">
        <f t="shared" si="3"/>
        <v>0</v>
      </c>
    </row>
    <row r="166" spans="1:5" x14ac:dyDescent="0.25">
      <c r="A166" s="1" t="s">
        <v>331</v>
      </c>
      <c r="B166" s="1" t="s">
        <v>332</v>
      </c>
      <c r="C166">
        <v>6</v>
      </c>
      <c r="D166">
        <v>3716</v>
      </c>
      <c r="E166">
        <f t="shared" si="3"/>
        <v>0</v>
      </c>
    </row>
    <row r="167" spans="1:5" x14ac:dyDescent="0.25">
      <c r="A167" s="1" t="s">
        <v>333</v>
      </c>
      <c r="B167" s="1" t="s">
        <v>334</v>
      </c>
      <c r="C167">
        <v>4</v>
      </c>
      <c r="D167">
        <v>3000</v>
      </c>
      <c r="E167">
        <f t="shared" si="3"/>
        <v>0</v>
      </c>
    </row>
    <row r="168" spans="1:5" x14ac:dyDescent="0.25">
      <c r="A168" s="1" t="s">
        <v>335</v>
      </c>
      <c r="B168" s="1" t="s">
        <v>336</v>
      </c>
      <c r="C168">
        <v>3</v>
      </c>
      <c r="D168">
        <v>3914</v>
      </c>
      <c r="E168">
        <f t="shared" si="3"/>
        <v>0</v>
      </c>
    </row>
    <row r="169" spans="1:5" x14ac:dyDescent="0.25">
      <c r="A169" s="1" t="s">
        <v>337</v>
      </c>
      <c r="B169" s="1" t="s">
        <v>338</v>
      </c>
      <c r="C169">
        <v>4</v>
      </c>
      <c r="D169">
        <v>680</v>
      </c>
      <c r="E169">
        <f t="shared" si="3"/>
        <v>200</v>
      </c>
    </row>
    <row r="170" spans="1:5" x14ac:dyDescent="0.25">
      <c r="A170" s="1" t="s">
        <v>339</v>
      </c>
      <c r="B170" s="1" t="s">
        <v>340</v>
      </c>
      <c r="C170">
        <v>2</v>
      </c>
      <c r="D170">
        <v>1821</v>
      </c>
      <c r="E170">
        <f t="shared" si="3"/>
        <v>0</v>
      </c>
    </row>
    <row r="171" spans="1:5" x14ac:dyDescent="0.25">
      <c r="A171" s="1" t="s">
        <v>341</v>
      </c>
      <c r="B171" s="1" t="s">
        <v>342</v>
      </c>
      <c r="C171">
        <v>3</v>
      </c>
      <c r="D171">
        <v>4125</v>
      </c>
      <c r="E171">
        <f t="shared" si="3"/>
        <v>0</v>
      </c>
    </row>
    <row r="172" spans="1:5" x14ac:dyDescent="0.25">
      <c r="A172" s="1" t="s">
        <v>343</v>
      </c>
      <c r="B172" s="1" t="s">
        <v>344</v>
      </c>
      <c r="C172">
        <v>6</v>
      </c>
      <c r="D172">
        <v>2837</v>
      </c>
      <c r="E172">
        <f t="shared" si="3"/>
        <v>0</v>
      </c>
    </row>
    <row r="173" spans="1:5" x14ac:dyDescent="0.25">
      <c r="A173" s="1" t="s">
        <v>345</v>
      </c>
      <c r="B173" s="1" t="s">
        <v>346</v>
      </c>
      <c r="C173">
        <v>3</v>
      </c>
      <c r="D173">
        <v>4039</v>
      </c>
      <c r="E173">
        <f t="shared" si="3"/>
        <v>0</v>
      </c>
    </row>
    <row r="174" spans="1:5" x14ac:dyDescent="0.25">
      <c r="A174" s="1" t="s">
        <v>347</v>
      </c>
      <c r="B174" s="1" t="s">
        <v>348</v>
      </c>
      <c r="C174">
        <v>3</v>
      </c>
      <c r="D174">
        <v>1436</v>
      </c>
      <c r="E174">
        <f t="shared" si="3"/>
        <v>0</v>
      </c>
    </row>
    <row r="175" spans="1:5" x14ac:dyDescent="0.25">
      <c r="A175" s="1" t="s">
        <v>349</v>
      </c>
      <c r="B175" s="1" t="s">
        <v>350</v>
      </c>
      <c r="C175">
        <v>6</v>
      </c>
      <c r="D175">
        <v>2821</v>
      </c>
      <c r="E175">
        <f t="shared" si="3"/>
        <v>0</v>
      </c>
    </row>
    <row r="176" spans="1:5" x14ac:dyDescent="0.25">
      <c r="A176" s="1" t="s">
        <v>351</v>
      </c>
      <c r="B176" s="1" t="s">
        <v>352</v>
      </c>
      <c r="C176">
        <v>3</v>
      </c>
      <c r="D176">
        <v>1316</v>
      </c>
      <c r="E176">
        <f t="shared" si="3"/>
        <v>0</v>
      </c>
    </row>
    <row r="177" spans="1:5" x14ac:dyDescent="0.25">
      <c r="A177" s="1" t="s">
        <v>353</v>
      </c>
      <c r="B177" s="1" t="s">
        <v>354</v>
      </c>
      <c r="C177">
        <v>6</v>
      </c>
      <c r="D177">
        <v>4295</v>
      </c>
      <c r="E177">
        <f t="shared" si="3"/>
        <v>0</v>
      </c>
    </row>
    <row r="178" spans="1:5" x14ac:dyDescent="0.25">
      <c r="A178" s="1" t="s">
        <v>355</v>
      </c>
      <c r="B178" s="1" t="s">
        <v>356</v>
      </c>
      <c r="C178">
        <v>4</v>
      </c>
      <c r="D178">
        <v>3744</v>
      </c>
      <c r="E178">
        <f t="shared" si="3"/>
        <v>0</v>
      </c>
    </row>
    <row r="179" spans="1:5" x14ac:dyDescent="0.25">
      <c r="A179" s="1" t="s">
        <v>357</v>
      </c>
      <c r="B179" s="1" t="s">
        <v>358</v>
      </c>
      <c r="C179">
        <v>4</v>
      </c>
      <c r="D179">
        <v>1447</v>
      </c>
      <c r="E179">
        <f t="shared" si="3"/>
        <v>0</v>
      </c>
    </row>
    <row r="180" spans="1:5" x14ac:dyDescent="0.25">
      <c r="A180" s="1" t="s">
        <v>359</v>
      </c>
      <c r="B180" s="1" t="s">
        <v>360</v>
      </c>
      <c r="C180">
        <v>4</v>
      </c>
      <c r="D180">
        <v>3234</v>
      </c>
      <c r="E180">
        <f t="shared" si="3"/>
        <v>0</v>
      </c>
    </row>
    <row r="181" spans="1:5" x14ac:dyDescent="0.25">
      <c r="A181" s="1" t="s">
        <v>361</v>
      </c>
      <c r="B181" s="1" t="s">
        <v>362</v>
      </c>
      <c r="C181">
        <v>4</v>
      </c>
      <c r="D181">
        <v>1219</v>
      </c>
      <c r="E181">
        <f t="shared" si="3"/>
        <v>0</v>
      </c>
    </row>
    <row r="182" spans="1:5" x14ac:dyDescent="0.25">
      <c r="A182" s="1" t="s">
        <v>363</v>
      </c>
      <c r="B182" s="1" t="s">
        <v>364</v>
      </c>
      <c r="C182">
        <v>3</v>
      </c>
      <c r="D182">
        <v>2105</v>
      </c>
      <c r="E182">
        <f t="shared" si="3"/>
        <v>0</v>
      </c>
    </row>
    <row r="183" spans="1:5" x14ac:dyDescent="0.25">
      <c r="A183" s="1" t="s">
        <v>365</v>
      </c>
      <c r="B183" s="1" t="s">
        <v>366</v>
      </c>
      <c r="C183">
        <v>5</v>
      </c>
      <c r="D183">
        <v>1943</v>
      </c>
      <c r="E183">
        <f t="shared" si="3"/>
        <v>0</v>
      </c>
    </row>
    <row r="184" spans="1:5" x14ac:dyDescent="0.25">
      <c r="A184" s="1" t="s">
        <v>367</v>
      </c>
      <c r="B184" s="1" t="s">
        <v>368</v>
      </c>
      <c r="C184">
        <v>3</v>
      </c>
      <c r="D184">
        <v>1890</v>
      </c>
      <c r="E184">
        <f t="shared" si="3"/>
        <v>0</v>
      </c>
    </row>
    <row r="185" spans="1:5" x14ac:dyDescent="0.25">
      <c r="A185" s="1" t="s">
        <v>369</v>
      </c>
      <c r="B185" s="1" t="s">
        <v>370</v>
      </c>
      <c r="C185">
        <v>2</v>
      </c>
      <c r="D185">
        <v>689</v>
      </c>
      <c r="E185">
        <f t="shared" si="3"/>
        <v>200</v>
      </c>
    </row>
    <row r="186" spans="1:5" x14ac:dyDescent="0.25">
      <c r="A186" s="1" t="s">
        <v>371</v>
      </c>
      <c r="B186" s="1" t="s">
        <v>372</v>
      </c>
      <c r="C186">
        <v>6</v>
      </c>
      <c r="D186">
        <v>676</v>
      </c>
      <c r="E186">
        <f t="shared" si="3"/>
        <v>200</v>
      </c>
    </row>
    <row r="187" spans="1:5" x14ac:dyDescent="0.25">
      <c r="A187" s="1" t="s">
        <v>373</v>
      </c>
      <c r="B187" s="1" t="s">
        <v>374</v>
      </c>
      <c r="C187">
        <v>3</v>
      </c>
      <c r="D187">
        <v>895</v>
      </c>
      <c r="E187">
        <f t="shared" si="3"/>
        <v>150</v>
      </c>
    </row>
    <row r="188" spans="1:5" x14ac:dyDescent="0.25">
      <c r="A188" s="1" t="s">
        <v>375</v>
      </c>
      <c r="B188" s="1" t="s">
        <v>376</v>
      </c>
      <c r="C188">
        <v>5</v>
      </c>
      <c r="D188">
        <v>3993</v>
      </c>
      <c r="E188">
        <f t="shared" si="3"/>
        <v>0</v>
      </c>
    </row>
    <row r="189" spans="1:5" x14ac:dyDescent="0.25">
      <c r="A189" s="1" t="s">
        <v>377</v>
      </c>
      <c r="B189" s="1" t="s">
        <v>378</v>
      </c>
      <c r="C189">
        <v>4</v>
      </c>
      <c r="D189">
        <v>2124</v>
      </c>
      <c r="E189">
        <f t="shared" si="3"/>
        <v>0</v>
      </c>
    </row>
    <row r="190" spans="1:5" x14ac:dyDescent="0.25">
      <c r="A190" s="1" t="s">
        <v>379</v>
      </c>
      <c r="B190" s="1" t="s">
        <v>380</v>
      </c>
      <c r="C190">
        <v>5</v>
      </c>
      <c r="D190">
        <v>1054</v>
      </c>
      <c r="E190">
        <f t="shared" si="3"/>
        <v>0</v>
      </c>
    </row>
    <row r="191" spans="1:5" x14ac:dyDescent="0.25">
      <c r="A191" s="1" t="s">
        <v>381</v>
      </c>
      <c r="B191" s="1" t="s">
        <v>382</v>
      </c>
      <c r="C191">
        <v>4</v>
      </c>
      <c r="D191">
        <v>4074</v>
      </c>
      <c r="E191">
        <f t="shared" si="3"/>
        <v>0</v>
      </c>
    </row>
    <row r="192" spans="1:5" x14ac:dyDescent="0.25">
      <c r="A192" s="1" t="s">
        <v>383</v>
      </c>
      <c r="B192" s="1" t="s">
        <v>384</v>
      </c>
      <c r="C192">
        <v>4</v>
      </c>
      <c r="D192">
        <v>4321</v>
      </c>
      <c r="E192">
        <f t="shared" si="3"/>
        <v>0</v>
      </c>
    </row>
    <row r="193" spans="1:5" x14ac:dyDescent="0.25">
      <c r="A193" s="1" t="s">
        <v>385</v>
      </c>
      <c r="B193" s="1" t="s">
        <v>386</v>
      </c>
      <c r="C193">
        <v>5</v>
      </c>
      <c r="D193">
        <v>4152</v>
      </c>
      <c r="E193">
        <f t="shared" si="3"/>
        <v>0</v>
      </c>
    </row>
    <row r="194" spans="1:5" x14ac:dyDescent="0.25">
      <c r="A194" s="1" t="s">
        <v>387</v>
      </c>
      <c r="B194" s="1" t="s">
        <v>388</v>
      </c>
      <c r="C194">
        <v>3</v>
      </c>
      <c r="D194">
        <v>4051</v>
      </c>
      <c r="E194">
        <f t="shared" si="3"/>
        <v>0</v>
      </c>
    </row>
    <row r="195" spans="1:5" x14ac:dyDescent="0.25">
      <c r="A195" s="1" t="s">
        <v>389</v>
      </c>
      <c r="B195" s="1" t="s">
        <v>390</v>
      </c>
      <c r="C195">
        <v>2</v>
      </c>
      <c r="D195">
        <v>4418</v>
      </c>
      <c r="E195">
        <f t="shared" ref="E195:E258" si="4">IF(D195&lt;600,250,IF(D195&lt;800,200,IF(D195&lt;1000,150,0)))</f>
        <v>0</v>
      </c>
    </row>
    <row r="196" spans="1:5" x14ac:dyDescent="0.25">
      <c r="A196" s="1" t="s">
        <v>391</v>
      </c>
      <c r="B196" s="1" t="s">
        <v>392</v>
      </c>
      <c r="C196">
        <v>6</v>
      </c>
      <c r="D196">
        <v>1797</v>
      </c>
      <c r="E196">
        <f t="shared" si="4"/>
        <v>0</v>
      </c>
    </row>
    <row r="197" spans="1:5" x14ac:dyDescent="0.25">
      <c r="A197" s="1" t="s">
        <v>393</v>
      </c>
      <c r="B197" s="1" t="s">
        <v>394</v>
      </c>
      <c r="C197">
        <v>5</v>
      </c>
      <c r="D197">
        <v>1612</v>
      </c>
      <c r="E197">
        <f t="shared" si="4"/>
        <v>0</v>
      </c>
    </row>
    <row r="198" spans="1:5" x14ac:dyDescent="0.25">
      <c r="A198" s="1" t="s">
        <v>395</v>
      </c>
      <c r="B198" s="1" t="s">
        <v>396</v>
      </c>
      <c r="C198">
        <v>5</v>
      </c>
      <c r="D198">
        <v>1359</v>
      </c>
      <c r="E198">
        <f t="shared" si="4"/>
        <v>0</v>
      </c>
    </row>
    <row r="199" spans="1:5" x14ac:dyDescent="0.25">
      <c r="A199" s="1" t="s">
        <v>397</v>
      </c>
      <c r="B199" s="1" t="s">
        <v>398</v>
      </c>
      <c r="C199">
        <v>5</v>
      </c>
      <c r="D199">
        <v>861</v>
      </c>
      <c r="E199">
        <f t="shared" si="4"/>
        <v>150</v>
      </c>
    </row>
    <row r="200" spans="1:5" x14ac:dyDescent="0.25">
      <c r="A200" s="1" t="s">
        <v>399</v>
      </c>
      <c r="B200" s="1" t="s">
        <v>400</v>
      </c>
      <c r="C200">
        <v>5</v>
      </c>
      <c r="D200">
        <v>2636</v>
      </c>
      <c r="E200">
        <f t="shared" si="4"/>
        <v>0</v>
      </c>
    </row>
    <row r="201" spans="1:5" x14ac:dyDescent="0.25">
      <c r="A201" s="1" t="s">
        <v>401</v>
      </c>
      <c r="B201" s="1" t="s">
        <v>402</v>
      </c>
      <c r="C201">
        <v>4</v>
      </c>
      <c r="D201">
        <v>4153</v>
      </c>
      <c r="E201">
        <f t="shared" si="4"/>
        <v>0</v>
      </c>
    </row>
    <row r="202" spans="1:5" x14ac:dyDescent="0.25">
      <c r="A202" s="1" t="s">
        <v>403</v>
      </c>
      <c r="B202" s="1" t="s">
        <v>404</v>
      </c>
      <c r="C202">
        <v>3</v>
      </c>
      <c r="D202">
        <v>3799</v>
      </c>
      <c r="E202">
        <f t="shared" si="4"/>
        <v>0</v>
      </c>
    </row>
    <row r="203" spans="1:5" x14ac:dyDescent="0.25">
      <c r="A203" s="1" t="s">
        <v>405</v>
      </c>
      <c r="B203" s="1" t="s">
        <v>406</v>
      </c>
      <c r="C203">
        <v>4</v>
      </c>
      <c r="D203">
        <v>3491</v>
      </c>
      <c r="E203">
        <f t="shared" si="4"/>
        <v>0</v>
      </c>
    </row>
    <row r="204" spans="1:5" x14ac:dyDescent="0.25">
      <c r="A204" s="1" t="s">
        <v>407</v>
      </c>
      <c r="B204" s="1" t="s">
        <v>408</v>
      </c>
      <c r="C204">
        <v>2</v>
      </c>
      <c r="D204">
        <v>3441</v>
      </c>
      <c r="E204">
        <f t="shared" si="4"/>
        <v>0</v>
      </c>
    </row>
    <row r="205" spans="1:5" x14ac:dyDescent="0.25">
      <c r="A205" s="1" t="s">
        <v>409</v>
      </c>
      <c r="B205" s="1" t="s">
        <v>410</v>
      </c>
      <c r="C205">
        <v>3</v>
      </c>
      <c r="D205">
        <v>1263</v>
      </c>
      <c r="E205">
        <f t="shared" si="4"/>
        <v>0</v>
      </c>
    </row>
    <row r="206" spans="1:5" x14ac:dyDescent="0.25">
      <c r="A206" s="1" t="s">
        <v>411</v>
      </c>
      <c r="B206" s="1" t="s">
        <v>412</v>
      </c>
      <c r="C206">
        <v>3</v>
      </c>
      <c r="D206">
        <v>767</v>
      </c>
      <c r="E206">
        <f t="shared" si="4"/>
        <v>200</v>
      </c>
    </row>
    <row r="207" spans="1:5" x14ac:dyDescent="0.25">
      <c r="A207" s="1" t="s">
        <v>413</v>
      </c>
      <c r="B207" s="1" t="s">
        <v>414</v>
      </c>
      <c r="C207">
        <v>3</v>
      </c>
      <c r="D207">
        <v>1583</v>
      </c>
      <c r="E207">
        <f t="shared" si="4"/>
        <v>0</v>
      </c>
    </row>
    <row r="208" spans="1:5" x14ac:dyDescent="0.25">
      <c r="A208" s="1" t="s">
        <v>415</v>
      </c>
      <c r="B208" s="1" t="s">
        <v>416</v>
      </c>
      <c r="C208">
        <v>4</v>
      </c>
      <c r="D208">
        <v>3211</v>
      </c>
      <c r="E208">
        <f t="shared" si="4"/>
        <v>0</v>
      </c>
    </row>
    <row r="209" spans="1:5" x14ac:dyDescent="0.25">
      <c r="A209" s="1" t="s">
        <v>417</v>
      </c>
      <c r="B209" s="1" t="s">
        <v>418</v>
      </c>
      <c r="C209">
        <v>4</v>
      </c>
      <c r="D209">
        <v>2432</v>
      </c>
      <c r="E209">
        <f t="shared" si="4"/>
        <v>0</v>
      </c>
    </row>
    <row r="210" spans="1:5" x14ac:dyDescent="0.25">
      <c r="A210" s="1" t="s">
        <v>419</v>
      </c>
      <c r="B210" s="1" t="s">
        <v>420</v>
      </c>
      <c r="C210">
        <v>5</v>
      </c>
      <c r="D210">
        <v>4185</v>
      </c>
      <c r="E210">
        <f t="shared" si="4"/>
        <v>0</v>
      </c>
    </row>
    <row r="211" spans="1:5" x14ac:dyDescent="0.25">
      <c r="A211" s="1" t="s">
        <v>421</v>
      </c>
      <c r="B211" s="1" t="s">
        <v>422</v>
      </c>
      <c r="C211">
        <v>4</v>
      </c>
      <c r="D211">
        <v>2595</v>
      </c>
      <c r="E211">
        <f t="shared" si="4"/>
        <v>0</v>
      </c>
    </row>
    <row r="212" spans="1:5" x14ac:dyDescent="0.25">
      <c r="A212" s="1" t="s">
        <v>423</v>
      </c>
      <c r="B212" s="1" t="s">
        <v>424</v>
      </c>
      <c r="C212">
        <v>3</v>
      </c>
      <c r="D212">
        <v>1219</v>
      </c>
      <c r="E212">
        <f t="shared" si="4"/>
        <v>0</v>
      </c>
    </row>
    <row r="213" spans="1:5" x14ac:dyDescent="0.25">
      <c r="A213" s="1" t="s">
        <v>425</v>
      </c>
      <c r="B213" s="1" t="s">
        <v>426</v>
      </c>
      <c r="C213">
        <v>4</v>
      </c>
      <c r="D213">
        <v>3670</v>
      </c>
      <c r="E213">
        <f t="shared" si="4"/>
        <v>0</v>
      </c>
    </row>
    <row r="214" spans="1:5" x14ac:dyDescent="0.25">
      <c r="A214" s="1" t="s">
        <v>427</v>
      </c>
      <c r="B214" s="1" t="s">
        <v>428</v>
      </c>
      <c r="C214">
        <v>6</v>
      </c>
      <c r="D214">
        <v>1563</v>
      </c>
      <c r="E214">
        <f t="shared" si="4"/>
        <v>0</v>
      </c>
    </row>
    <row r="215" spans="1:5" x14ac:dyDescent="0.25">
      <c r="A215" s="1" t="s">
        <v>429</v>
      </c>
      <c r="B215" s="1" t="s">
        <v>430</v>
      </c>
      <c r="C215">
        <v>2</v>
      </c>
      <c r="D215">
        <v>4222</v>
      </c>
      <c r="E215">
        <f t="shared" si="4"/>
        <v>0</v>
      </c>
    </row>
    <row r="216" spans="1:5" x14ac:dyDescent="0.25">
      <c r="A216" s="1" t="s">
        <v>431</v>
      </c>
      <c r="B216" s="1" t="s">
        <v>432</v>
      </c>
      <c r="C216">
        <v>5</v>
      </c>
      <c r="D216">
        <v>2627</v>
      </c>
      <c r="E216">
        <f t="shared" si="4"/>
        <v>0</v>
      </c>
    </row>
    <row r="217" spans="1:5" x14ac:dyDescent="0.25">
      <c r="A217" s="1" t="s">
        <v>433</v>
      </c>
      <c r="B217" s="1" t="s">
        <v>434</v>
      </c>
      <c r="C217">
        <v>2</v>
      </c>
      <c r="D217">
        <v>2103</v>
      </c>
      <c r="E217">
        <f t="shared" si="4"/>
        <v>0</v>
      </c>
    </row>
    <row r="218" spans="1:5" x14ac:dyDescent="0.25">
      <c r="A218" s="1" t="s">
        <v>435</v>
      </c>
      <c r="B218" s="1" t="s">
        <v>436</v>
      </c>
      <c r="C218">
        <v>3</v>
      </c>
      <c r="D218">
        <v>4380</v>
      </c>
      <c r="E218">
        <f t="shared" si="4"/>
        <v>0</v>
      </c>
    </row>
    <row r="219" spans="1:5" x14ac:dyDescent="0.25">
      <c r="A219" s="1" t="s">
        <v>437</v>
      </c>
      <c r="B219" s="1" t="s">
        <v>438</v>
      </c>
      <c r="C219">
        <v>6</v>
      </c>
      <c r="D219">
        <v>689</v>
      </c>
      <c r="E219">
        <f t="shared" si="4"/>
        <v>200</v>
      </c>
    </row>
    <row r="220" spans="1:5" x14ac:dyDescent="0.25">
      <c r="A220" s="1" t="s">
        <v>439</v>
      </c>
      <c r="B220" s="1" t="s">
        <v>440</v>
      </c>
      <c r="C220">
        <v>6</v>
      </c>
      <c r="D220">
        <v>3877</v>
      </c>
      <c r="E220">
        <f t="shared" si="4"/>
        <v>0</v>
      </c>
    </row>
    <row r="221" spans="1:5" x14ac:dyDescent="0.25">
      <c r="A221" s="1" t="s">
        <v>441</v>
      </c>
      <c r="B221" s="1" t="s">
        <v>442</v>
      </c>
      <c r="C221">
        <v>4</v>
      </c>
      <c r="D221">
        <v>2551</v>
      </c>
      <c r="E221">
        <f t="shared" si="4"/>
        <v>0</v>
      </c>
    </row>
    <row r="222" spans="1:5" x14ac:dyDescent="0.25">
      <c r="A222" s="1" t="s">
        <v>443</v>
      </c>
      <c r="B222" s="1" t="s">
        <v>444</v>
      </c>
      <c r="C222">
        <v>3</v>
      </c>
      <c r="D222">
        <v>1499</v>
      </c>
      <c r="E222">
        <f t="shared" si="4"/>
        <v>0</v>
      </c>
    </row>
    <row r="223" spans="1:5" x14ac:dyDescent="0.25">
      <c r="A223" s="1" t="s">
        <v>445</v>
      </c>
      <c r="B223" s="1" t="s">
        <v>446</v>
      </c>
      <c r="C223">
        <v>3</v>
      </c>
      <c r="D223">
        <v>2743</v>
      </c>
      <c r="E223">
        <f t="shared" si="4"/>
        <v>0</v>
      </c>
    </row>
    <row r="224" spans="1:5" x14ac:dyDescent="0.25">
      <c r="A224" s="1" t="s">
        <v>447</v>
      </c>
      <c r="B224" s="1" t="s">
        <v>448</v>
      </c>
      <c r="C224">
        <v>4</v>
      </c>
      <c r="D224">
        <v>2331</v>
      </c>
      <c r="E224">
        <f t="shared" si="4"/>
        <v>0</v>
      </c>
    </row>
    <row r="225" spans="1:5" x14ac:dyDescent="0.25">
      <c r="A225" s="1" t="s">
        <v>449</v>
      </c>
      <c r="B225" s="1" t="s">
        <v>450</v>
      </c>
      <c r="C225">
        <v>2</v>
      </c>
      <c r="D225">
        <v>3999</v>
      </c>
      <c r="E225">
        <f t="shared" si="4"/>
        <v>0</v>
      </c>
    </row>
    <row r="226" spans="1:5" x14ac:dyDescent="0.25">
      <c r="A226" s="1" t="s">
        <v>451</v>
      </c>
      <c r="B226" s="1" t="s">
        <v>452</v>
      </c>
      <c r="C226">
        <v>6</v>
      </c>
      <c r="D226">
        <v>2212</v>
      </c>
      <c r="E226">
        <f t="shared" si="4"/>
        <v>0</v>
      </c>
    </row>
    <row r="227" spans="1:5" x14ac:dyDescent="0.25">
      <c r="A227" s="1" t="s">
        <v>453</v>
      </c>
      <c r="B227" s="1" t="s">
        <v>454</v>
      </c>
      <c r="C227">
        <v>5</v>
      </c>
      <c r="D227">
        <v>1854</v>
      </c>
      <c r="E227">
        <f t="shared" si="4"/>
        <v>0</v>
      </c>
    </row>
    <row r="228" spans="1:5" x14ac:dyDescent="0.25">
      <c r="A228" s="1" t="s">
        <v>455</v>
      </c>
      <c r="B228" s="1" t="s">
        <v>456</v>
      </c>
      <c r="C228">
        <v>6</v>
      </c>
      <c r="D228">
        <v>3681</v>
      </c>
      <c r="E228">
        <f t="shared" si="4"/>
        <v>0</v>
      </c>
    </row>
    <row r="229" spans="1:5" x14ac:dyDescent="0.25">
      <c r="A229" s="1" t="s">
        <v>457</v>
      </c>
      <c r="B229" s="1" t="s">
        <v>458</v>
      </c>
      <c r="C229">
        <v>6</v>
      </c>
      <c r="D229">
        <v>2643</v>
      </c>
      <c r="E229">
        <f t="shared" si="4"/>
        <v>0</v>
      </c>
    </row>
    <row r="230" spans="1:5" x14ac:dyDescent="0.25">
      <c r="A230" s="1" t="s">
        <v>459</v>
      </c>
      <c r="B230" s="1" t="s">
        <v>460</v>
      </c>
      <c r="C230">
        <v>2</v>
      </c>
      <c r="D230">
        <v>3843</v>
      </c>
      <c r="E230">
        <f t="shared" si="4"/>
        <v>0</v>
      </c>
    </row>
    <row r="231" spans="1:5" x14ac:dyDescent="0.25">
      <c r="A231" s="1" t="s">
        <v>461</v>
      </c>
      <c r="B231" s="1" t="s">
        <v>462</v>
      </c>
      <c r="C231">
        <v>3</v>
      </c>
      <c r="D231">
        <v>2626</v>
      </c>
      <c r="E231">
        <f t="shared" si="4"/>
        <v>0</v>
      </c>
    </row>
    <row r="232" spans="1:5" x14ac:dyDescent="0.25">
      <c r="A232" s="1" t="s">
        <v>463</v>
      </c>
      <c r="B232" s="1" t="s">
        <v>464</v>
      </c>
      <c r="C232">
        <v>5</v>
      </c>
      <c r="D232">
        <v>3900</v>
      </c>
      <c r="E232">
        <f t="shared" si="4"/>
        <v>0</v>
      </c>
    </row>
    <row r="233" spans="1:5" x14ac:dyDescent="0.25">
      <c r="A233" s="1" t="s">
        <v>465</v>
      </c>
      <c r="B233" s="1" t="s">
        <v>466</v>
      </c>
      <c r="C233">
        <v>6</v>
      </c>
      <c r="D233">
        <v>907</v>
      </c>
      <c r="E233">
        <f t="shared" si="4"/>
        <v>150</v>
      </c>
    </row>
    <row r="234" spans="1:5" x14ac:dyDescent="0.25">
      <c r="A234" s="1" t="s">
        <v>467</v>
      </c>
      <c r="B234" s="1" t="s">
        <v>468</v>
      </c>
      <c r="C234">
        <v>5</v>
      </c>
      <c r="D234">
        <v>3718</v>
      </c>
      <c r="E234">
        <f t="shared" si="4"/>
        <v>0</v>
      </c>
    </row>
    <row r="235" spans="1:5" x14ac:dyDescent="0.25">
      <c r="A235" s="1" t="s">
        <v>469</v>
      </c>
      <c r="B235" s="1" t="s">
        <v>470</v>
      </c>
      <c r="C235">
        <v>5</v>
      </c>
      <c r="D235">
        <v>2009</v>
      </c>
      <c r="E235">
        <f t="shared" si="4"/>
        <v>0</v>
      </c>
    </row>
    <row r="236" spans="1:5" x14ac:dyDescent="0.25">
      <c r="A236" s="1" t="s">
        <v>471</v>
      </c>
      <c r="B236" s="1" t="s">
        <v>472</v>
      </c>
      <c r="C236">
        <v>4</v>
      </c>
      <c r="D236">
        <v>1719</v>
      </c>
      <c r="E236">
        <f t="shared" si="4"/>
        <v>0</v>
      </c>
    </row>
    <row r="237" spans="1:5" x14ac:dyDescent="0.25">
      <c r="A237" s="1" t="s">
        <v>473</v>
      </c>
      <c r="B237" s="1" t="s">
        <v>474</v>
      </c>
      <c r="C237">
        <v>5</v>
      </c>
      <c r="D237">
        <v>647</v>
      </c>
      <c r="E237">
        <f t="shared" si="4"/>
        <v>200</v>
      </c>
    </row>
    <row r="238" spans="1:5" x14ac:dyDescent="0.25">
      <c r="A238" s="1" t="s">
        <v>475</v>
      </c>
      <c r="B238" s="1" t="s">
        <v>476</v>
      </c>
      <c r="C238">
        <v>3</v>
      </c>
      <c r="D238">
        <v>2253</v>
      </c>
      <c r="E238">
        <f t="shared" si="4"/>
        <v>0</v>
      </c>
    </row>
    <row r="239" spans="1:5" x14ac:dyDescent="0.25">
      <c r="A239" s="1" t="s">
        <v>477</v>
      </c>
      <c r="B239" s="1" t="s">
        <v>478</v>
      </c>
      <c r="C239">
        <v>3</v>
      </c>
      <c r="D239">
        <v>3058</v>
      </c>
      <c r="E239">
        <f t="shared" si="4"/>
        <v>0</v>
      </c>
    </row>
    <row r="240" spans="1:5" x14ac:dyDescent="0.25">
      <c r="A240" s="1" t="s">
        <v>479</v>
      </c>
      <c r="B240" s="1" t="s">
        <v>480</v>
      </c>
      <c r="C240">
        <v>5</v>
      </c>
      <c r="D240">
        <v>1111</v>
      </c>
      <c r="E240">
        <f t="shared" si="4"/>
        <v>0</v>
      </c>
    </row>
    <row r="241" spans="1:5" x14ac:dyDescent="0.25">
      <c r="A241" s="1" t="s">
        <v>481</v>
      </c>
      <c r="B241" s="1" t="s">
        <v>482</v>
      </c>
      <c r="C241">
        <v>5</v>
      </c>
      <c r="D241">
        <v>3016</v>
      </c>
      <c r="E241">
        <f t="shared" si="4"/>
        <v>0</v>
      </c>
    </row>
    <row r="242" spans="1:5" x14ac:dyDescent="0.25">
      <c r="A242" s="1" t="s">
        <v>483</v>
      </c>
      <c r="B242" s="1" t="s">
        <v>484</v>
      </c>
      <c r="C242">
        <v>4</v>
      </c>
      <c r="D242">
        <v>1231</v>
      </c>
      <c r="E242">
        <f t="shared" si="4"/>
        <v>0</v>
      </c>
    </row>
    <row r="243" spans="1:5" x14ac:dyDescent="0.25">
      <c r="A243" s="1" t="s">
        <v>485</v>
      </c>
      <c r="B243" s="1" t="s">
        <v>486</v>
      </c>
      <c r="C243">
        <v>6</v>
      </c>
      <c r="D243">
        <v>2550</v>
      </c>
      <c r="E243">
        <f t="shared" si="4"/>
        <v>0</v>
      </c>
    </row>
    <row r="244" spans="1:5" x14ac:dyDescent="0.25">
      <c r="A244" s="1" t="s">
        <v>487</v>
      </c>
      <c r="B244" s="1" t="s">
        <v>488</v>
      </c>
      <c r="C244">
        <v>4</v>
      </c>
      <c r="D244">
        <v>2901</v>
      </c>
      <c r="E244">
        <f t="shared" si="4"/>
        <v>0</v>
      </c>
    </row>
    <row r="245" spans="1:5" x14ac:dyDescent="0.25">
      <c r="A245" s="1" t="s">
        <v>489</v>
      </c>
      <c r="B245" s="1" t="s">
        <v>490</v>
      </c>
      <c r="C245">
        <v>2</v>
      </c>
      <c r="D245">
        <v>3255</v>
      </c>
      <c r="E245">
        <f t="shared" si="4"/>
        <v>0</v>
      </c>
    </row>
    <row r="246" spans="1:5" x14ac:dyDescent="0.25">
      <c r="A246" s="1" t="s">
        <v>491</v>
      </c>
      <c r="B246" s="1" t="s">
        <v>492</v>
      </c>
      <c r="C246">
        <v>5</v>
      </c>
      <c r="D246">
        <v>2579</v>
      </c>
      <c r="E246">
        <f t="shared" si="4"/>
        <v>0</v>
      </c>
    </row>
    <row r="247" spans="1:5" x14ac:dyDescent="0.25">
      <c r="A247" s="1" t="s">
        <v>493</v>
      </c>
      <c r="B247" s="1" t="s">
        <v>494</v>
      </c>
      <c r="C247">
        <v>4</v>
      </c>
      <c r="D247">
        <v>1459</v>
      </c>
      <c r="E247">
        <f t="shared" si="4"/>
        <v>0</v>
      </c>
    </row>
    <row r="248" spans="1:5" x14ac:dyDescent="0.25">
      <c r="A248" s="1" t="s">
        <v>495</v>
      </c>
      <c r="B248" s="1" t="s">
        <v>496</v>
      </c>
      <c r="C248">
        <v>2</v>
      </c>
      <c r="D248">
        <v>2731</v>
      </c>
      <c r="E248">
        <f t="shared" si="4"/>
        <v>0</v>
      </c>
    </row>
    <row r="249" spans="1:5" x14ac:dyDescent="0.25">
      <c r="A249" s="1" t="s">
        <v>497</v>
      </c>
      <c r="B249" s="1" t="s">
        <v>498</v>
      </c>
      <c r="C249">
        <v>5</v>
      </c>
      <c r="D249">
        <v>3614</v>
      </c>
      <c r="E249">
        <f t="shared" si="4"/>
        <v>0</v>
      </c>
    </row>
    <row r="250" spans="1:5" x14ac:dyDescent="0.25">
      <c r="A250" s="1" t="s">
        <v>499</v>
      </c>
      <c r="B250" s="1" t="s">
        <v>500</v>
      </c>
      <c r="C250">
        <v>5</v>
      </c>
      <c r="D250">
        <v>2671</v>
      </c>
      <c r="E250">
        <f t="shared" si="4"/>
        <v>0</v>
      </c>
    </row>
    <row r="251" spans="1:5" x14ac:dyDescent="0.25">
      <c r="A251" s="1" t="s">
        <v>501</v>
      </c>
      <c r="B251" s="1" t="s">
        <v>502</v>
      </c>
      <c r="C251">
        <v>4</v>
      </c>
      <c r="D251">
        <v>4057</v>
      </c>
      <c r="E251">
        <f t="shared" si="4"/>
        <v>0</v>
      </c>
    </row>
    <row r="252" spans="1:5" x14ac:dyDescent="0.25">
      <c r="A252" s="1" t="s">
        <v>503</v>
      </c>
      <c r="B252" s="1" t="s">
        <v>504</v>
      </c>
      <c r="C252">
        <v>4</v>
      </c>
      <c r="D252">
        <v>2926</v>
      </c>
      <c r="E252">
        <f t="shared" si="4"/>
        <v>0</v>
      </c>
    </row>
    <row r="253" spans="1:5" x14ac:dyDescent="0.25">
      <c r="A253" s="1" t="s">
        <v>505</v>
      </c>
      <c r="B253" s="1" t="s">
        <v>506</v>
      </c>
      <c r="C253">
        <v>4</v>
      </c>
      <c r="D253">
        <v>1253</v>
      </c>
      <c r="E253">
        <f t="shared" si="4"/>
        <v>0</v>
      </c>
    </row>
    <row r="254" spans="1:5" x14ac:dyDescent="0.25">
      <c r="A254" s="1" t="s">
        <v>507</v>
      </c>
      <c r="B254" s="1" t="s">
        <v>508</v>
      </c>
      <c r="C254">
        <v>4</v>
      </c>
      <c r="D254">
        <v>1489</v>
      </c>
      <c r="E254">
        <f t="shared" si="4"/>
        <v>0</v>
      </c>
    </row>
    <row r="255" spans="1:5" x14ac:dyDescent="0.25">
      <c r="A255" s="1" t="s">
        <v>509</v>
      </c>
      <c r="B255" s="1" t="s">
        <v>510</v>
      </c>
      <c r="C255">
        <v>3</v>
      </c>
      <c r="D255">
        <v>2137</v>
      </c>
      <c r="E255">
        <f t="shared" si="4"/>
        <v>0</v>
      </c>
    </row>
    <row r="256" spans="1:5" x14ac:dyDescent="0.25">
      <c r="A256" s="1" t="s">
        <v>511</v>
      </c>
      <c r="B256" s="1" t="s">
        <v>512</v>
      </c>
      <c r="C256">
        <v>2</v>
      </c>
      <c r="D256">
        <v>4343</v>
      </c>
      <c r="E256">
        <f t="shared" si="4"/>
        <v>0</v>
      </c>
    </row>
    <row r="257" spans="1:5" x14ac:dyDescent="0.25">
      <c r="A257" s="1" t="s">
        <v>513</v>
      </c>
      <c r="B257" s="1" t="s">
        <v>514</v>
      </c>
      <c r="C257">
        <v>4</v>
      </c>
      <c r="D257">
        <v>2395</v>
      </c>
      <c r="E257">
        <f t="shared" si="4"/>
        <v>0</v>
      </c>
    </row>
    <row r="258" spans="1:5" x14ac:dyDescent="0.25">
      <c r="A258" s="1" t="s">
        <v>515</v>
      </c>
      <c r="B258" s="1" t="s">
        <v>516</v>
      </c>
      <c r="C258">
        <v>3</v>
      </c>
      <c r="D258">
        <v>1392</v>
      </c>
      <c r="E258">
        <f t="shared" si="4"/>
        <v>0</v>
      </c>
    </row>
    <row r="259" spans="1:5" x14ac:dyDescent="0.25">
      <c r="A259" s="1" t="s">
        <v>517</v>
      </c>
      <c r="B259" s="1" t="s">
        <v>518</v>
      </c>
      <c r="C259">
        <v>4</v>
      </c>
      <c r="D259">
        <v>1972</v>
      </c>
      <c r="E259">
        <f t="shared" ref="E259:E322" si="5">IF(D259&lt;600,250,IF(D259&lt;800,200,IF(D259&lt;1000,150,0)))</f>
        <v>0</v>
      </c>
    </row>
    <row r="260" spans="1:5" x14ac:dyDescent="0.25">
      <c r="A260" s="1" t="s">
        <v>519</v>
      </c>
      <c r="B260" s="1" t="s">
        <v>520</v>
      </c>
      <c r="C260">
        <v>6</v>
      </c>
      <c r="D260">
        <v>2579</v>
      </c>
      <c r="E260">
        <f t="shared" si="5"/>
        <v>0</v>
      </c>
    </row>
    <row r="261" spans="1:5" x14ac:dyDescent="0.25">
      <c r="A261" s="1" t="s">
        <v>521</v>
      </c>
      <c r="B261" s="1" t="s">
        <v>522</v>
      </c>
      <c r="C261">
        <v>6</v>
      </c>
      <c r="D261">
        <v>3970</v>
      </c>
      <c r="E261">
        <f t="shared" si="5"/>
        <v>0</v>
      </c>
    </row>
    <row r="262" spans="1:5" x14ac:dyDescent="0.25">
      <c r="A262" s="1" t="s">
        <v>523</v>
      </c>
      <c r="B262" s="1" t="s">
        <v>524</v>
      </c>
      <c r="C262">
        <v>4</v>
      </c>
      <c r="D262">
        <v>2288</v>
      </c>
      <c r="E262">
        <f t="shared" si="5"/>
        <v>0</v>
      </c>
    </row>
    <row r="263" spans="1:5" x14ac:dyDescent="0.25">
      <c r="A263" s="1" t="s">
        <v>525</v>
      </c>
      <c r="B263" s="1" t="s">
        <v>526</v>
      </c>
      <c r="C263">
        <v>4</v>
      </c>
      <c r="D263">
        <v>2594</v>
      </c>
      <c r="E263">
        <f t="shared" si="5"/>
        <v>0</v>
      </c>
    </row>
    <row r="264" spans="1:5" x14ac:dyDescent="0.25">
      <c r="A264" s="1" t="s">
        <v>527</v>
      </c>
      <c r="B264" s="1" t="s">
        <v>528</v>
      </c>
      <c r="C264">
        <v>3</v>
      </c>
      <c r="D264">
        <v>4180</v>
      </c>
      <c r="E264">
        <f t="shared" si="5"/>
        <v>0</v>
      </c>
    </row>
    <row r="265" spans="1:5" x14ac:dyDescent="0.25">
      <c r="A265" s="1" t="s">
        <v>529</v>
      </c>
      <c r="B265" s="1" t="s">
        <v>530</v>
      </c>
      <c r="C265">
        <v>2</v>
      </c>
      <c r="D265">
        <v>2052</v>
      </c>
      <c r="E265">
        <f t="shared" si="5"/>
        <v>0</v>
      </c>
    </row>
    <row r="266" spans="1:5" x14ac:dyDescent="0.25">
      <c r="A266" s="1" t="s">
        <v>531</v>
      </c>
      <c r="B266" s="1" t="s">
        <v>532</v>
      </c>
      <c r="C266">
        <v>5</v>
      </c>
      <c r="D266">
        <v>1194</v>
      </c>
      <c r="E266">
        <f t="shared" si="5"/>
        <v>0</v>
      </c>
    </row>
    <row r="267" spans="1:5" x14ac:dyDescent="0.25">
      <c r="A267" s="1" t="s">
        <v>533</v>
      </c>
      <c r="B267" s="1" t="s">
        <v>534</v>
      </c>
      <c r="C267">
        <v>6</v>
      </c>
      <c r="D267">
        <v>974</v>
      </c>
      <c r="E267">
        <f t="shared" si="5"/>
        <v>150</v>
      </c>
    </row>
    <row r="268" spans="1:5" x14ac:dyDescent="0.25">
      <c r="A268" s="1" t="s">
        <v>535</v>
      </c>
      <c r="B268" s="1" t="s">
        <v>536</v>
      </c>
      <c r="C268">
        <v>6</v>
      </c>
      <c r="D268">
        <v>1390</v>
      </c>
      <c r="E268">
        <f t="shared" si="5"/>
        <v>0</v>
      </c>
    </row>
    <row r="269" spans="1:5" x14ac:dyDescent="0.25">
      <c r="A269" s="1" t="s">
        <v>537</v>
      </c>
      <c r="B269" s="1" t="s">
        <v>538</v>
      </c>
      <c r="C269">
        <v>3</v>
      </c>
      <c r="D269">
        <v>871</v>
      </c>
      <c r="E269">
        <f t="shared" si="5"/>
        <v>150</v>
      </c>
    </row>
    <row r="270" spans="1:5" x14ac:dyDescent="0.25">
      <c r="A270" s="1" t="s">
        <v>539</v>
      </c>
      <c r="B270" s="1" t="s">
        <v>540</v>
      </c>
      <c r="C270">
        <v>3</v>
      </c>
      <c r="D270">
        <v>4221</v>
      </c>
      <c r="E270">
        <f t="shared" si="5"/>
        <v>0</v>
      </c>
    </row>
    <row r="271" spans="1:5" x14ac:dyDescent="0.25">
      <c r="A271" s="1" t="s">
        <v>541</v>
      </c>
      <c r="B271" s="1" t="s">
        <v>542</v>
      </c>
      <c r="C271">
        <v>3</v>
      </c>
      <c r="D271">
        <v>2794</v>
      </c>
      <c r="E271">
        <f t="shared" si="5"/>
        <v>0</v>
      </c>
    </row>
    <row r="272" spans="1:5" x14ac:dyDescent="0.25">
      <c r="A272" s="1" t="s">
        <v>543</v>
      </c>
      <c r="B272" s="1" t="s">
        <v>544</v>
      </c>
      <c r="C272">
        <v>4</v>
      </c>
      <c r="D272">
        <v>3250</v>
      </c>
      <c r="E272">
        <f t="shared" si="5"/>
        <v>0</v>
      </c>
    </row>
    <row r="273" spans="1:5" x14ac:dyDescent="0.25">
      <c r="A273" s="1" t="s">
        <v>545</v>
      </c>
      <c r="B273" s="1" t="s">
        <v>546</v>
      </c>
      <c r="C273">
        <v>5</v>
      </c>
      <c r="D273">
        <v>2045</v>
      </c>
      <c r="E273">
        <f t="shared" si="5"/>
        <v>0</v>
      </c>
    </row>
    <row r="274" spans="1:5" x14ac:dyDescent="0.25">
      <c r="A274" s="1" t="s">
        <v>547</v>
      </c>
      <c r="B274" s="1" t="s">
        <v>548</v>
      </c>
      <c r="C274">
        <v>4</v>
      </c>
      <c r="D274">
        <v>2054</v>
      </c>
      <c r="E274">
        <f t="shared" si="5"/>
        <v>0</v>
      </c>
    </row>
    <row r="275" spans="1:5" x14ac:dyDescent="0.25">
      <c r="A275" s="1" t="s">
        <v>549</v>
      </c>
      <c r="B275" s="1" t="s">
        <v>550</v>
      </c>
      <c r="C275">
        <v>2</v>
      </c>
      <c r="D275">
        <v>1893</v>
      </c>
      <c r="E275">
        <f t="shared" si="5"/>
        <v>0</v>
      </c>
    </row>
    <row r="276" spans="1:5" x14ac:dyDescent="0.25">
      <c r="A276" s="1" t="s">
        <v>551</v>
      </c>
      <c r="B276" s="1" t="s">
        <v>552</v>
      </c>
      <c r="C276">
        <v>6</v>
      </c>
      <c r="D276">
        <v>2170</v>
      </c>
      <c r="E276">
        <f t="shared" si="5"/>
        <v>0</v>
      </c>
    </row>
    <row r="277" spans="1:5" x14ac:dyDescent="0.25">
      <c r="A277" s="1" t="s">
        <v>553</v>
      </c>
      <c r="B277" s="1" t="s">
        <v>554</v>
      </c>
      <c r="C277">
        <v>3</v>
      </c>
      <c r="D277">
        <v>1305</v>
      </c>
      <c r="E277">
        <f t="shared" si="5"/>
        <v>0</v>
      </c>
    </row>
    <row r="278" spans="1:5" x14ac:dyDescent="0.25">
      <c r="A278" s="1" t="s">
        <v>555</v>
      </c>
      <c r="B278" s="1" t="s">
        <v>556</v>
      </c>
      <c r="C278">
        <v>4</v>
      </c>
      <c r="D278">
        <v>1492</v>
      </c>
      <c r="E278">
        <f t="shared" si="5"/>
        <v>0</v>
      </c>
    </row>
    <row r="279" spans="1:5" x14ac:dyDescent="0.25">
      <c r="A279" s="1" t="s">
        <v>557</v>
      </c>
      <c r="B279" s="1" t="s">
        <v>558</v>
      </c>
      <c r="C279">
        <v>5</v>
      </c>
      <c r="D279">
        <v>2083</v>
      </c>
      <c r="E279">
        <f t="shared" si="5"/>
        <v>0</v>
      </c>
    </row>
    <row r="280" spans="1:5" x14ac:dyDescent="0.25">
      <c r="A280" s="1" t="s">
        <v>559</v>
      </c>
      <c r="B280" s="1" t="s">
        <v>560</v>
      </c>
      <c r="C280">
        <v>5</v>
      </c>
      <c r="D280">
        <v>1517</v>
      </c>
      <c r="E280">
        <f t="shared" si="5"/>
        <v>0</v>
      </c>
    </row>
    <row r="281" spans="1:5" x14ac:dyDescent="0.25">
      <c r="A281" s="1" t="s">
        <v>561</v>
      </c>
      <c r="B281" s="1" t="s">
        <v>562</v>
      </c>
      <c r="C281">
        <v>2</v>
      </c>
      <c r="D281">
        <v>3369</v>
      </c>
      <c r="E281">
        <f t="shared" si="5"/>
        <v>0</v>
      </c>
    </row>
    <row r="282" spans="1:5" x14ac:dyDescent="0.25">
      <c r="A282" s="1" t="s">
        <v>563</v>
      </c>
      <c r="B282" s="1" t="s">
        <v>564</v>
      </c>
      <c r="C282">
        <v>3</v>
      </c>
      <c r="D282">
        <v>3523</v>
      </c>
      <c r="E282">
        <f t="shared" si="5"/>
        <v>0</v>
      </c>
    </row>
    <row r="283" spans="1:5" x14ac:dyDescent="0.25">
      <c r="A283" s="1" t="s">
        <v>565</v>
      </c>
      <c r="B283" s="1" t="s">
        <v>566</v>
      </c>
      <c r="C283">
        <v>5</v>
      </c>
      <c r="D283">
        <v>2731</v>
      </c>
      <c r="E283">
        <f t="shared" si="5"/>
        <v>0</v>
      </c>
    </row>
    <row r="284" spans="1:5" x14ac:dyDescent="0.25">
      <c r="A284" s="1" t="s">
        <v>567</v>
      </c>
      <c r="B284" s="1" t="s">
        <v>568</v>
      </c>
      <c r="C284">
        <v>6</v>
      </c>
      <c r="D284">
        <v>3656</v>
      </c>
      <c r="E284">
        <f t="shared" si="5"/>
        <v>0</v>
      </c>
    </row>
    <row r="285" spans="1:5" x14ac:dyDescent="0.25">
      <c r="A285" s="1" t="s">
        <v>569</v>
      </c>
      <c r="B285" s="1" t="s">
        <v>570</v>
      </c>
      <c r="C285">
        <v>6</v>
      </c>
      <c r="D285">
        <v>4308</v>
      </c>
      <c r="E285">
        <f t="shared" si="5"/>
        <v>0</v>
      </c>
    </row>
    <row r="286" spans="1:5" x14ac:dyDescent="0.25">
      <c r="A286" s="1" t="s">
        <v>571</v>
      </c>
      <c r="B286" s="1" t="s">
        <v>572</v>
      </c>
      <c r="C286">
        <v>4</v>
      </c>
      <c r="D286">
        <v>3075</v>
      </c>
      <c r="E286">
        <f t="shared" si="5"/>
        <v>0</v>
      </c>
    </row>
    <row r="287" spans="1:5" x14ac:dyDescent="0.25">
      <c r="A287" s="1" t="s">
        <v>573</v>
      </c>
      <c r="B287" s="1" t="s">
        <v>574</v>
      </c>
      <c r="C287">
        <v>3</v>
      </c>
      <c r="D287">
        <v>1833</v>
      </c>
      <c r="E287">
        <f t="shared" si="5"/>
        <v>0</v>
      </c>
    </row>
    <row r="288" spans="1:5" x14ac:dyDescent="0.25">
      <c r="A288" s="1" t="s">
        <v>575</v>
      </c>
      <c r="B288" s="1" t="s">
        <v>576</v>
      </c>
      <c r="C288">
        <v>6</v>
      </c>
      <c r="D288">
        <v>2099</v>
      </c>
      <c r="E288">
        <f t="shared" si="5"/>
        <v>0</v>
      </c>
    </row>
    <row r="289" spans="1:5" x14ac:dyDescent="0.25">
      <c r="A289" s="1" t="s">
        <v>577</v>
      </c>
      <c r="B289" s="1" t="s">
        <v>578</v>
      </c>
      <c r="C289">
        <v>3</v>
      </c>
      <c r="D289">
        <v>1578</v>
      </c>
      <c r="E289">
        <f t="shared" si="5"/>
        <v>0</v>
      </c>
    </row>
    <row r="290" spans="1:5" x14ac:dyDescent="0.25">
      <c r="A290" s="1" t="s">
        <v>579</v>
      </c>
      <c r="B290" s="1" t="s">
        <v>580</v>
      </c>
      <c r="C290">
        <v>4</v>
      </c>
      <c r="D290">
        <v>2014</v>
      </c>
      <c r="E290">
        <f t="shared" si="5"/>
        <v>0</v>
      </c>
    </row>
    <row r="291" spans="1:5" x14ac:dyDescent="0.25">
      <c r="A291" s="1" t="s">
        <v>581</v>
      </c>
      <c r="B291" s="1" t="s">
        <v>582</v>
      </c>
      <c r="C291">
        <v>5</v>
      </c>
      <c r="D291">
        <v>2835</v>
      </c>
      <c r="E291">
        <f t="shared" si="5"/>
        <v>0</v>
      </c>
    </row>
    <row r="292" spans="1:5" x14ac:dyDescent="0.25">
      <c r="A292" s="1" t="s">
        <v>583</v>
      </c>
      <c r="B292" s="1" t="s">
        <v>584</v>
      </c>
      <c r="C292">
        <v>6</v>
      </c>
      <c r="D292">
        <v>1888</v>
      </c>
      <c r="E292">
        <f t="shared" si="5"/>
        <v>0</v>
      </c>
    </row>
    <row r="293" spans="1:5" x14ac:dyDescent="0.25">
      <c r="A293" s="1" t="s">
        <v>585</v>
      </c>
      <c r="B293" s="1" t="s">
        <v>586</v>
      </c>
      <c r="C293">
        <v>5</v>
      </c>
      <c r="D293">
        <v>2946</v>
      </c>
      <c r="E293">
        <f t="shared" si="5"/>
        <v>0</v>
      </c>
    </row>
    <row r="294" spans="1:5" x14ac:dyDescent="0.25">
      <c r="A294" s="1" t="s">
        <v>587</v>
      </c>
      <c r="B294" s="1" t="s">
        <v>588</v>
      </c>
      <c r="C294">
        <v>4</v>
      </c>
      <c r="D294">
        <v>1716</v>
      </c>
      <c r="E294">
        <f t="shared" si="5"/>
        <v>0</v>
      </c>
    </row>
    <row r="295" spans="1:5" x14ac:dyDescent="0.25">
      <c r="A295" s="1" t="s">
        <v>589</v>
      </c>
      <c r="B295" s="1" t="s">
        <v>590</v>
      </c>
      <c r="C295">
        <v>5</v>
      </c>
      <c r="D295">
        <v>3318</v>
      </c>
      <c r="E295">
        <f t="shared" si="5"/>
        <v>0</v>
      </c>
    </row>
    <row r="296" spans="1:5" x14ac:dyDescent="0.25">
      <c r="A296" s="1" t="s">
        <v>591</v>
      </c>
      <c r="B296" s="1" t="s">
        <v>592</v>
      </c>
      <c r="C296">
        <v>4</v>
      </c>
      <c r="D296">
        <v>4362</v>
      </c>
      <c r="E296">
        <f t="shared" si="5"/>
        <v>0</v>
      </c>
    </row>
    <row r="297" spans="1:5" x14ac:dyDescent="0.25">
      <c r="A297" s="1" t="s">
        <v>593</v>
      </c>
      <c r="B297" s="1" t="s">
        <v>594</v>
      </c>
      <c r="C297">
        <v>2</v>
      </c>
      <c r="D297">
        <v>1805</v>
      </c>
      <c r="E297">
        <f t="shared" si="5"/>
        <v>0</v>
      </c>
    </row>
    <row r="298" spans="1:5" x14ac:dyDescent="0.25">
      <c r="A298" s="1" t="s">
        <v>595</v>
      </c>
      <c r="B298" s="1" t="s">
        <v>596</v>
      </c>
      <c r="C298">
        <v>4</v>
      </c>
      <c r="D298">
        <v>1924</v>
      </c>
      <c r="E298">
        <f t="shared" si="5"/>
        <v>0</v>
      </c>
    </row>
    <row r="299" spans="1:5" x14ac:dyDescent="0.25">
      <c r="A299" s="1" t="s">
        <v>597</v>
      </c>
      <c r="B299" s="1" t="s">
        <v>598</v>
      </c>
      <c r="C299">
        <v>5</v>
      </c>
      <c r="D299">
        <v>3572</v>
      </c>
      <c r="E299">
        <f t="shared" si="5"/>
        <v>0</v>
      </c>
    </row>
    <row r="300" spans="1:5" x14ac:dyDescent="0.25">
      <c r="A300" s="1" t="s">
        <v>599</v>
      </c>
      <c r="B300" s="1" t="s">
        <v>600</v>
      </c>
      <c r="C300">
        <v>5</v>
      </c>
      <c r="D300">
        <v>3029</v>
      </c>
      <c r="E300">
        <f t="shared" si="5"/>
        <v>0</v>
      </c>
    </row>
    <row r="301" spans="1:5" x14ac:dyDescent="0.25">
      <c r="A301" s="1" t="s">
        <v>601</v>
      </c>
      <c r="B301" s="1" t="s">
        <v>602</v>
      </c>
      <c r="C301">
        <v>4</v>
      </c>
      <c r="D301">
        <v>1901</v>
      </c>
      <c r="E301">
        <f t="shared" si="5"/>
        <v>0</v>
      </c>
    </row>
    <row r="302" spans="1:5" x14ac:dyDescent="0.25">
      <c r="A302" s="1" t="s">
        <v>603</v>
      </c>
      <c r="B302" s="1" t="s">
        <v>604</v>
      </c>
      <c r="C302">
        <v>4</v>
      </c>
      <c r="D302">
        <v>2519</v>
      </c>
      <c r="E302">
        <f t="shared" si="5"/>
        <v>0</v>
      </c>
    </row>
    <row r="303" spans="1:5" x14ac:dyDescent="0.25">
      <c r="A303" s="1" t="s">
        <v>605</v>
      </c>
      <c r="B303" s="1" t="s">
        <v>606</v>
      </c>
      <c r="C303">
        <v>4</v>
      </c>
      <c r="D303">
        <v>3628</v>
      </c>
      <c r="E303">
        <f t="shared" si="5"/>
        <v>0</v>
      </c>
    </row>
    <row r="304" spans="1:5" x14ac:dyDescent="0.25">
      <c r="A304" s="1" t="s">
        <v>607</v>
      </c>
      <c r="B304" s="1" t="s">
        <v>608</v>
      </c>
      <c r="C304">
        <v>3</v>
      </c>
      <c r="D304">
        <v>2369</v>
      </c>
      <c r="E304">
        <f t="shared" si="5"/>
        <v>0</v>
      </c>
    </row>
    <row r="305" spans="1:5" x14ac:dyDescent="0.25">
      <c r="A305" s="1" t="s">
        <v>609</v>
      </c>
      <c r="B305" s="1" t="s">
        <v>610</v>
      </c>
      <c r="C305">
        <v>5</v>
      </c>
      <c r="D305">
        <v>2111</v>
      </c>
      <c r="E305">
        <f t="shared" si="5"/>
        <v>0</v>
      </c>
    </row>
    <row r="306" spans="1:5" x14ac:dyDescent="0.25">
      <c r="A306" s="1" t="s">
        <v>611</v>
      </c>
      <c r="B306" s="1" t="s">
        <v>612</v>
      </c>
      <c r="C306">
        <v>4</v>
      </c>
      <c r="D306">
        <v>828</v>
      </c>
      <c r="E306">
        <f t="shared" si="5"/>
        <v>150</v>
      </c>
    </row>
    <row r="307" spans="1:5" x14ac:dyDescent="0.25">
      <c r="A307" s="1" t="s">
        <v>613</v>
      </c>
      <c r="B307" s="1" t="s">
        <v>614</v>
      </c>
      <c r="C307">
        <v>5</v>
      </c>
      <c r="D307">
        <v>2270</v>
      </c>
      <c r="E307">
        <f t="shared" si="5"/>
        <v>0</v>
      </c>
    </row>
    <row r="308" spans="1:5" x14ac:dyDescent="0.25">
      <c r="A308" s="1" t="s">
        <v>615</v>
      </c>
      <c r="B308" s="1" t="s">
        <v>616</v>
      </c>
      <c r="C308">
        <v>6</v>
      </c>
      <c r="D308">
        <v>1285</v>
      </c>
      <c r="E308">
        <f t="shared" si="5"/>
        <v>0</v>
      </c>
    </row>
    <row r="309" spans="1:5" x14ac:dyDescent="0.25">
      <c r="A309" s="1" t="s">
        <v>617</v>
      </c>
      <c r="B309" s="1" t="s">
        <v>618</v>
      </c>
      <c r="C309">
        <v>4</v>
      </c>
      <c r="D309">
        <v>1021</v>
      </c>
      <c r="E309">
        <f t="shared" si="5"/>
        <v>0</v>
      </c>
    </row>
    <row r="310" spans="1:5" x14ac:dyDescent="0.25">
      <c r="A310" s="1" t="s">
        <v>619</v>
      </c>
      <c r="B310" s="1" t="s">
        <v>620</v>
      </c>
      <c r="C310">
        <v>4</v>
      </c>
      <c r="D310">
        <v>995</v>
      </c>
      <c r="E310">
        <f t="shared" si="5"/>
        <v>150</v>
      </c>
    </row>
    <row r="311" spans="1:5" x14ac:dyDescent="0.25">
      <c r="A311" s="1" t="s">
        <v>621</v>
      </c>
      <c r="B311" s="1" t="s">
        <v>622</v>
      </c>
      <c r="C311">
        <v>6</v>
      </c>
      <c r="D311">
        <v>4040</v>
      </c>
      <c r="E311">
        <f t="shared" si="5"/>
        <v>0</v>
      </c>
    </row>
    <row r="312" spans="1:5" x14ac:dyDescent="0.25">
      <c r="A312" s="1" t="s">
        <v>623</v>
      </c>
      <c r="B312" s="1" t="s">
        <v>624</v>
      </c>
      <c r="C312">
        <v>5</v>
      </c>
      <c r="D312">
        <v>1446</v>
      </c>
      <c r="E312">
        <f t="shared" si="5"/>
        <v>0</v>
      </c>
    </row>
    <row r="313" spans="1:5" x14ac:dyDescent="0.25">
      <c r="A313" s="1" t="s">
        <v>625</v>
      </c>
      <c r="B313" s="1" t="s">
        <v>626</v>
      </c>
      <c r="C313">
        <v>2</v>
      </c>
      <c r="D313">
        <v>2354</v>
      </c>
      <c r="E313">
        <f t="shared" si="5"/>
        <v>0</v>
      </c>
    </row>
    <row r="314" spans="1:5" x14ac:dyDescent="0.25">
      <c r="A314" s="1" t="s">
        <v>627</v>
      </c>
      <c r="B314" s="1" t="s">
        <v>628</v>
      </c>
      <c r="C314">
        <v>2</v>
      </c>
      <c r="D314">
        <v>3651</v>
      </c>
      <c r="E314">
        <f t="shared" si="5"/>
        <v>0</v>
      </c>
    </row>
    <row r="315" spans="1:5" x14ac:dyDescent="0.25">
      <c r="A315" s="1" t="s">
        <v>629</v>
      </c>
      <c r="B315" s="1" t="s">
        <v>630</v>
      </c>
      <c r="C315">
        <v>3</v>
      </c>
      <c r="D315">
        <v>1392</v>
      </c>
      <c r="E315">
        <f t="shared" si="5"/>
        <v>0</v>
      </c>
    </row>
    <row r="316" spans="1:5" x14ac:dyDescent="0.25">
      <c r="A316" s="1" t="s">
        <v>631</v>
      </c>
      <c r="B316" s="1" t="s">
        <v>632</v>
      </c>
      <c r="C316">
        <v>5</v>
      </c>
      <c r="D316">
        <v>1688</v>
      </c>
      <c r="E316">
        <f t="shared" si="5"/>
        <v>0</v>
      </c>
    </row>
    <row r="317" spans="1:5" x14ac:dyDescent="0.25">
      <c r="A317" s="1" t="s">
        <v>633</v>
      </c>
      <c r="B317" s="1" t="s">
        <v>634</v>
      </c>
      <c r="C317">
        <v>4</v>
      </c>
      <c r="D317">
        <v>2043</v>
      </c>
      <c r="E317">
        <f t="shared" si="5"/>
        <v>0</v>
      </c>
    </row>
    <row r="318" spans="1:5" x14ac:dyDescent="0.25">
      <c r="A318" s="1" t="s">
        <v>635</v>
      </c>
      <c r="B318" s="1" t="s">
        <v>636</v>
      </c>
      <c r="C318">
        <v>3</v>
      </c>
      <c r="D318">
        <v>3865</v>
      </c>
      <c r="E318">
        <f t="shared" si="5"/>
        <v>0</v>
      </c>
    </row>
    <row r="319" spans="1:5" x14ac:dyDescent="0.25">
      <c r="A319" s="1" t="s">
        <v>637</v>
      </c>
      <c r="B319" s="1" t="s">
        <v>638</v>
      </c>
      <c r="C319">
        <v>2</v>
      </c>
      <c r="D319">
        <v>2066</v>
      </c>
      <c r="E319">
        <f t="shared" si="5"/>
        <v>0</v>
      </c>
    </row>
    <row r="320" spans="1:5" x14ac:dyDescent="0.25">
      <c r="A320" s="1" t="s">
        <v>639</v>
      </c>
      <c r="B320" s="1" t="s">
        <v>640</v>
      </c>
      <c r="C320">
        <v>6</v>
      </c>
      <c r="D320">
        <v>3497</v>
      </c>
      <c r="E320">
        <f t="shared" si="5"/>
        <v>0</v>
      </c>
    </row>
    <row r="321" spans="1:5" x14ac:dyDescent="0.25">
      <c r="A321" s="1" t="s">
        <v>641</v>
      </c>
      <c r="B321" s="1" t="s">
        <v>642</v>
      </c>
      <c r="C321">
        <v>4</v>
      </c>
      <c r="D321">
        <v>1939</v>
      </c>
      <c r="E321">
        <f t="shared" si="5"/>
        <v>0</v>
      </c>
    </row>
    <row r="322" spans="1:5" x14ac:dyDescent="0.25">
      <c r="A322" s="1" t="s">
        <v>643</v>
      </c>
      <c r="B322" s="1" t="s">
        <v>644</v>
      </c>
      <c r="C322">
        <v>6</v>
      </c>
      <c r="D322">
        <v>3811</v>
      </c>
      <c r="E322">
        <f t="shared" si="5"/>
        <v>0</v>
      </c>
    </row>
    <row r="323" spans="1:5" x14ac:dyDescent="0.25">
      <c r="A323" s="1" t="s">
        <v>645</v>
      </c>
      <c r="B323" s="1" t="s">
        <v>646</v>
      </c>
      <c r="C323">
        <v>5</v>
      </c>
      <c r="D323">
        <v>1435</v>
      </c>
      <c r="E323">
        <f t="shared" ref="E323:E386" si="6">IF(D323&lt;600,250,IF(D323&lt;800,200,IF(D323&lt;1000,150,0)))</f>
        <v>0</v>
      </c>
    </row>
    <row r="324" spans="1:5" x14ac:dyDescent="0.25">
      <c r="A324" s="1" t="s">
        <v>647</v>
      </c>
      <c r="B324" s="1" t="s">
        <v>648</v>
      </c>
      <c r="C324">
        <v>5</v>
      </c>
      <c r="D324">
        <v>2434</v>
      </c>
      <c r="E324">
        <f t="shared" si="6"/>
        <v>0</v>
      </c>
    </row>
    <row r="325" spans="1:5" x14ac:dyDescent="0.25">
      <c r="A325" s="1" t="s">
        <v>649</v>
      </c>
      <c r="B325" s="1" t="s">
        <v>650</v>
      </c>
      <c r="C325">
        <v>4</v>
      </c>
      <c r="D325">
        <v>4149</v>
      </c>
      <c r="E325">
        <f t="shared" si="6"/>
        <v>0</v>
      </c>
    </row>
    <row r="326" spans="1:5" x14ac:dyDescent="0.25">
      <c r="A326" s="1" t="s">
        <v>651</v>
      </c>
      <c r="B326" s="1" t="s">
        <v>652</v>
      </c>
      <c r="C326">
        <v>3</v>
      </c>
      <c r="D326">
        <v>3303</v>
      </c>
      <c r="E326">
        <f t="shared" si="6"/>
        <v>0</v>
      </c>
    </row>
    <row r="327" spans="1:5" x14ac:dyDescent="0.25">
      <c r="A327" s="1" t="s">
        <v>653</v>
      </c>
      <c r="B327" s="1" t="s">
        <v>654</v>
      </c>
      <c r="C327">
        <v>2</v>
      </c>
      <c r="D327">
        <v>790</v>
      </c>
      <c r="E327">
        <f t="shared" si="6"/>
        <v>200</v>
      </c>
    </row>
    <row r="328" spans="1:5" x14ac:dyDescent="0.25">
      <c r="A328" s="1" t="s">
        <v>655</v>
      </c>
      <c r="B328" s="1" t="s">
        <v>656</v>
      </c>
      <c r="C328">
        <v>2</v>
      </c>
      <c r="D328">
        <v>3168</v>
      </c>
      <c r="E328">
        <f t="shared" si="6"/>
        <v>0</v>
      </c>
    </row>
    <row r="329" spans="1:5" x14ac:dyDescent="0.25">
      <c r="A329" s="1" t="s">
        <v>657</v>
      </c>
      <c r="B329" s="1" t="s">
        <v>658</v>
      </c>
      <c r="C329">
        <v>5</v>
      </c>
      <c r="D329">
        <v>1235</v>
      </c>
      <c r="E329">
        <f t="shared" si="6"/>
        <v>0</v>
      </c>
    </row>
    <row r="330" spans="1:5" x14ac:dyDescent="0.25">
      <c r="A330" s="1" t="s">
        <v>659</v>
      </c>
      <c r="B330" s="1" t="s">
        <v>660</v>
      </c>
      <c r="C330">
        <v>5</v>
      </c>
      <c r="D330">
        <v>763</v>
      </c>
      <c r="E330">
        <f t="shared" si="6"/>
        <v>200</v>
      </c>
    </row>
    <row r="331" spans="1:5" x14ac:dyDescent="0.25">
      <c r="A331" s="1" t="s">
        <v>661</v>
      </c>
      <c r="B331" s="1" t="s">
        <v>662</v>
      </c>
      <c r="C331">
        <v>4</v>
      </c>
      <c r="D331">
        <v>3317</v>
      </c>
      <c r="E331">
        <f t="shared" si="6"/>
        <v>0</v>
      </c>
    </row>
    <row r="332" spans="1:5" x14ac:dyDescent="0.25">
      <c r="A332" s="1" t="s">
        <v>663</v>
      </c>
      <c r="B332" s="1" t="s">
        <v>664</v>
      </c>
      <c r="C332">
        <v>6</v>
      </c>
      <c r="D332">
        <v>2055</v>
      </c>
      <c r="E332">
        <f t="shared" si="6"/>
        <v>0</v>
      </c>
    </row>
    <row r="333" spans="1:5" x14ac:dyDescent="0.25">
      <c r="A333" s="1" t="s">
        <v>665</v>
      </c>
      <c r="B333" s="1" t="s">
        <v>666</v>
      </c>
      <c r="C333">
        <v>5</v>
      </c>
      <c r="D333">
        <v>3350</v>
      </c>
      <c r="E333">
        <f t="shared" si="6"/>
        <v>0</v>
      </c>
    </row>
    <row r="334" spans="1:5" x14ac:dyDescent="0.25">
      <c r="A334" s="1" t="s">
        <v>667</v>
      </c>
      <c r="B334" s="1" t="s">
        <v>668</v>
      </c>
      <c r="C334">
        <v>6</v>
      </c>
      <c r="D334">
        <v>968</v>
      </c>
      <c r="E334">
        <f t="shared" si="6"/>
        <v>150</v>
      </c>
    </row>
    <row r="335" spans="1:5" x14ac:dyDescent="0.25">
      <c r="A335" s="1" t="s">
        <v>669</v>
      </c>
      <c r="B335" s="1" t="s">
        <v>670</v>
      </c>
      <c r="C335">
        <v>5</v>
      </c>
      <c r="D335">
        <v>3920</v>
      </c>
      <c r="E335">
        <f t="shared" si="6"/>
        <v>0</v>
      </c>
    </row>
    <row r="336" spans="1:5" x14ac:dyDescent="0.25">
      <c r="A336" s="1" t="s">
        <v>671</v>
      </c>
      <c r="B336" s="1" t="s">
        <v>672</v>
      </c>
      <c r="C336">
        <v>2</v>
      </c>
      <c r="D336">
        <v>2936</v>
      </c>
      <c r="E336">
        <f t="shared" si="6"/>
        <v>0</v>
      </c>
    </row>
    <row r="337" spans="1:5" x14ac:dyDescent="0.25">
      <c r="A337" s="1" t="s">
        <v>673</v>
      </c>
      <c r="B337" s="1" t="s">
        <v>674</v>
      </c>
      <c r="C337">
        <v>2</v>
      </c>
      <c r="D337">
        <v>2262</v>
      </c>
      <c r="E337">
        <f t="shared" si="6"/>
        <v>0</v>
      </c>
    </row>
    <row r="338" spans="1:5" x14ac:dyDescent="0.25">
      <c r="A338" s="1" t="s">
        <v>675</v>
      </c>
      <c r="B338" s="1" t="s">
        <v>676</v>
      </c>
      <c r="C338">
        <v>5</v>
      </c>
      <c r="D338">
        <v>3986</v>
      </c>
      <c r="E338">
        <f t="shared" si="6"/>
        <v>0</v>
      </c>
    </row>
    <row r="339" spans="1:5" x14ac:dyDescent="0.25">
      <c r="A339" s="1" t="s">
        <v>677</v>
      </c>
      <c r="B339" s="1" t="s">
        <v>678</v>
      </c>
      <c r="C339">
        <v>3</v>
      </c>
      <c r="D339">
        <v>2163</v>
      </c>
      <c r="E339">
        <f t="shared" si="6"/>
        <v>0</v>
      </c>
    </row>
    <row r="340" spans="1:5" x14ac:dyDescent="0.25">
      <c r="A340" s="1" t="s">
        <v>679</v>
      </c>
      <c r="B340" s="1" t="s">
        <v>680</v>
      </c>
      <c r="C340">
        <v>3</v>
      </c>
      <c r="D340">
        <v>2501</v>
      </c>
      <c r="E340">
        <f t="shared" si="6"/>
        <v>0</v>
      </c>
    </row>
    <row r="341" spans="1:5" x14ac:dyDescent="0.25">
      <c r="A341" s="1" t="s">
        <v>681</v>
      </c>
      <c r="B341" s="1" t="s">
        <v>682</v>
      </c>
      <c r="C341">
        <v>3</v>
      </c>
      <c r="D341">
        <v>1186</v>
      </c>
      <c r="E341">
        <f t="shared" si="6"/>
        <v>0</v>
      </c>
    </row>
    <row r="342" spans="1:5" x14ac:dyDescent="0.25">
      <c r="A342" s="1" t="s">
        <v>683</v>
      </c>
      <c r="B342" s="1" t="s">
        <v>684</v>
      </c>
      <c r="C342">
        <v>4</v>
      </c>
      <c r="D342">
        <v>1206</v>
      </c>
      <c r="E342">
        <f t="shared" si="6"/>
        <v>0</v>
      </c>
    </row>
    <row r="343" spans="1:5" x14ac:dyDescent="0.25">
      <c r="A343" s="1" t="s">
        <v>685</v>
      </c>
      <c r="B343" s="1" t="s">
        <v>686</v>
      </c>
      <c r="C343">
        <v>5</v>
      </c>
      <c r="D343">
        <v>3613</v>
      </c>
      <c r="E343">
        <f t="shared" si="6"/>
        <v>0</v>
      </c>
    </row>
    <row r="344" spans="1:5" x14ac:dyDescent="0.25">
      <c r="A344" s="1" t="s">
        <v>687</v>
      </c>
      <c r="B344" s="1" t="s">
        <v>688</v>
      </c>
      <c r="C344">
        <v>5</v>
      </c>
      <c r="D344">
        <v>3248</v>
      </c>
      <c r="E344">
        <f t="shared" si="6"/>
        <v>0</v>
      </c>
    </row>
    <row r="345" spans="1:5" x14ac:dyDescent="0.25">
      <c r="A345" s="1" t="s">
        <v>689</v>
      </c>
      <c r="B345" s="1" t="s">
        <v>690</v>
      </c>
      <c r="C345">
        <v>4</v>
      </c>
      <c r="D345">
        <v>3613</v>
      </c>
      <c r="E345">
        <f t="shared" si="6"/>
        <v>0</v>
      </c>
    </row>
    <row r="346" spans="1:5" x14ac:dyDescent="0.25">
      <c r="A346" s="1" t="s">
        <v>691</v>
      </c>
      <c r="B346" s="1" t="s">
        <v>692</v>
      </c>
      <c r="C346">
        <v>3</v>
      </c>
      <c r="D346">
        <v>2202</v>
      </c>
      <c r="E346">
        <f t="shared" si="6"/>
        <v>0</v>
      </c>
    </row>
    <row r="347" spans="1:5" x14ac:dyDescent="0.25">
      <c r="A347" s="1" t="s">
        <v>693</v>
      </c>
      <c r="B347" s="1" t="s">
        <v>694</v>
      </c>
      <c r="C347">
        <v>4</v>
      </c>
      <c r="D347">
        <v>1012</v>
      </c>
      <c r="E347">
        <f t="shared" si="6"/>
        <v>0</v>
      </c>
    </row>
    <row r="348" spans="1:5" x14ac:dyDescent="0.25">
      <c r="A348" s="1" t="s">
        <v>695</v>
      </c>
      <c r="B348" s="1" t="s">
        <v>696</v>
      </c>
      <c r="C348">
        <v>3</v>
      </c>
      <c r="D348">
        <v>4087</v>
      </c>
      <c r="E348">
        <f t="shared" si="6"/>
        <v>0</v>
      </c>
    </row>
    <row r="349" spans="1:5" x14ac:dyDescent="0.25">
      <c r="A349" s="1" t="s">
        <v>697</v>
      </c>
      <c r="B349" s="1" t="s">
        <v>698</v>
      </c>
      <c r="C349">
        <v>4</v>
      </c>
      <c r="D349">
        <v>1892</v>
      </c>
      <c r="E349">
        <f t="shared" si="6"/>
        <v>0</v>
      </c>
    </row>
    <row r="350" spans="1:5" x14ac:dyDescent="0.25">
      <c r="A350" s="1" t="s">
        <v>699</v>
      </c>
      <c r="B350" s="1" t="s">
        <v>700</v>
      </c>
      <c r="C350">
        <v>2</v>
      </c>
      <c r="D350">
        <v>3119</v>
      </c>
      <c r="E350">
        <f t="shared" si="6"/>
        <v>0</v>
      </c>
    </row>
    <row r="351" spans="1:5" x14ac:dyDescent="0.25">
      <c r="A351" s="1" t="s">
        <v>701</v>
      </c>
      <c r="B351" s="1" t="s">
        <v>702</v>
      </c>
      <c r="C351">
        <v>3</v>
      </c>
      <c r="D351">
        <v>809</v>
      </c>
      <c r="E351">
        <f t="shared" si="6"/>
        <v>150</v>
      </c>
    </row>
    <row r="352" spans="1:5" x14ac:dyDescent="0.25">
      <c r="A352" s="1" t="s">
        <v>703</v>
      </c>
      <c r="B352" s="1" t="s">
        <v>704</v>
      </c>
      <c r="C352">
        <v>3</v>
      </c>
      <c r="D352">
        <v>1762</v>
      </c>
      <c r="E352">
        <f t="shared" si="6"/>
        <v>0</v>
      </c>
    </row>
    <row r="353" spans="1:5" x14ac:dyDescent="0.25">
      <c r="A353" s="1" t="s">
        <v>705</v>
      </c>
      <c r="B353" s="1" t="s">
        <v>706</v>
      </c>
      <c r="C353">
        <v>3</v>
      </c>
      <c r="D353">
        <v>4079</v>
      </c>
      <c r="E353">
        <f t="shared" si="6"/>
        <v>0</v>
      </c>
    </row>
    <row r="354" spans="1:5" x14ac:dyDescent="0.25">
      <c r="A354" s="1" t="s">
        <v>707</v>
      </c>
      <c r="B354" s="1" t="s">
        <v>708</v>
      </c>
      <c r="C354">
        <v>5</v>
      </c>
      <c r="D354">
        <v>2139</v>
      </c>
      <c r="E354">
        <f t="shared" si="6"/>
        <v>0</v>
      </c>
    </row>
    <row r="355" spans="1:5" x14ac:dyDescent="0.25">
      <c r="A355" s="1" t="s">
        <v>709</v>
      </c>
      <c r="B355" s="1" t="s">
        <v>710</v>
      </c>
      <c r="C355">
        <v>5</v>
      </c>
      <c r="D355">
        <v>985</v>
      </c>
      <c r="E355">
        <f t="shared" si="6"/>
        <v>150</v>
      </c>
    </row>
    <row r="356" spans="1:5" x14ac:dyDescent="0.25">
      <c r="A356" s="1" t="s">
        <v>711</v>
      </c>
      <c r="B356" s="1" t="s">
        <v>712</v>
      </c>
      <c r="C356">
        <v>4</v>
      </c>
      <c r="D356">
        <v>1837</v>
      </c>
      <c r="E356">
        <f t="shared" si="6"/>
        <v>0</v>
      </c>
    </row>
    <row r="357" spans="1:5" x14ac:dyDescent="0.25">
      <c r="A357" s="1" t="s">
        <v>713</v>
      </c>
      <c r="B357" s="1" t="s">
        <v>714</v>
      </c>
      <c r="C357">
        <v>6</v>
      </c>
      <c r="D357">
        <v>3544</v>
      </c>
      <c r="E357">
        <f t="shared" si="6"/>
        <v>0</v>
      </c>
    </row>
    <row r="358" spans="1:5" x14ac:dyDescent="0.25">
      <c r="A358" s="1" t="s">
        <v>715</v>
      </c>
      <c r="B358" s="1" t="s">
        <v>716</v>
      </c>
      <c r="C358">
        <v>5</v>
      </c>
      <c r="D358">
        <v>3404</v>
      </c>
      <c r="E358">
        <f t="shared" si="6"/>
        <v>0</v>
      </c>
    </row>
    <row r="359" spans="1:5" x14ac:dyDescent="0.25">
      <c r="A359" s="1" t="s">
        <v>717</v>
      </c>
      <c r="B359" s="1" t="s">
        <v>718</v>
      </c>
      <c r="C359">
        <v>4</v>
      </c>
      <c r="D359">
        <v>780</v>
      </c>
      <c r="E359">
        <f t="shared" si="6"/>
        <v>200</v>
      </c>
    </row>
    <row r="360" spans="1:5" x14ac:dyDescent="0.25">
      <c r="A360" s="1" t="s">
        <v>719</v>
      </c>
      <c r="B360" s="1" t="s">
        <v>720</v>
      </c>
      <c r="C360">
        <v>4</v>
      </c>
      <c r="D360">
        <v>3621</v>
      </c>
      <c r="E360">
        <f t="shared" si="6"/>
        <v>0</v>
      </c>
    </row>
    <row r="361" spans="1:5" x14ac:dyDescent="0.25">
      <c r="A361" s="1" t="s">
        <v>721</v>
      </c>
      <c r="B361" s="1" t="s">
        <v>722</v>
      </c>
      <c r="C361">
        <v>3</v>
      </c>
      <c r="D361">
        <v>1363</v>
      </c>
      <c r="E361">
        <f t="shared" si="6"/>
        <v>0</v>
      </c>
    </row>
    <row r="362" spans="1:5" x14ac:dyDescent="0.25">
      <c r="A362" s="1" t="s">
        <v>723</v>
      </c>
      <c r="B362" s="1" t="s">
        <v>724</v>
      </c>
      <c r="C362">
        <v>5</v>
      </c>
      <c r="D362">
        <v>865</v>
      </c>
      <c r="E362">
        <f t="shared" si="6"/>
        <v>150</v>
      </c>
    </row>
    <row r="363" spans="1:5" x14ac:dyDescent="0.25">
      <c r="A363" s="1" t="s">
        <v>725</v>
      </c>
      <c r="B363" s="1" t="s">
        <v>726</v>
      </c>
      <c r="C363">
        <v>3</v>
      </c>
      <c r="D363">
        <v>2102</v>
      </c>
      <c r="E363">
        <f t="shared" si="6"/>
        <v>0</v>
      </c>
    </row>
    <row r="364" spans="1:5" x14ac:dyDescent="0.25">
      <c r="A364" s="1" t="s">
        <v>727</v>
      </c>
      <c r="B364" s="1" t="s">
        <v>728</v>
      </c>
      <c r="C364">
        <v>5</v>
      </c>
      <c r="D364">
        <v>2314</v>
      </c>
      <c r="E364">
        <f t="shared" si="6"/>
        <v>0</v>
      </c>
    </row>
    <row r="365" spans="1:5" x14ac:dyDescent="0.25">
      <c r="A365" s="1" t="s">
        <v>729</v>
      </c>
      <c r="B365" s="1" t="s">
        <v>730</v>
      </c>
      <c r="C365">
        <v>6</v>
      </c>
      <c r="D365">
        <v>2577</v>
      </c>
      <c r="E365">
        <f t="shared" si="6"/>
        <v>0</v>
      </c>
    </row>
    <row r="366" spans="1:5" x14ac:dyDescent="0.25">
      <c r="A366" s="1" t="s">
        <v>731</v>
      </c>
      <c r="B366" s="1" t="s">
        <v>732</v>
      </c>
      <c r="C366">
        <v>2</v>
      </c>
      <c r="D366">
        <v>2955</v>
      </c>
      <c r="E366">
        <f t="shared" si="6"/>
        <v>0</v>
      </c>
    </row>
    <row r="367" spans="1:5" x14ac:dyDescent="0.25">
      <c r="A367" s="1" t="s">
        <v>733</v>
      </c>
      <c r="B367" s="1" t="s">
        <v>734</v>
      </c>
      <c r="C367">
        <v>2</v>
      </c>
      <c r="D367">
        <v>696</v>
      </c>
      <c r="E367">
        <f t="shared" si="6"/>
        <v>200</v>
      </c>
    </row>
    <row r="368" spans="1:5" x14ac:dyDescent="0.25">
      <c r="A368" s="1" t="s">
        <v>735</v>
      </c>
      <c r="B368" s="1" t="s">
        <v>736</v>
      </c>
      <c r="C368">
        <v>4</v>
      </c>
      <c r="D368">
        <v>1038</v>
      </c>
      <c r="E368">
        <f t="shared" si="6"/>
        <v>0</v>
      </c>
    </row>
    <row r="369" spans="1:5" x14ac:dyDescent="0.25">
      <c r="A369" s="1" t="s">
        <v>737</v>
      </c>
      <c r="B369" s="1" t="s">
        <v>738</v>
      </c>
      <c r="C369">
        <v>3</v>
      </c>
      <c r="D369">
        <v>2008</v>
      </c>
      <c r="E369">
        <f t="shared" si="6"/>
        <v>0</v>
      </c>
    </row>
    <row r="370" spans="1:5" x14ac:dyDescent="0.25">
      <c r="A370" s="1" t="s">
        <v>739</v>
      </c>
      <c r="B370" s="1" t="s">
        <v>740</v>
      </c>
      <c r="C370">
        <v>4</v>
      </c>
      <c r="D370">
        <v>3745</v>
      </c>
      <c r="E370">
        <f t="shared" si="6"/>
        <v>0</v>
      </c>
    </row>
    <row r="371" spans="1:5" x14ac:dyDescent="0.25">
      <c r="A371" s="1" t="s">
        <v>741</v>
      </c>
      <c r="B371" s="1" t="s">
        <v>742</v>
      </c>
      <c r="C371">
        <v>3</v>
      </c>
      <c r="D371">
        <v>3868</v>
      </c>
      <c r="E371">
        <f t="shared" si="6"/>
        <v>0</v>
      </c>
    </row>
    <row r="372" spans="1:5" x14ac:dyDescent="0.25">
      <c r="A372" s="1" t="s">
        <v>743</v>
      </c>
      <c r="B372" s="1" t="s">
        <v>744</v>
      </c>
      <c r="C372">
        <v>4</v>
      </c>
      <c r="D372">
        <v>2152</v>
      </c>
      <c r="E372">
        <f t="shared" si="6"/>
        <v>0</v>
      </c>
    </row>
    <row r="373" spans="1:5" x14ac:dyDescent="0.25">
      <c r="A373" s="1" t="s">
        <v>745</v>
      </c>
      <c r="B373" s="1" t="s">
        <v>746</v>
      </c>
      <c r="C373">
        <v>3</v>
      </c>
      <c r="D373">
        <v>2468</v>
      </c>
      <c r="E373">
        <f t="shared" si="6"/>
        <v>0</v>
      </c>
    </row>
    <row r="374" spans="1:5" x14ac:dyDescent="0.25">
      <c r="A374" s="1" t="s">
        <v>747</v>
      </c>
      <c r="B374" s="1" t="s">
        <v>748</v>
      </c>
      <c r="C374">
        <v>3</v>
      </c>
      <c r="D374">
        <v>2983</v>
      </c>
      <c r="E374">
        <f t="shared" si="6"/>
        <v>0</v>
      </c>
    </row>
    <row r="375" spans="1:5" x14ac:dyDescent="0.25">
      <c r="A375" s="1" t="s">
        <v>749</v>
      </c>
      <c r="B375" s="1" t="s">
        <v>750</v>
      </c>
      <c r="C375">
        <v>3</v>
      </c>
      <c r="D375">
        <v>4155</v>
      </c>
      <c r="E375">
        <f t="shared" si="6"/>
        <v>0</v>
      </c>
    </row>
    <row r="376" spans="1:5" x14ac:dyDescent="0.25">
      <c r="A376" s="1" t="s">
        <v>751</v>
      </c>
      <c r="B376" s="1" t="s">
        <v>752</v>
      </c>
      <c r="C376">
        <v>4</v>
      </c>
      <c r="D376">
        <v>2219</v>
      </c>
      <c r="E376">
        <f t="shared" si="6"/>
        <v>0</v>
      </c>
    </row>
    <row r="377" spans="1:5" x14ac:dyDescent="0.25">
      <c r="A377" s="1" t="s">
        <v>753</v>
      </c>
      <c r="B377" s="1" t="s">
        <v>754</v>
      </c>
      <c r="C377">
        <v>3</v>
      </c>
      <c r="D377">
        <v>4479</v>
      </c>
      <c r="E377">
        <f t="shared" si="6"/>
        <v>0</v>
      </c>
    </row>
    <row r="378" spans="1:5" x14ac:dyDescent="0.25">
      <c r="A378" s="1" t="s">
        <v>755</v>
      </c>
      <c r="B378" s="1" t="s">
        <v>756</v>
      </c>
      <c r="C378">
        <v>2</v>
      </c>
      <c r="D378">
        <v>1950</v>
      </c>
      <c r="E378">
        <f t="shared" si="6"/>
        <v>0</v>
      </c>
    </row>
    <row r="379" spans="1:5" x14ac:dyDescent="0.25">
      <c r="A379" s="1" t="s">
        <v>757</v>
      </c>
      <c r="B379" s="1" t="s">
        <v>758</v>
      </c>
      <c r="C379">
        <v>2</v>
      </c>
      <c r="D379">
        <v>1194</v>
      </c>
      <c r="E379">
        <f t="shared" si="6"/>
        <v>0</v>
      </c>
    </row>
    <row r="380" spans="1:5" x14ac:dyDescent="0.25">
      <c r="A380" s="1" t="s">
        <v>759</v>
      </c>
      <c r="B380" s="1" t="s">
        <v>760</v>
      </c>
      <c r="C380">
        <v>4</v>
      </c>
      <c r="D380">
        <v>2957</v>
      </c>
      <c r="E380">
        <f t="shared" si="6"/>
        <v>0</v>
      </c>
    </row>
    <row r="381" spans="1:5" x14ac:dyDescent="0.25">
      <c r="A381" s="1" t="s">
        <v>761</v>
      </c>
      <c r="B381" s="1" t="s">
        <v>762</v>
      </c>
      <c r="C381">
        <v>3</v>
      </c>
      <c r="D381">
        <v>2636</v>
      </c>
      <c r="E381">
        <f t="shared" si="6"/>
        <v>0</v>
      </c>
    </row>
    <row r="382" spans="1:5" x14ac:dyDescent="0.25">
      <c r="A382" s="1" t="s">
        <v>763</v>
      </c>
      <c r="B382" s="1" t="s">
        <v>764</v>
      </c>
      <c r="C382">
        <v>2</v>
      </c>
      <c r="D382">
        <v>2541</v>
      </c>
      <c r="E382">
        <f t="shared" si="6"/>
        <v>0</v>
      </c>
    </row>
    <row r="383" spans="1:5" x14ac:dyDescent="0.25">
      <c r="A383" s="1" t="s">
        <v>765</v>
      </c>
      <c r="B383" s="1" t="s">
        <v>766</v>
      </c>
      <c r="C383">
        <v>3</v>
      </c>
      <c r="D383">
        <v>2087</v>
      </c>
      <c r="E383">
        <f t="shared" si="6"/>
        <v>0</v>
      </c>
    </row>
    <row r="384" spans="1:5" x14ac:dyDescent="0.25">
      <c r="A384" s="1" t="s">
        <v>767</v>
      </c>
      <c r="B384" s="1" t="s">
        <v>768</v>
      </c>
      <c r="C384">
        <v>3</v>
      </c>
      <c r="D384">
        <v>2009</v>
      </c>
      <c r="E384">
        <f t="shared" si="6"/>
        <v>0</v>
      </c>
    </row>
    <row r="385" spans="1:5" x14ac:dyDescent="0.25">
      <c r="A385" s="1" t="s">
        <v>769</v>
      </c>
      <c r="B385" s="1" t="s">
        <v>770</v>
      </c>
      <c r="C385">
        <v>3</v>
      </c>
      <c r="D385">
        <v>1275</v>
      </c>
      <c r="E385">
        <f t="shared" si="6"/>
        <v>0</v>
      </c>
    </row>
    <row r="386" spans="1:5" x14ac:dyDescent="0.25">
      <c r="A386" s="1" t="s">
        <v>771</v>
      </c>
      <c r="B386" s="1" t="s">
        <v>772</v>
      </c>
      <c r="C386">
        <v>6</v>
      </c>
      <c r="D386">
        <v>1578</v>
      </c>
      <c r="E386">
        <f t="shared" si="6"/>
        <v>0</v>
      </c>
    </row>
    <row r="387" spans="1:5" x14ac:dyDescent="0.25">
      <c r="A387" s="1" t="s">
        <v>773</v>
      </c>
      <c r="B387" s="1" t="s">
        <v>774</v>
      </c>
      <c r="C387">
        <v>5</v>
      </c>
      <c r="D387">
        <v>2648</v>
      </c>
      <c r="E387">
        <f t="shared" ref="E387:E450" si="7">IF(D387&lt;600,250,IF(D387&lt;800,200,IF(D387&lt;1000,150,0)))</f>
        <v>0</v>
      </c>
    </row>
    <row r="388" spans="1:5" x14ac:dyDescent="0.25">
      <c r="A388" s="1" t="s">
        <v>775</v>
      </c>
      <c r="B388" s="1" t="s">
        <v>776</v>
      </c>
      <c r="C388">
        <v>4</v>
      </c>
      <c r="D388">
        <v>3902</v>
      </c>
      <c r="E388">
        <f t="shared" si="7"/>
        <v>0</v>
      </c>
    </row>
    <row r="389" spans="1:5" x14ac:dyDescent="0.25">
      <c r="A389" s="1" t="s">
        <v>777</v>
      </c>
      <c r="B389" s="1" t="s">
        <v>778</v>
      </c>
      <c r="C389">
        <v>3</v>
      </c>
      <c r="D389">
        <v>2588</v>
      </c>
      <c r="E389">
        <f t="shared" si="7"/>
        <v>0</v>
      </c>
    </row>
    <row r="390" spans="1:5" x14ac:dyDescent="0.25">
      <c r="A390" s="1" t="s">
        <v>779</v>
      </c>
      <c r="B390" s="1" t="s">
        <v>780</v>
      </c>
      <c r="C390">
        <v>3</v>
      </c>
      <c r="D390">
        <v>2672</v>
      </c>
      <c r="E390">
        <f t="shared" si="7"/>
        <v>0</v>
      </c>
    </row>
    <row r="391" spans="1:5" x14ac:dyDescent="0.25">
      <c r="A391" s="1" t="s">
        <v>781</v>
      </c>
      <c r="B391" s="1" t="s">
        <v>782</v>
      </c>
      <c r="C391">
        <v>2</v>
      </c>
      <c r="D391">
        <v>1280</v>
      </c>
      <c r="E391">
        <f t="shared" si="7"/>
        <v>0</v>
      </c>
    </row>
    <row r="392" spans="1:5" x14ac:dyDescent="0.25">
      <c r="A392" s="1" t="s">
        <v>783</v>
      </c>
      <c r="B392" s="1" t="s">
        <v>784</v>
      </c>
      <c r="C392">
        <v>6</v>
      </c>
      <c r="D392">
        <v>3792</v>
      </c>
      <c r="E392">
        <f t="shared" si="7"/>
        <v>0</v>
      </c>
    </row>
    <row r="393" spans="1:5" x14ac:dyDescent="0.25">
      <c r="A393" s="1" t="s">
        <v>785</v>
      </c>
      <c r="B393" s="1" t="s">
        <v>786</v>
      </c>
      <c r="C393">
        <v>5</v>
      </c>
      <c r="D393">
        <v>4450</v>
      </c>
      <c r="E393">
        <f t="shared" si="7"/>
        <v>0</v>
      </c>
    </row>
    <row r="394" spans="1:5" x14ac:dyDescent="0.25">
      <c r="A394" s="1" t="s">
        <v>787</v>
      </c>
      <c r="B394" s="1" t="s">
        <v>788</v>
      </c>
      <c r="C394">
        <v>4</v>
      </c>
      <c r="D394">
        <v>3435</v>
      </c>
      <c r="E394">
        <f t="shared" si="7"/>
        <v>0</v>
      </c>
    </row>
    <row r="395" spans="1:5" x14ac:dyDescent="0.25">
      <c r="A395" s="1" t="s">
        <v>789</v>
      </c>
      <c r="B395" s="1" t="s">
        <v>790</v>
      </c>
      <c r="C395">
        <v>4</v>
      </c>
      <c r="D395">
        <v>3460</v>
      </c>
      <c r="E395">
        <f t="shared" si="7"/>
        <v>0</v>
      </c>
    </row>
    <row r="396" spans="1:5" x14ac:dyDescent="0.25">
      <c r="A396" s="1" t="s">
        <v>791</v>
      </c>
      <c r="B396" s="1" t="s">
        <v>792</v>
      </c>
      <c r="C396">
        <v>2</v>
      </c>
      <c r="D396">
        <v>1914</v>
      </c>
      <c r="E396">
        <f t="shared" si="7"/>
        <v>0</v>
      </c>
    </row>
    <row r="397" spans="1:5" x14ac:dyDescent="0.25">
      <c r="A397" s="1" t="s">
        <v>793</v>
      </c>
      <c r="B397" s="1" t="s">
        <v>794</v>
      </c>
      <c r="C397">
        <v>4</v>
      </c>
      <c r="D397">
        <v>3251</v>
      </c>
      <c r="E397">
        <f t="shared" si="7"/>
        <v>0</v>
      </c>
    </row>
    <row r="398" spans="1:5" x14ac:dyDescent="0.25">
      <c r="A398" s="1" t="s">
        <v>795</v>
      </c>
      <c r="B398" s="1" t="s">
        <v>796</v>
      </c>
      <c r="C398">
        <v>5</v>
      </c>
      <c r="D398">
        <v>3006</v>
      </c>
      <c r="E398">
        <f t="shared" si="7"/>
        <v>0</v>
      </c>
    </row>
    <row r="399" spans="1:5" x14ac:dyDescent="0.25">
      <c r="A399" s="1" t="s">
        <v>797</v>
      </c>
      <c r="B399" s="1" t="s">
        <v>798</v>
      </c>
      <c r="C399">
        <v>5</v>
      </c>
      <c r="D399">
        <v>1673</v>
      </c>
      <c r="E399">
        <f t="shared" si="7"/>
        <v>0</v>
      </c>
    </row>
    <row r="400" spans="1:5" x14ac:dyDescent="0.25">
      <c r="A400" s="1" t="s">
        <v>799</v>
      </c>
      <c r="B400" s="1" t="s">
        <v>800</v>
      </c>
      <c r="C400">
        <v>2</v>
      </c>
      <c r="D400">
        <v>2000</v>
      </c>
      <c r="E400">
        <f t="shared" si="7"/>
        <v>0</v>
      </c>
    </row>
    <row r="401" spans="1:5" x14ac:dyDescent="0.25">
      <c r="A401" s="1" t="s">
        <v>801</v>
      </c>
      <c r="B401" s="1" t="s">
        <v>802</v>
      </c>
      <c r="C401">
        <v>6</v>
      </c>
      <c r="D401">
        <v>4036</v>
      </c>
      <c r="E401">
        <f t="shared" si="7"/>
        <v>0</v>
      </c>
    </row>
    <row r="402" spans="1:5" x14ac:dyDescent="0.25">
      <c r="A402" s="1" t="s">
        <v>803</v>
      </c>
      <c r="B402" s="1" t="s">
        <v>804</v>
      </c>
      <c r="C402">
        <v>2</v>
      </c>
      <c r="D402">
        <v>1763</v>
      </c>
      <c r="E402">
        <f t="shared" si="7"/>
        <v>0</v>
      </c>
    </row>
    <row r="403" spans="1:5" x14ac:dyDescent="0.25">
      <c r="A403" s="1" t="s">
        <v>805</v>
      </c>
      <c r="B403" s="1" t="s">
        <v>806</v>
      </c>
      <c r="C403">
        <v>3</v>
      </c>
      <c r="D403">
        <v>3039</v>
      </c>
      <c r="E403">
        <f t="shared" si="7"/>
        <v>0</v>
      </c>
    </row>
    <row r="404" spans="1:5" x14ac:dyDescent="0.25">
      <c r="A404" s="1" t="s">
        <v>807</v>
      </c>
      <c r="B404" s="1" t="s">
        <v>808</v>
      </c>
      <c r="C404">
        <v>6</v>
      </c>
      <c r="D404">
        <v>962</v>
      </c>
      <c r="E404">
        <f t="shared" si="7"/>
        <v>150</v>
      </c>
    </row>
    <row r="405" spans="1:5" x14ac:dyDescent="0.25">
      <c r="A405" s="1" t="s">
        <v>809</v>
      </c>
      <c r="B405" s="1" t="s">
        <v>810</v>
      </c>
      <c r="C405">
        <v>4</v>
      </c>
      <c r="D405">
        <v>3432</v>
      </c>
      <c r="E405">
        <f t="shared" si="7"/>
        <v>0</v>
      </c>
    </row>
    <row r="406" spans="1:5" x14ac:dyDescent="0.25">
      <c r="A406" s="1" t="s">
        <v>811</v>
      </c>
      <c r="B406" s="1" t="s">
        <v>812</v>
      </c>
      <c r="C406">
        <v>4</v>
      </c>
      <c r="D406">
        <v>2167</v>
      </c>
      <c r="E406">
        <f t="shared" si="7"/>
        <v>0</v>
      </c>
    </row>
    <row r="407" spans="1:5" x14ac:dyDescent="0.25">
      <c r="A407" s="1" t="s">
        <v>813</v>
      </c>
      <c r="B407" s="1" t="s">
        <v>814</v>
      </c>
      <c r="C407">
        <v>4</v>
      </c>
      <c r="D407">
        <v>2198</v>
      </c>
      <c r="E407">
        <f t="shared" si="7"/>
        <v>0</v>
      </c>
    </row>
    <row r="408" spans="1:5" x14ac:dyDescent="0.25">
      <c r="A408" s="1" t="s">
        <v>815</v>
      </c>
      <c r="B408" s="1" t="s">
        <v>816</v>
      </c>
      <c r="C408">
        <v>6</v>
      </c>
      <c r="D408">
        <v>1597</v>
      </c>
      <c r="E408">
        <f t="shared" si="7"/>
        <v>0</v>
      </c>
    </row>
    <row r="409" spans="1:5" x14ac:dyDescent="0.25">
      <c r="A409" s="1" t="s">
        <v>817</v>
      </c>
      <c r="B409" s="1" t="s">
        <v>818</v>
      </c>
      <c r="C409">
        <v>5</v>
      </c>
      <c r="D409">
        <v>2936</v>
      </c>
      <c r="E409">
        <f t="shared" si="7"/>
        <v>0</v>
      </c>
    </row>
    <row r="410" spans="1:5" x14ac:dyDescent="0.25">
      <c r="A410" s="1" t="s">
        <v>819</v>
      </c>
      <c r="B410" s="1" t="s">
        <v>820</v>
      </c>
      <c r="C410">
        <v>6</v>
      </c>
      <c r="D410">
        <v>2655</v>
      </c>
      <c r="E410">
        <f t="shared" si="7"/>
        <v>0</v>
      </c>
    </row>
    <row r="411" spans="1:5" x14ac:dyDescent="0.25">
      <c r="A411" s="1" t="s">
        <v>821</v>
      </c>
      <c r="B411" s="1" t="s">
        <v>822</v>
      </c>
      <c r="C411">
        <v>5</v>
      </c>
      <c r="D411">
        <v>4327</v>
      </c>
      <c r="E411">
        <f t="shared" si="7"/>
        <v>0</v>
      </c>
    </row>
    <row r="412" spans="1:5" x14ac:dyDescent="0.25">
      <c r="A412" s="1" t="s">
        <v>823</v>
      </c>
      <c r="B412" s="1" t="s">
        <v>824</v>
      </c>
      <c r="C412">
        <v>3</v>
      </c>
      <c r="D412">
        <v>1296</v>
      </c>
      <c r="E412">
        <f t="shared" si="7"/>
        <v>0</v>
      </c>
    </row>
    <row r="413" spans="1:5" x14ac:dyDescent="0.25">
      <c r="A413" s="1" t="s">
        <v>825</v>
      </c>
      <c r="B413" s="1" t="s">
        <v>826</v>
      </c>
      <c r="C413">
        <v>3</v>
      </c>
      <c r="D413">
        <v>4402</v>
      </c>
      <c r="E413">
        <f t="shared" si="7"/>
        <v>0</v>
      </c>
    </row>
    <row r="414" spans="1:5" x14ac:dyDescent="0.25">
      <c r="A414" s="1" t="s">
        <v>827</v>
      </c>
      <c r="B414" s="1" t="s">
        <v>828</v>
      </c>
      <c r="C414">
        <v>3</v>
      </c>
      <c r="D414">
        <v>662</v>
      </c>
      <c r="E414">
        <f t="shared" si="7"/>
        <v>200</v>
      </c>
    </row>
    <row r="415" spans="1:5" x14ac:dyDescent="0.25">
      <c r="A415" s="1" t="s">
        <v>829</v>
      </c>
      <c r="B415" s="1" t="s">
        <v>830</v>
      </c>
      <c r="C415">
        <v>4</v>
      </c>
      <c r="D415">
        <v>3709</v>
      </c>
      <c r="E415">
        <f t="shared" si="7"/>
        <v>0</v>
      </c>
    </row>
    <row r="416" spans="1:5" x14ac:dyDescent="0.25">
      <c r="A416" s="1" t="s">
        <v>831</v>
      </c>
      <c r="B416" s="1" t="s">
        <v>832</v>
      </c>
      <c r="C416">
        <v>5</v>
      </c>
      <c r="D416">
        <v>4461</v>
      </c>
      <c r="E416">
        <f t="shared" si="7"/>
        <v>0</v>
      </c>
    </row>
    <row r="417" spans="1:5" x14ac:dyDescent="0.25">
      <c r="A417" s="1" t="s">
        <v>833</v>
      </c>
      <c r="B417" s="1" t="s">
        <v>834</v>
      </c>
      <c r="C417">
        <v>2</v>
      </c>
      <c r="D417">
        <v>3061</v>
      </c>
      <c r="E417">
        <f t="shared" si="7"/>
        <v>0</v>
      </c>
    </row>
    <row r="418" spans="1:5" x14ac:dyDescent="0.25">
      <c r="A418" s="1" t="s">
        <v>835</v>
      </c>
      <c r="B418" s="1" t="s">
        <v>836</v>
      </c>
      <c r="C418">
        <v>6</v>
      </c>
      <c r="D418">
        <v>2537</v>
      </c>
      <c r="E418">
        <f t="shared" si="7"/>
        <v>0</v>
      </c>
    </row>
    <row r="419" spans="1:5" x14ac:dyDescent="0.25">
      <c r="A419" s="1" t="s">
        <v>837</v>
      </c>
      <c r="B419" s="1" t="s">
        <v>838</v>
      </c>
      <c r="C419">
        <v>3</v>
      </c>
      <c r="D419">
        <v>4372</v>
      </c>
      <c r="E419">
        <f t="shared" si="7"/>
        <v>0</v>
      </c>
    </row>
    <row r="420" spans="1:5" x14ac:dyDescent="0.25">
      <c r="A420" s="1" t="s">
        <v>839</v>
      </c>
      <c r="B420" s="1" t="s">
        <v>840</v>
      </c>
      <c r="C420">
        <v>5</v>
      </c>
      <c r="D420">
        <v>3035</v>
      </c>
      <c r="E420">
        <f t="shared" si="7"/>
        <v>0</v>
      </c>
    </row>
    <row r="421" spans="1:5" x14ac:dyDescent="0.25">
      <c r="A421" s="1" t="s">
        <v>841</v>
      </c>
      <c r="B421" s="1" t="s">
        <v>842</v>
      </c>
      <c r="C421">
        <v>3</v>
      </c>
      <c r="D421">
        <v>4262</v>
      </c>
      <c r="E421">
        <f t="shared" si="7"/>
        <v>0</v>
      </c>
    </row>
    <row r="422" spans="1:5" x14ac:dyDescent="0.25">
      <c r="A422" s="1" t="s">
        <v>843</v>
      </c>
      <c r="B422" s="1" t="s">
        <v>844</v>
      </c>
      <c r="C422">
        <v>3</v>
      </c>
      <c r="D422">
        <v>2059</v>
      </c>
      <c r="E422">
        <f t="shared" si="7"/>
        <v>0</v>
      </c>
    </row>
    <row r="423" spans="1:5" x14ac:dyDescent="0.25">
      <c r="A423" s="1" t="s">
        <v>845</v>
      </c>
      <c r="B423" s="1" t="s">
        <v>846</v>
      </c>
      <c r="C423">
        <v>5</v>
      </c>
      <c r="D423">
        <v>2703</v>
      </c>
      <c r="E423">
        <f t="shared" si="7"/>
        <v>0</v>
      </c>
    </row>
    <row r="424" spans="1:5" x14ac:dyDescent="0.25">
      <c r="A424" s="1" t="s">
        <v>847</v>
      </c>
      <c r="B424" s="1" t="s">
        <v>848</v>
      </c>
      <c r="C424">
        <v>5</v>
      </c>
      <c r="D424">
        <v>2010</v>
      </c>
      <c r="E424">
        <f t="shared" si="7"/>
        <v>0</v>
      </c>
    </row>
    <row r="425" spans="1:5" x14ac:dyDescent="0.25">
      <c r="A425" s="1" t="s">
        <v>849</v>
      </c>
      <c r="B425" s="1" t="s">
        <v>850</v>
      </c>
      <c r="C425">
        <v>6</v>
      </c>
      <c r="D425">
        <v>1760</v>
      </c>
      <c r="E425">
        <f t="shared" si="7"/>
        <v>0</v>
      </c>
    </row>
    <row r="426" spans="1:5" x14ac:dyDescent="0.25">
      <c r="A426" s="1" t="s">
        <v>851</v>
      </c>
      <c r="B426" s="1" t="s">
        <v>852</v>
      </c>
      <c r="C426">
        <v>6</v>
      </c>
      <c r="D426">
        <v>4452</v>
      </c>
      <c r="E426">
        <f t="shared" si="7"/>
        <v>0</v>
      </c>
    </row>
    <row r="427" spans="1:5" x14ac:dyDescent="0.25">
      <c r="A427" s="1" t="s">
        <v>853</v>
      </c>
      <c r="B427" s="1" t="s">
        <v>854</v>
      </c>
      <c r="C427">
        <v>6</v>
      </c>
      <c r="D427">
        <v>1681</v>
      </c>
      <c r="E427">
        <f t="shared" si="7"/>
        <v>0</v>
      </c>
    </row>
    <row r="428" spans="1:5" x14ac:dyDescent="0.25">
      <c r="A428" s="1" t="s">
        <v>855</v>
      </c>
      <c r="B428" s="1" t="s">
        <v>856</v>
      </c>
      <c r="C428">
        <v>4</v>
      </c>
      <c r="D428">
        <v>1691</v>
      </c>
      <c r="E428">
        <f t="shared" si="7"/>
        <v>0</v>
      </c>
    </row>
    <row r="429" spans="1:5" x14ac:dyDescent="0.25">
      <c r="A429" s="1" t="s">
        <v>857</v>
      </c>
      <c r="B429" s="1" t="s">
        <v>858</v>
      </c>
      <c r="C429">
        <v>6</v>
      </c>
      <c r="D429">
        <v>1405</v>
      </c>
      <c r="E429">
        <f t="shared" si="7"/>
        <v>0</v>
      </c>
    </row>
    <row r="430" spans="1:5" x14ac:dyDescent="0.25">
      <c r="A430" s="1" t="s">
        <v>859</v>
      </c>
      <c r="B430" s="1" t="s">
        <v>860</v>
      </c>
      <c r="C430">
        <v>4</v>
      </c>
      <c r="D430">
        <v>3059</v>
      </c>
      <c r="E430">
        <f t="shared" si="7"/>
        <v>0</v>
      </c>
    </row>
    <row r="431" spans="1:5" x14ac:dyDescent="0.25">
      <c r="A431" s="1" t="s">
        <v>861</v>
      </c>
      <c r="B431" s="1" t="s">
        <v>862</v>
      </c>
      <c r="C431">
        <v>5</v>
      </c>
      <c r="D431">
        <v>2130</v>
      </c>
      <c r="E431">
        <f t="shared" si="7"/>
        <v>0</v>
      </c>
    </row>
    <row r="432" spans="1:5" x14ac:dyDescent="0.25">
      <c r="A432" s="1" t="s">
        <v>863</v>
      </c>
      <c r="B432" s="1" t="s">
        <v>864</v>
      </c>
      <c r="C432">
        <v>3</v>
      </c>
      <c r="D432">
        <v>1167</v>
      </c>
      <c r="E432">
        <f t="shared" si="7"/>
        <v>0</v>
      </c>
    </row>
    <row r="433" spans="1:5" x14ac:dyDescent="0.25">
      <c r="A433" s="1" t="s">
        <v>865</v>
      </c>
      <c r="B433" s="1" t="s">
        <v>866</v>
      </c>
      <c r="C433">
        <v>4</v>
      </c>
      <c r="D433">
        <v>2866</v>
      </c>
      <c r="E433">
        <f t="shared" si="7"/>
        <v>0</v>
      </c>
    </row>
    <row r="434" spans="1:5" x14ac:dyDescent="0.25">
      <c r="A434" s="1" t="s">
        <v>867</v>
      </c>
      <c r="B434" s="1" t="s">
        <v>868</v>
      </c>
      <c r="C434">
        <v>3</v>
      </c>
      <c r="D434">
        <v>4120</v>
      </c>
      <c r="E434">
        <f t="shared" si="7"/>
        <v>0</v>
      </c>
    </row>
    <row r="435" spans="1:5" x14ac:dyDescent="0.25">
      <c r="A435" s="1" t="s">
        <v>869</v>
      </c>
      <c r="B435" s="1" t="s">
        <v>870</v>
      </c>
      <c r="C435">
        <v>2</v>
      </c>
      <c r="D435">
        <v>4486</v>
      </c>
      <c r="E435">
        <f t="shared" si="7"/>
        <v>0</v>
      </c>
    </row>
    <row r="436" spans="1:5" x14ac:dyDescent="0.25">
      <c r="A436" s="1" t="s">
        <v>871</v>
      </c>
      <c r="B436" s="1" t="s">
        <v>872</v>
      </c>
      <c r="C436">
        <v>6</v>
      </c>
      <c r="D436">
        <v>1461</v>
      </c>
      <c r="E436">
        <f t="shared" si="7"/>
        <v>0</v>
      </c>
    </row>
    <row r="437" spans="1:5" x14ac:dyDescent="0.25">
      <c r="A437" s="1" t="s">
        <v>873</v>
      </c>
      <c r="B437" s="1" t="s">
        <v>874</v>
      </c>
      <c r="C437">
        <v>2</v>
      </c>
      <c r="D437">
        <v>4002</v>
      </c>
      <c r="E437">
        <f t="shared" si="7"/>
        <v>0</v>
      </c>
    </row>
    <row r="438" spans="1:5" x14ac:dyDescent="0.25">
      <c r="A438" s="1" t="s">
        <v>875</v>
      </c>
      <c r="B438" s="1" t="s">
        <v>876</v>
      </c>
      <c r="C438">
        <v>3</v>
      </c>
      <c r="D438">
        <v>1912</v>
      </c>
      <c r="E438">
        <f t="shared" si="7"/>
        <v>0</v>
      </c>
    </row>
    <row r="439" spans="1:5" x14ac:dyDescent="0.25">
      <c r="A439" s="1" t="s">
        <v>877</v>
      </c>
      <c r="B439" s="1" t="s">
        <v>878</v>
      </c>
      <c r="C439">
        <v>5</v>
      </c>
      <c r="D439">
        <v>2703</v>
      </c>
      <c r="E439">
        <f t="shared" si="7"/>
        <v>0</v>
      </c>
    </row>
    <row r="440" spans="1:5" x14ac:dyDescent="0.25">
      <c r="A440" s="1" t="s">
        <v>879</v>
      </c>
      <c r="B440" s="1" t="s">
        <v>880</v>
      </c>
      <c r="C440">
        <v>2</v>
      </c>
      <c r="D440">
        <v>749</v>
      </c>
      <c r="E440">
        <f t="shared" si="7"/>
        <v>200</v>
      </c>
    </row>
    <row r="441" spans="1:5" x14ac:dyDescent="0.25">
      <c r="A441" s="1" t="s">
        <v>881</v>
      </c>
      <c r="B441" s="1" t="s">
        <v>882</v>
      </c>
      <c r="C441">
        <v>6</v>
      </c>
      <c r="D441">
        <v>2794</v>
      </c>
      <c r="E441">
        <f t="shared" si="7"/>
        <v>0</v>
      </c>
    </row>
    <row r="442" spans="1:5" x14ac:dyDescent="0.25">
      <c r="A442" s="1" t="s">
        <v>883</v>
      </c>
      <c r="B442" s="1" t="s">
        <v>884</v>
      </c>
      <c r="C442">
        <v>6</v>
      </c>
      <c r="D442">
        <v>2782</v>
      </c>
      <c r="E442">
        <f t="shared" si="7"/>
        <v>0</v>
      </c>
    </row>
    <row r="443" spans="1:5" x14ac:dyDescent="0.25">
      <c r="A443" s="1" t="s">
        <v>885</v>
      </c>
      <c r="B443" s="1" t="s">
        <v>886</v>
      </c>
      <c r="C443">
        <v>3</v>
      </c>
      <c r="D443">
        <v>2077</v>
      </c>
      <c r="E443">
        <f t="shared" si="7"/>
        <v>0</v>
      </c>
    </row>
    <row r="444" spans="1:5" x14ac:dyDescent="0.25">
      <c r="A444" s="1" t="s">
        <v>887</v>
      </c>
      <c r="B444" s="1" t="s">
        <v>888</v>
      </c>
      <c r="C444">
        <v>4</v>
      </c>
      <c r="D444">
        <v>3117</v>
      </c>
      <c r="E444">
        <f t="shared" si="7"/>
        <v>0</v>
      </c>
    </row>
    <row r="445" spans="1:5" x14ac:dyDescent="0.25">
      <c r="A445" s="1" t="s">
        <v>889</v>
      </c>
      <c r="B445" s="1" t="s">
        <v>890</v>
      </c>
      <c r="C445">
        <v>2</v>
      </c>
      <c r="D445">
        <v>2547</v>
      </c>
      <c r="E445">
        <f t="shared" si="7"/>
        <v>0</v>
      </c>
    </row>
    <row r="446" spans="1:5" x14ac:dyDescent="0.25">
      <c r="A446" s="1" t="s">
        <v>891</v>
      </c>
      <c r="B446" s="1" t="s">
        <v>892</v>
      </c>
      <c r="C446">
        <v>4</v>
      </c>
      <c r="D446">
        <v>3803</v>
      </c>
      <c r="E446">
        <f t="shared" si="7"/>
        <v>0</v>
      </c>
    </row>
    <row r="447" spans="1:5" x14ac:dyDescent="0.25">
      <c r="A447" s="1" t="s">
        <v>893</v>
      </c>
      <c r="B447" s="1" t="s">
        <v>894</v>
      </c>
      <c r="C447">
        <v>4</v>
      </c>
      <c r="D447">
        <v>3213</v>
      </c>
      <c r="E447">
        <f t="shared" si="7"/>
        <v>0</v>
      </c>
    </row>
    <row r="448" spans="1:5" x14ac:dyDescent="0.25">
      <c r="A448" s="1" t="s">
        <v>895</v>
      </c>
      <c r="B448" s="1" t="s">
        <v>896</v>
      </c>
      <c r="C448">
        <v>6</v>
      </c>
      <c r="D448">
        <v>2659</v>
      </c>
      <c r="E448">
        <f t="shared" si="7"/>
        <v>0</v>
      </c>
    </row>
    <row r="449" spans="1:5" x14ac:dyDescent="0.25">
      <c r="A449" s="1" t="s">
        <v>897</v>
      </c>
      <c r="B449" s="1" t="s">
        <v>898</v>
      </c>
      <c r="C449">
        <v>5</v>
      </c>
      <c r="D449">
        <v>2975</v>
      </c>
      <c r="E449">
        <f t="shared" si="7"/>
        <v>0</v>
      </c>
    </row>
    <row r="450" spans="1:5" x14ac:dyDescent="0.25">
      <c r="A450" s="1" t="s">
        <v>899</v>
      </c>
      <c r="B450" s="1" t="s">
        <v>900</v>
      </c>
      <c r="C450">
        <v>2</v>
      </c>
      <c r="D450">
        <v>1249</v>
      </c>
      <c r="E450">
        <f t="shared" si="7"/>
        <v>0</v>
      </c>
    </row>
    <row r="451" spans="1:5" x14ac:dyDescent="0.25">
      <c r="A451" s="1" t="s">
        <v>901</v>
      </c>
      <c r="B451" s="1" t="s">
        <v>902</v>
      </c>
      <c r="C451">
        <v>2</v>
      </c>
      <c r="D451">
        <v>706</v>
      </c>
      <c r="E451">
        <f t="shared" ref="E451:E501" si="8">IF(D451&lt;600,250,IF(D451&lt;800,200,IF(D451&lt;1000,150,0)))</f>
        <v>200</v>
      </c>
    </row>
    <row r="452" spans="1:5" x14ac:dyDescent="0.25">
      <c r="A452" s="1" t="s">
        <v>903</v>
      </c>
      <c r="B452" s="1" t="s">
        <v>904</v>
      </c>
      <c r="C452">
        <v>4</v>
      </c>
      <c r="D452">
        <v>2619</v>
      </c>
      <c r="E452">
        <f t="shared" si="8"/>
        <v>0</v>
      </c>
    </row>
    <row r="453" spans="1:5" x14ac:dyDescent="0.25">
      <c r="A453" s="1" t="s">
        <v>905</v>
      </c>
      <c r="B453" s="1" t="s">
        <v>906</v>
      </c>
      <c r="C453">
        <v>4</v>
      </c>
      <c r="D453">
        <v>1695</v>
      </c>
      <c r="E453">
        <f t="shared" si="8"/>
        <v>0</v>
      </c>
    </row>
    <row r="454" spans="1:5" x14ac:dyDescent="0.25">
      <c r="A454" s="1" t="s">
        <v>907</v>
      </c>
      <c r="B454" s="1" t="s">
        <v>908</v>
      </c>
      <c r="C454">
        <v>5</v>
      </c>
      <c r="D454">
        <v>1937</v>
      </c>
      <c r="E454">
        <f t="shared" si="8"/>
        <v>0</v>
      </c>
    </row>
    <row r="455" spans="1:5" x14ac:dyDescent="0.25">
      <c r="A455" s="1" t="s">
        <v>909</v>
      </c>
      <c r="B455" s="1" t="s">
        <v>910</v>
      </c>
      <c r="C455">
        <v>2</v>
      </c>
      <c r="D455">
        <v>1313</v>
      </c>
      <c r="E455">
        <f t="shared" si="8"/>
        <v>0</v>
      </c>
    </row>
    <row r="456" spans="1:5" x14ac:dyDescent="0.25">
      <c r="A456" s="1" t="s">
        <v>911</v>
      </c>
      <c r="B456" s="1" t="s">
        <v>912</v>
      </c>
      <c r="C456">
        <v>4</v>
      </c>
      <c r="D456">
        <v>1004</v>
      </c>
      <c r="E456">
        <f t="shared" si="8"/>
        <v>0</v>
      </c>
    </row>
    <row r="457" spans="1:5" x14ac:dyDescent="0.25">
      <c r="A457" s="1" t="s">
        <v>913</v>
      </c>
      <c r="B457" s="1" t="s">
        <v>914</v>
      </c>
      <c r="C457">
        <v>2</v>
      </c>
      <c r="D457">
        <v>861</v>
      </c>
      <c r="E457">
        <f t="shared" si="8"/>
        <v>150</v>
      </c>
    </row>
    <row r="458" spans="1:5" x14ac:dyDescent="0.25">
      <c r="A458" s="1" t="s">
        <v>915</v>
      </c>
      <c r="B458" s="1" t="s">
        <v>916</v>
      </c>
      <c r="C458">
        <v>3</v>
      </c>
      <c r="D458">
        <v>3074</v>
      </c>
      <c r="E458">
        <f t="shared" si="8"/>
        <v>0</v>
      </c>
    </row>
    <row r="459" spans="1:5" x14ac:dyDescent="0.25">
      <c r="A459" s="1" t="s">
        <v>917</v>
      </c>
      <c r="B459" s="1" t="s">
        <v>918</v>
      </c>
      <c r="C459">
        <v>5</v>
      </c>
      <c r="D459">
        <v>781</v>
      </c>
      <c r="E459">
        <f t="shared" si="8"/>
        <v>200</v>
      </c>
    </row>
    <row r="460" spans="1:5" x14ac:dyDescent="0.25">
      <c r="A460" s="1" t="s">
        <v>919</v>
      </c>
      <c r="B460" s="1" t="s">
        <v>920</v>
      </c>
      <c r="C460">
        <v>5</v>
      </c>
      <c r="D460">
        <v>2720</v>
      </c>
      <c r="E460">
        <f t="shared" si="8"/>
        <v>0</v>
      </c>
    </row>
    <row r="461" spans="1:5" x14ac:dyDescent="0.25">
      <c r="A461" s="1" t="s">
        <v>921</v>
      </c>
      <c r="B461" s="1" t="s">
        <v>922</v>
      </c>
      <c r="C461">
        <v>3</v>
      </c>
      <c r="D461">
        <v>1512</v>
      </c>
      <c r="E461">
        <f t="shared" si="8"/>
        <v>0</v>
      </c>
    </row>
    <row r="462" spans="1:5" x14ac:dyDescent="0.25">
      <c r="A462" s="1" t="s">
        <v>923</v>
      </c>
      <c r="B462" s="1" t="s">
        <v>924</v>
      </c>
      <c r="C462">
        <v>2</v>
      </c>
      <c r="D462">
        <v>1109</v>
      </c>
      <c r="E462">
        <f t="shared" si="8"/>
        <v>0</v>
      </c>
    </row>
    <row r="463" spans="1:5" x14ac:dyDescent="0.25">
      <c r="A463" s="1" t="s">
        <v>925</v>
      </c>
      <c r="B463" s="1" t="s">
        <v>926</v>
      </c>
      <c r="C463">
        <v>3</v>
      </c>
      <c r="D463">
        <v>1387</v>
      </c>
      <c r="E463">
        <f t="shared" si="8"/>
        <v>0</v>
      </c>
    </row>
    <row r="464" spans="1:5" x14ac:dyDescent="0.25">
      <c r="A464" s="1" t="s">
        <v>927</v>
      </c>
      <c r="B464" s="1" t="s">
        <v>928</v>
      </c>
      <c r="C464">
        <v>4</v>
      </c>
      <c r="D464">
        <v>3249</v>
      </c>
      <c r="E464">
        <f t="shared" si="8"/>
        <v>0</v>
      </c>
    </row>
    <row r="465" spans="1:5" x14ac:dyDescent="0.25">
      <c r="A465" s="1" t="s">
        <v>929</v>
      </c>
      <c r="B465" s="1" t="s">
        <v>930</v>
      </c>
      <c r="C465">
        <v>3</v>
      </c>
      <c r="D465">
        <v>3813</v>
      </c>
      <c r="E465">
        <f t="shared" si="8"/>
        <v>0</v>
      </c>
    </row>
    <row r="466" spans="1:5" x14ac:dyDescent="0.25">
      <c r="A466" s="1" t="s">
        <v>931</v>
      </c>
      <c r="B466" s="1" t="s">
        <v>932</v>
      </c>
      <c r="C466">
        <v>5</v>
      </c>
      <c r="D466">
        <v>4019</v>
      </c>
      <c r="E466">
        <f t="shared" si="8"/>
        <v>0</v>
      </c>
    </row>
    <row r="467" spans="1:5" x14ac:dyDescent="0.25">
      <c r="A467" s="1" t="s">
        <v>933</v>
      </c>
      <c r="B467" s="1" t="s">
        <v>934</v>
      </c>
      <c r="C467">
        <v>5</v>
      </c>
      <c r="D467">
        <v>2705</v>
      </c>
      <c r="E467">
        <f t="shared" si="8"/>
        <v>0</v>
      </c>
    </row>
    <row r="468" spans="1:5" x14ac:dyDescent="0.25">
      <c r="A468" s="1" t="s">
        <v>935</v>
      </c>
      <c r="B468" s="1" t="s">
        <v>936</v>
      </c>
      <c r="C468">
        <v>6</v>
      </c>
      <c r="D468">
        <v>4112</v>
      </c>
      <c r="E468">
        <f t="shared" si="8"/>
        <v>0</v>
      </c>
    </row>
    <row r="469" spans="1:5" x14ac:dyDescent="0.25">
      <c r="A469" s="1" t="s">
        <v>937</v>
      </c>
      <c r="B469" s="1" t="s">
        <v>938</v>
      </c>
      <c r="C469">
        <v>4</v>
      </c>
      <c r="D469">
        <v>4251</v>
      </c>
      <c r="E469">
        <f t="shared" si="8"/>
        <v>0</v>
      </c>
    </row>
    <row r="470" spans="1:5" x14ac:dyDescent="0.25">
      <c r="A470" s="1" t="s">
        <v>939</v>
      </c>
      <c r="B470" s="1" t="s">
        <v>940</v>
      </c>
      <c r="C470">
        <v>5</v>
      </c>
      <c r="D470">
        <v>994</v>
      </c>
      <c r="E470">
        <f t="shared" si="8"/>
        <v>150</v>
      </c>
    </row>
    <row r="471" spans="1:5" x14ac:dyDescent="0.25">
      <c r="A471" s="1" t="s">
        <v>941</v>
      </c>
      <c r="B471" s="1" t="s">
        <v>942</v>
      </c>
      <c r="C471">
        <v>2</v>
      </c>
      <c r="D471">
        <v>2386</v>
      </c>
      <c r="E471">
        <f t="shared" si="8"/>
        <v>0</v>
      </c>
    </row>
    <row r="472" spans="1:5" x14ac:dyDescent="0.25">
      <c r="A472" s="1" t="s">
        <v>943</v>
      </c>
      <c r="B472" s="1" t="s">
        <v>944</v>
      </c>
      <c r="C472">
        <v>3</v>
      </c>
      <c r="D472">
        <v>2489</v>
      </c>
      <c r="E472">
        <f t="shared" si="8"/>
        <v>0</v>
      </c>
    </row>
    <row r="473" spans="1:5" x14ac:dyDescent="0.25">
      <c r="A473" s="1" t="s">
        <v>945</v>
      </c>
      <c r="B473" s="1" t="s">
        <v>946</v>
      </c>
      <c r="C473">
        <v>3</v>
      </c>
      <c r="D473">
        <v>804</v>
      </c>
      <c r="E473">
        <f t="shared" si="8"/>
        <v>150</v>
      </c>
    </row>
    <row r="474" spans="1:5" x14ac:dyDescent="0.25">
      <c r="A474" s="1" t="s">
        <v>947</v>
      </c>
      <c r="B474" s="1" t="s">
        <v>948</v>
      </c>
      <c r="C474">
        <v>3</v>
      </c>
      <c r="D474">
        <v>4407</v>
      </c>
      <c r="E474">
        <f t="shared" si="8"/>
        <v>0</v>
      </c>
    </row>
    <row r="475" spans="1:5" x14ac:dyDescent="0.25">
      <c r="A475" s="1" t="s">
        <v>949</v>
      </c>
      <c r="B475" s="1" t="s">
        <v>950</v>
      </c>
      <c r="C475">
        <v>4</v>
      </c>
      <c r="D475">
        <v>3783</v>
      </c>
      <c r="E475">
        <f t="shared" si="8"/>
        <v>0</v>
      </c>
    </row>
    <row r="476" spans="1:5" x14ac:dyDescent="0.25">
      <c r="A476" s="1" t="s">
        <v>951</v>
      </c>
      <c r="B476" s="1" t="s">
        <v>952</v>
      </c>
      <c r="C476">
        <v>5</v>
      </c>
      <c r="D476">
        <v>1011</v>
      </c>
      <c r="E476">
        <f t="shared" si="8"/>
        <v>0</v>
      </c>
    </row>
    <row r="477" spans="1:5" x14ac:dyDescent="0.25">
      <c r="A477" s="1" t="s">
        <v>953</v>
      </c>
      <c r="B477" s="1" t="s">
        <v>954</v>
      </c>
      <c r="C477">
        <v>2</v>
      </c>
      <c r="D477">
        <v>4267</v>
      </c>
      <c r="E477">
        <f t="shared" si="8"/>
        <v>0</v>
      </c>
    </row>
    <row r="478" spans="1:5" x14ac:dyDescent="0.25">
      <c r="A478" s="1" t="s">
        <v>955</v>
      </c>
      <c r="B478" s="1" t="s">
        <v>956</v>
      </c>
      <c r="C478">
        <v>5</v>
      </c>
      <c r="D478">
        <v>824</v>
      </c>
      <c r="E478">
        <f t="shared" si="8"/>
        <v>150</v>
      </c>
    </row>
    <row r="479" spans="1:5" x14ac:dyDescent="0.25">
      <c r="A479" s="1" t="s">
        <v>957</v>
      </c>
      <c r="B479" s="1" t="s">
        <v>958</v>
      </c>
      <c r="C479">
        <v>2</v>
      </c>
      <c r="D479">
        <v>2296</v>
      </c>
      <c r="E479">
        <f t="shared" si="8"/>
        <v>0</v>
      </c>
    </row>
    <row r="480" spans="1:5" x14ac:dyDescent="0.25">
      <c r="A480" s="1" t="s">
        <v>959</v>
      </c>
      <c r="B480" s="1" t="s">
        <v>960</v>
      </c>
      <c r="C480">
        <v>5</v>
      </c>
      <c r="D480">
        <v>1156</v>
      </c>
      <c r="E480">
        <f t="shared" si="8"/>
        <v>0</v>
      </c>
    </row>
    <row r="481" spans="1:5" x14ac:dyDescent="0.25">
      <c r="A481" s="1" t="s">
        <v>961</v>
      </c>
      <c r="B481" s="1" t="s">
        <v>962</v>
      </c>
      <c r="C481">
        <v>3</v>
      </c>
      <c r="D481">
        <v>3100</v>
      </c>
      <c r="E481">
        <f t="shared" si="8"/>
        <v>0</v>
      </c>
    </row>
    <row r="482" spans="1:5" x14ac:dyDescent="0.25">
      <c r="A482" s="1" t="s">
        <v>963</v>
      </c>
      <c r="B482" s="1" t="s">
        <v>964</v>
      </c>
      <c r="C482">
        <v>3</v>
      </c>
      <c r="D482">
        <v>2816</v>
      </c>
      <c r="E482">
        <f t="shared" si="8"/>
        <v>0</v>
      </c>
    </row>
    <row r="483" spans="1:5" x14ac:dyDescent="0.25">
      <c r="A483" s="1" t="s">
        <v>965</v>
      </c>
      <c r="B483" s="1" t="s">
        <v>966</v>
      </c>
      <c r="C483">
        <v>3</v>
      </c>
      <c r="D483">
        <v>2251</v>
      </c>
      <c r="E483">
        <f t="shared" si="8"/>
        <v>0</v>
      </c>
    </row>
    <row r="484" spans="1:5" x14ac:dyDescent="0.25">
      <c r="A484" s="1" t="s">
        <v>967</v>
      </c>
      <c r="B484" s="1" t="s">
        <v>968</v>
      </c>
      <c r="C484">
        <v>3</v>
      </c>
      <c r="D484">
        <v>2120</v>
      </c>
      <c r="E484">
        <f t="shared" si="8"/>
        <v>0</v>
      </c>
    </row>
    <row r="485" spans="1:5" x14ac:dyDescent="0.25">
      <c r="A485" s="1" t="s">
        <v>969</v>
      </c>
      <c r="B485" s="1" t="s">
        <v>970</v>
      </c>
      <c r="C485">
        <v>2</v>
      </c>
      <c r="D485">
        <v>1999</v>
      </c>
      <c r="E485">
        <f t="shared" si="8"/>
        <v>0</v>
      </c>
    </row>
    <row r="486" spans="1:5" x14ac:dyDescent="0.25">
      <c r="A486" s="1" t="s">
        <v>971</v>
      </c>
      <c r="B486" s="1" t="s">
        <v>972</v>
      </c>
      <c r="C486">
        <v>3</v>
      </c>
      <c r="D486">
        <v>4250</v>
      </c>
      <c r="E486">
        <f t="shared" si="8"/>
        <v>0</v>
      </c>
    </row>
    <row r="487" spans="1:5" x14ac:dyDescent="0.25">
      <c r="A487" s="1" t="s">
        <v>973</v>
      </c>
      <c r="B487" s="1" t="s">
        <v>974</v>
      </c>
      <c r="C487">
        <v>4</v>
      </c>
      <c r="D487">
        <v>2332</v>
      </c>
      <c r="E487">
        <f t="shared" si="8"/>
        <v>0</v>
      </c>
    </row>
    <row r="488" spans="1:5" x14ac:dyDescent="0.25">
      <c r="A488" s="1" t="s">
        <v>975</v>
      </c>
      <c r="B488" s="1" t="s">
        <v>976</v>
      </c>
      <c r="C488">
        <v>5</v>
      </c>
      <c r="D488">
        <v>2778</v>
      </c>
      <c r="E488">
        <f t="shared" si="8"/>
        <v>0</v>
      </c>
    </row>
    <row r="489" spans="1:5" x14ac:dyDescent="0.25">
      <c r="A489" s="1" t="s">
        <v>977</v>
      </c>
      <c r="B489" s="1" t="s">
        <v>978</v>
      </c>
      <c r="C489">
        <v>3</v>
      </c>
      <c r="D489">
        <v>954</v>
      </c>
      <c r="E489">
        <f t="shared" si="8"/>
        <v>150</v>
      </c>
    </row>
    <row r="490" spans="1:5" x14ac:dyDescent="0.25">
      <c r="A490" s="1" t="s">
        <v>979</v>
      </c>
      <c r="B490" s="1" t="s">
        <v>980</v>
      </c>
      <c r="C490">
        <v>4</v>
      </c>
      <c r="D490">
        <v>3252</v>
      </c>
      <c r="E490">
        <f t="shared" si="8"/>
        <v>0</v>
      </c>
    </row>
    <row r="491" spans="1:5" x14ac:dyDescent="0.25">
      <c r="A491" s="1" t="s">
        <v>981</v>
      </c>
      <c r="B491" s="1" t="s">
        <v>982</v>
      </c>
      <c r="C491">
        <v>5</v>
      </c>
      <c r="D491">
        <v>3301</v>
      </c>
      <c r="E491">
        <f t="shared" si="8"/>
        <v>0</v>
      </c>
    </row>
    <row r="492" spans="1:5" x14ac:dyDescent="0.25">
      <c r="A492" s="1" t="s">
        <v>983</v>
      </c>
      <c r="B492" s="1" t="s">
        <v>984</v>
      </c>
      <c r="C492">
        <v>5</v>
      </c>
      <c r="D492">
        <v>3270</v>
      </c>
      <c r="E492">
        <f t="shared" si="8"/>
        <v>0</v>
      </c>
    </row>
    <row r="493" spans="1:5" x14ac:dyDescent="0.25">
      <c r="A493" s="1" t="s">
        <v>985</v>
      </c>
      <c r="B493" s="1" t="s">
        <v>986</v>
      </c>
      <c r="C493">
        <v>3</v>
      </c>
      <c r="D493">
        <v>2384</v>
      </c>
      <c r="E493">
        <f t="shared" si="8"/>
        <v>0</v>
      </c>
    </row>
    <row r="494" spans="1:5" x14ac:dyDescent="0.25">
      <c r="A494" s="1" t="s">
        <v>987</v>
      </c>
      <c r="B494" s="1" t="s">
        <v>988</v>
      </c>
      <c r="C494">
        <v>3</v>
      </c>
      <c r="D494">
        <v>3758</v>
      </c>
      <c r="E494">
        <f t="shared" si="8"/>
        <v>0</v>
      </c>
    </row>
    <row r="495" spans="1:5" x14ac:dyDescent="0.25">
      <c r="A495" s="1" t="s">
        <v>989</v>
      </c>
      <c r="B495" s="1" t="s">
        <v>990</v>
      </c>
      <c r="C495">
        <v>3</v>
      </c>
      <c r="D495">
        <v>3713</v>
      </c>
      <c r="E495">
        <f t="shared" si="8"/>
        <v>0</v>
      </c>
    </row>
    <row r="496" spans="1:5" x14ac:dyDescent="0.25">
      <c r="A496" s="1" t="s">
        <v>991</v>
      </c>
      <c r="B496" s="1" t="s">
        <v>992</v>
      </c>
      <c r="C496">
        <v>3</v>
      </c>
      <c r="D496">
        <v>3851</v>
      </c>
      <c r="E496">
        <f t="shared" si="8"/>
        <v>0</v>
      </c>
    </row>
    <row r="497" spans="1:5" x14ac:dyDescent="0.25">
      <c r="A497" s="1" t="s">
        <v>993</v>
      </c>
      <c r="B497" s="1" t="s">
        <v>994</v>
      </c>
      <c r="C497">
        <v>4</v>
      </c>
      <c r="D497">
        <v>3355</v>
      </c>
      <c r="E497">
        <f t="shared" si="8"/>
        <v>0</v>
      </c>
    </row>
    <row r="498" spans="1:5" x14ac:dyDescent="0.25">
      <c r="A498" s="1" t="s">
        <v>995</v>
      </c>
      <c r="B498" s="1" t="s">
        <v>996</v>
      </c>
      <c r="C498">
        <v>3</v>
      </c>
      <c r="D498">
        <v>4212</v>
      </c>
      <c r="E498">
        <f t="shared" si="8"/>
        <v>0</v>
      </c>
    </row>
    <row r="499" spans="1:5" x14ac:dyDescent="0.25">
      <c r="A499" s="1" t="s">
        <v>997</v>
      </c>
      <c r="B499" s="1" t="s">
        <v>998</v>
      </c>
      <c r="C499">
        <v>5</v>
      </c>
      <c r="D499">
        <v>2509</v>
      </c>
      <c r="E499">
        <f t="shared" si="8"/>
        <v>0</v>
      </c>
    </row>
    <row r="500" spans="1:5" x14ac:dyDescent="0.25">
      <c r="A500" s="1" t="s">
        <v>999</v>
      </c>
      <c r="B500" s="1" t="s">
        <v>1000</v>
      </c>
      <c r="C500">
        <v>5</v>
      </c>
      <c r="D500">
        <v>3790</v>
      </c>
      <c r="E500">
        <f t="shared" si="8"/>
        <v>0</v>
      </c>
    </row>
    <row r="501" spans="1:5" x14ac:dyDescent="0.25">
      <c r="A501" s="1" t="s">
        <v>1001</v>
      </c>
      <c r="B501" s="1" t="s">
        <v>1002</v>
      </c>
      <c r="C501">
        <v>4</v>
      </c>
      <c r="D501">
        <v>3083</v>
      </c>
      <c r="E501">
        <f t="shared" si="8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/>
  </sheetViews>
  <sheetFormatPr defaultRowHeight="15" x14ac:dyDescent="0.25"/>
  <cols>
    <col min="1" max="1" width="23.28515625" bestFit="1" customWidth="1"/>
    <col min="2" max="2" width="12" bestFit="1" customWidth="1"/>
    <col min="3" max="3" width="23" bestFit="1" customWidth="1"/>
    <col min="4" max="4" width="7.5703125" bestFit="1" customWidth="1"/>
  </cols>
  <sheetData>
    <row r="1" spans="1:4" x14ac:dyDescent="0.25">
      <c r="A1" s="1" t="s">
        <v>0</v>
      </c>
      <c r="B1" s="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2</v>
      </c>
      <c r="D2">
        <v>3603</v>
      </c>
    </row>
    <row r="3" spans="1:4" x14ac:dyDescent="0.25">
      <c r="A3" s="1" t="s">
        <v>6</v>
      </c>
      <c r="B3" s="1" t="s">
        <v>7</v>
      </c>
      <c r="C3">
        <v>5</v>
      </c>
      <c r="D3">
        <v>3969</v>
      </c>
    </row>
    <row r="4" spans="1:4" x14ac:dyDescent="0.25">
      <c r="A4" s="1" t="s">
        <v>8</v>
      </c>
      <c r="B4" s="1" t="s">
        <v>9</v>
      </c>
      <c r="C4">
        <v>4</v>
      </c>
      <c r="D4">
        <v>2213</v>
      </c>
    </row>
    <row r="5" spans="1:4" x14ac:dyDescent="0.25">
      <c r="A5" s="1" t="s">
        <v>10</v>
      </c>
      <c r="B5" s="1" t="s">
        <v>11</v>
      </c>
      <c r="C5">
        <v>3</v>
      </c>
      <c r="D5">
        <v>3104</v>
      </c>
    </row>
    <row r="6" spans="1:4" x14ac:dyDescent="0.25">
      <c r="A6" s="1" t="s">
        <v>12</v>
      </c>
      <c r="B6" s="1" t="s">
        <v>13</v>
      </c>
      <c r="C6">
        <v>3</v>
      </c>
      <c r="D6">
        <v>1007</v>
      </c>
    </row>
    <row r="7" spans="1:4" x14ac:dyDescent="0.25">
      <c r="A7" s="1" t="s">
        <v>14</v>
      </c>
      <c r="B7" s="1" t="s">
        <v>15</v>
      </c>
      <c r="C7">
        <v>5</v>
      </c>
      <c r="D7">
        <v>1281</v>
      </c>
    </row>
    <row r="8" spans="1:4" x14ac:dyDescent="0.25">
      <c r="A8" s="1" t="s">
        <v>16</v>
      </c>
      <c r="B8" s="1" t="s">
        <v>17</v>
      </c>
      <c r="C8">
        <v>2</v>
      </c>
      <c r="D8">
        <v>667</v>
      </c>
    </row>
    <row r="9" spans="1:4" x14ac:dyDescent="0.25">
      <c r="A9" s="1" t="s">
        <v>18</v>
      </c>
      <c r="B9" s="1" t="s">
        <v>19</v>
      </c>
      <c r="C9">
        <v>3</v>
      </c>
      <c r="D9">
        <v>1148</v>
      </c>
    </row>
    <row r="10" spans="1:4" x14ac:dyDescent="0.25">
      <c r="A10" s="1" t="s">
        <v>20</v>
      </c>
      <c r="B10" s="1" t="s">
        <v>21</v>
      </c>
      <c r="C10">
        <v>5</v>
      </c>
      <c r="D10">
        <v>2605</v>
      </c>
    </row>
    <row r="11" spans="1:4" x14ac:dyDescent="0.25">
      <c r="A11" s="1" t="s">
        <v>22</v>
      </c>
      <c r="B11" s="1" t="s">
        <v>23</v>
      </c>
      <c r="C11">
        <v>3</v>
      </c>
      <c r="D11">
        <v>1813</v>
      </c>
    </row>
    <row r="12" spans="1:4" x14ac:dyDescent="0.25">
      <c r="A12" s="1" t="s">
        <v>22</v>
      </c>
      <c r="B12" s="1" t="s">
        <v>24</v>
      </c>
      <c r="C12">
        <v>2</v>
      </c>
      <c r="D12">
        <v>841</v>
      </c>
    </row>
    <row r="13" spans="1:4" x14ac:dyDescent="0.25">
      <c r="A13" s="1" t="s">
        <v>25</v>
      </c>
      <c r="B13" s="1" t="s">
        <v>26</v>
      </c>
      <c r="C13">
        <v>4</v>
      </c>
      <c r="D13">
        <v>2605</v>
      </c>
    </row>
    <row r="14" spans="1:4" x14ac:dyDescent="0.25">
      <c r="A14" s="1" t="s">
        <v>27</v>
      </c>
      <c r="B14" s="1" t="s">
        <v>28</v>
      </c>
      <c r="C14">
        <v>4</v>
      </c>
      <c r="D14">
        <v>4129</v>
      </c>
    </row>
    <row r="15" spans="1:4" x14ac:dyDescent="0.25">
      <c r="A15" s="1" t="s">
        <v>29</v>
      </c>
      <c r="B15" s="1" t="s">
        <v>30</v>
      </c>
      <c r="C15">
        <v>5</v>
      </c>
      <c r="D15">
        <v>791</v>
      </c>
    </row>
    <row r="16" spans="1:4" x14ac:dyDescent="0.25">
      <c r="A16" s="1" t="s">
        <v>31</v>
      </c>
      <c r="B16" s="1" t="s">
        <v>32</v>
      </c>
      <c r="C16">
        <v>2</v>
      </c>
      <c r="D16">
        <v>4308</v>
      </c>
    </row>
    <row r="17" spans="1:4" x14ac:dyDescent="0.25">
      <c r="A17" s="1" t="s">
        <v>33</v>
      </c>
      <c r="B17" s="1" t="s">
        <v>34</v>
      </c>
      <c r="C17">
        <v>4</v>
      </c>
      <c r="D17">
        <v>4294</v>
      </c>
    </row>
    <row r="18" spans="1:4" x14ac:dyDescent="0.25">
      <c r="A18" s="1" t="s">
        <v>35</v>
      </c>
      <c r="B18" s="1" t="s">
        <v>36</v>
      </c>
      <c r="C18">
        <v>2</v>
      </c>
      <c r="D18">
        <v>3707</v>
      </c>
    </row>
    <row r="19" spans="1:4" x14ac:dyDescent="0.25">
      <c r="A19" s="1" t="s">
        <v>37</v>
      </c>
      <c r="B19" s="1" t="s">
        <v>38</v>
      </c>
      <c r="C19">
        <v>3</v>
      </c>
      <c r="D19">
        <v>2018</v>
      </c>
    </row>
    <row r="20" spans="1:4" x14ac:dyDescent="0.25">
      <c r="A20" s="1" t="s">
        <v>39</v>
      </c>
      <c r="B20" s="1" t="s">
        <v>40</v>
      </c>
      <c r="C20">
        <v>4</v>
      </c>
      <c r="D20">
        <v>3879</v>
      </c>
    </row>
    <row r="21" spans="1:4" x14ac:dyDescent="0.25">
      <c r="A21" s="1" t="s">
        <v>41</v>
      </c>
      <c r="B21" s="1" t="s">
        <v>42</v>
      </c>
      <c r="C21">
        <v>5</v>
      </c>
      <c r="D21">
        <v>2588</v>
      </c>
    </row>
    <row r="22" spans="1:4" x14ac:dyDescent="0.25">
      <c r="A22" s="1" t="s">
        <v>43</v>
      </c>
      <c r="B22" s="1" t="s">
        <v>44</v>
      </c>
      <c r="C22">
        <v>5</v>
      </c>
      <c r="D22">
        <v>3077</v>
      </c>
    </row>
    <row r="23" spans="1:4" x14ac:dyDescent="0.25">
      <c r="A23" s="1" t="s">
        <v>45</v>
      </c>
      <c r="B23" s="1" t="s">
        <v>46</v>
      </c>
      <c r="C23">
        <v>4</v>
      </c>
      <c r="D23">
        <v>1951</v>
      </c>
    </row>
    <row r="24" spans="1:4" x14ac:dyDescent="0.25">
      <c r="A24" s="1" t="s">
        <v>47</v>
      </c>
      <c r="B24" s="1" t="s">
        <v>48</v>
      </c>
      <c r="C24">
        <v>5</v>
      </c>
      <c r="D24">
        <v>1329</v>
      </c>
    </row>
    <row r="25" spans="1:4" x14ac:dyDescent="0.25">
      <c r="A25" s="1" t="s">
        <v>49</v>
      </c>
      <c r="B25" s="1" t="s">
        <v>50</v>
      </c>
      <c r="C25">
        <v>3</v>
      </c>
      <c r="D25">
        <v>3353</v>
      </c>
    </row>
    <row r="26" spans="1:4" x14ac:dyDescent="0.25">
      <c r="A26" s="1" t="s">
        <v>51</v>
      </c>
      <c r="B26" s="1" t="s">
        <v>52</v>
      </c>
      <c r="C26">
        <v>5</v>
      </c>
      <c r="D26">
        <v>1634</v>
      </c>
    </row>
    <row r="27" spans="1:4" x14ac:dyDescent="0.25">
      <c r="A27" s="1" t="s">
        <v>53</v>
      </c>
      <c r="B27" s="1" t="s">
        <v>54</v>
      </c>
      <c r="C27">
        <v>6</v>
      </c>
      <c r="D27">
        <v>942</v>
      </c>
    </row>
    <row r="28" spans="1:4" x14ac:dyDescent="0.25">
      <c r="A28" s="1" t="s">
        <v>55</v>
      </c>
      <c r="B28" s="1" t="s">
        <v>56</v>
      </c>
      <c r="C28">
        <v>2</v>
      </c>
      <c r="D28">
        <v>1182</v>
      </c>
    </row>
    <row r="29" spans="1:4" x14ac:dyDescent="0.25">
      <c r="A29" s="1" t="s">
        <v>57</v>
      </c>
      <c r="B29" s="1" t="s">
        <v>58</v>
      </c>
      <c r="C29">
        <v>6</v>
      </c>
      <c r="D29">
        <v>3626</v>
      </c>
    </row>
    <row r="30" spans="1:4" x14ac:dyDescent="0.25">
      <c r="A30" s="1" t="s">
        <v>59</v>
      </c>
      <c r="B30" s="1" t="s">
        <v>60</v>
      </c>
      <c r="C30">
        <v>5</v>
      </c>
      <c r="D30">
        <v>3001</v>
      </c>
    </row>
    <row r="31" spans="1:4" x14ac:dyDescent="0.25">
      <c r="A31" s="1" t="s">
        <v>61</v>
      </c>
      <c r="B31" s="1" t="s">
        <v>62</v>
      </c>
      <c r="C31">
        <v>4</v>
      </c>
      <c r="D31">
        <v>1293</v>
      </c>
    </row>
    <row r="32" spans="1:4" x14ac:dyDescent="0.25">
      <c r="A32" s="1" t="s">
        <v>63</v>
      </c>
      <c r="B32" s="1" t="s">
        <v>64</v>
      </c>
      <c r="C32">
        <v>2</v>
      </c>
      <c r="D32">
        <v>1752</v>
      </c>
    </row>
    <row r="33" spans="1:4" x14ac:dyDescent="0.25">
      <c r="A33" s="1" t="s">
        <v>65</v>
      </c>
      <c r="B33" s="1" t="s">
        <v>66</v>
      </c>
      <c r="C33">
        <v>5</v>
      </c>
      <c r="D33">
        <v>2726</v>
      </c>
    </row>
    <row r="34" spans="1:4" x14ac:dyDescent="0.25">
      <c r="A34" s="1" t="s">
        <v>67</v>
      </c>
      <c r="B34" s="1" t="s">
        <v>68</v>
      </c>
      <c r="C34">
        <v>5</v>
      </c>
      <c r="D34">
        <v>2159</v>
      </c>
    </row>
    <row r="35" spans="1:4" x14ac:dyDescent="0.25">
      <c r="A35" s="1" t="s">
        <v>69</v>
      </c>
      <c r="B35" s="1" t="s">
        <v>70</v>
      </c>
      <c r="C35">
        <v>5</v>
      </c>
      <c r="D35">
        <v>3389</v>
      </c>
    </row>
    <row r="36" spans="1:4" x14ac:dyDescent="0.25">
      <c r="A36" s="1" t="s">
        <v>71</v>
      </c>
      <c r="B36" s="1" t="s">
        <v>72</v>
      </c>
      <c r="C36">
        <v>4</v>
      </c>
      <c r="D36">
        <v>4328</v>
      </c>
    </row>
    <row r="37" spans="1:4" x14ac:dyDescent="0.25">
      <c r="A37" s="1" t="s">
        <v>73</v>
      </c>
      <c r="B37" s="1" t="s">
        <v>74</v>
      </c>
      <c r="C37">
        <v>4</v>
      </c>
      <c r="D37">
        <v>2369</v>
      </c>
    </row>
    <row r="38" spans="1:4" x14ac:dyDescent="0.25">
      <c r="A38" s="1" t="s">
        <v>75</v>
      </c>
      <c r="B38" s="1" t="s">
        <v>76</v>
      </c>
      <c r="C38">
        <v>6</v>
      </c>
      <c r="D38">
        <v>1788</v>
      </c>
    </row>
    <row r="39" spans="1:4" x14ac:dyDescent="0.25">
      <c r="A39" s="1" t="s">
        <v>77</v>
      </c>
      <c r="B39" s="1" t="s">
        <v>78</v>
      </c>
      <c r="C39">
        <v>4</v>
      </c>
      <c r="D39">
        <v>2086</v>
      </c>
    </row>
    <row r="40" spans="1:4" x14ac:dyDescent="0.25">
      <c r="A40" s="1" t="s">
        <v>79</v>
      </c>
      <c r="B40" s="1" t="s">
        <v>80</v>
      </c>
      <c r="C40">
        <v>3</v>
      </c>
      <c r="D40">
        <v>3741</v>
      </c>
    </row>
    <row r="41" spans="1:4" x14ac:dyDescent="0.25">
      <c r="A41" s="1" t="s">
        <v>81</v>
      </c>
      <c r="B41" s="1" t="s">
        <v>82</v>
      </c>
      <c r="C41">
        <v>2</v>
      </c>
      <c r="D41">
        <v>654</v>
      </c>
    </row>
    <row r="42" spans="1:4" x14ac:dyDescent="0.25">
      <c r="A42" s="1" t="s">
        <v>83</v>
      </c>
      <c r="B42" s="1" t="s">
        <v>84</v>
      </c>
      <c r="C42">
        <v>4</v>
      </c>
      <c r="D42">
        <v>3739</v>
      </c>
    </row>
    <row r="43" spans="1:4" x14ac:dyDescent="0.25">
      <c r="A43" s="1" t="s">
        <v>85</v>
      </c>
      <c r="B43" s="1" t="s">
        <v>86</v>
      </c>
      <c r="C43">
        <v>3</v>
      </c>
      <c r="D43">
        <v>3607</v>
      </c>
    </row>
    <row r="44" spans="1:4" x14ac:dyDescent="0.25">
      <c r="A44" s="1" t="s">
        <v>87</v>
      </c>
      <c r="B44" s="1" t="s">
        <v>88</v>
      </c>
      <c r="C44">
        <v>5</v>
      </c>
      <c r="D44">
        <v>3607</v>
      </c>
    </row>
    <row r="45" spans="1:4" x14ac:dyDescent="0.25">
      <c r="A45" s="1" t="s">
        <v>89</v>
      </c>
      <c r="B45" s="1" t="s">
        <v>90</v>
      </c>
      <c r="C45">
        <v>4</v>
      </c>
      <c r="D45">
        <v>1621</v>
      </c>
    </row>
    <row r="46" spans="1:4" x14ac:dyDescent="0.25">
      <c r="A46" s="1" t="s">
        <v>91</v>
      </c>
      <c r="B46" s="1" t="s">
        <v>92</v>
      </c>
      <c r="C46">
        <v>4</v>
      </c>
      <c r="D46">
        <v>3527</v>
      </c>
    </row>
    <row r="47" spans="1:4" x14ac:dyDescent="0.25">
      <c r="A47" s="1" t="s">
        <v>93</v>
      </c>
      <c r="B47" s="1" t="s">
        <v>94</v>
      </c>
      <c r="C47">
        <v>6</v>
      </c>
      <c r="D47">
        <v>833</v>
      </c>
    </row>
    <row r="48" spans="1:4" x14ac:dyDescent="0.25">
      <c r="A48" s="1" t="s">
        <v>95</v>
      </c>
      <c r="B48" s="1" t="s">
        <v>96</v>
      </c>
      <c r="C48">
        <v>6</v>
      </c>
      <c r="D48">
        <v>1705</v>
      </c>
    </row>
    <row r="49" spans="1:4" x14ac:dyDescent="0.25">
      <c r="A49" s="1" t="s">
        <v>97</v>
      </c>
      <c r="B49" s="1" t="s">
        <v>98</v>
      </c>
      <c r="C49">
        <v>3</v>
      </c>
      <c r="D49">
        <v>2772</v>
      </c>
    </row>
    <row r="50" spans="1:4" x14ac:dyDescent="0.25">
      <c r="A50" s="1" t="s">
        <v>99</v>
      </c>
      <c r="B50" s="1" t="s">
        <v>100</v>
      </c>
      <c r="C50">
        <v>3</v>
      </c>
      <c r="D50">
        <v>1710</v>
      </c>
    </row>
    <row r="51" spans="1:4" x14ac:dyDescent="0.25">
      <c r="A51" s="1" t="s">
        <v>101</v>
      </c>
      <c r="B51" s="1" t="s">
        <v>102</v>
      </c>
      <c r="C51">
        <v>5</v>
      </c>
      <c r="D51">
        <v>1371</v>
      </c>
    </row>
    <row r="52" spans="1:4" x14ac:dyDescent="0.25">
      <c r="A52" s="1" t="s">
        <v>103</v>
      </c>
      <c r="B52" s="1" t="s">
        <v>104</v>
      </c>
      <c r="C52">
        <v>2</v>
      </c>
      <c r="D52">
        <v>1349</v>
      </c>
    </row>
    <row r="53" spans="1:4" x14ac:dyDescent="0.25">
      <c r="A53" s="1" t="s">
        <v>105</v>
      </c>
      <c r="B53" s="1" t="s">
        <v>106</v>
      </c>
      <c r="C53">
        <v>6</v>
      </c>
      <c r="D53">
        <v>3155</v>
      </c>
    </row>
    <row r="54" spans="1:4" x14ac:dyDescent="0.25">
      <c r="A54" s="1" t="s">
        <v>107</v>
      </c>
      <c r="B54" s="1" t="s">
        <v>108</v>
      </c>
      <c r="C54">
        <v>3</v>
      </c>
      <c r="D54">
        <v>1674</v>
      </c>
    </row>
    <row r="55" spans="1:4" x14ac:dyDescent="0.25">
      <c r="A55" s="1" t="s">
        <v>109</v>
      </c>
      <c r="B55" s="1" t="s">
        <v>110</v>
      </c>
      <c r="C55">
        <v>4</v>
      </c>
      <c r="D55">
        <v>3416</v>
      </c>
    </row>
    <row r="56" spans="1:4" x14ac:dyDescent="0.25">
      <c r="A56" s="1" t="s">
        <v>111</v>
      </c>
      <c r="B56" s="1" t="s">
        <v>112</v>
      </c>
      <c r="C56">
        <v>6</v>
      </c>
      <c r="D56">
        <v>3615</v>
      </c>
    </row>
    <row r="57" spans="1:4" x14ac:dyDescent="0.25">
      <c r="A57" s="1" t="s">
        <v>113</v>
      </c>
      <c r="B57" s="1" t="s">
        <v>114</v>
      </c>
      <c r="C57">
        <v>3</v>
      </c>
      <c r="D57">
        <v>1035</v>
      </c>
    </row>
    <row r="58" spans="1:4" x14ac:dyDescent="0.25">
      <c r="A58" s="1" t="s">
        <v>115</v>
      </c>
      <c r="B58" s="1" t="s">
        <v>116</v>
      </c>
      <c r="C58">
        <v>5</v>
      </c>
      <c r="D58">
        <v>2704</v>
      </c>
    </row>
    <row r="59" spans="1:4" x14ac:dyDescent="0.25">
      <c r="A59" s="1" t="s">
        <v>117</v>
      </c>
      <c r="B59" s="1" t="s">
        <v>118</v>
      </c>
      <c r="C59">
        <v>5</v>
      </c>
      <c r="D59">
        <v>2884</v>
      </c>
    </row>
    <row r="60" spans="1:4" x14ac:dyDescent="0.25">
      <c r="A60" s="1" t="s">
        <v>119</v>
      </c>
      <c r="B60" s="1" t="s">
        <v>120</v>
      </c>
      <c r="C60">
        <v>2</v>
      </c>
      <c r="D60">
        <v>2613</v>
      </c>
    </row>
    <row r="61" spans="1:4" x14ac:dyDescent="0.25">
      <c r="A61" s="1" t="s">
        <v>121</v>
      </c>
      <c r="B61" s="1" t="s">
        <v>122</v>
      </c>
      <c r="C61">
        <v>5</v>
      </c>
      <c r="D61">
        <v>2642</v>
      </c>
    </row>
    <row r="62" spans="1:4" x14ac:dyDescent="0.25">
      <c r="A62" s="1" t="s">
        <v>123</v>
      </c>
      <c r="B62" s="1" t="s">
        <v>124</v>
      </c>
      <c r="C62">
        <v>5</v>
      </c>
      <c r="D62">
        <v>3560</v>
      </c>
    </row>
    <row r="63" spans="1:4" x14ac:dyDescent="0.25">
      <c r="A63" s="1" t="s">
        <v>125</v>
      </c>
      <c r="B63" s="1" t="s">
        <v>126</v>
      </c>
      <c r="C63">
        <v>6</v>
      </c>
      <c r="D63">
        <v>2420</v>
      </c>
    </row>
    <row r="64" spans="1:4" x14ac:dyDescent="0.25">
      <c r="A64" s="1" t="s">
        <v>127</v>
      </c>
      <c r="B64" s="1" t="s">
        <v>128</v>
      </c>
      <c r="C64">
        <v>4</v>
      </c>
      <c r="D64">
        <v>3911</v>
      </c>
    </row>
    <row r="65" spans="1:4" x14ac:dyDescent="0.25">
      <c r="A65" s="1" t="s">
        <v>129</v>
      </c>
      <c r="B65" s="1" t="s">
        <v>130</v>
      </c>
      <c r="C65">
        <v>4</v>
      </c>
      <c r="D65">
        <v>2506</v>
      </c>
    </row>
    <row r="66" spans="1:4" x14ac:dyDescent="0.25">
      <c r="A66" s="1" t="s">
        <v>131</v>
      </c>
      <c r="B66" s="1" t="s">
        <v>132</v>
      </c>
      <c r="C66">
        <v>3</v>
      </c>
      <c r="D66">
        <v>1123</v>
      </c>
    </row>
    <row r="67" spans="1:4" x14ac:dyDescent="0.25">
      <c r="A67" s="1" t="s">
        <v>133</v>
      </c>
      <c r="B67" s="1" t="s">
        <v>134</v>
      </c>
      <c r="C67">
        <v>3</v>
      </c>
      <c r="D67">
        <v>3415</v>
      </c>
    </row>
    <row r="68" spans="1:4" x14ac:dyDescent="0.25">
      <c r="A68" s="1" t="s">
        <v>135</v>
      </c>
      <c r="B68" s="1" t="s">
        <v>136</v>
      </c>
      <c r="C68">
        <v>3</v>
      </c>
      <c r="D68">
        <v>716</v>
      </c>
    </row>
    <row r="69" spans="1:4" x14ac:dyDescent="0.25">
      <c r="A69" s="1" t="s">
        <v>137</v>
      </c>
      <c r="B69" s="1" t="s">
        <v>138</v>
      </c>
      <c r="C69">
        <v>5</v>
      </c>
      <c r="D69">
        <v>892</v>
      </c>
    </row>
    <row r="70" spans="1:4" x14ac:dyDescent="0.25">
      <c r="A70" s="1" t="s">
        <v>139</v>
      </c>
      <c r="B70" s="1" t="s">
        <v>140</v>
      </c>
      <c r="C70">
        <v>5</v>
      </c>
      <c r="D70">
        <v>2026</v>
      </c>
    </row>
    <row r="71" spans="1:4" x14ac:dyDescent="0.25">
      <c r="A71" s="1" t="s">
        <v>141</v>
      </c>
      <c r="B71" s="1" t="s">
        <v>142</v>
      </c>
      <c r="C71">
        <v>6</v>
      </c>
      <c r="D71">
        <v>1114</v>
      </c>
    </row>
    <row r="72" spans="1:4" x14ac:dyDescent="0.25">
      <c r="A72" s="1" t="s">
        <v>143</v>
      </c>
      <c r="B72" s="1" t="s">
        <v>144</v>
      </c>
      <c r="C72">
        <v>6</v>
      </c>
      <c r="D72">
        <v>1351</v>
      </c>
    </row>
    <row r="73" spans="1:4" x14ac:dyDescent="0.25">
      <c r="A73" s="1" t="s">
        <v>145</v>
      </c>
      <c r="B73" s="1" t="s">
        <v>146</v>
      </c>
      <c r="C73">
        <v>4</v>
      </c>
      <c r="D73">
        <v>4128</v>
      </c>
    </row>
    <row r="74" spans="1:4" x14ac:dyDescent="0.25">
      <c r="A74" s="1" t="s">
        <v>147</v>
      </c>
      <c r="B74" s="1" t="s">
        <v>148</v>
      </c>
      <c r="C74">
        <v>4</v>
      </c>
      <c r="D74">
        <v>2992</v>
      </c>
    </row>
    <row r="75" spans="1:4" x14ac:dyDescent="0.25">
      <c r="A75" s="1" t="s">
        <v>149</v>
      </c>
      <c r="B75" s="1" t="s">
        <v>150</v>
      </c>
      <c r="C75">
        <v>6</v>
      </c>
      <c r="D75">
        <v>1113</v>
      </c>
    </row>
    <row r="76" spans="1:4" x14ac:dyDescent="0.25">
      <c r="A76" s="1" t="s">
        <v>151</v>
      </c>
      <c r="B76" s="1" t="s">
        <v>152</v>
      </c>
      <c r="C76">
        <v>3</v>
      </c>
      <c r="D76">
        <v>2267</v>
      </c>
    </row>
    <row r="77" spans="1:4" x14ac:dyDescent="0.25">
      <c r="A77" s="1" t="s">
        <v>153</v>
      </c>
      <c r="B77" s="1" t="s">
        <v>154</v>
      </c>
      <c r="C77">
        <v>5</v>
      </c>
      <c r="D77">
        <v>1429</v>
      </c>
    </row>
    <row r="78" spans="1:4" x14ac:dyDescent="0.25">
      <c r="A78" s="1" t="s">
        <v>155</v>
      </c>
      <c r="B78" s="1" t="s">
        <v>156</v>
      </c>
      <c r="C78">
        <v>2</v>
      </c>
      <c r="D78">
        <v>2554</v>
      </c>
    </row>
    <row r="79" spans="1:4" x14ac:dyDescent="0.25">
      <c r="A79" s="1" t="s">
        <v>157</v>
      </c>
      <c r="B79" s="1" t="s">
        <v>158</v>
      </c>
      <c r="C79">
        <v>3</v>
      </c>
      <c r="D79">
        <v>2892</v>
      </c>
    </row>
    <row r="80" spans="1:4" x14ac:dyDescent="0.25">
      <c r="A80" s="1" t="s">
        <v>159</v>
      </c>
      <c r="B80" s="1" t="s">
        <v>160</v>
      </c>
      <c r="C80">
        <v>4</v>
      </c>
      <c r="D80">
        <v>3322</v>
      </c>
    </row>
    <row r="81" spans="1:4" x14ac:dyDescent="0.25">
      <c r="A81" s="1" t="s">
        <v>161</v>
      </c>
      <c r="B81" s="1" t="s">
        <v>162</v>
      </c>
      <c r="C81">
        <v>4</v>
      </c>
      <c r="D81">
        <v>1594</v>
      </c>
    </row>
    <row r="82" spans="1:4" x14ac:dyDescent="0.25">
      <c r="A82" s="1" t="s">
        <v>163</v>
      </c>
      <c r="B82" s="1" t="s">
        <v>164</v>
      </c>
      <c r="C82">
        <v>3</v>
      </c>
      <c r="D82">
        <v>4342</v>
      </c>
    </row>
    <row r="83" spans="1:4" x14ac:dyDescent="0.25">
      <c r="A83" s="1" t="s">
        <v>165</v>
      </c>
      <c r="B83" s="1" t="s">
        <v>166</v>
      </c>
      <c r="C83">
        <v>5</v>
      </c>
      <c r="D83">
        <v>1718</v>
      </c>
    </row>
    <row r="84" spans="1:4" x14ac:dyDescent="0.25">
      <c r="A84" s="1" t="s">
        <v>167</v>
      </c>
      <c r="B84" s="1" t="s">
        <v>168</v>
      </c>
      <c r="C84">
        <v>2</v>
      </c>
      <c r="D84">
        <v>4314</v>
      </c>
    </row>
    <row r="85" spans="1:4" x14ac:dyDescent="0.25">
      <c r="A85" s="1" t="s">
        <v>169</v>
      </c>
      <c r="B85" s="1" t="s">
        <v>170</v>
      </c>
      <c r="C85">
        <v>5</v>
      </c>
      <c r="D85">
        <v>3865</v>
      </c>
    </row>
    <row r="86" spans="1:4" x14ac:dyDescent="0.25">
      <c r="A86" s="1" t="s">
        <v>171</v>
      </c>
      <c r="B86" s="1" t="s">
        <v>172</v>
      </c>
      <c r="C86">
        <v>3</v>
      </c>
      <c r="D86">
        <v>2628</v>
      </c>
    </row>
    <row r="87" spans="1:4" x14ac:dyDescent="0.25">
      <c r="A87" s="1" t="s">
        <v>173</v>
      </c>
      <c r="B87" s="1" t="s">
        <v>174</v>
      </c>
      <c r="C87">
        <v>4</v>
      </c>
      <c r="D87">
        <v>4063</v>
      </c>
    </row>
    <row r="88" spans="1:4" x14ac:dyDescent="0.25">
      <c r="A88" s="1" t="s">
        <v>175</v>
      </c>
      <c r="B88" s="1" t="s">
        <v>176</v>
      </c>
      <c r="C88">
        <v>5</v>
      </c>
      <c r="D88">
        <v>2483</v>
      </c>
    </row>
    <row r="89" spans="1:4" x14ac:dyDescent="0.25">
      <c r="A89" s="1" t="s">
        <v>177</v>
      </c>
      <c r="B89" s="1" t="s">
        <v>178</v>
      </c>
      <c r="C89">
        <v>5</v>
      </c>
      <c r="D89">
        <v>1818</v>
      </c>
    </row>
    <row r="90" spans="1:4" x14ac:dyDescent="0.25">
      <c r="A90" s="1" t="s">
        <v>179</v>
      </c>
      <c r="B90" s="1" t="s">
        <v>180</v>
      </c>
      <c r="C90">
        <v>5</v>
      </c>
      <c r="D90">
        <v>3607</v>
      </c>
    </row>
    <row r="91" spans="1:4" x14ac:dyDescent="0.25">
      <c r="A91" s="1" t="s">
        <v>181</v>
      </c>
      <c r="B91" s="1" t="s">
        <v>182</v>
      </c>
      <c r="C91">
        <v>6</v>
      </c>
      <c r="D91">
        <v>4101</v>
      </c>
    </row>
    <row r="92" spans="1:4" x14ac:dyDescent="0.25">
      <c r="A92" s="1" t="s">
        <v>183</v>
      </c>
      <c r="B92" s="1" t="s">
        <v>184</v>
      </c>
      <c r="C92">
        <v>5</v>
      </c>
      <c r="D92">
        <v>2038</v>
      </c>
    </row>
    <row r="93" spans="1:4" x14ac:dyDescent="0.25">
      <c r="A93" s="1" t="s">
        <v>185</v>
      </c>
      <c r="B93" s="1" t="s">
        <v>186</v>
      </c>
      <c r="C93">
        <v>3</v>
      </c>
      <c r="D93">
        <v>2793</v>
      </c>
    </row>
    <row r="94" spans="1:4" x14ac:dyDescent="0.25">
      <c r="A94" s="1" t="s">
        <v>187</v>
      </c>
      <c r="B94" s="1" t="s">
        <v>188</v>
      </c>
      <c r="C94">
        <v>4</v>
      </c>
      <c r="D94">
        <v>3127</v>
      </c>
    </row>
    <row r="95" spans="1:4" x14ac:dyDescent="0.25">
      <c r="A95" s="1" t="s">
        <v>189</v>
      </c>
      <c r="B95" s="1" t="s">
        <v>190</v>
      </c>
      <c r="C95">
        <v>4</v>
      </c>
      <c r="D95">
        <v>2286</v>
      </c>
    </row>
    <row r="96" spans="1:4" x14ac:dyDescent="0.25">
      <c r="A96" s="1" t="s">
        <v>191</v>
      </c>
      <c r="B96" s="1" t="s">
        <v>192</v>
      </c>
      <c r="C96">
        <v>4</v>
      </c>
      <c r="D96">
        <v>1831</v>
      </c>
    </row>
    <row r="97" spans="1:4" x14ac:dyDescent="0.25">
      <c r="A97" s="1" t="s">
        <v>193</v>
      </c>
      <c r="B97" s="1" t="s">
        <v>194</v>
      </c>
      <c r="C97">
        <v>5</v>
      </c>
      <c r="D97">
        <v>4052</v>
      </c>
    </row>
    <row r="98" spans="1:4" x14ac:dyDescent="0.25">
      <c r="A98" s="1" t="s">
        <v>195</v>
      </c>
      <c r="B98" s="1" t="s">
        <v>196</v>
      </c>
      <c r="C98">
        <v>4</v>
      </c>
      <c r="D98">
        <v>3872</v>
      </c>
    </row>
    <row r="99" spans="1:4" x14ac:dyDescent="0.25">
      <c r="A99" s="1" t="s">
        <v>197</v>
      </c>
      <c r="B99" s="1" t="s">
        <v>198</v>
      </c>
      <c r="C99">
        <v>3</v>
      </c>
      <c r="D99">
        <v>647</v>
      </c>
    </row>
    <row r="100" spans="1:4" x14ac:dyDescent="0.25">
      <c r="A100" s="1" t="s">
        <v>199</v>
      </c>
      <c r="B100" s="1" t="s">
        <v>200</v>
      </c>
      <c r="C100">
        <v>3</v>
      </c>
      <c r="D100">
        <v>3747</v>
      </c>
    </row>
    <row r="101" spans="1:4" x14ac:dyDescent="0.25">
      <c r="A101" s="1" t="s">
        <v>201</v>
      </c>
      <c r="B101" s="1" t="s">
        <v>202</v>
      </c>
      <c r="C101">
        <v>5</v>
      </c>
      <c r="D101">
        <v>3408</v>
      </c>
    </row>
    <row r="102" spans="1:4" x14ac:dyDescent="0.25">
      <c r="A102" s="1" t="s">
        <v>203</v>
      </c>
      <c r="B102" s="1" t="s">
        <v>204</v>
      </c>
      <c r="C102">
        <v>5</v>
      </c>
      <c r="D102">
        <v>708</v>
      </c>
    </row>
    <row r="103" spans="1:4" x14ac:dyDescent="0.25">
      <c r="A103" s="1" t="s">
        <v>205</v>
      </c>
      <c r="B103" s="1" t="s">
        <v>206</v>
      </c>
      <c r="C103">
        <v>4</v>
      </c>
      <c r="D103">
        <v>994</v>
      </c>
    </row>
    <row r="104" spans="1:4" x14ac:dyDescent="0.25">
      <c r="A104" s="1" t="s">
        <v>207</v>
      </c>
      <c r="B104" s="1" t="s">
        <v>208</v>
      </c>
      <c r="C104">
        <v>2</v>
      </c>
      <c r="D104">
        <v>1626</v>
      </c>
    </row>
    <row r="105" spans="1:4" x14ac:dyDescent="0.25">
      <c r="A105" s="1" t="s">
        <v>209</v>
      </c>
      <c r="B105" s="1" t="s">
        <v>210</v>
      </c>
      <c r="C105">
        <v>6</v>
      </c>
      <c r="D105">
        <v>1808</v>
      </c>
    </row>
    <row r="106" spans="1:4" x14ac:dyDescent="0.25">
      <c r="A106" s="1" t="s">
        <v>211</v>
      </c>
      <c r="B106" s="1" t="s">
        <v>212</v>
      </c>
      <c r="C106">
        <v>5</v>
      </c>
      <c r="D106">
        <v>2295</v>
      </c>
    </row>
    <row r="107" spans="1:4" x14ac:dyDescent="0.25">
      <c r="A107" s="1" t="s">
        <v>213</v>
      </c>
      <c r="B107" s="1" t="s">
        <v>214</v>
      </c>
      <c r="C107">
        <v>2</v>
      </c>
      <c r="D107">
        <v>3883</v>
      </c>
    </row>
    <row r="108" spans="1:4" x14ac:dyDescent="0.25">
      <c r="A108" s="1" t="s">
        <v>215</v>
      </c>
      <c r="B108" s="1" t="s">
        <v>216</v>
      </c>
      <c r="C108">
        <v>5</v>
      </c>
      <c r="D108">
        <v>1133</v>
      </c>
    </row>
    <row r="109" spans="1:4" x14ac:dyDescent="0.25">
      <c r="A109" s="1" t="s">
        <v>217</v>
      </c>
      <c r="B109" s="1" t="s">
        <v>218</v>
      </c>
      <c r="C109">
        <v>3</v>
      </c>
      <c r="D109">
        <v>1553</v>
      </c>
    </row>
    <row r="110" spans="1:4" x14ac:dyDescent="0.25">
      <c r="A110" s="1" t="s">
        <v>219</v>
      </c>
      <c r="B110" s="1" t="s">
        <v>220</v>
      </c>
      <c r="C110">
        <v>5</v>
      </c>
      <c r="D110">
        <v>923</v>
      </c>
    </row>
    <row r="111" spans="1:4" x14ac:dyDescent="0.25">
      <c r="A111" s="1" t="s">
        <v>221</v>
      </c>
      <c r="B111" s="1" t="s">
        <v>222</v>
      </c>
      <c r="C111">
        <v>2</v>
      </c>
      <c r="D111">
        <v>1857</v>
      </c>
    </row>
    <row r="112" spans="1:4" x14ac:dyDescent="0.25">
      <c r="A112" s="1" t="s">
        <v>223</v>
      </c>
      <c r="B112" s="1" t="s">
        <v>224</v>
      </c>
      <c r="C112">
        <v>2</v>
      </c>
      <c r="D112">
        <v>1200</v>
      </c>
    </row>
    <row r="113" spans="1:4" x14ac:dyDescent="0.25">
      <c r="A113" s="1" t="s">
        <v>225</v>
      </c>
      <c r="B113" s="1" t="s">
        <v>226</v>
      </c>
      <c r="C113">
        <v>4</v>
      </c>
      <c r="D113">
        <v>3259</v>
      </c>
    </row>
    <row r="114" spans="1:4" x14ac:dyDescent="0.25">
      <c r="A114" s="1" t="s">
        <v>227</v>
      </c>
      <c r="B114" s="1" t="s">
        <v>228</v>
      </c>
      <c r="C114">
        <v>5</v>
      </c>
      <c r="D114">
        <v>996</v>
      </c>
    </row>
    <row r="115" spans="1:4" x14ac:dyDescent="0.25">
      <c r="A115" s="1" t="s">
        <v>229</v>
      </c>
      <c r="B115" s="1" t="s">
        <v>230</v>
      </c>
      <c r="C115">
        <v>2</v>
      </c>
      <c r="D115">
        <v>2978</v>
      </c>
    </row>
    <row r="116" spans="1:4" x14ac:dyDescent="0.25">
      <c r="A116" s="1" t="s">
        <v>231</v>
      </c>
      <c r="B116" s="1" t="s">
        <v>232</v>
      </c>
      <c r="C116">
        <v>6</v>
      </c>
      <c r="D116">
        <v>2980</v>
      </c>
    </row>
    <row r="117" spans="1:4" x14ac:dyDescent="0.25">
      <c r="A117" s="1" t="s">
        <v>233</v>
      </c>
      <c r="B117" s="1" t="s">
        <v>234</v>
      </c>
      <c r="C117">
        <v>5</v>
      </c>
      <c r="D117">
        <v>1166</v>
      </c>
    </row>
    <row r="118" spans="1:4" x14ac:dyDescent="0.25">
      <c r="A118" s="1" t="s">
        <v>235</v>
      </c>
      <c r="B118" s="1" t="s">
        <v>236</v>
      </c>
      <c r="C118">
        <v>2</v>
      </c>
      <c r="D118">
        <v>2901</v>
      </c>
    </row>
    <row r="119" spans="1:4" x14ac:dyDescent="0.25">
      <c r="A119" s="1" t="s">
        <v>237</v>
      </c>
      <c r="B119" s="1" t="s">
        <v>238</v>
      </c>
      <c r="C119">
        <v>3</v>
      </c>
      <c r="D119">
        <v>900</v>
      </c>
    </row>
    <row r="120" spans="1:4" x14ac:dyDescent="0.25">
      <c r="A120" s="1" t="s">
        <v>239</v>
      </c>
      <c r="B120" s="1" t="s">
        <v>240</v>
      </c>
      <c r="C120">
        <v>6</v>
      </c>
      <c r="D120">
        <v>2003</v>
      </c>
    </row>
    <row r="121" spans="1:4" x14ac:dyDescent="0.25">
      <c r="A121" s="1" t="s">
        <v>241</v>
      </c>
      <c r="B121" s="1" t="s">
        <v>242</v>
      </c>
      <c r="C121">
        <v>4</v>
      </c>
      <c r="D121">
        <v>2120</v>
      </c>
    </row>
    <row r="122" spans="1:4" x14ac:dyDescent="0.25">
      <c r="A122" s="1" t="s">
        <v>243</v>
      </c>
      <c r="B122" s="1" t="s">
        <v>244</v>
      </c>
      <c r="C122">
        <v>5</v>
      </c>
      <c r="D122">
        <v>1114</v>
      </c>
    </row>
    <row r="123" spans="1:4" x14ac:dyDescent="0.25">
      <c r="A123" s="1" t="s">
        <v>245</v>
      </c>
      <c r="B123" s="1" t="s">
        <v>246</v>
      </c>
      <c r="C123">
        <v>6</v>
      </c>
      <c r="D123">
        <v>1902</v>
      </c>
    </row>
    <row r="124" spans="1:4" x14ac:dyDescent="0.25">
      <c r="A124" s="1" t="s">
        <v>247</v>
      </c>
      <c r="B124" s="1" t="s">
        <v>248</v>
      </c>
      <c r="C124">
        <v>2</v>
      </c>
      <c r="D124">
        <v>2795</v>
      </c>
    </row>
    <row r="125" spans="1:4" x14ac:dyDescent="0.25">
      <c r="A125" s="1" t="s">
        <v>249</v>
      </c>
      <c r="B125" s="1" t="s">
        <v>250</v>
      </c>
      <c r="C125">
        <v>5</v>
      </c>
      <c r="D125">
        <v>3998</v>
      </c>
    </row>
    <row r="126" spans="1:4" x14ac:dyDescent="0.25">
      <c r="A126" s="1" t="s">
        <v>251</v>
      </c>
      <c r="B126" s="1" t="s">
        <v>252</v>
      </c>
      <c r="C126">
        <v>5</v>
      </c>
      <c r="D126">
        <v>2875</v>
      </c>
    </row>
    <row r="127" spans="1:4" x14ac:dyDescent="0.25">
      <c r="A127" s="1" t="s">
        <v>253</v>
      </c>
      <c r="B127" s="1" t="s">
        <v>254</v>
      </c>
      <c r="C127">
        <v>3</v>
      </c>
      <c r="D127">
        <v>1173</v>
      </c>
    </row>
    <row r="128" spans="1:4" x14ac:dyDescent="0.25">
      <c r="A128" s="1" t="s">
        <v>255</v>
      </c>
      <c r="B128" s="1" t="s">
        <v>256</v>
      </c>
      <c r="C128">
        <v>5</v>
      </c>
      <c r="D128">
        <v>988</v>
      </c>
    </row>
    <row r="129" spans="1:4" x14ac:dyDescent="0.25">
      <c r="A129" s="1" t="s">
        <v>257</v>
      </c>
      <c r="B129" s="1" t="s">
        <v>258</v>
      </c>
      <c r="C129">
        <v>2</v>
      </c>
      <c r="D129">
        <v>2317</v>
      </c>
    </row>
    <row r="130" spans="1:4" x14ac:dyDescent="0.25">
      <c r="A130" s="1" t="s">
        <v>259</v>
      </c>
      <c r="B130" s="1" t="s">
        <v>260</v>
      </c>
      <c r="C130">
        <v>5</v>
      </c>
      <c r="D130">
        <v>1996</v>
      </c>
    </row>
    <row r="131" spans="1:4" x14ac:dyDescent="0.25">
      <c r="A131" s="1" t="s">
        <v>261</v>
      </c>
      <c r="B131" s="1" t="s">
        <v>262</v>
      </c>
      <c r="C131">
        <v>2</v>
      </c>
      <c r="D131">
        <v>1653</v>
      </c>
    </row>
    <row r="132" spans="1:4" x14ac:dyDescent="0.25">
      <c r="A132" s="1" t="s">
        <v>263</v>
      </c>
      <c r="B132" s="1" t="s">
        <v>264</v>
      </c>
      <c r="C132">
        <v>3</v>
      </c>
      <c r="D132">
        <v>944</v>
      </c>
    </row>
    <row r="133" spans="1:4" x14ac:dyDescent="0.25">
      <c r="A133" s="1" t="s">
        <v>265</v>
      </c>
      <c r="B133" s="1" t="s">
        <v>266</v>
      </c>
      <c r="C133">
        <v>5</v>
      </c>
      <c r="D133">
        <v>1614</v>
      </c>
    </row>
    <row r="134" spans="1:4" x14ac:dyDescent="0.25">
      <c r="A134" s="1" t="s">
        <v>267</v>
      </c>
      <c r="B134" s="1" t="s">
        <v>268</v>
      </c>
      <c r="C134">
        <v>3</v>
      </c>
      <c r="D134">
        <v>1641</v>
      </c>
    </row>
    <row r="135" spans="1:4" x14ac:dyDescent="0.25">
      <c r="A135" s="1" t="s">
        <v>269</v>
      </c>
      <c r="B135" s="1" t="s">
        <v>270</v>
      </c>
      <c r="C135">
        <v>3</v>
      </c>
      <c r="D135">
        <v>3100</v>
      </c>
    </row>
    <row r="136" spans="1:4" x14ac:dyDescent="0.25">
      <c r="A136" s="1" t="s">
        <v>271</v>
      </c>
      <c r="B136" s="1" t="s">
        <v>272</v>
      </c>
      <c r="C136">
        <v>4</v>
      </c>
      <c r="D136">
        <v>2922</v>
      </c>
    </row>
    <row r="137" spans="1:4" x14ac:dyDescent="0.25">
      <c r="A137" s="1" t="s">
        <v>273</v>
      </c>
      <c r="B137" s="1" t="s">
        <v>274</v>
      </c>
      <c r="C137">
        <v>6</v>
      </c>
      <c r="D137">
        <v>3635</v>
      </c>
    </row>
    <row r="138" spans="1:4" x14ac:dyDescent="0.25">
      <c r="A138" s="1" t="s">
        <v>275</v>
      </c>
      <c r="B138" s="1" t="s">
        <v>276</v>
      </c>
      <c r="C138">
        <v>2</v>
      </c>
      <c r="D138">
        <v>3716</v>
      </c>
    </row>
    <row r="139" spans="1:4" x14ac:dyDescent="0.25">
      <c r="A139" s="1" t="s">
        <v>277</v>
      </c>
      <c r="B139" s="1" t="s">
        <v>278</v>
      </c>
      <c r="C139">
        <v>6</v>
      </c>
      <c r="D139">
        <v>2287</v>
      </c>
    </row>
    <row r="140" spans="1:4" x14ac:dyDescent="0.25">
      <c r="A140" s="1" t="s">
        <v>279</v>
      </c>
      <c r="B140" s="1" t="s">
        <v>280</v>
      </c>
      <c r="C140">
        <v>3</v>
      </c>
      <c r="D140">
        <v>1201</v>
      </c>
    </row>
    <row r="141" spans="1:4" x14ac:dyDescent="0.25">
      <c r="A141" s="1" t="s">
        <v>281</v>
      </c>
      <c r="B141" s="1" t="s">
        <v>282</v>
      </c>
      <c r="C141">
        <v>3</v>
      </c>
      <c r="D141">
        <v>723</v>
      </c>
    </row>
    <row r="142" spans="1:4" x14ac:dyDescent="0.25">
      <c r="A142" s="1" t="s">
        <v>283</v>
      </c>
      <c r="B142" s="1" t="s">
        <v>284</v>
      </c>
      <c r="C142">
        <v>2</v>
      </c>
      <c r="D142">
        <v>795</v>
      </c>
    </row>
    <row r="143" spans="1:4" x14ac:dyDescent="0.25">
      <c r="A143" s="1" t="s">
        <v>285</v>
      </c>
      <c r="B143" s="1" t="s">
        <v>286</v>
      </c>
      <c r="C143">
        <v>5</v>
      </c>
      <c r="D143">
        <v>3673</v>
      </c>
    </row>
    <row r="144" spans="1:4" x14ac:dyDescent="0.25">
      <c r="A144" s="1" t="s">
        <v>287</v>
      </c>
      <c r="B144" s="1" t="s">
        <v>288</v>
      </c>
      <c r="C144">
        <v>2</v>
      </c>
      <c r="D144">
        <v>4320</v>
      </c>
    </row>
    <row r="145" spans="1:4" x14ac:dyDescent="0.25">
      <c r="A145" s="1" t="s">
        <v>289</v>
      </c>
      <c r="B145" s="1" t="s">
        <v>290</v>
      </c>
      <c r="C145">
        <v>3</v>
      </c>
      <c r="D145">
        <v>2575</v>
      </c>
    </row>
    <row r="146" spans="1:4" x14ac:dyDescent="0.25">
      <c r="A146" s="1" t="s">
        <v>291</v>
      </c>
      <c r="B146" s="1" t="s">
        <v>292</v>
      </c>
      <c r="C146">
        <v>6</v>
      </c>
      <c r="D146">
        <v>2079</v>
      </c>
    </row>
    <row r="147" spans="1:4" x14ac:dyDescent="0.25">
      <c r="A147" s="1" t="s">
        <v>293</v>
      </c>
      <c r="B147" s="1" t="s">
        <v>294</v>
      </c>
      <c r="C147">
        <v>6</v>
      </c>
      <c r="D147">
        <v>1120</v>
      </c>
    </row>
    <row r="148" spans="1:4" x14ac:dyDescent="0.25">
      <c r="A148" s="1" t="s">
        <v>295</v>
      </c>
      <c r="B148" s="1" t="s">
        <v>296</v>
      </c>
      <c r="C148">
        <v>5</v>
      </c>
      <c r="D148">
        <v>3463</v>
      </c>
    </row>
    <row r="149" spans="1:4" x14ac:dyDescent="0.25">
      <c r="A149" s="1" t="s">
        <v>297</v>
      </c>
      <c r="B149" s="1" t="s">
        <v>298</v>
      </c>
      <c r="C149">
        <v>6</v>
      </c>
      <c r="D149">
        <v>2723</v>
      </c>
    </row>
    <row r="150" spans="1:4" x14ac:dyDescent="0.25">
      <c r="A150" s="1" t="s">
        <v>299</v>
      </c>
      <c r="B150" s="1" t="s">
        <v>300</v>
      </c>
      <c r="C150">
        <v>6</v>
      </c>
      <c r="D150">
        <v>1193</v>
      </c>
    </row>
    <row r="151" spans="1:4" x14ac:dyDescent="0.25">
      <c r="A151" s="1" t="s">
        <v>301</v>
      </c>
      <c r="B151" s="1" t="s">
        <v>302</v>
      </c>
      <c r="C151">
        <v>3</v>
      </c>
      <c r="D151">
        <v>1192</v>
      </c>
    </row>
    <row r="152" spans="1:4" x14ac:dyDescent="0.25">
      <c r="A152" s="1" t="s">
        <v>303</v>
      </c>
      <c r="B152" s="1" t="s">
        <v>304</v>
      </c>
      <c r="C152">
        <v>6</v>
      </c>
      <c r="D152">
        <v>1201</v>
      </c>
    </row>
    <row r="153" spans="1:4" x14ac:dyDescent="0.25">
      <c r="A153" s="1" t="s">
        <v>305</v>
      </c>
      <c r="B153" s="1" t="s">
        <v>306</v>
      </c>
      <c r="C153">
        <v>3</v>
      </c>
      <c r="D153">
        <v>2544</v>
      </c>
    </row>
    <row r="154" spans="1:4" x14ac:dyDescent="0.25">
      <c r="A154" s="1" t="s">
        <v>307</v>
      </c>
      <c r="B154" s="1" t="s">
        <v>308</v>
      </c>
      <c r="C154">
        <v>3</v>
      </c>
      <c r="D154">
        <v>3374</v>
      </c>
    </row>
    <row r="155" spans="1:4" x14ac:dyDescent="0.25">
      <c r="A155" s="1" t="s">
        <v>309</v>
      </c>
      <c r="B155" s="1" t="s">
        <v>310</v>
      </c>
      <c r="C155">
        <v>5</v>
      </c>
      <c r="D155">
        <v>3382</v>
      </c>
    </row>
    <row r="156" spans="1:4" x14ac:dyDescent="0.25">
      <c r="A156" s="1" t="s">
        <v>311</v>
      </c>
      <c r="B156" s="1" t="s">
        <v>312</v>
      </c>
      <c r="C156">
        <v>4</v>
      </c>
      <c r="D156">
        <v>1152</v>
      </c>
    </row>
    <row r="157" spans="1:4" x14ac:dyDescent="0.25">
      <c r="A157" s="1" t="s">
        <v>313</v>
      </c>
      <c r="B157" s="1" t="s">
        <v>314</v>
      </c>
      <c r="C157">
        <v>5</v>
      </c>
      <c r="D157">
        <v>1903</v>
      </c>
    </row>
    <row r="158" spans="1:4" x14ac:dyDescent="0.25">
      <c r="A158" s="1" t="s">
        <v>315</v>
      </c>
      <c r="B158" s="1" t="s">
        <v>316</v>
      </c>
      <c r="C158">
        <v>3</v>
      </c>
      <c r="D158">
        <v>3126</v>
      </c>
    </row>
    <row r="159" spans="1:4" x14ac:dyDescent="0.25">
      <c r="A159" s="1" t="s">
        <v>317</v>
      </c>
      <c r="B159" s="1" t="s">
        <v>318</v>
      </c>
      <c r="C159">
        <v>2</v>
      </c>
      <c r="D159">
        <v>3285</v>
      </c>
    </row>
    <row r="160" spans="1:4" x14ac:dyDescent="0.25">
      <c r="A160" s="1" t="s">
        <v>319</v>
      </c>
      <c r="B160" s="1" t="s">
        <v>320</v>
      </c>
      <c r="C160">
        <v>3</v>
      </c>
      <c r="D160">
        <v>4003</v>
      </c>
    </row>
    <row r="161" spans="1:4" x14ac:dyDescent="0.25">
      <c r="A161" s="1" t="s">
        <v>321</v>
      </c>
      <c r="B161" s="1" t="s">
        <v>322</v>
      </c>
      <c r="C161">
        <v>5</v>
      </c>
      <c r="D161">
        <v>4214</v>
      </c>
    </row>
    <row r="162" spans="1:4" x14ac:dyDescent="0.25">
      <c r="A162" s="1" t="s">
        <v>323</v>
      </c>
      <c r="B162" s="1" t="s">
        <v>324</v>
      </c>
      <c r="C162">
        <v>6</v>
      </c>
      <c r="D162">
        <v>3748</v>
      </c>
    </row>
    <row r="163" spans="1:4" x14ac:dyDescent="0.25">
      <c r="A163" s="1" t="s">
        <v>325</v>
      </c>
      <c r="B163" s="1" t="s">
        <v>326</v>
      </c>
      <c r="C163">
        <v>2</v>
      </c>
      <c r="D163">
        <v>1397</v>
      </c>
    </row>
    <row r="164" spans="1:4" x14ac:dyDescent="0.25">
      <c r="A164" s="1" t="s">
        <v>327</v>
      </c>
      <c r="B164" s="1" t="s">
        <v>328</v>
      </c>
      <c r="C164">
        <v>4</v>
      </c>
      <c r="D164">
        <v>3685</v>
      </c>
    </row>
    <row r="165" spans="1:4" x14ac:dyDescent="0.25">
      <c r="A165" s="1" t="s">
        <v>329</v>
      </c>
      <c r="B165" s="1" t="s">
        <v>330</v>
      </c>
      <c r="C165">
        <v>2</v>
      </c>
      <c r="D165">
        <v>2360</v>
      </c>
    </row>
    <row r="166" spans="1:4" x14ac:dyDescent="0.25">
      <c r="A166" s="1" t="s">
        <v>331</v>
      </c>
      <c r="B166" s="1" t="s">
        <v>332</v>
      </c>
      <c r="C166">
        <v>6</v>
      </c>
      <c r="D166">
        <v>3716</v>
      </c>
    </row>
    <row r="167" spans="1:4" x14ac:dyDescent="0.25">
      <c r="A167" s="1" t="s">
        <v>333</v>
      </c>
      <c r="B167" s="1" t="s">
        <v>334</v>
      </c>
      <c r="C167">
        <v>4</v>
      </c>
      <c r="D167">
        <v>3000</v>
      </c>
    </row>
    <row r="168" spans="1:4" x14ac:dyDescent="0.25">
      <c r="A168" s="1" t="s">
        <v>335</v>
      </c>
      <c r="B168" s="1" t="s">
        <v>336</v>
      </c>
      <c r="C168">
        <v>3</v>
      </c>
      <c r="D168">
        <v>3914</v>
      </c>
    </row>
    <row r="169" spans="1:4" x14ac:dyDescent="0.25">
      <c r="A169" s="1" t="s">
        <v>337</v>
      </c>
      <c r="B169" s="1" t="s">
        <v>338</v>
      </c>
      <c r="C169">
        <v>4</v>
      </c>
      <c r="D169">
        <v>680</v>
      </c>
    </row>
    <row r="170" spans="1:4" x14ac:dyDescent="0.25">
      <c r="A170" s="1" t="s">
        <v>339</v>
      </c>
      <c r="B170" s="1" t="s">
        <v>340</v>
      </c>
      <c r="C170">
        <v>2</v>
      </c>
      <c r="D170">
        <v>1821</v>
      </c>
    </row>
    <row r="171" spans="1:4" x14ac:dyDescent="0.25">
      <c r="A171" s="1" t="s">
        <v>341</v>
      </c>
      <c r="B171" s="1" t="s">
        <v>342</v>
      </c>
      <c r="C171">
        <v>3</v>
      </c>
      <c r="D171">
        <v>4125</v>
      </c>
    </row>
    <row r="172" spans="1:4" x14ac:dyDescent="0.25">
      <c r="A172" s="1" t="s">
        <v>343</v>
      </c>
      <c r="B172" s="1" t="s">
        <v>344</v>
      </c>
      <c r="C172">
        <v>6</v>
      </c>
      <c r="D172">
        <v>2837</v>
      </c>
    </row>
    <row r="173" spans="1:4" x14ac:dyDescent="0.25">
      <c r="A173" s="1" t="s">
        <v>345</v>
      </c>
      <c r="B173" s="1" t="s">
        <v>346</v>
      </c>
      <c r="C173">
        <v>3</v>
      </c>
      <c r="D173">
        <v>4039</v>
      </c>
    </row>
    <row r="174" spans="1:4" x14ac:dyDescent="0.25">
      <c r="A174" s="1" t="s">
        <v>347</v>
      </c>
      <c r="B174" s="1" t="s">
        <v>348</v>
      </c>
      <c r="C174">
        <v>3</v>
      </c>
      <c r="D174">
        <v>1436</v>
      </c>
    </row>
    <row r="175" spans="1:4" x14ac:dyDescent="0.25">
      <c r="A175" s="1" t="s">
        <v>349</v>
      </c>
      <c r="B175" s="1" t="s">
        <v>350</v>
      </c>
      <c r="C175">
        <v>6</v>
      </c>
      <c r="D175">
        <v>2821</v>
      </c>
    </row>
    <row r="176" spans="1:4" x14ac:dyDescent="0.25">
      <c r="A176" s="1" t="s">
        <v>351</v>
      </c>
      <c r="B176" s="1" t="s">
        <v>352</v>
      </c>
      <c r="C176">
        <v>3</v>
      </c>
      <c r="D176">
        <v>1316</v>
      </c>
    </row>
    <row r="177" spans="1:4" x14ac:dyDescent="0.25">
      <c r="A177" s="1" t="s">
        <v>353</v>
      </c>
      <c r="B177" s="1" t="s">
        <v>354</v>
      </c>
      <c r="C177">
        <v>6</v>
      </c>
      <c r="D177">
        <v>4295</v>
      </c>
    </row>
    <row r="178" spans="1:4" x14ac:dyDescent="0.25">
      <c r="A178" s="1" t="s">
        <v>355</v>
      </c>
      <c r="B178" s="1" t="s">
        <v>356</v>
      </c>
      <c r="C178">
        <v>4</v>
      </c>
      <c r="D178">
        <v>3744</v>
      </c>
    </row>
    <row r="179" spans="1:4" x14ac:dyDescent="0.25">
      <c r="A179" s="1" t="s">
        <v>357</v>
      </c>
      <c r="B179" s="1" t="s">
        <v>358</v>
      </c>
      <c r="C179">
        <v>4</v>
      </c>
      <c r="D179">
        <v>1447</v>
      </c>
    </row>
    <row r="180" spans="1:4" x14ac:dyDescent="0.25">
      <c r="A180" s="1" t="s">
        <v>359</v>
      </c>
      <c r="B180" s="1" t="s">
        <v>360</v>
      </c>
      <c r="C180">
        <v>4</v>
      </c>
      <c r="D180">
        <v>3234</v>
      </c>
    </row>
    <row r="181" spans="1:4" x14ac:dyDescent="0.25">
      <c r="A181" s="1" t="s">
        <v>361</v>
      </c>
      <c r="B181" s="1" t="s">
        <v>362</v>
      </c>
      <c r="C181">
        <v>4</v>
      </c>
      <c r="D181">
        <v>1219</v>
      </c>
    </row>
    <row r="182" spans="1:4" x14ac:dyDescent="0.25">
      <c r="A182" s="1" t="s">
        <v>363</v>
      </c>
      <c r="B182" s="1" t="s">
        <v>364</v>
      </c>
      <c r="C182">
        <v>3</v>
      </c>
      <c r="D182">
        <v>2105</v>
      </c>
    </row>
    <row r="183" spans="1:4" x14ac:dyDescent="0.25">
      <c r="A183" s="1" t="s">
        <v>365</v>
      </c>
      <c r="B183" s="1" t="s">
        <v>366</v>
      </c>
      <c r="C183">
        <v>5</v>
      </c>
      <c r="D183">
        <v>1943</v>
      </c>
    </row>
    <row r="184" spans="1:4" x14ac:dyDescent="0.25">
      <c r="A184" s="1" t="s">
        <v>367</v>
      </c>
      <c r="B184" s="1" t="s">
        <v>368</v>
      </c>
      <c r="C184">
        <v>3</v>
      </c>
      <c r="D184">
        <v>1890</v>
      </c>
    </row>
    <row r="185" spans="1:4" x14ac:dyDescent="0.25">
      <c r="A185" s="1" t="s">
        <v>369</v>
      </c>
      <c r="B185" s="1" t="s">
        <v>370</v>
      </c>
      <c r="C185">
        <v>2</v>
      </c>
      <c r="D185">
        <v>689</v>
      </c>
    </row>
    <row r="186" spans="1:4" x14ac:dyDescent="0.25">
      <c r="A186" s="1" t="s">
        <v>371</v>
      </c>
      <c r="B186" s="1" t="s">
        <v>372</v>
      </c>
      <c r="C186">
        <v>6</v>
      </c>
      <c r="D186">
        <v>676</v>
      </c>
    </row>
    <row r="187" spans="1:4" x14ac:dyDescent="0.25">
      <c r="A187" s="1" t="s">
        <v>373</v>
      </c>
      <c r="B187" s="1" t="s">
        <v>374</v>
      </c>
      <c r="C187">
        <v>3</v>
      </c>
      <c r="D187">
        <v>895</v>
      </c>
    </row>
    <row r="188" spans="1:4" x14ac:dyDescent="0.25">
      <c r="A188" s="1" t="s">
        <v>375</v>
      </c>
      <c r="B188" s="1" t="s">
        <v>376</v>
      </c>
      <c r="C188">
        <v>5</v>
      </c>
      <c r="D188">
        <v>3993</v>
      </c>
    </row>
    <row r="189" spans="1:4" x14ac:dyDescent="0.25">
      <c r="A189" s="1" t="s">
        <v>377</v>
      </c>
      <c r="B189" s="1" t="s">
        <v>378</v>
      </c>
      <c r="C189">
        <v>4</v>
      </c>
      <c r="D189">
        <v>2124</v>
      </c>
    </row>
    <row r="190" spans="1:4" x14ac:dyDescent="0.25">
      <c r="A190" s="1" t="s">
        <v>379</v>
      </c>
      <c r="B190" s="1" t="s">
        <v>380</v>
      </c>
      <c r="C190">
        <v>5</v>
      </c>
      <c r="D190">
        <v>1054</v>
      </c>
    </row>
    <row r="191" spans="1:4" x14ac:dyDescent="0.25">
      <c r="A191" s="1" t="s">
        <v>381</v>
      </c>
      <c r="B191" s="1" t="s">
        <v>382</v>
      </c>
      <c r="C191">
        <v>4</v>
      </c>
      <c r="D191">
        <v>4074</v>
      </c>
    </row>
    <row r="192" spans="1:4" x14ac:dyDescent="0.25">
      <c r="A192" s="1" t="s">
        <v>383</v>
      </c>
      <c r="B192" s="1" t="s">
        <v>384</v>
      </c>
      <c r="C192">
        <v>4</v>
      </c>
      <c r="D192">
        <v>4321</v>
      </c>
    </row>
    <row r="193" spans="1:4" x14ac:dyDescent="0.25">
      <c r="A193" s="1" t="s">
        <v>385</v>
      </c>
      <c r="B193" s="1" t="s">
        <v>386</v>
      </c>
      <c r="C193">
        <v>5</v>
      </c>
      <c r="D193">
        <v>4152</v>
      </c>
    </row>
    <row r="194" spans="1:4" x14ac:dyDescent="0.25">
      <c r="A194" s="1" t="s">
        <v>387</v>
      </c>
      <c r="B194" s="1" t="s">
        <v>388</v>
      </c>
      <c r="C194">
        <v>3</v>
      </c>
      <c r="D194">
        <v>4051</v>
      </c>
    </row>
    <row r="195" spans="1:4" x14ac:dyDescent="0.25">
      <c r="A195" s="1" t="s">
        <v>389</v>
      </c>
      <c r="B195" s="1" t="s">
        <v>390</v>
      </c>
      <c r="C195">
        <v>2</v>
      </c>
      <c r="D195">
        <v>4418</v>
      </c>
    </row>
    <row r="196" spans="1:4" x14ac:dyDescent="0.25">
      <c r="A196" s="1" t="s">
        <v>391</v>
      </c>
      <c r="B196" s="1" t="s">
        <v>392</v>
      </c>
      <c r="C196">
        <v>6</v>
      </c>
      <c r="D196">
        <v>1797</v>
      </c>
    </row>
    <row r="197" spans="1:4" x14ac:dyDescent="0.25">
      <c r="A197" s="1" t="s">
        <v>393</v>
      </c>
      <c r="B197" s="1" t="s">
        <v>394</v>
      </c>
      <c r="C197">
        <v>5</v>
      </c>
      <c r="D197">
        <v>1612</v>
      </c>
    </row>
    <row r="198" spans="1:4" x14ac:dyDescent="0.25">
      <c r="A198" s="1" t="s">
        <v>395</v>
      </c>
      <c r="B198" s="1" t="s">
        <v>396</v>
      </c>
      <c r="C198">
        <v>5</v>
      </c>
      <c r="D198">
        <v>1359</v>
      </c>
    </row>
    <row r="199" spans="1:4" x14ac:dyDescent="0.25">
      <c r="A199" s="1" t="s">
        <v>397</v>
      </c>
      <c r="B199" s="1" t="s">
        <v>398</v>
      </c>
      <c r="C199">
        <v>5</v>
      </c>
      <c r="D199">
        <v>861</v>
      </c>
    </row>
    <row r="200" spans="1:4" x14ac:dyDescent="0.25">
      <c r="A200" s="1" t="s">
        <v>399</v>
      </c>
      <c r="B200" s="1" t="s">
        <v>400</v>
      </c>
      <c r="C200">
        <v>5</v>
      </c>
      <c r="D200">
        <v>2636</v>
      </c>
    </row>
    <row r="201" spans="1:4" x14ac:dyDescent="0.25">
      <c r="A201" s="1" t="s">
        <v>401</v>
      </c>
      <c r="B201" s="1" t="s">
        <v>402</v>
      </c>
      <c r="C201">
        <v>4</v>
      </c>
      <c r="D201">
        <v>4153</v>
      </c>
    </row>
    <row r="202" spans="1:4" x14ac:dyDescent="0.25">
      <c r="A202" s="1" t="s">
        <v>403</v>
      </c>
      <c r="B202" s="1" t="s">
        <v>404</v>
      </c>
      <c r="C202">
        <v>3</v>
      </c>
      <c r="D202">
        <v>3799</v>
      </c>
    </row>
    <row r="203" spans="1:4" x14ac:dyDescent="0.25">
      <c r="A203" s="1" t="s">
        <v>405</v>
      </c>
      <c r="B203" s="1" t="s">
        <v>406</v>
      </c>
      <c r="C203">
        <v>4</v>
      </c>
      <c r="D203">
        <v>3491</v>
      </c>
    </row>
    <row r="204" spans="1:4" x14ac:dyDescent="0.25">
      <c r="A204" s="1" t="s">
        <v>407</v>
      </c>
      <c r="B204" s="1" t="s">
        <v>408</v>
      </c>
      <c r="C204">
        <v>2</v>
      </c>
      <c r="D204">
        <v>3441</v>
      </c>
    </row>
    <row r="205" spans="1:4" x14ac:dyDescent="0.25">
      <c r="A205" s="1" t="s">
        <v>409</v>
      </c>
      <c r="B205" s="1" t="s">
        <v>410</v>
      </c>
      <c r="C205">
        <v>3</v>
      </c>
      <c r="D205">
        <v>1263</v>
      </c>
    </row>
    <row r="206" spans="1:4" x14ac:dyDescent="0.25">
      <c r="A206" s="1" t="s">
        <v>411</v>
      </c>
      <c r="B206" s="1" t="s">
        <v>412</v>
      </c>
      <c r="C206">
        <v>3</v>
      </c>
      <c r="D206">
        <v>767</v>
      </c>
    </row>
    <row r="207" spans="1:4" x14ac:dyDescent="0.25">
      <c r="A207" s="1" t="s">
        <v>413</v>
      </c>
      <c r="B207" s="1" t="s">
        <v>414</v>
      </c>
      <c r="C207">
        <v>3</v>
      </c>
      <c r="D207">
        <v>1583</v>
      </c>
    </row>
    <row r="208" spans="1:4" x14ac:dyDescent="0.25">
      <c r="A208" s="1" t="s">
        <v>415</v>
      </c>
      <c r="B208" s="1" t="s">
        <v>416</v>
      </c>
      <c r="C208">
        <v>4</v>
      </c>
      <c r="D208">
        <v>3211</v>
      </c>
    </row>
    <row r="209" spans="1:4" x14ac:dyDescent="0.25">
      <c r="A209" s="1" t="s">
        <v>417</v>
      </c>
      <c r="B209" s="1" t="s">
        <v>418</v>
      </c>
      <c r="C209">
        <v>4</v>
      </c>
      <c r="D209">
        <v>2432</v>
      </c>
    </row>
    <row r="210" spans="1:4" x14ac:dyDescent="0.25">
      <c r="A210" s="1" t="s">
        <v>419</v>
      </c>
      <c r="B210" s="1" t="s">
        <v>420</v>
      </c>
      <c r="C210">
        <v>5</v>
      </c>
      <c r="D210">
        <v>4185</v>
      </c>
    </row>
    <row r="211" spans="1:4" x14ac:dyDescent="0.25">
      <c r="A211" s="1" t="s">
        <v>421</v>
      </c>
      <c r="B211" s="1" t="s">
        <v>422</v>
      </c>
      <c r="C211">
        <v>4</v>
      </c>
      <c r="D211">
        <v>2595</v>
      </c>
    </row>
    <row r="212" spans="1:4" x14ac:dyDescent="0.25">
      <c r="A212" s="1" t="s">
        <v>423</v>
      </c>
      <c r="B212" s="1" t="s">
        <v>424</v>
      </c>
      <c r="C212">
        <v>3</v>
      </c>
      <c r="D212">
        <v>1219</v>
      </c>
    </row>
    <row r="213" spans="1:4" x14ac:dyDescent="0.25">
      <c r="A213" s="1" t="s">
        <v>425</v>
      </c>
      <c r="B213" s="1" t="s">
        <v>426</v>
      </c>
      <c r="C213">
        <v>4</v>
      </c>
      <c r="D213">
        <v>3670</v>
      </c>
    </row>
    <row r="214" spans="1:4" x14ac:dyDescent="0.25">
      <c r="A214" s="1" t="s">
        <v>427</v>
      </c>
      <c r="B214" s="1" t="s">
        <v>428</v>
      </c>
      <c r="C214">
        <v>6</v>
      </c>
      <c r="D214">
        <v>1563</v>
      </c>
    </row>
    <row r="215" spans="1:4" x14ac:dyDescent="0.25">
      <c r="A215" s="1" t="s">
        <v>429</v>
      </c>
      <c r="B215" s="1" t="s">
        <v>430</v>
      </c>
      <c r="C215">
        <v>2</v>
      </c>
      <c r="D215">
        <v>4222</v>
      </c>
    </row>
    <row r="216" spans="1:4" x14ac:dyDescent="0.25">
      <c r="A216" s="1" t="s">
        <v>431</v>
      </c>
      <c r="B216" s="1" t="s">
        <v>432</v>
      </c>
      <c r="C216">
        <v>5</v>
      </c>
      <c r="D216">
        <v>2627</v>
      </c>
    </row>
    <row r="217" spans="1:4" x14ac:dyDescent="0.25">
      <c r="A217" s="1" t="s">
        <v>433</v>
      </c>
      <c r="B217" s="1" t="s">
        <v>434</v>
      </c>
      <c r="C217">
        <v>2</v>
      </c>
      <c r="D217">
        <v>2103</v>
      </c>
    </row>
    <row r="218" spans="1:4" x14ac:dyDescent="0.25">
      <c r="A218" s="1" t="s">
        <v>435</v>
      </c>
      <c r="B218" s="1" t="s">
        <v>436</v>
      </c>
      <c r="C218">
        <v>3</v>
      </c>
      <c r="D218">
        <v>4380</v>
      </c>
    </row>
    <row r="219" spans="1:4" x14ac:dyDescent="0.25">
      <c r="A219" s="1" t="s">
        <v>437</v>
      </c>
      <c r="B219" s="1" t="s">
        <v>438</v>
      </c>
      <c r="C219">
        <v>6</v>
      </c>
      <c r="D219">
        <v>689</v>
      </c>
    </row>
    <row r="220" spans="1:4" x14ac:dyDescent="0.25">
      <c r="A220" s="1" t="s">
        <v>439</v>
      </c>
      <c r="B220" s="1" t="s">
        <v>440</v>
      </c>
      <c r="C220">
        <v>6</v>
      </c>
      <c r="D220">
        <v>3877</v>
      </c>
    </row>
    <row r="221" spans="1:4" x14ac:dyDescent="0.25">
      <c r="A221" s="1" t="s">
        <v>441</v>
      </c>
      <c r="B221" s="1" t="s">
        <v>442</v>
      </c>
      <c r="C221">
        <v>4</v>
      </c>
      <c r="D221">
        <v>2551</v>
      </c>
    </row>
    <row r="222" spans="1:4" x14ac:dyDescent="0.25">
      <c r="A222" s="1" t="s">
        <v>443</v>
      </c>
      <c r="B222" s="1" t="s">
        <v>444</v>
      </c>
      <c r="C222">
        <v>3</v>
      </c>
      <c r="D222">
        <v>1499</v>
      </c>
    </row>
    <row r="223" spans="1:4" x14ac:dyDescent="0.25">
      <c r="A223" s="1" t="s">
        <v>445</v>
      </c>
      <c r="B223" s="1" t="s">
        <v>446</v>
      </c>
      <c r="C223">
        <v>3</v>
      </c>
      <c r="D223">
        <v>2743</v>
      </c>
    </row>
    <row r="224" spans="1:4" x14ac:dyDescent="0.25">
      <c r="A224" s="1" t="s">
        <v>447</v>
      </c>
      <c r="B224" s="1" t="s">
        <v>448</v>
      </c>
      <c r="C224">
        <v>4</v>
      </c>
      <c r="D224">
        <v>2331</v>
      </c>
    </row>
    <row r="225" spans="1:4" x14ac:dyDescent="0.25">
      <c r="A225" s="1" t="s">
        <v>449</v>
      </c>
      <c r="B225" s="1" t="s">
        <v>450</v>
      </c>
      <c r="C225">
        <v>2</v>
      </c>
      <c r="D225">
        <v>3999</v>
      </c>
    </row>
    <row r="226" spans="1:4" x14ac:dyDescent="0.25">
      <c r="A226" s="1" t="s">
        <v>451</v>
      </c>
      <c r="B226" s="1" t="s">
        <v>452</v>
      </c>
      <c r="C226">
        <v>6</v>
      </c>
      <c r="D226">
        <v>2212</v>
      </c>
    </row>
    <row r="227" spans="1:4" x14ac:dyDescent="0.25">
      <c r="A227" s="1" t="s">
        <v>453</v>
      </c>
      <c r="B227" s="1" t="s">
        <v>454</v>
      </c>
      <c r="C227">
        <v>5</v>
      </c>
      <c r="D227">
        <v>1854</v>
      </c>
    </row>
    <row r="228" spans="1:4" x14ac:dyDescent="0.25">
      <c r="A228" s="1" t="s">
        <v>455</v>
      </c>
      <c r="B228" s="1" t="s">
        <v>456</v>
      </c>
      <c r="C228">
        <v>6</v>
      </c>
      <c r="D228">
        <v>3681</v>
      </c>
    </row>
    <row r="229" spans="1:4" x14ac:dyDescent="0.25">
      <c r="A229" s="1" t="s">
        <v>457</v>
      </c>
      <c r="B229" s="1" t="s">
        <v>458</v>
      </c>
      <c r="C229">
        <v>6</v>
      </c>
      <c r="D229">
        <v>2643</v>
      </c>
    </row>
    <row r="230" spans="1:4" x14ac:dyDescent="0.25">
      <c r="A230" s="1" t="s">
        <v>459</v>
      </c>
      <c r="B230" s="1" t="s">
        <v>460</v>
      </c>
      <c r="C230">
        <v>2</v>
      </c>
      <c r="D230">
        <v>3843</v>
      </c>
    </row>
    <row r="231" spans="1:4" x14ac:dyDescent="0.25">
      <c r="A231" s="1" t="s">
        <v>461</v>
      </c>
      <c r="B231" s="1" t="s">
        <v>462</v>
      </c>
      <c r="C231">
        <v>3</v>
      </c>
      <c r="D231">
        <v>2626</v>
      </c>
    </row>
    <row r="232" spans="1:4" x14ac:dyDescent="0.25">
      <c r="A232" s="1" t="s">
        <v>463</v>
      </c>
      <c r="B232" s="1" t="s">
        <v>464</v>
      </c>
      <c r="C232">
        <v>5</v>
      </c>
      <c r="D232">
        <v>3900</v>
      </c>
    </row>
    <row r="233" spans="1:4" x14ac:dyDescent="0.25">
      <c r="A233" s="1" t="s">
        <v>465</v>
      </c>
      <c r="B233" s="1" t="s">
        <v>466</v>
      </c>
      <c r="C233">
        <v>6</v>
      </c>
      <c r="D233">
        <v>907</v>
      </c>
    </row>
    <row r="234" spans="1:4" x14ac:dyDescent="0.25">
      <c r="A234" s="1" t="s">
        <v>467</v>
      </c>
      <c r="B234" s="1" t="s">
        <v>468</v>
      </c>
      <c r="C234">
        <v>5</v>
      </c>
      <c r="D234">
        <v>3718</v>
      </c>
    </row>
    <row r="235" spans="1:4" x14ac:dyDescent="0.25">
      <c r="A235" s="1" t="s">
        <v>469</v>
      </c>
      <c r="B235" s="1" t="s">
        <v>470</v>
      </c>
      <c r="C235">
        <v>5</v>
      </c>
      <c r="D235">
        <v>2009</v>
      </c>
    </row>
    <row r="236" spans="1:4" x14ac:dyDescent="0.25">
      <c r="A236" s="1" t="s">
        <v>471</v>
      </c>
      <c r="B236" s="1" t="s">
        <v>472</v>
      </c>
      <c r="C236">
        <v>4</v>
      </c>
      <c r="D236">
        <v>1719</v>
      </c>
    </row>
    <row r="237" spans="1:4" x14ac:dyDescent="0.25">
      <c r="A237" s="1" t="s">
        <v>473</v>
      </c>
      <c r="B237" s="1" t="s">
        <v>474</v>
      </c>
      <c r="C237">
        <v>5</v>
      </c>
      <c r="D237">
        <v>647</v>
      </c>
    </row>
    <row r="238" spans="1:4" x14ac:dyDescent="0.25">
      <c r="A238" s="1" t="s">
        <v>475</v>
      </c>
      <c r="B238" s="1" t="s">
        <v>476</v>
      </c>
      <c r="C238">
        <v>3</v>
      </c>
      <c r="D238">
        <v>2253</v>
      </c>
    </row>
    <row r="239" spans="1:4" x14ac:dyDescent="0.25">
      <c r="A239" s="1" t="s">
        <v>477</v>
      </c>
      <c r="B239" s="1" t="s">
        <v>478</v>
      </c>
      <c r="C239">
        <v>3</v>
      </c>
      <c r="D239">
        <v>3058</v>
      </c>
    </row>
    <row r="240" spans="1:4" x14ac:dyDescent="0.25">
      <c r="A240" s="1" t="s">
        <v>479</v>
      </c>
      <c r="B240" s="1" t="s">
        <v>480</v>
      </c>
      <c r="C240">
        <v>5</v>
      </c>
      <c r="D240">
        <v>1111</v>
      </c>
    </row>
    <row r="241" spans="1:4" x14ac:dyDescent="0.25">
      <c r="A241" s="1" t="s">
        <v>481</v>
      </c>
      <c r="B241" s="1" t="s">
        <v>482</v>
      </c>
      <c r="C241">
        <v>5</v>
      </c>
      <c r="D241">
        <v>3016</v>
      </c>
    </row>
    <row r="242" spans="1:4" x14ac:dyDescent="0.25">
      <c r="A242" s="1" t="s">
        <v>483</v>
      </c>
      <c r="B242" s="1" t="s">
        <v>484</v>
      </c>
      <c r="C242">
        <v>4</v>
      </c>
      <c r="D242">
        <v>1231</v>
      </c>
    </row>
    <row r="243" spans="1:4" x14ac:dyDescent="0.25">
      <c r="A243" s="1" t="s">
        <v>485</v>
      </c>
      <c r="B243" s="1" t="s">
        <v>486</v>
      </c>
      <c r="C243">
        <v>6</v>
      </c>
      <c r="D243">
        <v>2550</v>
      </c>
    </row>
    <row r="244" spans="1:4" x14ac:dyDescent="0.25">
      <c r="A244" s="1" t="s">
        <v>487</v>
      </c>
      <c r="B244" s="1" t="s">
        <v>488</v>
      </c>
      <c r="C244">
        <v>4</v>
      </c>
      <c r="D244">
        <v>2901</v>
      </c>
    </row>
    <row r="245" spans="1:4" x14ac:dyDescent="0.25">
      <c r="A245" s="1" t="s">
        <v>489</v>
      </c>
      <c r="B245" s="1" t="s">
        <v>490</v>
      </c>
      <c r="C245">
        <v>2</v>
      </c>
      <c r="D245">
        <v>3255</v>
      </c>
    </row>
    <row r="246" spans="1:4" x14ac:dyDescent="0.25">
      <c r="A246" s="1" t="s">
        <v>491</v>
      </c>
      <c r="B246" s="1" t="s">
        <v>492</v>
      </c>
      <c r="C246">
        <v>5</v>
      </c>
      <c r="D246">
        <v>2579</v>
      </c>
    </row>
    <row r="247" spans="1:4" x14ac:dyDescent="0.25">
      <c r="A247" s="1" t="s">
        <v>493</v>
      </c>
      <c r="B247" s="1" t="s">
        <v>494</v>
      </c>
      <c r="C247">
        <v>4</v>
      </c>
      <c r="D247">
        <v>1459</v>
      </c>
    </row>
    <row r="248" spans="1:4" x14ac:dyDescent="0.25">
      <c r="A248" s="1" t="s">
        <v>495</v>
      </c>
      <c r="B248" s="1" t="s">
        <v>496</v>
      </c>
      <c r="C248">
        <v>2</v>
      </c>
      <c r="D248">
        <v>2731</v>
      </c>
    </row>
    <row r="249" spans="1:4" x14ac:dyDescent="0.25">
      <c r="A249" s="1" t="s">
        <v>497</v>
      </c>
      <c r="B249" s="1" t="s">
        <v>498</v>
      </c>
      <c r="C249">
        <v>5</v>
      </c>
      <c r="D249">
        <v>3614</v>
      </c>
    </row>
    <row r="250" spans="1:4" x14ac:dyDescent="0.25">
      <c r="A250" s="1" t="s">
        <v>499</v>
      </c>
      <c r="B250" s="1" t="s">
        <v>500</v>
      </c>
      <c r="C250">
        <v>5</v>
      </c>
      <c r="D250">
        <v>2671</v>
      </c>
    </row>
    <row r="251" spans="1:4" x14ac:dyDescent="0.25">
      <c r="A251" s="1" t="s">
        <v>501</v>
      </c>
      <c r="B251" s="1" t="s">
        <v>502</v>
      </c>
      <c r="C251">
        <v>4</v>
      </c>
      <c r="D251">
        <v>4057</v>
      </c>
    </row>
    <row r="252" spans="1:4" x14ac:dyDescent="0.25">
      <c r="A252" s="1" t="s">
        <v>503</v>
      </c>
      <c r="B252" s="1" t="s">
        <v>504</v>
      </c>
      <c r="C252">
        <v>4</v>
      </c>
      <c r="D252">
        <v>2926</v>
      </c>
    </row>
    <row r="253" spans="1:4" x14ac:dyDescent="0.25">
      <c r="A253" s="1" t="s">
        <v>505</v>
      </c>
      <c r="B253" s="1" t="s">
        <v>506</v>
      </c>
      <c r="C253">
        <v>4</v>
      </c>
      <c r="D253">
        <v>1253</v>
      </c>
    </row>
    <row r="254" spans="1:4" x14ac:dyDescent="0.25">
      <c r="A254" s="1" t="s">
        <v>507</v>
      </c>
      <c r="B254" s="1" t="s">
        <v>508</v>
      </c>
      <c r="C254">
        <v>4</v>
      </c>
      <c r="D254">
        <v>1489</v>
      </c>
    </row>
    <row r="255" spans="1:4" x14ac:dyDescent="0.25">
      <c r="A255" s="1" t="s">
        <v>509</v>
      </c>
      <c r="B255" s="1" t="s">
        <v>510</v>
      </c>
      <c r="C255">
        <v>3</v>
      </c>
      <c r="D255">
        <v>2137</v>
      </c>
    </row>
    <row r="256" spans="1:4" x14ac:dyDescent="0.25">
      <c r="A256" s="1" t="s">
        <v>511</v>
      </c>
      <c r="B256" s="1" t="s">
        <v>512</v>
      </c>
      <c r="C256">
        <v>2</v>
      </c>
      <c r="D256">
        <v>4343</v>
      </c>
    </row>
    <row r="257" spans="1:4" x14ac:dyDescent="0.25">
      <c r="A257" s="1" t="s">
        <v>513</v>
      </c>
      <c r="B257" s="1" t="s">
        <v>514</v>
      </c>
      <c r="C257">
        <v>4</v>
      </c>
      <c r="D257">
        <v>2395</v>
      </c>
    </row>
    <row r="258" spans="1:4" x14ac:dyDescent="0.25">
      <c r="A258" s="1" t="s">
        <v>515</v>
      </c>
      <c r="B258" s="1" t="s">
        <v>516</v>
      </c>
      <c r="C258">
        <v>3</v>
      </c>
      <c r="D258">
        <v>1392</v>
      </c>
    </row>
    <row r="259" spans="1:4" x14ac:dyDescent="0.25">
      <c r="A259" s="1" t="s">
        <v>517</v>
      </c>
      <c r="B259" s="1" t="s">
        <v>518</v>
      </c>
      <c r="C259">
        <v>4</v>
      </c>
      <c r="D259">
        <v>1972</v>
      </c>
    </row>
    <row r="260" spans="1:4" x14ac:dyDescent="0.25">
      <c r="A260" s="1" t="s">
        <v>519</v>
      </c>
      <c r="B260" s="1" t="s">
        <v>520</v>
      </c>
      <c r="C260">
        <v>6</v>
      </c>
      <c r="D260">
        <v>2579</v>
      </c>
    </row>
    <row r="261" spans="1:4" x14ac:dyDescent="0.25">
      <c r="A261" s="1" t="s">
        <v>521</v>
      </c>
      <c r="B261" s="1" t="s">
        <v>522</v>
      </c>
      <c r="C261">
        <v>6</v>
      </c>
      <c r="D261">
        <v>3970</v>
      </c>
    </row>
    <row r="262" spans="1:4" x14ac:dyDescent="0.25">
      <c r="A262" s="1" t="s">
        <v>523</v>
      </c>
      <c r="B262" s="1" t="s">
        <v>524</v>
      </c>
      <c r="C262">
        <v>4</v>
      </c>
      <c r="D262">
        <v>2288</v>
      </c>
    </row>
    <row r="263" spans="1:4" x14ac:dyDescent="0.25">
      <c r="A263" s="1" t="s">
        <v>525</v>
      </c>
      <c r="B263" s="1" t="s">
        <v>526</v>
      </c>
      <c r="C263">
        <v>4</v>
      </c>
      <c r="D263">
        <v>2594</v>
      </c>
    </row>
    <row r="264" spans="1:4" x14ac:dyDescent="0.25">
      <c r="A264" s="1" t="s">
        <v>527</v>
      </c>
      <c r="B264" s="1" t="s">
        <v>528</v>
      </c>
      <c r="C264">
        <v>3</v>
      </c>
      <c r="D264">
        <v>4180</v>
      </c>
    </row>
    <row r="265" spans="1:4" x14ac:dyDescent="0.25">
      <c r="A265" s="1" t="s">
        <v>529</v>
      </c>
      <c r="B265" s="1" t="s">
        <v>530</v>
      </c>
      <c r="C265">
        <v>2</v>
      </c>
      <c r="D265">
        <v>2052</v>
      </c>
    </row>
    <row r="266" spans="1:4" x14ac:dyDescent="0.25">
      <c r="A266" s="1" t="s">
        <v>531</v>
      </c>
      <c r="B266" s="1" t="s">
        <v>532</v>
      </c>
      <c r="C266">
        <v>5</v>
      </c>
      <c r="D266">
        <v>1194</v>
      </c>
    </row>
    <row r="267" spans="1:4" x14ac:dyDescent="0.25">
      <c r="A267" s="1" t="s">
        <v>533</v>
      </c>
      <c r="B267" s="1" t="s">
        <v>534</v>
      </c>
      <c r="C267">
        <v>6</v>
      </c>
      <c r="D267">
        <v>974</v>
      </c>
    </row>
    <row r="268" spans="1:4" x14ac:dyDescent="0.25">
      <c r="A268" s="1" t="s">
        <v>535</v>
      </c>
      <c r="B268" s="1" t="s">
        <v>536</v>
      </c>
      <c r="C268">
        <v>6</v>
      </c>
      <c r="D268">
        <v>1390</v>
      </c>
    </row>
    <row r="269" spans="1:4" x14ac:dyDescent="0.25">
      <c r="A269" s="1" t="s">
        <v>537</v>
      </c>
      <c r="B269" s="1" t="s">
        <v>538</v>
      </c>
      <c r="C269">
        <v>3</v>
      </c>
      <c r="D269">
        <v>871</v>
      </c>
    </row>
    <row r="270" spans="1:4" x14ac:dyDescent="0.25">
      <c r="A270" s="1" t="s">
        <v>539</v>
      </c>
      <c r="B270" s="1" t="s">
        <v>540</v>
      </c>
      <c r="C270">
        <v>3</v>
      </c>
      <c r="D270">
        <v>4221</v>
      </c>
    </row>
    <row r="271" spans="1:4" x14ac:dyDescent="0.25">
      <c r="A271" s="1" t="s">
        <v>541</v>
      </c>
      <c r="B271" s="1" t="s">
        <v>542</v>
      </c>
      <c r="C271">
        <v>3</v>
      </c>
      <c r="D271">
        <v>2794</v>
      </c>
    </row>
    <row r="272" spans="1:4" x14ac:dyDescent="0.25">
      <c r="A272" s="1" t="s">
        <v>543</v>
      </c>
      <c r="B272" s="1" t="s">
        <v>544</v>
      </c>
      <c r="C272">
        <v>4</v>
      </c>
      <c r="D272">
        <v>3250</v>
      </c>
    </row>
    <row r="273" spans="1:4" x14ac:dyDescent="0.25">
      <c r="A273" s="1" t="s">
        <v>545</v>
      </c>
      <c r="B273" s="1" t="s">
        <v>546</v>
      </c>
      <c r="C273">
        <v>5</v>
      </c>
      <c r="D273">
        <v>2045</v>
      </c>
    </row>
    <row r="274" spans="1:4" x14ac:dyDescent="0.25">
      <c r="A274" s="1" t="s">
        <v>547</v>
      </c>
      <c r="B274" s="1" t="s">
        <v>548</v>
      </c>
      <c r="C274">
        <v>4</v>
      </c>
      <c r="D274">
        <v>2054</v>
      </c>
    </row>
    <row r="275" spans="1:4" x14ac:dyDescent="0.25">
      <c r="A275" s="1" t="s">
        <v>549</v>
      </c>
      <c r="B275" s="1" t="s">
        <v>550</v>
      </c>
      <c r="C275">
        <v>2</v>
      </c>
      <c r="D275">
        <v>1893</v>
      </c>
    </row>
    <row r="276" spans="1:4" x14ac:dyDescent="0.25">
      <c r="A276" s="1" t="s">
        <v>551</v>
      </c>
      <c r="B276" s="1" t="s">
        <v>552</v>
      </c>
      <c r="C276">
        <v>6</v>
      </c>
      <c r="D276">
        <v>2170</v>
      </c>
    </row>
    <row r="277" spans="1:4" x14ac:dyDescent="0.25">
      <c r="A277" s="1" t="s">
        <v>553</v>
      </c>
      <c r="B277" s="1" t="s">
        <v>554</v>
      </c>
      <c r="C277">
        <v>3</v>
      </c>
      <c r="D277">
        <v>1305</v>
      </c>
    </row>
    <row r="278" spans="1:4" x14ac:dyDescent="0.25">
      <c r="A278" s="1" t="s">
        <v>555</v>
      </c>
      <c r="B278" s="1" t="s">
        <v>556</v>
      </c>
      <c r="C278">
        <v>4</v>
      </c>
      <c r="D278">
        <v>1492</v>
      </c>
    </row>
    <row r="279" spans="1:4" x14ac:dyDescent="0.25">
      <c r="A279" s="1" t="s">
        <v>557</v>
      </c>
      <c r="B279" s="1" t="s">
        <v>558</v>
      </c>
      <c r="C279">
        <v>5</v>
      </c>
      <c r="D279">
        <v>2083</v>
      </c>
    </row>
    <row r="280" spans="1:4" x14ac:dyDescent="0.25">
      <c r="A280" s="1" t="s">
        <v>559</v>
      </c>
      <c r="B280" s="1" t="s">
        <v>560</v>
      </c>
      <c r="C280">
        <v>5</v>
      </c>
      <c r="D280">
        <v>1517</v>
      </c>
    </row>
    <row r="281" spans="1:4" x14ac:dyDescent="0.25">
      <c r="A281" s="1" t="s">
        <v>561</v>
      </c>
      <c r="B281" s="1" t="s">
        <v>562</v>
      </c>
      <c r="C281">
        <v>2</v>
      </c>
      <c r="D281">
        <v>3369</v>
      </c>
    </row>
    <row r="282" spans="1:4" x14ac:dyDescent="0.25">
      <c r="A282" s="1" t="s">
        <v>563</v>
      </c>
      <c r="B282" s="1" t="s">
        <v>564</v>
      </c>
      <c r="C282">
        <v>3</v>
      </c>
      <c r="D282">
        <v>3523</v>
      </c>
    </row>
    <row r="283" spans="1:4" x14ac:dyDescent="0.25">
      <c r="A283" s="1" t="s">
        <v>565</v>
      </c>
      <c r="B283" s="1" t="s">
        <v>566</v>
      </c>
      <c r="C283">
        <v>5</v>
      </c>
      <c r="D283">
        <v>2731</v>
      </c>
    </row>
    <row r="284" spans="1:4" x14ac:dyDescent="0.25">
      <c r="A284" s="1" t="s">
        <v>567</v>
      </c>
      <c r="B284" s="1" t="s">
        <v>568</v>
      </c>
      <c r="C284">
        <v>6</v>
      </c>
      <c r="D284">
        <v>3656</v>
      </c>
    </row>
    <row r="285" spans="1:4" x14ac:dyDescent="0.25">
      <c r="A285" s="1" t="s">
        <v>569</v>
      </c>
      <c r="B285" s="1" t="s">
        <v>570</v>
      </c>
      <c r="C285">
        <v>6</v>
      </c>
      <c r="D285">
        <v>4308</v>
      </c>
    </row>
    <row r="286" spans="1:4" x14ac:dyDescent="0.25">
      <c r="A286" s="1" t="s">
        <v>571</v>
      </c>
      <c r="B286" s="1" t="s">
        <v>572</v>
      </c>
      <c r="C286">
        <v>4</v>
      </c>
      <c r="D286">
        <v>3075</v>
      </c>
    </row>
    <row r="287" spans="1:4" x14ac:dyDescent="0.25">
      <c r="A287" s="1" t="s">
        <v>573</v>
      </c>
      <c r="B287" s="1" t="s">
        <v>574</v>
      </c>
      <c r="C287">
        <v>3</v>
      </c>
      <c r="D287">
        <v>1833</v>
      </c>
    </row>
    <row r="288" spans="1:4" x14ac:dyDescent="0.25">
      <c r="A288" s="1" t="s">
        <v>575</v>
      </c>
      <c r="B288" s="1" t="s">
        <v>576</v>
      </c>
      <c r="C288">
        <v>6</v>
      </c>
      <c r="D288">
        <v>2099</v>
      </c>
    </row>
    <row r="289" spans="1:4" x14ac:dyDescent="0.25">
      <c r="A289" s="1" t="s">
        <v>577</v>
      </c>
      <c r="B289" s="1" t="s">
        <v>578</v>
      </c>
      <c r="C289">
        <v>3</v>
      </c>
      <c r="D289">
        <v>1578</v>
      </c>
    </row>
    <row r="290" spans="1:4" x14ac:dyDescent="0.25">
      <c r="A290" s="1" t="s">
        <v>579</v>
      </c>
      <c r="B290" s="1" t="s">
        <v>580</v>
      </c>
      <c r="C290">
        <v>4</v>
      </c>
      <c r="D290">
        <v>2014</v>
      </c>
    </row>
    <row r="291" spans="1:4" x14ac:dyDescent="0.25">
      <c r="A291" s="1" t="s">
        <v>581</v>
      </c>
      <c r="B291" s="1" t="s">
        <v>582</v>
      </c>
      <c r="C291">
        <v>5</v>
      </c>
      <c r="D291">
        <v>2835</v>
      </c>
    </row>
    <row r="292" spans="1:4" x14ac:dyDescent="0.25">
      <c r="A292" s="1" t="s">
        <v>583</v>
      </c>
      <c r="B292" s="1" t="s">
        <v>584</v>
      </c>
      <c r="C292">
        <v>6</v>
      </c>
      <c r="D292">
        <v>1888</v>
      </c>
    </row>
    <row r="293" spans="1:4" x14ac:dyDescent="0.25">
      <c r="A293" s="1" t="s">
        <v>585</v>
      </c>
      <c r="B293" s="1" t="s">
        <v>586</v>
      </c>
      <c r="C293">
        <v>5</v>
      </c>
      <c r="D293">
        <v>2946</v>
      </c>
    </row>
    <row r="294" spans="1:4" x14ac:dyDescent="0.25">
      <c r="A294" s="1" t="s">
        <v>587</v>
      </c>
      <c r="B294" s="1" t="s">
        <v>588</v>
      </c>
      <c r="C294">
        <v>4</v>
      </c>
      <c r="D294">
        <v>1716</v>
      </c>
    </row>
    <row r="295" spans="1:4" x14ac:dyDescent="0.25">
      <c r="A295" s="1" t="s">
        <v>589</v>
      </c>
      <c r="B295" s="1" t="s">
        <v>590</v>
      </c>
      <c r="C295">
        <v>5</v>
      </c>
      <c r="D295">
        <v>3318</v>
      </c>
    </row>
    <row r="296" spans="1:4" x14ac:dyDescent="0.25">
      <c r="A296" s="1" t="s">
        <v>591</v>
      </c>
      <c r="B296" s="1" t="s">
        <v>592</v>
      </c>
      <c r="C296">
        <v>4</v>
      </c>
      <c r="D296">
        <v>4362</v>
      </c>
    </row>
    <row r="297" spans="1:4" x14ac:dyDescent="0.25">
      <c r="A297" s="1" t="s">
        <v>593</v>
      </c>
      <c r="B297" s="1" t="s">
        <v>594</v>
      </c>
      <c r="C297">
        <v>2</v>
      </c>
      <c r="D297">
        <v>1805</v>
      </c>
    </row>
    <row r="298" spans="1:4" x14ac:dyDescent="0.25">
      <c r="A298" s="1" t="s">
        <v>595</v>
      </c>
      <c r="B298" s="1" t="s">
        <v>596</v>
      </c>
      <c r="C298">
        <v>4</v>
      </c>
      <c r="D298">
        <v>1924</v>
      </c>
    </row>
    <row r="299" spans="1:4" x14ac:dyDescent="0.25">
      <c r="A299" s="1" t="s">
        <v>597</v>
      </c>
      <c r="B299" s="1" t="s">
        <v>598</v>
      </c>
      <c r="C299">
        <v>5</v>
      </c>
      <c r="D299">
        <v>3572</v>
      </c>
    </row>
    <row r="300" spans="1:4" x14ac:dyDescent="0.25">
      <c r="A300" s="1" t="s">
        <v>599</v>
      </c>
      <c r="B300" s="1" t="s">
        <v>600</v>
      </c>
      <c r="C300">
        <v>5</v>
      </c>
      <c r="D300">
        <v>3029</v>
      </c>
    </row>
    <row r="301" spans="1:4" x14ac:dyDescent="0.25">
      <c r="A301" s="1" t="s">
        <v>601</v>
      </c>
      <c r="B301" s="1" t="s">
        <v>602</v>
      </c>
      <c r="C301">
        <v>4</v>
      </c>
      <c r="D301">
        <v>1901</v>
      </c>
    </row>
    <row r="302" spans="1:4" x14ac:dyDescent="0.25">
      <c r="A302" s="1" t="s">
        <v>603</v>
      </c>
      <c r="B302" s="1" t="s">
        <v>604</v>
      </c>
      <c r="C302">
        <v>4</v>
      </c>
      <c r="D302">
        <v>2519</v>
      </c>
    </row>
    <row r="303" spans="1:4" x14ac:dyDescent="0.25">
      <c r="A303" s="1" t="s">
        <v>605</v>
      </c>
      <c r="B303" s="1" t="s">
        <v>606</v>
      </c>
      <c r="C303">
        <v>4</v>
      </c>
      <c r="D303">
        <v>3628</v>
      </c>
    </row>
    <row r="304" spans="1:4" x14ac:dyDescent="0.25">
      <c r="A304" s="1" t="s">
        <v>607</v>
      </c>
      <c r="B304" s="1" t="s">
        <v>608</v>
      </c>
      <c r="C304">
        <v>3</v>
      </c>
      <c r="D304">
        <v>2369</v>
      </c>
    </row>
    <row r="305" spans="1:4" x14ac:dyDescent="0.25">
      <c r="A305" s="1" t="s">
        <v>609</v>
      </c>
      <c r="B305" s="1" t="s">
        <v>610</v>
      </c>
      <c r="C305">
        <v>5</v>
      </c>
      <c r="D305">
        <v>2111</v>
      </c>
    </row>
    <row r="306" spans="1:4" x14ac:dyDescent="0.25">
      <c r="A306" s="1" t="s">
        <v>611</v>
      </c>
      <c r="B306" s="1" t="s">
        <v>612</v>
      </c>
      <c r="C306">
        <v>4</v>
      </c>
      <c r="D306">
        <v>828</v>
      </c>
    </row>
    <row r="307" spans="1:4" x14ac:dyDescent="0.25">
      <c r="A307" s="1" t="s">
        <v>613</v>
      </c>
      <c r="B307" s="1" t="s">
        <v>614</v>
      </c>
      <c r="C307">
        <v>5</v>
      </c>
      <c r="D307">
        <v>2270</v>
      </c>
    </row>
    <row r="308" spans="1:4" x14ac:dyDescent="0.25">
      <c r="A308" s="1" t="s">
        <v>615</v>
      </c>
      <c r="B308" s="1" t="s">
        <v>616</v>
      </c>
      <c r="C308">
        <v>6</v>
      </c>
      <c r="D308">
        <v>1285</v>
      </c>
    </row>
    <row r="309" spans="1:4" x14ac:dyDescent="0.25">
      <c r="A309" s="1" t="s">
        <v>617</v>
      </c>
      <c r="B309" s="1" t="s">
        <v>618</v>
      </c>
      <c r="C309">
        <v>4</v>
      </c>
      <c r="D309">
        <v>1021</v>
      </c>
    </row>
    <row r="310" spans="1:4" x14ac:dyDescent="0.25">
      <c r="A310" s="1" t="s">
        <v>619</v>
      </c>
      <c r="B310" s="1" t="s">
        <v>620</v>
      </c>
      <c r="C310">
        <v>4</v>
      </c>
      <c r="D310">
        <v>995</v>
      </c>
    </row>
    <row r="311" spans="1:4" x14ac:dyDescent="0.25">
      <c r="A311" s="1" t="s">
        <v>621</v>
      </c>
      <c r="B311" s="1" t="s">
        <v>622</v>
      </c>
      <c r="C311">
        <v>6</v>
      </c>
      <c r="D311">
        <v>4040</v>
      </c>
    </row>
    <row r="312" spans="1:4" x14ac:dyDescent="0.25">
      <c r="A312" s="1" t="s">
        <v>623</v>
      </c>
      <c r="B312" s="1" t="s">
        <v>624</v>
      </c>
      <c r="C312">
        <v>5</v>
      </c>
      <c r="D312">
        <v>1446</v>
      </c>
    </row>
    <row r="313" spans="1:4" x14ac:dyDescent="0.25">
      <c r="A313" s="1" t="s">
        <v>625</v>
      </c>
      <c r="B313" s="1" t="s">
        <v>626</v>
      </c>
      <c r="C313">
        <v>2</v>
      </c>
      <c r="D313">
        <v>2354</v>
      </c>
    </row>
    <row r="314" spans="1:4" x14ac:dyDescent="0.25">
      <c r="A314" s="1" t="s">
        <v>627</v>
      </c>
      <c r="B314" s="1" t="s">
        <v>628</v>
      </c>
      <c r="C314">
        <v>2</v>
      </c>
      <c r="D314">
        <v>3651</v>
      </c>
    </row>
    <row r="315" spans="1:4" x14ac:dyDescent="0.25">
      <c r="A315" s="1" t="s">
        <v>629</v>
      </c>
      <c r="B315" s="1" t="s">
        <v>630</v>
      </c>
      <c r="C315">
        <v>3</v>
      </c>
      <c r="D315">
        <v>1392</v>
      </c>
    </row>
    <row r="316" spans="1:4" x14ac:dyDescent="0.25">
      <c r="A316" s="1" t="s">
        <v>631</v>
      </c>
      <c r="B316" s="1" t="s">
        <v>632</v>
      </c>
      <c r="C316">
        <v>5</v>
      </c>
      <c r="D316">
        <v>1688</v>
      </c>
    </row>
    <row r="317" spans="1:4" x14ac:dyDescent="0.25">
      <c r="A317" s="1" t="s">
        <v>633</v>
      </c>
      <c r="B317" s="1" t="s">
        <v>634</v>
      </c>
      <c r="C317">
        <v>4</v>
      </c>
      <c r="D317">
        <v>2043</v>
      </c>
    </row>
    <row r="318" spans="1:4" x14ac:dyDescent="0.25">
      <c r="A318" s="1" t="s">
        <v>635</v>
      </c>
      <c r="B318" s="1" t="s">
        <v>636</v>
      </c>
      <c r="C318">
        <v>3</v>
      </c>
      <c r="D318">
        <v>3865</v>
      </c>
    </row>
    <row r="319" spans="1:4" x14ac:dyDescent="0.25">
      <c r="A319" s="1" t="s">
        <v>637</v>
      </c>
      <c r="B319" s="1" t="s">
        <v>638</v>
      </c>
      <c r="C319">
        <v>2</v>
      </c>
      <c r="D319">
        <v>2066</v>
      </c>
    </row>
    <row r="320" spans="1:4" x14ac:dyDescent="0.25">
      <c r="A320" s="1" t="s">
        <v>639</v>
      </c>
      <c r="B320" s="1" t="s">
        <v>640</v>
      </c>
      <c r="C320">
        <v>6</v>
      </c>
      <c r="D320">
        <v>3497</v>
      </c>
    </row>
    <row r="321" spans="1:4" x14ac:dyDescent="0.25">
      <c r="A321" s="1" t="s">
        <v>641</v>
      </c>
      <c r="B321" s="1" t="s">
        <v>642</v>
      </c>
      <c r="C321">
        <v>4</v>
      </c>
      <c r="D321">
        <v>1939</v>
      </c>
    </row>
    <row r="322" spans="1:4" x14ac:dyDescent="0.25">
      <c r="A322" s="1" t="s">
        <v>643</v>
      </c>
      <c r="B322" s="1" t="s">
        <v>644</v>
      </c>
      <c r="C322">
        <v>6</v>
      </c>
      <c r="D322">
        <v>3811</v>
      </c>
    </row>
    <row r="323" spans="1:4" x14ac:dyDescent="0.25">
      <c r="A323" s="1" t="s">
        <v>645</v>
      </c>
      <c r="B323" s="1" t="s">
        <v>646</v>
      </c>
      <c r="C323">
        <v>5</v>
      </c>
      <c r="D323">
        <v>1435</v>
      </c>
    </row>
    <row r="324" spans="1:4" x14ac:dyDescent="0.25">
      <c r="A324" s="1" t="s">
        <v>647</v>
      </c>
      <c r="B324" s="1" t="s">
        <v>648</v>
      </c>
      <c r="C324">
        <v>5</v>
      </c>
      <c r="D324">
        <v>2434</v>
      </c>
    </row>
    <row r="325" spans="1:4" x14ac:dyDescent="0.25">
      <c r="A325" s="1" t="s">
        <v>649</v>
      </c>
      <c r="B325" s="1" t="s">
        <v>650</v>
      </c>
      <c r="C325">
        <v>4</v>
      </c>
      <c r="D325">
        <v>4149</v>
      </c>
    </row>
    <row r="326" spans="1:4" x14ac:dyDescent="0.25">
      <c r="A326" s="1" t="s">
        <v>651</v>
      </c>
      <c r="B326" s="1" t="s">
        <v>652</v>
      </c>
      <c r="C326">
        <v>3</v>
      </c>
      <c r="D326">
        <v>3303</v>
      </c>
    </row>
    <row r="327" spans="1:4" x14ac:dyDescent="0.25">
      <c r="A327" s="1" t="s">
        <v>653</v>
      </c>
      <c r="B327" s="1" t="s">
        <v>654</v>
      </c>
      <c r="C327">
        <v>2</v>
      </c>
      <c r="D327">
        <v>790</v>
      </c>
    </row>
    <row r="328" spans="1:4" x14ac:dyDescent="0.25">
      <c r="A328" s="1" t="s">
        <v>655</v>
      </c>
      <c r="B328" s="1" t="s">
        <v>656</v>
      </c>
      <c r="C328">
        <v>2</v>
      </c>
      <c r="D328">
        <v>3168</v>
      </c>
    </row>
    <row r="329" spans="1:4" x14ac:dyDescent="0.25">
      <c r="A329" s="1" t="s">
        <v>657</v>
      </c>
      <c r="B329" s="1" t="s">
        <v>658</v>
      </c>
      <c r="C329">
        <v>5</v>
      </c>
      <c r="D329">
        <v>1235</v>
      </c>
    </row>
    <row r="330" spans="1:4" x14ac:dyDescent="0.25">
      <c r="A330" s="1" t="s">
        <v>659</v>
      </c>
      <c r="B330" s="1" t="s">
        <v>660</v>
      </c>
      <c r="C330">
        <v>5</v>
      </c>
      <c r="D330">
        <v>763</v>
      </c>
    </row>
    <row r="331" spans="1:4" x14ac:dyDescent="0.25">
      <c r="A331" s="1" t="s">
        <v>661</v>
      </c>
      <c r="B331" s="1" t="s">
        <v>662</v>
      </c>
      <c r="C331">
        <v>4</v>
      </c>
      <c r="D331">
        <v>3317</v>
      </c>
    </row>
    <row r="332" spans="1:4" x14ac:dyDescent="0.25">
      <c r="A332" s="1" t="s">
        <v>663</v>
      </c>
      <c r="B332" s="1" t="s">
        <v>664</v>
      </c>
      <c r="C332">
        <v>6</v>
      </c>
      <c r="D332">
        <v>2055</v>
      </c>
    </row>
    <row r="333" spans="1:4" x14ac:dyDescent="0.25">
      <c r="A333" s="1" t="s">
        <v>665</v>
      </c>
      <c r="B333" s="1" t="s">
        <v>666</v>
      </c>
      <c r="C333">
        <v>5</v>
      </c>
      <c r="D333">
        <v>3350</v>
      </c>
    </row>
    <row r="334" spans="1:4" x14ac:dyDescent="0.25">
      <c r="A334" s="1" t="s">
        <v>667</v>
      </c>
      <c r="B334" s="1" t="s">
        <v>668</v>
      </c>
      <c r="C334">
        <v>6</v>
      </c>
      <c r="D334">
        <v>968</v>
      </c>
    </row>
    <row r="335" spans="1:4" x14ac:dyDescent="0.25">
      <c r="A335" s="1" t="s">
        <v>669</v>
      </c>
      <c r="B335" s="1" t="s">
        <v>670</v>
      </c>
      <c r="C335">
        <v>5</v>
      </c>
      <c r="D335">
        <v>3920</v>
      </c>
    </row>
    <row r="336" spans="1:4" x14ac:dyDescent="0.25">
      <c r="A336" s="1" t="s">
        <v>671</v>
      </c>
      <c r="B336" s="1" t="s">
        <v>672</v>
      </c>
      <c r="C336">
        <v>2</v>
      </c>
      <c r="D336">
        <v>2936</v>
      </c>
    </row>
    <row r="337" spans="1:4" x14ac:dyDescent="0.25">
      <c r="A337" s="1" t="s">
        <v>673</v>
      </c>
      <c r="B337" s="1" t="s">
        <v>674</v>
      </c>
      <c r="C337">
        <v>2</v>
      </c>
      <c r="D337">
        <v>2262</v>
      </c>
    </row>
    <row r="338" spans="1:4" x14ac:dyDescent="0.25">
      <c r="A338" s="1" t="s">
        <v>675</v>
      </c>
      <c r="B338" s="1" t="s">
        <v>676</v>
      </c>
      <c r="C338">
        <v>5</v>
      </c>
      <c r="D338">
        <v>3986</v>
      </c>
    </row>
    <row r="339" spans="1:4" x14ac:dyDescent="0.25">
      <c r="A339" s="1" t="s">
        <v>677</v>
      </c>
      <c r="B339" s="1" t="s">
        <v>678</v>
      </c>
      <c r="C339">
        <v>3</v>
      </c>
      <c r="D339">
        <v>2163</v>
      </c>
    </row>
    <row r="340" spans="1:4" x14ac:dyDescent="0.25">
      <c r="A340" s="1" t="s">
        <v>679</v>
      </c>
      <c r="B340" s="1" t="s">
        <v>680</v>
      </c>
      <c r="C340">
        <v>3</v>
      </c>
      <c r="D340">
        <v>2501</v>
      </c>
    </row>
    <row r="341" spans="1:4" x14ac:dyDescent="0.25">
      <c r="A341" s="1" t="s">
        <v>681</v>
      </c>
      <c r="B341" s="1" t="s">
        <v>682</v>
      </c>
      <c r="C341">
        <v>3</v>
      </c>
      <c r="D341">
        <v>1186</v>
      </c>
    </row>
    <row r="342" spans="1:4" x14ac:dyDescent="0.25">
      <c r="A342" s="1" t="s">
        <v>683</v>
      </c>
      <c r="B342" s="1" t="s">
        <v>684</v>
      </c>
      <c r="C342">
        <v>4</v>
      </c>
      <c r="D342">
        <v>1206</v>
      </c>
    </row>
    <row r="343" spans="1:4" x14ac:dyDescent="0.25">
      <c r="A343" s="1" t="s">
        <v>685</v>
      </c>
      <c r="B343" s="1" t="s">
        <v>686</v>
      </c>
      <c r="C343">
        <v>5</v>
      </c>
      <c r="D343">
        <v>3613</v>
      </c>
    </row>
    <row r="344" spans="1:4" x14ac:dyDescent="0.25">
      <c r="A344" s="1" t="s">
        <v>687</v>
      </c>
      <c r="B344" s="1" t="s">
        <v>688</v>
      </c>
      <c r="C344">
        <v>5</v>
      </c>
      <c r="D344">
        <v>3248</v>
      </c>
    </row>
    <row r="345" spans="1:4" x14ac:dyDescent="0.25">
      <c r="A345" s="1" t="s">
        <v>689</v>
      </c>
      <c r="B345" s="1" t="s">
        <v>690</v>
      </c>
      <c r="C345">
        <v>4</v>
      </c>
      <c r="D345">
        <v>3613</v>
      </c>
    </row>
    <row r="346" spans="1:4" x14ac:dyDescent="0.25">
      <c r="A346" s="1" t="s">
        <v>691</v>
      </c>
      <c r="B346" s="1" t="s">
        <v>692</v>
      </c>
      <c r="C346">
        <v>3</v>
      </c>
      <c r="D346">
        <v>2202</v>
      </c>
    </row>
    <row r="347" spans="1:4" x14ac:dyDescent="0.25">
      <c r="A347" s="1" t="s">
        <v>693</v>
      </c>
      <c r="B347" s="1" t="s">
        <v>694</v>
      </c>
      <c r="C347">
        <v>4</v>
      </c>
      <c r="D347">
        <v>1012</v>
      </c>
    </row>
    <row r="348" spans="1:4" x14ac:dyDescent="0.25">
      <c r="A348" s="1" t="s">
        <v>695</v>
      </c>
      <c r="B348" s="1" t="s">
        <v>696</v>
      </c>
      <c r="C348">
        <v>3</v>
      </c>
      <c r="D348">
        <v>4087</v>
      </c>
    </row>
    <row r="349" spans="1:4" x14ac:dyDescent="0.25">
      <c r="A349" s="1" t="s">
        <v>697</v>
      </c>
      <c r="B349" s="1" t="s">
        <v>698</v>
      </c>
      <c r="C349">
        <v>4</v>
      </c>
      <c r="D349">
        <v>1892</v>
      </c>
    </row>
    <row r="350" spans="1:4" x14ac:dyDescent="0.25">
      <c r="A350" s="1" t="s">
        <v>699</v>
      </c>
      <c r="B350" s="1" t="s">
        <v>700</v>
      </c>
      <c r="C350">
        <v>2</v>
      </c>
      <c r="D350">
        <v>3119</v>
      </c>
    </row>
    <row r="351" spans="1:4" x14ac:dyDescent="0.25">
      <c r="A351" s="1" t="s">
        <v>701</v>
      </c>
      <c r="B351" s="1" t="s">
        <v>702</v>
      </c>
      <c r="C351">
        <v>3</v>
      </c>
      <c r="D351">
        <v>809</v>
      </c>
    </row>
    <row r="352" spans="1:4" x14ac:dyDescent="0.25">
      <c r="A352" s="1" t="s">
        <v>703</v>
      </c>
      <c r="B352" s="1" t="s">
        <v>704</v>
      </c>
      <c r="C352">
        <v>3</v>
      </c>
      <c r="D352">
        <v>1762</v>
      </c>
    </row>
    <row r="353" spans="1:4" x14ac:dyDescent="0.25">
      <c r="A353" s="1" t="s">
        <v>705</v>
      </c>
      <c r="B353" s="1" t="s">
        <v>706</v>
      </c>
      <c r="C353">
        <v>3</v>
      </c>
      <c r="D353">
        <v>4079</v>
      </c>
    </row>
    <row r="354" spans="1:4" x14ac:dyDescent="0.25">
      <c r="A354" s="1" t="s">
        <v>707</v>
      </c>
      <c r="B354" s="1" t="s">
        <v>708</v>
      </c>
      <c r="C354">
        <v>5</v>
      </c>
      <c r="D354">
        <v>2139</v>
      </c>
    </row>
    <row r="355" spans="1:4" x14ac:dyDescent="0.25">
      <c r="A355" s="1" t="s">
        <v>709</v>
      </c>
      <c r="B355" s="1" t="s">
        <v>710</v>
      </c>
      <c r="C355">
        <v>5</v>
      </c>
      <c r="D355">
        <v>985</v>
      </c>
    </row>
    <row r="356" spans="1:4" x14ac:dyDescent="0.25">
      <c r="A356" s="1" t="s">
        <v>711</v>
      </c>
      <c r="B356" s="1" t="s">
        <v>712</v>
      </c>
      <c r="C356">
        <v>4</v>
      </c>
      <c r="D356">
        <v>1837</v>
      </c>
    </row>
    <row r="357" spans="1:4" x14ac:dyDescent="0.25">
      <c r="A357" s="1" t="s">
        <v>713</v>
      </c>
      <c r="B357" s="1" t="s">
        <v>714</v>
      </c>
      <c r="C357">
        <v>6</v>
      </c>
      <c r="D357">
        <v>3544</v>
      </c>
    </row>
    <row r="358" spans="1:4" x14ac:dyDescent="0.25">
      <c r="A358" s="1" t="s">
        <v>715</v>
      </c>
      <c r="B358" s="1" t="s">
        <v>716</v>
      </c>
      <c r="C358">
        <v>5</v>
      </c>
      <c r="D358">
        <v>3404</v>
      </c>
    </row>
    <row r="359" spans="1:4" x14ac:dyDescent="0.25">
      <c r="A359" s="1" t="s">
        <v>717</v>
      </c>
      <c r="B359" s="1" t="s">
        <v>718</v>
      </c>
      <c r="C359">
        <v>4</v>
      </c>
      <c r="D359">
        <v>780</v>
      </c>
    </row>
    <row r="360" spans="1:4" x14ac:dyDescent="0.25">
      <c r="A360" s="1" t="s">
        <v>719</v>
      </c>
      <c r="B360" s="1" t="s">
        <v>720</v>
      </c>
      <c r="C360">
        <v>4</v>
      </c>
      <c r="D360">
        <v>3621</v>
      </c>
    </row>
    <row r="361" spans="1:4" x14ac:dyDescent="0.25">
      <c r="A361" s="1" t="s">
        <v>721</v>
      </c>
      <c r="B361" s="1" t="s">
        <v>722</v>
      </c>
      <c r="C361">
        <v>3</v>
      </c>
      <c r="D361">
        <v>1363</v>
      </c>
    </row>
    <row r="362" spans="1:4" x14ac:dyDescent="0.25">
      <c r="A362" s="1" t="s">
        <v>723</v>
      </c>
      <c r="B362" s="1" t="s">
        <v>724</v>
      </c>
      <c r="C362">
        <v>5</v>
      </c>
      <c r="D362">
        <v>865</v>
      </c>
    </row>
    <row r="363" spans="1:4" x14ac:dyDescent="0.25">
      <c r="A363" s="1" t="s">
        <v>725</v>
      </c>
      <c r="B363" s="1" t="s">
        <v>726</v>
      </c>
      <c r="C363">
        <v>3</v>
      </c>
      <c r="D363">
        <v>2102</v>
      </c>
    </row>
    <row r="364" spans="1:4" x14ac:dyDescent="0.25">
      <c r="A364" s="1" t="s">
        <v>727</v>
      </c>
      <c r="B364" s="1" t="s">
        <v>728</v>
      </c>
      <c r="C364">
        <v>5</v>
      </c>
      <c r="D364">
        <v>2314</v>
      </c>
    </row>
    <row r="365" spans="1:4" x14ac:dyDescent="0.25">
      <c r="A365" s="1" t="s">
        <v>729</v>
      </c>
      <c r="B365" s="1" t="s">
        <v>730</v>
      </c>
      <c r="C365">
        <v>6</v>
      </c>
      <c r="D365">
        <v>2577</v>
      </c>
    </row>
    <row r="366" spans="1:4" x14ac:dyDescent="0.25">
      <c r="A366" s="1" t="s">
        <v>731</v>
      </c>
      <c r="B366" s="1" t="s">
        <v>732</v>
      </c>
      <c r="C366">
        <v>2</v>
      </c>
      <c r="D366">
        <v>2955</v>
      </c>
    </row>
    <row r="367" spans="1:4" x14ac:dyDescent="0.25">
      <c r="A367" s="1" t="s">
        <v>733</v>
      </c>
      <c r="B367" s="1" t="s">
        <v>734</v>
      </c>
      <c r="C367">
        <v>2</v>
      </c>
      <c r="D367">
        <v>696</v>
      </c>
    </row>
    <row r="368" spans="1:4" x14ac:dyDescent="0.25">
      <c r="A368" s="1" t="s">
        <v>735</v>
      </c>
      <c r="B368" s="1" t="s">
        <v>736</v>
      </c>
      <c r="C368">
        <v>4</v>
      </c>
      <c r="D368">
        <v>1038</v>
      </c>
    </row>
    <row r="369" spans="1:4" x14ac:dyDescent="0.25">
      <c r="A369" s="1" t="s">
        <v>737</v>
      </c>
      <c r="B369" s="1" t="s">
        <v>738</v>
      </c>
      <c r="C369">
        <v>3</v>
      </c>
      <c r="D369">
        <v>2008</v>
      </c>
    </row>
    <row r="370" spans="1:4" x14ac:dyDescent="0.25">
      <c r="A370" s="1" t="s">
        <v>739</v>
      </c>
      <c r="B370" s="1" t="s">
        <v>740</v>
      </c>
      <c r="C370">
        <v>4</v>
      </c>
      <c r="D370">
        <v>3745</v>
      </c>
    </row>
    <row r="371" spans="1:4" x14ac:dyDescent="0.25">
      <c r="A371" s="1" t="s">
        <v>741</v>
      </c>
      <c r="B371" s="1" t="s">
        <v>742</v>
      </c>
      <c r="C371">
        <v>3</v>
      </c>
      <c r="D371">
        <v>3868</v>
      </c>
    </row>
    <row r="372" spans="1:4" x14ac:dyDescent="0.25">
      <c r="A372" s="1" t="s">
        <v>743</v>
      </c>
      <c r="B372" s="1" t="s">
        <v>744</v>
      </c>
      <c r="C372">
        <v>4</v>
      </c>
      <c r="D372">
        <v>2152</v>
      </c>
    </row>
    <row r="373" spans="1:4" x14ac:dyDescent="0.25">
      <c r="A373" s="1" t="s">
        <v>745</v>
      </c>
      <c r="B373" s="1" t="s">
        <v>746</v>
      </c>
      <c r="C373">
        <v>3</v>
      </c>
      <c r="D373">
        <v>2468</v>
      </c>
    </row>
    <row r="374" spans="1:4" x14ac:dyDescent="0.25">
      <c r="A374" s="1" t="s">
        <v>747</v>
      </c>
      <c r="B374" s="1" t="s">
        <v>748</v>
      </c>
      <c r="C374">
        <v>3</v>
      </c>
      <c r="D374">
        <v>2983</v>
      </c>
    </row>
    <row r="375" spans="1:4" x14ac:dyDescent="0.25">
      <c r="A375" s="1" t="s">
        <v>749</v>
      </c>
      <c r="B375" s="1" t="s">
        <v>750</v>
      </c>
      <c r="C375">
        <v>3</v>
      </c>
      <c r="D375">
        <v>4155</v>
      </c>
    </row>
    <row r="376" spans="1:4" x14ac:dyDescent="0.25">
      <c r="A376" s="1" t="s">
        <v>751</v>
      </c>
      <c r="B376" s="1" t="s">
        <v>752</v>
      </c>
      <c r="C376">
        <v>4</v>
      </c>
      <c r="D376">
        <v>2219</v>
      </c>
    </row>
    <row r="377" spans="1:4" x14ac:dyDescent="0.25">
      <c r="A377" s="1" t="s">
        <v>753</v>
      </c>
      <c r="B377" s="1" t="s">
        <v>754</v>
      </c>
      <c r="C377">
        <v>3</v>
      </c>
      <c r="D377">
        <v>4479</v>
      </c>
    </row>
    <row r="378" spans="1:4" x14ac:dyDescent="0.25">
      <c r="A378" s="1" t="s">
        <v>755</v>
      </c>
      <c r="B378" s="1" t="s">
        <v>756</v>
      </c>
      <c r="C378">
        <v>2</v>
      </c>
      <c r="D378">
        <v>1950</v>
      </c>
    </row>
    <row r="379" spans="1:4" x14ac:dyDescent="0.25">
      <c r="A379" s="1" t="s">
        <v>757</v>
      </c>
      <c r="B379" s="1" t="s">
        <v>758</v>
      </c>
      <c r="C379">
        <v>2</v>
      </c>
      <c r="D379">
        <v>1194</v>
      </c>
    </row>
    <row r="380" spans="1:4" x14ac:dyDescent="0.25">
      <c r="A380" s="1" t="s">
        <v>759</v>
      </c>
      <c r="B380" s="1" t="s">
        <v>760</v>
      </c>
      <c r="C380">
        <v>4</v>
      </c>
      <c r="D380">
        <v>2957</v>
      </c>
    </row>
    <row r="381" spans="1:4" x14ac:dyDescent="0.25">
      <c r="A381" s="1" t="s">
        <v>761</v>
      </c>
      <c r="B381" s="1" t="s">
        <v>762</v>
      </c>
      <c r="C381">
        <v>3</v>
      </c>
      <c r="D381">
        <v>2636</v>
      </c>
    </row>
    <row r="382" spans="1:4" x14ac:dyDescent="0.25">
      <c r="A382" s="1" t="s">
        <v>763</v>
      </c>
      <c r="B382" s="1" t="s">
        <v>764</v>
      </c>
      <c r="C382">
        <v>2</v>
      </c>
      <c r="D382">
        <v>2541</v>
      </c>
    </row>
    <row r="383" spans="1:4" x14ac:dyDescent="0.25">
      <c r="A383" s="1" t="s">
        <v>765</v>
      </c>
      <c r="B383" s="1" t="s">
        <v>766</v>
      </c>
      <c r="C383">
        <v>3</v>
      </c>
      <c r="D383">
        <v>2087</v>
      </c>
    </row>
    <row r="384" spans="1:4" x14ac:dyDescent="0.25">
      <c r="A384" s="1" t="s">
        <v>767</v>
      </c>
      <c r="B384" s="1" t="s">
        <v>768</v>
      </c>
      <c r="C384">
        <v>3</v>
      </c>
      <c r="D384">
        <v>2009</v>
      </c>
    </row>
    <row r="385" spans="1:4" x14ac:dyDescent="0.25">
      <c r="A385" s="1" t="s">
        <v>769</v>
      </c>
      <c r="B385" s="1" t="s">
        <v>770</v>
      </c>
      <c r="C385">
        <v>3</v>
      </c>
      <c r="D385">
        <v>1275</v>
      </c>
    </row>
    <row r="386" spans="1:4" x14ac:dyDescent="0.25">
      <c r="A386" s="1" t="s">
        <v>771</v>
      </c>
      <c r="B386" s="1" t="s">
        <v>772</v>
      </c>
      <c r="C386">
        <v>6</v>
      </c>
      <c r="D386">
        <v>1578</v>
      </c>
    </row>
    <row r="387" spans="1:4" x14ac:dyDescent="0.25">
      <c r="A387" s="1" t="s">
        <v>773</v>
      </c>
      <c r="B387" s="1" t="s">
        <v>774</v>
      </c>
      <c r="C387">
        <v>5</v>
      </c>
      <c r="D387">
        <v>2648</v>
      </c>
    </row>
    <row r="388" spans="1:4" x14ac:dyDescent="0.25">
      <c r="A388" s="1" t="s">
        <v>775</v>
      </c>
      <c r="B388" s="1" t="s">
        <v>776</v>
      </c>
      <c r="C388">
        <v>4</v>
      </c>
      <c r="D388">
        <v>3902</v>
      </c>
    </row>
    <row r="389" spans="1:4" x14ac:dyDescent="0.25">
      <c r="A389" s="1" t="s">
        <v>777</v>
      </c>
      <c r="B389" s="1" t="s">
        <v>778</v>
      </c>
      <c r="C389">
        <v>3</v>
      </c>
      <c r="D389">
        <v>2588</v>
      </c>
    </row>
    <row r="390" spans="1:4" x14ac:dyDescent="0.25">
      <c r="A390" s="1" t="s">
        <v>779</v>
      </c>
      <c r="B390" s="1" t="s">
        <v>780</v>
      </c>
      <c r="C390">
        <v>3</v>
      </c>
      <c r="D390">
        <v>2672</v>
      </c>
    </row>
    <row r="391" spans="1:4" x14ac:dyDescent="0.25">
      <c r="A391" s="1" t="s">
        <v>781</v>
      </c>
      <c r="B391" s="1" t="s">
        <v>782</v>
      </c>
      <c r="C391">
        <v>2</v>
      </c>
      <c r="D391">
        <v>1280</v>
      </c>
    </row>
    <row r="392" spans="1:4" x14ac:dyDescent="0.25">
      <c r="A392" s="1" t="s">
        <v>783</v>
      </c>
      <c r="B392" s="1" t="s">
        <v>784</v>
      </c>
      <c r="C392">
        <v>6</v>
      </c>
      <c r="D392">
        <v>3792</v>
      </c>
    </row>
    <row r="393" spans="1:4" x14ac:dyDescent="0.25">
      <c r="A393" s="1" t="s">
        <v>785</v>
      </c>
      <c r="B393" s="1" t="s">
        <v>786</v>
      </c>
      <c r="C393">
        <v>5</v>
      </c>
      <c r="D393">
        <v>4450</v>
      </c>
    </row>
    <row r="394" spans="1:4" x14ac:dyDescent="0.25">
      <c r="A394" s="1" t="s">
        <v>787</v>
      </c>
      <c r="B394" s="1" t="s">
        <v>788</v>
      </c>
      <c r="C394">
        <v>4</v>
      </c>
      <c r="D394">
        <v>3435</v>
      </c>
    </row>
    <row r="395" spans="1:4" x14ac:dyDescent="0.25">
      <c r="A395" s="1" t="s">
        <v>789</v>
      </c>
      <c r="B395" s="1" t="s">
        <v>790</v>
      </c>
      <c r="C395">
        <v>4</v>
      </c>
      <c r="D395">
        <v>3460</v>
      </c>
    </row>
    <row r="396" spans="1:4" x14ac:dyDescent="0.25">
      <c r="A396" s="1" t="s">
        <v>791</v>
      </c>
      <c r="B396" s="1" t="s">
        <v>792</v>
      </c>
      <c r="C396">
        <v>2</v>
      </c>
      <c r="D396">
        <v>1914</v>
      </c>
    </row>
    <row r="397" spans="1:4" x14ac:dyDescent="0.25">
      <c r="A397" s="1" t="s">
        <v>793</v>
      </c>
      <c r="B397" s="1" t="s">
        <v>794</v>
      </c>
      <c r="C397">
        <v>4</v>
      </c>
      <c r="D397">
        <v>3251</v>
      </c>
    </row>
    <row r="398" spans="1:4" x14ac:dyDescent="0.25">
      <c r="A398" s="1" t="s">
        <v>795</v>
      </c>
      <c r="B398" s="1" t="s">
        <v>796</v>
      </c>
      <c r="C398">
        <v>5</v>
      </c>
      <c r="D398">
        <v>3006</v>
      </c>
    </row>
    <row r="399" spans="1:4" x14ac:dyDescent="0.25">
      <c r="A399" s="1" t="s">
        <v>797</v>
      </c>
      <c r="B399" s="1" t="s">
        <v>798</v>
      </c>
      <c r="C399">
        <v>5</v>
      </c>
      <c r="D399">
        <v>1673</v>
      </c>
    </row>
    <row r="400" spans="1:4" x14ac:dyDescent="0.25">
      <c r="A400" s="1" t="s">
        <v>799</v>
      </c>
      <c r="B400" s="1" t="s">
        <v>800</v>
      </c>
      <c r="C400">
        <v>2</v>
      </c>
      <c r="D400">
        <v>2000</v>
      </c>
    </row>
    <row r="401" spans="1:4" x14ac:dyDescent="0.25">
      <c r="A401" s="1" t="s">
        <v>801</v>
      </c>
      <c r="B401" s="1" t="s">
        <v>802</v>
      </c>
      <c r="C401">
        <v>6</v>
      </c>
      <c r="D401">
        <v>4036</v>
      </c>
    </row>
    <row r="402" spans="1:4" x14ac:dyDescent="0.25">
      <c r="A402" s="1" t="s">
        <v>803</v>
      </c>
      <c r="B402" s="1" t="s">
        <v>804</v>
      </c>
      <c r="C402">
        <v>2</v>
      </c>
      <c r="D402">
        <v>1763</v>
      </c>
    </row>
    <row r="403" spans="1:4" x14ac:dyDescent="0.25">
      <c r="A403" s="1" t="s">
        <v>805</v>
      </c>
      <c r="B403" s="1" t="s">
        <v>806</v>
      </c>
      <c r="C403">
        <v>3</v>
      </c>
      <c r="D403">
        <v>3039</v>
      </c>
    </row>
    <row r="404" spans="1:4" x14ac:dyDescent="0.25">
      <c r="A404" s="1" t="s">
        <v>807</v>
      </c>
      <c r="B404" s="1" t="s">
        <v>808</v>
      </c>
      <c r="C404">
        <v>6</v>
      </c>
      <c r="D404">
        <v>962</v>
      </c>
    </row>
    <row r="405" spans="1:4" x14ac:dyDescent="0.25">
      <c r="A405" s="1" t="s">
        <v>809</v>
      </c>
      <c r="B405" s="1" t="s">
        <v>810</v>
      </c>
      <c r="C405">
        <v>4</v>
      </c>
      <c r="D405">
        <v>3432</v>
      </c>
    </row>
    <row r="406" spans="1:4" x14ac:dyDescent="0.25">
      <c r="A406" s="1" t="s">
        <v>811</v>
      </c>
      <c r="B406" s="1" t="s">
        <v>812</v>
      </c>
      <c r="C406">
        <v>4</v>
      </c>
      <c r="D406">
        <v>2167</v>
      </c>
    </row>
    <row r="407" spans="1:4" x14ac:dyDescent="0.25">
      <c r="A407" s="1" t="s">
        <v>813</v>
      </c>
      <c r="B407" s="1" t="s">
        <v>814</v>
      </c>
      <c r="C407">
        <v>4</v>
      </c>
      <c r="D407">
        <v>2198</v>
      </c>
    </row>
    <row r="408" spans="1:4" x14ac:dyDescent="0.25">
      <c r="A408" s="1" t="s">
        <v>815</v>
      </c>
      <c r="B408" s="1" t="s">
        <v>816</v>
      </c>
      <c r="C408">
        <v>6</v>
      </c>
      <c r="D408">
        <v>1597</v>
      </c>
    </row>
    <row r="409" spans="1:4" x14ac:dyDescent="0.25">
      <c r="A409" s="1" t="s">
        <v>817</v>
      </c>
      <c r="B409" s="1" t="s">
        <v>818</v>
      </c>
      <c r="C409">
        <v>5</v>
      </c>
      <c r="D409">
        <v>2936</v>
      </c>
    </row>
    <row r="410" spans="1:4" x14ac:dyDescent="0.25">
      <c r="A410" s="1" t="s">
        <v>819</v>
      </c>
      <c r="B410" s="1" t="s">
        <v>820</v>
      </c>
      <c r="C410">
        <v>6</v>
      </c>
      <c r="D410">
        <v>2655</v>
      </c>
    </row>
    <row r="411" spans="1:4" x14ac:dyDescent="0.25">
      <c r="A411" s="1" t="s">
        <v>821</v>
      </c>
      <c r="B411" s="1" t="s">
        <v>822</v>
      </c>
      <c r="C411">
        <v>5</v>
      </c>
      <c r="D411">
        <v>4327</v>
      </c>
    </row>
    <row r="412" spans="1:4" x14ac:dyDescent="0.25">
      <c r="A412" s="1" t="s">
        <v>823</v>
      </c>
      <c r="B412" s="1" t="s">
        <v>824</v>
      </c>
      <c r="C412">
        <v>3</v>
      </c>
      <c r="D412">
        <v>1296</v>
      </c>
    </row>
    <row r="413" spans="1:4" x14ac:dyDescent="0.25">
      <c r="A413" s="1" t="s">
        <v>825</v>
      </c>
      <c r="B413" s="1" t="s">
        <v>826</v>
      </c>
      <c r="C413">
        <v>3</v>
      </c>
      <c r="D413">
        <v>4402</v>
      </c>
    </row>
    <row r="414" spans="1:4" x14ac:dyDescent="0.25">
      <c r="A414" s="1" t="s">
        <v>827</v>
      </c>
      <c r="B414" s="1" t="s">
        <v>828</v>
      </c>
      <c r="C414">
        <v>3</v>
      </c>
      <c r="D414">
        <v>662</v>
      </c>
    </row>
    <row r="415" spans="1:4" x14ac:dyDescent="0.25">
      <c r="A415" s="1" t="s">
        <v>829</v>
      </c>
      <c r="B415" s="1" t="s">
        <v>830</v>
      </c>
      <c r="C415">
        <v>4</v>
      </c>
      <c r="D415">
        <v>3709</v>
      </c>
    </row>
    <row r="416" spans="1:4" x14ac:dyDescent="0.25">
      <c r="A416" s="1" t="s">
        <v>831</v>
      </c>
      <c r="B416" s="1" t="s">
        <v>832</v>
      </c>
      <c r="C416">
        <v>5</v>
      </c>
      <c r="D416">
        <v>4461</v>
      </c>
    </row>
    <row r="417" spans="1:4" x14ac:dyDescent="0.25">
      <c r="A417" s="1" t="s">
        <v>833</v>
      </c>
      <c r="B417" s="1" t="s">
        <v>834</v>
      </c>
      <c r="C417">
        <v>2</v>
      </c>
      <c r="D417">
        <v>3061</v>
      </c>
    </row>
    <row r="418" spans="1:4" x14ac:dyDescent="0.25">
      <c r="A418" s="1" t="s">
        <v>835</v>
      </c>
      <c r="B418" s="1" t="s">
        <v>836</v>
      </c>
      <c r="C418">
        <v>6</v>
      </c>
      <c r="D418">
        <v>2537</v>
      </c>
    </row>
    <row r="419" spans="1:4" x14ac:dyDescent="0.25">
      <c r="A419" s="1" t="s">
        <v>837</v>
      </c>
      <c r="B419" s="1" t="s">
        <v>838</v>
      </c>
      <c r="C419">
        <v>3</v>
      </c>
      <c r="D419">
        <v>4372</v>
      </c>
    </row>
    <row r="420" spans="1:4" x14ac:dyDescent="0.25">
      <c r="A420" s="1" t="s">
        <v>839</v>
      </c>
      <c r="B420" s="1" t="s">
        <v>840</v>
      </c>
      <c r="C420">
        <v>5</v>
      </c>
      <c r="D420">
        <v>3035</v>
      </c>
    </row>
    <row r="421" spans="1:4" x14ac:dyDescent="0.25">
      <c r="A421" s="1" t="s">
        <v>841</v>
      </c>
      <c r="B421" s="1" t="s">
        <v>842</v>
      </c>
      <c r="C421">
        <v>3</v>
      </c>
      <c r="D421">
        <v>4262</v>
      </c>
    </row>
    <row r="422" spans="1:4" x14ac:dyDescent="0.25">
      <c r="A422" s="1" t="s">
        <v>843</v>
      </c>
      <c r="B422" s="1" t="s">
        <v>844</v>
      </c>
      <c r="C422">
        <v>3</v>
      </c>
      <c r="D422">
        <v>2059</v>
      </c>
    </row>
    <row r="423" spans="1:4" x14ac:dyDescent="0.25">
      <c r="A423" s="1" t="s">
        <v>845</v>
      </c>
      <c r="B423" s="1" t="s">
        <v>846</v>
      </c>
      <c r="C423">
        <v>5</v>
      </c>
      <c r="D423">
        <v>2703</v>
      </c>
    </row>
    <row r="424" spans="1:4" x14ac:dyDescent="0.25">
      <c r="A424" s="1" t="s">
        <v>847</v>
      </c>
      <c r="B424" s="1" t="s">
        <v>848</v>
      </c>
      <c r="C424">
        <v>5</v>
      </c>
      <c r="D424">
        <v>2010</v>
      </c>
    </row>
    <row r="425" spans="1:4" x14ac:dyDescent="0.25">
      <c r="A425" s="1" t="s">
        <v>849</v>
      </c>
      <c r="B425" s="1" t="s">
        <v>850</v>
      </c>
      <c r="C425">
        <v>6</v>
      </c>
      <c r="D425">
        <v>1760</v>
      </c>
    </row>
    <row r="426" spans="1:4" x14ac:dyDescent="0.25">
      <c r="A426" s="1" t="s">
        <v>851</v>
      </c>
      <c r="B426" s="1" t="s">
        <v>852</v>
      </c>
      <c r="C426">
        <v>6</v>
      </c>
      <c r="D426">
        <v>4452</v>
      </c>
    </row>
    <row r="427" spans="1:4" x14ac:dyDescent="0.25">
      <c r="A427" s="1" t="s">
        <v>853</v>
      </c>
      <c r="B427" s="1" t="s">
        <v>854</v>
      </c>
      <c r="C427">
        <v>6</v>
      </c>
      <c r="D427">
        <v>1681</v>
      </c>
    </row>
    <row r="428" spans="1:4" x14ac:dyDescent="0.25">
      <c r="A428" s="1" t="s">
        <v>855</v>
      </c>
      <c r="B428" s="1" t="s">
        <v>856</v>
      </c>
      <c r="C428">
        <v>4</v>
      </c>
      <c r="D428">
        <v>1691</v>
      </c>
    </row>
    <row r="429" spans="1:4" x14ac:dyDescent="0.25">
      <c r="A429" s="1" t="s">
        <v>857</v>
      </c>
      <c r="B429" s="1" t="s">
        <v>858</v>
      </c>
      <c r="C429">
        <v>6</v>
      </c>
      <c r="D429">
        <v>1405</v>
      </c>
    </row>
    <row r="430" spans="1:4" x14ac:dyDescent="0.25">
      <c r="A430" s="1" t="s">
        <v>859</v>
      </c>
      <c r="B430" s="1" t="s">
        <v>860</v>
      </c>
      <c r="C430">
        <v>4</v>
      </c>
      <c r="D430">
        <v>3059</v>
      </c>
    </row>
    <row r="431" spans="1:4" x14ac:dyDescent="0.25">
      <c r="A431" s="1" t="s">
        <v>861</v>
      </c>
      <c r="B431" s="1" t="s">
        <v>862</v>
      </c>
      <c r="C431">
        <v>5</v>
      </c>
      <c r="D431">
        <v>2130</v>
      </c>
    </row>
    <row r="432" spans="1:4" x14ac:dyDescent="0.25">
      <c r="A432" s="1" t="s">
        <v>863</v>
      </c>
      <c r="B432" s="1" t="s">
        <v>864</v>
      </c>
      <c r="C432">
        <v>3</v>
      </c>
      <c r="D432">
        <v>1167</v>
      </c>
    </row>
    <row r="433" spans="1:4" x14ac:dyDescent="0.25">
      <c r="A433" s="1" t="s">
        <v>865</v>
      </c>
      <c r="B433" s="1" t="s">
        <v>866</v>
      </c>
      <c r="C433">
        <v>4</v>
      </c>
      <c r="D433">
        <v>2866</v>
      </c>
    </row>
    <row r="434" spans="1:4" x14ac:dyDescent="0.25">
      <c r="A434" s="1" t="s">
        <v>867</v>
      </c>
      <c r="B434" s="1" t="s">
        <v>868</v>
      </c>
      <c r="C434">
        <v>3</v>
      </c>
      <c r="D434">
        <v>4120</v>
      </c>
    </row>
    <row r="435" spans="1:4" x14ac:dyDescent="0.25">
      <c r="A435" s="1" t="s">
        <v>869</v>
      </c>
      <c r="B435" s="1" t="s">
        <v>870</v>
      </c>
      <c r="C435">
        <v>2</v>
      </c>
      <c r="D435">
        <v>4486</v>
      </c>
    </row>
    <row r="436" spans="1:4" x14ac:dyDescent="0.25">
      <c r="A436" s="1" t="s">
        <v>871</v>
      </c>
      <c r="B436" s="1" t="s">
        <v>872</v>
      </c>
      <c r="C436">
        <v>6</v>
      </c>
      <c r="D436">
        <v>1461</v>
      </c>
    </row>
    <row r="437" spans="1:4" x14ac:dyDescent="0.25">
      <c r="A437" s="1" t="s">
        <v>873</v>
      </c>
      <c r="B437" s="1" t="s">
        <v>874</v>
      </c>
      <c r="C437">
        <v>2</v>
      </c>
      <c r="D437">
        <v>4002</v>
      </c>
    </row>
    <row r="438" spans="1:4" x14ac:dyDescent="0.25">
      <c r="A438" s="1" t="s">
        <v>875</v>
      </c>
      <c r="B438" s="1" t="s">
        <v>876</v>
      </c>
      <c r="C438">
        <v>3</v>
      </c>
      <c r="D438">
        <v>1912</v>
      </c>
    </row>
    <row r="439" spans="1:4" x14ac:dyDescent="0.25">
      <c r="A439" s="1" t="s">
        <v>877</v>
      </c>
      <c r="B439" s="1" t="s">
        <v>878</v>
      </c>
      <c r="C439">
        <v>5</v>
      </c>
      <c r="D439">
        <v>2703</v>
      </c>
    </row>
    <row r="440" spans="1:4" x14ac:dyDescent="0.25">
      <c r="A440" s="1" t="s">
        <v>879</v>
      </c>
      <c r="B440" s="1" t="s">
        <v>880</v>
      </c>
      <c r="C440">
        <v>2</v>
      </c>
      <c r="D440">
        <v>749</v>
      </c>
    </row>
    <row r="441" spans="1:4" x14ac:dyDescent="0.25">
      <c r="A441" s="1" t="s">
        <v>881</v>
      </c>
      <c r="B441" s="1" t="s">
        <v>882</v>
      </c>
      <c r="C441">
        <v>6</v>
      </c>
      <c r="D441">
        <v>2794</v>
      </c>
    </row>
    <row r="442" spans="1:4" x14ac:dyDescent="0.25">
      <c r="A442" s="1" t="s">
        <v>883</v>
      </c>
      <c r="B442" s="1" t="s">
        <v>884</v>
      </c>
      <c r="C442">
        <v>6</v>
      </c>
      <c r="D442">
        <v>2782</v>
      </c>
    </row>
    <row r="443" spans="1:4" x14ac:dyDescent="0.25">
      <c r="A443" s="1" t="s">
        <v>885</v>
      </c>
      <c r="B443" s="1" t="s">
        <v>886</v>
      </c>
      <c r="C443">
        <v>3</v>
      </c>
      <c r="D443">
        <v>2077</v>
      </c>
    </row>
    <row r="444" spans="1:4" x14ac:dyDescent="0.25">
      <c r="A444" s="1" t="s">
        <v>887</v>
      </c>
      <c r="B444" s="1" t="s">
        <v>888</v>
      </c>
      <c r="C444">
        <v>4</v>
      </c>
      <c r="D444">
        <v>3117</v>
      </c>
    </row>
    <row r="445" spans="1:4" x14ac:dyDescent="0.25">
      <c r="A445" s="1" t="s">
        <v>889</v>
      </c>
      <c r="B445" s="1" t="s">
        <v>890</v>
      </c>
      <c r="C445">
        <v>2</v>
      </c>
      <c r="D445">
        <v>2547</v>
      </c>
    </row>
    <row r="446" spans="1:4" x14ac:dyDescent="0.25">
      <c r="A446" s="1" t="s">
        <v>891</v>
      </c>
      <c r="B446" s="1" t="s">
        <v>892</v>
      </c>
      <c r="C446">
        <v>4</v>
      </c>
      <c r="D446">
        <v>3803</v>
      </c>
    </row>
    <row r="447" spans="1:4" x14ac:dyDescent="0.25">
      <c r="A447" s="1" t="s">
        <v>893</v>
      </c>
      <c r="B447" s="1" t="s">
        <v>894</v>
      </c>
      <c r="C447">
        <v>4</v>
      </c>
      <c r="D447">
        <v>3213</v>
      </c>
    </row>
    <row r="448" spans="1:4" x14ac:dyDescent="0.25">
      <c r="A448" s="1" t="s">
        <v>895</v>
      </c>
      <c r="B448" s="1" t="s">
        <v>896</v>
      </c>
      <c r="C448">
        <v>6</v>
      </c>
      <c r="D448">
        <v>2659</v>
      </c>
    </row>
    <row r="449" spans="1:4" x14ac:dyDescent="0.25">
      <c r="A449" s="1" t="s">
        <v>897</v>
      </c>
      <c r="B449" s="1" t="s">
        <v>898</v>
      </c>
      <c r="C449">
        <v>5</v>
      </c>
      <c r="D449">
        <v>2975</v>
      </c>
    </row>
    <row r="450" spans="1:4" x14ac:dyDescent="0.25">
      <c r="A450" s="1" t="s">
        <v>899</v>
      </c>
      <c r="B450" s="1" t="s">
        <v>900</v>
      </c>
      <c r="C450">
        <v>2</v>
      </c>
      <c r="D450">
        <v>1249</v>
      </c>
    </row>
    <row r="451" spans="1:4" x14ac:dyDescent="0.25">
      <c r="A451" s="1" t="s">
        <v>901</v>
      </c>
      <c r="B451" s="1" t="s">
        <v>902</v>
      </c>
      <c r="C451">
        <v>2</v>
      </c>
      <c r="D451">
        <v>706</v>
      </c>
    </row>
    <row r="452" spans="1:4" x14ac:dyDescent="0.25">
      <c r="A452" s="1" t="s">
        <v>903</v>
      </c>
      <c r="B452" s="1" t="s">
        <v>904</v>
      </c>
      <c r="C452">
        <v>4</v>
      </c>
      <c r="D452">
        <v>2619</v>
      </c>
    </row>
    <row r="453" spans="1:4" x14ac:dyDescent="0.25">
      <c r="A453" s="1" t="s">
        <v>905</v>
      </c>
      <c r="B453" s="1" t="s">
        <v>906</v>
      </c>
      <c r="C453">
        <v>4</v>
      </c>
      <c r="D453">
        <v>1695</v>
      </c>
    </row>
    <row r="454" spans="1:4" x14ac:dyDescent="0.25">
      <c r="A454" s="1" t="s">
        <v>907</v>
      </c>
      <c r="B454" s="1" t="s">
        <v>908</v>
      </c>
      <c r="C454">
        <v>5</v>
      </c>
      <c r="D454">
        <v>1937</v>
      </c>
    </row>
    <row r="455" spans="1:4" x14ac:dyDescent="0.25">
      <c r="A455" s="1" t="s">
        <v>909</v>
      </c>
      <c r="B455" s="1" t="s">
        <v>910</v>
      </c>
      <c r="C455">
        <v>2</v>
      </c>
      <c r="D455">
        <v>1313</v>
      </c>
    </row>
    <row r="456" spans="1:4" x14ac:dyDescent="0.25">
      <c r="A456" s="1" t="s">
        <v>911</v>
      </c>
      <c r="B456" s="1" t="s">
        <v>912</v>
      </c>
      <c r="C456">
        <v>4</v>
      </c>
      <c r="D456">
        <v>1004</v>
      </c>
    </row>
    <row r="457" spans="1:4" x14ac:dyDescent="0.25">
      <c r="A457" s="1" t="s">
        <v>913</v>
      </c>
      <c r="B457" s="1" t="s">
        <v>914</v>
      </c>
      <c r="C457">
        <v>2</v>
      </c>
      <c r="D457">
        <v>861</v>
      </c>
    </row>
    <row r="458" spans="1:4" x14ac:dyDescent="0.25">
      <c r="A458" s="1" t="s">
        <v>915</v>
      </c>
      <c r="B458" s="1" t="s">
        <v>916</v>
      </c>
      <c r="C458">
        <v>3</v>
      </c>
      <c r="D458">
        <v>3074</v>
      </c>
    </row>
    <row r="459" spans="1:4" x14ac:dyDescent="0.25">
      <c r="A459" s="1" t="s">
        <v>917</v>
      </c>
      <c r="B459" s="1" t="s">
        <v>918</v>
      </c>
      <c r="C459">
        <v>5</v>
      </c>
      <c r="D459">
        <v>781</v>
      </c>
    </row>
    <row r="460" spans="1:4" x14ac:dyDescent="0.25">
      <c r="A460" s="1" t="s">
        <v>919</v>
      </c>
      <c r="B460" s="1" t="s">
        <v>920</v>
      </c>
      <c r="C460">
        <v>5</v>
      </c>
      <c r="D460">
        <v>2720</v>
      </c>
    </row>
    <row r="461" spans="1:4" x14ac:dyDescent="0.25">
      <c r="A461" s="1" t="s">
        <v>921</v>
      </c>
      <c r="B461" s="1" t="s">
        <v>922</v>
      </c>
      <c r="C461">
        <v>3</v>
      </c>
      <c r="D461">
        <v>1512</v>
      </c>
    </row>
    <row r="462" spans="1:4" x14ac:dyDescent="0.25">
      <c r="A462" s="1" t="s">
        <v>923</v>
      </c>
      <c r="B462" s="1" t="s">
        <v>924</v>
      </c>
      <c r="C462">
        <v>2</v>
      </c>
      <c r="D462">
        <v>1109</v>
      </c>
    </row>
    <row r="463" spans="1:4" x14ac:dyDescent="0.25">
      <c r="A463" s="1" t="s">
        <v>925</v>
      </c>
      <c r="B463" s="1" t="s">
        <v>926</v>
      </c>
      <c r="C463">
        <v>3</v>
      </c>
      <c r="D463">
        <v>1387</v>
      </c>
    </row>
    <row r="464" spans="1:4" x14ac:dyDescent="0.25">
      <c r="A464" s="1" t="s">
        <v>927</v>
      </c>
      <c r="B464" s="1" t="s">
        <v>928</v>
      </c>
      <c r="C464">
        <v>4</v>
      </c>
      <c r="D464">
        <v>3249</v>
      </c>
    </row>
    <row r="465" spans="1:4" x14ac:dyDescent="0.25">
      <c r="A465" s="1" t="s">
        <v>929</v>
      </c>
      <c r="B465" s="1" t="s">
        <v>930</v>
      </c>
      <c r="C465">
        <v>3</v>
      </c>
      <c r="D465">
        <v>3813</v>
      </c>
    </row>
    <row r="466" spans="1:4" x14ac:dyDescent="0.25">
      <c r="A466" s="1" t="s">
        <v>931</v>
      </c>
      <c r="B466" s="1" t="s">
        <v>932</v>
      </c>
      <c r="C466">
        <v>5</v>
      </c>
      <c r="D466">
        <v>4019</v>
      </c>
    </row>
    <row r="467" spans="1:4" x14ac:dyDescent="0.25">
      <c r="A467" s="1" t="s">
        <v>933</v>
      </c>
      <c r="B467" s="1" t="s">
        <v>934</v>
      </c>
      <c r="C467">
        <v>5</v>
      </c>
      <c r="D467">
        <v>2705</v>
      </c>
    </row>
    <row r="468" spans="1:4" x14ac:dyDescent="0.25">
      <c r="A468" s="1" t="s">
        <v>935</v>
      </c>
      <c r="B468" s="1" t="s">
        <v>936</v>
      </c>
      <c r="C468">
        <v>6</v>
      </c>
      <c r="D468">
        <v>4112</v>
      </c>
    </row>
    <row r="469" spans="1:4" x14ac:dyDescent="0.25">
      <c r="A469" s="1" t="s">
        <v>937</v>
      </c>
      <c r="B469" s="1" t="s">
        <v>938</v>
      </c>
      <c r="C469">
        <v>4</v>
      </c>
      <c r="D469">
        <v>4251</v>
      </c>
    </row>
    <row r="470" spans="1:4" x14ac:dyDescent="0.25">
      <c r="A470" s="1" t="s">
        <v>939</v>
      </c>
      <c r="B470" s="1" t="s">
        <v>940</v>
      </c>
      <c r="C470">
        <v>5</v>
      </c>
      <c r="D470">
        <v>994</v>
      </c>
    </row>
    <row r="471" spans="1:4" x14ac:dyDescent="0.25">
      <c r="A471" s="1" t="s">
        <v>941</v>
      </c>
      <c r="B471" s="1" t="s">
        <v>942</v>
      </c>
      <c r="C471">
        <v>2</v>
      </c>
      <c r="D471">
        <v>2386</v>
      </c>
    </row>
    <row r="472" spans="1:4" x14ac:dyDescent="0.25">
      <c r="A472" s="1" t="s">
        <v>943</v>
      </c>
      <c r="B472" s="1" t="s">
        <v>944</v>
      </c>
      <c r="C472">
        <v>3</v>
      </c>
      <c r="D472">
        <v>2489</v>
      </c>
    </row>
    <row r="473" spans="1:4" x14ac:dyDescent="0.25">
      <c r="A473" s="1" t="s">
        <v>945</v>
      </c>
      <c r="B473" s="1" t="s">
        <v>946</v>
      </c>
      <c r="C473">
        <v>3</v>
      </c>
      <c r="D473">
        <v>804</v>
      </c>
    </row>
    <row r="474" spans="1:4" x14ac:dyDescent="0.25">
      <c r="A474" s="1" t="s">
        <v>947</v>
      </c>
      <c r="B474" s="1" t="s">
        <v>948</v>
      </c>
      <c r="C474">
        <v>3</v>
      </c>
      <c r="D474">
        <v>4407</v>
      </c>
    </row>
    <row r="475" spans="1:4" x14ac:dyDescent="0.25">
      <c r="A475" s="1" t="s">
        <v>949</v>
      </c>
      <c r="B475" s="1" t="s">
        <v>950</v>
      </c>
      <c r="C475">
        <v>4</v>
      </c>
      <c r="D475">
        <v>3783</v>
      </c>
    </row>
    <row r="476" spans="1:4" x14ac:dyDescent="0.25">
      <c r="A476" s="1" t="s">
        <v>951</v>
      </c>
      <c r="B476" s="1" t="s">
        <v>952</v>
      </c>
      <c r="C476">
        <v>5</v>
      </c>
      <c r="D476">
        <v>1011</v>
      </c>
    </row>
    <row r="477" spans="1:4" x14ac:dyDescent="0.25">
      <c r="A477" s="1" t="s">
        <v>953</v>
      </c>
      <c r="B477" s="1" t="s">
        <v>954</v>
      </c>
      <c r="C477">
        <v>2</v>
      </c>
      <c r="D477">
        <v>4267</v>
      </c>
    </row>
    <row r="478" spans="1:4" x14ac:dyDescent="0.25">
      <c r="A478" s="1" t="s">
        <v>955</v>
      </c>
      <c r="B478" s="1" t="s">
        <v>956</v>
      </c>
      <c r="C478">
        <v>5</v>
      </c>
      <c r="D478">
        <v>824</v>
      </c>
    </row>
    <row r="479" spans="1:4" x14ac:dyDescent="0.25">
      <c r="A479" s="1" t="s">
        <v>957</v>
      </c>
      <c r="B479" s="1" t="s">
        <v>958</v>
      </c>
      <c r="C479">
        <v>2</v>
      </c>
      <c r="D479">
        <v>2296</v>
      </c>
    </row>
    <row r="480" spans="1:4" x14ac:dyDescent="0.25">
      <c r="A480" s="1" t="s">
        <v>959</v>
      </c>
      <c r="B480" s="1" t="s">
        <v>960</v>
      </c>
      <c r="C480">
        <v>5</v>
      </c>
      <c r="D480">
        <v>1156</v>
      </c>
    </row>
    <row r="481" spans="1:4" x14ac:dyDescent="0.25">
      <c r="A481" s="1" t="s">
        <v>961</v>
      </c>
      <c r="B481" s="1" t="s">
        <v>962</v>
      </c>
      <c r="C481">
        <v>3</v>
      </c>
      <c r="D481">
        <v>3100</v>
      </c>
    </row>
    <row r="482" spans="1:4" x14ac:dyDescent="0.25">
      <c r="A482" s="1" t="s">
        <v>963</v>
      </c>
      <c r="B482" s="1" t="s">
        <v>964</v>
      </c>
      <c r="C482">
        <v>3</v>
      </c>
      <c r="D482">
        <v>2816</v>
      </c>
    </row>
    <row r="483" spans="1:4" x14ac:dyDescent="0.25">
      <c r="A483" s="1" t="s">
        <v>965</v>
      </c>
      <c r="B483" s="1" t="s">
        <v>966</v>
      </c>
      <c r="C483">
        <v>3</v>
      </c>
      <c r="D483">
        <v>2251</v>
      </c>
    </row>
    <row r="484" spans="1:4" x14ac:dyDescent="0.25">
      <c r="A484" s="1" t="s">
        <v>967</v>
      </c>
      <c r="B484" s="1" t="s">
        <v>968</v>
      </c>
      <c r="C484">
        <v>3</v>
      </c>
      <c r="D484">
        <v>2120</v>
      </c>
    </row>
    <row r="485" spans="1:4" x14ac:dyDescent="0.25">
      <c r="A485" s="1" t="s">
        <v>969</v>
      </c>
      <c r="B485" s="1" t="s">
        <v>970</v>
      </c>
      <c r="C485">
        <v>2</v>
      </c>
      <c r="D485">
        <v>1999</v>
      </c>
    </row>
    <row r="486" spans="1:4" x14ac:dyDescent="0.25">
      <c r="A486" s="1" t="s">
        <v>971</v>
      </c>
      <c r="B486" s="1" t="s">
        <v>972</v>
      </c>
      <c r="C486">
        <v>3</v>
      </c>
      <c r="D486">
        <v>4250</v>
      </c>
    </row>
    <row r="487" spans="1:4" x14ac:dyDescent="0.25">
      <c r="A487" s="1" t="s">
        <v>973</v>
      </c>
      <c r="B487" s="1" t="s">
        <v>974</v>
      </c>
      <c r="C487">
        <v>4</v>
      </c>
      <c r="D487">
        <v>2332</v>
      </c>
    </row>
    <row r="488" spans="1:4" x14ac:dyDescent="0.25">
      <c r="A488" s="1" t="s">
        <v>975</v>
      </c>
      <c r="B488" s="1" t="s">
        <v>976</v>
      </c>
      <c r="C488">
        <v>5</v>
      </c>
      <c r="D488">
        <v>2778</v>
      </c>
    </row>
    <row r="489" spans="1:4" x14ac:dyDescent="0.25">
      <c r="A489" s="1" t="s">
        <v>977</v>
      </c>
      <c r="B489" s="1" t="s">
        <v>978</v>
      </c>
      <c r="C489">
        <v>3</v>
      </c>
      <c r="D489">
        <v>954</v>
      </c>
    </row>
    <row r="490" spans="1:4" x14ac:dyDescent="0.25">
      <c r="A490" s="1" t="s">
        <v>979</v>
      </c>
      <c r="B490" s="1" t="s">
        <v>980</v>
      </c>
      <c r="C490">
        <v>4</v>
      </c>
      <c r="D490">
        <v>3252</v>
      </c>
    </row>
    <row r="491" spans="1:4" x14ac:dyDescent="0.25">
      <c r="A491" s="1" t="s">
        <v>981</v>
      </c>
      <c r="B491" s="1" t="s">
        <v>982</v>
      </c>
      <c r="C491">
        <v>5</v>
      </c>
      <c r="D491">
        <v>3301</v>
      </c>
    </row>
    <row r="492" spans="1:4" x14ac:dyDescent="0.25">
      <c r="A492" s="1" t="s">
        <v>983</v>
      </c>
      <c r="B492" s="1" t="s">
        <v>984</v>
      </c>
      <c r="C492">
        <v>5</v>
      </c>
      <c r="D492">
        <v>3270</v>
      </c>
    </row>
    <row r="493" spans="1:4" x14ac:dyDescent="0.25">
      <c r="A493" s="1" t="s">
        <v>985</v>
      </c>
      <c r="B493" s="1" t="s">
        <v>986</v>
      </c>
      <c r="C493">
        <v>3</v>
      </c>
      <c r="D493">
        <v>2384</v>
      </c>
    </row>
    <row r="494" spans="1:4" x14ac:dyDescent="0.25">
      <c r="A494" s="1" t="s">
        <v>987</v>
      </c>
      <c r="B494" s="1" t="s">
        <v>988</v>
      </c>
      <c r="C494">
        <v>3</v>
      </c>
      <c r="D494">
        <v>3758</v>
      </c>
    </row>
    <row r="495" spans="1:4" x14ac:dyDescent="0.25">
      <c r="A495" s="1" t="s">
        <v>989</v>
      </c>
      <c r="B495" s="1" t="s">
        <v>990</v>
      </c>
      <c r="C495">
        <v>3</v>
      </c>
      <c r="D495">
        <v>3713</v>
      </c>
    </row>
    <row r="496" spans="1:4" x14ac:dyDescent="0.25">
      <c r="A496" s="1" t="s">
        <v>991</v>
      </c>
      <c r="B496" s="1" t="s">
        <v>992</v>
      </c>
      <c r="C496">
        <v>3</v>
      </c>
      <c r="D496">
        <v>3851</v>
      </c>
    </row>
    <row r="497" spans="1:4" x14ac:dyDescent="0.25">
      <c r="A497" s="1" t="s">
        <v>993</v>
      </c>
      <c r="B497" s="1" t="s">
        <v>994</v>
      </c>
      <c r="C497">
        <v>4</v>
      </c>
      <c r="D497">
        <v>3355</v>
      </c>
    </row>
    <row r="498" spans="1:4" x14ac:dyDescent="0.25">
      <c r="A498" s="1" t="s">
        <v>995</v>
      </c>
      <c r="B498" s="1" t="s">
        <v>996</v>
      </c>
      <c r="C498">
        <v>3</v>
      </c>
      <c r="D498">
        <v>4212</v>
      </c>
    </row>
    <row r="499" spans="1:4" x14ac:dyDescent="0.25">
      <c r="A499" s="1" t="s">
        <v>997</v>
      </c>
      <c r="B499" s="1" t="s">
        <v>998</v>
      </c>
      <c r="C499">
        <v>5</v>
      </c>
      <c r="D499">
        <v>2509</v>
      </c>
    </row>
    <row r="500" spans="1:4" x14ac:dyDescent="0.25">
      <c r="A500" s="1" t="s">
        <v>999</v>
      </c>
      <c r="B500" s="1" t="s">
        <v>1000</v>
      </c>
      <c r="C500">
        <v>5</v>
      </c>
      <c r="D500">
        <v>3790</v>
      </c>
    </row>
    <row r="501" spans="1:4" x14ac:dyDescent="0.25">
      <c r="A501" s="1" t="s">
        <v>1001</v>
      </c>
      <c r="B501" s="1" t="s">
        <v>1002</v>
      </c>
      <c r="C501">
        <v>4</v>
      </c>
      <c r="D501">
        <v>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4</vt:i4>
      </vt:variant>
    </vt:vector>
  </HeadingPairs>
  <TitlesOfParts>
    <vt:vector size="8" baseType="lpstr">
      <vt:lpstr>dane (2)</vt:lpstr>
      <vt:lpstr>z2</vt:lpstr>
      <vt:lpstr>z1</vt:lpstr>
      <vt:lpstr>dane</vt:lpstr>
      <vt:lpstr>dane!komisja</vt:lpstr>
      <vt:lpstr>'dane (2)'!komisja</vt:lpstr>
      <vt:lpstr>'z1'!komisja</vt:lpstr>
      <vt:lpstr>'z2'!komisja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2026-03-09T12:00:22Z</dcterms:created>
  <dcterms:modified xsi:type="dcterms:W3CDTF">2026-03-09T12:31:39Z</dcterms:modified>
</cp:coreProperties>
</file>