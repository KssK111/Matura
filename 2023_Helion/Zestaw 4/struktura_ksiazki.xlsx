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2aR\Desktop\Matura\2023_Helion\Zestaw 4\"/>
    </mc:Choice>
  </mc:AlternateContent>
  <bookViews>
    <workbookView xWindow="0" yWindow="0" windowWidth="20490" windowHeight="7530"/>
  </bookViews>
  <sheets>
    <sheet name="z1" sheetId="2" r:id="rId1"/>
    <sheet name="dane" sheetId="1" r:id="rId2"/>
  </sheets>
  <definedNames>
    <definedName name="cms" localSheetId="1">dane!$A$1:$B$13</definedName>
    <definedName name="cms" localSheetId="0">'z1'!$A$1:$B$13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2" i="2"/>
  <c r="F3" i="2"/>
  <c r="F4" i="2"/>
  <c r="F5" i="2"/>
  <c r="F6" i="2"/>
  <c r="F7" i="2"/>
  <c r="F8" i="2"/>
  <c r="F9" i="2"/>
  <c r="F10" i="2"/>
  <c r="F11" i="2"/>
  <c r="F12" i="2"/>
  <c r="F13" i="2"/>
  <c r="F2" i="2"/>
  <c r="E3" i="2"/>
  <c r="E4" i="2"/>
  <c r="E5" i="2"/>
  <c r="E6" i="2"/>
  <c r="E7" i="2"/>
  <c r="E8" i="2"/>
  <c r="E9" i="2"/>
  <c r="E10" i="2"/>
  <c r="E11" i="2"/>
  <c r="E12" i="2"/>
  <c r="E13" i="2"/>
  <c r="E2" i="2"/>
  <c r="D3" i="2"/>
  <c r="D4" i="2"/>
  <c r="D5" i="2"/>
  <c r="D6" i="2"/>
  <c r="D7" i="2"/>
  <c r="D8" i="2"/>
  <c r="D9" i="2"/>
  <c r="D10" i="2"/>
  <c r="D11" i="2"/>
  <c r="D12" i="2"/>
  <c r="D13" i="2"/>
  <c r="D2" i="2"/>
  <c r="A16" i="2"/>
  <c r="C3" i="2"/>
  <c r="C4" i="2"/>
  <c r="C5" i="2"/>
  <c r="C6" i="2"/>
  <c r="C7" i="2"/>
  <c r="C8" i="2"/>
  <c r="C9" i="2"/>
  <c r="C10" i="2"/>
  <c r="C11" i="2"/>
  <c r="C12" i="2"/>
  <c r="C13" i="2"/>
  <c r="C2" i="2"/>
</calcChain>
</file>

<file path=xl/connections.xml><?xml version="1.0" encoding="utf-8"?>
<connections xmlns="http://schemas.openxmlformats.org/spreadsheetml/2006/main">
  <connection id="1" name="cms" type="6" refreshedVersion="6" background="1" saveData="1">
    <textPr codePage="852" sourceFile="C:\Users\2022aR\Desktop\Matura\2023_Helion\Zestaw 4\cms.txt" decimal="," thousands=" " tab="0" semicolon="1">
      <textFields count="2">
        <textField/>
        <textField/>
      </textFields>
    </textPr>
  </connection>
  <connection id="2" name="cms1" type="6" refreshedVersion="6" background="1" saveData="1">
    <textPr codePage="852" sourceFile="C:\Users\2022aR\Desktop\Matura\2023_Helion\Zestaw 4\cms.txt" decimal="," thousands=" 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<sst xmlns="http://schemas.openxmlformats.org/spreadsheetml/2006/main" count="59" uniqueCount="33">
  <si>
    <t>symbol</t>
  </si>
  <si>
    <t>temat</t>
  </si>
  <si>
    <t>a1</t>
  </si>
  <si>
    <t>Informatyka</t>
  </si>
  <si>
    <t>a1a1</t>
  </si>
  <si>
    <t>Programowanie</t>
  </si>
  <si>
    <t>a1a2</t>
  </si>
  <si>
    <t>Sieci komputerowe</t>
  </si>
  <si>
    <t>a1a3</t>
  </si>
  <si>
    <t>Grafika komputerowa</t>
  </si>
  <si>
    <t>a1a1a1</t>
  </si>
  <si>
    <t>Python</t>
  </si>
  <si>
    <t>a1a1a2</t>
  </si>
  <si>
    <t>C++</t>
  </si>
  <si>
    <t>a1a2a1</t>
  </si>
  <si>
    <t>Model ISO OSI</t>
  </si>
  <si>
    <t>a1a4</t>
  </si>
  <si>
    <t>Programowanie aplikacji</t>
  </si>
  <si>
    <t>a1a4a1</t>
  </si>
  <si>
    <t>Html i css</t>
  </si>
  <si>
    <t>a1a4a2</t>
  </si>
  <si>
    <t>JS</t>
  </si>
  <si>
    <t>a1a4a3</t>
  </si>
  <si>
    <t>PHP</t>
  </si>
  <si>
    <t>a1a4a2a1</t>
  </si>
  <si>
    <t>Node</t>
  </si>
  <si>
    <t>zagnieżdżenie</t>
  </si>
  <si>
    <t>Największy wykorzystany poziom zagnieżdżenia</t>
  </si>
  <si>
    <t>ilość podtematów</t>
  </si>
  <si>
    <t>poz 1</t>
  </si>
  <si>
    <t>poz 2</t>
  </si>
  <si>
    <t>poz 3</t>
  </si>
  <si>
    <t>poz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</si>
</sst>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cms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m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H3" sqref="H3"/>
    </sheetView>
  </sheetViews>
  <sheetFormatPr defaultRowHeight="15" x14ac:dyDescent="0.25"/>
  <cols>
    <col min="1" max="1" width="44.28515625" bestFit="1" customWidth="1"/>
    <col min="2" max="2" width="23.140625" bestFit="1" customWidth="1"/>
    <col min="3" max="3" width="13.7109375" bestFit="1" customWidth="1"/>
    <col min="4" max="7" width="5.5703125" bestFit="1" customWidth="1"/>
    <col min="8" max="8" width="17" bestFit="1" customWidth="1"/>
  </cols>
  <sheetData>
    <row r="1" spans="1:8" x14ac:dyDescent="0.25">
      <c r="A1" t="s">
        <v>0</v>
      </c>
      <c r="B1" t="s">
        <v>1</v>
      </c>
      <c r="C1" t="s">
        <v>26</v>
      </c>
      <c r="D1" t="s">
        <v>29</v>
      </c>
      <c r="E1" t="s">
        <v>30</v>
      </c>
      <c r="F1" t="s">
        <v>31</v>
      </c>
      <c r="G1" t="s">
        <v>32</v>
      </c>
      <c r="H1" t="s">
        <v>28</v>
      </c>
    </row>
    <row r="2" spans="1:8" x14ac:dyDescent="0.25">
      <c r="A2" t="s">
        <v>2</v>
      </c>
      <c r="B2" t="s">
        <v>3</v>
      </c>
      <c r="C2">
        <f>LEN(A2)/2</f>
        <v>1</v>
      </c>
      <c r="D2" t="str">
        <f>MID(A2,1,2)</f>
        <v>a1</v>
      </c>
      <c r="E2" t="str">
        <f>MID(A2,3,2)</f>
        <v/>
      </c>
      <c r="F2" t="str">
        <f>MID(A2,5,2)</f>
        <v/>
      </c>
      <c r="G2" t="str">
        <f>MID(A2,7,2)</f>
        <v/>
      </c>
    </row>
    <row r="3" spans="1:8" x14ac:dyDescent="0.25">
      <c r="A3" t="s">
        <v>4</v>
      </c>
      <c r="B3" t="s">
        <v>5</v>
      </c>
      <c r="C3">
        <f t="shared" ref="C3:C13" si="0">LEN(A3)/2</f>
        <v>2</v>
      </c>
      <c r="D3" t="str">
        <f t="shared" ref="D3:D13" si="1">MID(A3,1,2)</f>
        <v>a1</v>
      </c>
      <c r="E3" t="str">
        <f t="shared" ref="E3:E13" si="2">MID(A3,3,2)</f>
        <v>a1</v>
      </c>
      <c r="F3" t="str">
        <f t="shared" ref="F3:F13" si="3">MID(A3,5,2)</f>
        <v/>
      </c>
      <c r="G3" t="str">
        <f t="shared" ref="G3:G13" si="4">MID(A3,7,2)</f>
        <v/>
      </c>
    </row>
    <row r="4" spans="1:8" x14ac:dyDescent="0.25">
      <c r="A4" t="s">
        <v>6</v>
      </c>
      <c r="B4" t="s">
        <v>7</v>
      </c>
      <c r="C4">
        <f t="shared" si="0"/>
        <v>2</v>
      </c>
      <c r="D4" t="str">
        <f t="shared" si="1"/>
        <v>a1</v>
      </c>
      <c r="E4" t="str">
        <f t="shared" si="2"/>
        <v>a2</v>
      </c>
      <c r="F4" t="str">
        <f t="shared" si="3"/>
        <v/>
      </c>
      <c r="G4" t="str">
        <f t="shared" si="4"/>
        <v/>
      </c>
    </row>
    <row r="5" spans="1:8" x14ac:dyDescent="0.25">
      <c r="A5" t="s">
        <v>8</v>
      </c>
      <c r="B5" t="s">
        <v>9</v>
      </c>
      <c r="C5">
        <f t="shared" si="0"/>
        <v>2</v>
      </c>
      <c r="D5" t="str">
        <f t="shared" si="1"/>
        <v>a1</v>
      </c>
      <c r="E5" t="str">
        <f t="shared" si="2"/>
        <v>a3</v>
      </c>
      <c r="F5" t="str">
        <f t="shared" si="3"/>
        <v/>
      </c>
      <c r="G5" t="str">
        <f t="shared" si="4"/>
        <v/>
      </c>
    </row>
    <row r="6" spans="1:8" x14ac:dyDescent="0.25">
      <c r="A6" t="s">
        <v>10</v>
      </c>
      <c r="B6" t="s">
        <v>11</v>
      </c>
      <c r="C6">
        <f t="shared" si="0"/>
        <v>3</v>
      </c>
      <c r="D6" t="str">
        <f t="shared" si="1"/>
        <v>a1</v>
      </c>
      <c r="E6" t="str">
        <f t="shared" si="2"/>
        <v>a1</v>
      </c>
      <c r="F6" t="str">
        <f t="shared" si="3"/>
        <v>a1</v>
      </c>
      <c r="G6" t="str">
        <f t="shared" si="4"/>
        <v/>
      </c>
    </row>
    <row r="7" spans="1:8" x14ac:dyDescent="0.25">
      <c r="A7" t="s">
        <v>12</v>
      </c>
      <c r="B7" t="s">
        <v>13</v>
      </c>
      <c r="C7">
        <f t="shared" si="0"/>
        <v>3</v>
      </c>
      <c r="D7" t="str">
        <f t="shared" si="1"/>
        <v>a1</v>
      </c>
      <c r="E7" t="str">
        <f t="shared" si="2"/>
        <v>a1</v>
      </c>
      <c r="F7" t="str">
        <f t="shared" si="3"/>
        <v>a2</v>
      </c>
      <c r="G7" t="str">
        <f t="shared" si="4"/>
        <v/>
      </c>
    </row>
    <row r="8" spans="1:8" x14ac:dyDescent="0.25">
      <c r="A8" t="s">
        <v>14</v>
      </c>
      <c r="B8" t="s">
        <v>15</v>
      </c>
      <c r="C8">
        <f t="shared" si="0"/>
        <v>3</v>
      </c>
      <c r="D8" t="str">
        <f t="shared" si="1"/>
        <v>a1</v>
      </c>
      <c r="E8" t="str">
        <f t="shared" si="2"/>
        <v>a2</v>
      </c>
      <c r="F8" t="str">
        <f t="shared" si="3"/>
        <v>a1</v>
      </c>
      <c r="G8" t="str">
        <f t="shared" si="4"/>
        <v/>
      </c>
    </row>
    <row r="9" spans="1:8" x14ac:dyDescent="0.25">
      <c r="A9" t="s">
        <v>16</v>
      </c>
      <c r="B9" t="s">
        <v>17</v>
      </c>
      <c r="C9">
        <f t="shared" si="0"/>
        <v>2</v>
      </c>
      <c r="D9" t="str">
        <f t="shared" si="1"/>
        <v>a1</v>
      </c>
      <c r="E9" t="str">
        <f t="shared" si="2"/>
        <v>a4</v>
      </c>
      <c r="F9" t="str">
        <f t="shared" si="3"/>
        <v/>
      </c>
      <c r="G9" t="str">
        <f t="shared" si="4"/>
        <v/>
      </c>
    </row>
    <row r="10" spans="1:8" x14ac:dyDescent="0.25">
      <c r="A10" t="s">
        <v>18</v>
      </c>
      <c r="B10" t="s">
        <v>19</v>
      </c>
      <c r="C10">
        <f t="shared" si="0"/>
        <v>3</v>
      </c>
      <c r="D10" t="str">
        <f t="shared" si="1"/>
        <v>a1</v>
      </c>
      <c r="E10" t="str">
        <f t="shared" si="2"/>
        <v>a4</v>
      </c>
      <c r="F10" t="str">
        <f t="shared" si="3"/>
        <v>a1</v>
      </c>
      <c r="G10" t="str">
        <f t="shared" si="4"/>
        <v/>
      </c>
    </row>
    <row r="11" spans="1:8" x14ac:dyDescent="0.25">
      <c r="A11" t="s">
        <v>20</v>
      </c>
      <c r="B11" t="s">
        <v>21</v>
      </c>
      <c r="C11">
        <f t="shared" si="0"/>
        <v>3</v>
      </c>
      <c r="D11" t="str">
        <f t="shared" si="1"/>
        <v>a1</v>
      </c>
      <c r="E11" t="str">
        <f t="shared" si="2"/>
        <v>a4</v>
      </c>
      <c r="F11" t="str">
        <f t="shared" si="3"/>
        <v>a2</v>
      </c>
      <c r="G11" t="str">
        <f t="shared" si="4"/>
        <v/>
      </c>
    </row>
    <row r="12" spans="1:8" x14ac:dyDescent="0.25">
      <c r="A12" t="s">
        <v>22</v>
      </c>
      <c r="B12" t="s">
        <v>23</v>
      </c>
      <c r="C12">
        <f t="shared" si="0"/>
        <v>3</v>
      </c>
      <c r="D12" t="str">
        <f t="shared" si="1"/>
        <v>a1</v>
      </c>
      <c r="E12" t="str">
        <f t="shared" si="2"/>
        <v>a4</v>
      </c>
      <c r="F12" t="str">
        <f t="shared" si="3"/>
        <v>a3</v>
      </c>
      <c r="G12" t="str">
        <f t="shared" si="4"/>
        <v/>
      </c>
    </row>
    <row r="13" spans="1:8" x14ac:dyDescent="0.25">
      <c r="A13" t="s">
        <v>24</v>
      </c>
      <c r="B13" t="s">
        <v>25</v>
      </c>
      <c r="C13">
        <f t="shared" si="0"/>
        <v>4</v>
      </c>
      <c r="D13" t="str">
        <f t="shared" si="1"/>
        <v>a1</v>
      </c>
      <c r="E13" t="str">
        <f t="shared" si="2"/>
        <v>a4</v>
      </c>
      <c r="F13" t="str">
        <f t="shared" si="3"/>
        <v>a2</v>
      </c>
      <c r="G13" t="str">
        <f t="shared" si="4"/>
        <v>a1</v>
      </c>
    </row>
    <row r="15" spans="1:8" x14ac:dyDescent="0.25">
      <c r="A15" s="1" t="s">
        <v>27</v>
      </c>
    </row>
    <row r="16" spans="1:8" x14ac:dyDescent="0.25">
      <c r="A16" s="1">
        <f>MAX(C2:C13)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x14ac:dyDescent="0.25"/>
  <cols>
    <col min="1" max="1" width="9" bestFit="1" customWidth="1"/>
    <col min="2" max="2" width="2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2</vt:i4>
      </vt:variant>
    </vt:vector>
  </HeadingPairs>
  <TitlesOfParts>
    <vt:vector size="4" baseType="lpstr">
      <vt:lpstr>z1</vt:lpstr>
      <vt:lpstr>dane</vt:lpstr>
      <vt:lpstr>dane!cms</vt:lpstr>
      <vt:lpstr>'z1'!cms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2022aR</dc:creator>
  <cp:lastModifiedBy>2022aR</cp:lastModifiedBy>
  <dcterms:created xsi:type="dcterms:W3CDTF">2026-02-27T11:03:05Z</dcterms:created>
  <dcterms:modified xsi:type="dcterms:W3CDTF">2026-02-27T11:36:41Z</dcterms:modified>
</cp:coreProperties>
</file>